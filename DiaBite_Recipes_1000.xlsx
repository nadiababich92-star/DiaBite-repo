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'Recipes'!$A$1:$AC$1493</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row r="1360" ht="96" customHeight="1">
      <c r="A1360" s="2" t="inlineStr">
        <is>
          <t>DB-1359</t>
        </is>
      </c>
      <c r="B1360" s="3" t="inlineStr">
        <is>
          <t>Flourless Chocolate Brownies with Black Beans</t>
        </is>
      </c>
      <c r="C1360" s="4" t="inlineStr">
        <is>
          <t>Dessert</t>
        </is>
      </c>
      <c r="D1360" s="4" t="inlineStr">
        <is>
          <t>American</t>
        </is>
      </c>
      <c r="E1360" s="2" t="n">
        <v>12</v>
      </c>
      <c r="F1360" s="2" t="n">
        <v>10</v>
      </c>
      <c r="G1360" s="2" t="n">
        <v>25</v>
      </c>
      <c r="H1360" s="2" t="n">
        <v>35</v>
      </c>
      <c r="I1360" s="4" t="inlineStr">
        <is>
          <t>flourless-chocolate-brownies-with-black-beans.jpg</t>
        </is>
      </c>
      <c r="J1360" s="3" t="inlineStr">
        <is>
          <t>Flourless Chocolate Brownies with Black Beans, healthy food photography, plated, natural light</t>
        </is>
      </c>
      <c r="K1360" s="4" t="inlineStr"/>
      <c r="L1360" s="3" t="inlineStr">
        <is>
          <t>Black beans, cooked — 400 g (14.1 oz)
Egg, large (50 g each) — 150 g (5.3 oz)
Cocoa powder, unsweetened — 40 g (1.4 oz)
White sugar — 40 g (1.4 oz)
Butter — 40 g (1.4 oz)
Vanilla extract — 5 g (0.2 oz)
Baking powder — 4 g (0.1 oz)
Stevia-sweetened dark chocolate chips — 40 g (1.4 oz)</t>
        </is>
      </c>
      <c r="M1360" s="4" t="inlineStr">
        <is>
          <t>[{"ingredient_id": "black_beans", "name": "Black beans, cooked", "grams": 400.0, "note": ""}, {"ingredient_id": "egg", "name": "Egg, large (50 g each)", "grams": 150.0, "note": ""}, {"ingredient_id": "cocoa_powder", "name": "Cocoa powder, unsweetened", "grams": 40.0, "note": ""}, {"ingredient_id": "sugar_white", "name": "White sugar", "grams": 40.0, "note": ""}, {"ingredient_id": "butter", "name": "Butter", "grams": 40.0, "note": ""}, {"ingredient_id": "vanilla_extract", "name": "Vanilla extract", "grams": 5.0, "note": ""}, {"ingredient_id": "baking_powder", "name": "Baking powder", "grams": 4.0, "note": ""}, {"ingredient_id": "sugar_free_chocolate_chips", "name": "Stevia-sweetened dark chocolate chips", "grams": 40.0, "note": ""}]</t>
        </is>
      </c>
      <c r="N1360" s="2" t="n">
        <v>124</v>
      </c>
      <c r="O1360" s="5" t="n">
        <v>5.4</v>
      </c>
      <c r="P1360" s="5" t="n">
        <v>5.9</v>
      </c>
      <c r="Q1360" s="5" t="n">
        <v>14.1</v>
      </c>
      <c r="R1360" s="5" t="n">
        <v>4.4</v>
      </c>
      <c r="S1360" s="5" t="n">
        <v>9.699999999999999</v>
      </c>
      <c r="T1360" s="2" t="n">
        <v>39</v>
      </c>
      <c r="U1360" s="2" t="inlineStr">
        <is>
          <t>low</t>
        </is>
      </c>
      <c r="V1360" s="5" t="n">
        <v>3.8</v>
      </c>
      <c r="W1360" s="2" t="inlineStr">
        <is>
          <t>low</t>
        </is>
      </c>
      <c r="X1360" s="3" t="inlineStr"/>
      <c r="Y1360" s="3" t="inlineStr">
        <is>
          <t>89% of this dish's available carbohydrate comes from ingredients with a published, measured GI; the rest uses conventional placeholders (see Ingredients sheet)</t>
        </is>
      </c>
      <c r="Z1360" s="2" t="n">
        <v>89</v>
      </c>
      <c r="AA1360" s="3" t="inlineStr">
        <is>
          <t>vegetarian, gluten-free, nut-free, low-carb</t>
        </is>
      </c>
      <c r="AB1360" s="3" t="inlineStr">
        <is>
          <t>1. Blend the beans, eggs, cocoa, sugar, butter, vanilla and baking powder until smooth.
2. Fold in the chocolate chips.
3. Bake in a lined pan at 350°F for 22 to 25 minutes and cool before cutting.</t>
        </is>
      </c>
      <c r="AC1360" s="4" t="inlineStr">
        <is>
          <t>["Blend the beans, eggs, cocoa, sugar, butter, vanilla and baking powder until smooth.", "Fold in the chocolate chips.", "Bake in a lined pan at 350°F for 22 to 25 minutes and cool before cutting."]</t>
        </is>
      </c>
    </row>
    <row r="1361" ht="96" customHeight="1">
      <c r="A1361" s="2" t="inlineStr">
        <is>
          <t>DB-1360</t>
        </is>
      </c>
      <c r="B1361" s="3" t="inlineStr">
        <is>
          <t>Oatmeal Cranberry Cookies</t>
        </is>
      </c>
      <c r="C1361" s="4" t="inlineStr">
        <is>
          <t>Dessert</t>
        </is>
      </c>
      <c r="D1361" s="4" t="inlineStr">
        <is>
          <t>American</t>
        </is>
      </c>
      <c r="E1361" s="2" t="n">
        <v>14</v>
      </c>
      <c r="F1361" s="2" t="n">
        <v>10</v>
      </c>
      <c r="G1361" s="2" t="n">
        <v>12</v>
      </c>
      <c r="H1361" s="2" t="n">
        <v>22</v>
      </c>
      <c r="I1361" s="4" t="inlineStr">
        <is>
          <t>oatmeal-cranberry-cookies.jpg</t>
        </is>
      </c>
      <c r="J1361" s="3" t="inlineStr">
        <is>
          <t>Oatmeal Cranberry Cookies, healthy food photography, plated, natural light</t>
        </is>
      </c>
      <c r="K1361" s="4" t="inlineStr"/>
      <c r="L1361" s="3" t="inlineStr">
        <is>
          <t>Rolled oats, dry — 150 g (5.3 oz)
Oat flour — 60 g (2.1 oz)
Butter — 50 g (1.8 oz)
Egg, large (50 g each) — 50 g (1.8 oz)
Cranberries, fresh — 40 g (1.4 oz)
Ground cinnamon — 3 g (0.1 oz)
White sugar — 25 g (0.9 oz)
Baking powder — 3 g (0.1 oz)
Vanilla extract — 4 g (0.1 oz)</t>
        </is>
      </c>
      <c r="M1361" s="4" t="inlineStr">
        <is>
          <t>[{"ingredient_id": "rolled_oats", "name": "Rolled oats, dry", "grams": 150.0, "note": ""}, {"ingredient_id": "oat_flour", "name": "Oat flour", "grams": 60.0, "note": ""}, {"ingredient_id": "butter", "name": "Butter", "grams": 50.0, "note": ""}, {"ingredient_id": "egg", "name": "Egg, large (50 g each)", "grams": 50.0, "note": ""}, {"ingredient_id": "cranberries", "name": "Cranberries, fresh", "grams": 40.0, "note": ""}, {"ingredient_id": "cinnamon", "name": "Ground cinnamon", "grams": 3.0, "note": ""}, {"ingredient_id": "sugar_white", "name": "White sugar", "grams": 25.0, "note": ""}, {"ingredient_id": "baking_powder", "name": "Baking powder", "grams": 3.0, "note": ""}, {"ingredient_id": "vanilla_extract", "name": "Vanilla extract", "grams": 4.0, "note": ""}]</t>
        </is>
      </c>
      <c r="N1361" s="2" t="n">
        <v>99</v>
      </c>
      <c r="O1361" s="5" t="n">
        <v>2.5</v>
      </c>
      <c r="P1361" s="5" t="n">
        <v>4.3</v>
      </c>
      <c r="Q1361" s="5" t="n">
        <v>12.5</v>
      </c>
      <c r="R1361" s="5" t="n">
        <v>1.6</v>
      </c>
      <c r="S1361" s="5" t="n">
        <v>10.9</v>
      </c>
      <c r="T1361" s="2" t="n">
        <v>56</v>
      </c>
      <c r="U1361" s="2" t="inlineStr">
        <is>
          <t>medium</t>
        </is>
      </c>
      <c r="V1361" s="5" t="n">
        <v>6.1</v>
      </c>
      <c r="W1361" s="2" t="inlineStr">
        <is>
          <t>low</t>
        </is>
      </c>
      <c r="X1361" s="3" t="inlineStr">
        <is>
          <t>Medium-GI dish: keep to the stated portion and pair with the protein/fat in the recipe; GL per serving is the better guide.</t>
        </is>
      </c>
      <c r="Y1361" s="3" t="inlineStr">
        <is>
          <t>73% of this dish's available carbohydrate comes from ingredients with a published, measured GI; the rest uses conventional placeholders (see Ingredients sheet)</t>
        </is>
      </c>
      <c r="Z1361" s="2" t="n">
        <v>73</v>
      </c>
      <c r="AA1361" s="3" t="inlineStr">
        <is>
          <t>vegetarian, nut-free, low-carb</t>
        </is>
      </c>
      <c r="AB1361" s="3" t="inlineStr">
        <is>
          <t>1. Cream the butter and sugar, beat in the egg and vanilla.
2. Mix in the oats, oat flour, baking powder, cinnamon and cranberries.
3. Scoop and bake at 350°F for 10 to 12 minutes.</t>
        </is>
      </c>
      <c r="AC1361" s="4" t="inlineStr">
        <is>
          <t>["Cream the butter and sugar, beat in the egg and vanilla.", "Mix in the oats, oat flour, baking powder, cinnamon and cranberries.", "Scoop and bake at 350°F for 10 to 12 minutes."]</t>
        </is>
      </c>
    </row>
    <row r="1362" ht="96" customHeight="1">
      <c r="A1362" s="2" t="inlineStr">
        <is>
          <t>DB-1361</t>
        </is>
      </c>
      <c r="B1362" s="3" t="inlineStr">
        <is>
          <t>Peanut Butter Chocolate No-Bake Bars</t>
        </is>
      </c>
      <c r="C1362" s="4" t="inlineStr">
        <is>
          <t>Dessert</t>
        </is>
      </c>
      <c r="D1362" s="4" t="inlineStr">
        <is>
          <t>American</t>
        </is>
      </c>
      <c r="E1362" s="2" t="n">
        <v>12</v>
      </c>
      <c r="F1362" s="2" t="n">
        <v>10</v>
      </c>
      <c r="G1362" s="2" t="n">
        <v>0</v>
      </c>
      <c r="H1362" s="2" t="n">
        <v>10</v>
      </c>
      <c r="I1362" s="4" t="inlineStr">
        <is>
          <t>peanut-butter-chocolate-no-bake-bars.jpg</t>
        </is>
      </c>
      <c r="J1362" s="3" t="inlineStr">
        <is>
          <t>Peanut Butter Chocolate No-Bake Bars, healthy food photography, plated, natural light</t>
        </is>
      </c>
      <c r="K1362" s="4" t="inlineStr"/>
      <c r="L1362" s="3" t="inlineStr">
        <is>
          <t>Rolled oats, dry — 120 g (4.2 oz)
Peanut butter, natural — 150 g (5.3 oz)
Dark chocolate 85% — 50 g (1.8 oz)
Chia seeds — 20 g (0.7 oz)
Vanilla extract — 4 g (0.1 oz)
Monk fruit/erythritol sweetener — 8 g (0.3 oz)</t>
        </is>
      </c>
      <c r="M1362" s="4" t="inlineStr">
        <is>
          <t>[{"ingredient_id": "rolled_oats", "name": "Rolled oats, dry", "grams": 120.0, "note": ""}, {"ingredient_id": "peanut_butter", "name": "Peanut butter, natural", "grams": 150.0, "note": ""}, {"ingredient_id": "dark_chocolate", "name": "Dark chocolate 85%", "grams": 50.0, "note": ""}, {"ingredient_id": "chia_seeds", "name": "Chia seeds", "grams": 20.0, "note": ""}, {"ingredient_id": "vanilla_extract", "name": "Vanilla extract", "grams": 4.0, "note": ""}, {"ingredient_id": "monk_fruit_sweetener", "name": "Monk fruit/erythritol sweetener", "grams": 8.0, "note": ""}]</t>
        </is>
      </c>
      <c r="N1362" s="2" t="n">
        <v>145</v>
      </c>
      <c r="O1362" s="5" t="n">
        <v>5.2</v>
      </c>
      <c r="P1362" s="5" t="n">
        <v>9.300000000000001</v>
      </c>
      <c r="Q1362" s="5" t="n">
        <v>11.3</v>
      </c>
      <c r="R1362" s="5" t="n">
        <v>2.8</v>
      </c>
      <c r="S1362" s="5" t="n">
        <v>8.5</v>
      </c>
      <c r="T1362" s="2" t="n">
        <v>44</v>
      </c>
      <c r="U1362" s="2" t="inlineStr">
        <is>
          <t>low</t>
        </is>
      </c>
      <c r="V1362" s="5" t="n">
        <v>3.7</v>
      </c>
      <c r="W1362" s="2" t="inlineStr">
        <is>
          <t>low</t>
        </is>
      </c>
      <c r="X1362" s="3" t="inlineStr"/>
      <c r="Y1362" s="3" t="inlineStr">
        <is>
          <t>77% of this dish's available carbohydrate comes from ingredients with a published, measured GI; the rest uses conventional placeholders (see Ingredients sheet)</t>
        </is>
      </c>
      <c r="Z1362" s="2" t="n">
        <v>77</v>
      </c>
      <c r="AA1362" s="3" t="inlineStr">
        <is>
          <t>vegan, dairy-free, low-carb, no-cook</t>
        </is>
      </c>
      <c r="AB1362" s="3" t="inlineStr">
        <is>
          <t>1. Warm the peanut butter and stir in oats, chia, vanilla and sweetener.
2. Press into a lined pan.
3. Melt the chocolate over the top and chill 1 hour.</t>
        </is>
      </c>
      <c r="AC1362" s="4" t="inlineStr">
        <is>
          <t>["Warm the peanut butter and stir in oats, chia, vanilla and sweetener.", "Press into a lined pan.", "Melt the chocolate over the top and chill 1 hour."]</t>
        </is>
      </c>
    </row>
    <row r="1363" ht="96" customHeight="1">
      <c r="A1363" s="2" t="inlineStr">
        <is>
          <t>DB-1362</t>
        </is>
      </c>
      <c r="B1363" s="3" t="inlineStr">
        <is>
          <t>Lemon Ricotta Cheesecake Cups</t>
        </is>
      </c>
      <c r="C1363" s="4" t="inlineStr">
        <is>
          <t>Dessert</t>
        </is>
      </c>
      <c r="D1363" s="4" t="inlineStr">
        <is>
          <t>American</t>
        </is>
      </c>
      <c r="E1363" s="2" t="n">
        <v>6</v>
      </c>
      <c r="F1363" s="2" t="n">
        <v>10</v>
      </c>
      <c r="G1363" s="2" t="n">
        <v>0</v>
      </c>
      <c r="H1363" s="2" t="n">
        <v>10</v>
      </c>
      <c r="I1363" s="4" t="inlineStr">
        <is>
          <t>lemon-ricotta-cheesecake-cups.jpg</t>
        </is>
      </c>
      <c r="J1363" s="3" t="inlineStr">
        <is>
          <t>Lemon Ricotta Cheesecake Cups, healthy food photography, plated, natural light</t>
        </is>
      </c>
      <c r="K1363" s="4" t="inlineStr"/>
      <c r="L1363" s="3" t="inlineStr">
        <is>
          <t>Ricotta, part-skim — 300 g (10.6 oz)
Greek yogurt, plain 2% — 150 g (5.3 oz)
Lemon juice — 30 g (1.1 oz)
Vanilla extract — 4 g (0.1 oz)
Monk fruit/erythritol sweetener — 10 g (0.4 oz)
Blueberries — 100 g (3.5 oz)</t>
        </is>
      </c>
      <c r="M1363" s="4" t="inlineStr">
        <is>
          <t>[{"ingredient_id": "ricotta", "name": "Ricotta, part-skim", "grams": 300.0, "note": ""}, {"ingredient_id": "greek_yogurt", "name": "Greek yogurt, plain 2%", "grams": 150.0, "note": ""}, {"ingredient_id": "lemon_juice", "name": "Lemon juice", "grams": 30.0, "note": ""}, {"ingredient_id": "vanilla_extract", "name": "Vanilla extract", "grams": 4.0, "note": ""}, {"ingredient_id": "monk_fruit_sweetener", "name": "Monk fruit/erythritol sweetener", "grams": 10.0, "note": ""}, {"ingredient_id": "blueberries", "name": "Blueberries", "grams": 100.0, "note": ""}]</t>
        </is>
      </c>
      <c r="N1363" s="2" t="n">
        <v>100</v>
      </c>
      <c r="O1363" s="5" t="n">
        <v>8.1</v>
      </c>
      <c r="P1363" s="5" t="n">
        <v>4.6</v>
      </c>
      <c r="Q1363" s="5" t="n">
        <v>6.3</v>
      </c>
      <c r="R1363" s="5" t="n">
        <v>0.4</v>
      </c>
      <c r="S1363" s="5" t="n">
        <v>5.9</v>
      </c>
      <c r="T1363" s="2" t="n">
        <v>27</v>
      </c>
      <c r="U1363" s="2" t="inlineStr">
        <is>
          <t>low</t>
        </is>
      </c>
      <c r="V1363" s="5" t="n">
        <v>1.6</v>
      </c>
      <c r="W1363" s="2" t="inlineStr">
        <is>
          <t>low</t>
        </is>
      </c>
      <c r="X1363" s="3" t="inlineStr"/>
      <c r="Y1363" s="3" t="inlineStr">
        <is>
          <t>51% of this dish's available carbohydrate comes from ingredients with a published, measured GI; the rest uses conventional placeholders (see Ingredients sheet)</t>
        </is>
      </c>
      <c r="Z1363" s="2" t="n">
        <v>51</v>
      </c>
      <c r="AA1363" s="3" t="inlineStr">
        <is>
          <t>vegetarian, gluten-free, nut-free, low-carb, no-cook</t>
        </is>
      </c>
      <c r="AB1363" s="3" t="inlineStr">
        <is>
          <t>1. Whip the ricotta, yogurt, lemon juice, vanilla and sweetener until smooth.
2. Spoon into cups and chill 2 hours.
3. Top with blueberries.</t>
        </is>
      </c>
      <c r="AC1363" s="4" t="inlineStr">
        <is>
          <t>["Whip the ricotta, yogurt, lemon juice, vanilla and sweetener until smooth.", "Spoon into cups and chill 2 hours.", "Top with blueberries."]</t>
        </is>
      </c>
    </row>
    <row r="1364" ht="96" customHeight="1">
      <c r="A1364" s="2" t="inlineStr">
        <is>
          <t>DB-1363</t>
        </is>
      </c>
      <c r="B1364" s="3" t="inlineStr">
        <is>
          <t>New York-Style Crustless Cheesecake</t>
        </is>
      </c>
      <c r="C1364" s="4" t="inlineStr">
        <is>
          <t>Dessert</t>
        </is>
      </c>
      <c r="D1364" s="4" t="inlineStr">
        <is>
          <t>American</t>
        </is>
      </c>
      <c r="E1364" s="2" t="n">
        <v>10</v>
      </c>
      <c r="F1364" s="2" t="n">
        <v>15</v>
      </c>
      <c r="G1364" s="2" t="n">
        <v>50</v>
      </c>
      <c r="H1364" s="2" t="n">
        <v>65</v>
      </c>
      <c r="I1364" s="4" t="inlineStr">
        <is>
          <t>new-york-style-crustless-cheesecake.jpg</t>
        </is>
      </c>
      <c r="J1364" s="3" t="inlineStr">
        <is>
          <t>New York-Style Crustless Cheesecake, healthy food photography, plated, natural light</t>
        </is>
      </c>
      <c r="K1364" s="4" t="inlineStr"/>
      <c r="L1364" s="3" t="inlineStr">
        <is>
          <t>Cream cheese — 450 g (15.9 oz)
Greek yogurt, plain 2% — 200 g (7.1 oz)
Egg, large (50 g each) — 150 g (5.3 oz)
White sugar — 40 g (1.4 oz)
Vanilla extract — 6 g (0.2 oz)
Lemon juice — 15 g (0.5 oz)</t>
        </is>
      </c>
      <c r="M1364" s="4" t="inlineStr">
        <is>
          <t>[{"ingredient_id": "cream_cheese", "name": "Cream cheese", "grams": 450.0, "note": ""}, {"ingredient_id": "greek_yogurt", "name": "Greek yogurt, plain 2%", "grams": 200.0, "note": ""}, {"ingredient_id": "egg", "name": "Egg, large (50 g each)", "grams": 150.0, "note": ""}, {"ingredient_id": "sugar_white", "name": "White sugar", "grams": 40.0, "note": ""}, {"ingredient_id": "vanilla_extract", "name": "Vanilla extract", "grams": 6.0, "note": ""}, {"ingredient_id": "lemon_juice", "name": "Lemon juice", "grams": 15.0, "note": ""}]</t>
        </is>
      </c>
      <c r="N1364" s="2" t="n">
        <v>208</v>
      </c>
      <c r="O1364" s="5" t="n">
        <v>6.6</v>
      </c>
      <c r="P1364" s="5" t="n">
        <v>17.1</v>
      </c>
      <c r="Q1364" s="5" t="n">
        <v>6.9</v>
      </c>
      <c r="R1364" s="5" t="n">
        <v>0</v>
      </c>
      <c r="S1364" s="5" t="n">
        <v>6.9</v>
      </c>
      <c r="T1364" s="2" t="n">
        <v>38</v>
      </c>
      <c r="U1364" s="2" t="inlineStr">
        <is>
          <t>low</t>
        </is>
      </c>
      <c r="V1364" s="5" t="n">
        <v>2.6</v>
      </c>
      <c r="W1364" s="2" t="inlineStr">
        <is>
          <t>low</t>
        </is>
      </c>
      <c r="X1364" s="3" t="inlineStr"/>
      <c r="Y1364" s="3" t="inlineStr">
        <is>
          <t>70% of this dish's available carbohydrate comes from ingredients with a published, measured GI; the rest uses conventional placeholders (see Ingredients sheet)</t>
        </is>
      </c>
      <c r="Z1364" s="2" t="n">
        <v>70</v>
      </c>
      <c r="AA1364" s="3" t="inlineStr">
        <is>
          <t>vegetarian, gluten-free, nut-free, low-carb</t>
        </is>
      </c>
      <c r="AB1364" s="3" t="inlineStr">
        <is>
          <t>1. Beat the cream cheese, yogurt, sugar, vanilla and lemon until smooth, then the eggs.
2. Pour into a greased pan set in a water bath.
3. Bake at 325°F for 45 to 50 minutes and chill overnight.</t>
        </is>
      </c>
      <c r="AC1364" s="4" t="inlineStr">
        <is>
          <t>["Beat the cream cheese, yogurt, sugar, vanilla and lemon until smooth, then the eggs.", "Pour into a greased pan set in a water bath.", "Bake at 325°F for 45 to 50 minutes and chill overnight."]</t>
        </is>
      </c>
    </row>
    <row r="1365" ht="96" customHeight="1">
      <c r="A1365" s="2" t="inlineStr">
        <is>
          <t>DB-1364</t>
        </is>
      </c>
      <c r="B1365" s="3" t="inlineStr">
        <is>
          <t>Berry Cobbler with Oat Topping</t>
        </is>
      </c>
      <c r="C1365" s="4" t="inlineStr">
        <is>
          <t>Dessert</t>
        </is>
      </c>
      <c r="D1365" s="4" t="inlineStr">
        <is>
          <t>American</t>
        </is>
      </c>
      <c r="E1365" s="2" t="n">
        <v>8</v>
      </c>
      <c r="F1365" s="2" t="n">
        <v>15</v>
      </c>
      <c r="G1365" s="2" t="n">
        <v>35</v>
      </c>
      <c r="H1365" s="2" t="n">
        <v>50</v>
      </c>
      <c r="I1365" s="4" t="inlineStr">
        <is>
          <t>berry-cobbler-with-oat-topping.jpg</t>
        </is>
      </c>
      <c r="J1365" s="3" t="inlineStr">
        <is>
          <t>Berry Cobbler with Oat Topping, healthy food photography, plated, natural light</t>
        </is>
      </c>
      <c r="K1365" s="4" t="inlineStr"/>
      <c r="L1365" s="3" t="inlineStr">
        <is>
          <t>Mixed berries, frozen — 600 g (21.2 oz)
Rolled oats, dry — 100 g (3.5 oz)
Almond flour — 60 g (2.1 oz)
Butter — 40 g (1.4 oz)
Ground cinnamon — 3 g (0.1 oz)
White sugar — 20 g (0.7 oz)
Lemon juice — 10 g (0.4 oz)</t>
        </is>
      </c>
      <c r="M1365" s="4" t="inlineStr">
        <is>
          <t>[{"ingredient_id": "mixed_berries", "name": "Mixed berries, frozen", "grams": 600.0, "note": ""}, {"ingredient_id": "rolled_oats", "name": "Rolled oats, dry", "grams": 100.0, "note": ""}, {"ingredient_id": "almond_flour", "name": "Almond flour", "grams": 60.0, "note": ""}, {"ingredient_id": "butter", "name": "Butter", "grams": 40.0, "note": ""}, {"ingredient_id": "cinnamon", "name": "Ground cinnamon", "grams": 3.0, "note": ""}, {"ingredient_id": "sugar_white", "name": "White sugar", "grams": 20.0, "note": ""}, {"ingredient_id": "lemon_juice", "name": "Lemon juice", "grams": 10.0, "note": ""}]</t>
        </is>
      </c>
      <c r="N1365" s="2" t="n">
        <v>172</v>
      </c>
      <c r="O1365" s="5" t="n">
        <v>3.9</v>
      </c>
      <c r="P1365" s="5" t="n">
        <v>8.9</v>
      </c>
      <c r="Q1365" s="5" t="n">
        <v>21.2</v>
      </c>
      <c r="R1365" s="5" t="n">
        <v>5.4</v>
      </c>
      <c r="S1365" s="5" t="n">
        <v>15.9</v>
      </c>
      <c r="T1365" s="2" t="n">
        <v>50</v>
      </c>
      <c r="U1365" s="2" t="inlineStr">
        <is>
          <t>low</t>
        </is>
      </c>
      <c r="V1365" s="5" t="n">
        <v>7.9</v>
      </c>
      <c r="W1365" s="2" t="inlineStr">
        <is>
          <t>low</t>
        </is>
      </c>
      <c r="X1365" s="3" t="inlineStr"/>
      <c r="Y1365" s="3" t="inlineStr">
        <is>
          <t>61% of this dish's available carbohydrate comes from ingredients with a published, measured GI; the rest uses conventional placeholders (see Ingredients sheet)</t>
        </is>
      </c>
      <c r="Z1365" s="2" t="n">
        <v>61</v>
      </c>
      <c r="AA1365" s="3" t="inlineStr">
        <is>
          <t>vegetarian</t>
        </is>
      </c>
      <c r="AB1365" s="3" t="inlineStr">
        <is>
          <t>1. Toss the berries with lemon and half the sugar in a baking dish.
2. Rub the oats, almond flour, butter, cinnamon and remaining sugar into a crumble.
3. Cover the berries and bake at 350°F for 30 to 35 minutes.</t>
        </is>
      </c>
      <c r="AC1365" s="4" t="inlineStr">
        <is>
          <t>["Toss the berries with lemon and half the sugar in a baking dish.", "Rub the oats, almond flour, butter, cinnamon and remaining sugar into a crumble.", "Cover the berries and bake at 350°F for 30 to 35 minutes."]</t>
        </is>
      </c>
    </row>
    <row r="1366" ht="96" customHeight="1">
      <c r="A1366" s="2" t="inlineStr">
        <is>
          <t>DB-1365</t>
        </is>
      </c>
      <c r="B1366" s="3" t="inlineStr">
        <is>
          <t>Peach Crisp with Pecans</t>
        </is>
      </c>
      <c r="C1366" s="4" t="inlineStr">
        <is>
          <t>Dessert</t>
        </is>
      </c>
      <c r="D1366" s="4" t="inlineStr">
        <is>
          <t>American</t>
        </is>
      </c>
      <c r="E1366" s="2" t="n">
        <v>8</v>
      </c>
      <c r="F1366" s="2" t="n">
        <v>15</v>
      </c>
      <c r="G1366" s="2" t="n">
        <v>35</v>
      </c>
      <c r="H1366" s="2" t="n">
        <v>50</v>
      </c>
      <c r="I1366" s="4" t="inlineStr">
        <is>
          <t>peach-crisp-with-pecans.jpg</t>
        </is>
      </c>
      <c r="J1366" s="3" t="inlineStr">
        <is>
          <t>Peach Crisp with Pecans, healthy food photography, plated, natural light</t>
        </is>
      </c>
      <c r="K1366" s="4" t="inlineStr"/>
      <c r="L1366" s="3" t="inlineStr">
        <is>
          <t>Peach — 700 g (24.7 oz)
Rolled oats, dry — 90 g (3.2 oz)
Pecans — 40 g (1.4 oz)
Butter — 35 g (1.2 oz)
Ground cinnamon — 3 g (0.1 oz)
White sugar — 20 g (0.7 oz)</t>
        </is>
      </c>
      <c r="M1366" s="4" t="inlineStr">
        <is>
          <t>[{"ingredient_id": "peach", "name": "Peach", "grams": 700.0, "note": ""}, {"ingredient_id": "rolled_oats", "name": "Rolled oats, dry", "grams": 90.0, "note": ""}, {"ingredient_id": "pecans", "name": "Pecans", "grams": 40.0, "note": ""}, {"ingredient_id": "butter", "name": "Butter", "grams": 35.0, "note": ""}, {"ingredient_id": "cinnamon", "name": "Ground cinnamon", "grams": 3.0, "note": ""}, {"ingredient_id": "sugar_white", "name": "White sugar", "grams": 20.0, "note": ""}]</t>
        </is>
      </c>
      <c r="N1366" s="2" t="n">
        <v>154</v>
      </c>
      <c r="O1366" s="5" t="n">
        <v>2.8</v>
      </c>
      <c r="P1366" s="5" t="n">
        <v>8.1</v>
      </c>
      <c r="Q1366" s="5" t="n">
        <v>19.5</v>
      </c>
      <c r="R1366" s="5" t="n">
        <v>3.1</v>
      </c>
      <c r="S1366" s="5" t="n">
        <v>16.3</v>
      </c>
      <c r="T1366" s="2" t="n">
        <v>57</v>
      </c>
      <c r="U1366" s="2" t="inlineStr">
        <is>
          <t>medium</t>
        </is>
      </c>
      <c r="V1366" s="5" t="n">
        <v>9.300000000000001</v>
      </c>
      <c r="W1366" s="2" t="inlineStr">
        <is>
          <t>low</t>
        </is>
      </c>
      <c r="X1366" s="3" t="inlineStr">
        <is>
          <t>Medium-GI dish: keep to the stated portion and pair with the protein/fat in the recipe; GL per serving is the better guide.</t>
        </is>
      </c>
      <c r="Y1366" s="3" t="inlineStr">
        <is>
          <t>98% of this dish's available carbohydrate comes from ingredients with a published, measured GI; the rest uses conventional placeholders (see Ingredients sheet)</t>
        </is>
      </c>
      <c r="Z1366" s="2" t="n">
        <v>98</v>
      </c>
      <c r="AA1366" s="3" t="inlineStr">
        <is>
          <t>vegetarian</t>
        </is>
      </c>
      <c r="AB1366" s="3" t="inlineStr">
        <is>
          <t>1. Slice the peaches into a dish.
2. Rub the oats, pecans, butter, cinnamon and sugar into a crumble and spread on top.
3. Bake at 350°F for 30 to 35 minutes.</t>
        </is>
      </c>
      <c r="AC1366" s="4" t="inlineStr">
        <is>
          <t>["Slice the peaches into a dish.", "Rub the oats, pecans, butter, cinnamon and sugar into a crumble and spread on top.", "Bake at 350°F for 30 to 35 minutes."]</t>
        </is>
      </c>
    </row>
    <row r="1367" ht="96" customHeight="1">
      <c r="A1367" s="2" t="inlineStr">
        <is>
          <t>DB-1366</t>
        </is>
      </c>
      <c r="B1367" s="3" t="inlineStr">
        <is>
          <t>Baked Pears with Walnuts and Cinnamon</t>
        </is>
      </c>
      <c r="C1367" s="4" t="inlineStr">
        <is>
          <t>Dessert</t>
        </is>
      </c>
      <c r="D1367" s="4" t="inlineStr">
        <is>
          <t>American</t>
        </is>
      </c>
      <c r="E1367" s="2" t="n">
        <v>4</v>
      </c>
      <c r="F1367" s="2" t="n">
        <v>10</v>
      </c>
      <c r="G1367" s="2" t="n">
        <v>30</v>
      </c>
      <c r="H1367" s="2" t="n">
        <v>40</v>
      </c>
      <c r="I1367" s="4" t="inlineStr">
        <is>
          <t>baked-pears-with-walnuts-and-cinnamon.jpg</t>
        </is>
      </c>
      <c r="J1367" s="3" t="inlineStr">
        <is>
          <t>Baked Pears with Walnuts and Cinnamon, healthy food photography, plated, natural light</t>
        </is>
      </c>
      <c r="K1367" s="4" t="inlineStr"/>
      <c r="L1367" s="3" t="inlineStr">
        <is>
          <t>Pear — 600 g (21.2 oz)
Walnuts — 40 g (1.4 oz)
Ground cinnamon — 3 g (0.1 oz)
Butter — 15 g (0.5 oz)
Vanilla extract — 3 g (0.1 oz)
Greek yogurt, plain 2% — 120 g (4.2 oz)</t>
        </is>
      </c>
      <c r="M1367" s="4" t="inlineStr">
        <is>
          <t>[{"ingredient_id": "pear", "name": "Pear", "grams": 600.0, "note": ""}, {"ingredient_id": "walnuts", "name": "Walnuts", "grams": 40.0, "note": ""}, {"ingredient_id": "cinnamon", "name": "Ground cinnamon", "grams": 3.0, "note": ""}, {"ingredient_id": "butter", "name": "Butter", "grams": 15.0, "note": ""}, {"ingredient_id": "vanilla_extract", "name": "Vanilla extract", "grams": 3.0, "note": ""}, {"ingredient_id": "greek_yogurt", "name": "Greek yogurt, plain 2%", "grams": 120.0, "note": ""}]</t>
        </is>
      </c>
      <c r="N1367" s="2" t="n">
        <v>204</v>
      </c>
      <c r="O1367" s="5" t="n">
        <v>5.2</v>
      </c>
      <c r="P1367" s="5" t="n">
        <v>10.3</v>
      </c>
      <c r="Q1367" s="5" t="n">
        <v>25.8</v>
      </c>
      <c r="R1367" s="5" t="n">
        <v>5.7</v>
      </c>
      <c r="S1367" s="5" t="n">
        <v>20.1</v>
      </c>
      <c r="T1367" s="2" t="n">
        <v>26</v>
      </c>
      <c r="U1367" s="2" t="inlineStr">
        <is>
          <t>low</t>
        </is>
      </c>
      <c r="V1367" s="5" t="n">
        <v>5.2</v>
      </c>
      <c r="W1367" s="2" t="inlineStr">
        <is>
          <t>low</t>
        </is>
      </c>
      <c r="X1367" s="3" t="inlineStr"/>
      <c r="Y1367" s="3" t="inlineStr">
        <is>
          <t>95% of this dish's available carbohydrate comes from ingredients with a published, measured GI; the rest uses conventional placeholders (see Ingredients sheet)</t>
        </is>
      </c>
      <c r="Z1367" s="2" t="n">
        <v>95</v>
      </c>
      <c r="AA1367" s="3" t="inlineStr">
        <is>
          <t>vegetarian, gluten-free</t>
        </is>
      </c>
      <c r="AB1367" s="3" t="inlineStr">
        <is>
          <t>1. Halve and core the pears.
2. Fill with walnuts, cinnamon and butter.
3. Bake at 375°F for 25 to 30 minutes and serve with yogurt.</t>
        </is>
      </c>
      <c r="AC1367" s="4" t="inlineStr">
        <is>
          <t>["Halve and core the pears.", "Fill with walnuts, cinnamon and butter.", "Bake at 375°F for 25 to 30 minutes and serve with yogurt."]</t>
        </is>
      </c>
    </row>
    <row r="1368" ht="96" customHeight="1">
      <c r="A1368" s="2" t="inlineStr">
        <is>
          <t>DB-1367</t>
        </is>
      </c>
      <c r="B1368" s="3" t="inlineStr">
        <is>
          <t>Chocolate Peanut Butter Protein Pudding</t>
        </is>
      </c>
      <c r="C1368" s="4" t="inlineStr">
        <is>
          <t>Dessert</t>
        </is>
      </c>
      <c r="D1368" s="4" t="inlineStr">
        <is>
          <t>American</t>
        </is>
      </c>
      <c r="E1368" s="2" t="n">
        <v>3</v>
      </c>
      <c r="F1368" s="2" t="n">
        <v>5</v>
      </c>
      <c r="G1368" s="2" t="n">
        <v>0</v>
      </c>
      <c r="H1368" s="2" t="n">
        <v>5</v>
      </c>
      <c r="I1368" s="4" t="inlineStr">
        <is>
          <t>chocolate-peanut-butter-protein-pudding.jpg</t>
        </is>
      </c>
      <c r="J1368" s="3" t="inlineStr">
        <is>
          <t>Chocolate Peanut Butter Protein Pudding, healthy food photography, plated, natural light</t>
        </is>
      </c>
      <c r="K1368" s="4" t="inlineStr"/>
      <c r="L1368" s="3" t="inlineStr">
        <is>
          <t>Greek yogurt, plain 2% — 300 g (10.6 oz)
Cocoa powder, unsweetened — 15 g (0.5 oz)
Peanut butter, natural — 30 g (1.1 oz)
Monk fruit/erythritol sweetener — 6 g (0.2 oz)
Vanilla extract — 3 g (0.1 oz)</t>
        </is>
      </c>
      <c r="M1368" s="4" t="inlineStr">
        <is>
          <t>[{"ingredient_id": "greek_yogurt", "name": "Greek yogurt, plain 2%", "grams": 300.0, "note": ""}, {"ingredient_id": "cocoa_powder", "name": "Cocoa powder, unsweetened", "grams": 15.0, "note": ""}, {"ingredient_id": "peanut_butter", "name": "Peanut butter, natural", "grams": 30.0, "note": ""}, {"ingredient_id": "monk_fruit_sweetener", "name": "Monk fruit/erythritol sweetener", "grams": 6.0, "note": ""}, {"ingredient_id": "vanilla_extract", "name": "Vanilla extract", "grams": 3.0, "note": ""}]</t>
        </is>
      </c>
      <c r="N1368" s="2" t="n">
        <v>146</v>
      </c>
      <c r="O1368" s="5" t="n">
        <v>13.5</v>
      </c>
      <c r="P1368" s="5" t="n">
        <v>7.7</v>
      </c>
      <c r="Q1368" s="5" t="n">
        <v>9</v>
      </c>
      <c r="R1368" s="5" t="n">
        <v>2.2</v>
      </c>
      <c r="S1368" s="5" t="n">
        <v>6.8</v>
      </c>
      <c r="T1368" s="2" t="n">
        <v>13</v>
      </c>
      <c r="U1368" s="2" t="inlineStr">
        <is>
          <t>low</t>
        </is>
      </c>
      <c r="V1368" s="5" t="n">
        <v>0.9</v>
      </c>
      <c r="W1368" s="2" t="inlineStr">
        <is>
          <t>low</t>
        </is>
      </c>
      <c r="X1368" s="3" t="inlineStr"/>
      <c r="Y1368" s="3" t="inlineStr">
        <is>
          <t>59% of this dish's available carbohydrate comes from ingredients with a published, measured GI; the rest uses conventional placeholders (see Ingredients sheet)</t>
        </is>
      </c>
      <c r="Z1368" s="2" t="n">
        <v>59</v>
      </c>
      <c r="AA1368" s="3" t="inlineStr">
        <is>
          <t>vegetarian, gluten-free, low-carb, no-cook</t>
        </is>
      </c>
      <c r="AB1368" s="3" t="inlineStr">
        <is>
          <t>1. Whisk everything until smooth.
2. Chill 30 minutes.</t>
        </is>
      </c>
      <c r="AC1368" s="4" t="inlineStr">
        <is>
          <t>["Whisk everything until smooth.", "Chill 30 minutes."]</t>
        </is>
      </c>
    </row>
    <row r="1369" ht="96" customHeight="1">
      <c r="A1369" s="2" t="inlineStr">
        <is>
          <t>DB-1368</t>
        </is>
      </c>
      <c r="B1369" s="3" t="inlineStr">
        <is>
          <t>Vanilla Panna Cotta with Berry Compote</t>
        </is>
      </c>
      <c r="C1369" s="4" t="inlineStr">
        <is>
          <t>Dessert</t>
        </is>
      </c>
      <c r="D1369" s="4" t="inlineStr">
        <is>
          <t>Italian</t>
        </is>
      </c>
      <c r="E1369" s="2" t="n">
        <v>6</v>
      </c>
      <c r="F1369" s="2" t="n">
        <v>10</v>
      </c>
      <c r="G1369" s="2" t="n">
        <v>10</v>
      </c>
      <c r="H1369" s="2" t="n">
        <v>20</v>
      </c>
      <c r="I1369" s="4" t="inlineStr">
        <is>
          <t>vanilla-panna-cotta-with-berry-compote.jpg</t>
        </is>
      </c>
      <c r="J1369" s="3" t="inlineStr">
        <is>
          <t>Vanilla Panna Cotta with Berry Compote, healthy food photography, plated, natural light</t>
        </is>
      </c>
      <c r="K1369" s="4" t="inlineStr"/>
      <c r="L1369" s="3" t="inlineStr">
        <is>
          <t>Milk, 2% — 300 g (10.6 oz)
Heavy cream — 200 g (7.1 oz)
Unflavored gelatin — 8 g (0.3 oz)
Vanilla extract — 6 g (0.2 oz)
Monk fruit/erythritol sweetener — 10 g (0.4 oz)
Mixed berries, frozen — 200 g (7.1 oz)</t>
        </is>
      </c>
      <c r="M1369" s="4" t="inlineStr">
        <is>
          <t>[{"ingredient_id": "milk", "name": "Milk, 2%", "grams": 300.0, "note": ""}, {"ingredient_id": "heavy_cream", "name": "Heavy cream", "grams": 200.0, "note": ""}, {"ingredient_id": "gelatin", "name": "Unflavored gelatin", "grams": 8.0, "note": ""}, {"ingredient_id": "vanilla_extract", "name": "Vanilla extract", "grams": 6.0, "note": ""}, {"ingredient_id": "monk_fruit_sweetener", "name": "Monk fruit/erythritol sweetener", "grams": 10.0, "note": ""}, {"ingredient_id": "mixed_berries", "name": "Mixed berries, frozen", "grams": 200.0, "note": ""}]</t>
        </is>
      </c>
      <c r="N1369" s="2" t="n">
        <v>161</v>
      </c>
      <c r="O1369" s="5" t="n">
        <v>3.7</v>
      </c>
      <c r="P1369" s="5" t="n">
        <v>13.1</v>
      </c>
      <c r="Q1369" s="5" t="n">
        <v>7.2</v>
      </c>
      <c r="R1369" s="5" t="n">
        <v>1.3</v>
      </c>
      <c r="S1369" s="5" t="n">
        <v>5.9</v>
      </c>
      <c r="T1369" s="2" t="n">
        <v>27</v>
      </c>
      <c r="U1369" s="2" t="inlineStr">
        <is>
          <t>low</t>
        </is>
      </c>
      <c r="V1369" s="5" t="n">
        <v>1.6</v>
      </c>
      <c r="W1369" s="2" t="inlineStr">
        <is>
          <t>low</t>
        </is>
      </c>
      <c r="X1369" s="3" t="inlineStr"/>
      <c r="Y1369" s="3" t="inlineStr">
        <is>
          <t>41% of this dish's available carbohydrate comes from ingredients with a published, measured GI; the rest uses conventional placeholders (see Ingredients sheet)</t>
        </is>
      </c>
      <c r="Z1369" s="2" t="n">
        <v>41</v>
      </c>
      <c r="AA1369" s="3" t="inlineStr">
        <is>
          <t>vegetarian, gluten-free, nut-free, low-carb</t>
        </is>
      </c>
      <c r="AB1369" s="3" t="inlineStr">
        <is>
          <t>1. Bloom the gelatin in a little milk.
2. Warm the milk, cream, vanilla and sweetener and stir in the gelatin.
3. Pour into cups and chill 4 hours.
4. Simmer the berries briefly and spoon over.</t>
        </is>
      </c>
      <c r="AC1369" s="4" t="inlineStr">
        <is>
          <t>["Bloom the gelatin in a little milk.", "Warm the milk, cream, vanilla and sweetener and stir in the gelatin.", "Pour into cups and chill 4 hours.", "Simmer the berries briefly and spoon over."]</t>
        </is>
      </c>
    </row>
    <row r="1370" ht="96" customHeight="1">
      <c r="A1370" s="2" t="inlineStr">
        <is>
          <t>DB-1369</t>
        </is>
      </c>
      <c r="B1370" s="3" t="inlineStr">
        <is>
          <t>Coconut Macaroons without Added Sugar</t>
        </is>
      </c>
      <c r="C1370" s="4" t="inlineStr">
        <is>
          <t>Dessert</t>
        </is>
      </c>
      <c r="D1370" s="4" t="inlineStr">
        <is>
          <t>American</t>
        </is>
      </c>
      <c r="E1370" s="2" t="n">
        <v>12</v>
      </c>
      <c r="F1370" s="2" t="n">
        <v>10</v>
      </c>
      <c r="G1370" s="2" t="n">
        <v>15</v>
      </c>
      <c r="H1370" s="2" t="n">
        <v>25</v>
      </c>
      <c r="I1370" s="4" t="inlineStr">
        <is>
          <t>coconut-macaroons-without-added-sugar.jpg</t>
        </is>
      </c>
      <c r="J1370" s="3" t="inlineStr">
        <is>
          <t>Coconut Macaroons without Added Sugar, healthy food photography, plated, natural light</t>
        </is>
      </c>
      <c r="K1370" s="4" t="inlineStr"/>
      <c r="L1370" s="3" t="inlineStr">
        <is>
          <t>Coconut, unsweetened shredded — 150 g (5.3 oz)
Egg whites — 100 g (3.5 oz)
Monk fruit/erythritol sweetener — 15 g (0.5 oz)
Vanilla extract — 4 g (0.1 oz)
Salt — 1 g (0.0 oz)</t>
        </is>
      </c>
      <c r="M1370" s="4" t="inlineStr">
        <is>
          <t>[{"ingredient_id": "coconut_shredded", "name": "Coconut, unsweetened shredded", "grams": 150.0, "note": ""}, {"ingredient_id": "egg_white", "name": "Egg whites", "grams": 100.0, "note": ""}, {"ingredient_id": "monk_fruit_sweetener", "name": "Monk fruit/erythritol sweetener", "grams": 15.0, "note": ""}, {"ingredient_id": "vanilla_extract", "name": "Vanilla extract", "grams": 4.0, "note": ""}, {"ingredient_id": "salt", "name": "Salt", "grams": 1.0, "note": ""}]</t>
        </is>
      </c>
      <c r="N1370" s="2" t="n">
        <v>88</v>
      </c>
      <c r="O1370" s="5" t="n">
        <v>1.8</v>
      </c>
      <c r="P1370" s="5" t="n">
        <v>8.1</v>
      </c>
      <c r="Q1370" s="5" t="n">
        <v>3.1</v>
      </c>
      <c r="R1370" s="5" t="n">
        <v>2</v>
      </c>
      <c r="S1370" s="5" t="n">
        <v>1.1</v>
      </c>
      <c r="T1370" s="2" t="n">
        <v>41</v>
      </c>
      <c r="U1370" s="2" t="inlineStr">
        <is>
          <t>low</t>
        </is>
      </c>
      <c r="V1370" s="5" t="n">
        <v>0.5</v>
      </c>
      <c r="W1370" s="2" t="inlineStr">
        <is>
          <t>low</t>
        </is>
      </c>
      <c r="X1370" s="3" t="inlineStr">
        <is>
          <t>Negligible carbohydrate (&lt;5 g net/serving): GI has little practical meaning, glycemic load is what matters.</t>
        </is>
      </c>
      <c r="Y1370" s="3" t="inlineStr">
        <is>
          <t>0% of this dish's available carbohydrate comes from ingredients with a published, measured GI; the rest uses conventional placeholders (see Ingredients sheet)</t>
        </is>
      </c>
      <c r="Z1370" s="2" t="n">
        <v>0</v>
      </c>
      <c r="AA1370" s="3" t="inlineStr">
        <is>
          <t>vegetarian, gluten-free, dairy-free, nut-free, low-carb</t>
        </is>
      </c>
      <c r="AB1370" s="3" t="inlineStr">
        <is>
          <t>1. Mix everything.
2. Scoop twelve mounds onto a lined tray.
3. Bake at 325°F for 15 minutes.</t>
        </is>
      </c>
      <c r="AC1370" s="4" t="inlineStr">
        <is>
          <t>["Mix everything.", "Scoop twelve mounds onto a lined tray.", "Bake at 325°F for 15 minutes."]</t>
        </is>
      </c>
    </row>
    <row r="1371" ht="96" customHeight="1">
      <c r="A1371" s="2" t="inlineStr">
        <is>
          <t>DB-1370</t>
        </is>
      </c>
      <c r="B1371" s="3" t="inlineStr">
        <is>
          <t>Pumpkin Spice Muffins with Oat Flour</t>
        </is>
      </c>
      <c r="C1371" s="4" t="inlineStr">
        <is>
          <t>Dessert</t>
        </is>
      </c>
      <c r="D1371" s="4" t="inlineStr">
        <is>
          <t>American</t>
        </is>
      </c>
      <c r="E1371" s="2" t="n">
        <v>10</v>
      </c>
      <c r="F1371" s="2" t="n">
        <v>10</v>
      </c>
      <c r="G1371" s="2" t="n">
        <v>22</v>
      </c>
      <c r="H1371" s="2" t="n">
        <v>32</v>
      </c>
      <c r="I1371" s="4" t="inlineStr">
        <is>
          <t>pumpkin-spice-muffins-with-oat-flour.jpg</t>
        </is>
      </c>
      <c r="J1371" s="3" t="inlineStr">
        <is>
          <t>Pumpkin Spice Muffins with Oat Flour, healthy food photography, plated, natural light</t>
        </is>
      </c>
      <c r="K1371" s="4" t="inlineStr"/>
      <c r="L1371" s="3" t="inlineStr">
        <is>
          <t>Oat flour — 180 g (6.3 oz)
Pumpkin puree, canned — 200 g (7.1 oz)
Egg, large (50 g each) — 100 g (3.5 oz)
Pumpkin pie spice — 5 g (0.2 oz)
Baking powder — 6 g (0.2 oz)
White sugar — 25 g (0.9 oz)
Walnuts — 30 g (1.1 oz)
Milk, 2% — 60 g (2.1 oz)</t>
        </is>
      </c>
      <c r="M1371" s="4" t="inlineStr">
        <is>
          <t>[{"ingredient_id": "oat_flour", "name": "Oat flour", "grams": 180.0, "note": ""}, {"ingredient_id": "pumpkin_puree", "name": "Pumpkin puree, canned", "grams": 200.0, "note": ""}, {"ingredient_id": "egg", "name": "Egg, large (50 g each)", "grams": 100.0, "note": ""}, {"ingredient_id": "pumpkin_pie_spice", "name": "Pumpkin pie spice", "grams": 5.0, "note": ""}, {"ingredient_id": "baking_powder", "name": "Baking powder", "grams": 6.0, "note": ""}, {"ingredient_id": "sugar_white", "name": "White sugar", "grams": 25.0, "note": ""}, {"ingredient_id": "walnuts", "name": "Walnuts", "grams": 30.0, "note": ""}, {"ingredient_id": "milk", "name": "Milk, 2%", "grams": 60.0, "note": ""}]</t>
        </is>
      </c>
      <c r="N1371" s="2" t="n">
        <v>128</v>
      </c>
      <c r="O1371" s="5" t="n">
        <v>4.8</v>
      </c>
      <c r="P1371" s="5" t="n">
        <v>4.7</v>
      </c>
      <c r="Q1371" s="5" t="n">
        <v>17.3</v>
      </c>
      <c r="R1371" s="5" t="n">
        <v>2.1</v>
      </c>
      <c r="S1371" s="5" t="n">
        <v>15.2</v>
      </c>
      <c r="T1371" s="2" t="n">
        <v>55</v>
      </c>
      <c r="U1371" s="2" t="inlineStr">
        <is>
          <t>low</t>
        </is>
      </c>
      <c r="V1371" s="5" t="n">
        <v>8.4</v>
      </c>
      <c r="W1371" s="2" t="inlineStr">
        <is>
          <t>low</t>
        </is>
      </c>
      <c r="X1371" s="3" t="inlineStr"/>
      <c r="Y1371" s="3" t="inlineStr">
        <is>
          <t>25% of this dish's available carbohydrate comes from ingredients with a published, measured GI; the rest uses conventional placeholders (see Ingredients sheet)</t>
        </is>
      </c>
      <c r="Z1371" s="2" t="n">
        <v>25</v>
      </c>
      <c r="AA1371" s="3" t="inlineStr">
        <is>
          <t>vegetarian</t>
        </is>
      </c>
      <c r="AB1371" s="3" t="inlineStr">
        <is>
          <t>1. Whisk the pumpkin, eggs, milk and sugar.
2. Fold in the oat flour, spice and baking powder, then the walnuts.
3. Bake in a lined tin at 350°F for 20 to 22 minutes.</t>
        </is>
      </c>
      <c r="AC1371" s="4" t="inlineStr">
        <is>
          <t>["Whisk the pumpkin, eggs, milk and sugar.", "Fold in the oat flour, spice and baking powder, then the walnuts.", "Bake in a lined tin at 350°F for 20 to 22 minutes."]</t>
        </is>
      </c>
    </row>
    <row r="1372" ht="96" customHeight="1">
      <c r="A1372" s="2" t="inlineStr">
        <is>
          <t>DB-1371</t>
        </is>
      </c>
      <c r="B1372" s="3" t="inlineStr">
        <is>
          <t>Almond Flour Banana Muffins</t>
        </is>
      </c>
      <c r="C1372" s="4" t="inlineStr">
        <is>
          <t>Dessert</t>
        </is>
      </c>
      <c r="D1372" s="4" t="inlineStr">
        <is>
          <t>American</t>
        </is>
      </c>
      <c r="E1372" s="2" t="n">
        <v>10</v>
      </c>
      <c r="F1372" s="2" t="n">
        <v>10</v>
      </c>
      <c r="G1372" s="2" t="n">
        <v>22</v>
      </c>
      <c r="H1372" s="2" t="n">
        <v>32</v>
      </c>
      <c r="I1372" s="4" t="inlineStr">
        <is>
          <t>almond-flour-banana-muffins.jpg</t>
        </is>
      </c>
      <c r="J1372" s="3" t="inlineStr">
        <is>
          <t>Almond Flour Banana Muffins, healthy food photography, plated, natural light</t>
        </is>
      </c>
      <c r="K1372" s="4" t="inlineStr"/>
      <c r="L1372" s="3" t="inlineStr">
        <is>
          <t>Banana (small amount) — 250 g (8.8 oz)
Almond flour — 180 g (6.3 oz)
Egg, large (50 g each) — 100 g (3.5 oz)
Walnuts — 30 g (1.1 oz)
Baking powder — 5 g (0.2 oz)
Ground cinnamon — 3 g (0.1 oz)
Vanilla extract — 4 g (0.1 oz)</t>
        </is>
      </c>
      <c r="M1372" s="4" t="inlineStr">
        <is>
          <t>[{"ingredient_id": "banana", "name": "Banana (small amount)", "grams": 250.0, "note": ""}, {"ingredient_id": "almond_flour", "name": "Almond flour", "grams": 180.0, "note": ""}, {"ingredient_id": "egg", "name": "Egg, large (50 g each)", "grams": 100.0, "note": ""}, {"ingredient_id": "walnuts", "name": "Walnuts", "grams": 30.0, "note": ""}, {"ingredient_id": "baking_powder", "name": "Baking powder", "grams": 5.0, "note": ""}, {"ingredient_id": "cinnamon", "name": "Ground cinnamon", "grams": 3.0, "note": ""}, {"ingredient_id": "vanilla_extract", "name": "Vanilla extract", "grams": 4.0, "note": ""}]</t>
        </is>
      </c>
      <c r="N1372" s="2" t="n">
        <v>165</v>
      </c>
      <c r="O1372" s="5" t="n">
        <v>5.8</v>
      </c>
      <c r="P1372" s="5" t="n">
        <v>12</v>
      </c>
      <c r="Q1372" s="5" t="n">
        <v>10.5</v>
      </c>
      <c r="R1372" s="5" t="n">
        <v>3.2</v>
      </c>
      <c r="S1372" s="5" t="n">
        <v>7.3</v>
      </c>
      <c r="T1372" s="2" t="n">
        <v>40</v>
      </c>
      <c r="U1372" s="2" t="inlineStr">
        <is>
          <t>low</t>
        </is>
      </c>
      <c r="V1372" s="5" t="n">
        <v>2.9</v>
      </c>
      <c r="W1372" s="2" t="inlineStr">
        <is>
          <t>low</t>
        </is>
      </c>
      <c r="X1372" s="3" t="inlineStr"/>
      <c r="Y1372" s="3" t="inlineStr">
        <is>
          <t>70% of this dish's available carbohydrate comes from ingredients with a published, measured GI; the rest uses conventional placeholders (see Ingredients sheet)</t>
        </is>
      </c>
      <c r="Z1372" s="2" t="n">
        <v>70</v>
      </c>
      <c r="AA1372" s="3" t="inlineStr">
        <is>
          <t>vegetarian, gluten-free, dairy-free, low-carb</t>
        </is>
      </c>
      <c r="AB1372" s="3" t="inlineStr">
        <is>
          <t>1. Mash the bananas and beat in the eggs and vanilla.
2. Fold in the almond flour, baking powder, cinnamon and walnuts.
3. Bake in a lined tin at 350°F for 20 to 22 minutes.</t>
        </is>
      </c>
      <c r="AC1372" s="4" t="inlineStr">
        <is>
          <t>["Mash the bananas and beat in the eggs and vanilla.", "Fold in the almond flour, baking powder, cinnamon and walnuts.", "Bake in a lined tin at 350°F for 20 to 22 minutes."]</t>
        </is>
      </c>
    </row>
    <row r="1373" ht="96" customHeight="1">
      <c r="A1373" s="2" t="inlineStr">
        <is>
          <t>DB-1372</t>
        </is>
      </c>
      <c r="B1373" s="3" t="inlineStr">
        <is>
          <t>Apple Cinnamon Muffins with Oat Flour</t>
        </is>
      </c>
      <c r="C1373" s="4" t="inlineStr">
        <is>
          <t>Dessert</t>
        </is>
      </c>
      <c r="D1373" s="4" t="inlineStr">
        <is>
          <t>American</t>
        </is>
      </c>
      <c r="E1373" s="2" t="n">
        <v>10</v>
      </c>
      <c r="F1373" s="2" t="n">
        <v>10</v>
      </c>
      <c r="G1373" s="2" t="n">
        <v>22</v>
      </c>
      <c r="H1373" s="2" t="n">
        <v>32</v>
      </c>
      <c r="I1373" s="4" t="inlineStr">
        <is>
          <t>apple-cinnamon-muffins-with-oat-flour.jpg</t>
        </is>
      </c>
      <c r="J1373" s="3" t="inlineStr">
        <is>
          <t>Apple Cinnamon Muffins with Oat Flour, healthy food photography, plated, natural light</t>
        </is>
      </c>
      <c r="K1373" s="4" t="inlineStr"/>
      <c r="L1373" s="3" t="inlineStr">
        <is>
          <t>Oat flour — 180 g (6.3 oz)
Apple — 200 g (7.1 oz)
Egg, large (50 g each) — 100 g (3.5 oz)
Applesauce, unsweetened — 100 g (3.5 oz)
Ground cinnamon — 4 g (0.1 oz)
Baking powder — 6 g (0.2 oz)
Walnuts — 30 g (1.1 oz)</t>
        </is>
      </c>
      <c r="M1373" s="4" t="inlineStr">
        <is>
          <t>[{"ingredient_id": "oat_flour", "name": "Oat flour", "grams": 180.0, "note": ""}, {"ingredient_id": "apple", "name": "Apple", "grams": 200.0, "note": ""}, {"ingredient_id": "egg", "name": "Egg, large (50 g each)", "grams": 100.0, "note": ""}, {"ingredient_id": "applesauce", "name": "Applesauce, unsweetened", "grams": 100.0, "note": ""}, {"ingredient_id": "cinnamon", "name": "Ground cinnamon", "grams": 4.0, "note": ""}, {"ingredient_id": "baking_powder", "name": "Baking powder", "grams": 6.0, "note": ""}, {"ingredient_id": "walnuts", "name": "Walnuts", "grams": 30.0, "note": ""}]</t>
        </is>
      </c>
      <c r="N1373" s="2" t="n">
        <v>123</v>
      </c>
      <c r="O1373" s="5" t="n">
        <v>4.5</v>
      </c>
      <c r="P1373" s="5" t="n">
        <v>4.6</v>
      </c>
      <c r="Q1373" s="5" t="n">
        <v>16.8</v>
      </c>
      <c r="R1373" s="5" t="n">
        <v>2.2</v>
      </c>
      <c r="S1373" s="5" t="n">
        <v>14.6</v>
      </c>
      <c r="T1373" s="2" t="n">
        <v>49</v>
      </c>
      <c r="U1373" s="2" t="inlineStr">
        <is>
          <t>low</t>
        </is>
      </c>
      <c r="V1373" s="5" t="n">
        <v>7.1</v>
      </c>
      <c r="W1373" s="2" t="inlineStr">
        <is>
          <t>low</t>
        </is>
      </c>
      <c r="X1373" s="3" t="inlineStr"/>
      <c r="Y1373" s="3" t="inlineStr">
        <is>
          <t>16% of this dish's available carbohydrate comes from ingredients with a published, measured GI; the rest uses conventional placeholders (see Ingredients sheet)</t>
        </is>
      </c>
      <c r="Z1373" s="2" t="n">
        <v>16</v>
      </c>
      <c r="AA1373" s="3" t="inlineStr">
        <is>
          <t>vegetarian, dairy-free, low-carb</t>
        </is>
      </c>
      <c r="AB1373" s="3" t="inlineStr">
        <is>
          <t>1. Mix the eggs and applesauce.
2. Fold in the oat flour, cinnamon, baking powder, diced apple and walnuts.
3. Bake in a lined tin at 350°F for 20 to 22 minutes.</t>
        </is>
      </c>
      <c r="AC1373" s="4" t="inlineStr">
        <is>
          <t>["Mix the eggs and applesauce.", "Fold in the oat flour, cinnamon, baking powder, diced apple and walnuts.", "Bake in a lined tin at 350°F for 20 to 22 minutes."]</t>
        </is>
      </c>
    </row>
    <row r="1374" ht="96" customHeight="1">
      <c r="A1374" s="2" t="inlineStr">
        <is>
          <t>DB-1373</t>
        </is>
      </c>
      <c r="B1374" s="3" t="inlineStr">
        <is>
          <t>Chocolate Avocado Pudding Cups</t>
        </is>
      </c>
      <c r="C1374" s="4" t="inlineStr">
        <is>
          <t>Dessert</t>
        </is>
      </c>
      <c r="D1374" s="4" t="inlineStr">
        <is>
          <t>American</t>
        </is>
      </c>
      <c r="E1374" s="2" t="n">
        <v>4</v>
      </c>
      <c r="F1374" s="2" t="n">
        <v>5</v>
      </c>
      <c r="G1374" s="2" t="n">
        <v>0</v>
      </c>
      <c r="H1374" s="2" t="n">
        <v>5</v>
      </c>
      <c r="I1374" s="4" t="inlineStr">
        <is>
          <t>chocolate-avocado-pudding-cups.jpg</t>
        </is>
      </c>
      <c r="J1374" s="3" t="inlineStr">
        <is>
          <t>Chocolate Avocado Pudding Cups, healthy food photography, plated, natural light</t>
        </is>
      </c>
      <c r="K1374" s="4" t="inlineStr"/>
      <c r="L1374" s="3" t="inlineStr">
        <is>
          <t>Avocado — 250 g (8.8 oz)
Cocoa powder, unsweetened — 30 g (1.1 oz)
Almond milk, unsweetened — 100 g (3.5 oz)
Monk fruit/erythritol sweetener — 12 g (0.4 oz)
Vanilla extract — 4 g (0.1 oz)</t>
        </is>
      </c>
      <c r="M1374" s="4" t="inlineStr">
        <is>
          <t>[{"ingredient_id": "avocado", "name": "Avocado", "grams": 250.0, "note": ""}, {"ingredient_id": "cocoa_powder", "name": "Cocoa powder, unsweetened", "grams": 30.0, "note": ""}, {"ingredient_id": "almond_milk", "name": "Almond milk, unsweetened", "grams": 100.0, "note": ""}, {"ingredient_id": "monk_fruit_sweetener", "name": "Monk fruit/erythritol sweetener", "grams": 12.0, "note": ""}, {"ingredient_id": "vanilla_extract", "name": "Vanilla extract", "grams": 4.0, "note": ""}]</t>
        </is>
      </c>
      <c r="N1374" s="2" t="n">
        <v>124</v>
      </c>
      <c r="O1374" s="5" t="n">
        <v>2.9</v>
      </c>
      <c r="P1374" s="5" t="n">
        <v>10.7</v>
      </c>
      <c r="Q1374" s="5" t="n">
        <v>9.9</v>
      </c>
      <c r="R1374" s="5" t="n">
        <v>6.7</v>
      </c>
      <c r="S1374" s="5" t="n">
        <v>3.3</v>
      </c>
      <c r="T1374" s="2" t="n">
        <v>18</v>
      </c>
      <c r="U1374" s="2" t="inlineStr">
        <is>
          <t>low</t>
        </is>
      </c>
      <c r="V1374" s="5" t="n">
        <v>0.6</v>
      </c>
      <c r="W1374" s="2" t="inlineStr">
        <is>
          <t>low</t>
        </is>
      </c>
      <c r="X1374" s="3" t="inlineStr">
        <is>
          <t>Negligible carbohydrate (&lt;5 g net/serving): GI has little practical meaning, glycemic load is what matters.</t>
        </is>
      </c>
      <c r="Y1374" s="3" t="inlineStr">
        <is>
          <t>0% of this dish's available carbohydrate comes from ingredients with a published, measured GI; the rest uses conventional placeholders (see Ingredients sheet)</t>
        </is>
      </c>
      <c r="Z1374" s="2" t="n">
        <v>0</v>
      </c>
      <c r="AA1374" s="3" t="inlineStr">
        <is>
          <t>vegan, gluten-free, dairy-free, low-carb, no-cook</t>
        </is>
      </c>
      <c r="AB1374" s="3" t="inlineStr">
        <is>
          <t>1. Blend until silky.
2. Chill 1 hour.</t>
        </is>
      </c>
      <c r="AC1374" s="4" t="inlineStr">
        <is>
          <t>["Blend until silky.", "Chill 1 hour."]</t>
        </is>
      </c>
    </row>
    <row r="1375" ht="96" customHeight="1">
      <c r="A1375" s="2" t="inlineStr">
        <is>
          <t>DB-1374</t>
        </is>
      </c>
      <c r="B1375" s="3" t="inlineStr">
        <is>
          <t>Frozen Banana Soft Serve</t>
        </is>
      </c>
      <c r="C1375" s="4" t="inlineStr">
        <is>
          <t>Dessert</t>
        </is>
      </c>
      <c r="D1375" s="4" t="inlineStr">
        <is>
          <t>American</t>
        </is>
      </c>
      <c r="E1375" s="2" t="n">
        <v>2</v>
      </c>
      <c r="F1375" s="2" t="n">
        <v>5</v>
      </c>
      <c r="G1375" s="2" t="n">
        <v>0</v>
      </c>
      <c r="H1375" s="2" t="n">
        <v>5</v>
      </c>
      <c r="I1375" s="4" t="inlineStr">
        <is>
          <t>frozen-banana-soft-serve.jpg</t>
        </is>
      </c>
      <c r="J1375" s="3" t="inlineStr">
        <is>
          <t>Frozen Banana Soft Serve, healthy food photography, plated, natural light</t>
        </is>
      </c>
      <c r="K1375" s="4" t="inlineStr"/>
      <c r="L1375" s="3" t="inlineStr">
        <is>
          <t>Banana (small amount) — 240 g (8.5 oz)
Peanut butter, natural — 20 g (0.7 oz)
Vanilla extract — 2 g (0.1 oz)</t>
        </is>
      </c>
      <c r="M1375" s="4" t="inlineStr">
        <is>
          <t>[{"ingredient_id": "banana", "name": "Banana (small amount)", "grams": 240.0, "note": ""}, {"ingredient_id": "peanut_butter", "name": "Peanut butter, natural", "grams": 20.0, "note": ""}, {"ingredient_id": "vanilla_extract", "name": "Vanilla extract", "grams": 2.0, "note": ""}]</t>
        </is>
      </c>
      <c r="N1375" s="2" t="n">
        <v>168</v>
      </c>
      <c r="O1375" s="5" t="n">
        <v>3.8</v>
      </c>
      <c r="P1375" s="5" t="n">
        <v>5.4</v>
      </c>
      <c r="Q1375" s="5" t="n">
        <v>29.7</v>
      </c>
      <c r="R1375" s="5" t="n">
        <v>3.7</v>
      </c>
      <c r="S1375" s="5" t="n">
        <v>26</v>
      </c>
      <c r="T1375" s="2" t="n">
        <v>49</v>
      </c>
      <c r="U1375" s="2" t="inlineStr">
        <is>
          <t>low</t>
        </is>
      </c>
      <c r="V1375" s="5" t="n">
        <v>12.7</v>
      </c>
      <c r="W1375" s="2" t="inlineStr">
        <is>
          <t>medium</t>
        </is>
      </c>
      <c r="X1375" s="3" t="inlineStr"/>
      <c r="Y1375" s="3" t="inlineStr">
        <is>
          <t>94% of this dish's available carbohydrate comes from ingredients with a published, measured GI; the rest uses conventional placeholders (see Ingredients sheet)</t>
        </is>
      </c>
      <c r="Z1375" s="2" t="n">
        <v>94</v>
      </c>
      <c r="AA1375" s="3" t="inlineStr">
        <is>
          <t>vegan, gluten-free, dairy-free, no-cook</t>
        </is>
      </c>
      <c r="AB1375" s="3" t="inlineStr">
        <is>
          <t>1. Blend frozen banana slices with peanut butter and vanilla until creamy.</t>
        </is>
      </c>
      <c r="AC1375" s="4" t="inlineStr">
        <is>
          <t>["Blend frozen banana slices with peanut butter and vanilla until creamy."]</t>
        </is>
      </c>
    </row>
    <row r="1376" ht="96" customHeight="1">
      <c r="A1376" s="2" t="inlineStr">
        <is>
          <t>DB-1375</t>
        </is>
      </c>
      <c r="B1376" s="3" t="inlineStr">
        <is>
          <t>Strawberry Frozen Yogurt Bark</t>
        </is>
      </c>
      <c r="C1376" s="4" t="inlineStr">
        <is>
          <t>Dessert</t>
        </is>
      </c>
      <c r="D1376" s="4" t="inlineStr">
        <is>
          <t>American</t>
        </is>
      </c>
      <c r="E1376" s="2" t="n">
        <v>8</v>
      </c>
      <c r="F1376" s="2" t="n">
        <v>10</v>
      </c>
      <c r="G1376" s="2" t="n">
        <v>0</v>
      </c>
      <c r="H1376" s="2" t="n">
        <v>10</v>
      </c>
      <c r="I1376" s="4" t="inlineStr">
        <is>
          <t>strawberry-frozen-yogurt-bark.jpg</t>
        </is>
      </c>
      <c r="J1376" s="3" t="inlineStr">
        <is>
          <t>Strawberry Frozen Yogurt Bark, healthy food photography, plated, natural light</t>
        </is>
      </c>
      <c r="K1376" s="4" t="inlineStr"/>
      <c r="L1376" s="3" t="inlineStr">
        <is>
          <t>Greek yogurt, plain 2% — 400 g (14.1 oz)
Strawberries — 200 g (7.1 oz)
Pistachios, shelled — 30 g (1.1 oz)
Vanilla extract — 3 g (0.1 oz)
Monk fruit/erythritol sweetener — 6 g (0.2 oz)</t>
        </is>
      </c>
      <c r="M1376" s="4" t="inlineStr">
        <is>
          <t>[{"ingredient_id": "greek_yogurt", "name": "Greek yogurt, plain 2%", "grams": 400.0, "note": ""}, {"ingredient_id": "strawberries", "name": "Strawberries", "grams": 200.0, "note": ""}, {"ingredient_id": "pistachios", "name": "Pistachios, shelled", "grams": 30.0, "note": ""}, {"ingredient_id": "vanilla_extract", "name": "Vanilla extract", "grams": 3.0, "note": ""}, {"ingredient_id": "monk_fruit_sweetener", "name": "Monk fruit/erythritol sweetener", "grams": 6.0, "note": ""}]</t>
        </is>
      </c>
      <c r="N1376" s="2" t="n">
        <v>67</v>
      </c>
      <c r="O1376" s="5" t="n">
        <v>5.9</v>
      </c>
      <c r="P1376" s="5" t="n">
        <v>2.8</v>
      </c>
      <c r="Q1376" s="5" t="n">
        <v>5</v>
      </c>
      <c r="R1376" s="5" t="n">
        <v>0.9</v>
      </c>
      <c r="S1376" s="5" t="n">
        <v>4.1</v>
      </c>
      <c r="T1376" s="2" t="n">
        <v>24</v>
      </c>
      <c r="U1376" s="2" t="inlineStr">
        <is>
          <t>low</t>
        </is>
      </c>
      <c r="V1376" s="5" t="n">
        <v>1</v>
      </c>
      <c r="W1376" s="2" t="inlineStr">
        <is>
          <t>low</t>
        </is>
      </c>
      <c r="X1376" s="3" t="inlineStr">
        <is>
          <t>Negligible carbohydrate (&lt;5 g net/serving): GI has little practical meaning, glycemic load is what matters.</t>
        </is>
      </c>
      <c r="Y1376" s="3" t="inlineStr">
        <is>
          <t>99% of this dish's available carbohydrate comes from ingredients with a published, measured GI; the rest uses conventional placeholders (see Ingredients sheet)</t>
        </is>
      </c>
      <c r="Z1376" s="2" t="n">
        <v>99</v>
      </c>
      <c r="AA1376" s="3" t="inlineStr">
        <is>
          <t>vegetarian, gluten-free, low-carb, no-cook</t>
        </is>
      </c>
      <c r="AB1376" s="3" t="inlineStr">
        <is>
          <t>1. Stir the vanilla and sweetener into the yogurt and spread on a lined tray.
2. Top with chopped strawberries and pistachios.
3. Freeze 3 hours and break into pieces.</t>
        </is>
      </c>
      <c r="AC1376" s="4" t="inlineStr">
        <is>
          <t>["Stir the vanilla and sweetener into the yogurt and spread on a lined tray.", "Top with chopped strawberries and pistachios.", "Freeze 3 hours and break into pieces."]</t>
        </is>
      </c>
    </row>
    <row r="1377" ht="96" customHeight="1">
      <c r="A1377" s="2" t="inlineStr">
        <is>
          <t>DB-1376</t>
        </is>
      </c>
      <c r="B1377" s="3" t="inlineStr">
        <is>
          <t>Mixed Berry Chia Jam Parfait</t>
        </is>
      </c>
      <c r="C1377" s="4" t="inlineStr">
        <is>
          <t>Dessert</t>
        </is>
      </c>
      <c r="D1377" s="4" t="inlineStr">
        <is>
          <t>American</t>
        </is>
      </c>
      <c r="E1377" s="2" t="n">
        <v>4</v>
      </c>
      <c r="F1377" s="2" t="n">
        <v>10</v>
      </c>
      <c r="G1377" s="2" t="n">
        <v>8</v>
      </c>
      <c r="H1377" s="2" t="n">
        <v>18</v>
      </c>
      <c r="I1377" s="4" t="inlineStr">
        <is>
          <t>mixed-berry-chia-jam-parfait.jpg</t>
        </is>
      </c>
      <c r="J1377" s="3" t="inlineStr">
        <is>
          <t>Mixed Berry Chia Jam Parfait, healthy food photography, plated, natural light</t>
        </is>
      </c>
      <c r="K1377" s="4" t="inlineStr"/>
      <c r="L1377" s="3" t="inlineStr">
        <is>
          <t>Mixed berries, frozen — 300 g (10.6 oz)
Chia seeds — 30 g (1.1 oz)
Greek yogurt, plain 2% — 300 g (10.6 oz)
Vanilla extract — 3 g (0.1 oz)
Almonds — 20 g (0.7 oz)</t>
        </is>
      </c>
      <c r="M1377" s="4" t="inlineStr">
        <is>
          <t>[{"ingredient_id": "mixed_berries", "name": "Mixed berries, frozen", "grams": 300.0, "note": ""}, {"ingredient_id": "chia_seeds", "name": "Chia seeds", "grams": 30.0, "note": ""}, {"ingredient_id": "greek_yogurt", "name": "Greek yogurt, plain 2%", "grams": 300.0, "note": ""}, {"ingredient_id": "vanilla_extract", "name": "Vanilla extract", "grams": 3.0, "note": ""}, {"ingredient_id": "almonds", "name": "Almonds", "grams": 20.0, "note": ""}]</t>
        </is>
      </c>
      <c r="N1377" s="2" t="n">
        <v>156</v>
      </c>
      <c r="O1377" s="5" t="n">
        <v>10.4</v>
      </c>
      <c r="P1377" s="5" t="n">
        <v>6.6</v>
      </c>
      <c r="Q1377" s="5" t="n">
        <v>15.6</v>
      </c>
      <c r="R1377" s="5" t="n">
        <v>6.2</v>
      </c>
      <c r="S1377" s="5" t="n">
        <v>9.4</v>
      </c>
      <c r="T1377" s="2" t="n">
        <v>28</v>
      </c>
      <c r="U1377" s="2" t="inlineStr">
        <is>
          <t>low</t>
        </is>
      </c>
      <c r="V1377" s="5" t="n">
        <v>2.6</v>
      </c>
      <c r="W1377" s="2" t="inlineStr">
        <is>
          <t>low</t>
        </is>
      </c>
      <c r="X1377" s="3" t="inlineStr"/>
      <c r="Y1377" s="3" t="inlineStr">
        <is>
          <t>32% of this dish's available carbohydrate comes from ingredients with a published, measured GI; the rest uses conventional placeholders (see Ingredients sheet)</t>
        </is>
      </c>
      <c r="Z1377" s="2" t="n">
        <v>32</v>
      </c>
      <c r="AA1377" s="3" t="inlineStr">
        <is>
          <t>vegetarian, gluten-free, low-carb</t>
        </is>
      </c>
      <c r="AB1377" s="3" t="inlineStr">
        <is>
          <t>1. Mash and warm the berries and stir in the chia; chill into a jam.
2. Layer yogurt and jam in glasses.
3. Top with chopped almonds.</t>
        </is>
      </c>
      <c r="AC1377" s="4" t="inlineStr">
        <is>
          <t>["Mash and warm the berries and stir in the chia; chill into a jam.", "Layer yogurt and jam in glasses.", "Top with chopped almonds."]</t>
        </is>
      </c>
    </row>
    <row r="1378" ht="96" customHeight="1">
      <c r="A1378" s="2" t="inlineStr">
        <is>
          <t>DB-1377</t>
        </is>
      </c>
      <c r="B1378" s="3" t="inlineStr">
        <is>
          <t>Sweet Potato Brownie Bites</t>
        </is>
      </c>
      <c r="C1378" s="4" t="inlineStr">
        <is>
          <t>Dessert</t>
        </is>
      </c>
      <c r="D1378" s="4" t="inlineStr">
        <is>
          <t>American</t>
        </is>
      </c>
      <c r="E1378" s="2" t="n">
        <v>12</v>
      </c>
      <c r="F1378" s="2" t="n">
        <v>10</v>
      </c>
      <c r="G1378" s="2" t="n">
        <v>20</v>
      </c>
      <c r="H1378" s="2" t="n">
        <v>30</v>
      </c>
      <c r="I1378" s="4" t="inlineStr">
        <is>
          <t>sweet-potato-brownie-bites.jpg</t>
        </is>
      </c>
      <c r="J1378" s="3" t="inlineStr">
        <is>
          <t>Sweet Potato Brownie Bites, healthy food photography, plated, natural light</t>
        </is>
      </c>
      <c r="K1378" s="4" t="inlineStr"/>
      <c r="L1378" s="3" t="inlineStr">
        <is>
          <t>Sweet potato, boiled/simmered — 250 g (8.8 oz)
Almond butter — 100 g (3.5 oz)
Cocoa powder, unsweetened — 30 g (1.1 oz)
Egg, large (50 g each) — 50 g (1.8 oz)
Baking powder — 3 g (0.1 oz)
Vanilla extract — 4 g (0.1 oz)
Stevia-sweetened dark chocolate chips — 30 g (1.1 oz)</t>
        </is>
      </c>
      <c r="M1378" s="4" t="inlineStr">
        <is>
          <t>[{"ingredient_id": "sweet_potato", "name": "Sweet potato, boiled/simmered", "grams": 250.0, "note": ""}, {"ingredient_id": "almond_butter", "name": "Almond butter", "grams": 100.0, "note": ""}, {"ingredient_id": "cocoa_powder", "name": "Cocoa powder, unsweetened", "grams": 30.0, "note": ""}, {"ingredient_id": "egg", "name": "Egg, large (50 g each)", "grams": 50.0, "note": ""}, {"ingredient_id": "baking_powder", "name": "Baking powder", "grams": 3.0, "note": ""}, {"ingredient_id": "vanilla_extract", "name": "Vanilla extract", "grams": 4.0, "note": ""}, {"ingredient_id": "sugar_free_chocolate_chips", "name": "Stevia-sweetened dark chocolate chips", "grams": 30.0, "note": ""}]</t>
        </is>
      </c>
      <c r="N1378" s="2" t="n">
        <v>94</v>
      </c>
      <c r="O1378" s="5" t="n">
        <v>3.3</v>
      </c>
      <c r="P1378" s="5" t="n">
        <v>6.5</v>
      </c>
      <c r="Q1378" s="5" t="n">
        <v>7.8</v>
      </c>
      <c r="R1378" s="5" t="n">
        <v>2.6</v>
      </c>
      <c r="S1378" s="5" t="n">
        <v>5.3</v>
      </c>
      <c r="T1378" s="2" t="n">
        <v>36</v>
      </c>
      <c r="U1378" s="2" t="inlineStr">
        <is>
          <t>low</t>
        </is>
      </c>
      <c r="V1378" s="5" t="n">
        <v>1.9</v>
      </c>
      <c r="W1378" s="2" t="inlineStr">
        <is>
          <t>low</t>
        </is>
      </c>
      <c r="X1378" s="3" t="inlineStr"/>
      <c r="Y1378" s="3" t="inlineStr">
        <is>
          <t>71% of this dish's available carbohydrate comes from ingredients with a published, measured GI; the rest uses conventional placeholders (see Ingredients sheet)</t>
        </is>
      </c>
      <c r="Z1378" s="2" t="n">
        <v>71</v>
      </c>
      <c r="AA1378" s="3" t="inlineStr">
        <is>
          <t>vegetarian, gluten-free, dairy-free, low-carb</t>
        </is>
      </c>
      <c r="AB1378" s="3" t="inlineStr">
        <is>
          <t>1. Mash the cooked sweet potato with almond butter, egg, cocoa, baking powder and vanilla.
2. Fold in the chocolate chips.
3. Bake in a mini tin at 350°F for 18 to 20 minutes.</t>
        </is>
      </c>
      <c r="AC1378" s="4" t="inlineStr">
        <is>
          <t>["Mash the cooked sweet potato with almond butter, egg, cocoa, baking powder and vanilla.", "Fold in the chocolate chips.", "Bake in a mini tin at 350°F for 18 to 20 minutes."]</t>
        </is>
      </c>
    </row>
    <row r="1379" ht="96" customHeight="1">
      <c r="A1379" s="2" t="inlineStr">
        <is>
          <t>DB-1378</t>
        </is>
      </c>
      <c r="B1379" s="3" t="inlineStr">
        <is>
          <t>Cinnamon Baked Apple Chips</t>
        </is>
      </c>
      <c r="C1379" s="4" t="inlineStr">
        <is>
          <t>Snack &amp; Appetizer</t>
        </is>
      </c>
      <c r="D1379" s="4" t="inlineStr">
        <is>
          <t>American</t>
        </is>
      </c>
      <c r="E1379" s="2" t="n">
        <v>4</v>
      </c>
      <c r="F1379" s="2" t="n">
        <v>10</v>
      </c>
      <c r="G1379" s="2" t="n">
        <v>90</v>
      </c>
      <c r="H1379" s="2" t="n">
        <v>100</v>
      </c>
      <c r="I1379" s="4" t="inlineStr">
        <is>
          <t>cinnamon-baked-apple-chips.jpg</t>
        </is>
      </c>
      <c r="J1379" s="3" t="inlineStr">
        <is>
          <t>Cinnamon Baked Apple Chips, healthy food photography, plated, natural light</t>
        </is>
      </c>
      <c r="K1379" s="4" t="inlineStr"/>
      <c r="L1379" s="3" t="inlineStr">
        <is>
          <t>Apple — 500 g (17.6 oz)
Ground cinnamon — 3 g (0.1 oz)</t>
        </is>
      </c>
      <c r="M1379" s="4" t="inlineStr">
        <is>
          <t>[{"ingredient_id": "apple", "name": "Apple", "grams": 500.0, "note": ""}, {"ingredient_id": "cinnamon", "name": "Ground cinnamon", "grams": 3.0, "note": ""}]</t>
        </is>
      </c>
      <c r="N1379" s="2" t="n">
        <v>67</v>
      </c>
      <c r="O1379" s="5" t="n">
        <v>0.4</v>
      </c>
      <c r="P1379" s="5" t="n">
        <v>0.3</v>
      </c>
      <c r="Q1379" s="5" t="n">
        <v>18.1</v>
      </c>
      <c r="R1379" s="5" t="n">
        <v>3.4</v>
      </c>
      <c r="S1379" s="5" t="n">
        <v>14.7</v>
      </c>
      <c r="T1379" s="2" t="n">
        <v>36</v>
      </c>
      <c r="U1379" s="2" t="inlineStr">
        <is>
          <t>low</t>
        </is>
      </c>
      <c r="V1379" s="5" t="n">
        <v>5.3</v>
      </c>
      <c r="W1379" s="2" t="inlineStr">
        <is>
          <t>low</t>
        </is>
      </c>
      <c r="X1379" s="3" t="inlineStr"/>
      <c r="Y1379" s="3" t="inlineStr">
        <is>
          <t>99% of this dish's available carbohydrate comes from ingredients with a published, measured GI; the rest uses conventional placeholders (see Ingredients sheet)</t>
        </is>
      </c>
      <c r="Z1379" s="2" t="n">
        <v>99</v>
      </c>
      <c r="AA1379" s="3" t="inlineStr">
        <is>
          <t>vegan, gluten-free, dairy-free, nut-free, low-carb</t>
        </is>
      </c>
      <c r="AB1379" s="3" t="inlineStr">
        <is>
          <t>1. Slice the apples very thin.
2. Dust with cinnamon and arrange on lined trays.
3. Bake at 225°F for 80 to 90 minutes, turning once.</t>
        </is>
      </c>
      <c r="AC1379" s="4" t="inlineStr">
        <is>
          <t>["Slice the apples very thin.", "Dust with cinnamon and arrange on lined trays.", "Bake at 225°F for 80 to 90 minutes, turning once."]</t>
        </is>
      </c>
    </row>
    <row r="1380" ht="96" customHeight="1">
      <c r="A1380" s="2" t="inlineStr">
        <is>
          <t>DB-1379</t>
        </is>
      </c>
      <c r="B1380" s="3" t="inlineStr">
        <is>
          <t>Iced Coffee with Almond Milk and Cinnamon</t>
        </is>
      </c>
      <c r="C1380" s="4" t="inlineStr">
        <is>
          <t>Drinks &amp; Smoothies</t>
        </is>
      </c>
      <c r="D1380" s="4" t="inlineStr">
        <is>
          <t>American</t>
        </is>
      </c>
      <c r="E1380" s="2" t="n">
        <v>2</v>
      </c>
      <c r="F1380" s="2" t="n">
        <v>3</v>
      </c>
      <c r="G1380" s="2" t="n">
        <v>0</v>
      </c>
      <c r="H1380" s="2" t="n">
        <v>3</v>
      </c>
      <c r="I1380" s="4" t="inlineStr">
        <is>
          <t>iced-coffee-with-almond-milk-and-cinnamon.jpg</t>
        </is>
      </c>
      <c r="J1380" s="3" t="inlineStr">
        <is>
          <t>Iced Coffee with Almond Milk and Cinnamon, healthy food photography, plated, natural light</t>
        </is>
      </c>
      <c r="K1380" s="4" t="inlineStr"/>
      <c r="L1380" s="3" t="inlineStr">
        <is>
          <t>Brewed coffee / espresso — 400 g (14.1 oz)
Almond milk, unsweetened — 200 g (7.1 oz)
Ground cinnamon — 1 g (0.0 oz)
Vanilla extract — 2 g (0.1 oz)</t>
        </is>
      </c>
      <c r="M1380" s="4" t="inlineStr">
        <is>
          <t>[{"ingredient_id": "coffee", "name": "Brewed coffee / espresso", "grams": 400.0, "note": ""}, {"ingredient_id": "almond_milk", "name": "Almond milk, unsweetened", "grams": 200.0, "note": ""}, {"ingredient_id": "cinnamon", "name": "Ground cinnamon", "grams": 1.0, "note": ""}, {"ingredient_id": "vanilla_extract", "name": "Vanilla extract", "grams": 2.0, "note": ""}]</t>
        </is>
      </c>
      <c r="N1380" s="2" t="n">
        <v>21</v>
      </c>
      <c r="O1380" s="5" t="n">
        <v>0.8</v>
      </c>
      <c r="P1380" s="5" t="n">
        <v>1.2</v>
      </c>
      <c r="Q1380" s="5" t="n">
        <v>1.1</v>
      </c>
      <c r="R1380" s="5" t="n">
        <v>0.3</v>
      </c>
      <c r="S1380" s="5" t="n">
        <v>0.9</v>
      </c>
      <c r="T1380" s="2" t="n">
        <v>18</v>
      </c>
      <c r="U1380" s="2" t="inlineStr">
        <is>
          <t>low</t>
        </is>
      </c>
      <c r="V1380" s="5" t="n">
        <v>0.2</v>
      </c>
      <c r="W1380" s="2" t="inlineStr">
        <is>
          <t>low</t>
        </is>
      </c>
      <c r="X1380" s="3" t="inlineStr">
        <is>
          <t>Negligible carbohydrate (&lt;5 g net/serving): GI has little practical meaning, glycemic load is what matters.</t>
        </is>
      </c>
      <c r="Y1380" s="3" t="inlineStr">
        <is>
          <t>0% of this dish's available carbohydrate comes from ingredients with a published, measured GI; the rest uses conventional placeholders (see Ingredients sheet)</t>
        </is>
      </c>
      <c r="Z1380" s="2" t="n">
        <v>0</v>
      </c>
      <c r="AA1380" s="3" t="inlineStr">
        <is>
          <t>vegan, gluten-free, dairy-free, low-carb, no-cook</t>
        </is>
      </c>
      <c r="AB1380" s="3" t="inlineStr">
        <is>
          <t>1. Stir the cooled coffee with almond milk, cinnamon and vanilla.
2. Serve over ice.</t>
        </is>
      </c>
      <c r="AC1380" s="4" t="inlineStr">
        <is>
          <t>["Stir the cooled coffee with almond milk, cinnamon and vanilla.", "Serve over ice."]</t>
        </is>
      </c>
    </row>
    <row r="1381" ht="96" customHeight="1">
      <c r="A1381" s="2" t="inlineStr">
        <is>
          <t>DB-1380</t>
        </is>
      </c>
      <c r="B1381" s="3" t="inlineStr">
        <is>
          <t>Cold Brew with Cream</t>
        </is>
      </c>
      <c r="C1381" s="4" t="inlineStr">
        <is>
          <t>Drinks &amp; Smoothies</t>
        </is>
      </c>
      <c r="D1381" s="4" t="inlineStr">
        <is>
          <t>American</t>
        </is>
      </c>
      <c r="E1381" s="2" t="n">
        <v>2</v>
      </c>
      <c r="F1381" s="2" t="n">
        <v>2</v>
      </c>
      <c r="G1381" s="2" t="n">
        <v>0</v>
      </c>
      <c r="H1381" s="2" t="n">
        <v>2</v>
      </c>
      <c r="I1381" s="4" t="inlineStr">
        <is>
          <t>cold-brew-with-cream.jpg</t>
        </is>
      </c>
      <c r="J1381" s="3" t="inlineStr">
        <is>
          <t>Cold Brew with Cream, healthy food photography, plated, natural light</t>
        </is>
      </c>
      <c r="K1381" s="4" t="inlineStr"/>
      <c r="L1381" s="3" t="inlineStr">
        <is>
          <t>Brewed coffee / espresso — 400 g (14.1 oz)
Heavy cream — 30 g (1.1 oz)
Stevia (liquid) — 1 g (0.0 oz)</t>
        </is>
      </c>
      <c r="M1381" s="4" t="inlineStr">
        <is>
          <t>[{"ingredient_id": "coffee", "name": "Brewed coffee / espresso", "grams": 400.0, "note": ""}, {"ingredient_id": "heavy_cream", "name": "Heavy cream", "grams": 30.0, "note": ""}, {"ingredient_id": "stevia", "name": "Stevia (liquid)", "grams": 1.0, "note": ""}]</t>
        </is>
      </c>
      <c r="N1381" s="2" t="n">
        <v>53</v>
      </c>
      <c r="O1381" s="5" t="n">
        <v>0.5</v>
      </c>
      <c r="P1381" s="5" t="n">
        <v>5.4</v>
      </c>
      <c r="Q1381" s="5" t="n">
        <v>0.4</v>
      </c>
      <c r="R1381" s="5" t="n">
        <v>0</v>
      </c>
      <c r="S1381" s="5" t="n">
        <v>0.4</v>
      </c>
      <c r="T1381" s="2" t="n">
        <v>0</v>
      </c>
      <c r="U1381" s="2" t="inlineStr">
        <is>
          <t>low</t>
        </is>
      </c>
      <c r="V1381" s="5" t="n">
        <v>0</v>
      </c>
      <c r="W1381" s="2" t="inlineStr">
        <is>
          <t>low</t>
        </is>
      </c>
      <c r="X1381" s="3" t="inlineStr">
        <is>
          <t>Negligible carbohydrate (&lt;5 g net/serving): GI has little practical meaning, glycemic load is what matters.</t>
        </is>
      </c>
      <c r="Y1381" s="3" t="inlineStr">
        <is>
          <t>0% of this dish's available carbohydrate comes from ingredients with a published, measured GI; the rest uses conventional placeholders (see Ingredients sheet)</t>
        </is>
      </c>
      <c r="Z1381" s="2" t="n">
        <v>0</v>
      </c>
      <c r="AA1381" s="3" t="inlineStr">
        <is>
          <t>vegetarian, gluten-free, nut-free, low-carb, no-cook</t>
        </is>
      </c>
      <c r="AB1381" s="3" t="inlineStr">
        <is>
          <t>1. Pour the cold brew over ice.
2. Top with the cream and a little stevia.</t>
        </is>
      </c>
      <c r="AC1381" s="4" t="inlineStr">
        <is>
          <t>["Pour the cold brew over ice.", "Top with the cream and a little stevia."]</t>
        </is>
      </c>
    </row>
    <row r="1382" ht="96" customHeight="1">
      <c r="A1382" s="2" t="inlineStr">
        <is>
          <t>DB-1381</t>
        </is>
      </c>
      <c r="B1382" s="3" t="inlineStr">
        <is>
          <t>Homemade Hot Cocoa with Almond Milk</t>
        </is>
      </c>
      <c r="C1382" s="4" t="inlineStr">
        <is>
          <t>Drinks &amp; Smoothies</t>
        </is>
      </c>
      <c r="D1382" s="4" t="inlineStr">
        <is>
          <t>American</t>
        </is>
      </c>
      <c r="E1382" s="2" t="n">
        <v>2</v>
      </c>
      <c r="F1382" s="2" t="n">
        <v>3</v>
      </c>
      <c r="G1382" s="2" t="n">
        <v>5</v>
      </c>
      <c r="H1382" s="2" t="n">
        <v>8</v>
      </c>
      <c r="I1382" s="4" t="inlineStr">
        <is>
          <t>homemade-hot-cocoa-with-almond-milk.jpg</t>
        </is>
      </c>
      <c r="J1382" s="3" t="inlineStr">
        <is>
          <t>Homemade Hot Cocoa with Almond Milk, healthy food photography, plated, natural light</t>
        </is>
      </c>
      <c r="K1382" s="4" t="inlineStr"/>
      <c r="L1382" s="3" t="inlineStr">
        <is>
          <t>Almond milk, unsweetened — 500 g (17.6 oz)
Cocoa powder, unsweetened — 15 g (0.5 oz)
Monk fruit/erythritol sweetener — 6 g (0.2 oz)
Vanilla extract — 2 g (0.1 oz)
Ground cinnamon — 1 g (0.0 oz)</t>
        </is>
      </c>
      <c r="M1382" s="4" t="inlineStr">
        <is>
          <t>[{"ingredient_id": "almond_milk", "name": "Almond milk, unsweetened", "grams": 500.0, "note": ""}, {"ingredient_id": "cocoa_powder", "name": "Cocoa powder, unsweetened", "grams": 15.0, "note": ""}, {"ingredient_id": "monk_fruit_sweetener", "name": "Monk fruit/erythritol sweetener", "grams": 6.0, "note": ""}, {"ingredient_id": "vanilla_extract", "name": "Vanilla extract", "grams": 2.0, "note": ""}, {"ingredient_id": "cinnamon", "name": "Ground cinnamon", "grams": 1.0, "note": ""}]</t>
        </is>
      </c>
      <c r="N1382" s="2" t="n">
        <v>59</v>
      </c>
      <c r="O1382" s="5" t="n">
        <v>3</v>
      </c>
      <c r="P1382" s="5" t="n">
        <v>4.1</v>
      </c>
      <c r="Q1382" s="5" t="n">
        <v>6.4</v>
      </c>
      <c r="R1382" s="5" t="n">
        <v>2.7</v>
      </c>
      <c r="S1382" s="5" t="n">
        <v>3.6</v>
      </c>
      <c r="T1382" s="2" t="n">
        <v>21</v>
      </c>
      <c r="U1382" s="2" t="inlineStr">
        <is>
          <t>low</t>
        </is>
      </c>
      <c r="V1382" s="5" t="n">
        <v>0.8</v>
      </c>
      <c r="W1382" s="2" t="inlineStr">
        <is>
          <t>low</t>
        </is>
      </c>
      <c r="X1382" s="3" t="inlineStr">
        <is>
          <t>Negligible carbohydrate (&lt;5 g net/serving): GI has little practical meaning, glycemic load is what matters.</t>
        </is>
      </c>
      <c r="Y1382" s="3" t="inlineStr">
        <is>
          <t>0% of this dish's available carbohydrate comes from ingredients with a published, measured GI; the rest uses conventional placeholders (see Ingredients sheet)</t>
        </is>
      </c>
      <c r="Z1382" s="2" t="n">
        <v>0</v>
      </c>
      <c r="AA1382" s="3" t="inlineStr">
        <is>
          <t>vegan, gluten-free, dairy-free, low-carb</t>
        </is>
      </c>
      <c r="AB1382" s="3" t="inlineStr">
        <is>
          <t>1. Warm the almond milk and whisk in the cocoa, sweetener, vanilla and cinnamon.</t>
        </is>
      </c>
      <c r="AC1382" s="4" t="inlineStr">
        <is>
          <t>["Warm the almond milk and whisk in the cocoa, sweetener, vanilla and cinnamon."]</t>
        </is>
      </c>
    </row>
    <row r="1383" ht="96" customHeight="1">
      <c r="A1383" s="2" t="inlineStr">
        <is>
          <t>DB-1382</t>
        </is>
      </c>
      <c r="B1383" s="3" t="inlineStr">
        <is>
          <t>Strawberry Banana Smoothie with Yogurt</t>
        </is>
      </c>
      <c r="C1383" s="4" t="inlineStr">
        <is>
          <t>Drinks &amp; Smoothies</t>
        </is>
      </c>
      <c r="D1383" s="4" t="inlineStr">
        <is>
          <t>American</t>
        </is>
      </c>
      <c r="E1383" s="2" t="n">
        <v>2</v>
      </c>
      <c r="F1383" s="2" t="n">
        <v>5</v>
      </c>
      <c r="G1383" s="2" t="n">
        <v>0</v>
      </c>
      <c r="H1383" s="2" t="n">
        <v>5</v>
      </c>
      <c r="I1383" s="4" t="inlineStr">
        <is>
          <t>strawberry-banana-smoothie-with-yogurt.jpg</t>
        </is>
      </c>
      <c r="J1383" s="3" t="inlineStr">
        <is>
          <t>Strawberry Banana Smoothie with Yogurt, healthy food photography, plated, natural light</t>
        </is>
      </c>
      <c r="K1383" s="4" t="inlineStr"/>
      <c r="L1383" s="3" t="inlineStr">
        <is>
          <t>Strawberries — 150 g (5.3 oz)
Banana (small amount) — 100 g (3.5 oz)
Greek yogurt, plain 2% — 200 g (7.1 oz)
Milk, 2% — 150 g (5.3 oz)</t>
        </is>
      </c>
      <c r="M1383" s="4" t="inlineStr">
        <is>
          <t>[{"ingredient_id": "strawberries", "name": "Strawberries", "grams": 150.0, "note": ""}, {"ingredient_id": "banana", "name": "Banana (small amount)", "grams": 100.0, "note": ""}, {"ingredient_id": "greek_yogurt", "name": "Greek yogurt, plain 2%", "grams": 200.0, "note": ""}, {"ingredient_id": "milk", "name": "Milk, 2%", "grams": 150.0, "note": ""}]</t>
        </is>
      </c>
      <c r="N1383" s="2" t="n">
        <v>179</v>
      </c>
      <c r="O1383" s="5" t="n">
        <v>13.5</v>
      </c>
      <c r="P1383" s="5" t="n">
        <v>3.9</v>
      </c>
      <c r="Q1383" s="5" t="n">
        <v>24.9</v>
      </c>
      <c r="R1383" s="5" t="n">
        <v>2.8</v>
      </c>
      <c r="S1383" s="5" t="n">
        <v>22.1</v>
      </c>
      <c r="T1383" s="2" t="n">
        <v>38</v>
      </c>
      <c r="U1383" s="2" t="inlineStr">
        <is>
          <t>low</t>
        </is>
      </c>
      <c r="V1383" s="5" t="n">
        <v>8.4</v>
      </c>
      <c r="W1383" s="2" t="inlineStr">
        <is>
          <t>low</t>
        </is>
      </c>
      <c r="X1383" s="3" t="inlineStr"/>
      <c r="Y1383" s="3" t="inlineStr">
        <is>
          <t>100% of this dish's available carbohydrate comes from ingredients with a published, measured GI; the rest uses conventional placeholders (see Ingredients sheet)</t>
        </is>
      </c>
      <c r="Z1383" s="2" t="n">
        <v>100</v>
      </c>
      <c r="AA1383" s="3" t="inlineStr">
        <is>
          <t>vegetarian, gluten-free, nut-free, no-cook</t>
        </is>
      </c>
      <c r="AB1383" s="3" t="inlineStr">
        <is>
          <t>1. Blend everything until smooth.</t>
        </is>
      </c>
      <c r="AC1383" s="4" t="inlineStr">
        <is>
          <t>["Blend everything until smooth."]</t>
        </is>
      </c>
    </row>
    <row r="1384" ht="96" customHeight="1">
      <c r="A1384" s="2" t="inlineStr">
        <is>
          <t>DB-1383</t>
        </is>
      </c>
      <c r="B1384" s="3" t="inlineStr">
        <is>
          <t>Peach Ginger Smoothie</t>
        </is>
      </c>
      <c r="C1384" s="4" t="inlineStr">
        <is>
          <t>Drinks &amp; Smoothies</t>
        </is>
      </c>
      <c r="D1384" s="4" t="inlineStr">
        <is>
          <t>American</t>
        </is>
      </c>
      <c r="E1384" s="2" t="n">
        <v>2</v>
      </c>
      <c r="F1384" s="2" t="n">
        <v>5</v>
      </c>
      <c r="G1384" s="2" t="n">
        <v>0</v>
      </c>
      <c r="H1384" s="2" t="n">
        <v>5</v>
      </c>
      <c r="I1384" s="4" t="inlineStr">
        <is>
          <t>peach-ginger-smoothie.jpg</t>
        </is>
      </c>
      <c r="J1384" s="3" t="inlineStr">
        <is>
          <t>Peach Ginger Smoothie, healthy food photography, plated, natural light</t>
        </is>
      </c>
      <c r="K1384" s="4" t="inlineStr"/>
      <c r="L1384" s="3" t="inlineStr">
        <is>
          <t>Peach — 200 g (7.1 oz)
Greek yogurt, plain 2% — 200 g (7.1 oz)
Fresh ginger — 5 g (0.2 oz)
Almond milk, unsweetened — 150 g (5.3 oz)
Ground cinnamon — 1 g (0.0 oz)</t>
        </is>
      </c>
      <c r="M1384" s="4" t="inlineStr">
        <is>
          <t>[{"ingredient_id": "peach", "name": "Peach", "grams": 200.0, "note": ""}, {"ingredient_id": "greek_yogurt", "name": "Greek yogurt, plain 2%", "grams": 200.0, "note": ""}, {"ingredient_id": "ginger", "name": "Fresh ginger", "grams": 5.0, "note": ""}, {"ingredient_id": "almond_milk", "name": "Almond milk, unsweetened", "grams": 150.0, "note": ""}, {"ingredient_id": "cinnamon", "name": "Ground cinnamon", "grams": 1.0, "note": ""}]</t>
        </is>
      </c>
      <c r="N1384" s="2" t="n">
        <v>126</v>
      </c>
      <c r="O1384" s="5" t="n">
        <v>11.4</v>
      </c>
      <c r="P1384" s="5" t="n">
        <v>3.2</v>
      </c>
      <c r="Q1384" s="5" t="n">
        <v>14.8</v>
      </c>
      <c r="R1384" s="5" t="n">
        <v>1.8</v>
      </c>
      <c r="S1384" s="5" t="n">
        <v>13</v>
      </c>
      <c r="T1384" s="2" t="n">
        <v>40</v>
      </c>
      <c r="U1384" s="2" t="inlineStr">
        <is>
          <t>low</t>
        </is>
      </c>
      <c r="V1384" s="5" t="n">
        <v>5.2</v>
      </c>
      <c r="W1384" s="2" t="inlineStr">
        <is>
          <t>low</t>
        </is>
      </c>
      <c r="X1384" s="3" t="inlineStr"/>
      <c r="Y1384" s="3" t="inlineStr">
        <is>
          <t>92% of this dish's available carbohydrate comes from ingredients with a published, measured GI; the rest uses conventional placeholders (see Ingredients sheet)</t>
        </is>
      </c>
      <c r="Z1384" s="2" t="n">
        <v>92</v>
      </c>
      <c r="AA1384" s="3" t="inlineStr">
        <is>
          <t>vegetarian, gluten-free, low-carb, no-cook</t>
        </is>
      </c>
      <c r="AB1384" s="3" t="inlineStr">
        <is>
          <t>1. Blend everything until smooth.</t>
        </is>
      </c>
      <c r="AC1384" s="4" t="inlineStr">
        <is>
          <t>["Blend everything until smooth."]</t>
        </is>
      </c>
    </row>
    <row r="1385" ht="96" customHeight="1">
      <c r="A1385" s="2" t="inlineStr">
        <is>
          <t>DB-1384</t>
        </is>
      </c>
      <c r="B1385" s="3" t="inlineStr">
        <is>
          <t>Tropical Green Smoothie</t>
        </is>
      </c>
      <c r="C1385" s="4" t="inlineStr">
        <is>
          <t>Drinks &amp; Smoothies</t>
        </is>
      </c>
      <c r="D1385" s="4" t="inlineStr">
        <is>
          <t>American</t>
        </is>
      </c>
      <c r="E1385" s="2" t="n">
        <v>2</v>
      </c>
      <c r="F1385" s="2" t="n">
        <v>5</v>
      </c>
      <c r="G1385" s="2" t="n">
        <v>0</v>
      </c>
      <c r="H1385" s="2" t="n">
        <v>5</v>
      </c>
      <c r="I1385" s="4" t="inlineStr">
        <is>
          <t>tropical-green-smoothie.jpg</t>
        </is>
      </c>
      <c r="J1385" s="3" t="inlineStr">
        <is>
          <t>Tropical Green Smoothie, healthy food photography, plated, natural light</t>
        </is>
      </c>
      <c r="K1385" s="4" t="inlineStr"/>
      <c r="L1385" s="3" t="inlineStr">
        <is>
          <t>Spinach — 60 g (2.1 oz)
Pineapple — 120 g (4.2 oz)
Mango — 80 g (2.8 oz)
Coconut milk, canned light — 250 g (8.8 oz)
Lime juice — 10 g (0.4 oz)</t>
        </is>
      </c>
      <c r="M1385" s="4" t="inlineStr">
        <is>
          <t>[{"ingredient_id": "spinach", "name": "Spinach", "grams": 60.0, "note": ""}, {"ingredient_id": "pineapple", "name": "Pineapple", "grams": 120.0, "note": ""}, {"ingredient_id": "mango", "name": "Mango", "grams": 80.0, "note": ""}, {"ingredient_id": "coconut_milk_light", "name": "Coconut milk, canned light", "grams": 250.0, "note": ""}, {"ingredient_id": "lime_juice", "name": "Lime juice", "grams": 10.0, "note": ""}]</t>
        </is>
      </c>
      <c r="N1385" s="2" t="n">
        <v>147</v>
      </c>
      <c r="O1385" s="5" t="n">
        <v>2.4</v>
      </c>
      <c r="P1385" s="5" t="n">
        <v>7.8</v>
      </c>
      <c r="Q1385" s="5" t="n">
        <v>18.4</v>
      </c>
      <c r="R1385" s="5" t="n">
        <v>2.2</v>
      </c>
      <c r="S1385" s="5" t="n">
        <v>16.3</v>
      </c>
      <c r="T1385" s="2" t="n">
        <v>51</v>
      </c>
      <c r="U1385" s="2" t="inlineStr">
        <is>
          <t>low</t>
        </is>
      </c>
      <c r="V1385" s="5" t="n">
        <v>8.300000000000001</v>
      </c>
      <c r="W1385" s="2" t="inlineStr">
        <is>
          <t>low</t>
        </is>
      </c>
      <c r="X1385" s="3" t="inlineStr"/>
      <c r="Y1385" s="3" t="inlineStr">
        <is>
          <t>76% of this dish's available carbohydrate comes from ingredients with a published, measured GI; the rest uses conventional placeholders (see Ingredients sheet)</t>
        </is>
      </c>
      <c r="Z1385" s="2" t="n">
        <v>76</v>
      </c>
      <c r="AA1385" s="3" t="inlineStr">
        <is>
          <t>vegan, gluten-free, dairy-free, nut-free, no-cook</t>
        </is>
      </c>
      <c r="AB1385" s="3" t="inlineStr">
        <is>
          <t>1. Blend everything with ice until smooth.</t>
        </is>
      </c>
      <c r="AC1385" s="4" t="inlineStr">
        <is>
          <t>["Blend everything with ice until smooth."]</t>
        </is>
      </c>
    </row>
    <row r="1386" ht="96" customHeight="1">
      <c r="A1386" s="2" t="inlineStr">
        <is>
          <t>DB-1385</t>
        </is>
      </c>
      <c r="B1386" s="3" t="inlineStr">
        <is>
          <t>Chocolate Peanut Butter Smoothie</t>
        </is>
      </c>
      <c r="C1386" s="4" t="inlineStr">
        <is>
          <t>Drinks &amp; Smoothies</t>
        </is>
      </c>
      <c r="D1386" s="4" t="inlineStr">
        <is>
          <t>American</t>
        </is>
      </c>
      <c r="E1386" s="2" t="n">
        <v>2</v>
      </c>
      <c r="F1386" s="2" t="n">
        <v>5</v>
      </c>
      <c r="G1386" s="2" t="n">
        <v>0</v>
      </c>
      <c r="H1386" s="2" t="n">
        <v>5</v>
      </c>
      <c r="I1386" s="4" t="inlineStr">
        <is>
          <t>chocolate-peanut-butter-smoothie.jpg</t>
        </is>
      </c>
      <c r="J1386" s="3" t="inlineStr">
        <is>
          <t>Chocolate Peanut Butter Smoothie, healthy food photography, plated, natural light</t>
        </is>
      </c>
      <c r="K1386" s="4" t="inlineStr"/>
      <c r="L1386" s="3" t="inlineStr">
        <is>
          <t>Milk, 2% — 300 g (10.6 oz)
Banana (small amount) — 100 g (3.5 oz)
Peanut butter, natural — 30 g (1.1 oz)
Cocoa powder, unsweetened — 12 g (0.4 oz)
Greek yogurt, plain 2% — 100 g (3.5 oz)</t>
        </is>
      </c>
      <c r="M1386" s="4" t="inlineStr">
        <is>
          <t>[{"ingredient_id": "milk", "name": "Milk, 2%", "grams": 300.0, "note": ""}, {"ingredient_id": "banana", "name": "Banana (small amount)", "grams": 100.0, "note": ""}, {"ingredient_id": "peanut_butter", "name": "Peanut butter, natural", "grams": 30.0, "note": ""}, {"ingredient_id": "cocoa_powder", "name": "Cocoa powder, unsweetened", "grams": 12.0, "note": ""}, {"ingredient_id": "greek_yogurt", "name": "Greek yogurt, plain 2%", "grams": 100.0, "note": ""}]</t>
        </is>
      </c>
      <c r="N1386" s="2" t="n">
        <v>258</v>
      </c>
      <c r="O1386" s="5" t="n">
        <v>15.4</v>
      </c>
      <c r="P1386" s="5" t="n">
        <v>12.5</v>
      </c>
      <c r="Q1386" s="5" t="n">
        <v>27.2</v>
      </c>
      <c r="R1386" s="5" t="n">
        <v>4.2</v>
      </c>
      <c r="S1386" s="5" t="n">
        <v>23</v>
      </c>
      <c r="T1386" s="2" t="n">
        <v>35</v>
      </c>
      <c r="U1386" s="2" t="inlineStr">
        <is>
          <t>low</t>
        </is>
      </c>
      <c r="V1386" s="5" t="n">
        <v>8.1</v>
      </c>
      <c r="W1386" s="2" t="inlineStr">
        <is>
          <t>low</t>
        </is>
      </c>
      <c r="X1386" s="3" t="inlineStr"/>
      <c r="Y1386" s="3" t="inlineStr">
        <is>
          <t>84% of this dish's available carbohydrate comes from ingredients with a published, measured GI; the rest uses conventional placeholders (see Ingredients sheet)</t>
        </is>
      </c>
      <c r="Z1386" s="2" t="n">
        <v>84</v>
      </c>
      <c r="AA1386" s="3" t="inlineStr">
        <is>
          <t>vegetarian, gluten-free, no-cook</t>
        </is>
      </c>
      <c r="AB1386" s="3" t="inlineStr">
        <is>
          <t>1. Blend everything with ice until smooth.</t>
        </is>
      </c>
      <c r="AC1386" s="4" t="inlineStr">
        <is>
          <t>["Blend everything with ice until smooth."]</t>
        </is>
      </c>
    </row>
    <row r="1387" ht="96" customHeight="1">
      <c r="A1387" s="2" t="inlineStr">
        <is>
          <t>DB-1386</t>
        </is>
      </c>
      <c r="B1387" s="3" t="inlineStr">
        <is>
          <t>Blueberry Spinach Smoothie</t>
        </is>
      </c>
      <c r="C1387" s="4" t="inlineStr">
        <is>
          <t>Drinks &amp; Smoothies</t>
        </is>
      </c>
      <c r="D1387" s="4" t="inlineStr">
        <is>
          <t>American</t>
        </is>
      </c>
      <c r="E1387" s="2" t="n">
        <v>2</v>
      </c>
      <c r="F1387" s="2" t="n">
        <v>5</v>
      </c>
      <c r="G1387" s="2" t="n">
        <v>0</v>
      </c>
      <c r="H1387" s="2" t="n">
        <v>5</v>
      </c>
      <c r="I1387" s="4" t="inlineStr">
        <is>
          <t>blueberry-spinach-smoothie.jpg</t>
        </is>
      </c>
      <c r="J1387" s="3" t="inlineStr">
        <is>
          <t>Blueberry Spinach Smoothie, healthy food photography, plated, natural light</t>
        </is>
      </c>
      <c r="K1387" s="4" t="inlineStr"/>
      <c r="L1387" s="3" t="inlineStr">
        <is>
          <t>Blueberries — 150 g (5.3 oz)
Spinach — 60 g (2.1 oz)
Greek yogurt, plain 2% — 200 g (7.1 oz)
Almond milk, unsweetened — 200 g (7.1 oz)
Chia seeds — 10 g (0.4 oz)</t>
        </is>
      </c>
      <c r="M1387" s="4" t="inlineStr">
        <is>
          <t>[{"ingredient_id": "blueberries", "name": "Blueberries", "grams": 150.0, "note": ""}, {"ingredient_id": "spinach", "name": "Spinach", "grams": 60.0, "note": ""}, {"ingredient_id": "greek_yogurt", "name": "Greek yogurt, plain 2%", "grams": 200.0, "note": ""}, {"ingredient_id": "almond_milk", "name": "Almond milk, unsweetened", "grams": 200.0, "note": ""}, {"ingredient_id": "chia_seeds", "name": "Chia seeds", "grams": 10.0, "note": ""}]</t>
        </is>
      </c>
      <c r="N1387" s="2" t="n">
        <v>162</v>
      </c>
      <c r="O1387" s="5" t="n">
        <v>12.8</v>
      </c>
      <c r="P1387" s="5" t="n">
        <v>5.1</v>
      </c>
      <c r="Q1387" s="5" t="n">
        <v>18.7</v>
      </c>
      <c r="R1387" s="5" t="n">
        <v>4.2</v>
      </c>
      <c r="S1387" s="5" t="n">
        <v>14.5</v>
      </c>
      <c r="T1387" s="2" t="n">
        <v>38</v>
      </c>
      <c r="U1387" s="2" t="inlineStr">
        <is>
          <t>low</t>
        </is>
      </c>
      <c r="V1387" s="5" t="n">
        <v>5.5</v>
      </c>
      <c r="W1387" s="2" t="inlineStr">
        <is>
          <t>low</t>
        </is>
      </c>
      <c r="X1387" s="3" t="inlineStr"/>
      <c r="Y1387" s="3" t="inlineStr">
        <is>
          <t>90% of this dish's available carbohydrate comes from ingredients with a published, measured GI; the rest uses conventional placeholders (see Ingredients sheet)</t>
        </is>
      </c>
      <c r="Z1387" s="2" t="n">
        <v>90</v>
      </c>
      <c r="AA1387" s="3" t="inlineStr">
        <is>
          <t>vegetarian, gluten-free, low-carb, no-cook</t>
        </is>
      </c>
      <c r="AB1387" s="3" t="inlineStr">
        <is>
          <t>1. Blend everything until smooth.</t>
        </is>
      </c>
      <c r="AC1387" s="4" t="inlineStr">
        <is>
          <t>["Blend everything until smooth."]</t>
        </is>
      </c>
    </row>
    <row r="1388" ht="96" customHeight="1">
      <c r="A1388" s="2" t="inlineStr">
        <is>
          <t>DB-1387</t>
        </is>
      </c>
      <c r="B1388" s="3" t="inlineStr">
        <is>
          <t>Pumpkin Pie Smoothie</t>
        </is>
      </c>
      <c r="C1388" s="4" t="inlineStr">
        <is>
          <t>Drinks &amp; Smoothies</t>
        </is>
      </c>
      <c r="D1388" s="4" t="inlineStr">
        <is>
          <t>American</t>
        </is>
      </c>
      <c r="E1388" s="2" t="n">
        <v>2</v>
      </c>
      <c r="F1388" s="2" t="n">
        <v>5</v>
      </c>
      <c r="G1388" s="2" t="n">
        <v>0</v>
      </c>
      <c r="H1388" s="2" t="n">
        <v>5</v>
      </c>
      <c r="I1388" s="4" t="inlineStr">
        <is>
          <t>pumpkin-pie-smoothie.jpg</t>
        </is>
      </c>
      <c r="J1388" s="3" t="inlineStr">
        <is>
          <t>Pumpkin Pie Smoothie, healthy food photography, plated, natural light</t>
        </is>
      </c>
      <c r="K1388" s="4" t="inlineStr"/>
      <c r="L1388" s="3" t="inlineStr">
        <is>
          <t>Pumpkin puree, canned — 150 g (5.3 oz)
Greek yogurt, plain 2% — 200 g (7.1 oz)
Almond milk, unsweetened — 200 g (7.1 oz)
Pumpkin pie spice — 3 g (0.1 oz)
Vanilla extract — 3 g (0.1 oz)
Banana (small amount) — 50 g (1.8 oz)</t>
        </is>
      </c>
      <c r="M1388" s="4" t="inlineStr">
        <is>
          <t>[{"ingredient_id": "pumpkin_puree", "name": "Pumpkin puree, canned", "grams": 150.0, "note": ""}, {"ingredient_id": "greek_yogurt", "name": "Greek yogurt, plain 2%", "grams": 200.0, "note": ""}, {"ingredient_id": "almond_milk", "name": "Almond milk, unsweetened", "grams": 200.0, "note": ""}, {"ingredient_id": "pumpkin_pie_spice", "name": "Pumpkin pie spice", "grams": 3.0, "note": ""}, {"ingredient_id": "vanilla_extract", "name": "Vanilla extract", "grams": 3.0, "note": ""}, {"ingredient_id": "banana", "name": "Banana (small amount)", "grams": 50.0, "note": ""}]</t>
        </is>
      </c>
      <c r="N1388" s="2" t="n">
        <v>145</v>
      </c>
      <c r="O1388" s="5" t="n">
        <v>11.8</v>
      </c>
      <c r="P1388" s="5" t="n">
        <v>3.4</v>
      </c>
      <c r="Q1388" s="5" t="n">
        <v>17.7</v>
      </c>
      <c r="R1388" s="5" t="n">
        <v>3.3</v>
      </c>
      <c r="S1388" s="5" t="n">
        <v>14.4</v>
      </c>
      <c r="T1388" s="2" t="n">
        <v>43</v>
      </c>
      <c r="U1388" s="2" t="inlineStr">
        <is>
          <t>low</t>
        </is>
      </c>
      <c r="V1388" s="5" t="n">
        <v>6.2</v>
      </c>
      <c r="W1388" s="2" t="inlineStr">
        <is>
          <t>low</t>
        </is>
      </c>
      <c r="X1388" s="3" t="inlineStr"/>
      <c r="Y1388" s="3" t="inlineStr">
        <is>
          <t>89% of this dish's available carbohydrate comes from ingredients with a published, measured GI; the rest uses conventional placeholders (see Ingredients sheet)</t>
        </is>
      </c>
      <c r="Z1388" s="2" t="n">
        <v>89</v>
      </c>
      <c r="AA1388" s="3" t="inlineStr">
        <is>
          <t>vegetarian, gluten-free, low-carb, no-cook</t>
        </is>
      </c>
      <c r="AB1388" s="3" t="inlineStr">
        <is>
          <t>1. Blend everything with ice until smooth.</t>
        </is>
      </c>
      <c r="AC1388" s="4" t="inlineStr">
        <is>
          <t>["Blend everything with ice until smooth."]</t>
        </is>
      </c>
    </row>
    <row r="1389" ht="96" customHeight="1">
      <c r="A1389" s="2" t="inlineStr">
        <is>
          <t>DB-1388</t>
        </is>
      </c>
      <c r="B1389" s="3" t="inlineStr">
        <is>
          <t>Iced Tea Lemonade, Unsweetened</t>
        </is>
      </c>
      <c r="C1389" s="4" t="inlineStr">
        <is>
          <t>Drinks &amp; Smoothies</t>
        </is>
      </c>
      <c r="D1389" s="4" t="inlineStr">
        <is>
          <t>American</t>
        </is>
      </c>
      <c r="E1389" s="2" t="n">
        <v>4</v>
      </c>
      <c r="F1389" s="2" t="n">
        <v>5</v>
      </c>
      <c r="G1389" s="2" t="n">
        <v>0</v>
      </c>
      <c r="H1389" s="2" t="n">
        <v>5</v>
      </c>
      <c r="I1389" s="4" t="inlineStr">
        <is>
          <t>iced-tea-lemonade-unsweetened.jpg</t>
        </is>
      </c>
      <c r="J1389" s="3" t="inlineStr">
        <is>
          <t>Iced Tea Lemonade, Unsweetened, healthy food photography, plated, natural light</t>
        </is>
      </c>
      <c r="K1389" s="4" t="inlineStr"/>
      <c r="L1389" s="3" t="inlineStr">
        <is>
          <t>Brewed green tea — 600 g (21.2 oz)
Lemon juice — 100 g (3.5 oz)
Water / ice — 300 g (10.6 oz)
Fresh mint — 4 g (0.1 oz)
Stevia (liquid) — 1 g (0.0 oz)</t>
        </is>
      </c>
      <c r="M1389" s="4" t="inlineStr">
        <is>
          <t>[{"ingredient_id": "green_tea", "name": "Brewed green tea", "grams": 600.0, "note": ""}, {"ingredient_id": "lemon_juice", "name": "Lemon juice", "grams": 100.0, "note": ""}, {"ingredient_id": "water", "name": "Water / ice", "grams": 300.0, "note": ""}, {"ingredient_id": "mint", "name": "Fresh mint", "grams": 4.0, "note": ""}, {"ingredient_id": "stevia", "name": "Stevia (liquid)", "grams": 1.0, "note": ""}]</t>
        </is>
      </c>
      <c r="N1389" s="2" t="n">
        <v>6</v>
      </c>
      <c r="O1389" s="5" t="n">
        <v>0.1</v>
      </c>
      <c r="P1389" s="5" t="n">
        <v>0.1</v>
      </c>
      <c r="Q1389" s="5" t="n">
        <v>1.8</v>
      </c>
      <c r="R1389" s="5" t="n">
        <v>0.1</v>
      </c>
      <c r="S1389" s="5" t="n">
        <v>1.7</v>
      </c>
      <c r="T1389" s="2" t="n">
        <v>20</v>
      </c>
      <c r="U1389" s="2" t="inlineStr">
        <is>
          <t>low</t>
        </is>
      </c>
      <c r="V1389" s="5" t="n">
        <v>0.3</v>
      </c>
      <c r="W1389" s="2" t="inlineStr">
        <is>
          <t>low</t>
        </is>
      </c>
      <c r="X1389" s="3" t="inlineStr">
        <is>
          <t>Negligible carbohydrate (&lt;5 g net/serving): GI has little practical meaning, glycemic load is what matters.</t>
        </is>
      </c>
      <c r="Y1389" s="3" t="inlineStr">
        <is>
          <t>0% of this dish's available carbohydrate comes from ingredients with a published, measured GI; the rest uses conventional placeholders (see Ingredients sheet)</t>
        </is>
      </c>
      <c r="Z1389" s="2" t="n">
        <v>0</v>
      </c>
      <c r="AA1389" s="3" t="inlineStr">
        <is>
          <t>vegan, gluten-free, dairy-free, nut-free, low-carb, no-cook</t>
        </is>
      </c>
      <c r="AB1389" s="3" t="inlineStr">
        <is>
          <t>1. Combine the chilled tea, lemon juice and water.
2. Add mint and a pinch of stevia and serve over ice.</t>
        </is>
      </c>
      <c r="AC1389" s="4" t="inlineStr">
        <is>
          <t>["Combine the chilled tea, lemon juice and water.", "Add mint and a pinch of stevia and serve over ice."]</t>
        </is>
      </c>
    </row>
    <row r="1390" ht="96" customHeight="1">
      <c r="A1390" s="2" t="inlineStr">
        <is>
          <t>DB-1389</t>
        </is>
      </c>
      <c r="B1390" s="3" t="inlineStr">
        <is>
          <t>Cucumber Lime Agua Fresca</t>
        </is>
      </c>
      <c r="C1390" s="4" t="inlineStr">
        <is>
          <t>Drinks &amp; Smoothies</t>
        </is>
      </c>
      <c r="D1390" s="4" t="inlineStr">
        <is>
          <t>Mexican</t>
        </is>
      </c>
      <c r="E1390" s="2" t="n">
        <v>4</v>
      </c>
      <c r="F1390" s="2" t="n">
        <v>5</v>
      </c>
      <c r="G1390" s="2" t="n">
        <v>0</v>
      </c>
      <c r="H1390" s="2" t="n">
        <v>5</v>
      </c>
      <c r="I1390" s="4" t="inlineStr">
        <is>
          <t>cucumber-lime-agua-fresca.jpg</t>
        </is>
      </c>
      <c r="J1390" s="3" t="inlineStr">
        <is>
          <t>Cucumber Lime Agua Fresca, healthy food photography, plated, natural light</t>
        </is>
      </c>
      <c r="K1390" s="4" t="inlineStr"/>
      <c r="L1390" s="3" t="inlineStr">
        <is>
          <t>Cucumber — 250 g (8.8 oz)
Lime juice — 60 g (2.1 oz)
Water / ice — 700 g (24.7 oz)
Monk fruit/erythritol sweetener — 8 g (0.3 oz)
Fresh mint — 4 g (0.1 oz)</t>
        </is>
      </c>
      <c r="M1390" s="4" t="inlineStr">
        <is>
          <t>[{"ingredient_id": "cucumber", "name": "Cucumber", "grams": 250.0, "note": ""}, {"ingredient_id": "lime_juice", "name": "Lime juice", "grams": 60.0, "note": ""}, {"ingredient_id": "water", "name": "Water / ice", "grams": 700.0, "note": ""}, {"ingredient_id": "monk_fruit_sweetener", "name": "Monk fruit/erythritol sweetener", "grams": 8.0, "note": ""}, {"ingredient_id": "mint", "name": "Fresh mint", "grams": 4.0, "note": ""}]</t>
        </is>
      </c>
      <c r="N1390" s="2" t="n">
        <v>14</v>
      </c>
      <c r="O1390" s="5" t="n">
        <v>0.5</v>
      </c>
      <c r="P1390" s="5" t="n">
        <v>0.1</v>
      </c>
      <c r="Q1390" s="5" t="n">
        <v>3.6</v>
      </c>
      <c r="R1390" s="5" t="n">
        <v>0.4</v>
      </c>
      <c r="S1390" s="5" t="n">
        <v>3.2</v>
      </c>
      <c r="T1390" s="2" t="n">
        <v>17</v>
      </c>
      <c r="U1390" s="2" t="inlineStr">
        <is>
          <t>low</t>
        </is>
      </c>
      <c r="V1390" s="5" t="n">
        <v>0.5</v>
      </c>
      <c r="W1390" s="2" t="inlineStr">
        <is>
          <t>low</t>
        </is>
      </c>
      <c r="X1390" s="3" t="inlineStr">
        <is>
          <t>Negligible carbohydrate (&lt;5 g net/serving): GI has little practical meaning, glycemic load is what matters.</t>
        </is>
      </c>
      <c r="Y1390" s="3" t="inlineStr">
        <is>
          <t>0% of this dish's available carbohydrate comes from ingredients with a published, measured GI; the rest uses conventional placeholders (see Ingredients sheet)</t>
        </is>
      </c>
      <c r="Z1390" s="2" t="n">
        <v>0</v>
      </c>
      <c r="AA1390" s="3" t="inlineStr">
        <is>
          <t>vegan, gluten-free, dairy-free, nut-free, low-carb, no-cook</t>
        </is>
      </c>
      <c r="AB1390" s="3" t="inlineStr">
        <is>
          <t>1. Blend the cucumber with lime juice, sweetener and a little water.
2. Strain, add the rest of the water and chill with mint.</t>
        </is>
      </c>
      <c r="AC1390" s="4" t="inlineStr">
        <is>
          <t>["Blend the cucumber with lime juice, sweetener and a little water.", "Strain, add the rest of the water and chill with mint."]</t>
        </is>
      </c>
    </row>
    <row r="1391" ht="96" customHeight="1">
      <c r="A1391" s="2" t="inlineStr">
        <is>
          <t>DB-1390</t>
        </is>
      </c>
      <c r="B1391" s="3" t="inlineStr">
        <is>
          <t>Strawberry Mint Sparkling Cooler</t>
        </is>
      </c>
      <c r="C1391" s="4" t="inlineStr">
        <is>
          <t>Drinks &amp; Smoothies</t>
        </is>
      </c>
      <c r="D1391" s="4" t="inlineStr">
        <is>
          <t>American</t>
        </is>
      </c>
      <c r="E1391" s="2" t="n">
        <v>4</v>
      </c>
      <c r="F1391" s="2" t="n">
        <v>5</v>
      </c>
      <c r="G1391" s="2" t="n">
        <v>0</v>
      </c>
      <c r="H1391" s="2" t="n">
        <v>5</v>
      </c>
      <c r="I1391" s="4" t="inlineStr">
        <is>
          <t>strawberry-mint-sparkling-cooler.jpg</t>
        </is>
      </c>
      <c r="J1391" s="3" t="inlineStr">
        <is>
          <t>Strawberry Mint Sparkling Cooler, healthy food photography, plated, natural light</t>
        </is>
      </c>
      <c r="K1391" s="4" t="inlineStr"/>
      <c r="L1391" s="3" t="inlineStr">
        <is>
          <t>Strawberries — 200 g (7.1 oz)
Sparkling water — 600 g (21.2 oz)
Lime juice — 30 g (1.1 oz)
Fresh mint — 6 g (0.2 oz)
Stevia (liquid) — 1 g (0.0 oz)</t>
        </is>
      </c>
      <c r="M1391" s="4" t="inlineStr">
        <is>
          <t>[{"ingredient_id": "strawberries", "name": "Strawberries", "grams": 200.0, "note": ""}, {"ingredient_id": "sparkling_water", "name": "Sparkling water", "grams": 600.0, "note": ""}, {"ingredient_id": "lime_juice", "name": "Lime juice", "grams": 30.0, "note": ""}, {"ingredient_id": "mint", "name": "Fresh mint", "grams": 6.0, "note": ""}, {"ingredient_id": "stevia", "name": "Stevia (liquid)", "grams": 1.0, "note": ""}]</t>
        </is>
      </c>
      <c r="N1391" s="2" t="n">
        <v>19</v>
      </c>
      <c r="O1391" s="5" t="n">
        <v>0.4</v>
      </c>
      <c r="P1391" s="5" t="n">
        <v>0.2</v>
      </c>
      <c r="Q1391" s="5" t="n">
        <v>4.6</v>
      </c>
      <c r="R1391" s="5" t="n">
        <v>1.1</v>
      </c>
      <c r="S1391" s="5" t="n">
        <v>3.5</v>
      </c>
      <c r="T1391" s="2" t="n">
        <v>36</v>
      </c>
      <c r="U1391" s="2" t="inlineStr">
        <is>
          <t>low</t>
        </is>
      </c>
      <c r="V1391" s="5" t="n">
        <v>1.3</v>
      </c>
      <c r="W1391" s="2" t="inlineStr">
        <is>
          <t>low</t>
        </is>
      </c>
      <c r="X1391" s="3" t="inlineStr">
        <is>
          <t>Negligible carbohydrate (&lt;5 g net/serving): GI has little practical meaning, glycemic load is what matters.</t>
        </is>
      </c>
      <c r="Y1391" s="3" t="inlineStr">
        <is>
          <t>82% of this dish's available carbohydrate comes from ingredients with a published, measured GI; the rest uses conventional placeholders (see Ingredients sheet)</t>
        </is>
      </c>
      <c r="Z1391" s="2" t="n">
        <v>82</v>
      </c>
      <c r="AA1391" s="3" t="inlineStr">
        <is>
          <t>vegan, gluten-free, dairy-free, nut-free, low-carb, no-cook</t>
        </is>
      </c>
      <c r="AB1391" s="3" t="inlineStr">
        <is>
          <t>1. Muddle the strawberries with lime, mint and stevia.
2. Top with sparkling water over ice.</t>
        </is>
      </c>
      <c r="AC1391" s="4" t="inlineStr">
        <is>
          <t>["Muddle the strawberries with lime, mint and stevia.", "Top with sparkling water over ice."]</t>
        </is>
      </c>
    </row>
    <row r="1392" ht="96" customHeight="1">
      <c r="A1392" s="2" t="inlineStr">
        <is>
          <t>DB-1391</t>
        </is>
      </c>
      <c r="B1392" s="3" t="inlineStr">
        <is>
          <t>Golden Milk with Cinnamon and Black Pepper</t>
        </is>
      </c>
      <c r="C1392" s="4" t="inlineStr">
        <is>
          <t>Drinks &amp; Smoothies</t>
        </is>
      </c>
      <c r="D1392" s="4" t="inlineStr">
        <is>
          <t>American</t>
        </is>
      </c>
      <c r="E1392" s="2" t="n">
        <v>2</v>
      </c>
      <c r="F1392" s="2" t="n">
        <v>3</v>
      </c>
      <c r="G1392" s="2" t="n">
        <v>5</v>
      </c>
      <c r="H1392" s="2" t="n">
        <v>8</v>
      </c>
      <c r="I1392" s="4" t="inlineStr">
        <is>
          <t>golden-milk-with-cinnamon-and-black-pepper.jpg</t>
        </is>
      </c>
      <c r="J1392" s="3" t="inlineStr">
        <is>
          <t>Golden Milk with Cinnamon and Black Pepper, healthy food photography, plated, natural light</t>
        </is>
      </c>
      <c r="K1392" s="4" t="inlineStr"/>
      <c r="L1392" s="3" t="inlineStr">
        <is>
          <t>Milk, 2% — 400 g (14.1 oz)
Ground turmeric — 3 g (0.1 oz)
Ground cinnamon — 2 g (0.1 oz)
Fresh ginger — 3 g (0.1 oz)
Black pepper — 1 g (0.0 oz)
Vanilla extract — 2 g (0.1 oz)</t>
        </is>
      </c>
      <c r="M1392" s="4" t="inlineStr">
        <is>
          <t>[{"ingredient_id": "milk", "name": "Milk, 2%", "grams": 400.0, "note": ""}, {"ingredient_id": "turmeric", "name": "Ground turmeric", "grams": 3.0, "note": ""}, {"ingredient_id": "cinnamon", "name": "Ground cinnamon", "grams": 2.0, "note": ""}, {"ingredient_id": "ginger", "name": "Fresh ginger", "grams": 3.0, "note": ""}, {"ingredient_id": "black_pepper", "name": "Black pepper", "grams": 1.0, "note": ""}, {"ingredient_id": "vanilla_extract", "name": "Vanilla extract", "grams": 2.0, "note": ""}]</t>
        </is>
      </c>
      <c r="N1392" s="2" t="n">
        <v>112</v>
      </c>
      <c r="O1392" s="5" t="n">
        <v>6.9</v>
      </c>
      <c r="P1392" s="5" t="n">
        <v>4.1</v>
      </c>
      <c r="Q1392" s="5" t="n">
        <v>12.1</v>
      </c>
      <c r="R1392" s="5" t="n">
        <v>1</v>
      </c>
      <c r="S1392" s="5" t="n">
        <v>11.1</v>
      </c>
      <c r="T1392" s="2" t="n">
        <v>25</v>
      </c>
      <c r="U1392" s="2" t="inlineStr">
        <is>
          <t>low</t>
        </is>
      </c>
      <c r="V1392" s="5" t="n">
        <v>2.8</v>
      </c>
      <c r="W1392" s="2" t="inlineStr">
        <is>
          <t>low</t>
        </is>
      </c>
      <c r="X1392" s="3" t="inlineStr"/>
      <c r="Y1392" s="3" t="inlineStr">
        <is>
          <t>86% of this dish's available carbohydrate comes from ingredients with a published, measured GI; the rest uses conventional placeholders (see Ingredients sheet)</t>
        </is>
      </c>
      <c r="Z1392" s="2" t="n">
        <v>86</v>
      </c>
      <c r="AA1392" s="3" t="inlineStr">
        <is>
          <t>vegetarian, gluten-free, nut-free, low-carb</t>
        </is>
      </c>
      <c r="AB1392" s="3" t="inlineStr">
        <is>
          <t>1. Warm the milk with the spices and whisk until frothy.</t>
        </is>
      </c>
      <c r="AC1392" s="4" t="inlineStr">
        <is>
          <t>["Warm the milk with the spices and whisk until frothy."]</t>
        </is>
      </c>
    </row>
    <row r="1393" ht="96" customHeight="1">
      <c r="A1393" s="2" t="inlineStr">
        <is>
          <t>DB-1392</t>
        </is>
      </c>
      <c r="B1393" s="3" t="inlineStr">
        <is>
          <t>Protein Coffee Shake</t>
        </is>
      </c>
      <c r="C1393" s="4" t="inlineStr">
        <is>
          <t>Drinks &amp; Smoothies</t>
        </is>
      </c>
      <c r="D1393" s="4" t="inlineStr">
        <is>
          <t>American</t>
        </is>
      </c>
      <c r="E1393" s="2" t="n">
        <v>1</v>
      </c>
      <c r="F1393" s="2" t="n">
        <v>3</v>
      </c>
      <c r="G1393" s="2" t="n">
        <v>0</v>
      </c>
      <c r="H1393" s="2" t="n">
        <v>3</v>
      </c>
      <c r="I1393" s="4" t="inlineStr">
        <is>
          <t>protein-coffee-shake.jpg</t>
        </is>
      </c>
      <c r="J1393" s="3" t="inlineStr">
        <is>
          <t>Protein Coffee Shake, healthy food photography, plated, natural light</t>
        </is>
      </c>
      <c r="K1393" s="4" t="inlineStr"/>
      <c r="L1393" s="3" t="inlineStr">
        <is>
          <t>Brewed coffee / espresso — 200 g (7.1 oz)
Whey protein powder, unsweetened — 30 g (1.1 oz)
Almond milk, unsweetened — 150 g (5.3 oz)
Cocoa powder, unsweetened — 5 g (0.2 oz)</t>
        </is>
      </c>
      <c r="M1393" s="4" t="inlineStr">
        <is>
          <t>[{"ingredient_id": "coffee", "name": "Brewed coffee / espresso", "grams": 200.0, "note": ""}, {"ingredient_id": "whey_protein", "name": "Whey protein powder, unsweetened", "grams": 30.0, "note": ""}, {"ingredient_id": "almond_milk", "name": "Almond milk, unsweetened", "grams": 150.0, "note": ""}, {"ingredient_id": "cocoa_powder", "name": "Cocoa powder, unsweetened", "grams": 5.0, "note": ""}]</t>
        </is>
      </c>
      <c r="N1393" s="2" t="n">
        <v>150</v>
      </c>
      <c r="O1393" s="5" t="n">
        <v>25.5</v>
      </c>
      <c r="P1393" s="5" t="n">
        <v>4</v>
      </c>
      <c r="Q1393" s="5" t="n">
        <v>6.2</v>
      </c>
      <c r="R1393" s="5" t="n">
        <v>2</v>
      </c>
      <c r="S1393" s="5" t="n">
        <v>4.2</v>
      </c>
      <c r="T1393" s="2" t="n">
        <v>26</v>
      </c>
      <c r="U1393" s="2" t="inlineStr">
        <is>
          <t>low</t>
        </is>
      </c>
      <c r="V1393" s="5" t="n">
        <v>1.1</v>
      </c>
      <c r="W1393" s="2" t="inlineStr">
        <is>
          <t>low</t>
        </is>
      </c>
      <c r="X1393" s="3" t="inlineStr">
        <is>
          <t>Negligible carbohydrate (&lt;5 g net/serving): GI has little practical meaning, glycemic load is what matters.</t>
        </is>
      </c>
      <c r="Y1393" s="3" t="inlineStr">
        <is>
          <t>49% of this dish's available carbohydrate comes from ingredients with a published, measured GI; the rest uses conventional placeholders (see Ingredients sheet)</t>
        </is>
      </c>
      <c r="Z1393" s="2" t="n">
        <v>49</v>
      </c>
      <c r="AA1393" s="3" t="inlineStr">
        <is>
          <t>vegetarian, gluten-free, low-carb, high-protein, no-cook</t>
        </is>
      </c>
      <c r="AB1393" s="3" t="inlineStr">
        <is>
          <t>1. Blend everything with ice.</t>
        </is>
      </c>
      <c r="AC1393" s="4" t="inlineStr">
        <is>
          <t>["Blend everything with ice."]</t>
        </is>
      </c>
    </row>
    <row r="1394" ht="96" customHeight="1">
      <c r="A1394" s="2" t="inlineStr">
        <is>
          <t>DB-1393</t>
        </is>
      </c>
      <c r="B1394" s="3" t="inlineStr">
        <is>
          <t>Almond Joy Protein Shake</t>
        </is>
      </c>
      <c r="C1394" s="4" t="inlineStr">
        <is>
          <t>Drinks &amp; Smoothies</t>
        </is>
      </c>
      <c r="D1394" s="4" t="inlineStr">
        <is>
          <t>American</t>
        </is>
      </c>
      <c r="E1394" s="2" t="n">
        <v>1</v>
      </c>
      <c r="F1394" s="2" t="n">
        <v>3</v>
      </c>
      <c r="G1394" s="2" t="n">
        <v>0</v>
      </c>
      <c r="H1394" s="2" t="n">
        <v>3</v>
      </c>
      <c r="I1394" s="4" t="inlineStr">
        <is>
          <t>almond-joy-protein-shake.jpg</t>
        </is>
      </c>
      <c r="J1394" s="3" t="inlineStr">
        <is>
          <t>Almond Joy Protein Shake, healthy food photography, plated, natural light</t>
        </is>
      </c>
      <c r="K1394" s="4" t="inlineStr"/>
      <c r="L1394" s="3" t="inlineStr">
        <is>
          <t>Almond milk, unsweetened — 250 g (8.8 oz)
Whey protein powder, unsweetened — 30 g (1.1 oz)
Coconut, unsweetened shredded — 10 g (0.4 oz)
Cocoa powder, unsweetened — 8 g (0.3 oz)
Almond butter — 15 g (0.5 oz)</t>
        </is>
      </c>
      <c r="M1394" s="4" t="inlineStr">
        <is>
          <t>[{"ingredient_id": "almond_milk", "name": "Almond milk, unsweetened", "grams": 250.0, "note": ""}, {"ingredient_id": "whey_protein", "name": "Whey protein powder, unsweetened", "grams": 30.0, "note": ""}, {"ingredient_id": "coconut_shredded", "name": "Coconut, unsweetened shredded", "grams": 10.0, "note": ""}, {"ingredient_id": "cocoa_powder", "name": "Cocoa powder, unsweetened", "grams": 8.0, "note": ""}, {"ingredient_id": "almond_butter", "name": "Almond butter", "grams": 15.0, "note": ""}]</t>
        </is>
      </c>
      <c r="N1394" s="2" t="n">
        <v>328</v>
      </c>
      <c r="O1394" s="5" t="n">
        <v>30.3</v>
      </c>
      <c r="P1394" s="5" t="n">
        <v>20.5</v>
      </c>
      <c r="Q1394" s="5" t="n">
        <v>13.8</v>
      </c>
      <c r="R1394" s="5" t="n">
        <v>6</v>
      </c>
      <c r="S1394" s="5" t="n">
        <v>7.8</v>
      </c>
      <c r="T1394" s="2" t="n">
        <v>25</v>
      </c>
      <c r="U1394" s="2" t="inlineStr">
        <is>
          <t>low</t>
        </is>
      </c>
      <c r="V1394" s="5" t="n">
        <v>1.9</v>
      </c>
      <c r="W1394" s="2" t="inlineStr">
        <is>
          <t>low</t>
        </is>
      </c>
      <c r="X1394" s="3" t="inlineStr"/>
      <c r="Y1394" s="3" t="inlineStr">
        <is>
          <t>27% of this dish's available carbohydrate comes from ingredients with a published, measured GI; the rest uses conventional placeholders (see Ingredients sheet)</t>
        </is>
      </c>
      <c r="Z1394" s="2" t="n">
        <v>27</v>
      </c>
      <c r="AA1394" s="3" t="inlineStr">
        <is>
          <t>vegetarian, gluten-free, low-carb, high-protein, no-cook</t>
        </is>
      </c>
      <c r="AB1394" s="3" t="inlineStr">
        <is>
          <t>1. Blend everything with ice.</t>
        </is>
      </c>
      <c r="AC1394" s="4" t="inlineStr">
        <is>
          <t>["Blend everything with ice."]</t>
        </is>
      </c>
    </row>
    <row r="1395" ht="96" customHeight="1">
      <c r="A1395" s="2" t="inlineStr">
        <is>
          <t>DB-1394</t>
        </is>
      </c>
      <c r="B1395" s="3" t="inlineStr">
        <is>
          <t>Mint Chocolate Chip Green Shake</t>
        </is>
      </c>
      <c r="C1395" s="4" t="inlineStr">
        <is>
          <t>Drinks &amp; Smoothies</t>
        </is>
      </c>
      <c r="D1395" s="4" t="inlineStr">
        <is>
          <t>American</t>
        </is>
      </c>
      <c r="E1395" s="2" t="n">
        <v>2</v>
      </c>
      <c r="F1395" s="2" t="n">
        <v>5</v>
      </c>
      <c r="G1395" s="2" t="n">
        <v>0</v>
      </c>
      <c r="H1395" s="2" t="n">
        <v>5</v>
      </c>
      <c r="I1395" s="4" t="inlineStr">
        <is>
          <t>mint-chocolate-chip-green-shake.jpg</t>
        </is>
      </c>
      <c r="J1395" s="3" t="inlineStr">
        <is>
          <t>Mint Chocolate Chip Green Shake, healthy food photography, plated, natural light</t>
        </is>
      </c>
      <c r="K1395" s="4" t="inlineStr"/>
      <c r="L1395" s="3" t="inlineStr">
        <is>
          <t>Spinach — 50 g (1.8 oz)
Avocado — 70 g (2.5 oz)
Almond milk, unsweetened — 300 g (10.6 oz)
Fresh mint — 6 g (0.2 oz)
Stevia-sweetened dark chocolate chips — 15 g (0.5 oz)
Monk fruit/erythritol sweetener — 6 g (0.2 oz)</t>
        </is>
      </c>
      <c r="M1395" s="4" t="inlineStr">
        <is>
          <t>[{"ingredient_id": "spinach", "name": "Spinach", "grams": 50.0, "note": ""}, {"ingredient_id": "avocado", "name": "Avocado", "grams": 70.0, "note": ""}, {"ingredient_id": "almond_milk", "name": "Almond milk, unsweetened", "grams": 300.0, "note": ""}, {"ingredient_id": "mint", "name": "Fresh mint", "grams": 6.0, "note": ""}, {"ingredient_id": "sugar_free_chocolate_chips", "name": "Stevia-sweetened dark chocolate chips", "grams": 15.0, "note": ""}, {"ingredient_id": "monk_fruit_sweetener", "name": "Monk fruit/erythritol sweetener", "grams": 6.0, "note": ""}]</t>
        </is>
      </c>
      <c r="N1395" s="2" t="n">
        <v>121</v>
      </c>
      <c r="O1395" s="5" t="n">
        <v>2.9</v>
      </c>
      <c r="P1395" s="5" t="n">
        <v>10.3</v>
      </c>
      <c r="Q1395" s="5" t="n">
        <v>6.5</v>
      </c>
      <c r="R1395" s="5" t="n">
        <v>4</v>
      </c>
      <c r="S1395" s="5" t="n">
        <v>2.5</v>
      </c>
      <c r="T1395" s="2" t="n">
        <v>20</v>
      </c>
      <c r="U1395" s="2" t="inlineStr">
        <is>
          <t>low</t>
        </is>
      </c>
      <c r="V1395" s="5" t="n">
        <v>0.5</v>
      </c>
      <c r="W1395" s="2" t="inlineStr">
        <is>
          <t>low</t>
        </is>
      </c>
      <c r="X1395" s="3" t="inlineStr">
        <is>
          <t>Negligible carbohydrate (&lt;5 g net/serving): GI has little practical meaning, glycemic load is what matters.</t>
        </is>
      </c>
      <c r="Y1395" s="3" t="inlineStr">
        <is>
          <t>24% of this dish's available carbohydrate comes from ingredients with a published, measured GI; the rest uses conventional placeholders (see Ingredients sheet)</t>
        </is>
      </c>
      <c r="Z1395" s="2" t="n">
        <v>24</v>
      </c>
      <c r="AA1395" s="3" t="inlineStr">
        <is>
          <t>vegan, gluten-free, dairy-free, low-carb, no-cook</t>
        </is>
      </c>
      <c r="AB1395" s="3" t="inlineStr">
        <is>
          <t>1. Blend everything with ice until smooth.</t>
        </is>
      </c>
      <c r="AC1395" s="4" t="inlineStr">
        <is>
          <t>["Blend everything with ice until smooth."]</t>
        </is>
      </c>
    </row>
    <row r="1396" ht="96" customHeight="1">
      <c r="A1396" s="2" t="inlineStr">
        <is>
          <t>DB-1395</t>
        </is>
      </c>
      <c r="B1396" s="3" t="inlineStr">
        <is>
          <t>Kefir Berry Lassi</t>
        </is>
      </c>
      <c r="C1396" s="4" t="inlineStr">
        <is>
          <t>Drinks &amp; Smoothies</t>
        </is>
      </c>
      <c r="D1396" s="4" t="inlineStr">
        <is>
          <t>Indian</t>
        </is>
      </c>
      <c r="E1396" s="2" t="n">
        <v>2</v>
      </c>
      <c r="F1396" s="2" t="n">
        <v>5</v>
      </c>
      <c r="G1396" s="2" t="n">
        <v>0</v>
      </c>
      <c r="H1396" s="2" t="n">
        <v>5</v>
      </c>
      <c r="I1396" s="4" t="inlineStr">
        <is>
          <t>kefir-berry-lassi.jpg</t>
        </is>
      </c>
      <c r="J1396" s="3" t="inlineStr">
        <is>
          <t>Kefir Berry Lassi, healthy food photography, plated, natural light</t>
        </is>
      </c>
      <c r="K1396" s="4" t="inlineStr"/>
      <c r="L1396" s="3" t="inlineStr">
        <is>
          <t>Kefir, plain — 300 g (10.6 oz)
Mixed berries, frozen — 150 g (5.3 oz)
Ground cardamom — 1 g (0.0 oz)
Monk fruit/erythritol sweetener — 4 g (0.1 oz)</t>
        </is>
      </c>
      <c r="M1396" s="4" t="inlineStr">
        <is>
          <t>[{"ingredient_id": "kefir", "name": "Kefir, plain", "grams": 300.0, "note": ""}, {"ingredient_id": "mixed_berries", "name": "Mixed berries, frozen", "grams": 150.0, "note": ""}, {"ingredient_id": "cardamom", "name": "Ground cardamom", "grams": 1.0, "note": ""}, {"ingredient_id": "monk_fruit_sweetener", "name": "Monk fruit/erythritol sweetener", "grams": 4.0, "note": ""}]</t>
        </is>
      </c>
      <c r="N1396" s="2" t="n">
        <v>97</v>
      </c>
      <c r="O1396" s="5" t="n">
        <v>5.6</v>
      </c>
      <c r="P1396" s="5" t="n">
        <v>1.8</v>
      </c>
      <c r="Q1396" s="5" t="n">
        <v>14.6</v>
      </c>
      <c r="R1396" s="5" t="n">
        <v>3.1</v>
      </c>
      <c r="S1396" s="5" t="n">
        <v>11.4</v>
      </c>
      <c r="T1396" s="2" t="n">
        <v>37</v>
      </c>
      <c r="U1396" s="2" t="inlineStr">
        <is>
          <t>low</t>
        </is>
      </c>
      <c r="V1396" s="5" t="n">
        <v>4.2</v>
      </c>
      <c r="W1396" s="2" t="inlineStr">
        <is>
          <t>low</t>
        </is>
      </c>
      <c r="X1396" s="3" t="inlineStr"/>
      <c r="Y1396" s="3" t="inlineStr">
        <is>
          <t>52% of this dish's available carbohydrate comes from ingredients with a published, measured GI; the rest uses conventional placeholders (see Ingredients sheet)</t>
        </is>
      </c>
      <c r="Z1396" s="2" t="n">
        <v>52</v>
      </c>
      <c r="AA1396" s="3" t="inlineStr">
        <is>
          <t>vegetarian, gluten-free, nut-free, low-carb, no-cook</t>
        </is>
      </c>
      <c r="AB1396" s="3" t="inlineStr">
        <is>
          <t>1. Blend everything until smooth.</t>
        </is>
      </c>
      <c r="AC1396" s="4" t="inlineStr">
        <is>
          <t>["Blend everything until smooth."]</t>
        </is>
      </c>
    </row>
    <row r="1397" ht="96" customHeight="1">
      <c r="A1397" s="2" t="inlineStr">
        <is>
          <t>DB-1396</t>
        </is>
      </c>
      <c r="B1397" s="3" t="inlineStr">
        <is>
          <t>Ginger Turmeric Wellness Tea</t>
        </is>
      </c>
      <c r="C1397" s="4" t="inlineStr">
        <is>
          <t>Drinks &amp; Smoothies</t>
        </is>
      </c>
      <c r="D1397" s="4" t="inlineStr">
        <is>
          <t>American</t>
        </is>
      </c>
      <c r="E1397" s="2" t="n">
        <v>2</v>
      </c>
      <c r="F1397" s="2" t="n">
        <v>3</v>
      </c>
      <c r="G1397" s="2" t="n">
        <v>8</v>
      </c>
      <c r="H1397" s="2" t="n">
        <v>11</v>
      </c>
      <c r="I1397" s="4" t="inlineStr">
        <is>
          <t>ginger-turmeric-wellness-tea.jpg</t>
        </is>
      </c>
      <c r="J1397" s="3" t="inlineStr">
        <is>
          <t>Ginger Turmeric Wellness Tea, healthy food photography, plated, natural light</t>
        </is>
      </c>
      <c r="K1397" s="4" t="inlineStr"/>
      <c r="L1397" s="3" t="inlineStr">
        <is>
          <t>Water / ice — 500 g (17.6 oz)
Fresh ginger — 10 g (0.4 oz)
Ground turmeric — 2 g (0.1 oz)
Lemon juice — 20 g (0.7 oz)
Black pepper — 1 g (0.0 oz)</t>
        </is>
      </c>
      <c r="M1397" s="4" t="inlineStr">
        <is>
          <t>[{"ingredient_id": "water", "name": "Water / ice", "grams": 500.0, "note": ""}, {"ingredient_id": "ginger", "name": "Fresh ginger", "grams": 10.0, "note": ""}, {"ingredient_id": "turmeric", "name": "Ground turmeric", "grams": 2.0, "note": ""}, {"ingredient_id": "lemon_juice", "name": "Lemon juice", "grams": 20.0, "note": ""}, {"ingredient_id": "black_pepper", "name": "Black pepper", "grams": 1.0, "note": ""}]</t>
        </is>
      </c>
      <c r="N1397" s="2" t="n">
        <v>11</v>
      </c>
      <c r="O1397" s="5" t="n">
        <v>0.3</v>
      </c>
      <c r="P1397" s="5" t="n">
        <v>0.1</v>
      </c>
      <c r="Q1397" s="5" t="n">
        <v>2.6</v>
      </c>
      <c r="R1397" s="5" t="n">
        <v>0.5</v>
      </c>
      <c r="S1397" s="5" t="n">
        <v>2.1</v>
      </c>
      <c r="T1397" s="2" t="n">
        <v>17</v>
      </c>
      <c r="U1397" s="2" t="inlineStr">
        <is>
          <t>low</t>
        </is>
      </c>
      <c r="V1397" s="5" t="n">
        <v>0.4</v>
      </c>
      <c r="W1397" s="2" t="inlineStr">
        <is>
          <t>low</t>
        </is>
      </c>
      <c r="X1397" s="3" t="inlineStr">
        <is>
          <t>Negligible carbohydrate (&lt;5 g net/serving): GI has little practical meaning, glycemic load is what matters.</t>
        </is>
      </c>
      <c r="Y1397" s="3" t="inlineStr">
        <is>
          <t>0% of this dish's available carbohydrate comes from ingredients with a published, measured GI; the rest uses conventional placeholders (see Ingredients sheet)</t>
        </is>
      </c>
      <c r="Z1397" s="2" t="n">
        <v>0</v>
      </c>
      <c r="AA1397" s="3" t="inlineStr">
        <is>
          <t>vegan, gluten-free, dairy-free, nut-free, low-carb</t>
        </is>
      </c>
      <c r="AB1397" s="3" t="inlineStr">
        <is>
          <t>1. Simmer the ginger and turmeric in the water for 8 minutes.
2. Strain and add lemon and pepper.</t>
        </is>
      </c>
      <c r="AC1397" s="4" t="inlineStr">
        <is>
          <t>["Simmer the ginger and turmeric in the water for 8 minutes.", "Strain and add lemon and pepper."]</t>
        </is>
      </c>
    </row>
    <row r="1398" ht="96" customHeight="1">
      <c r="A1398" s="2" t="inlineStr">
        <is>
          <t>DB-1397</t>
        </is>
      </c>
      <c r="B1398" s="3" t="inlineStr">
        <is>
          <t>Spiced Apple Cider Warm Drink, Unsweetened</t>
        </is>
      </c>
      <c r="C1398" s="4" t="inlineStr">
        <is>
          <t>Drinks &amp; Smoothies</t>
        </is>
      </c>
      <c r="D1398" s="4" t="inlineStr">
        <is>
          <t>American</t>
        </is>
      </c>
      <c r="E1398" s="2" t="n">
        <v>4</v>
      </c>
      <c r="F1398" s="2" t="n">
        <v>5</v>
      </c>
      <c r="G1398" s="2" t="n">
        <v>15</v>
      </c>
      <c r="H1398" s="2" t="n">
        <v>20</v>
      </c>
      <c r="I1398" s="4" t="inlineStr">
        <is>
          <t>spiced-apple-cider-warm-drink-unsweetened.jpg</t>
        </is>
      </c>
      <c r="J1398" s="3" t="inlineStr">
        <is>
          <t>Spiced Apple Cider Warm Drink, Unsweetened, healthy food photography, plated, natural light</t>
        </is>
      </c>
      <c r="K1398" s="4" t="inlineStr"/>
      <c r="L1398" s="3" t="inlineStr">
        <is>
          <t>Apple — 300 g (10.6 oz)
Water / ice — 800 g (28.2 oz)
Ground cinnamon — 3 g (0.1 oz)
Orange — 60 g (2.1 oz)
Fresh ginger — 5 g (0.2 oz)
Star anise — 1 g (0.0 oz)</t>
        </is>
      </c>
      <c r="M1398" s="4" t="inlineStr">
        <is>
          <t>[{"ingredient_id": "apple", "name": "Apple", "grams": 300.0, "note": ""}, {"ingredient_id": "water", "name": "Water / ice", "grams": 800.0, "note": ""}, {"ingredient_id": "cinnamon", "name": "Ground cinnamon", "grams": 3.0, "note": ""}, {"ingredient_id": "orange", "name": "Orange", "grams": 60.0, "note": ""}, {"ingredient_id": "ginger", "name": "Fresh ginger", "grams": 5.0, "note": ""}, {"ingredient_id": "star_anise", "name": "Star anise", "grams": 1.0, "note": ""}]</t>
        </is>
      </c>
      <c r="N1398" s="2" t="n">
        <v>50</v>
      </c>
      <c r="O1398" s="5" t="n">
        <v>0.5</v>
      </c>
      <c r="P1398" s="5" t="n">
        <v>0.2</v>
      </c>
      <c r="Q1398" s="5" t="n">
        <v>13.3</v>
      </c>
      <c r="R1398" s="5" t="n">
        <v>2.6</v>
      </c>
      <c r="S1398" s="5" t="n">
        <v>10.6</v>
      </c>
      <c r="T1398" s="2" t="n">
        <v>36</v>
      </c>
      <c r="U1398" s="2" t="inlineStr">
        <is>
          <t>low</t>
        </is>
      </c>
      <c r="V1398" s="5" t="n">
        <v>3.8</v>
      </c>
      <c r="W1398" s="2" t="inlineStr">
        <is>
          <t>low</t>
        </is>
      </c>
      <c r="X1398" s="3" t="inlineStr"/>
      <c r="Y1398" s="3" t="inlineStr">
        <is>
          <t>95% of this dish's available carbohydrate comes from ingredients with a published, measured GI; the rest uses conventional placeholders (see Ingredients sheet)</t>
        </is>
      </c>
      <c r="Z1398" s="2" t="n">
        <v>95</v>
      </c>
      <c r="AA1398" s="3" t="inlineStr">
        <is>
          <t>vegan, gluten-free, dairy-free, nut-free, low-carb</t>
        </is>
      </c>
      <c r="AB1398" s="3" t="inlineStr">
        <is>
          <t>1. Simmer the sliced apple, orange and spices in the water 15 minutes.
2. Strain and serve warm.</t>
        </is>
      </c>
      <c r="AC1398" s="4" t="inlineStr">
        <is>
          <t>["Simmer the sliced apple, orange and spices in the water 15 minutes.", "Strain and serve warm."]</t>
        </is>
      </c>
    </row>
    <row r="1399" ht="96" customHeight="1">
      <c r="A1399" s="2" t="inlineStr">
        <is>
          <t>DB-1398</t>
        </is>
      </c>
      <c r="B1399" s="3" t="inlineStr">
        <is>
          <t>Cinnamon Dolce Latte with Almond Milk</t>
        </is>
      </c>
      <c r="C1399" s="4" t="inlineStr">
        <is>
          <t>Drinks &amp; Smoothies</t>
        </is>
      </c>
      <c r="D1399" s="4" t="inlineStr">
        <is>
          <t>American</t>
        </is>
      </c>
      <c r="E1399" s="2" t="n">
        <v>2</v>
      </c>
      <c r="F1399" s="2" t="n">
        <v>3</v>
      </c>
      <c r="G1399" s="2" t="n">
        <v>5</v>
      </c>
      <c r="H1399" s="2" t="n">
        <v>8</v>
      </c>
      <c r="I1399" s="4" t="inlineStr">
        <is>
          <t>cinnamon-dolce-latte-with-almond-milk.jpg</t>
        </is>
      </c>
      <c r="J1399" s="3" t="inlineStr">
        <is>
          <t>Cinnamon Dolce Latte with Almond Milk, healthy food photography, plated, natural light</t>
        </is>
      </c>
      <c r="K1399" s="4" t="inlineStr"/>
      <c r="L1399" s="3" t="inlineStr">
        <is>
          <t>Brewed coffee / espresso — 150 g (5.3 oz)
Almond milk, unsweetened — 300 g (10.6 oz)
Ground cinnamon — 2 g (0.1 oz)
Vanilla extract — 3 g (0.1 oz)
Monk fruit/erythritol sweetener — 4 g (0.1 oz)</t>
        </is>
      </c>
      <c r="M1399" s="4" t="inlineStr">
        <is>
          <t>[{"ingredient_id": "coffee", "name": "Brewed coffee / espresso", "grams": 150.0, "note": ""}, {"ingredient_id": "almond_milk", "name": "Almond milk, unsweetened", "grams": 300.0, "note": ""}, {"ingredient_id": "cinnamon", "name": "Ground cinnamon", "grams": 2.0, "note": ""}, {"ingredient_id": "vanilla_extract", "name": "Vanilla extract", "grams": 3.0, "note": ""}, {"ingredient_id": "monk_fruit_sweetener", "name": "Monk fruit/erythritol sweetener", "grams": 4.0, "note": ""}]</t>
        </is>
      </c>
      <c r="N1399" s="2" t="n">
        <v>30</v>
      </c>
      <c r="O1399" s="5" t="n">
        <v>1</v>
      </c>
      <c r="P1399" s="5" t="n">
        <v>1.8</v>
      </c>
      <c r="Q1399" s="5" t="n">
        <v>1.9</v>
      </c>
      <c r="R1399" s="5" t="n">
        <v>0.5</v>
      </c>
      <c r="S1399" s="5" t="n">
        <v>1.4</v>
      </c>
      <c r="T1399" s="2" t="n">
        <v>17</v>
      </c>
      <c r="U1399" s="2" t="inlineStr">
        <is>
          <t>low</t>
        </is>
      </c>
      <c r="V1399" s="5" t="n">
        <v>0.2</v>
      </c>
      <c r="W1399" s="2" t="inlineStr">
        <is>
          <t>low</t>
        </is>
      </c>
      <c r="X1399" s="3" t="inlineStr">
        <is>
          <t>Negligible carbohydrate (&lt;5 g net/serving): GI has little practical meaning, glycemic load is what matters.</t>
        </is>
      </c>
      <c r="Y1399" s="3" t="inlineStr">
        <is>
          <t>0% of this dish's available carbohydrate comes from ingredients with a published, measured GI; the rest uses conventional placeholders (see Ingredients sheet)</t>
        </is>
      </c>
      <c r="Z1399" s="2" t="n">
        <v>0</v>
      </c>
      <c r="AA1399" s="3" t="inlineStr">
        <is>
          <t>vegan, gluten-free, dairy-free, low-carb</t>
        </is>
      </c>
      <c r="AB1399" s="3" t="inlineStr">
        <is>
          <t>1. Warm the almond milk with cinnamon, vanilla and sweetener and froth.
2. Pour over the coffee.</t>
        </is>
      </c>
      <c r="AC1399" s="4" t="inlineStr">
        <is>
          <t>["Warm the almond milk with cinnamon, vanilla and sweetener and froth.", "Pour over the coffee."]</t>
        </is>
      </c>
    </row>
    <row r="1400" ht="96" customHeight="1">
      <c r="A1400" s="2" t="inlineStr">
        <is>
          <t>DB-1399</t>
        </is>
      </c>
      <c r="B1400" s="3" t="inlineStr">
        <is>
          <t>Vegan Chili with Three Beans</t>
        </is>
      </c>
      <c r="C1400" s="4" t="inlineStr">
        <is>
          <t>Vegetarian &amp; Vegan</t>
        </is>
      </c>
      <c r="D1400" s="4" t="inlineStr">
        <is>
          <t>American</t>
        </is>
      </c>
      <c r="E1400" s="2" t="n">
        <v>6</v>
      </c>
      <c r="F1400" s="2" t="n">
        <v>15</v>
      </c>
      <c r="G1400" s="2" t="n">
        <v>40</v>
      </c>
      <c r="H1400" s="2" t="n">
        <v>55</v>
      </c>
      <c r="I1400" s="4" t="inlineStr">
        <is>
          <t>vegan-chili-with-three-beans.jpg</t>
        </is>
      </c>
      <c r="J1400" s="3" t="inlineStr">
        <is>
          <t>Vegan Chili with Three Beans, healthy food photography, plated, natural light</t>
        </is>
      </c>
      <c r="K1400" s="4" t="inlineStr"/>
      <c r="L1400" s="3" t="inlineStr">
        <is>
          <t>Kidney beans, cooked — 250 g (8.8 oz)
Black beans, cooked — 250 g (8.8 oz)
Pinto beans, cooked — 250 g (8.8 oz)
Diced tomatoes, canned — 400 g (14.1 oz)
Bell pepper — 150 g (5.3 oz)
Yellow onion — 150 g (5.3 oz)
Chili powder — 12 g (0.4 oz)
Ground cumin — 4 g (0.1 oz)
Garlic — 8 g (0.3 oz)
Vegetable broth, low sodium — 300 g (10.6 oz)
Extra-virgin olive oil — 15 g (0.5 oz)</t>
        </is>
      </c>
      <c r="M1400" s="4" t="inlineStr">
        <is>
          <t>[{"ingredient_id": "kidney_beans", "name": "Kidney beans, cooked", "grams": 250.0, "note": ""}, {"ingredient_id": "black_beans", "name": "Black beans, cooked", "grams": 250.0, "note": ""}, {"ingredient_id": "pinto_beans", "name": "Pinto beans, cooked", "grams": 250.0, "note": ""}, {"ingredient_id": "diced_tomatoes", "name": "Diced tomatoes, canned", "grams": 400.0, "note": ""}, {"ingredient_id": "bell_pepper", "name": "Bell pepper", "grams": 150.0, "note": ""}, {"ingredient_id": "onion", "name": "Yellow onion", "grams": 150.0, "note": ""}, {"ingredient_id": "chili_powder", "name": "Chili powder", "grams": 12.0, "note": ""}, {"ingredient_id": "cumin", "name": "Ground cumin", "grams": 4.0, "note": ""}, {"ingredient_id": "garlic", "name": "Garlic", "grams": 8.0, "note": ""}, {"ingredient_id": "vegetable_broth", "name": "Vegetable broth, low sodium", "grams": 300.0, "note": ""}, {"ingredient_id": "olive_oil", "name": "Extra-virgin olive oil", "grams": 15.0, "note": ""}]</t>
        </is>
      </c>
      <c r="N1400" s="2" t="n">
        <v>237</v>
      </c>
      <c r="O1400" s="5" t="n">
        <v>13.1</v>
      </c>
      <c r="P1400" s="5" t="n">
        <v>3.9</v>
      </c>
      <c r="Q1400" s="5" t="n">
        <v>39.8</v>
      </c>
      <c r="R1400" s="5" t="n">
        <v>12.8</v>
      </c>
      <c r="S1400" s="5" t="n">
        <v>27.1</v>
      </c>
      <c r="T1400" s="2" t="n">
        <v>30</v>
      </c>
      <c r="U1400" s="2" t="inlineStr">
        <is>
          <t>low</t>
        </is>
      </c>
      <c r="V1400" s="5" t="n">
        <v>8.1</v>
      </c>
      <c r="W1400" s="2" t="inlineStr">
        <is>
          <t>low</t>
        </is>
      </c>
      <c r="X1400" s="3" t="inlineStr"/>
      <c r="Y1400" s="3" t="inlineStr">
        <is>
          <t>75% of this dish's available carbohydrate comes from ingredients with a published, measured GI; the rest uses conventional placeholders (see Ingredients sheet)</t>
        </is>
      </c>
      <c r="Z1400" s="2" t="n">
        <v>75</v>
      </c>
      <c r="AA1400" s="3" t="inlineStr">
        <is>
          <t>vegan, gluten-free, dairy-free, nut-free, high-fiber</t>
        </is>
      </c>
      <c r="AB1400" s="3" t="inlineStr">
        <is>
          <t>1. Soften the onion, pepper and garlic in oil.
2. Add the spices, tomatoes, beans and broth.
3. Simmer 30 minutes.</t>
        </is>
      </c>
      <c r="AC1400" s="4" t="inlineStr">
        <is>
          <t>["Soften the onion, pepper and garlic in oil.", "Add the spices, tomatoes, beans and broth.", "Simmer 30 minutes."]</t>
        </is>
      </c>
    </row>
    <row r="1401" ht="96" customHeight="1">
      <c r="A1401" s="2" t="inlineStr">
        <is>
          <t>DB-1400</t>
        </is>
      </c>
      <c r="B1401" s="3" t="inlineStr">
        <is>
          <t>Lentil Shepherd's Pie with Mashed Potato Crust</t>
        </is>
      </c>
      <c r="C1401" s="4" t="inlineStr">
        <is>
          <t>Vegetarian &amp; Vegan</t>
        </is>
      </c>
      <c r="D1401" s="4" t="inlineStr">
        <is>
          <t>American</t>
        </is>
      </c>
      <c r="E1401" s="2" t="n">
        <v>6</v>
      </c>
      <c r="F1401" s="2" t="n">
        <v>20</v>
      </c>
      <c r="G1401" s="2" t="n">
        <v>40</v>
      </c>
      <c r="H1401" s="2" t="n">
        <v>60</v>
      </c>
      <c r="I1401" s="4" t="inlineStr">
        <is>
          <t>lentil-shepherd-s-pie-with-mashed-potato-crust.jpg</t>
        </is>
      </c>
      <c r="J1401" s="3" t="inlineStr">
        <is>
          <t>Lentil Shepherd's Pie with Mashed Potato Crust, healthy food photography, plated, natural light</t>
        </is>
      </c>
      <c r="K1401" s="4" t="inlineStr"/>
      <c r="L1401" s="3" t="inlineStr">
        <is>
          <t>Lentils, cooked — 300 g (10.6 oz)
Potato, boiled, peeled — 720 g (25.4 oz)
Carrot — 150 g (5.3 oz)
Green peas — 100 g (3.5 oz)
Yellow onion — 120 g (4.2 oz)
Tomato paste — 30 g (1.1 oz)
Vegetable broth, low sodium — 300 g (10.6 oz)
Milk, 2% — 80 g (2.8 oz)
Butter — 20 g (0.7 oz)
Fresh thyme — 2 g (0.1 oz)</t>
        </is>
      </c>
      <c r="M1401" s="4" t="inlineStr">
        <is>
          <t>[{"ingredient_id": "lentils", "name": "Lentils, cooked", "grams": 300.0, "note": ""}, {"ingredient_id": "potato_boiled", "name": "Potato, boiled, peeled", "grams": 720.0, "note": ""}, {"ingredient_id": "carrot", "name": "Carrot", "grams": 150.0, "note": ""}, {"ingredient_id": "green_peas", "name": "Green peas", "grams": 100.0, "note": ""}, {"ingredient_id": "onion", "name": "Yellow onion", "grams": 120.0, "note": ""}, {"ingredient_id": "tomato_paste", "name": "Tomato paste", "grams": 30.0, "note": ""}, {"ingredient_id": "vegetable_broth", "name": "Vegetable broth, low sodium", "grams": 300.0, "note": ""}, {"ingredient_id": "milk", "name": "Milk, 2%", "grams": 80.0, "note": ""}, {"ingredient_id": "butter", "name": "Butter", "grams": 20.0, "note": ""}, {"ingredient_id": "thyme", "name": "Fresh thyme", "grams": 2.0, "note": ""}]</t>
        </is>
      </c>
      <c r="N1401" s="2" t="n">
        <v>240</v>
      </c>
      <c r="O1401" s="5" t="n">
        <v>9.1</v>
      </c>
      <c r="P1401" s="5" t="n">
        <v>3.6</v>
      </c>
      <c r="Q1401" s="5" t="n">
        <v>44.8</v>
      </c>
      <c r="R1401" s="5" t="n">
        <v>8</v>
      </c>
      <c r="S1401" s="5" t="n">
        <v>36.8</v>
      </c>
      <c r="T1401" s="2" t="n">
        <v>54</v>
      </c>
      <c r="U1401" s="2" t="inlineStr">
        <is>
          <t>low</t>
        </is>
      </c>
      <c r="V1401" s="5" t="n">
        <v>19.9</v>
      </c>
      <c r="W1401" s="2" t="inlineStr">
        <is>
          <t>medium</t>
        </is>
      </c>
      <c r="X1401" s="3" t="inlineStr"/>
      <c r="Y1401" s="3" t="inlineStr">
        <is>
          <t>92% of this dish's available carbohydrate comes from ingredients with a published, measured GI; the rest uses conventional placeholders (see Ingredients sheet)</t>
        </is>
      </c>
      <c r="Z1401" s="2" t="n">
        <v>92</v>
      </c>
      <c r="AA1401" s="3" t="inlineStr">
        <is>
          <t>vegetarian, gluten-free, nut-free, high-fiber</t>
        </is>
      </c>
      <c r="AB1401" s="3" t="inlineStr">
        <is>
          <t>1. Simmer the lentils with the carrot, onion, paste, broth and thyme until tender; add peas.
2. Mash the potatoes with milk and butter.
3. Top the lentils with the mash and bake at 400°F for 20 minutes.</t>
        </is>
      </c>
      <c r="AC1401" s="4" t="inlineStr">
        <is>
          <t>["Simmer the lentils with the carrot, onion, paste, broth and thyme until tender; add peas.", "Mash the potatoes with milk and butter.", "Top the lentils with the mash and bake at 400°F for 20 minutes."]</t>
        </is>
      </c>
    </row>
    <row r="1402" ht="96" customHeight="1">
      <c r="A1402" s="2" t="inlineStr">
        <is>
          <t>DB-1401</t>
        </is>
      </c>
      <c r="B1402" s="3" t="inlineStr">
        <is>
          <t>Black Bean and Sweet Potato Enchiladas</t>
        </is>
      </c>
      <c r="C1402" s="4" t="inlineStr">
        <is>
          <t>Vegetarian &amp; Vegan</t>
        </is>
      </c>
      <c r="D1402" s="4" t="inlineStr">
        <is>
          <t>Tex-Mex</t>
        </is>
      </c>
      <c r="E1402" s="2" t="n">
        <v>5</v>
      </c>
      <c r="F1402" s="2" t="n">
        <v>20</v>
      </c>
      <c r="G1402" s="2" t="n">
        <v>30</v>
      </c>
      <c r="H1402" s="2" t="n">
        <v>50</v>
      </c>
      <c r="I1402" s="4" t="inlineStr">
        <is>
          <t>black-bean-and-sweet-potato-enchiladas.jpg</t>
        </is>
      </c>
      <c r="J1402" s="3" t="inlineStr">
        <is>
          <t>Black Bean and Sweet Potato Enchiladas, healthy food photography, plated, natural light</t>
        </is>
      </c>
      <c r="K1402" s="4" t="inlineStr"/>
      <c r="L1402" s="3" t="inlineStr">
        <is>
          <t>Corn tortilla — 250 g (8.8 oz)
Black beans, cooked — 250 g (8.8 oz)
Sweet potato, baked/roasted — 300 g (10.6 oz)
Red enchilada sauce, no sugar added — 300 g (10.6 oz)
Cheddar cheese — 100 g (3.5 oz)
Yellow onion — 80 g (2.8 oz)
Fresh cilantro — 5 g (0.2 oz)</t>
        </is>
      </c>
      <c r="M1402" s="4" t="inlineStr">
        <is>
          <t>[{"ingredient_id": "corn_tortilla", "name": "Corn tortilla", "grams": 250.0, "note": ""}, {"ingredient_id": "black_beans", "name": "Black beans, cooked", "grams": 250.0, "note": ""}, {"ingredient_id": "sweet_potato_roasted", "name": "Sweet potato, baked/roasted", "grams": 300.0, "note": ""}, {"ingredient_id": "enchilada_sauce", "name": "Red enchilada sauce, no sugar added", "grams": 300.0, "note": ""}, {"ingredient_id": "cheddar", "name": "Cheddar cheese", "grams": 100.0, "note": ""}, {"ingredient_id": "onion", "name": "Yellow onion", "grams": 80.0, "note": ""}, {"ingredient_id": "cilantro", "name": "Fresh cilantro", "grams": 5.0, "note": ""}]</t>
        </is>
      </c>
      <c r="N1402" s="2" t="n">
        <v>338</v>
      </c>
      <c r="O1402" s="5" t="n">
        <v>13.7</v>
      </c>
      <c r="P1402" s="5" t="n">
        <v>9.6</v>
      </c>
      <c r="Q1402" s="5" t="n">
        <v>51.1</v>
      </c>
      <c r="R1402" s="5" t="n">
        <v>10.2</v>
      </c>
      <c r="S1402" s="5" t="n">
        <v>40.9</v>
      </c>
      <c r="T1402" s="2" t="n">
        <v>53</v>
      </c>
      <c r="U1402" s="2" t="inlineStr">
        <is>
          <t>low</t>
        </is>
      </c>
      <c r="V1402" s="5" t="n">
        <v>21.7</v>
      </c>
      <c r="W1402" s="2" t="inlineStr">
        <is>
          <t>high</t>
        </is>
      </c>
      <c r="X1402" s="3" t="inlineStr"/>
      <c r="Y1402" s="3" t="inlineStr">
        <is>
          <t>91% of this dish's available carbohydrate comes from ingredients with a published, measured GI; the rest uses conventional placeholders (see Ingredients sheet)</t>
        </is>
      </c>
      <c r="Z1402" s="2" t="n">
        <v>91</v>
      </c>
      <c r="AA1402" s="3" t="inlineStr">
        <is>
          <t>vegetarian, gluten-free, nut-free, high-fiber</t>
        </is>
      </c>
      <c r="AB1402" s="3" t="inlineStr">
        <is>
          <t>1. Mix the beans, mashed sweet potato and onion.
2. Fill the tortillas, roll and pack in a dish.
3. Cover with sauce and cheddar and bake at 375°F for 20 minutes.</t>
        </is>
      </c>
      <c r="AC1402" s="4" t="inlineStr">
        <is>
          <t>["Mix the beans, mashed sweet potato and onion.", "Fill the tortillas, roll and pack in a dish.", "Cover with sauce and cheddar and bake at 375°F for 20 minutes."]</t>
        </is>
      </c>
    </row>
    <row r="1403" ht="96" customHeight="1">
      <c r="A1403" s="2" t="inlineStr">
        <is>
          <t>DB-1402</t>
        </is>
      </c>
      <c r="B1403" s="3" t="inlineStr">
        <is>
          <t>Eggplant and Chickpea Curry</t>
        </is>
      </c>
      <c r="C1403" s="4" t="inlineStr">
        <is>
          <t>Vegetarian &amp; Vegan</t>
        </is>
      </c>
      <c r="D1403" s="4" t="inlineStr">
        <is>
          <t>Indian</t>
        </is>
      </c>
      <c r="E1403" s="2" t="n">
        <v>5</v>
      </c>
      <c r="F1403" s="2" t="n">
        <v>15</v>
      </c>
      <c r="G1403" s="2" t="n">
        <v>30</v>
      </c>
      <c r="H1403" s="2" t="n">
        <v>45</v>
      </c>
      <c r="I1403" s="4" t="inlineStr">
        <is>
          <t>eggplant-and-chickpea-curry.jpg</t>
        </is>
      </c>
      <c r="J1403" s="3" t="inlineStr">
        <is>
          <t>Eggplant and Chickpea Curry, healthy food photography, plated, natural light</t>
        </is>
      </c>
      <c r="K1403" s="4" t="inlineStr"/>
      <c r="L1403" s="3" t="inlineStr">
        <is>
          <t>Eggplant — 450 g (15.9 oz)
Chickpeas, cooked — 300 g (10.6 oz)
Diced tomatoes, canned — 400 g (14.1 oz)
Yellow onion — 120 g (4.2 oz)
Coconut milk, canned light — 200 g (7.1 oz)
Curry powder — 8 g (0.3 oz)
Garlic — 8 g (0.3 oz)
Fresh ginger — 8 g (0.3 oz)
Extra-virgin olive oil — 15 g (0.5 oz)
Fresh cilantro — 5 g (0.2 oz)</t>
        </is>
      </c>
      <c r="M1403" s="4" t="inlineStr">
        <is>
          <t>[{"ingredient_id": "eggplant", "name": "Eggplant", "grams": 450.0, "note": ""}, {"ingredient_id": "chickpeas", "name": "Chickpeas, cooked", "grams": 300.0, "note": ""}, {"ingredient_id": "diced_tomatoes", "name": "Diced tomatoes, canned", "grams": 400.0, "note": ""}, {"ingredient_id": "onion", "name": "Yellow onion", "grams": 120.0, "note": ""}, {"ingredient_id": "coconut_milk_light", "name": "Coconut milk, canned light", "grams": 200.0, "note": ""}, {"ingredient_id": "curry_powder", "name": "Curry powder", "grams": 8.0, "note": ""}, {"ingredient_id": "garlic", "name": "Garlic", "grams": 8.0, "note": ""}, {"ingredient_id": "ginger", "name": "Fresh ginger", "grams": 8.0, "note": ""}, {"ingredient_id": "olive_oil", "name": "Extra-virgin olive oil", "grams": 15.0, "note": ""}, {"ingredient_id": "cilantro", "name": "Fresh cilantro", "grams": 5.0, "note": ""}]</t>
        </is>
      </c>
      <c r="N1403" s="2" t="n">
        <v>213</v>
      </c>
      <c r="O1403" s="5" t="n">
        <v>8.1</v>
      </c>
      <c r="P1403" s="5" t="n">
        <v>7.6</v>
      </c>
      <c r="Q1403" s="5" t="n">
        <v>30.6</v>
      </c>
      <c r="R1403" s="5" t="n">
        <v>9.800000000000001</v>
      </c>
      <c r="S1403" s="5" t="n">
        <v>20.8</v>
      </c>
      <c r="T1403" s="2" t="n">
        <v>32</v>
      </c>
      <c r="U1403" s="2" t="inlineStr">
        <is>
          <t>low</t>
        </is>
      </c>
      <c r="V1403" s="5" t="n">
        <v>6.7</v>
      </c>
      <c r="W1403" s="2" t="inlineStr">
        <is>
          <t>low</t>
        </is>
      </c>
      <c r="X1403" s="3" t="inlineStr"/>
      <c r="Y1403" s="3" t="inlineStr">
        <is>
          <t>56% of this dish's available carbohydrate comes from ingredients with a published, measured GI; the rest uses conventional placeholders (see Ingredients sheet)</t>
        </is>
      </c>
      <c r="Z1403" s="2" t="n">
        <v>56</v>
      </c>
      <c r="AA1403" s="3" t="inlineStr">
        <is>
          <t>vegan, gluten-free, dairy-free, nut-free, high-fiber</t>
        </is>
      </c>
      <c r="AB1403" s="3" t="inlineStr">
        <is>
          <t>1. Brown the cubed eggplant in oil and set aside.
2. Soften the onion, garlic and ginger with the curry powder.
3. Add the tomatoes, chickpeas, coconut milk and eggplant and simmer 20 minutes.</t>
        </is>
      </c>
      <c r="AC1403" s="4" t="inlineStr">
        <is>
          <t>["Brown the cubed eggplant in oil and set aside.", "Soften the onion, garlic and ginger with the curry powder.", "Add the tomatoes, chickpeas, coconut milk and eggplant and simmer 20 minutes."]</t>
        </is>
      </c>
    </row>
    <row r="1404" ht="96" customHeight="1">
      <c r="A1404" s="2" t="inlineStr">
        <is>
          <t>DB-1403</t>
        </is>
      </c>
      <c r="B1404" s="3" t="inlineStr">
        <is>
          <t>Tofu Scramble Breakfast Burrito Bowl</t>
        </is>
      </c>
      <c r="C1404" s="4" t="inlineStr">
        <is>
          <t>Vegetarian &amp; Vegan</t>
        </is>
      </c>
      <c r="D1404" s="4" t="inlineStr">
        <is>
          <t>Tex-Mex</t>
        </is>
      </c>
      <c r="E1404" s="2" t="n">
        <v>3</v>
      </c>
      <c r="F1404" s="2" t="n">
        <v>10</v>
      </c>
      <c r="G1404" s="2" t="n">
        <v>12</v>
      </c>
      <c r="H1404" s="2" t="n">
        <v>22</v>
      </c>
      <c r="I1404" s="4" t="inlineStr">
        <is>
          <t>tofu-scramble-breakfast-burrito-bowl.jpg</t>
        </is>
      </c>
      <c r="J1404" s="3" t="inlineStr">
        <is>
          <t>Tofu Scramble Breakfast Burrito Bowl, healthy food photography, plated, natural light</t>
        </is>
      </c>
      <c r="K1404" s="4" t="inlineStr"/>
      <c r="L1404" s="3" t="inlineStr">
        <is>
          <t>Tofu, extra-firm — 350 g (12.3 oz)
Black beans, cooked — 150 g (5.3 oz)
Bell pepper — 100 g (3.5 oz)
Salsa, no sugar added — 100 g (3.5 oz)
Avocado — 100 g (3.5 oz)
Ground turmeric — 1 g (0.0 oz)
Ground cumin — 2 g (0.1 oz)
Extra-virgin olive oil — 10 g (0.4 oz)
White rice, long-grain, cooked — 240 g (8.5 oz)</t>
        </is>
      </c>
      <c r="M1404" s="4" t="inlineStr">
        <is>
          <t>[{"ingredient_id": "tofu", "name": "Tofu, extra-firm", "grams": 350.0, "note": ""}, {"ingredient_id": "black_beans", "name": "Black beans, cooked", "grams": 150.0, "note": ""}, {"ingredient_id": "bell_pepper", "name": "Bell pepper", "grams": 100.0, "note": ""}, {"ingredient_id": "salsa", "name": "Salsa, no sugar added", "grams": 100.0, "note": ""}, {"ingredient_id": "avocado", "name": "Avocado", "grams": 100.0, "note": ""}, {"ingredient_id": "turmeric", "name": "Ground turmeric", "grams": 1.0, "note": ""}, {"ingredient_id": "cumin", "name": "Ground cumin", "grams": 2.0, "note": ""}, {"ingredient_id": "olive_oil", "name": "Extra-virgin olive oil", "grams": 10.0, "note": ""}, {"ingredient_id": "white_rice", "name": "White rice, long-grain, cooked", "grams": 240.0, "note": ""}]</t>
        </is>
      </c>
      <c r="N1404" s="2" t="n">
        <v>446</v>
      </c>
      <c r="O1404" s="5" t="n">
        <v>28.1</v>
      </c>
      <c r="P1404" s="5" t="n">
        <v>19.6</v>
      </c>
      <c r="Q1404" s="5" t="n">
        <v>45.4</v>
      </c>
      <c r="R1404" s="5" t="n">
        <v>10.6</v>
      </c>
      <c r="S1404" s="5" t="n">
        <v>34.9</v>
      </c>
      <c r="T1404" s="2" t="n">
        <v>58</v>
      </c>
      <c r="U1404" s="2" t="inlineStr">
        <is>
          <t>medium</t>
        </is>
      </c>
      <c r="V1404" s="5" t="n">
        <v>20.2</v>
      </c>
      <c r="W1404" s="2" t="inlineStr">
        <is>
          <t>high</t>
        </is>
      </c>
      <c r="X1404" s="3" t="inlineStr">
        <is>
          <t>Medium-GI dish: keep to the stated portion and pair with the protein/fat in the recipe; GL per serving is the better guide.</t>
        </is>
      </c>
      <c r="Y1404" s="3" t="inlineStr">
        <is>
          <t>85% of this dish's available carbohydrate comes from ingredients with a published, measured GI; the rest uses conventional placeholders (see Ingredients sheet)</t>
        </is>
      </c>
      <c r="Z1404" s="2" t="n">
        <v>85</v>
      </c>
      <c r="AA1404" s="3" t="inlineStr">
        <is>
          <t>vegan, gluten-free, dairy-free, nut-free, high-protein, high-fiber</t>
        </is>
      </c>
      <c r="AB1404" s="3" t="inlineStr">
        <is>
          <t>1. Crumble the tofu and sauté with the pepper, turmeric and cumin in oil.
2. Warm the beans and rice.
3. Build bowls and top with salsa and avocado.</t>
        </is>
      </c>
      <c r="AC1404" s="4" t="inlineStr">
        <is>
          <t>["Crumble the tofu and sauté with the pepper, turmeric and cumin in oil.", "Warm the beans and rice.", "Build bowls and top with salsa and avocado."]</t>
        </is>
      </c>
    </row>
    <row r="1405" ht="96" customHeight="1">
      <c r="A1405" s="2" t="inlineStr">
        <is>
          <t>DB-1404</t>
        </is>
      </c>
      <c r="B1405" s="3" t="inlineStr">
        <is>
          <t>Peanut Tofu Stir-Fry with Broccoli</t>
        </is>
      </c>
      <c r="C1405" s="4" t="inlineStr">
        <is>
          <t>Vegetarian &amp; Vegan</t>
        </is>
      </c>
      <c r="D1405" s="4" t="inlineStr">
        <is>
          <t>Asian</t>
        </is>
      </c>
      <c r="E1405" s="2" t="n">
        <v>4</v>
      </c>
      <c r="F1405" s="2" t="n">
        <v>15</v>
      </c>
      <c r="G1405" s="2" t="n">
        <v>15</v>
      </c>
      <c r="H1405" s="2" t="n">
        <v>30</v>
      </c>
      <c r="I1405" s="4" t="inlineStr">
        <is>
          <t>peanut-tofu-stir-fry-with-broccoli.jpg</t>
        </is>
      </c>
      <c r="J1405" s="3" t="inlineStr">
        <is>
          <t>Peanut Tofu Stir-Fry with Broccoli, healthy food photography, plated, natural light</t>
        </is>
      </c>
      <c r="K1405" s="4" t="inlineStr"/>
      <c r="L1405" s="3" t="inlineStr">
        <is>
          <t>Tofu, extra-firm — 400 g (14.1 oz)
Broccoli — 350 g (12.3 oz)
Peanut butter, natural — 40 g (1.4 oz)
Soy sauce, low sodium — 30 g (1.1 oz)
Rice vinegar, unseasoned — 15 g (0.5 oz)
Fresh ginger — 8 g (0.3 oz)
Garlic — 6 g (0.2 oz)
Red pepper flakes — 1 g (0.0 oz)
Extra-virgin olive oil — 15 g (0.5 oz)</t>
        </is>
      </c>
      <c r="M1405" s="4" t="inlineStr">
        <is>
          <t>[{"ingredient_id": "tofu", "name": "Tofu, extra-firm", "grams": 400.0, "note": ""}, {"ingredient_id": "broccoli", "name": "Broccoli", "grams": 350.0, "note": ""}, {"ingredient_id": "peanut_butter", "name": "Peanut butter, natural", "grams": 40.0, "note": ""}, {"ingredient_id": "soy_sauce", "name": "Soy sauce, low sodium", "grams": 30.0, "note": ""}, {"ingredient_id": "rice_vinegar", "name": "Rice vinegar, unseasoned", "grams": 15.0, "note": ""}, {"ingredient_id": "ginger", "name": "Fresh ginger", "grams": 8.0, "note": ""}, {"ingredient_id": "garlic", "name": "Garlic", "grams": 6.0, "note": ""}, {"ingredient_id": "red_pepper_flakes", "name": "Red pepper flakes", "grams": 1.0, "note": ""}, {"ingredient_id": "olive_oil", "name": "Extra-virgin olive oil", "grams": 15.0, "note": ""}]</t>
        </is>
      </c>
      <c r="N1405" s="2" t="n">
        <v>275</v>
      </c>
      <c r="O1405" s="5" t="n">
        <v>22.7</v>
      </c>
      <c r="P1405" s="5" t="n">
        <v>18.2</v>
      </c>
      <c r="Q1405" s="5" t="n">
        <v>12.2</v>
      </c>
      <c r="R1405" s="5" t="n">
        <v>5.1</v>
      </c>
      <c r="S1405" s="5" t="n">
        <v>7.1</v>
      </c>
      <c r="T1405" s="2" t="n">
        <v>16</v>
      </c>
      <c r="U1405" s="2" t="inlineStr">
        <is>
          <t>low</t>
        </is>
      </c>
      <c r="V1405" s="5" t="n">
        <v>1.1</v>
      </c>
      <c r="W1405" s="2" t="inlineStr">
        <is>
          <t>low</t>
        </is>
      </c>
      <c r="X1405" s="3" t="inlineStr"/>
      <c r="Y1405" s="3" t="inlineStr">
        <is>
          <t>0% of this dish's available carbohydrate comes from ingredients with a published, measured GI; the rest uses conventional placeholders (see Ingredients sheet)</t>
        </is>
      </c>
      <c r="Z1405" s="2" t="n">
        <v>0</v>
      </c>
      <c r="AA1405" s="3" t="inlineStr">
        <is>
          <t>vegan, dairy-free, low-carb</t>
        </is>
      </c>
      <c r="AB1405" s="3" t="inlineStr">
        <is>
          <t>1. Brown the cubed tofu in oil.
2. Stir-fry the broccoli, garlic and ginger.
3. Whisk the peanut butter with soy sauce, vinegar and pepper flakes and toss everything together.</t>
        </is>
      </c>
      <c r="AC1405" s="4" t="inlineStr">
        <is>
          <t>["Brown the cubed tofu in oil.", "Stir-fry the broccoli, garlic and ginger.", "Whisk the peanut butter with soy sauce, vinegar and pepper flakes and toss everything together."]</t>
        </is>
      </c>
    </row>
    <row r="1406" ht="96" customHeight="1">
      <c r="A1406" s="2" t="inlineStr">
        <is>
          <t>DB-1405</t>
        </is>
      </c>
      <c r="B1406" s="3" t="inlineStr">
        <is>
          <t>Chickpea Salad Sandwich Filling in Lettuce Cups</t>
        </is>
      </c>
      <c r="C1406" s="4" t="inlineStr">
        <is>
          <t>Vegetarian &amp; Vegan</t>
        </is>
      </c>
      <c r="D1406" s="4" t="inlineStr">
        <is>
          <t>American</t>
        </is>
      </c>
      <c r="E1406" s="2" t="n">
        <v>4</v>
      </c>
      <c r="F1406" s="2" t="n">
        <v>10</v>
      </c>
      <c r="G1406" s="2" t="n">
        <v>0</v>
      </c>
      <c r="H1406" s="2" t="n">
        <v>10</v>
      </c>
      <c r="I1406" s="4" t="inlineStr">
        <is>
          <t>chickpea-salad-sandwich-filling-in-lettuce-cups.jpg</t>
        </is>
      </c>
      <c r="J1406" s="3" t="inlineStr">
        <is>
          <t>Chickpea Salad Sandwich Filling in Lettuce Cups, healthy food photography, plated, natural light</t>
        </is>
      </c>
      <c r="K1406" s="4" t="inlineStr"/>
      <c r="L1406" s="3" t="inlineStr">
        <is>
          <t>Chickpeas, cooked — 400 g (14.1 oz)
Greek yogurt, plain 2% — 80 g (2.8 oz)
Celery — 50 g (1.8 oz)
Red onion — 30 g (1.1 oz)
Dijon mustard — 10 g (0.4 oz)
Lemon juice — 15 g (0.5 oz)
Fresh dill — 4 g (0.1 oz)
Butter lettuce — 120 g (4.2 oz)</t>
        </is>
      </c>
      <c r="M1406" s="4" t="inlineStr">
        <is>
          <t>[{"ingredient_id": "chickpeas", "name": "Chickpeas, cooked", "grams": 400.0, "note": ""}, {"ingredient_id": "greek_yogurt", "name": "Greek yogurt, plain 2%", "grams": 80.0, "note": ""}, {"ingredient_id": "celery", "name": "Celery", "grams": 50.0, "note": ""}, {"ingredient_id": "red_onion", "name": "Red onion", "grams": 30.0, "note": ""}, {"ingredient_id": "dijon", "name": "Dijon mustard", "grams": 10.0, "note": ""}, {"ingredient_id": "lemon_juice", "name": "Lemon juice", "grams": 15.0, "note": ""}, {"ingredient_id": "dill", "name": "Fresh dill", "grams": 4.0, "note": ""}, {"ingredient_id": "butter_lettuce", "name": "Butter lettuce", "grams": 120.0, "note": ""}]</t>
        </is>
      </c>
      <c r="N1406" s="2" t="n">
        <v>190</v>
      </c>
      <c r="O1406" s="5" t="n">
        <v>11.6</v>
      </c>
      <c r="P1406" s="5" t="n">
        <v>3.2</v>
      </c>
      <c r="Q1406" s="5" t="n">
        <v>30</v>
      </c>
      <c r="R1406" s="5" t="n">
        <v>8.4</v>
      </c>
      <c r="S1406" s="5" t="n">
        <v>21.6</v>
      </c>
      <c r="T1406" s="2" t="n">
        <v>36</v>
      </c>
      <c r="U1406" s="2" t="inlineStr">
        <is>
          <t>low</t>
        </is>
      </c>
      <c r="V1406" s="5" t="n">
        <v>7.8</v>
      </c>
      <c r="W1406" s="2" t="inlineStr">
        <is>
          <t>low</t>
        </is>
      </c>
      <c r="X1406" s="3" t="inlineStr"/>
      <c r="Y1406" s="3" t="inlineStr">
        <is>
          <t>93% of this dish's available carbohydrate comes from ingredients with a published, measured GI; the rest uses conventional placeholders (see Ingredients sheet)</t>
        </is>
      </c>
      <c r="Z1406" s="2" t="n">
        <v>93</v>
      </c>
      <c r="AA1406" s="3" t="inlineStr">
        <is>
          <t>vegetarian, gluten-free, nut-free, high-fiber, no-cook</t>
        </is>
      </c>
      <c r="AB1406" s="3" t="inlineStr">
        <is>
          <t>1. Mash the chickpeas roughly.
2. Mix with yogurt, celery, onion, mustard, lemon and dill.
3. Serve in lettuce cups.</t>
        </is>
      </c>
      <c r="AC1406" s="4" t="inlineStr">
        <is>
          <t>["Mash the chickpeas roughly.", "Mix with yogurt, celery, onion, mustard, lemon and dill.", "Serve in lettuce cups."]</t>
        </is>
      </c>
    </row>
    <row r="1407" ht="96" customHeight="1">
      <c r="A1407" s="2" t="inlineStr">
        <is>
          <t>DB-1406</t>
        </is>
      </c>
      <c r="B1407" s="3" t="inlineStr">
        <is>
          <t>Stuffed Bell Peppers with Quinoa and Black Beans</t>
        </is>
      </c>
      <c r="C1407" s="4" t="inlineStr">
        <is>
          <t>Vegetarian &amp; Vegan</t>
        </is>
      </c>
      <c r="D1407" s="4" t="inlineStr">
        <is>
          <t>Tex-Mex</t>
        </is>
      </c>
      <c r="E1407" s="2" t="n">
        <v>4</v>
      </c>
      <c r="F1407" s="2" t="n">
        <v>15</v>
      </c>
      <c r="G1407" s="2" t="n">
        <v>40</v>
      </c>
      <c r="H1407" s="2" t="n">
        <v>55</v>
      </c>
      <c r="I1407" s="4" t="inlineStr">
        <is>
          <t>stuffed-bell-peppers-with-quinoa-and-black-beans.jpg</t>
        </is>
      </c>
      <c r="J1407" s="3" t="inlineStr">
        <is>
          <t>Stuffed Bell Peppers with Quinoa and Black Beans, healthy food photography, plated, natural light</t>
        </is>
      </c>
      <c r="K1407" s="4" t="inlineStr"/>
      <c r="L1407" s="3" t="inlineStr">
        <is>
          <t>Bell pepper — 600 g (21.2 oz)
Quinoa, cooked — 300 g (10.6 oz)
Black beans, cooked — 200 g (7.1 oz)
Sweet corn kernels — 100 g (3.5 oz)
Diced tomatoes, canned — 200 g (7.1 oz)
Ground cumin — 3 g (0.1 oz)
Chili powder — 3 g (0.1 oz)
Cheddar cheese — 60 g (2.1 oz)</t>
        </is>
      </c>
      <c r="M1407" s="4" t="inlineStr">
        <is>
          <t>[{"ingredient_id": "bell_pepper", "name": "Bell pepper", "grams": 600.0, "note": ""}, {"ingredient_id": "quinoa", "name": "Quinoa, cooked", "grams": 300.0, "note": ""}, {"ingredient_id": "black_beans", "name": "Black beans, cooked", "grams": 200.0, "note": ""}, {"ingredient_id": "corn", "name": "Sweet corn kernels", "grams": 100.0, "note": ""}, {"ingredient_id": "diced_tomatoes", "name": "Diced tomatoes, canned", "grams": 200.0, "note": ""}, {"ingredient_id": "cumin", "name": "Ground cumin", "grams": 3.0, "note": ""}, {"ingredient_id": "chili_powder", "name": "Chili powder", "grams": 3.0, "note": ""}, {"ingredient_id": "cheddar", "name": "Cheddar cheese", "grams": 60.0, "note": ""}]</t>
        </is>
      </c>
      <c r="N1407" s="2" t="n">
        <v>301</v>
      </c>
      <c r="O1407" s="5" t="n">
        <v>14.4</v>
      </c>
      <c r="P1407" s="5" t="n">
        <v>7.8</v>
      </c>
      <c r="Q1407" s="5" t="n">
        <v>44.8</v>
      </c>
      <c r="R1407" s="5" t="n">
        <v>11.4</v>
      </c>
      <c r="S1407" s="5" t="n">
        <v>33.4</v>
      </c>
      <c r="T1407" s="2" t="n">
        <v>39</v>
      </c>
      <c r="U1407" s="2" t="inlineStr">
        <is>
          <t>low</t>
        </is>
      </c>
      <c r="V1407" s="5" t="n">
        <v>13</v>
      </c>
      <c r="W1407" s="2" t="inlineStr">
        <is>
          <t>medium</t>
        </is>
      </c>
      <c r="X1407" s="3" t="inlineStr"/>
      <c r="Y1407" s="3" t="inlineStr">
        <is>
          <t>76% of this dish's available carbohydrate comes from ingredients with a published, measured GI; the rest uses conventional placeholders (see Ingredients sheet)</t>
        </is>
      </c>
      <c r="Z1407" s="2" t="n">
        <v>76</v>
      </c>
      <c r="AA1407" s="3" t="inlineStr">
        <is>
          <t>vegetarian, gluten-free, nut-free, high-fiber</t>
        </is>
      </c>
      <c r="AB1407" s="3" t="inlineStr">
        <is>
          <t>1. Mix the quinoa, beans, corn, tomatoes and spices.
2. Fill the halved peppers and top with cheddar.
3. Bake at 375°F for 30 minutes.</t>
        </is>
      </c>
      <c r="AC1407" s="4" t="inlineStr">
        <is>
          <t>["Mix the quinoa, beans, corn, tomatoes and spices.", "Fill the halved peppers and top with cheddar.", "Bake at 375°F for 30 minutes."]</t>
        </is>
      </c>
    </row>
    <row r="1408" ht="96" customHeight="1">
      <c r="A1408" s="2" t="inlineStr">
        <is>
          <t>DB-1407</t>
        </is>
      </c>
      <c r="B1408" s="3" t="inlineStr">
        <is>
          <t>Cauliflower Steak with Chimichurri</t>
        </is>
      </c>
      <c r="C1408" s="4" t="inlineStr">
        <is>
          <t>Vegetarian &amp; Vegan</t>
        </is>
      </c>
      <c r="D1408" s="4" t="inlineStr">
        <is>
          <t>Argentinian</t>
        </is>
      </c>
      <c r="E1408" s="2" t="n">
        <v>4</v>
      </c>
      <c r="F1408" s="2" t="n">
        <v>15</v>
      </c>
      <c r="G1408" s="2" t="n">
        <v>25</v>
      </c>
      <c r="H1408" s="2" t="n">
        <v>40</v>
      </c>
      <c r="I1408" s="4" t="inlineStr">
        <is>
          <t>cauliflower-steak-with-chimichurri.jpg</t>
        </is>
      </c>
      <c r="J1408" s="3" t="inlineStr">
        <is>
          <t>Cauliflower Steak with Chimichurri, healthy food photography, plated, natural light</t>
        </is>
      </c>
      <c r="K1408" s="4" t="inlineStr"/>
      <c r="L1408" s="3" t="inlineStr">
        <is>
          <t>Cauliflower — 800 g (28.2 oz)
Fresh parsley — 30 g (1.1 oz)
Garlic — 8 g (0.3 oz)
Red wine vinegar — 25 g (0.9 oz)
Extra-virgin olive oil — 45 g (1.6 oz)
Red pepper flakes — 1 g (0.0 oz)
Dried oregano — 2 g (0.1 oz)</t>
        </is>
      </c>
      <c r="M1408" s="4" t="inlineStr">
        <is>
          <t>[{"ingredient_id": "cauliflower", "name": "Cauliflower", "grams": 800.0, "note": ""}, {"ingredient_id": "parsley", "name": "Fresh parsley", "grams": 30.0, "note": ""}, {"ingredient_id": "garlic", "name": "Garlic", "grams": 8.0, "note": ""}, {"ingredient_id": "red_wine_vinegar", "name": "Red wine vinegar", "grams": 25.0, "note": ""}, {"ingredient_id": "olive_oil", "name": "Extra-virgin olive oil", "grams": 45.0, "note": ""}, {"ingredient_id": "red_pepper_flakes", "name": "Red pepper flakes", "grams": 1.0, "note": ""}, {"ingredient_id": "oregano", "name": "Dried oregano", "grams": 2.0, "note": ""}]</t>
        </is>
      </c>
      <c r="N1408" s="2" t="n">
        <v>158</v>
      </c>
      <c r="O1408" s="5" t="n">
        <v>4.2</v>
      </c>
      <c r="P1408" s="5" t="n">
        <v>12</v>
      </c>
      <c r="Q1408" s="5" t="n">
        <v>11.6</v>
      </c>
      <c r="R1408" s="5" t="n">
        <v>4.6</v>
      </c>
      <c r="S1408" s="5" t="n">
        <v>7.1</v>
      </c>
      <c r="T1408" s="2" t="n">
        <v>16</v>
      </c>
      <c r="U1408" s="2" t="inlineStr">
        <is>
          <t>low</t>
        </is>
      </c>
      <c r="V1408" s="5" t="n">
        <v>1.1</v>
      </c>
      <c r="W1408" s="2" t="inlineStr">
        <is>
          <t>low</t>
        </is>
      </c>
      <c r="X1408" s="3" t="inlineStr"/>
      <c r="Y1408" s="3" t="inlineStr">
        <is>
          <t>0% of this dish's available carbohydrate comes from ingredients with a published, measured GI; the rest uses conventional placeholders (see Ingredients sheet)</t>
        </is>
      </c>
      <c r="Z1408" s="2" t="n">
        <v>0</v>
      </c>
      <c r="AA1408" s="3" t="inlineStr">
        <is>
          <t>vegan, gluten-free, dairy-free, nut-free, low-carb</t>
        </is>
      </c>
      <c r="AB1408" s="3" t="inlineStr">
        <is>
          <t>1. Slice the cauliflower into thick steaks and roast with half the oil at 425°F for 25 minutes.
2. Chop the parsley and mix with garlic, vinegar, remaining oil and oregano.
3. Spoon over the steaks.</t>
        </is>
      </c>
      <c r="AC1408" s="4" t="inlineStr">
        <is>
          <t>["Slice the cauliflower into thick steaks and roast with half the oil at 425°F for 25 minutes.", "Chop the parsley and mix with garlic, vinegar, remaining oil and oregano.", "Spoon over the steaks."]</t>
        </is>
      </c>
    </row>
    <row r="1409" ht="96" customHeight="1">
      <c r="A1409" s="2" t="inlineStr">
        <is>
          <t>DB-1408</t>
        </is>
      </c>
      <c r="B1409" s="3" t="inlineStr">
        <is>
          <t>Portobello Fajita Wraps</t>
        </is>
      </c>
      <c r="C1409" s="4" t="inlineStr">
        <is>
          <t>Vegetarian &amp; Vegan</t>
        </is>
      </c>
      <c r="D1409" s="4" t="inlineStr">
        <is>
          <t>Tex-Mex</t>
        </is>
      </c>
      <c r="E1409" s="2" t="n">
        <v>4</v>
      </c>
      <c r="F1409" s="2" t="n">
        <v>15</v>
      </c>
      <c r="G1409" s="2" t="n">
        <v>12</v>
      </c>
      <c r="H1409" s="2" t="n">
        <v>27</v>
      </c>
      <c r="I1409" s="4" t="inlineStr">
        <is>
          <t>portobello-fajita-wraps.jpg</t>
        </is>
      </c>
      <c r="J1409" s="3" t="inlineStr">
        <is>
          <t>Portobello Fajita Wraps, healthy food photography, plated, natural light</t>
        </is>
      </c>
      <c r="K1409" s="4" t="inlineStr"/>
      <c r="L1409" s="3" t="inlineStr">
        <is>
          <t>Portobello mushrooms — 400 g (14.1 oz)
Bell pepper — 250 g (8.8 oz)
Yellow onion — 120 g (4.2 oz)
Flour tortilla, 8-inch — 240 g (8.5 oz)
Taco seasoning, low sodium — 10 g (0.4 oz)
Avocado — 100 g (3.5 oz)
Lime juice — 15 g (0.5 oz)
Extra-virgin olive oil — 15 g (0.5 oz)</t>
        </is>
      </c>
      <c r="M1409" s="4" t="inlineStr">
        <is>
          <t>[{"ingredient_id": "portobello", "name": "Portobello mushrooms", "grams": 400.0, "note": ""}, {"ingredient_id": "bell_pepper", "name": "Bell pepper", "grams": 250.0, "note": ""}, {"ingredient_id": "onion", "name": "Yellow onion", "grams": 120.0, "note": ""}, {"ingredient_id": "flour_tortilla", "name": "Flour tortilla, 8-inch", "grams": 240.0, "note": ""}, {"ingredient_id": "taco_seasoning", "name": "Taco seasoning, low sodium", "grams": 10.0, "note": ""}, {"ingredient_id": "avocado", "name": "Avocado", "grams": 100.0, "note": ""}, {"ingredient_id": "lime_juice", "name": "Lime juice", "grams": 15.0, "note": ""}, {"ingredient_id": "olive_oil", "name": "Extra-virgin olive oil", "grams": 15.0, "note": ""}]</t>
        </is>
      </c>
      <c r="N1409" s="2" t="n">
        <v>319</v>
      </c>
      <c r="O1409" s="5" t="n">
        <v>8.699999999999999</v>
      </c>
      <c r="P1409" s="5" t="n">
        <v>13.1</v>
      </c>
      <c r="Q1409" s="5" t="n">
        <v>43.9</v>
      </c>
      <c r="R1409" s="5" t="n">
        <v>7.5</v>
      </c>
      <c r="S1409" s="5" t="n">
        <v>36.4</v>
      </c>
      <c r="T1409" s="2" t="n">
        <v>29</v>
      </c>
      <c r="U1409" s="2" t="inlineStr">
        <is>
          <t>low</t>
        </is>
      </c>
      <c r="V1409" s="5" t="n">
        <v>10.5</v>
      </c>
      <c r="W1409" s="2" t="inlineStr">
        <is>
          <t>medium</t>
        </is>
      </c>
      <c r="X1409" s="3" t="inlineStr"/>
      <c r="Y1409" s="3" t="inlineStr">
        <is>
          <t>76% of this dish's available carbohydrate comes from ingredients with a published, measured GI; the rest uses conventional placeholders (see Ingredients sheet)</t>
        </is>
      </c>
      <c r="Z1409" s="2" t="n">
        <v>76</v>
      </c>
      <c r="AA1409" s="3" t="inlineStr">
        <is>
          <t>vegan, dairy-free, nut-free, high-fiber</t>
        </is>
      </c>
      <c r="AB1409" s="3" t="inlineStr">
        <is>
          <t>1. Slice the mushrooms, peppers and onion and sauté in oil with the seasoning.
2. Warm the tortillas.
3. Fill with vegetables and avocado and finish with lime.</t>
        </is>
      </c>
      <c r="AC1409" s="4" t="inlineStr">
        <is>
          <t>["Slice the mushrooms, peppers and onion and sauté in oil with the seasoning.", "Warm the tortillas.", "Fill with vegetables and avocado and finish with lime."]</t>
        </is>
      </c>
    </row>
    <row r="1410" ht="96" customHeight="1">
      <c r="A1410" s="2" t="inlineStr">
        <is>
          <t>DB-1409</t>
        </is>
      </c>
      <c r="B1410" s="3" t="inlineStr">
        <is>
          <t>Mediterranean Chickpea Bowls</t>
        </is>
      </c>
      <c r="C1410" s="4" t="inlineStr">
        <is>
          <t>Vegetarian &amp; Vegan</t>
        </is>
      </c>
      <c r="D1410" s="4" t="inlineStr">
        <is>
          <t>Mediterranean</t>
        </is>
      </c>
      <c r="E1410" s="2" t="n">
        <v>4</v>
      </c>
      <c r="F1410" s="2" t="n">
        <v>15</v>
      </c>
      <c r="G1410" s="2" t="n">
        <v>10</v>
      </c>
      <c r="H1410" s="2" t="n">
        <v>25</v>
      </c>
      <c r="I1410" s="4" t="inlineStr">
        <is>
          <t>mediterranean-chickpea-bowls.jpg</t>
        </is>
      </c>
      <c r="J1410" s="3" t="inlineStr">
        <is>
          <t>Mediterranean Chickpea Bowls, healthy food photography, plated, natural light</t>
        </is>
      </c>
      <c r="K1410" s="4" t="inlineStr"/>
      <c r="L1410" s="3" t="inlineStr">
        <is>
          <t>Chickpeas, cooked — 400 g (14.1 oz)
Cucumber — 150 g (5.3 oz)
Cherry tomatoes — 150 g (5.3 oz)
Red onion — 40 g (1.4 oz)
Feta cheese — 60 g (2.1 oz)
Olives (kalamata/green) — 40 g (1.4 oz)
Quinoa, cooked — 300 g (10.6 oz)
Lemon juice — 25 g (0.9 oz)
Extra-virgin olive oil — 25 g (0.9 oz)</t>
        </is>
      </c>
      <c r="M1410" s="4" t="inlineStr">
        <is>
          <t>[{"ingredient_id": "chickpeas", "name": "Chickpeas, cooked", "grams": 400.0, "note": ""}, {"ingredient_id": "cucumber", "name": "Cucumber", "grams": 150.0, "note": ""}, {"ingredient_id": "cherry_tomato", "name": "Cherry tomatoes", "grams": 150.0, "note": ""}, {"ingredient_id": "red_onion", "name": "Red onion", "grams": 40.0, "note": ""}, {"ingredient_id": "feta", "name": "Feta cheese", "grams": 60.0, "note": ""}, {"ingredient_id": "olives", "name": "Olives (kalamata/green)", "grams": 40.0, "note": ""}, {"ingredient_id": "quinoa", "name": "Quinoa, cooked", "grams": 300.0, "note": ""}, {"ingredient_id": "lemon_juice", "name": "Lemon juice", "grams": 25.0, "note": ""}, {"ingredient_id": "olive_oil", "name": "Extra-virgin olive oil", "grams": 25.0, "note": ""}]</t>
        </is>
      </c>
      <c r="N1410" s="2" t="n">
        <v>378</v>
      </c>
      <c r="O1410" s="5" t="n">
        <v>15.1</v>
      </c>
      <c r="P1410" s="5" t="n">
        <v>14.7</v>
      </c>
      <c r="Q1410" s="5" t="n">
        <v>48.1</v>
      </c>
      <c r="R1410" s="5" t="n">
        <v>10.8</v>
      </c>
      <c r="S1410" s="5" t="n">
        <v>37.3</v>
      </c>
      <c r="T1410" s="2" t="n">
        <v>41</v>
      </c>
      <c r="U1410" s="2" t="inlineStr">
        <is>
          <t>low</t>
        </is>
      </c>
      <c r="V1410" s="5" t="n">
        <v>15.3</v>
      </c>
      <c r="W1410" s="2" t="inlineStr">
        <is>
          <t>medium</t>
        </is>
      </c>
      <c r="X1410" s="3" t="inlineStr"/>
      <c r="Y1410" s="3" t="inlineStr">
        <is>
          <t>89% of this dish's available carbohydrate comes from ingredients with a published, measured GI; the rest uses conventional placeholders (see Ingredients sheet)</t>
        </is>
      </c>
      <c r="Z1410" s="2" t="n">
        <v>89</v>
      </c>
      <c r="AA1410" s="3" t="inlineStr">
        <is>
          <t>vegetarian, gluten-free, nut-free, high-fiber</t>
        </is>
      </c>
      <c r="AB1410" s="3" t="inlineStr">
        <is>
          <t>1. Roast or warm the chickpeas.
2. Build bowls from quinoa, chickpeas, cucumber, tomatoes, onion, olives and feta.
3. Dress with lemon and oil.</t>
        </is>
      </c>
      <c r="AC1410" s="4" t="inlineStr">
        <is>
          <t>["Roast or warm the chickpeas.", "Build bowls from quinoa, chickpeas, cucumber, tomatoes, onion, olives and feta.", "Dress with lemon and oil."]</t>
        </is>
      </c>
    </row>
    <row r="1411" ht="96" customHeight="1">
      <c r="A1411" s="2" t="inlineStr">
        <is>
          <t>DB-1410</t>
        </is>
      </c>
      <c r="B1411" s="3" t="inlineStr">
        <is>
          <t>Lentil Bolognese over Zucchini Noodles</t>
        </is>
      </c>
      <c r="C1411" s="4" t="inlineStr">
        <is>
          <t>Vegetarian &amp; Vegan</t>
        </is>
      </c>
      <c r="D1411" s="4" t="inlineStr">
        <is>
          <t>Italian</t>
        </is>
      </c>
      <c r="E1411" s="2" t="n">
        <v>4</v>
      </c>
      <c r="F1411" s="2" t="n">
        <v>10</v>
      </c>
      <c r="G1411" s="2" t="n">
        <v>30</v>
      </c>
      <c r="H1411" s="2" t="n">
        <v>40</v>
      </c>
      <c r="I1411" s="4" t="inlineStr">
        <is>
          <t>lentil-bolognese-over-zucchini-noodles.jpg</t>
        </is>
      </c>
      <c r="J1411" s="3" t="inlineStr">
        <is>
          <t>Lentil Bolognese over Zucchini Noodles, healthy food photography, plated, natural light</t>
        </is>
      </c>
      <c r="K1411" s="4" t="inlineStr"/>
      <c r="L1411" s="3" t="inlineStr">
        <is>
          <t>Lentils, cooked — 250 g (8.8 oz)
Marinara sauce, no sugar added — 400 g (14.1 oz)
Zucchini noodles (zoodles) — 500 g (17.6 oz)
Yellow onion — 100 g (3.5 oz)
Carrot — 80 g (2.8 oz)
Garlic — 6 g (0.2 oz)
Italian seasoning — 3 g (0.1 oz)
Parmesan, grated — 30 g (1.1 oz)</t>
        </is>
      </c>
      <c r="M1411" s="4" t="inlineStr">
        <is>
          <t>[{"ingredient_id": "lentils", "name": "Lentils, cooked", "grams": 250.0, "note": ""}, {"ingredient_id": "marinara", "name": "Marinara sauce, no sugar added", "grams": 400.0, "note": ""}, {"ingredient_id": "zucchini_noodles", "name": "Zucchini noodles (zoodles)", "grams": 500.0,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30.0, "note": ""}]</t>
        </is>
      </c>
      <c r="N1411" s="2" t="n">
        <v>193</v>
      </c>
      <c r="O1411" s="5" t="n">
        <v>12.1</v>
      </c>
      <c r="P1411" s="5" t="n">
        <v>5.4</v>
      </c>
      <c r="Q1411" s="5" t="n">
        <v>26.9</v>
      </c>
      <c r="R1411" s="5" t="n">
        <v>9</v>
      </c>
      <c r="S1411" s="5" t="n">
        <v>17.9</v>
      </c>
      <c r="T1411" s="2" t="n">
        <v>30</v>
      </c>
      <c r="U1411" s="2" t="inlineStr">
        <is>
          <t>low</t>
        </is>
      </c>
      <c r="V1411" s="5" t="n">
        <v>5.4</v>
      </c>
      <c r="W1411" s="2" t="inlineStr">
        <is>
          <t>low</t>
        </is>
      </c>
      <c r="X1411" s="3" t="inlineStr"/>
      <c r="Y1411" s="3" t="inlineStr">
        <is>
          <t>69% of this dish's available carbohydrate comes from ingredients with a published, measured GI; the rest uses conventional placeholders (see Ingredients sheet)</t>
        </is>
      </c>
      <c r="Z1411" s="2" t="n">
        <v>69</v>
      </c>
      <c r="AA1411" s="3" t="inlineStr">
        <is>
          <t>vegetarian, gluten-free, nut-free, high-fiber</t>
        </is>
      </c>
      <c r="AB1411" s="3" t="inlineStr">
        <is>
          <t>1. Simmer the cooked lentils with the onion, carrot, garlic, marinara and seasoning for 20 minutes.
2. Warm the zucchini noodles briefly.
3. Serve topped with parmesan.</t>
        </is>
      </c>
      <c r="AC1411" s="4" t="inlineStr">
        <is>
          <t>["Simmer the cooked lentils with the onion, carrot, garlic, marinara and seasoning for 20 minutes.", "Warm the zucchini noodles briefly.", "Serve topped with parmesan."]</t>
        </is>
      </c>
    </row>
    <row r="1412" ht="96" customHeight="1">
      <c r="A1412" s="2" t="inlineStr">
        <is>
          <t>DB-1411</t>
        </is>
      </c>
      <c r="B1412" s="3" t="inlineStr">
        <is>
          <t>Spinach and Ricotta Stuffed Mushrooms</t>
        </is>
      </c>
      <c r="C1412" s="4" t="inlineStr">
        <is>
          <t>Vegetarian &amp; Vegan</t>
        </is>
      </c>
      <c r="D1412" s="4" t="inlineStr">
        <is>
          <t>Italian</t>
        </is>
      </c>
      <c r="E1412" s="2" t="n">
        <v>4</v>
      </c>
      <c r="F1412" s="2" t="n">
        <v>15</v>
      </c>
      <c r="G1412" s="2" t="n">
        <v>25</v>
      </c>
      <c r="H1412" s="2" t="n">
        <v>40</v>
      </c>
      <c r="I1412" s="4" t="inlineStr">
        <is>
          <t>spinach-and-ricotta-stuffed-mushrooms.jpg</t>
        </is>
      </c>
      <c r="J1412" s="3" t="inlineStr">
        <is>
          <t>Spinach and Ricotta Stuffed Mushrooms, healthy food photography, plated, natural light</t>
        </is>
      </c>
      <c r="K1412" s="4" t="inlineStr"/>
      <c r="L1412" s="3" t="inlineStr">
        <is>
          <t>Portobello mushrooms — 480 g (16.9 oz)
Ricotta, part-skim — 200 g (7.1 oz)
Spinach — 150 g (5.3 oz)
Parmesan, grated — 30 g (1.1 oz)
Garlic — 6 g (0.2 oz)
Egg, large (50 g each) — 50 g (1.8 oz)</t>
        </is>
      </c>
      <c r="M1412" s="4" t="inlineStr">
        <is>
          <t>[{"ingredient_id": "portobello", "name": "Portobello mushrooms", "grams": 480.0, "note": ""}, {"ingredient_id": "ricotta", "name": "Ricotta, part-skim", "grams": 200.0, "note": ""}, {"ingredient_id": "spinach", "name": "Spinach", "grams": 150.0, "note": ""}, {"ingredient_id": "parmesan", "name": "Parmesan, grated", "grams": 30.0, "note": ""}, {"ingredient_id": "garlic", "name": "Garlic", "grams": 6.0, "note": ""}, {"ingredient_id": "egg", "name": "Egg, large (50 g each)", "grams": 50.0, "note": ""}]</t>
        </is>
      </c>
      <c r="N1412" s="2" t="n">
        <v>156</v>
      </c>
      <c r="O1412" s="5" t="n">
        <v>13.6</v>
      </c>
      <c r="P1412" s="5" t="n">
        <v>8</v>
      </c>
      <c r="Q1412" s="5" t="n">
        <v>9.4</v>
      </c>
      <c r="R1412" s="5" t="n">
        <v>2.4</v>
      </c>
      <c r="S1412" s="5" t="n">
        <v>7</v>
      </c>
      <c r="T1412" s="2" t="n">
        <v>15</v>
      </c>
      <c r="U1412" s="2" t="inlineStr">
        <is>
          <t>low</t>
        </is>
      </c>
      <c r="V1412" s="5" t="n">
        <v>1</v>
      </c>
      <c r="W1412" s="2" t="inlineStr">
        <is>
          <t>low</t>
        </is>
      </c>
      <c r="X1412" s="3" t="inlineStr"/>
      <c r="Y1412" s="3" t="inlineStr">
        <is>
          <t>0% of this dish's available carbohydrate comes from ingredients with a published, measured GI; the rest uses conventional placeholders (see Ingredients sheet)</t>
        </is>
      </c>
      <c r="Z1412" s="2" t="n">
        <v>0</v>
      </c>
      <c r="AA1412" s="3" t="inlineStr">
        <is>
          <t>vegetarian, gluten-free, nut-free, low-carb</t>
        </is>
      </c>
      <c r="AB1412" s="3" t="inlineStr">
        <is>
          <t>1. Wilt the spinach with garlic and mix with the ricotta, egg and parmesan.
2. Fill the caps.
3. Bake at 400°F for 20 minutes.</t>
        </is>
      </c>
      <c r="AC1412" s="4" t="inlineStr">
        <is>
          <t>["Wilt the spinach with garlic and mix with the ricotta, egg and parmesan.", "Fill the caps.", "Bake at 400°F for 20 minutes."]</t>
        </is>
      </c>
    </row>
    <row r="1413" ht="96" customHeight="1">
      <c r="A1413" s="2" t="inlineStr">
        <is>
          <t>DB-1412</t>
        </is>
      </c>
      <c r="B1413" s="3" t="inlineStr">
        <is>
          <t>Black Bean Burger Bowls with Avocado Crema</t>
        </is>
      </c>
      <c r="C1413" s="4" t="inlineStr">
        <is>
          <t>Vegetarian &amp; Vegan</t>
        </is>
      </c>
      <c r="D1413" s="4" t="inlineStr">
        <is>
          <t>Tex-Mex</t>
        </is>
      </c>
      <c r="E1413" s="2" t="n">
        <v>4</v>
      </c>
      <c r="F1413" s="2" t="n">
        <v>15</v>
      </c>
      <c r="G1413" s="2" t="n">
        <v>15</v>
      </c>
      <c r="H1413" s="2" t="n">
        <v>30</v>
      </c>
      <c r="I1413" s="4" t="inlineStr">
        <is>
          <t>black-bean-burger-bowls-with-avocado-crema.jpg</t>
        </is>
      </c>
      <c r="J1413" s="3" t="inlineStr">
        <is>
          <t>Black Bean Burger Bowls with Avocado Crema, healthy food photography, plated, natural light</t>
        </is>
      </c>
      <c r="K1413" s="4" t="inlineStr"/>
      <c r="L1413" s="3" t="inlineStr">
        <is>
          <t>Black beans, cooked — 400 g (14.1 oz)
Rolled oats, dry — 50 g (1.8 oz)
Egg, large (50 g each) — 50 g (1.8 oz)
Ground cumin — 2 g (0.1 oz)
Smoked paprika — 2 g (0.1 oz)
Avocado — 100 g (3.5 oz)
Greek yogurt, plain 2% — 80 g (2.8 oz)
Lime juice — 15 g (0.5 oz)
Romaine lettuce — 120 g (4.2 oz)
Tomato — 120 g (4.2 oz)</t>
        </is>
      </c>
      <c r="M1413"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"avocado", "name": "Avocado", "grams": 100.0, "note": ""}, {"ingredient_id": "greek_yogurt", "name": "Greek yogurt, plain 2%", "grams": 80.0, "note": ""}, {"ingredient_id": "lime_juice", "name": "Lime juice", "grams": 15.0, "note": ""}, {"ingredient_id": "romaine", "name": "Romaine lettuce", "grams": 120.0, "note": ""}, {"ingredient_id": "tomato", "name": "Tomato", "grams": 120.0, "note": ""}]</t>
        </is>
      </c>
      <c r="N1413" s="2" t="n">
        <v>267</v>
      </c>
      <c r="O1413" s="5" t="n">
        <v>15.4</v>
      </c>
      <c r="P1413" s="5" t="n">
        <v>7</v>
      </c>
      <c r="Q1413" s="5" t="n">
        <v>38.2</v>
      </c>
      <c r="R1413" s="5" t="n">
        <v>12.9</v>
      </c>
      <c r="S1413" s="5" t="n">
        <v>25.3</v>
      </c>
      <c r="T1413" s="2" t="n">
        <v>36</v>
      </c>
      <c r="U1413" s="2" t="inlineStr">
        <is>
          <t>low</t>
        </is>
      </c>
      <c r="V1413" s="5" t="n">
        <v>9.1</v>
      </c>
      <c r="W1413" s="2" t="inlineStr">
        <is>
          <t>low</t>
        </is>
      </c>
      <c r="X1413" s="3" t="inlineStr"/>
      <c r="Y1413" s="3" t="inlineStr">
        <is>
          <t>91% of this dish's available carbohydrate comes from ingredients with a published, measured GI; the rest uses conventional placeholders (see Ingredients sheet)</t>
        </is>
      </c>
      <c r="Z1413" s="2" t="n">
        <v>91</v>
      </c>
      <c r="AA1413" s="3" t="inlineStr">
        <is>
          <t>vegetarian, nut-free, high-fiber</t>
        </is>
      </c>
      <c r="AB1413" s="3" t="inlineStr">
        <is>
          <t>1. Mash the beans with oats, egg and spices and form four patties; pan-fry 5 minutes a side.
2. Blend the avocado, yogurt and lime into a crema.
3. Serve the patties over romaine and tomato with the crema.</t>
        </is>
      </c>
      <c r="AC1413" s="4" t="inlineStr">
        <is>
          <t>["Mash the beans with oats, egg and spices and form four patties; pan-fry 5 minutes a side.", "Blend the avocado, yogurt and lime into a crema.", "Serve the patties over romaine and tomato with the crema."]</t>
        </is>
      </c>
    </row>
    <row r="1414" ht="96" customHeight="1">
      <c r="A1414" s="2" t="inlineStr">
        <is>
          <t>DB-1413</t>
        </is>
      </c>
      <c r="B1414" s="3" t="inlineStr">
        <is>
          <t>Edamame and Vegetable Stir-Fry with Brown Rice</t>
        </is>
      </c>
      <c r="C1414" s="4" t="inlineStr">
        <is>
          <t>Vegetarian &amp; Vegan</t>
        </is>
      </c>
      <c r="D1414" s="4" t="inlineStr">
        <is>
          <t>Asian</t>
        </is>
      </c>
      <c r="E1414" s="2" t="n">
        <v>4</v>
      </c>
      <c r="F1414" s="2" t="n">
        <v>10</v>
      </c>
      <c r="G1414" s="2" t="n">
        <v>12</v>
      </c>
      <c r="H1414" s="2" t="n">
        <v>22</v>
      </c>
      <c r="I1414" s="4" t="inlineStr">
        <is>
          <t>edamame-and-vegetable-stir-fry-with-brown-rice.jpg</t>
        </is>
      </c>
      <c r="J1414" s="3" t="inlineStr">
        <is>
          <t>Edamame and Vegetable Stir-Fry with Brown Rice, healthy food photography, plated, natural light</t>
        </is>
      </c>
      <c r="K1414" s="4" t="inlineStr"/>
      <c r="L1414" s="3" t="inlineStr">
        <is>
          <t>Edamame, shelled, cooked — 300 g (10.6 oz)
Broccoli — 250 g (8.8 oz)
Carrot — 100 g (3.5 oz)
Bell pepper — 100 g (3.5 oz)
Soy sauce, low sodium — 30 g (1.1 oz)
Fresh ginger — 8 g (0.3 oz)
Garlic — 6 g (0.2 oz)
Toasted sesame oil — 8 g (0.3 oz)
Brown rice, cooked — 360 g (12.7 oz)</t>
        </is>
      </c>
      <c r="M1414" s="4" t="inlineStr">
        <is>
          <t>[{"ingredient_id": "edamame", "name": "Edamame, shelled, cooked", "grams": 300.0, "note": ""}, {"ingredient_id": "broccoli", "name": "Broccoli", "grams": 250.0, "note": ""}, {"ingredient_id": "carrot", "name": "Carrot", "grams": 100.0, "note": ""}, {"ingredient_id": "bell_pepper", "name": "Bell pepper", "grams": 100.0, "note": ""}, {"ingredient_id": "soy_sauce", "name": "Soy sauce, low sodium", "grams": 30.0, "note": ""}, {"ingredient_id": "ginger", "name": "Fresh ginger", "grams": 8.0, "note": ""}, {"ingredient_id": "garlic", "name": "Garlic", "grams": 6.0, "note": ""}, {"ingredient_id": "sesame_oil", "name": "Toasted sesame oil", "grams": 8.0, "note": ""}, {"ingredient_id": "brown_rice", "name": "Brown rice, cooked", "grams": 360.0, "note": ""}]</t>
        </is>
      </c>
      <c r="N1414" s="2" t="n">
        <v>256</v>
      </c>
      <c r="O1414" s="5" t="n">
        <v>14</v>
      </c>
      <c r="P1414" s="5" t="n">
        <v>6.9</v>
      </c>
      <c r="Q1414" s="5" t="n">
        <v>37.6</v>
      </c>
      <c r="R1414" s="5" t="n">
        <v>8.4</v>
      </c>
      <c r="S1414" s="5" t="n">
        <v>29.3</v>
      </c>
      <c r="T1414" s="2" t="n">
        <v>53</v>
      </c>
      <c r="U1414" s="2" t="inlineStr">
        <is>
          <t>low</t>
        </is>
      </c>
      <c r="V1414" s="5" t="n">
        <v>15.5</v>
      </c>
      <c r="W1414" s="2" t="inlineStr">
        <is>
          <t>medium</t>
        </is>
      </c>
      <c r="X1414" s="3" t="inlineStr"/>
      <c r="Y1414" s="3" t="inlineStr">
        <is>
          <t>74% of this dish's available carbohydrate comes from ingredients with a published, measured GI; the rest uses conventional placeholders (see Ingredients sheet)</t>
        </is>
      </c>
      <c r="Z1414" s="2" t="n">
        <v>74</v>
      </c>
      <c r="AA1414" s="3" t="inlineStr">
        <is>
          <t>vegan, dairy-free, nut-free, high-fiber</t>
        </is>
      </c>
      <c r="AB1414" s="3" t="inlineStr">
        <is>
          <t>1. Stir-fry the vegetables, garlic and ginger in a little sesame oil.
2. Add the edamame and soy sauce.
3. Serve over rice.</t>
        </is>
      </c>
      <c r="AC1414" s="4" t="inlineStr">
        <is>
          <t>["Stir-fry the vegetables, garlic and ginger in a little sesame oil.", "Add the edamame and soy sauce.", "Serve over rice."]</t>
        </is>
      </c>
    </row>
    <row r="1415" ht="96" customHeight="1">
      <c r="A1415" s="2" t="inlineStr">
        <is>
          <t>DB-1414</t>
        </is>
      </c>
      <c r="B1415" s="3" t="inlineStr">
        <is>
          <t>Tempeh Tacos with Cabbage Slaw</t>
        </is>
      </c>
      <c r="C1415" s="4" t="inlineStr">
        <is>
          <t>Vegetarian &amp; Vegan</t>
        </is>
      </c>
      <c r="D1415" s="4" t="inlineStr">
        <is>
          <t>Tex-Mex</t>
        </is>
      </c>
      <c r="E1415" s="2" t="n">
        <v>4</v>
      </c>
      <c r="F1415" s="2" t="n">
        <v>15</v>
      </c>
      <c r="G1415" s="2" t="n">
        <v>12</v>
      </c>
      <c r="H1415" s="2" t="n">
        <v>27</v>
      </c>
      <c r="I1415" s="4" t="inlineStr">
        <is>
          <t>tempeh-tacos-with-cabbage-slaw.jpg</t>
        </is>
      </c>
      <c r="J1415" s="3" t="inlineStr">
        <is>
          <t>Tempeh Tacos with Cabbage Slaw, healthy food photography, plated, natural light</t>
        </is>
      </c>
      <c r="K1415" s="4" t="inlineStr"/>
      <c r="L1415" s="3" t="inlineStr">
        <is>
          <t>Tempeh — 300 g (10.6 oz)
Corn tortilla — 240 g (8.5 oz)
Taco seasoning, low sodium — 10 g (0.4 oz)
Red cabbage — 150 g (5.3 oz)
Lime juice — 25 g (0.9 oz)
Fresh cilantro — 8 g (0.3 oz)
Avocado — 100 g (3.5 oz)
Extra-virgin olive oil — 15 g (0.5 oz)</t>
        </is>
      </c>
      <c r="M1415" s="4" t="inlineStr">
        <is>
          <t>[{"ingredient_id": "tempeh", "name": "Tempeh", "grams": 300.0, "note": ""}, {"ingredient_id": "corn_tortilla", "name": "Corn tortilla", "grams": 240.0, "note": ""}, {"ingredient_id": "taco_seasoning", "name": "Taco seasoning, low sodium", "grams": 10.0, "note": ""}, {"ingredient_id": "red_cabbage", "name": "Red cabbage", "grams": 150.0, "note": ""}, {"ingredient_id": "lime_juice", "name": "Lime juice", "grams": 25.0, "note": ""}, {"ingredient_id": "cilantro", "name": "Fresh cilantro", "grams": 8.0, "note": ""}, {"ingredient_id": "avocado", "name": "Avocado", "grams": 100.0, "note": ""}, {"ingredient_id": "olive_oil", "name": "Extra-virgin olive oil", "grams": 15.0, "note": ""}]</t>
        </is>
      </c>
      <c r="N1415" s="2" t="n">
        <v>369</v>
      </c>
      <c r="O1415" s="5" t="n">
        <v>19.8</v>
      </c>
      <c r="P1415" s="5" t="n">
        <v>17.8</v>
      </c>
      <c r="Q1415" s="5" t="n">
        <v>39.9</v>
      </c>
      <c r="R1415" s="5" t="n">
        <v>11.4</v>
      </c>
      <c r="S1415" s="5" t="n">
        <v>28.4</v>
      </c>
      <c r="T1415" s="2" t="n">
        <v>45</v>
      </c>
      <c r="U1415" s="2" t="inlineStr">
        <is>
          <t>low</t>
        </is>
      </c>
      <c r="V1415" s="5" t="n">
        <v>12.8</v>
      </c>
      <c r="W1415" s="2" t="inlineStr">
        <is>
          <t>medium</t>
        </is>
      </c>
      <c r="X1415" s="3" t="inlineStr"/>
      <c r="Y1415" s="3" t="inlineStr">
        <is>
          <t>82% of this dish's available carbohydrate comes from ingredients with a published, measured GI; the rest uses conventional placeholders (see Ingredients sheet)</t>
        </is>
      </c>
      <c r="Z1415" s="2" t="n">
        <v>82</v>
      </c>
      <c r="AA1415" s="3" t="inlineStr">
        <is>
          <t>vegan, gluten-free, dairy-free, nut-free, high-fiber</t>
        </is>
      </c>
      <c r="AB1415" s="3" t="inlineStr">
        <is>
          <t>1. Crumble the tempeh and brown in oil with the seasoning.
2. Toss the cabbage with lime and cilantro.
3. Fill warm tortillas with tempeh, slaw and avocado.</t>
        </is>
      </c>
      <c r="AC1415" s="4" t="inlineStr">
        <is>
          <t>["Crumble the tempeh and brown in oil with the seasoning.", "Toss the cabbage with lime and cilantro.", "Fill warm tortillas with tempeh, slaw and avocado."]</t>
        </is>
      </c>
    </row>
    <row r="1416" ht="96" customHeight="1">
      <c r="A1416" s="2" t="inlineStr">
        <is>
          <t>DB-1415</t>
        </is>
      </c>
      <c r="B1416" s="3" t="inlineStr">
        <is>
          <t>Creamy Tomato Basil Pasta with White Beans</t>
        </is>
      </c>
      <c r="C1416" s="4" t="inlineStr">
        <is>
          <t>Vegetarian &amp; Vegan</t>
        </is>
      </c>
      <c r="D1416" s="4" t="inlineStr">
        <is>
          <t>Italian</t>
        </is>
      </c>
      <c r="E1416" s="2" t="n">
        <v>4</v>
      </c>
      <c r="F1416" s="2" t="n">
        <v>10</v>
      </c>
      <c r="G1416" s="2" t="n">
        <v>20</v>
      </c>
      <c r="H1416" s="2" t="n">
        <v>30</v>
      </c>
      <c r="I1416" s="4" t="inlineStr">
        <is>
          <t>creamy-tomato-basil-pasta-with-white-beans.jpg</t>
        </is>
      </c>
      <c r="J1416" s="3" t="inlineStr">
        <is>
          <t>Creamy Tomato Basil Pasta with White Beans, healthy food photography, plated, natural light</t>
        </is>
      </c>
      <c r="K1416" s="4" t="inlineStr"/>
      <c r="L1416" s="3" t="inlineStr">
        <is>
          <t>White pasta, cooked al dente — 400 g (14.1 oz)
Cannellini beans, cooked — 250 g (8.8 oz)
Crushed tomatoes, canned — 400 g (14.1 oz)
Fresh basil — 10 g (0.4 oz)
Garlic — 8 g (0.3 oz)
Heavy cream — 60 g (2.1 oz)
Parmesan, grated — 30 g (1.1 oz)
Extra-virgin olive oil — 15 g (0.5 oz)</t>
        </is>
      </c>
      <c r="M1416" s="4" t="inlineStr">
        <is>
          <t>[{"ingredient_id": "white_pasta", "name": "White pasta, cooked al dente", "grams": 400.0, "note": ""}, {"ingredient_id": "white_beans", "name": "Cannellini beans, cooked", "grams": 250.0, "note": ""}, {"ingredient_id": "crushed_tomatoes", "name": "Crushed tomatoes, canned", "grams": 400.0, "note": ""}, {"ingredient_id": "basil", "name": "Fresh basil", "grams": 10.0, "note": ""}, {"ingredient_id": "garlic", "name": "Garlic", "grams": 8.0, "note": ""}, {"ingredient_id": "heavy_cream", "name": "Heavy cream", "grams": 60.0, "note": ""}, {"ingredient_id": "parmesan", "name": "Parmesan, grated", "grams": 30.0, "note": ""}, {"ingredient_id": "olive_oil", "name": "Extra-virgin olive oil", "grams": 15.0, "note": ""}]</t>
        </is>
      </c>
      <c r="N1416" s="2" t="n">
        <v>396</v>
      </c>
      <c r="O1416" s="5" t="n">
        <v>16.8</v>
      </c>
      <c r="P1416" s="5" t="n">
        <v>12.8</v>
      </c>
      <c r="Q1416" s="5" t="n">
        <v>54.8</v>
      </c>
      <c r="R1416" s="5" t="n">
        <v>7.7</v>
      </c>
      <c r="S1416" s="5" t="n">
        <v>47.1</v>
      </c>
      <c r="T1416" s="2" t="n">
        <v>42</v>
      </c>
      <c r="U1416" s="2" t="inlineStr">
        <is>
          <t>low</t>
        </is>
      </c>
      <c r="V1416" s="5" t="n">
        <v>19.8</v>
      </c>
      <c r="W1416" s="2" t="inlineStr">
        <is>
          <t>medium</t>
        </is>
      </c>
      <c r="X1416" s="3" t="inlineStr"/>
      <c r="Y1416" s="3" t="inlineStr">
        <is>
          <t>86% of this dish's available carbohydrate comes from ingredients with a published, measured GI; the rest uses conventional placeholders (see Ingredients sheet)</t>
        </is>
      </c>
      <c r="Z1416" s="2" t="n">
        <v>86</v>
      </c>
      <c r="AA1416" s="3" t="inlineStr">
        <is>
          <t>vegetarian, nut-free, high-fiber</t>
        </is>
      </c>
      <c r="AB1416" s="3" t="inlineStr">
        <is>
          <t>1. Cook the pasta.
2. Simmer the garlic, tomatoes and beans, stir in the cream and basil.
3. Toss with the pasta and parmesan.</t>
        </is>
      </c>
      <c r="AC1416" s="4" t="inlineStr">
        <is>
          <t>["Cook the pasta.", "Simmer the garlic, tomatoes and beans, stir in the cream and basil.", "Toss with the pasta and parmesan."]</t>
        </is>
      </c>
    </row>
    <row r="1417" ht="96" customHeight="1">
      <c r="A1417" s="2" t="inlineStr">
        <is>
          <t>DB-1416</t>
        </is>
      </c>
      <c r="B1417" s="3" t="inlineStr">
        <is>
          <t>Sweet Potato and Black Bean Chili</t>
        </is>
      </c>
      <c r="C1417" s="4" t="inlineStr">
        <is>
          <t>Vegetarian &amp; Vegan</t>
        </is>
      </c>
      <c r="D1417" s="4" t="inlineStr">
        <is>
          <t>American</t>
        </is>
      </c>
      <c r="E1417" s="2" t="n">
        <v>6</v>
      </c>
      <c r="F1417" s="2" t="n">
        <v>15</v>
      </c>
      <c r="G1417" s="2" t="n">
        <v>40</v>
      </c>
      <c r="H1417" s="2" t="n">
        <v>55</v>
      </c>
      <c r="I1417" s="4" t="inlineStr">
        <is>
          <t>sweet-potato-and-black-bean-chili.jpg</t>
        </is>
      </c>
      <c r="J1417" s="3" t="inlineStr">
        <is>
          <t>Sweet Potato and Black Bean Chili, healthy food photography, plated, natural light</t>
        </is>
      </c>
      <c r="K1417" s="4" t="inlineStr"/>
      <c r="L1417" s="3" t="inlineStr">
        <is>
          <t>Sweet potato, boiled/simmered — 400 g (14.1 oz)
Black beans, cooked — 400 g (14.1 oz)
Diced tomatoes, canned — 400 g (14.1 oz)
Yellow onion — 120 g (4.2 oz)
Chili powder — 12 g (0.4 oz)
Ground cumin — 4 g (0.1 oz)
Garlic — 8 g (0.3 oz)
Vegetable broth, low sodium — 400 g (14.1 oz)
Lime juice — 15 g (0.5 oz)</t>
        </is>
      </c>
      <c r="M1417" s="4" t="inlineStr">
        <is>
          <t>[{"ingredient_id": "sweet_potato", "name": "Sweet potato, boiled/simmered", "grams": 400.0, "note": ""}, {"ingredient_id": "black_beans", "name": "Black beans, cooked", "grams": 400.0, "note": ""}, {"ingredient_id": "diced_tomatoes", "name": "Diced tomatoes, canned", "grams": 400.0, "note": ""}, {"ingredient_id": "onion", "name": "Yellow onion", "grams": 120.0, "note": ""}, {"ingredient_id": "chili_powder", "name": "Chili powder", "grams": 12.0, "note": ""}, {"ingredient_id": "cumin", "name": "Ground cumin", "grams": 4.0, "note": ""}, {"ingredient_id": "garlic", "name": "Garlic", "grams": 8.0, "note": ""}, {"ingredient_id": "vegetable_broth", "name": "Vegetable broth, low sodium", "grams": 400.0, "note": ""}, {"ingredient_id": "lime_juice", "name": "Lime juice", "grams": 15.0, "note": ""}]</t>
        </is>
      </c>
      <c r="N1417" s="2" t="n">
        <v>185</v>
      </c>
      <c r="O1417" s="5" t="n">
        <v>8.800000000000001</v>
      </c>
      <c r="P1417" s="5" t="n">
        <v>1.1</v>
      </c>
      <c r="Q1417" s="5" t="n">
        <v>37.3</v>
      </c>
      <c r="R1417" s="5" t="n">
        <v>9.9</v>
      </c>
      <c r="S1417" s="5" t="n">
        <v>27.3</v>
      </c>
      <c r="T1417" s="2" t="n">
        <v>35</v>
      </c>
      <c r="U1417" s="2" t="inlineStr">
        <is>
          <t>low</t>
        </is>
      </c>
      <c r="V1417" s="5" t="n">
        <v>9.6</v>
      </c>
      <c r="W1417" s="2" t="inlineStr">
        <is>
          <t>low</t>
        </is>
      </c>
      <c r="X1417" s="3" t="inlineStr"/>
      <c r="Y1417" s="3" t="inlineStr">
        <is>
          <t>78% of this dish's available carbohydrate comes from ingredients with a published, measured GI; the rest uses conventional placeholders (see Ingredients sheet)</t>
        </is>
      </c>
      <c r="Z1417" s="2" t="n">
        <v>78</v>
      </c>
      <c r="AA1417" s="3" t="inlineStr">
        <is>
          <t>vegan, gluten-free, dairy-free, nut-free, high-fiber</t>
        </is>
      </c>
      <c r="AB1417" s="3" t="inlineStr">
        <is>
          <t>1. Soften the onion and garlic, add the spices.
2. Add the sweet potato, beans, tomatoes and broth and simmer 30 minutes.
3. Finish with lime.</t>
        </is>
      </c>
      <c r="AC1417" s="4" t="inlineStr">
        <is>
          <t>["Soften the onion and garlic, add the spices.", "Add the sweet potato, beans, tomatoes and broth and simmer 30 minutes.", "Finish with lime."]</t>
        </is>
      </c>
    </row>
    <row r="1418" ht="96" customHeight="1">
      <c r="A1418" s="2" t="inlineStr">
        <is>
          <t>DB-1417</t>
        </is>
      </c>
      <c r="B1418" s="3" t="inlineStr">
        <is>
          <t>Falafel Bowls with Tahini Sauce</t>
        </is>
      </c>
      <c r="C1418" s="4" t="inlineStr">
        <is>
          <t>Vegetarian &amp; Vegan</t>
        </is>
      </c>
      <c r="D1418" s="4" t="inlineStr">
        <is>
          <t>Middle Eastern</t>
        </is>
      </c>
      <c r="E1418" s="2" t="n">
        <v>4</v>
      </c>
      <c r="F1418" s="2" t="n">
        <v>20</v>
      </c>
      <c r="G1418" s="2" t="n">
        <v>25</v>
      </c>
      <c r="H1418" s="2" t="n">
        <v>45</v>
      </c>
      <c r="I1418" s="4" t="inlineStr">
        <is>
          <t>falafel-bowls-with-tahini-sauce.jpg</t>
        </is>
      </c>
      <c r="J1418" s="3" t="inlineStr">
        <is>
          <t>Falafel Bowls with Tahini Sauce, healthy food photography, plated, natural light</t>
        </is>
      </c>
      <c r="K1418" s="4" t="inlineStr"/>
      <c r="L1418" s="3" t="inlineStr">
        <is>
          <t>Chickpeas, cooked — 400 g (14.1 oz)
Fresh parsley — 40 g (1.4 oz)
Yellow onion — 60 g (2.1 oz)
Garlic — 8 g (0.3 oz)
Ground cumin — 3 g (0.1 oz)
Oat flour — 40 g (1.4 oz)
Tahini — 40 g (1.4 oz)
Lemon juice — 30 g (1.1 oz)
Cucumber — 150 g (5.3 oz)
Tomato — 150 g (5.3 oz)
Quinoa, cooked — 300 g (10.6 oz)
Extra-virgin olive oil — 20 g (0.7 oz)</t>
        </is>
      </c>
      <c r="M1418" s="4" t="inlineStr">
        <is>
          <t>[{"ingredient_id": "chickpeas", "name": "Chickpeas, cooked", "grams": 400.0, "note": ""}, {"ingredient_id": "parsley", "name": "Fresh parsley", "grams": 40.0, "note": ""}, {"ingredient_id": "onion", "name": "Yellow onion", "grams": 60.0, "note": ""}, {"ingredient_id": "garlic", "name": "Garlic", "grams": 8.0, "note": ""}, {"ingredient_id": "cumin", "name": "Ground cumin", "grams": 3.0, "note": ""}, {"ingredient_id": "oat_flour", "name": "Oat flour", "grams": 40.0, "note": ""}, {"ingredient_id": "tahini", "name": "Tahini", "grams": 40.0, "note": ""}, {"ingredient_id": "lemon_juice", "name": "Lemon juice", "grams": 30.0, "note": ""}, {"ingredient_id": "cucumber", "name": "Cucumber", "grams": 150.0, "note": ""}, {"ingredient_id": "tomato", "name": "Tomato", "grams": 150.0, "note": ""}, {"ingredient_id": "quinoa", "name": "Quinoa, cooked", "grams": 300.0, "note": ""}, {"ingredient_id": "olive_oil", "name": "Extra-virgin olive oil", "grams": 20.0, "note": ""}]</t>
        </is>
      </c>
      <c r="N1418" s="2" t="n">
        <v>428</v>
      </c>
      <c r="O1418" s="5" t="n">
        <v>16.8</v>
      </c>
      <c r="P1418" s="5" t="n">
        <v>15.7</v>
      </c>
      <c r="Q1418" s="5" t="n">
        <v>57.8</v>
      </c>
      <c r="R1418" s="5" t="n">
        <v>12.6</v>
      </c>
      <c r="S1418" s="5" t="n">
        <v>45.2</v>
      </c>
      <c r="T1418" s="2" t="n">
        <v>43</v>
      </c>
      <c r="U1418" s="2" t="inlineStr">
        <is>
          <t>low</t>
        </is>
      </c>
      <c r="V1418" s="5" t="n">
        <v>19.4</v>
      </c>
      <c r="W1418" s="2" t="inlineStr">
        <is>
          <t>medium</t>
        </is>
      </c>
      <c r="X1418" s="3" t="inlineStr"/>
      <c r="Y1418" s="3" t="inlineStr">
        <is>
          <t>73% of this dish's available carbohydrate comes from ingredients with a published, measured GI; the rest uses conventional placeholders (see Ingredients sheet)</t>
        </is>
      </c>
      <c r="Z1418" s="2" t="n">
        <v>73</v>
      </c>
      <c r="AA1418" s="3" t="inlineStr">
        <is>
          <t>vegan, dairy-free, nut-free, high-fiber</t>
        </is>
      </c>
      <c r="AB1418" s="3" t="inlineStr">
        <is>
          <t>1. Pulse the chickpeas, parsley, onion, garlic, cumin and oat flour and shape patties.
2. Bake on an oiled tray at 400°F for 25 minutes.
3. Whisk the tahini with lemon and a little water.
4. Serve over quinoa with cucumber and tomato.</t>
        </is>
      </c>
      <c r="AC1418" s="4" t="inlineStr">
        <is>
          <t>["Pulse the chickpeas, parsley, onion, garlic, cumin and oat flour and shape patties.", "Bake on an oiled tray at 400°F for 25 minutes.", "Whisk the tahini with lemon and a little water.", "Serve over quinoa with cucumber and tomato."]</t>
        </is>
      </c>
    </row>
    <row r="1419" ht="96" customHeight="1">
      <c r="A1419" s="2" t="inlineStr">
        <is>
          <t>DB-1418</t>
        </is>
      </c>
      <c r="B1419" s="3" t="inlineStr">
        <is>
          <t>Vegetable Lo Mein with Tofu</t>
        </is>
      </c>
      <c r="C1419" s="4" t="inlineStr">
        <is>
          <t>Vegetarian &amp; Vegan</t>
        </is>
      </c>
      <c r="D1419" s="4" t="inlineStr">
        <is>
          <t>Chinese-American</t>
        </is>
      </c>
      <c r="E1419" s="2" t="n">
        <v>4</v>
      </c>
      <c r="F1419" s="2" t="n">
        <v>15</v>
      </c>
      <c r="G1419" s="2" t="n">
        <v>12</v>
      </c>
      <c r="H1419" s="2" t="n">
        <v>27</v>
      </c>
      <c r="I1419" s="4" t="inlineStr">
        <is>
          <t>vegetable-lo-mein-with-tofu.jpg</t>
        </is>
      </c>
      <c r="J1419" s="3" t="inlineStr">
        <is>
          <t>Vegetable Lo Mein with Tofu, healthy food photography, plated, natural light</t>
        </is>
      </c>
      <c r="K1419" s="4" t="inlineStr"/>
      <c r="L1419" s="3" t="inlineStr">
        <is>
          <t>Egg noodles, cooked — 400 g (14.1 oz)
Tofu, extra-firm — 250 g (8.8 oz)
Green cabbage — 200 g (7.1 oz)
Carrot — 100 g (3.5 oz)
Mung bean sprouts — 100 g (3.5 oz)
Soy sauce, low sodium — 35 g (1.2 oz)
Toasted sesame oil — 10 g (0.4 oz)
Garlic — 6 g (0.2 oz)
Fresh ginger — 6 g (0.2 oz)
Extra-virgin olive oil — 15 g (0.5 oz)</t>
        </is>
      </c>
      <c r="M1419" s="4" t="inlineStr">
        <is>
          <t>[{"ingredient_id": "egg_noodles", "name": "Egg noodles, cooked", "grams": 400.0, "note": ""}, {"ingredient_id": "tofu", "name": "Tofu, extra-firm", "grams": 250.0,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"olive_oil", "name": "Extra-virgin olive oil", "grams": 15.0, "note": ""}]</t>
        </is>
      </c>
      <c r="N1419" s="2" t="n">
        <v>321</v>
      </c>
      <c r="O1419" s="5" t="n">
        <v>17.6</v>
      </c>
      <c r="P1419" s="5" t="n">
        <v>14.1</v>
      </c>
      <c r="Q1419" s="5" t="n">
        <v>34.9</v>
      </c>
      <c r="R1419" s="5" t="n">
        <v>5</v>
      </c>
      <c r="S1419" s="5" t="n">
        <v>29.9</v>
      </c>
      <c r="T1419" s="2" t="n">
        <v>52</v>
      </c>
      <c r="U1419" s="2" t="inlineStr">
        <is>
          <t>low</t>
        </is>
      </c>
      <c r="V1419" s="5" t="n">
        <v>15.5</v>
      </c>
      <c r="W1419" s="2" t="inlineStr">
        <is>
          <t>medium</t>
        </is>
      </c>
      <c r="X1419" s="3" t="inlineStr"/>
      <c r="Y1419" s="3" t="inlineStr">
        <is>
          <t>85% of this dish's available carbohydrate comes from ingredients with a published, measured GI; the rest uses conventional placeholders (see Ingredients sheet)</t>
        </is>
      </c>
      <c r="Z1419" s="2" t="n">
        <v>85</v>
      </c>
      <c r="AA1419" s="3" t="inlineStr">
        <is>
          <t>vegetarian, dairy-free, nut-free</t>
        </is>
      </c>
      <c r="AB1419" s="3" t="inlineStr">
        <is>
          <t>1. Boil the noodles.
2. Brown the tofu in oil, add the vegetables, garlic and ginger.
3. Toss with the noodles, soy sauce and sesame oil.</t>
        </is>
      </c>
      <c r="AC1419" s="4" t="inlineStr">
        <is>
          <t>["Boil the noodles.", "Brown the tofu in oil, add the vegetables, garlic and ginger.", "Toss with the noodles, soy sauce and sesame oil."]</t>
        </is>
      </c>
    </row>
    <row r="1420" ht="96" customHeight="1">
      <c r="A1420" s="2" t="inlineStr">
        <is>
          <t>DB-1419</t>
        </is>
      </c>
      <c r="B1420" s="3" t="inlineStr">
        <is>
          <t>Caprese Stuffed Portobello Caps</t>
        </is>
      </c>
      <c r="C1420" s="4" t="inlineStr">
        <is>
          <t>Vegetarian &amp; Vegan</t>
        </is>
      </c>
      <c r="D1420" s="4" t="inlineStr">
        <is>
          <t>Italian</t>
        </is>
      </c>
      <c r="E1420" s="2" t="n">
        <v>4</v>
      </c>
      <c r="F1420" s="2" t="n">
        <v>10</v>
      </c>
      <c r="G1420" s="2" t="n">
        <v>20</v>
      </c>
      <c r="H1420" s="2" t="n">
        <v>30</v>
      </c>
      <c r="I1420" s="4" t="inlineStr">
        <is>
          <t>caprese-stuffed-portobello-caps.jpg</t>
        </is>
      </c>
      <c r="J1420" s="3" t="inlineStr">
        <is>
          <t>Caprese Stuffed Portobello Caps, healthy food photography, plated, natural light</t>
        </is>
      </c>
      <c r="K1420" s="4" t="inlineStr"/>
      <c r="L1420" s="3" t="inlineStr">
        <is>
          <t>Portobello mushrooms — 480 g (16.9 oz)
Mozzarella, part-skim — 120 g (4.2 oz)
Cherry tomatoes — 200 g (7.1 oz)
Fresh basil — 10 g (0.4 oz)
Balsamic vinegar — 15 g (0.5 oz)
Extra-virgin olive oil — 15 g (0.5 oz)
Garlic — 4 g (0.1 oz)</t>
        </is>
      </c>
      <c r="M1420" s="4" t="inlineStr">
        <is>
          <t>[{"ingredient_id": "portobello", "name": "Portobello mushrooms", "grams": 480.0, "note": ""}, {"ingredient_id": "mozzarella", "name": "Mozzarella, part-skim", "grams": 120.0, "note": ""}, {"ingredient_id": "cherry_tomato", "name": "Cherry tomatoes", "grams": 200.0, "note": ""}, {"ingredient_id": "basil", "name": "Fresh basil", "grams": 10.0, "note": ""}, {"ingredient_id": "balsamic_vinegar", "name": "Balsamic vinegar", "grams": 15.0, "note": ""}, {"ingredient_id": "olive_oil", "name": "Extra-virgin olive oil", "grams": 15.0, "note": ""}, {"ingredient_id": "garlic", "name": "Garlic", "grams": 4.0, "note": ""}]</t>
        </is>
      </c>
      <c r="N1420" s="2" t="n">
        <v>150</v>
      </c>
      <c r="O1420" s="5" t="n">
        <v>10.3</v>
      </c>
      <c r="P1420" s="5" t="n">
        <v>9.199999999999999</v>
      </c>
      <c r="Q1420" s="5" t="n">
        <v>8.6</v>
      </c>
      <c r="R1420" s="5" t="n">
        <v>2.2</v>
      </c>
      <c r="S1420" s="5" t="n">
        <v>6.3</v>
      </c>
      <c r="T1420" s="2" t="n">
        <v>16</v>
      </c>
      <c r="U1420" s="2" t="inlineStr">
        <is>
          <t>low</t>
        </is>
      </c>
      <c r="V1420" s="5" t="n">
        <v>1</v>
      </c>
      <c r="W1420" s="2" t="inlineStr">
        <is>
          <t>low</t>
        </is>
      </c>
      <c r="X1420" s="3" t="inlineStr"/>
      <c r="Y1420" s="3" t="inlineStr">
        <is>
          <t>0% of this dish's available carbohydrate comes from ingredients with a published, measured GI; the rest uses conventional placeholders (see Ingredients sheet)</t>
        </is>
      </c>
      <c r="Z1420" s="2" t="n">
        <v>0</v>
      </c>
      <c r="AA1420" s="3" t="inlineStr">
        <is>
          <t>vegetarian, gluten-free, nut-free, low-carb</t>
        </is>
      </c>
      <c r="AB1420" s="3" t="inlineStr">
        <is>
          <t>1. Brush the caps with oil and roast 8 minutes.
2. Fill with tomatoes, garlic and mozzarella.
3. Bake 10 minutes more and finish with basil and balsamic.</t>
        </is>
      </c>
      <c r="AC1420" s="4" t="inlineStr">
        <is>
          <t>["Brush the caps with oil and roast 8 minutes.", "Fill with tomatoes, garlic and mozzarella.", "Bake 10 minutes more and finish with basil and balsamic."]</t>
        </is>
      </c>
    </row>
    <row r="1421" ht="96" customHeight="1">
      <c r="A1421" s="2" t="inlineStr">
        <is>
          <t>DB-1420</t>
        </is>
      </c>
      <c r="B1421" s="3" t="inlineStr">
        <is>
          <t>Quinoa Black Bean Salad Jars</t>
        </is>
      </c>
      <c r="C1421" s="4" t="inlineStr">
        <is>
          <t>Salad</t>
        </is>
      </c>
      <c r="D1421" s="4" t="inlineStr">
        <is>
          <t>Tex-Mex</t>
        </is>
      </c>
      <c r="E1421" s="2" t="n">
        <v>4</v>
      </c>
      <c r="F1421" s="2" t="n">
        <v>15</v>
      </c>
      <c r="G1421" s="2" t="n">
        <v>0</v>
      </c>
      <c r="H1421" s="2" t="n">
        <v>15</v>
      </c>
      <c r="I1421" s="4" t="inlineStr">
        <is>
          <t>quinoa-black-bean-salad-jars.jpg</t>
        </is>
      </c>
      <c r="J1421" s="3" t="inlineStr">
        <is>
          <t>Quinoa Black Bean Salad Jars, healthy food photography, plated, natural light</t>
        </is>
      </c>
      <c r="K1421" s="4" t="inlineStr"/>
      <c r="L1421" s="3" t="inlineStr">
        <is>
          <t>Quinoa, cooked — 400 g (14.1 oz)
Black beans, cooked — 200 g (7.1 oz)
Sweet corn kernels — 100 g (3.5 oz)
Cherry tomatoes — 150 g (5.3 oz)
Avocado — 100 g (3.5 oz)
Lime juice — 25 g (0.9 oz)
Fresh cilantro — 8 g (0.3 oz)
Extra-virgin olive oil — 20 g (0.7 oz)</t>
        </is>
      </c>
      <c r="M1421" s="4" t="inlineStr">
        <is>
          <t>[{"ingredient_id": "quinoa", "name": "Quinoa, cooked", "grams": 400.0, "note": ""}, {"ingredient_id": "black_beans", "name": "Black beans, cooked", "grams": 200.0, "note": ""}, {"ingredient_id": "corn", "name": "Sweet corn kernels", "grams": 100.0, "note": ""}, {"ingredient_id": "cherry_tomato", "name": "Cherry tomatoes", "grams": 150.0, "note": ""}, {"ingredient_id": "avocado", "name": "Avocado", "grams": 100.0, "note": ""}, {"ingredient_id": "lime_juice", "name": "Lime juice", "grams": 25.0, "note": ""}, {"ingredient_id": "cilantro", "name": "Fresh cilantro", "grams": 8.0, "note": ""}, {"ingredient_id": "olive_oil", "name": "Extra-virgin olive oil", "grams": 20.0, "note": ""}]</t>
        </is>
      </c>
      <c r="N1421" s="2" t="n">
        <v>300</v>
      </c>
      <c r="O1421" s="5" t="n">
        <v>10.6</v>
      </c>
      <c r="P1421" s="5" t="n">
        <v>11.3</v>
      </c>
      <c r="Q1421" s="5" t="n">
        <v>41.8</v>
      </c>
      <c r="R1421" s="5" t="n">
        <v>10</v>
      </c>
      <c r="S1421" s="5" t="n">
        <v>31.8</v>
      </c>
      <c r="T1421" s="2" t="n">
        <v>45</v>
      </c>
      <c r="U1421" s="2" t="inlineStr">
        <is>
          <t>low</t>
        </is>
      </c>
      <c r="V1421" s="5" t="n">
        <v>14.3</v>
      </c>
      <c r="W1421" s="2" t="inlineStr">
        <is>
          <t>medium</t>
        </is>
      </c>
      <c r="X1421" s="3" t="inlineStr"/>
      <c r="Y1421" s="3" t="inlineStr">
        <is>
          <t>94% of this dish's available carbohydrate comes from ingredients with a published, measured GI; the rest uses conventional placeholders (see Ingredients sheet)</t>
        </is>
      </c>
      <c r="Z1421" s="2" t="n">
        <v>94</v>
      </c>
      <c r="AA1421" s="3" t="inlineStr">
        <is>
          <t>vegan, gluten-free, dairy-free, nut-free, high-fiber, meal-prep</t>
        </is>
      </c>
      <c r="AB1421" s="3" t="inlineStr">
        <is>
          <t>1. Mix the quinoa, beans, corn and tomatoes.
2. Dress with lime and oil, fold in cilantro and avocado.
3. Pack in jars.</t>
        </is>
      </c>
      <c r="AC1421" s="4" t="inlineStr">
        <is>
          <t>["Mix the quinoa, beans, corn and tomatoes.", "Dress with lime and oil, fold in cilantro and avocado.", "Pack in jars."]</t>
        </is>
      </c>
    </row>
    <row r="1422" ht="96" customHeight="1">
      <c r="A1422" s="2" t="inlineStr">
        <is>
          <t>DB-1421</t>
        </is>
      </c>
      <c r="B1422" s="3" t="inlineStr">
        <is>
          <t>Roasted Cauliflower and Chickpea Tacos</t>
        </is>
      </c>
      <c r="C1422" s="4" t="inlineStr">
        <is>
          <t>Vegetarian &amp; Vegan</t>
        </is>
      </c>
      <c r="D1422" s="4" t="inlineStr">
        <is>
          <t>Tex-Mex</t>
        </is>
      </c>
      <c r="E1422" s="2" t="n">
        <v>4</v>
      </c>
      <c r="F1422" s="2" t="n">
        <v>15</v>
      </c>
      <c r="G1422" s="2" t="n">
        <v>25</v>
      </c>
      <c r="H1422" s="2" t="n">
        <v>40</v>
      </c>
      <c r="I1422" s="4" t="inlineStr">
        <is>
          <t>roasted-cauliflower-and-chickpea-tacos.jpg</t>
        </is>
      </c>
      <c r="J1422" s="3" t="inlineStr">
        <is>
          <t>Roasted Cauliflower and Chickpea Tacos, healthy food photography, plated, natural light</t>
        </is>
      </c>
      <c r="K1422" s="4" t="inlineStr"/>
      <c r="L1422" s="3" t="inlineStr">
        <is>
          <t>Cauliflower — 400 g (14.1 oz)
Chickpeas, cooked — 250 g (8.8 oz)
Corn tortilla — 240 g (8.5 oz)
Chili powder — 5 g (0.2 oz)
Ground cumin — 3 g (0.1 oz)
Lime juice — 20 g (0.7 oz)
Avocado — 100 g (3.5 oz)
Fresh cilantro — 6 g (0.2 oz)
Extra-virgin olive oil — 20 g (0.7 oz)</t>
        </is>
      </c>
      <c r="M1422" s="4" t="inlineStr">
        <is>
          <t>[{"ingredient_id": "cauliflower", "name": "Cauliflower", "grams": 400.0, "note": ""}, {"ingredient_id": "chickpeas", "name": "Chickpeas, cooked", "grams": 250.0, "note": ""}, {"ingredient_id": "corn_tortilla", "name": "Corn tortilla", "grams": 240.0, "note": ""}, {"ingredient_id": "chili_powder", "name": "Chili powder", "grams": 5.0, "note": ""}, {"ingredient_id": "cumin", "name": "Ground cumin", "grams": 3.0, "note": ""}, {"ingredient_id": "lime_juice", "name": "Lime juice", "grams": 20.0, "note": ""}, {"ingredient_id": "avocado", "name": "Avocado", "grams": 100.0, "note": ""}, {"ingredient_id": "cilantro", "name": "Fresh cilantro", "grams": 6.0, "note": ""}, {"ingredient_id": "olive_oil", "name": "Extra-virgin olive oil", "grams": 20.0, "note": ""}]</t>
        </is>
      </c>
      <c r="N1422" s="2" t="n">
        <v>350</v>
      </c>
      <c r="O1422" s="5" t="n">
        <v>11.7</v>
      </c>
      <c r="P1422" s="5" t="n">
        <v>12.8</v>
      </c>
      <c r="Q1422" s="5" t="n">
        <v>52.4</v>
      </c>
      <c r="R1422" s="5" t="n">
        <v>12.8</v>
      </c>
      <c r="S1422" s="5" t="n">
        <v>39.6</v>
      </c>
      <c r="T1422" s="2" t="n">
        <v>44</v>
      </c>
      <c r="U1422" s="2" t="inlineStr">
        <is>
          <t>low</t>
        </is>
      </c>
      <c r="V1422" s="5" t="n">
        <v>17.4</v>
      </c>
      <c r="W1422" s="2" t="inlineStr">
        <is>
          <t>medium</t>
        </is>
      </c>
      <c r="X1422" s="3" t="inlineStr"/>
      <c r="Y1422" s="3" t="inlineStr">
        <is>
          <t>89% of this dish's available carbohydrate comes from ingredients with a published, measured GI; the rest uses conventional placeholders (see Ingredients sheet)</t>
        </is>
      </c>
      <c r="Z1422" s="2" t="n">
        <v>89</v>
      </c>
      <c r="AA1422" s="3" t="inlineStr">
        <is>
          <t>vegan, gluten-free, dairy-free, nut-free, high-fiber</t>
        </is>
      </c>
      <c r="AB1422" s="3" t="inlineStr">
        <is>
          <t>1. Roast the cauliflower and chickpeas with oil and spices at 425°F for 25 minutes.
2. Warm the tortillas.
3. Fill with the roasted vegetables, avocado, lime and cilantro.</t>
        </is>
      </c>
      <c r="AC1422" s="4" t="inlineStr">
        <is>
          <t>["Roast the cauliflower and chickpeas with oil and spices at 425°F for 25 minutes.", "Warm the tortillas.", "Fill with the roasted vegetables, avocado, lime and cilantro."]</t>
        </is>
      </c>
    </row>
    <row r="1423" ht="96" customHeight="1">
      <c r="A1423" s="2" t="inlineStr">
        <is>
          <t>DB-1422</t>
        </is>
      </c>
      <c r="B1423" s="3" t="inlineStr">
        <is>
          <t>Garlic Roasted Green Beans with Almonds</t>
        </is>
      </c>
      <c r="C1423" s="4" t="inlineStr">
        <is>
          <t>Side Dish</t>
        </is>
      </c>
      <c r="D1423" s="4" t="inlineStr">
        <is>
          <t>American</t>
        </is>
      </c>
      <c r="E1423" s="2" t="n">
        <v>4</v>
      </c>
      <c r="F1423" s="2" t="n">
        <v>10</v>
      </c>
      <c r="G1423" s="2" t="n">
        <v>20</v>
      </c>
      <c r="H1423" s="2" t="n">
        <v>30</v>
      </c>
      <c r="I1423" s="4" t="inlineStr">
        <is>
          <t>garlic-roasted-green-beans-with-almonds.jpg</t>
        </is>
      </c>
      <c r="J1423" s="3" t="inlineStr">
        <is>
          <t>Garlic Roasted Green Beans with Almonds, healthy food photography, plated, natural light</t>
        </is>
      </c>
      <c r="K1423" s="4" t="inlineStr"/>
      <c r="L1423" s="3" t="inlineStr">
        <is>
          <t>Green beans — 500 g (17.6 oz)
Almonds — 30 g (1.1 oz)
Garlic — 8 g (0.3 oz)
Extra-virgin olive oil — 20 g (0.7 oz)
Lemon juice — 15 g (0.5 oz)</t>
        </is>
      </c>
      <c r="M1423" s="4" t="inlineStr">
        <is>
          <t>[{"ingredient_id": "green_beans", "name": "Green beans", "grams": 500.0, "note": ""}, {"ingredient_id": "almonds", "name": "Almonds", "grams": 30.0, "note": ""}, {"ingredient_id": "garlic", "name": "Garlic", "grams": 8.0, "note": ""}, {"ingredient_id": "olive_oil", "name": "Extra-virgin olive oil", "grams": 20.0, "note": ""}, {"ingredient_id": "lemon_juice", "name": "Lemon juice", "grams": 15.0, "note": ""}]</t>
        </is>
      </c>
      <c r="N1423" s="2" t="n">
        <v>130</v>
      </c>
      <c r="O1423" s="5" t="n">
        <v>4</v>
      </c>
      <c r="P1423" s="5" t="n">
        <v>9</v>
      </c>
      <c r="Q1423" s="5" t="n">
        <v>11.3</v>
      </c>
      <c r="R1423" s="5" t="n">
        <v>4.4</v>
      </c>
      <c r="S1423" s="5" t="n">
        <v>7</v>
      </c>
      <c r="T1423" s="2" t="n">
        <v>17</v>
      </c>
      <c r="U1423" s="2" t="inlineStr">
        <is>
          <t>low</t>
        </is>
      </c>
      <c r="V1423" s="5" t="n">
        <v>1.2</v>
      </c>
      <c r="W1423" s="2" t="inlineStr">
        <is>
          <t>low</t>
        </is>
      </c>
      <c r="X1423" s="3" t="inlineStr"/>
      <c r="Y1423" s="3" t="inlineStr">
        <is>
          <t>0% of this dish's available carbohydrate comes from ingredients with a published, measured GI; the rest uses conventional placeholders (see Ingredients sheet)</t>
        </is>
      </c>
      <c r="Z1423" s="2" t="n">
        <v>0</v>
      </c>
      <c r="AA1423" s="3" t="inlineStr">
        <is>
          <t>vegan, gluten-free, dairy-free, low-carb</t>
        </is>
      </c>
      <c r="AB1423" s="3" t="inlineStr">
        <is>
          <t>1. Toss the beans with oil and garlic and roast at 425°F for 18 minutes.
2. Top with almonds and lemon.</t>
        </is>
      </c>
      <c r="AC1423" s="4" t="inlineStr">
        <is>
          <t>["Toss the beans with oil and garlic and roast at 425°F for 18 minutes.", "Top with almonds and lemon."]</t>
        </is>
      </c>
    </row>
    <row r="1424" ht="96" customHeight="1">
      <c r="A1424" s="2" t="inlineStr">
        <is>
          <t>DB-1423</t>
        </is>
      </c>
      <c r="B1424" s="3" t="inlineStr">
        <is>
          <t>Lemon Parmesan Asparagus</t>
        </is>
      </c>
      <c r="C1424" s="4" t="inlineStr">
        <is>
          <t>Side Dish</t>
        </is>
      </c>
      <c r="D1424" s="4" t="inlineStr">
        <is>
          <t>American</t>
        </is>
      </c>
      <c r="E1424" s="2" t="n">
        <v>4</v>
      </c>
      <c r="F1424" s="2" t="n">
        <v>5</v>
      </c>
      <c r="G1424" s="2" t="n">
        <v>12</v>
      </c>
      <c r="H1424" s="2" t="n">
        <v>17</v>
      </c>
      <c r="I1424" s="4" t="inlineStr">
        <is>
          <t>lemon-parmesan-asparagus.jpg</t>
        </is>
      </c>
      <c r="J1424" s="3" t="inlineStr">
        <is>
          <t>Lemon Parmesan Asparagus, healthy food photography, plated, natural light</t>
        </is>
      </c>
      <c r="K1424" s="4" t="inlineStr"/>
      <c r="L1424" s="3" t="inlineStr">
        <is>
          <t>Asparagus — 500 g (17.6 oz)
Parmesan, grated — 30 g (1.1 oz)
Lemon juice — 20 g (0.7 oz)
Extra-virgin olive oil — 15 g (0.5 oz)
Garlic — 4 g (0.1 oz)</t>
        </is>
      </c>
      <c r="M1424" s="4" t="inlineStr">
        <is>
          <t>[{"ingredient_id": "asparagus", "name": "Asparagus", "grams": 500.0, "note": ""}, {"ingredient_id": "parmesan", "name": "Parmesan, grated", "grams": 30.0, "note": ""}, {"ingredient_id": "lemon_juice", "name": "Lemon juice", "grams": 20.0, "note": ""}, {"ingredient_id": "olive_oil", "name": "Extra-virgin olive oil", "grams": 15.0, "note": ""}, {"ingredient_id": "garlic", "name": "Garlic", "grams": 4.0, "note": ""}]</t>
        </is>
      </c>
      <c r="N1424" s="2" t="n">
        <v>93</v>
      </c>
      <c r="O1424" s="5" t="n">
        <v>5.7</v>
      </c>
      <c r="P1424" s="5" t="n">
        <v>6.1</v>
      </c>
      <c r="Q1424" s="5" t="n">
        <v>5.8</v>
      </c>
      <c r="R1424" s="5" t="n">
        <v>2.7</v>
      </c>
      <c r="S1424" s="5" t="n">
        <v>3.2</v>
      </c>
      <c r="T1424" s="2" t="n">
        <v>16</v>
      </c>
      <c r="U1424" s="2" t="inlineStr">
        <is>
          <t>low</t>
        </is>
      </c>
      <c r="V1424" s="5" t="n">
        <v>0.5</v>
      </c>
      <c r="W1424" s="2" t="inlineStr">
        <is>
          <t>low</t>
        </is>
      </c>
      <c r="X1424" s="3" t="inlineStr">
        <is>
          <t>Negligible carbohydrate (&lt;5 g net/serving): GI has little practical meaning, glycemic load is what matters.</t>
        </is>
      </c>
      <c r="Y1424" s="3" t="inlineStr">
        <is>
          <t>0% of this dish's available carbohydrate comes from ingredients with a published, measured GI; the rest uses conventional placeholders (see Ingredients sheet)</t>
        </is>
      </c>
      <c r="Z1424" s="2" t="n">
        <v>0</v>
      </c>
      <c r="AA1424" s="3" t="inlineStr">
        <is>
          <t>vegetarian, gluten-free, nut-free, low-carb</t>
        </is>
      </c>
      <c r="AB1424" s="3" t="inlineStr">
        <is>
          <t>1. Roast the asparagus with oil and garlic at 425°F for 10 to 12 minutes.
2. Finish with lemon and parmesan.</t>
        </is>
      </c>
      <c r="AC1424" s="4" t="inlineStr">
        <is>
          <t>["Roast the asparagus with oil and garlic at 425°F for 10 to 12 minutes.", "Finish with lemon and parmesan."]</t>
        </is>
      </c>
    </row>
    <row r="1425" ht="96" customHeight="1">
      <c r="A1425" s="2" t="inlineStr">
        <is>
          <t>DB-1424</t>
        </is>
      </c>
      <c r="B1425" s="3" t="inlineStr">
        <is>
          <t>Sauteed Spinach with Garlic</t>
        </is>
      </c>
      <c r="C1425" s="4" t="inlineStr">
        <is>
          <t>Side Dish</t>
        </is>
      </c>
      <c r="D1425" s="4" t="inlineStr">
        <is>
          <t>American</t>
        </is>
      </c>
      <c r="E1425" s="2" t="n">
        <v>4</v>
      </c>
      <c r="F1425" s="2" t="n">
        <v>5</v>
      </c>
      <c r="G1425" s="2" t="n">
        <v>6</v>
      </c>
      <c r="H1425" s="2" t="n">
        <v>11</v>
      </c>
      <c r="I1425" s="4" t="inlineStr">
        <is>
          <t>sauteed-spinach-with-garlic.jpg</t>
        </is>
      </c>
      <c r="J1425" s="3" t="inlineStr">
        <is>
          <t>Sauteed Spinach with Garlic, healthy food photography, plated, natural light</t>
        </is>
      </c>
      <c r="K1425" s="4" t="inlineStr"/>
      <c r="L1425" s="3" t="inlineStr">
        <is>
          <t>Spinach — 500 g (17.6 oz)
Garlic — 10 g (0.4 oz)
Extra-virgin olive oil — 15 g (0.5 oz)
Lemon juice — 10 g (0.4 oz)
Red pepper flakes — 1 g (0.0 oz)</t>
        </is>
      </c>
      <c r="M1425" s="4" t="inlineStr">
        <is>
          <t>[{"ingredient_id": "spinach", "name": "Spinach", "grams": 500.0, "note": ""}, {"ingredient_id": "garlic", "name": "Garlic", "grams": 10.0, "note": ""}, {"ingredient_id": "olive_oil", "name": "Extra-virgin olive oil", "grams": 15.0, "note": ""}, {"ingredient_id": "lemon_juice", "name": "Lemon juice", "grams": 10.0, "note": ""}, {"ingredient_id": "red_pepper_flakes", "name": "Red pepper flakes", "grams": 1.0, "note": ""}]</t>
        </is>
      </c>
      <c r="N1425" s="2" t="n">
        <v>67</v>
      </c>
      <c r="O1425" s="5" t="n">
        <v>3.8</v>
      </c>
      <c r="P1425" s="5" t="n">
        <v>4.3</v>
      </c>
      <c r="Q1425" s="5" t="n">
        <v>5.6</v>
      </c>
      <c r="R1425" s="5" t="n">
        <v>2.9</v>
      </c>
      <c r="S1425" s="5" t="n">
        <v>2.8</v>
      </c>
      <c r="T1425" s="2" t="n">
        <v>19</v>
      </c>
      <c r="U1425" s="2" t="inlineStr">
        <is>
          <t>low</t>
        </is>
      </c>
      <c r="V1425" s="5" t="n">
        <v>0.5</v>
      </c>
      <c r="W1425" s="2" t="inlineStr">
        <is>
          <t>low</t>
        </is>
      </c>
      <c r="X1425" s="3" t="inlineStr">
        <is>
          <t>Negligible carbohydrate (&lt;5 g net/serving): GI has little practical meaning, glycemic load is what matters.</t>
        </is>
      </c>
      <c r="Y1425" s="3" t="inlineStr">
        <is>
          <t>0% of this dish's available carbohydrate comes from ingredients with a published, measured GI; the rest uses conventional placeholders (see Ingredients sheet)</t>
        </is>
      </c>
      <c r="Z1425" s="2" t="n">
        <v>0</v>
      </c>
      <c r="AA1425" s="3" t="inlineStr">
        <is>
          <t>vegan, gluten-free, dairy-free, nut-free, low-carb</t>
        </is>
      </c>
      <c r="AB1425" s="3" t="inlineStr">
        <is>
          <t>1. Sauté the garlic in oil.
2. Wilt the spinach and finish with lemon and pepper flakes.</t>
        </is>
      </c>
      <c r="AC1425" s="4" t="inlineStr">
        <is>
          <t>["Sauté the garlic in oil.", "Wilt the spinach and finish with lemon and pepper flakes."]</t>
        </is>
      </c>
    </row>
    <row r="1426" ht="96" customHeight="1">
      <c r="A1426" s="2" t="inlineStr">
        <is>
          <t>DB-1425</t>
        </is>
      </c>
      <c r="B1426" s="3" t="inlineStr">
        <is>
          <t>Zucchini Fritters with Greek Yogurt Dip</t>
        </is>
      </c>
      <c r="C1426" s="4" t="inlineStr">
        <is>
          <t>Side Dish</t>
        </is>
      </c>
      <c r="D1426" s="4" t="inlineStr">
        <is>
          <t>American</t>
        </is>
      </c>
      <c r="E1426" s="2" t="n">
        <v>4</v>
      </c>
      <c r="F1426" s="2" t="n">
        <v>15</v>
      </c>
      <c r="G1426" s="2" t="n">
        <v>12</v>
      </c>
      <c r="H1426" s="2" t="n">
        <v>27</v>
      </c>
      <c r="I1426" s="4" t="inlineStr">
        <is>
          <t>zucchini-fritters-with-greek-yogurt-dip.jpg</t>
        </is>
      </c>
      <c r="J1426" s="3" t="inlineStr">
        <is>
          <t>Zucchini Fritters with Greek Yogurt Dip, healthy food photography, plated, natural light</t>
        </is>
      </c>
      <c r="K1426" s="4" t="inlineStr"/>
      <c r="L1426" s="3" t="inlineStr">
        <is>
          <t>Zucchini — 450 g (15.9 oz)
Egg, large (50 g each) — 100 g (3.5 oz)
Almond flour — 40 g (1.4 oz)
Parmesan, grated — 25 g (0.9 oz)
Greek yogurt, plain 2% — 120 g (4.2 oz)
Fresh dill — 3 g (0.1 oz)
Extra-virgin olive oil — 20 g (0.7 oz)
Salt — 2 g (0.1 oz)</t>
        </is>
      </c>
      <c r="M1426" s="4" t="inlineStr">
        <is>
          <t>[{"ingredient_id": "zucchini", "name": "Zucchini", "grams": 450.0, "note": ""}, {"ingredient_id": "egg", "name": "Egg, large (50 g each)", "grams": 100.0, "note": ""}, {"ingredient_id": "almond_flour", "name": "Almond flour", "grams": 40.0, "note": ""}, {"ingredient_id": "parmesan", "name": "Parmesan, grated", "grams": 25.0, "note": ""}, {"ingredient_id": "greek_yogurt", "name": "Greek yogurt, plain 2%", "grams": 120.0, "note": ""}, {"ingredient_id": "dill", "name": "Fresh dill", "grams": 3.0, "note": ""}, {"ingredient_id": "olive_oil", "name": "Extra-virgin olive oil", "grams": 20.0, "note": ""}, {"ingredient_id": "salt", "name": "Salt", "grams": 2.0, "note": ""}]</t>
        </is>
      </c>
      <c r="N1426" s="2" t="n">
        <v>207</v>
      </c>
      <c r="O1426" s="5" t="n">
        <v>12</v>
      </c>
      <c r="P1426" s="5" t="n">
        <v>15.1</v>
      </c>
      <c r="Q1426" s="5" t="n">
        <v>7.3</v>
      </c>
      <c r="R1426" s="5" t="n">
        <v>2.3</v>
      </c>
      <c r="S1426" s="5" t="n">
        <v>4.9</v>
      </c>
      <c r="T1426" s="2" t="n">
        <v>13</v>
      </c>
      <c r="U1426" s="2" t="inlineStr">
        <is>
          <t>low</t>
        </is>
      </c>
      <c r="V1426" s="5" t="n">
        <v>0.6</v>
      </c>
      <c r="W1426" s="2" t="inlineStr">
        <is>
          <t>low</t>
        </is>
      </c>
      <c r="X1426" s="3" t="inlineStr">
        <is>
          <t>Negligible carbohydrate (&lt;5 g net/serving): GI has little practical meaning, glycemic load is what matters.</t>
        </is>
      </c>
      <c r="Y1426" s="3" t="inlineStr">
        <is>
          <t>24% of this dish's available carbohydrate comes from ingredients with a published, measured GI; the rest uses conventional placeholders (see Ingredients sheet)</t>
        </is>
      </c>
      <c r="Z1426" s="2" t="n">
        <v>24</v>
      </c>
      <c r="AA1426" s="3" t="inlineStr">
        <is>
          <t>vegetarian, gluten-free, low-carb</t>
        </is>
      </c>
      <c r="AB1426" s="3" t="inlineStr">
        <is>
          <t>1. Grate and squeeze the zucchini.
2. Mix with egg, almond flour, parmesan and salt and pan-fry small cakes in oil.
3. Stir the yogurt with dill for dipping.</t>
        </is>
      </c>
      <c r="AC1426" s="4" t="inlineStr">
        <is>
          <t>["Grate and squeeze the zucchini.", "Mix with egg, almond flour, parmesan and salt and pan-fry small cakes in oil.", "Stir the yogurt with dill for dipping."]</t>
        </is>
      </c>
    </row>
    <row r="1427" ht="96" customHeight="1">
      <c r="A1427" s="2" t="inlineStr">
        <is>
          <t>DB-1426</t>
        </is>
      </c>
      <c r="B1427" s="3" t="inlineStr">
        <is>
          <t>Broccoli Slaw with Peanut Dressing</t>
        </is>
      </c>
      <c r="C1427" s="4" t="inlineStr">
        <is>
          <t>Side Dish</t>
        </is>
      </c>
      <c r="D1427" s="4" t="inlineStr">
        <is>
          <t>Asian</t>
        </is>
      </c>
      <c r="E1427" s="2" t="n">
        <v>5</v>
      </c>
      <c r="F1427" s="2" t="n">
        <v>10</v>
      </c>
      <c r="G1427" s="2" t="n">
        <v>0</v>
      </c>
      <c r="H1427" s="2" t="n">
        <v>10</v>
      </c>
      <c r="I1427" s="4" t="inlineStr">
        <is>
          <t>broccoli-slaw-with-peanut-dressing.jpg</t>
        </is>
      </c>
      <c r="J1427" s="3" t="inlineStr">
        <is>
          <t>Broccoli Slaw with Peanut Dressing, healthy food photography, plated, natural light</t>
        </is>
      </c>
      <c r="K1427" s="4" t="inlineStr"/>
      <c r="L1427" s="3" t="inlineStr">
        <is>
          <t>Coleslaw mix (cabbage &amp; carrot) — 300 g (10.6 oz)
Broccoli — 150 g (5.3 oz)
Peanut butter, natural — 30 g (1.1 oz)
Soy sauce, low sodium — 15 g (0.5 oz)
Rice vinegar, unseasoned — 20 g (0.7 oz)
Lime juice — 15 g (0.5 oz)
Fresh ginger — 5 g (0.2 oz)
Carrot — 50 g (1.8 oz)</t>
        </is>
      </c>
      <c r="M1427" s="4" t="inlineStr">
        <is>
          <t>[{"ingredient_id": "coleslaw_mix", "name": "Coleslaw mix (cabbage &amp; carrot)", "grams": 300.0, "note": ""}, {"ingredient_id": "broccoli", "name": "Broccoli", "grams": 150.0, "note": ""}, {"ingredient_id": "peanut_butter", "name": "Peanut butter, natural", "grams": 30.0, "note": ""}, {"ingredient_id": "soy_sauce", "name": "Soy sauce, low sodium", "grams": 15.0, "note": ""}, {"ingredient_id": "rice_vinegar", "name": "Rice vinegar, unseasoned", "grams": 20.0, "note": ""}, {"ingredient_id": "lime_juice", "name": "Lime juice", "grams": 15.0, "note": ""}, {"ingredient_id": "ginger", "name": "Fresh ginger", "grams": 5.0, "note": ""}, {"ingredient_id": "carrot", "name": "Carrot", "grams": 50.0, "note": ""}]</t>
        </is>
      </c>
      <c r="N1427" s="2" t="n">
        <v>70</v>
      </c>
      <c r="O1427" s="5" t="n">
        <v>3.5</v>
      </c>
      <c r="P1427" s="5" t="n">
        <v>3.2</v>
      </c>
      <c r="Q1427" s="5" t="n">
        <v>8.300000000000001</v>
      </c>
      <c r="R1427" s="5" t="n">
        <v>2.9</v>
      </c>
      <c r="S1427" s="5" t="n">
        <v>5.4</v>
      </c>
      <c r="T1427" s="2" t="n">
        <v>18</v>
      </c>
      <c r="U1427" s="2" t="inlineStr">
        <is>
          <t>low</t>
        </is>
      </c>
      <c r="V1427" s="5" t="n">
        <v>1</v>
      </c>
      <c r="W1427" s="2" t="inlineStr">
        <is>
          <t>low</t>
        </is>
      </c>
      <c r="X1427" s="3" t="inlineStr"/>
      <c r="Y1427" s="3" t="inlineStr">
        <is>
          <t>13% of this dish's available carbohydrate comes from ingredients with a published, measured GI; the rest uses conventional placeholders (see Ingredients sheet)</t>
        </is>
      </c>
      <c r="Z1427" s="2" t="n">
        <v>13</v>
      </c>
      <c r="AA1427" s="3" t="inlineStr">
        <is>
          <t>vegan, dairy-free, low-carb, no-cook</t>
        </is>
      </c>
      <c r="AB1427" s="3" t="inlineStr">
        <is>
          <t>1. Whisk the peanut butter, soy sauce, vinegar, lime and ginger.
2. Toss with the slaw, shredded broccoli and carrot.</t>
        </is>
      </c>
      <c r="AC1427" s="4" t="inlineStr">
        <is>
          <t>["Whisk the peanut butter, soy sauce, vinegar, lime and ginger.", "Toss with the slaw, shredded broccoli and carrot."]</t>
        </is>
      </c>
    </row>
    <row r="1428" ht="96" customHeight="1">
      <c r="A1428" s="2" t="inlineStr">
        <is>
          <t>DB-1427</t>
        </is>
      </c>
      <c r="B1428" s="3" t="inlineStr">
        <is>
          <t>Mushroom Wild Rice Pilaf</t>
        </is>
      </c>
      <c r="C1428" s="4" t="inlineStr">
        <is>
          <t>Side Dish</t>
        </is>
      </c>
      <c r="D1428" s="4" t="inlineStr">
        <is>
          <t>American</t>
        </is>
      </c>
      <c r="E1428" s="2" t="n">
        <v>5</v>
      </c>
      <c r="F1428" s="2" t="n">
        <v>10</v>
      </c>
      <c r="G1428" s="2" t="n">
        <v>20</v>
      </c>
      <c r="H1428" s="2" t="n">
        <v>30</v>
      </c>
      <c r="I1428" s="4" t="inlineStr">
        <is>
          <t>mushroom-wild-rice-pilaf.jpg</t>
        </is>
      </c>
      <c r="J1428" s="3" t="inlineStr">
        <is>
          <t>Mushroom Wild Rice Pilaf, healthy food photography, plated, natural light</t>
        </is>
      </c>
      <c r="K1428" s="4" t="inlineStr"/>
      <c r="L1428" s="3" t="inlineStr">
        <is>
          <t>Wild rice, cooked — 450 g (15.9 oz)
Mushrooms (cremini/white) — 200 g (7.1 oz)
Yellow onion — 80 g (2.8 oz)
Vegetable broth, low sodium — 150 g (5.3 oz)
Fresh thyme — 2 g (0.1 oz)
Butter — 15 g (0.5 oz)
Pecans — 25 g (0.9 oz)</t>
        </is>
      </c>
      <c r="M1428" s="4" t="inlineStr">
        <is>
          <t>[{"ingredient_id": "wild_rice", "name": "Wild rice, cooked", "grams": 450.0, "note": ""}, {"ingredient_id": "mushrooms", "name": "Mushrooms (cremini/white)", "grams": 200.0, "note": ""}, {"ingredient_id": "onion", "name": "Yellow onion", "grams": 80.0, "note": ""}, {"ingredient_id": "vegetable_broth", "name": "Vegetable broth, low sodium", "grams": 150.0, "note": ""}, {"ingredient_id": "thyme", "name": "Fresh thyme", "grams": 2.0, "note": ""}, {"ingredient_id": "butter", "name": "Butter", "grams": 15.0, "note": ""}, {"ingredient_id": "pecans", "name": "Pecans", "grams": 25.0, "note": ""}]</t>
        </is>
      </c>
      <c r="N1428" s="2" t="n">
        <v>165</v>
      </c>
      <c r="O1428" s="5" t="n">
        <v>5.7</v>
      </c>
      <c r="P1428" s="5" t="n">
        <v>6.5</v>
      </c>
      <c r="Q1428" s="5" t="n">
        <v>23</v>
      </c>
      <c r="R1428" s="5" t="n">
        <v>2.8</v>
      </c>
      <c r="S1428" s="5" t="n">
        <v>20.1</v>
      </c>
      <c r="T1428" s="2" t="n">
        <v>51</v>
      </c>
      <c r="U1428" s="2" t="inlineStr">
        <is>
          <t>low</t>
        </is>
      </c>
      <c r="V1428" s="5" t="n">
        <v>10.3</v>
      </c>
      <c r="W1428" s="2" t="inlineStr">
        <is>
          <t>medium</t>
        </is>
      </c>
      <c r="X1428" s="3" t="inlineStr"/>
      <c r="Y1428" s="3" t="inlineStr">
        <is>
          <t>0% of this dish's available carbohydrate comes from ingredients with a published, measured GI; the rest uses conventional placeholders (see Ingredients sheet)</t>
        </is>
      </c>
      <c r="Z1428" s="2" t="n">
        <v>0</v>
      </c>
      <c r="AA1428" s="3" t="inlineStr">
        <is>
          <t>vegetarian, gluten-free</t>
        </is>
      </c>
      <c r="AB1428" s="3" t="inlineStr">
        <is>
          <t>1. Sauté the onion and mushrooms in butter with thyme.
2. Add the cooked wild rice and broth and heat through.
3. Top with toasted pecans.</t>
        </is>
      </c>
      <c r="AC1428" s="4" t="inlineStr">
        <is>
          <t>["Sauté the onion and mushrooms in butter with thyme.", "Add the cooked wild rice and broth and heat through.", "Top with toasted pecans."]</t>
        </is>
      </c>
    </row>
    <row r="1429" ht="96" customHeight="1">
      <c r="A1429" s="2" t="inlineStr">
        <is>
          <t>DB-1428</t>
        </is>
      </c>
      <c r="B1429" s="3" t="inlineStr">
        <is>
          <t>Quinoa Tabbouleh</t>
        </is>
      </c>
      <c r="C1429" s="4" t="inlineStr">
        <is>
          <t>Side Dish</t>
        </is>
      </c>
      <c r="D1429" s="4" t="inlineStr">
        <is>
          <t>Middle Eastern</t>
        </is>
      </c>
      <c r="E1429" s="2" t="n">
        <v>5</v>
      </c>
      <c r="F1429" s="2" t="n">
        <v>15</v>
      </c>
      <c r="G1429" s="2" t="n">
        <v>0</v>
      </c>
      <c r="H1429" s="2" t="n">
        <v>15</v>
      </c>
      <c r="I1429" s="4" t="inlineStr">
        <is>
          <t>quinoa-tabbouleh.jpg</t>
        </is>
      </c>
      <c r="J1429" s="3" t="inlineStr">
        <is>
          <t>Quinoa Tabbouleh, healthy food photography, plated, natural light</t>
        </is>
      </c>
      <c r="K1429" s="4" t="inlineStr"/>
      <c r="L1429" s="3" t="inlineStr">
        <is>
          <t>Quinoa, cooked — 350 g (12.3 oz)
Fresh parsley — 60 g (2.1 oz)
Tomato — 200 g (7.1 oz)
Cucumber — 100 g (3.5 oz)
Fresh mint — 10 g (0.4 oz)
Lemon juice — 40 g (1.4 oz)
Extra-virgin olive oil — 30 g (1.1 oz)</t>
        </is>
      </c>
      <c r="M1429" s="4" t="inlineStr">
        <is>
          <t>[{"ingredient_id": "quinoa", "name": "Quinoa, cooked", "grams": 350.0, "note": ""}, {"ingredient_id": "parsley", "name": "Fresh parsley", "grams": 60.0, "note": ""}, {"ingredient_id": "tomato", "name": "Tomato", "grams": 200.0, "note": ""}, {"ingredient_id": "cucumber", "name": "Cucumber", "grams": 100.0, "note": ""}, {"ingredient_id": "mint", "name": "Fresh mint", "grams": 10.0, "note": ""}, {"ingredient_id": "lemon_juice", "name": "Lemon juice", "grams": 40.0, "note": ""}, {"ingredient_id": "olive_oil", "name": "Extra-virgin olive oil", "grams": 30.0, "note": ""}]</t>
        </is>
      </c>
      <c r="N1429" s="2" t="n">
        <v>154</v>
      </c>
      <c r="O1429" s="5" t="n">
        <v>4</v>
      </c>
      <c r="P1429" s="5" t="n">
        <v>7.6</v>
      </c>
      <c r="Q1429" s="5" t="n">
        <v>18.5</v>
      </c>
      <c r="R1429" s="5" t="n">
        <v>3.1</v>
      </c>
      <c r="S1429" s="5" t="n">
        <v>15.4</v>
      </c>
      <c r="T1429" s="2" t="n">
        <v>47</v>
      </c>
      <c r="U1429" s="2" t="inlineStr">
        <is>
          <t>low</t>
        </is>
      </c>
      <c r="V1429" s="5" t="n">
        <v>7.2</v>
      </c>
      <c r="W1429" s="2" t="inlineStr">
        <is>
          <t>low</t>
        </is>
      </c>
      <c r="X1429" s="3" t="inlineStr"/>
      <c r="Y1429" s="3" t="inlineStr">
        <is>
          <t>83% of this dish's available carbohydrate comes from ingredients with a published, measured GI; the rest uses conventional placeholders (see Ingredients sheet)</t>
        </is>
      </c>
      <c r="Z1429" s="2" t="n">
        <v>83</v>
      </c>
      <c r="AA1429" s="3" t="inlineStr">
        <is>
          <t>vegan, gluten-free, dairy-free, nut-free, no-cook</t>
        </is>
      </c>
      <c r="AB1429" s="3" t="inlineStr">
        <is>
          <t>1. Chop the herbs and vegetables finely.
2. Toss with the quinoa, lemon and oil.</t>
        </is>
      </c>
      <c r="AC1429" s="4" t="inlineStr">
        <is>
          <t>["Chop the herbs and vegetables finely.", "Toss with the quinoa, lemon and oil."]</t>
        </is>
      </c>
    </row>
    <row r="1430" ht="96" customHeight="1">
      <c r="A1430" s="2" t="inlineStr">
        <is>
          <t>DB-1429</t>
        </is>
      </c>
      <c r="B1430" s="3" t="inlineStr">
        <is>
          <t>Cheddar Chive Cauliflower Biscuits</t>
        </is>
      </c>
      <c r="C1430" s="4" t="inlineStr">
        <is>
          <t>Side Dish</t>
        </is>
      </c>
      <c r="D1430" s="4" t="inlineStr">
        <is>
          <t>American</t>
        </is>
      </c>
      <c r="E1430" s="2" t="n">
        <v>8</v>
      </c>
      <c r="F1430" s="2" t="n">
        <v>15</v>
      </c>
      <c r="G1430" s="2" t="n">
        <v>20</v>
      </c>
      <c r="H1430" s="2" t="n">
        <v>35</v>
      </c>
      <c r="I1430" s="4" t="inlineStr">
        <is>
          <t>cheddar-chive-cauliflower-biscuits.jpg</t>
        </is>
      </c>
      <c r="J1430" s="3" t="inlineStr">
        <is>
          <t>Cheddar Chive Cauliflower Biscuits, healthy food photography, plated, natural light</t>
        </is>
      </c>
      <c r="K1430" s="4" t="inlineStr"/>
      <c r="L1430" s="3" t="inlineStr">
        <is>
          <t>Cauliflower rice — 300 g (10.6 oz)
Almond flour — 100 g (3.5 oz)
Cheddar cheese — 100 g (3.5 oz)
Egg, large (50 g each) — 100 g (3.5 oz)
Fresh chives — 8 g (0.3 oz)
Baking powder — 4 g (0.1 oz)
Garlic powder — 2 g (0.1 oz)</t>
        </is>
      </c>
      <c r="M1430" s="4" t="inlineStr">
        <is>
          <t>[{"ingredient_id": "cauliflower_rice", "name": "Cauliflower rice", "grams": 300.0, "note": ""}, {"ingredient_id": "almond_flour", "name": "Almond flour", "grams": 100.0, "note": ""}, {"ingredient_id": "cheddar", "name": "Cheddar cheese", "grams": 100.0, "note": ""}, {"ingredient_id": "egg", "name": "Egg, large (50 g each)", "grams": 100.0, "note": ""}, {"ingredient_id": "chives", "name": "Fresh chives", "grams": 8.0, "note": ""}, {"ingredient_id": "baking_powder", "name": "Baking powder", "grams": 4.0, "note": ""}, {"ingredient_id": "garlic_powder", "name": "Garlic powder", "grams": 2.0, "note": ""}]</t>
        </is>
      </c>
      <c r="N1430" s="2" t="n">
        <v>153</v>
      </c>
      <c r="O1430" s="5" t="n">
        <v>7.9</v>
      </c>
      <c r="P1430" s="5" t="n">
        <v>11.7</v>
      </c>
      <c r="Q1430" s="5" t="n">
        <v>5.1</v>
      </c>
      <c r="R1430" s="5" t="n">
        <v>2.3</v>
      </c>
      <c r="S1430" s="5" t="n">
        <v>2.8</v>
      </c>
      <c r="T1430" s="2" t="n">
        <v>13</v>
      </c>
      <c r="U1430" s="2" t="inlineStr">
        <is>
          <t>low</t>
        </is>
      </c>
      <c r="V1430" s="5" t="n">
        <v>0.4</v>
      </c>
      <c r="W1430" s="2" t="inlineStr">
        <is>
          <t>low</t>
        </is>
      </c>
      <c r="X1430" s="3" t="inlineStr">
        <is>
          <t>Negligible carbohydrate (&lt;5 g net/serving): GI has little practical meaning, glycemic load is what matters.</t>
        </is>
      </c>
      <c r="Y1430" s="3" t="inlineStr">
        <is>
          <t>0% of this dish's available carbohydrate comes from ingredients with a published, measured GI; the rest uses conventional placeholders (see Ingredients sheet)</t>
        </is>
      </c>
      <c r="Z1430" s="2" t="n">
        <v>0</v>
      </c>
      <c r="AA1430" s="3" t="inlineStr">
        <is>
          <t>vegetarian, gluten-free, low-carb</t>
        </is>
      </c>
      <c r="AB1430" s="3" t="inlineStr">
        <is>
          <t>1. Steam and squeeze the cauliflower rice dry.
2. Mix with the almond flour, cheddar, eggs, chives, baking powder and garlic powder.
3. Scoop eight biscuits and bake at 400°F for 18 to 20 minutes.</t>
        </is>
      </c>
      <c r="AC1430" s="4" t="inlineStr">
        <is>
          <t>["Steam and squeeze the cauliflower rice dry.", "Mix with the almond flour, cheddar, eggs, chives, baking powder and garlic powder.", "Scoop eight biscuits and bake at 400°F for 18 to 20 minutes."]</t>
        </is>
      </c>
    </row>
    <row r="1431" ht="96" customHeight="1">
      <c r="A1431" s="2" t="inlineStr">
        <is>
          <t>DB-1430</t>
        </is>
      </c>
      <c r="B1431" s="3" t="inlineStr">
        <is>
          <t>Spiced Roasted Carrots and Chickpeas</t>
        </is>
      </c>
      <c r="C1431" s="4" t="inlineStr">
        <is>
          <t>Side Dish</t>
        </is>
      </c>
      <c r="D1431" s="4" t="inlineStr">
        <is>
          <t>Middle Eastern</t>
        </is>
      </c>
      <c r="E1431" s="2" t="n">
        <v>5</v>
      </c>
      <c r="F1431" s="2" t="n">
        <v>10</v>
      </c>
      <c r="G1431" s="2" t="n">
        <v>30</v>
      </c>
      <c r="H1431" s="2" t="n">
        <v>40</v>
      </c>
      <c r="I1431" s="4" t="inlineStr">
        <is>
          <t>spiced-roasted-carrots-and-chickpeas.jpg</t>
        </is>
      </c>
      <c r="J1431" s="3" t="inlineStr">
        <is>
          <t>Spiced Roasted Carrots and Chickpeas, healthy food photography, plated, natural light</t>
        </is>
      </c>
      <c r="K1431" s="4" t="inlineStr"/>
      <c r="L1431" s="3" t="inlineStr">
        <is>
          <t>Carrot — 500 g (17.6 oz)
Chickpeas, cooked — 250 g (8.8 oz)
Extra-virgin olive oil — 25 g (0.9 oz)
Ground cumin — 3 g (0.1 oz)
Smoked paprika — 3 g (0.1 oz)
Greek yogurt, plain 2% — 100 g (3.5 oz)
Lemon juice — 15 g (0.5 oz)</t>
        </is>
      </c>
      <c r="M1431" s="4" t="inlineStr">
        <is>
          <t>[{"ingredient_id": "carrot", "name": "Carrot", "grams": 500.0, "note": ""}, {"ingredient_id": "chickpeas", "name": "Chickpeas, cooked", "grams": 250.0, "note": ""}, {"ingredient_id": "olive_oil", "name": "Extra-virgin olive oil", "grams": 25.0, "note": ""}, {"ingredient_id": "cumin", "name": "Ground cumin", "grams": 3.0, "note": ""}, {"ingredient_id": "smoked_paprika", "name": "Smoked paprika", "grams": 3.0, "note": ""}, {"ingredient_id": "greek_yogurt", "name": "Greek yogurt, plain 2%", "grams": 100.0, "note": ""}, {"ingredient_id": "lemon_juice", "name": "Lemon juice", "grams": 15.0, "note": ""}]</t>
        </is>
      </c>
      <c r="N1431" s="2" t="n">
        <v>186</v>
      </c>
      <c r="O1431" s="5" t="n">
        <v>7.6</v>
      </c>
      <c r="P1431" s="5" t="n">
        <v>7.1</v>
      </c>
      <c r="Q1431" s="5" t="n">
        <v>24.7</v>
      </c>
      <c r="R1431" s="5" t="n">
        <v>6.9</v>
      </c>
      <c r="S1431" s="5" t="n">
        <v>17.8</v>
      </c>
      <c r="T1431" s="2" t="n">
        <v>37</v>
      </c>
      <c r="U1431" s="2" t="inlineStr">
        <is>
          <t>low</t>
        </is>
      </c>
      <c r="V1431" s="5" t="n">
        <v>6.6</v>
      </c>
      <c r="W1431" s="2" t="inlineStr">
        <is>
          <t>low</t>
        </is>
      </c>
      <c r="X1431" s="3" t="inlineStr"/>
      <c r="Y1431" s="3" t="inlineStr">
        <is>
          <t>97% of this dish's available carbohydrate comes from ingredients with a published, measured GI; the rest uses conventional placeholders (see Ingredients sheet)</t>
        </is>
      </c>
      <c r="Z1431" s="2" t="n">
        <v>97</v>
      </c>
      <c r="AA1431" s="3" t="inlineStr">
        <is>
          <t>vegetarian, gluten-free, nut-free</t>
        </is>
      </c>
      <c r="AB1431" s="3" t="inlineStr">
        <is>
          <t>1. Roast the carrots and chickpeas with oil and spices at 425°F for 30 minutes.
2. Serve with yogurt thinned with lemon.</t>
        </is>
      </c>
      <c r="AC1431" s="4" t="inlineStr">
        <is>
          <t>["Roast the carrots and chickpeas with oil and spices at 425°F for 30 minutes.", "Serve with yogurt thinned with lemon."]</t>
        </is>
      </c>
    </row>
    <row r="1432" ht="96" customHeight="1">
      <c r="A1432" s="2" t="inlineStr">
        <is>
          <t>DB-1431</t>
        </is>
      </c>
      <c r="B1432" s="3" t="inlineStr">
        <is>
          <t>Oat Flour Banana Pancakes</t>
        </is>
      </c>
      <c r="C1432" s="4" t="inlineStr">
        <is>
          <t>Breakfast</t>
        </is>
      </c>
      <c r="D1432" s="4" t="inlineStr">
        <is>
          <t>American</t>
        </is>
      </c>
      <c r="E1432" s="2" t="n">
        <v>3</v>
      </c>
      <c r="F1432" s="2" t="n">
        <v>10</v>
      </c>
      <c r="G1432" s="2" t="n">
        <v>12</v>
      </c>
      <c r="H1432" s="2" t="n">
        <v>22</v>
      </c>
      <c r="I1432" s="4" t="inlineStr">
        <is>
          <t>oat-flour-banana-pancakes.jpg</t>
        </is>
      </c>
      <c r="J1432" s="3" t="inlineStr">
        <is>
          <t>Oat Flour Banana Pancakes, healthy food photography, plated, natural light</t>
        </is>
      </c>
      <c r="K1432" s="4" t="inlineStr"/>
      <c r="L1432" s="3" t="inlineStr">
        <is>
          <t>Oat flour — 120 g (4.2 oz)
Banana (small amount) — 150 g (5.3 oz)
Egg, large (50 g each) — 100 g (3.5 oz)
Milk, 2% — 120 g (4.2 oz)
Baking powder — 5 g (0.2 oz)
Ground cinnamon — 2 g (0.1 oz)
Butter — 10 g (0.4 oz)</t>
        </is>
      </c>
      <c r="M1432" s="4" t="inlineStr">
        <is>
          <t>[{"ingredient_id": "oat_flour", "name": "Oat flour", "grams": 120.0, "note": ""}, {"ingredient_id": "banana", "name": "Banana (small amount)", "grams": 150.0, "note": ""}, {"ingredient_id": "egg", "name": "Egg, large (50 g each)", "grams": 100.0, "note": ""}, {"ingredient_id": "milk", "name": "Milk, 2%", "grams": 120.0, "note": ""}, {"ingredient_id": "baking_powder", "name": "Baking powder", "grams": 5.0, "note": ""}, {"ingredient_id": "cinnamon", "name": "Ground cinnamon", "grams": 2.0, "note": ""}, {"ingredient_id": "butter", "name": "Butter", "grams": 10.0, "note": ""}]</t>
        </is>
      </c>
      <c r="N1432" s="2" t="n">
        <v>300</v>
      </c>
      <c r="O1432" s="5" t="n">
        <v>12.1</v>
      </c>
      <c r="P1432" s="5" t="n">
        <v>10.4</v>
      </c>
      <c r="Q1432" s="5" t="n">
        <v>41.1</v>
      </c>
      <c r="R1432" s="5" t="n">
        <v>4.3</v>
      </c>
      <c r="S1432" s="5" t="n">
        <v>36.8</v>
      </c>
      <c r="T1432" s="2" t="n">
        <v>51</v>
      </c>
      <c r="U1432" s="2" t="inlineStr">
        <is>
          <t>low</t>
        </is>
      </c>
      <c r="V1432" s="5" t="n">
        <v>18.8</v>
      </c>
      <c r="W1432" s="2" t="inlineStr">
        <is>
          <t>medium</t>
        </is>
      </c>
      <c r="X1432" s="3" t="inlineStr"/>
      <c r="Y1432" s="3" t="inlineStr">
        <is>
          <t>33% of this dish's available carbohydrate comes from ingredients with a published, measured GI; the rest uses conventional placeholders (see Ingredients sheet)</t>
        </is>
      </c>
      <c r="Z1432" s="2" t="n">
        <v>33</v>
      </c>
      <c r="AA1432" s="3" t="inlineStr">
        <is>
          <t>vegetarian, nut-free</t>
        </is>
      </c>
      <c r="AB1432" s="3" t="inlineStr">
        <is>
          <t>1. Mash the banana and whisk with eggs and milk.
2. Stir in the oat flour, baking powder and cinnamon.
3. Cook small pancakes in butter, 2 minutes a side.</t>
        </is>
      </c>
      <c r="AC1432" s="4" t="inlineStr">
        <is>
          <t>["Mash the banana and whisk with eggs and milk.", "Stir in the oat flour, baking powder and cinnamon.", "Cook small pancakes in butter, 2 minutes a side."]</t>
        </is>
      </c>
    </row>
    <row r="1433" ht="96" customHeight="1">
      <c r="A1433" s="2" t="inlineStr">
        <is>
          <t>DB-1432</t>
        </is>
      </c>
      <c r="B1433" s="3" t="inlineStr">
        <is>
          <t>Almond Flour Pancakes with Berries</t>
        </is>
      </c>
      <c r="C1433" s="4" t="inlineStr">
        <is>
          <t>Breakfast</t>
        </is>
      </c>
      <c r="D1433" s="4" t="inlineStr">
        <is>
          <t>American</t>
        </is>
      </c>
      <c r="E1433" s="2" t="n">
        <v>3</v>
      </c>
      <c r="F1433" s="2" t="n">
        <v>10</v>
      </c>
      <c r="G1433" s="2" t="n">
        <v>12</v>
      </c>
      <c r="H1433" s="2" t="n">
        <v>22</v>
      </c>
      <c r="I1433" s="4" t="inlineStr">
        <is>
          <t>almond-flour-pancakes-with-berries.jpg</t>
        </is>
      </c>
      <c r="J1433" s="3" t="inlineStr">
        <is>
          <t>Almond Flour Pancakes with Berries, healthy food photography, plated, natural light</t>
        </is>
      </c>
      <c r="K1433" s="4" t="inlineStr"/>
      <c r="L1433" s="3" t="inlineStr">
        <is>
          <t>Almond flour — 120 g (4.2 oz)
Egg, large (50 g each) — 150 g (5.3 oz)
Milk, 2% — 60 g (2.1 oz)
Baking powder — 4 g (0.1 oz)
Vanilla extract — 4 g (0.1 oz)
Mixed berries, frozen — 150 g (5.3 oz)
Butter — 10 g (0.4 oz)</t>
        </is>
      </c>
      <c r="M1433" s="4" t="inlineStr">
        <is>
          <t>[{"ingredient_id": "almond_flour", "name": "Almond flour", "grams": 120.0, "note": ""}, {"ingredient_id": "egg", "name": "Egg, large (50 g each)", "grams": 150.0, "note": ""}, {"ingredient_id": "milk", "name": "Milk, 2%", "grams": 60.0, "note": ""}, {"ingredient_id": "baking_powder", "name": "Baking powder", "grams": 4.0, "note": ""}, {"ingredient_id": "vanilla_extract", "name": "Vanilla extract", "grams": 4.0, "note": ""}, {"ingredient_id": "mixed_berries", "name": "Mixed berries, frozen", "grams": 150.0, "note": ""}, {"ingredient_id": "butter", "name": "Butter", "grams": 10.0, "note": ""}]</t>
        </is>
      </c>
      <c r="N1433" s="2" t="n">
        <v>368</v>
      </c>
      <c r="O1433" s="5" t="n">
        <v>15.8</v>
      </c>
      <c r="P1433" s="5" t="n">
        <v>28</v>
      </c>
      <c r="Q1433" s="5" t="n">
        <v>15.8</v>
      </c>
      <c r="R1433" s="5" t="n">
        <v>6.8</v>
      </c>
      <c r="S1433" s="5" t="n">
        <v>9</v>
      </c>
      <c r="T1433" s="2" t="n">
        <v>25</v>
      </c>
      <c r="U1433" s="2" t="inlineStr">
        <is>
          <t>low</t>
        </is>
      </c>
      <c r="V1433" s="5" t="n">
        <v>2.2</v>
      </c>
      <c r="W1433" s="2" t="inlineStr">
        <is>
          <t>low</t>
        </is>
      </c>
      <c r="X1433" s="3" t="inlineStr"/>
      <c r="Y1433" s="3" t="inlineStr">
        <is>
          <t>11% of this dish's available carbohydrate comes from ingredients with a published, measured GI; the rest uses conventional placeholders (see Ingredients sheet)</t>
        </is>
      </c>
      <c r="Z1433" s="2" t="n">
        <v>11</v>
      </c>
      <c r="AA1433" s="3" t="inlineStr">
        <is>
          <t>vegetarian, gluten-free, low-carb</t>
        </is>
      </c>
      <c r="AB1433" s="3" t="inlineStr">
        <is>
          <t>1. Whisk the eggs, milk and vanilla and stir in the almond flour and baking powder.
2. Cook small pancakes in butter.
3. Serve with berries.</t>
        </is>
      </c>
      <c r="AC1433" s="4" t="inlineStr">
        <is>
          <t>["Whisk the eggs, milk and vanilla and stir in the almond flour and baking powder.", "Cook small pancakes in butter.", "Serve with berries."]</t>
        </is>
      </c>
    </row>
    <row r="1434" ht="96" customHeight="1">
      <c r="A1434" s="2" t="inlineStr">
        <is>
          <t>DB-1433</t>
        </is>
      </c>
      <c r="B1434" s="3" t="inlineStr">
        <is>
          <t>Cottage Cheese Pancakes</t>
        </is>
      </c>
      <c r="C1434" s="4" t="inlineStr">
        <is>
          <t>Breakfast</t>
        </is>
      </c>
      <c r="D1434" s="4" t="inlineStr">
        <is>
          <t>American</t>
        </is>
      </c>
      <c r="E1434" s="2" t="n">
        <v>3</v>
      </c>
      <c r="F1434" s="2" t="n">
        <v>10</v>
      </c>
      <c r="G1434" s="2" t="n">
        <v>12</v>
      </c>
      <c r="H1434" s="2" t="n">
        <v>22</v>
      </c>
      <c r="I1434" s="4" t="inlineStr">
        <is>
          <t>cottage-cheese-pancakes.jpg</t>
        </is>
      </c>
      <c r="J1434" s="3" t="inlineStr">
        <is>
          <t>Cottage Cheese Pancakes, healthy food photography, plated, natural light</t>
        </is>
      </c>
      <c r="K1434" s="4" t="inlineStr"/>
      <c r="L1434" s="3" t="inlineStr">
        <is>
          <t>Cottage cheese, low-fat — 250 g (8.8 oz)
Egg, large (50 g each) — 150 g (5.3 oz)
Oat flour — 60 g (2.1 oz)
Vanilla extract — 3 g (0.1 oz)
Ground cinnamon — 2 g (0.1 oz)
Butter — 10 g (0.4 oz)
Strawberries — 150 g (5.3 oz)</t>
        </is>
      </c>
      <c r="M1434" s="4" t="inlineStr">
        <is>
          <t>[{"ingredient_id": "cottage_cheese", "name": "Cottage cheese, low-fat", "grams": 250.0, "note": ""}, {"ingredient_id": "egg", "name": "Egg, large (50 g each)", "grams": 150.0, "note": ""}, {"ingredient_id": "oat_flour", "name": "Oat flour", "grams": 60.0, "note": ""}, {"ingredient_id": "vanilla_extract", "name": "Vanilla extract", "grams": 3.0, "note": ""}, {"ingredient_id": "cinnamon", "name": "Ground cinnamon", "grams": 2.0, "note": ""}, {"ingredient_id": "butter", "name": "Butter", "grams": 10.0, "note": ""}, {"ingredient_id": "strawberries", "name": "Strawberries", "grams": 150.0, "note": ""}]</t>
        </is>
      </c>
      <c r="N1434" s="2" t="n">
        <v>267</v>
      </c>
      <c r="O1434" s="5" t="n">
        <v>18.9</v>
      </c>
      <c r="P1434" s="5" t="n">
        <v>11.3</v>
      </c>
      <c r="Q1434" s="5" t="n">
        <v>21.7</v>
      </c>
      <c r="R1434" s="5" t="n">
        <v>2.7</v>
      </c>
      <c r="S1434" s="5" t="n">
        <v>19</v>
      </c>
      <c r="T1434" s="2" t="n">
        <v>42</v>
      </c>
      <c r="U1434" s="2" t="inlineStr">
        <is>
          <t>low</t>
        </is>
      </c>
      <c r="V1434" s="5" t="n">
        <v>8</v>
      </c>
      <c r="W1434" s="2" t="inlineStr">
        <is>
          <t>low</t>
        </is>
      </c>
      <c r="X1434" s="3" t="inlineStr"/>
      <c r="Y1434" s="3" t="inlineStr">
        <is>
          <t>15% of this dish's available carbohydrate comes from ingredients with a published, measured GI; the rest uses conventional placeholders (see Ingredients sheet)</t>
        </is>
      </c>
      <c r="Z1434" s="2" t="n">
        <v>15</v>
      </c>
      <c r="AA1434" s="3" t="inlineStr">
        <is>
          <t>vegetarian, nut-free</t>
        </is>
      </c>
      <c r="AB1434" s="3" t="inlineStr">
        <is>
          <t>1. Blend the cottage cheese, eggs, oat flour, vanilla and cinnamon.
2. Cook in butter 2 to 3 minutes a side.
3. Serve with strawberries.</t>
        </is>
      </c>
      <c r="AC1434" s="4" t="inlineStr">
        <is>
          <t>["Blend the cottage cheese, eggs, oat flour, vanilla and cinnamon.", "Cook in butter 2 to 3 minutes a side.", "Serve with strawberries."]</t>
        </is>
      </c>
    </row>
    <row r="1435" ht="96" customHeight="1">
      <c r="A1435" s="2" t="inlineStr">
        <is>
          <t>DB-1434</t>
        </is>
      </c>
      <c r="B1435" s="3" t="inlineStr">
        <is>
          <t>Pumpkin Oat Pancakes</t>
        </is>
      </c>
      <c r="C1435" s="4" t="inlineStr">
        <is>
          <t>Breakfast</t>
        </is>
      </c>
      <c r="D1435" s="4" t="inlineStr">
        <is>
          <t>American</t>
        </is>
      </c>
      <c r="E1435" s="2" t="n">
        <v>4</v>
      </c>
      <c r="F1435" s="2" t="n">
        <v>10</v>
      </c>
      <c r="G1435" s="2" t="n">
        <v>14</v>
      </c>
      <c r="H1435" s="2" t="n">
        <v>24</v>
      </c>
      <c r="I1435" s="4" t="inlineStr">
        <is>
          <t>pumpkin-oat-pancakes.jpg</t>
        </is>
      </c>
      <c r="J1435" s="3" t="inlineStr">
        <is>
          <t>Pumpkin Oat Pancakes, healthy food photography, plated, natural light</t>
        </is>
      </c>
      <c r="K1435" s="4" t="inlineStr"/>
      <c r="L1435" s="3" t="inlineStr">
        <is>
          <t>Oat flour — 150 g (5.3 oz)
Pumpkin puree, canned — 120 g (4.2 oz)
Egg, large (50 g each) — 100 g (3.5 oz)
Milk, 2% — 150 g (5.3 oz)
Pumpkin pie spice — 3 g (0.1 oz)
Baking powder — 5 g (0.2 oz)
Butter — 10 g (0.4 oz)</t>
        </is>
      </c>
      <c r="M1435" s="4" t="inlineStr">
        <is>
          <t>[{"ingredient_id": "oat_flour", "name": "Oat flour", "grams": 150.0, "note": ""}, {"ingredient_id": "pumpkin_puree", "name": "Pumpkin puree, canned", "grams": 120.0, "note": ""}, {"ingredient_id": "egg", "name": "Egg, large (50 g each)", "grams": 100.0, "note": ""}, {"ingredient_id": "milk", "name": "Milk, 2%", "grams": 150.0, "note": ""}, {"ingredient_id": "pumpkin_pie_spice", "name": "Pumpkin pie spice", "grams": 3.0, "note": ""}, {"ingredient_id": "baking_powder", "name": "Baking powder", "grams": 5.0, "note": ""}, {"ingredient_id": "butter", "name": "Butter", "grams": 10.0, "note": ""}]</t>
        </is>
      </c>
      <c r="N1435" s="2" t="n">
        <v>237</v>
      </c>
      <c r="O1435" s="5" t="n">
        <v>10.4</v>
      </c>
      <c r="P1435" s="5" t="n">
        <v>8.6</v>
      </c>
      <c r="Q1435" s="5" t="n">
        <v>30</v>
      </c>
      <c r="R1435" s="5" t="n">
        <v>3.5</v>
      </c>
      <c r="S1435" s="5" t="n">
        <v>26.5</v>
      </c>
      <c r="T1435" s="2" t="n">
        <v>53</v>
      </c>
      <c r="U1435" s="2" t="inlineStr">
        <is>
          <t>low</t>
        </is>
      </c>
      <c r="V1435" s="5" t="n">
        <v>14</v>
      </c>
      <c r="W1435" s="2" t="inlineStr">
        <is>
          <t>medium</t>
        </is>
      </c>
      <c r="X1435" s="3" t="inlineStr"/>
      <c r="Y1435" s="3" t="inlineStr">
        <is>
          <t>12% of this dish's available carbohydrate comes from ingredients with a published, measured GI; the rest uses conventional placeholders (see Ingredients sheet)</t>
        </is>
      </c>
      <c r="Z1435" s="2" t="n">
        <v>12</v>
      </c>
      <c r="AA1435" s="3" t="inlineStr">
        <is>
          <t>vegetarian, nut-free</t>
        </is>
      </c>
      <c r="AB1435" s="3" t="inlineStr">
        <is>
          <t>1. Whisk the pumpkin, eggs and milk.
2. Stir in the oat flour, spice and baking powder.
3. Cook in butter 2 minutes a side.</t>
        </is>
      </c>
      <c r="AC1435" s="4" t="inlineStr">
        <is>
          <t>["Whisk the pumpkin, eggs and milk.", "Stir in the oat flour, spice and baking powder.", "Cook in butter 2 minutes a side."]</t>
        </is>
      </c>
    </row>
    <row r="1436" ht="96" customHeight="1">
      <c r="A1436" s="2" t="inlineStr">
        <is>
          <t>DB-1435</t>
        </is>
      </c>
      <c r="B1436" s="3" t="inlineStr">
        <is>
          <t>Protein Waffles from Oats and Eggs</t>
        </is>
      </c>
      <c r="C1436" s="4" t="inlineStr">
        <is>
          <t>Breakfast</t>
        </is>
      </c>
      <c r="D1436" s="4" t="inlineStr">
        <is>
          <t>American</t>
        </is>
      </c>
      <c r="E1436" s="2" t="n">
        <v>3</v>
      </c>
      <c r="F1436" s="2" t="n">
        <v>10</v>
      </c>
      <c r="G1436" s="2" t="n">
        <v>10</v>
      </c>
      <c r="H1436" s="2" t="n">
        <v>20</v>
      </c>
      <c r="I1436" s="4" t="inlineStr">
        <is>
          <t>protein-waffles-from-oats-and-eggs.jpg</t>
        </is>
      </c>
      <c r="J1436" s="3" t="inlineStr">
        <is>
          <t>Protein Waffles from Oats and Eggs, healthy food photography, plated, natural light</t>
        </is>
      </c>
      <c r="K1436" s="4" t="inlineStr"/>
      <c r="L1436" s="3" t="inlineStr">
        <is>
          <t>Rolled oats, dry — 90 g (3.2 oz)
Egg, large (50 g each) — 150 g (5.3 oz)
Greek yogurt, plain 2% — 120 g (4.2 oz)
Baking powder — 4 g (0.1 oz)
Vanilla extract — 4 g (0.1 oz)
Blueberries — 100 g (3.5 oz)</t>
        </is>
      </c>
      <c r="M1436" s="4" t="inlineStr">
        <is>
          <t>[{"ingredient_id": "rolled_oats", "name": "Rolled oats, dry", "grams": 90.0, "note": ""}, {"ingredient_id": "egg", "name": "Egg, large (50 g each)", "grams": 150.0, "note": ""}, {"ingredient_id": "greek_yogurt", "name": "Greek yogurt, plain 2%", "grams": 120.0, "note": ""}, {"ingredient_id": "baking_powder", "name": "Baking powder", "grams": 4.0, "note": ""}, {"ingredient_id": "vanilla_extract", "name": "Vanilla extract", "grams": 4.0, "note": ""}, {"ingredient_id": "blueberries", "name": "Blueberries", "grams": 100.0, "note": ""}]</t>
        </is>
      </c>
      <c r="N1436" s="2" t="n">
        <v>238</v>
      </c>
      <c r="O1436" s="5" t="n">
        <v>14.4</v>
      </c>
      <c r="P1436" s="5" t="n">
        <v>7.6</v>
      </c>
      <c r="Q1436" s="5" t="n">
        <v>27.7</v>
      </c>
      <c r="R1436" s="5" t="n">
        <v>3.8</v>
      </c>
      <c r="S1436" s="5" t="n">
        <v>23.9</v>
      </c>
      <c r="T1436" s="2" t="n">
        <v>51</v>
      </c>
      <c r="U1436" s="2" t="inlineStr">
        <is>
          <t>low</t>
        </is>
      </c>
      <c r="V1436" s="5" t="n">
        <v>12.2</v>
      </c>
      <c r="W1436" s="2" t="inlineStr">
        <is>
          <t>medium</t>
        </is>
      </c>
      <c r="X1436" s="3" t="inlineStr"/>
      <c r="Y1436" s="3" t="inlineStr">
        <is>
          <t>96% of this dish's available carbohydrate comes from ingredients with a published, measured GI; the rest uses conventional placeholders (see Ingredients sheet)</t>
        </is>
      </c>
      <c r="Z1436" s="2" t="n">
        <v>96</v>
      </c>
      <c r="AA1436" s="3" t="inlineStr">
        <is>
          <t>vegetarian, nut-free</t>
        </is>
      </c>
      <c r="AB1436" s="3" t="inlineStr">
        <is>
          <t>1. Blend the oats, eggs, yogurt, baking powder and vanilla.
2. Cook in a greased waffle iron.
3. Top with blueberries.</t>
        </is>
      </c>
      <c r="AC1436" s="4" t="inlineStr">
        <is>
          <t>["Blend the oats, eggs, yogurt, baking powder and vanilla.", "Cook in a greased waffle iron.", "Top with blueberries."]</t>
        </is>
      </c>
    </row>
    <row r="1437" ht="96" customHeight="1">
      <c r="A1437" s="2" t="inlineStr">
        <is>
          <t>DB-1436</t>
        </is>
      </c>
      <c r="B1437" s="3" t="inlineStr">
        <is>
          <t>Blueberry Oat Breakfast Muffins</t>
        </is>
      </c>
      <c r="C1437" s="4" t="inlineStr">
        <is>
          <t>Breakfast</t>
        </is>
      </c>
      <c r="D1437" s="4" t="inlineStr">
        <is>
          <t>American</t>
        </is>
      </c>
      <c r="E1437" s="2" t="n">
        <v>10</v>
      </c>
      <c r="F1437" s="2" t="n">
        <v>10</v>
      </c>
      <c r="G1437" s="2" t="n">
        <v>22</v>
      </c>
      <c r="H1437" s="2" t="n">
        <v>32</v>
      </c>
      <c r="I1437" s="4" t="inlineStr">
        <is>
          <t>blueberry-oat-breakfast-muffins.jpg</t>
        </is>
      </c>
      <c r="J1437" s="3" t="inlineStr">
        <is>
          <t>Blueberry Oat Breakfast Muffins, healthy food photography, plated, natural light</t>
        </is>
      </c>
      <c r="K1437" s="4" t="inlineStr"/>
      <c r="L1437" s="3" t="inlineStr">
        <is>
          <t>Oat flour — 180 g (6.3 oz)
Blueberries — 150 g (5.3 oz)
Egg, large (50 g each) — 100 g (3.5 oz)
Greek yogurt, plain 2% — 120 g (4.2 oz)
Baking powder — 6 g (0.2 oz)
Vanilla extract — 4 g (0.1 oz)
White sugar — 25 g (0.9 oz)</t>
        </is>
      </c>
      <c r="M1437" s="4" t="inlineStr">
        <is>
          <t>[{"ingredient_id": "oat_flour", "name": "Oat flour", "grams": 180.0, "note": ""}, {"ingredient_id": "blueberries", "name": "Blueberries", "grams": 150.0, "note": ""}, {"ingredient_id": "egg", "name": "Egg, large (50 g each)", "grams": 100.0, "note": ""}, {"ingredient_id": "greek_yogurt", "name": "Greek yogurt, plain 2%", "grams": 120.0, "note": ""}, {"ingredient_id": "baking_powder", "name": "Baking powder", "grams": 6.0, "note": ""}, {"ingredient_id": "vanilla_extract", "name": "Vanilla extract", "grams": 4.0, "note": ""}, {"ingredient_id": "sugar_white", "name": "White sugar", "grams": 25.0, "note": ""}]</t>
        </is>
      </c>
      <c r="N1437" s="2" t="n">
        <v>116</v>
      </c>
      <c r="O1437" s="5" t="n">
        <v>5.3</v>
      </c>
      <c r="P1437" s="5" t="n">
        <v>2.9</v>
      </c>
      <c r="Q1437" s="5" t="n">
        <v>17.3</v>
      </c>
      <c r="R1437" s="5" t="n">
        <v>1.5</v>
      </c>
      <c r="S1437" s="5" t="n">
        <v>15.8</v>
      </c>
      <c r="T1437" s="2" t="n">
        <v>54</v>
      </c>
      <c r="U1437" s="2" t="inlineStr">
        <is>
          <t>low</t>
        </is>
      </c>
      <c r="V1437" s="5" t="n">
        <v>8.5</v>
      </c>
      <c r="W1437" s="2" t="inlineStr">
        <is>
          <t>low</t>
        </is>
      </c>
      <c r="X1437" s="3" t="inlineStr"/>
      <c r="Y1437" s="3" t="inlineStr">
        <is>
          <t>30% of this dish's available carbohydrate comes from ingredients with a published, measured GI; the rest uses conventional placeholders (see Ingredients sheet)</t>
        </is>
      </c>
      <c r="Z1437" s="2" t="n">
        <v>30</v>
      </c>
      <c r="AA1437" s="3" t="inlineStr">
        <is>
          <t>vegetarian, nut-free, meal-prep</t>
        </is>
      </c>
      <c r="AB1437" s="3" t="inlineStr">
        <is>
          <t>1. Whisk the eggs, yogurt, vanilla and sugar.
2. Fold in the oat flour, baking powder and blueberries.
3. Bake in a lined tin at 350°F for 20 to 22 minutes.</t>
        </is>
      </c>
      <c r="AC1437" s="4" t="inlineStr">
        <is>
          <t>["Whisk the eggs, yogurt, vanilla and sugar.", "Fold in the oat flour, baking powder and blueberries.", "Bake in a lined tin at 350°F for 20 to 22 minutes."]</t>
        </is>
      </c>
    </row>
    <row r="1438" ht="96" customHeight="1">
      <c r="A1438" s="2" t="inlineStr">
        <is>
          <t>DB-1437</t>
        </is>
      </c>
      <c r="B1438" s="3" t="inlineStr">
        <is>
          <t>Zucchini Bread Oatmeal Bake</t>
        </is>
      </c>
      <c r="C1438" s="4" t="inlineStr">
        <is>
          <t>Breakfast</t>
        </is>
      </c>
      <c r="D1438" s="4" t="inlineStr">
        <is>
          <t>American</t>
        </is>
      </c>
      <c r="E1438" s="2" t="n">
        <v>6</v>
      </c>
      <c r="F1438" s="2" t="n">
        <v>10</v>
      </c>
      <c r="G1438" s="2" t="n">
        <v>35</v>
      </c>
      <c r="H1438" s="2" t="n">
        <v>45</v>
      </c>
      <c r="I1438" s="4" t="inlineStr">
        <is>
          <t>zucchini-bread-oatmeal-bake.jpg</t>
        </is>
      </c>
      <c r="J1438" s="3" t="inlineStr">
        <is>
          <t>Zucchini Bread Oatmeal Bake, healthy food photography, plated, natural light</t>
        </is>
      </c>
      <c r="K1438" s="4" t="inlineStr"/>
      <c r="L1438" s="3" t="inlineStr">
        <is>
          <t>Rolled oats, dry — 200 g (7.1 oz)
Zucchini — 250 g (8.8 oz)
Milk, 2% — 350 g (12.3 oz)
Egg, large (50 g each) — 100 g (3.5 oz)
Walnuts — 40 g (1.4 oz)
Ground cinnamon — 4 g (0.1 oz)
Baking powder — 4 g (0.1 oz)
Vanilla extract — 4 g (0.1 oz)</t>
        </is>
      </c>
      <c r="M1438" s="4" t="inlineStr">
        <is>
          <t>[{"ingredient_id": "rolled_oats", "name": "Rolled oats, dry", "grams": 200.0, "note": ""}, {"ingredient_id": "zucchini", "name": "Zucchini", "grams": 250.0, "note": ""}, {"ingredient_id": "milk", "name": "Milk, 2%", "grams": 350.0, "note": ""}, {"ingredient_id": "egg", "name": "Egg, large (50 g each)", "grams": 100.0, "note": ""}, {"ingredient_id": "walnuts", "name": "Walnuts", "grams": 40.0, "note": ""}, {"ingredient_id": "cinnamon", "name": "Ground cinnamon", "grams": 4.0, "note": ""}, {"ingredient_id": "baking_powder", "name": "Baking powder", "grams": 4.0, "note": ""}, {"ingredient_id": "vanilla_extract", "name": "Vanilla extract", "grams": 4.0, "note": ""}]</t>
        </is>
      </c>
      <c r="N1438" s="2" t="n">
        <v>234</v>
      </c>
      <c r="O1438" s="5" t="n">
        <v>9.9</v>
      </c>
      <c r="P1438" s="5" t="n">
        <v>9.4</v>
      </c>
      <c r="Q1438" s="5" t="n">
        <v>28.6</v>
      </c>
      <c r="R1438" s="5" t="n">
        <v>4.5</v>
      </c>
      <c r="S1438" s="5" t="n">
        <v>24.1</v>
      </c>
      <c r="T1438" s="2" t="n">
        <v>50</v>
      </c>
      <c r="U1438" s="2" t="inlineStr">
        <is>
          <t>low</t>
        </is>
      </c>
      <c r="V1438" s="5" t="n">
        <v>12</v>
      </c>
      <c r="W1438" s="2" t="inlineStr">
        <is>
          <t>medium</t>
        </is>
      </c>
      <c r="X1438" s="3" t="inlineStr"/>
      <c r="Y1438" s="3" t="inlineStr">
        <is>
          <t>92% of this dish's available carbohydrate comes from ingredients with a published, measured GI; the rest uses conventional placeholders (see Ingredients sheet)</t>
        </is>
      </c>
      <c r="Z1438" s="2" t="n">
        <v>92</v>
      </c>
      <c r="AA1438" s="3" t="inlineStr">
        <is>
          <t>vegetarian, meal-prep</t>
        </is>
      </c>
      <c r="AB1438" s="3" t="inlineStr">
        <is>
          <t>1. Mix everything and pour into a greased dish.
2. Bake at 350°F for 30 to 35 minutes.</t>
        </is>
      </c>
      <c r="AC1438" s="4" t="inlineStr">
        <is>
          <t>["Mix everything and pour into a greased dish.", "Bake at 350°F for 30 to 35 minutes."]</t>
        </is>
      </c>
    </row>
    <row r="1439" ht="96" customHeight="1">
      <c r="A1439" s="2" t="inlineStr">
        <is>
          <t>DB-1438</t>
        </is>
      </c>
      <c r="B1439" s="3" t="inlineStr">
        <is>
          <t>Sausage and Egg Breakfast Casserole</t>
        </is>
      </c>
      <c r="C1439" s="4" t="inlineStr">
        <is>
          <t>Breakfast</t>
        </is>
      </c>
      <c r="D1439" s="4" t="inlineStr">
        <is>
          <t>American</t>
        </is>
      </c>
      <c r="E1439" s="2" t="n">
        <v>8</v>
      </c>
      <c r="F1439" s="2" t="n">
        <v>15</v>
      </c>
      <c r="G1439" s="2" t="n">
        <v>40</v>
      </c>
      <c r="H1439" s="2" t="n">
        <v>55</v>
      </c>
      <c r="I1439" s="4" t="inlineStr">
        <is>
          <t>sausage-and-egg-breakfast-casserole.jpg</t>
        </is>
      </c>
      <c r="J1439" s="3" t="inlineStr">
        <is>
          <t>Sausage and Egg Breakfast Casserole, healthy food photography, plated, natural light</t>
        </is>
      </c>
      <c r="K1439" s="4" t="inlineStr"/>
      <c r="L1439" s="3" t="inlineStr">
        <is>
          <t>Egg, large (50 g each) — 400 g (14.1 oz)
Turkey sausage — 300 g (10.6 oz)
Milk, 2% — 250 g (8.8 oz)
Cheddar cheese — 120 g (4.2 oz)
Spinach — 150 g (5.3 oz)
Bell pepper — 120 g (4.2 oz)
Yellow onion — 80 g (2.8 oz)</t>
        </is>
      </c>
      <c r="M1439" s="4" t="inlineStr">
        <is>
          <t>[{"ingredient_id": "egg", "name": "Egg, large (50 g each)", "grams": 400.0, "note": ""}, {"ingredient_id": "turkey_sausage", "name": "Turkey sausage", "grams": 300.0, "note": ""}, {"ingredient_id": "milk", "name": "Milk, 2%", "grams": 250.0, "note": ""}, {"ingredient_id": "cheddar", "name": "Cheddar cheese", "grams": 120.0, "note": ""}, {"ingredient_id": "spinach", "name": "Spinach", "grams": 150.0, "note": ""}, {"ingredient_id": "bell_pepper", "name": "Bell pepper", "grams": 120.0, "note": ""}, {"ingredient_id": "onion", "name": "Yellow onion", "grams": 80.0, "note": ""}]</t>
        </is>
      </c>
      <c r="N1439" s="2" t="n">
        <v>219</v>
      </c>
      <c r="O1439" s="5" t="n">
        <v>17.2</v>
      </c>
      <c r="P1439" s="5" t="n">
        <v>14.2</v>
      </c>
      <c r="Q1439" s="5" t="n">
        <v>5.3</v>
      </c>
      <c r="R1439" s="5" t="n">
        <v>0.9</v>
      </c>
      <c r="S1439" s="5" t="n">
        <v>4.4</v>
      </c>
      <c r="T1439" s="2" t="n">
        <v>15</v>
      </c>
      <c r="U1439" s="2" t="inlineStr">
        <is>
          <t>low</t>
        </is>
      </c>
      <c r="V1439" s="5" t="n">
        <v>0.7</v>
      </c>
      <c r="W1439" s="2" t="inlineStr">
        <is>
          <t>low</t>
        </is>
      </c>
      <c r="X1439" s="3" t="inlineStr">
        <is>
          <t>Negligible carbohydrate (&lt;5 g net/serving): GI has little practical meaning, glycemic load is what matters.</t>
        </is>
      </c>
      <c r="Y1439" s="3" t="inlineStr">
        <is>
          <t>34% of this dish's available carbohydrate comes from ingredients with a published, measured GI; the rest uses conventional placeholders (see Ingredients sheet)</t>
        </is>
      </c>
      <c r="Z1439" s="2" t="n">
        <v>34</v>
      </c>
      <c r="AA1439" s="3" t="inlineStr">
        <is>
          <t>gluten-free, nut-free, low-carb, meal-prep</t>
        </is>
      </c>
      <c r="AB1439" s="3" t="inlineStr">
        <is>
          <t>1. Brown the sausage with the onion and pepper.
2. Layer with the spinach and cheddar in a dish.
3. Pour over the beaten eggs and milk and bake at 350°F for 35 to 40 minutes.</t>
        </is>
      </c>
      <c r="AC1439" s="4" t="inlineStr">
        <is>
          <t>["Brown the sausage with the onion and pepper.", "Layer with the spinach and cheddar in a dish.", "Pour over the beaten eggs and milk and bake at 350°F for 35 to 40 minutes."]</t>
        </is>
      </c>
    </row>
    <row r="1440" ht="96" customHeight="1">
      <c r="A1440" s="2" t="inlineStr">
        <is>
          <t>DB-1439</t>
        </is>
      </c>
      <c r="B1440" s="3" t="inlineStr">
        <is>
          <t>Ham and Cheese Egg Roll-Ups</t>
        </is>
      </c>
      <c r="C1440" s="4" t="inlineStr">
        <is>
          <t>Breakfast</t>
        </is>
      </c>
      <c r="D1440" s="4" t="inlineStr">
        <is>
          <t>American</t>
        </is>
      </c>
      <c r="E1440" s="2" t="n">
        <v>4</v>
      </c>
      <c r="F1440" s="2" t="n">
        <v>10</v>
      </c>
      <c r="G1440" s="2" t="n">
        <v>10</v>
      </c>
      <c r="H1440" s="2" t="n">
        <v>20</v>
      </c>
      <c r="I1440" s="4" t="inlineStr">
        <is>
          <t>ham-and-cheese-egg-roll-ups.jpg</t>
        </is>
      </c>
      <c r="J1440" s="3" t="inlineStr">
        <is>
          <t>Ham and Cheese Egg Roll-Ups, healthy food photography, plated, natural light</t>
        </is>
      </c>
      <c r="K1440" s="4" t="inlineStr"/>
      <c r="L1440" s="3" t="inlineStr">
        <is>
          <t>Egg, large (50 g each) — 300 g (10.6 oz)
Ham, lean — 120 g (4.2 oz)
Swiss cheese — 60 g (2.1 oz)
Fresh chives — 4 g (0.1 oz)
Butter — 10 g (0.4 oz)</t>
        </is>
      </c>
      <c r="M1440" s="4" t="inlineStr">
        <is>
          <t>[{"ingredient_id": "egg", "name": "Egg, large (50 g each)", "grams": 300.0, "note": ""}, {"ingredient_id": "ham", "name": "Ham, lean", "grams": 120.0, "note": ""}, {"ingredient_id": "swiss_cheese", "name": "Swiss cheese", "grams": 60.0, "note": ""}, {"ingredient_id": "chives", "name": "Fresh chives", "grams": 4.0, "note": ""}, {"ingredient_id": "butter", "name": "Butter", "grams": 10.0, "note": ""}]</t>
        </is>
      </c>
      <c r="N1440" s="2" t="n">
        <v>226</v>
      </c>
      <c r="O1440" s="5" t="n">
        <v>19.9</v>
      </c>
      <c r="P1440" s="5" t="n">
        <v>15.2</v>
      </c>
      <c r="Q1440" s="5" t="n">
        <v>1.2</v>
      </c>
      <c r="R1440" s="5" t="n">
        <v>0</v>
      </c>
      <c r="S1440" s="5" t="n">
        <v>1.2</v>
      </c>
      <c r="T1440" s="2" t="n">
        <v>0</v>
      </c>
      <c r="U1440" s="2" t="inlineStr">
        <is>
          <t>low</t>
        </is>
      </c>
      <c r="V1440" s="5" t="n">
        <v>0</v>
      </c>
      <c r="W1440" s="2" t="inlineStr">
        <is>
          <t>low</t>
        </is>
      </c>
      <c r="X1440" s="3" t="inlineStr">
        <is>
          <t>Negligible carbohydrate (&lt;5 g net/serving): GI has little practical meaning, glycemic load is what matters.</t>
        </is>
      </c>
      <c r="Y1440" s="3" t="inlineStr">
        <is>
          <t>0% of this dish's available carbohydrate comes from ingredients with a published, measured GI; the rest uses conventional placeholders (see Ingredients sheet)</t>
        </is>
      </c>
      <c r="Z1440" s="2" t="n">
        <v>0</v>
      </c>
      <c r="AA1440" s="3" t="inlineStr">
        <is>
          <t>gluten-free, nut-free, low-carb</t>
        </is>
      </c>
      <c r="AB1440" s="3" t="inlineStr">
        <is>
          <t>1. Cook thin omelets in butter.
2. Top each with ham and Swiss and roll.</t>
        </is>
      </c>
      <c r="AC1440" s="4" t="inlineStr">
        <is>
          <t>["Cook thin omelets in butter.", "Top each with ham and Swiss and roll."]</t>
        </is>
      </c>
    </row>
    <row r="1441" ht="96" customHeight="1">
      <c r="A1441" s="2" t="inlineStr">
        <is>
          <t>DB-1440</t>
        </is>
      </c>
      <c r="B1441" s="3" t="inlineStr">
        <is>
          <t>Spinach Feta Breakfast Wrap</t>
        </is>
      </c>
      <c r="C1441" s="4" t="inlineStr">
        <is>
          <t>Breakfast</t>
        </is>
      </c>
      <c r="D1441" s="4" t="inlineStr">
        <is>
          <t>Mediterranean</t>
        </is>
      </c>
      <c r="E1441" s="2" t="n">
        <v>2</v>
      </c>
      <c r="F1441" s="2" t="n">
        <v>5</v>
      </c>
      <c r="G1441" s="2" t="n">
        <v>8</v>
      </c>
      <c r="H1441" s="2" t="n">
        <v>13</v>
      </c>
      <c r="I1441" s="4" t="inlineStr">
        <is>
          <t>spinach-feta-breakfast-wrap.jpg</t>
        </is>
      </c>
      <c r="J1441" s="3" t="inlineStr">
        <is>
          <t>Spinach Feta Breakfast Wrap, healthy food photography, plated, natural light</t>
        </is>
      </c>
      <c r="K1441" s="4" t="inlineStr"/>
      <c r="L1441" s="3" t="inlineStr">
        <is>
          <t>Flour tortilla, 8-inch — 80 g (2.8 oz)
Egg, large (50 g each) — 150 g (5.3 oz)
Spinach — 60 g (2.1 oz)
Feta cheese — 40 g (1.4 oz)
Cherry tomatoes — 80 g (2.8 oz)
Extra-virgin olive oil — 10 g (0.4 oz)</t>
        </is>
      </c>
      <c r="M1441" s="4" t="inlineStr">
        <is>
          <t>[{"ingredient_id": "flour_tortilla", "name": "Flour tortilla, 8-inch", "grams": 80.0, "note": ""}, {"ingredient_id": "egg", "name": "Egg, large (50 g each)", "grams": 150.0, "note": ""}, {"ingredient_id": "spinach", "name": "Spinach", "grams": 60.0, "note": ""}, {"ingredient_id": "feta", "name": "Feta cheese", "grams": 40.0, "note": ""}, {"ingredient_id": "cherry_tomato", "name": "Cherry tomatoes", "grams": 80.0, "note": ""}, {"ingredient_id": "olive_oil", "name": "Extra-virgin olive oil", "grams": 10.0, "note": ""}]</t>
        </is>
      </c>
      <c r="N1441" s="2" t="n">
        <v>341</v>
      </c>
      <c r="O1441" s="5" t="n">
        <v>16.8</v>
      </c>
      <c r="P1441" s="5" t="n">
        <v>19.7</v>
      </c>
      <c r="Q1441" s="5" t="n">
        <v>23.7</v>
      </c>
      <c r="R1441" s="5" t="n">
        <v>2.5</v>
      </c>
      <c r="S1441" s="5" t="n">
        <v>21.2</v>
      </c>
      <c r="T1441" s="2" t="n">
        <v>31</v>
      </c>
      <c r="U1441" s="2" t="inlineStr">
        <is>
          <t>low</t>
        </is>
      </c>
      <c r="V1441" s="5" t="n">
        <v>6.6</v>
      </c>
      <c r="W1441" s="2" t="inlineStr">
        <is>
          <t>low</t>
        </is>
      </c>
      <c r="X1441" s="3" t="inlineStr"/>
      <c r="Y1441" s="3" t="inlineStr">
        <is>
          <t>87% of this dish's available carbohydrate comes from ingredients with a published, measured GI; the rest uses conventional placeholders (see Ingredients sheet)</t>
        </is>
      </c>
      <c r="Z1441" s="2" t="n">
        <v>87</v>
      </c>
      <c r="AA1441" s="3" t="inlineStr">
        <is>
          <t>vegetarian, nut-free</t>
        </is>
      </c>
      <c r="AB1441" s="3" t="inlineStr">
        <is>
          <t>1. Scramble the eggs with the spinach in oil.
2. Fill the tortillas with eggs, feta and tomato and roll.</t>
        </is>
      </c>
      <c r="AC1441" s="4" t="inlineStr">
        <is>
          <t>["Scramble the eggs with the spinach in oil.", "Fill the tortillas with eggs, feta and tomato and roll."]</t>
        </is>
      </c>
    </row>
    <row r="1442" ht="96" customHeight="1">
      <c r="A1442" s="2" t="inlineStr">
        <is>
          <t>DB-1441</t>
        </is>
      </c>
      <c r="B1442" s="3" t="inlineStr">
        <is>
          <t>Chilaquiles-Style Egg Skillet</t>
        </is>
      </c>
      <c r="C1442" s="4" t="inlineStr">
        <is>
          <t>Breakfast</t>
        </is>
      </c>
      <c r="D1442" s="4" t="inlineStr">
        <is>
          <t>Mexican</t>
        </is>
      </c>
      <c r="E1442" s="2" t="n">
        <v>3</v>
      </c>
      <c r="F1442" s="2" t="n">
        <v>10</v>
      </c>
      <c r="G1442" s="2" t="n">
        <v>15</v>
      </c>
      <c r="H1442" s="2" t="n">
        <v>25</v>
      </c>
      <c r="I1442" s="4" t="inlineStr">
        <is>
          <t>chilaquiles-style-egg-skillet.jpg</t>
        </is>
      </c>
      <c r="J1442" s="3" t="inlineStr">
        <is>
          <t>Chilaquiles-Style Egg Skillet, healthy food photography, plated, natural light</t>
        </is>
      </c>
      <c r="K1442" s="4" t="inlineStr"/>
      <c r="L1442" s="3" t="inlineStr">
        <is>
          <t>Corn tortilla — 120 g (4.2 oz)
Egg, large (50 g each) — 200 g (7.1 oz)
Salsa verde — 200 g (7.1 oz)
Cotija cheese — 30 g (1.1 oz)
Avocado — 100 g (3.5 oz)
Fresh cilantro — 5 g (0.2 oz)
Extra-virgin olive oil — 15 g (0.5 oz)</t>
        </is>
      </c>
      <c r="M1442" s="4" t="inlineStr">
        <is>
          <t>[{"ingredient_id": "corn_tortilla", "name": "Corn tortilla", "grams": 120.0, "note": ""}, {"ingredient_id": "egg", "name": "Egg, large (50 g each)", "grams": 200.0, "note": ""}, {"ingredient_id": "salsa_verde", "name": "Salsa verde", "grams": 200.0, "note": ""}, {"ingredient_id": "cotija", "name": "Cotija cheese", "grams": 30.0, "note": ""}, {"ingredient_id": "avocado", "name": "Avocado", "grams": 100.0, "note": ""}, {"ingredient_id": "cilantro", "name": "Fresh cilantro", "grams": 5.0, "note": ""}, {"ingredient_id": "olive_oil", "name": "Extra-virgin olive oil", "grams": 15.0, "note": ""}]</t>
        </is>
      </c>
      <c r="N1442" s="2" t="n">
        <v>337</v>
      </c>
      <c r="O1442" s="5" t="n">
        <v>14</v>
      </c>
      <c r="P1442" s="5" t="n">
        <v>20.8</v>
      </c>
      <c r="Q1442" s="5" t="n">
        <v>25.8</v>
      </c>
      <c r="R1442" s="5" t="n">
        <v>5.8</v>
      </c>
      <c r="S1442" s="5" t="n">
        <v>20</v>
      </c>
      <c r="T1442" s="2" t="n">
        <v>45</v>
      </c>
      <c r="U1442" s="2" t="inlineStr">
        <is>
          <t>low</t>
        </is>
      </c>
      <c r="V1442" s="5" t="n">
        <v>9</v>
      </c>
      <c r="W1442" s="2" t="inlineStr">
        <is>
          <t>low</t>
        </is>
      </c>
      <c r="X1442" s="3" t="inlineStr"/>
      <c r="Y1442" s="3" t="inlineStr">
        <is>
          <t>78% of this dish's available carbohydrate comes from ingredients with a published, measured GI; the rest uses conventional placeholders (see Ingredients sheet)</t>
        </is>
      </c>
      <c r="Z1442" s="2" t="n">
        <v>78</v>
      </c>
      <c r="AA1442" s="3" t="inlineStr">
        <is>
          <t>vegetarian, gluten-free, nut-free</t>
        </is>
      </c>
      <c r="AB1442" s="3" t="inlineStr">
        <is>
          <t>1. Crisp torn tortillas in oil.
2. Warm in the salsa, then top with fried eggs.
3. Finish with cotija, avocado and cilantro.</t>
        </is>
      </c>
      <c r="AC1442" s="4" t="inlineStr">
        <is>
          <t>["Crisp torn tortillas in oil.", "Warm in the salsa, then top with fried eggs.", "Finish with cotija, avocado and cilantro."]</t>
        </is>
      </c>
    </row>
    <row r="1443" ht="96" customHeight="1">
      <c r="A1443" s="2" t="inlineStr">
        <is>
          <t>DB-1442</t>
        </is>
      </c>
      <c r="B1443" s="3" t="inlineStr">
        <is>
          <t>Sweet Potato Breakfast Boats</t>
        </is>
      </c>
      <c r="C1443" s="4" t="inlineStr">
        <is>
          <t>Breakfast</t>
        </is>
      </c>
      <c r="D1443" s="4" t="inlineStr">
        <is>
          <t>American</t>
        </is>
      </c>
      <c r="E1443" s="2" t="n">
        <v>4</v>
      </c>
      <c r="F1443" s="2" t="n">
        <v>10</v>
      </c>
      <c r="G1443" s="2" t="n">
        <v>45</v>
      </c>
      <c r="H1443" s="2" t="n">
        <v>55</v>
      </c>
      <c r="I1443" s="4" t="inlineStr">
        <is>
          <t>sweet-potato-breakfast-boats.jpg</t>
        </is>
      </c>
      <c r="J1443" s="3" t="inlineStr">
        <is>
          <t>Sweet Potato Breakfast Boats, healthy food photography, plated, natural light</t>
        </is>
      </c>
      <c r="K1443" s="4" t="inlineStr"/>
      <c r="L1443" s="3" t="inlineStr">
        <is>
          <t>Sweet potato, boiled/simmered — 600 g (21.2 oz)
Egg, large (50 g each) — 200 g (7.1 oz)
Turkey sausage — 150 g (5.3 oz)
Spinach — 60 g (2.1 oz)
Cheddar cheese — 40 g (1.4 oz)</t>
        </is>
      </c>
      <c r="M1443" s="4" t="inlineStr">
        <is>
          <t>[{"ingredient_id": "sweet_potato", "name": "Sweet potato, boiled/simmered", "grams": 600.0, "note": ""}, {"ingredient_id": "egg", "name": "Egg, large (50 g each)", "grams": 200.0, "note": ""}, {"ingredient_id": "turkey_sausage", "name": "Turkey sausage", "grams": 150.0, "note": ""}, {"ingredient_id": "spinach", "name": "Spinach", "grams": 60.0, "note": ""}, {"ingredient_id": "cheddar", "name": "Cheddar cheese", "grams": 40.0, "note": ""}]</t>
        </is>
      </c>
      <c r="N1443" s="2" t="n">
        <v>302</v>
      </c>
      <c r="O1443" s="5" t="n">
        <v>17.1</v>
      </c>
      <c r="P1443" s="5" t="n">
        <v>12</v>
      </c>
      <c r="Q1443" s="5" t="n">
        <v>31.8</v>
      </c>
      <c r="R1443" s="5" t="n">
        <v>4.8</v>
      </c>
      <c r="S1443" s="5" t="n">
        <v>26.9</v>
      </c>
      <c r="T1443" s="2" t="n">
        <v>44</v>
      </c>
      <c r="U1443" s="2" t="inlineStr">
        <is>
          <t>low</t>
        </is>
      </c>
      <c r="V1443" s="5" t="n">
        <v>11.9</v>
      </c>
      <c r="W1443" s="2" t="inlineStr">
        <is>
          <t>medium</t>
        </is>
      </c>
      <c r="X1443" s="3" t="inlineStr"/>
      <c r="Y1443" s="3" t="inlineStr">
        <is>
          <t>95% of this dish's available carbohydrate comes from ingredients with a published, measured GI; the rest uses conventional placeholders (see Ingredients sheet)</t>
        </is>
      </c>
      <c r="Z1443" s="2" t="n">
        <v>95</v>
      </c>
      <c r="AA1443" s="3" t="inlineStr">
        <is>
          <t>gluten-free, nut-free</t>
        </is>
      </c>
      <c r="AB1443" s="3" t="inlineStr">
        <is>
          <t>1. Bake the halved sweet potatoes until tender and scoop a well.
2. Fill with sautéed sausage and spinach.
3. Crack an egg into each, top with cheddar and bake 12 minutes.</t>
        </is>
      </c>
      <c r="AC1443" s="4" t="inlineStr">
        <is>
          <t>["Bake the halved sweet potatoes until tender and scoop a well.", "Fill with sautéed sausage and spinach.", "Crack an egg into each, top with cheddar and bake 12 minutes."]</t>
        </is>
      </c>
    </row>
    <row r="1444" ht="96" customHeight="1">
      <c r="A1444" s="2" t="inlineStr">
        <is>
          <t>DB-1443</t>
        </is>
      </c>
      <c r="B1444" s="3" t="inlineStr">
        <is>
          <t>Greek Yogurt Breakfast Bowl with Nuts and Seeds</t>
        </is>
      </c>
      <c r="C1444" s="4" t="inlineStr">
        <is>
          <t>Breakfast</t>
        </is>
      </c>
      <c r="D1444" s="4" t="inlineStr">
        <is>
          <t>American</t>
        </is>
      </c>
      <c r="E1444" s="2" t="n">
        <v>2</v>
      </c>
      <c r="F1444" s="2" t="n">
        <v>5</v>
      </c>
      <c r="G1444" s="2" t="n">
        <v>0</v>
      </c>
      <c r="H1444" s="2" t="n">
        <v>5</v>
      </c>
      <c r="I1444" s="4" t="inlineStr">
        <is>
          <t>greek-yogurt-breakfast-bowl-with-nuts-and-seeds.jpg</t>
        </is>
      </c>
      <c r="J1444" s="3" t="inlineStr">
        <is>
          <t>Greek Yogurt Breakfast Bowl with Nuts and Seeds, healthy food photography, plated, natural light</t>
        </is>
      </c>
      <c r="K1444" s="4" t="inlineStr"/>
      <c r="L1444" s="3" t="inlineStr">
        <is>
          <t>Greek yogurt, plain 2% — 300 g (10.6 oz)
Blueberries — 100 g (3.5 oz)
Almonds — 20 g (0.7 oz)
Pumpkin seeds (pepitas) — 15 g (0.5 oz)
Chia seeds — 10 g (0.4 oz)
Ground cinnamon — 1 g (0.0 oz)</t>
        </is>
      </c>
      <c r="M1444" s="4" t="inlineStr">
        <is>
          <t>[{"ingredient_id": "greek_yogurt", "name": "Greek yogurt, plain 2%", "grams": 300.0, "note": ""}, {"ingredient_id": "blueberries", "name": "Blueberries", "grams": 100.0, "note": ""}, {"ingredient_id": "almonds", "name": "Almonds", "grams": 20.0, "note": ""}, {"ingredient_id": "pumpkin_seeds", "name": "Pumpkin seeds (pepitas)", "grams": 15.0, "note": ""}, {"ingredient_id": "chia_seeds", "name": "Chia seeds", "grams": 10.0, "note": ""}, {"ingredient_id": "cinnamon", "name": "Ground cinnamon", "grams": 1.0, "note": ""}]</t>
        </is>
      </c>
      <c r="N1444" s="2" t="n">
        <v>263</v>
      </c>
      <c r="O1444" s="5" t="n">
        <v>20.6</v>
      </c>
      <c r="P1444" s="5" t="n">
        <v>13.4</v>
      </c>
      <c r="Q1444" s="5" t="n">
        <v>18.8</v>
      </c>
      <c r="R1444" s="5" t="n">
        <v>4.9</v>
      </c>
      <c r="S1444" s="5" t="n">
        <v>13.9</v>
      </c>
      <c r="T1444" s="2" t="n">
        <v>30</v>
      </c>
      <c r="U1444" s="2" t="inlineStr">
        <is>
          <t>low</t>
        </is>
      </c>
      <c r="V1444" s="5" t="n">
        <v>4.2</v>
      </c>
      <c r="W1444" s="2" t="inlineStr">
        <is>
          <t>low</t>
        </is>
      </c>
      <c r="X1444" s="3" t="inlineStr"/>
      <c r="Y1444" s="3" t="inlineStr">
        <is>
          <t>87% of this dish's available carbohydrate comes from ingredients with a published, measured GI; the rest uses conventional placeholders (see Ingredients sheet)</t>
        </is>
      </c>
      <c r="Z1444" s="2" t="n">
        <v>87</v>
      </c>
      <c r="AA1444" s="3" t="inlineStr">
        <is>
          <t>vegetarian, gluten-free, low-carb, no-cook</t>
        </is>
      </c>
      <c r="AB1444" s="3" t="inlineStr">
        <is>
          <t>1. Spoon the yogurt into bowls.
2. Top with berries, almonds and seeds and dust with cinnamon.</t>
        </is>
      </c>
      <c r="AC1444" s="4" t="inlineStr">
        <is>
          <t>["Spoon the yogurt into bowls.", "Top with berries, almonds and seeds and dust with cinnamon."]</t>
        </is>
      </c>
    </row>
    <row r="1445" ht="96" customHeight="1">
      <c r="A1445" s="2" t="inlineStr">
        <is>
          <t>DB-1444</t>
        </is>
      </c>
      <c r="B1445" s="3" t="inlineStr">
        <is>
          <t>Peanut Butter Overnight Oats</t>
        </is>
      </c>
      <c r="C1445" s="4" t="inlineStr">
        <is>
          <t>Breakfast</t>
        </is>
      </c>
      <c r="D1445" s="4" t="inlineStr">
        <is>
          <t>American</t>
        </is>
      </c>
      <c r="E1445" s="2" t="n">
        <v>2</v>
      </c>
      <c r="F1445" s="2" t="n">
        <v>5</v>
      </c>
      <c r="G1445" s="2" t="n">
        <v>0</v>
      </c>
      <c r="H1445" s="2" t="n">
        <v>5</v>
      </c>
      <c r="I1445" s="4" t="inlineStr">
        <is>
          <t>peanut-butter-overnight-oats.jpg</t>
        </is>
      </c>
      <c r="J1445" s="3" t="inlineStr">
        <is>
          <t>Peanut Butter Overnight Oats, healthy food photography, plated, natural light</t>
        </is>
      </c>
      <c r="K1445" s="4" t="inlineStr"/>
      <c r="L1445" s="3" t="inlineStr">
        <is>
          <t>Rolled oats, dry — 60 g (2.1 oz)
Milk, 2% — 200 g (7.1 oz)
Peanut butter, natural — 30 g (1.1 oz)
Greek yogurt, plain 2% — 100 g (3.5 oz)
Chia seeds — 10 g (0.4 oz)
Banana (small amount) — 60 g (2.1 oz)</t>
        </is>
      </c>
      <c r="M1445" s="4" t="inlineStr">
        <is>
          <t>[{"ingredient_id": "rolled_oats", "name": "Rolled oats, dry", "grams": 60.0, "note": ""}, {"ingredient_id": "milk", "name": "Milk, 2%", "grams": 200.0, "note": ""}, {"ingredient_id": "peanut_butter", "name": "Peanut butter, natural", "grams": 30.0, "note": ""}, {"ingredient_id": "greek_yogurt", "name": "Greek yogurt, plain 2%", "grams": 100.0, "note": ""}, {"ingredient_id": "chia_seeds", "name": "Chia seeds", "grams": 10.0, "note": ""}, {"ingredient_id": "banana", "name": "Banana (small amount)", "grams": 60.0, "note": ""}]</t>
        </is>
      </c>
      <c r="N1445" s="2" t="n">
        <v>339</v>
      </c>
      <c r="O1445" s="5" t="n">
        <v>17.1</v>
      </c>
      <c r="P1445" s="5" t="n">
        <v>14.1</v>
      </c>
      <c r="Q1445" s="5" t="n">
        <v>39.2</v>
      </c>
      <c r="R1445" s="5" t="n">
        <v>6.4</v>
      </c>
      <c r="S1445" s="5" t="n">
        <v>32.8</v>
      </c>
      <c r="T1445" s="2" t="n">
        <v>45</v>
      </c>
      <c r="U1445" s="2" t="inlineStr">
        <is>
          <t>low</t>
        </is>
      </c>
      <c r="V1445" s="5" t="n">
        <v>14.8</v>
      </c>
      <c r="W1445" s="2" t="inlineStr">
        <is>
          <t>medium</t>
        </is>
      </c>
      <c r="X1445" s="3" t="inlineStr"/>
      <c r="Y1445" s="3" t="inlineStr">
        <is>
          <t>92% of this dish's available carbohydrate comes from ingredients with a published, measured GI; the rest uses conventional placeholders (see Ingredients sheet)</t>
        </is>
      </c>
      <c r="Z1445" s="2" t="n">
        <v>92</v>
      </c>
      <c r="AA1445" s="3" t="inlineStr">
        <is>
          <t>vegetarian, no-cook, meal-prep</t>
        </is>
      </c>
      <c r="AB1445" s="3" t="inlineStr">
        <is>
          <t>1. Stir the oats, milk, peanut butter, yogurt and chia in a jar.
2. Refrigerate overnight and top with banana.</t>
        </is>
      </c>
      <c r="AC1445" s="4" t="inlineStr">
        <is>
          <t>["Stir the oats, milk, peanut butter, yogurt and chia in a jar.", "Refrigerate overnight and top with banana."]</t>
        </is>
      </c>
    </row>
    <row r="1446" ht="96" customHeight="1">
      <c r="A1446" s="2" t="inlineStr">
        <is>
          <t>DB-1445</t>
        </is>
      </c>
      <c r="B1446" s="3" t="inlineStr">
        <is>
          <t>Savory Oatmeal with Egg and Spinach</t>
        </is>
      </c>
      <c r="C1446" s="4" t="inlineStr">
        <is>
          <t>Breakfast</t>
        </is>
      </c>
      <c r="D1446" s="4" t="inlineStr">
        <is>
          <t>American</t>
        </is>
      </c>
      <c r="E1446" s="2" t="n">
        <v>2</v>
      </c>
      <c r="F1446" s="2" t="n">
        <v>5</v>
      </c>
      <c r="G1446" s="2" t="n">
        <v>8</v>
      </c>
      <c r="H1446" s="2" t="n">
        <v>13</v>
      </c>
      <c r="I1446" s="4" t="inlineStr">
        <is>
          <t>savory-oatmeal-with-egg-and-spinach.jpg</t>
        </is>
      </c>
      <c r="J1446" s="3" t="inlineStr">
        <is>
          <t>Savory Oatmeal with Egg and Spinach, healthy food photography, plated, natural light</t>
        </is>
      </c>
      <c r="K1446" s="4" t="inlineStr"/>
      <c r="L1446" s="3" t="inlineStr">
        <is>
          <t>Rolled oats, dry — 80 g (2.8 oz)
Chicken broth, low sodium — 300 g (10.6 oz)
Egg, large (50 g each) — 100 g (3.5 oz)
Spinach — 60 g (2.1 oz)
Parmesan, grated — 20 g (0.7 oz)
Black pepper — 1 g (0.0 oz)</t>
        </is>
      </c>
      <c r="M1446" s="4" t="inlineStr">
        <is>
          <t>[{"ingredient_id": "rolled_oats", "name": "Rolled oats, dry", "grams": 80.0, "note": ""}, {"ingredient_id": "chicken_broth", "name": "Chicken broth, low sodium", "grams": 300.0, "note": ""}, {"ingredient_id": "egg", "name": "Egg, large (50 g each)", "grams": 100.0, "note": ""}, {"ingredient_id": "spinach", "name": "Spinach", "grams": 60.0, "note": ""}, {"ingredient_id": "parmesan", "name": "Parmesan, grated", "grams": 20.0, "note": ""}, {"ingredient_id": "black_pepper", "name": "Black pepper", "grams": 1.0, "note": ""}]</t>
        </is>
      </c>
      <c r="N1446" s="2" t="n">
        <v>285</v>
      </c>
      <c r="O1446" s="5" t="n">
        <v>17.7</v>
      </c>
      <c r="P1446" s="5" t="n">
        <v>10.7</v>
      </c>
      <c r="Q1446" s="5" t="n">
        <v>30.1</v>
      </c>
      <c r="R1446" s="5" t="n">
        <v>4.8</v>
      </c>
      <c r="S1446" s="5" t="n">
        <v>25.3</v>
      </c>
      <c r="T1446" s="2" t="n">
        <v>53</v>
      </c>
      <c r="U1446" s="2" t="inlineStr">
        <is>
          <t>low</t>
        </is>
      </c>
      <c r="V1446" s="5" t="n">
        <v>13.4</v>
      </c>
      <c r="W1446" s="2" t="inlineStr">
        <is>
          <t>medium</t>
        </is>
      </c>
      <c r="X1446" s="3" t="inlineStr"/>
      <c r="Y1446" s="3" t="inlineStr">
        <is>
          <t>92% of this dish's available carbohydrate comes from ingredients with a published, measured GI; the rest uses conventional placeholders (see Ingredients sheet)</t>
        </is>
      </c>
      <c r="Z1446" s="2" t="n">
        <v>92</v>
      </c>
      <c r="AA1446" s="3" t="inlineStr">
        <is>
          <t>vegetarian, nut-free</t>
        </is>
      </c>
      <c r="AB1446" s="3" t="inlineStr">
        <is>
          <t>1. Simmer the oats in the broth with the spinach.
2. Top with a poached or fried egg, parmesan and pepper.</t>
        </is>
      </c>
      <c r="AC1446" s="4" t="inlineStr">
        <is>
          <t>["Simmer the oats in the broth with the spinach.", "Top with a poached or fried egg, parmesan and pepper."]</t>
        </is>
      </c>
    </row>
    <row r="1447" ht="96" customHeight="1">
      <c r="A1447" s="2" t="inlineStr">
        <is>
          <t>DB-1446</t>
        </is>
      </c>
      <c r="B1447" s="3" t="inlineStr">
        <is>
          <t>Breakfast Sausage Patties with Apple</t>
        </is>
      </c>
      <c r="C1447" s="4" t="inlineStr">
        <is>
          <t>Breakfast</t>
        </is>
      </c>
      <c r="D1447" s="4" t="inlineStr">
        <is>
          <t>American</t>
        </is>
      </c>
      <c r="E1447" s="2" t="n">
        <v>4</v>
      </c>
      <c r="F1447" s="2" t="n">
        <v>10</v>
      </c>
      <c r="G1447" s="2" t="n">
        <v>12</v>
      </c>
      <c r="H1447" s="2" t="n">
        <v>22</v>
      </c>
      <c r="I1447" s="4" t="inlineStr">
        <is>
          <t>breakfast-sausage-patties-with-apple.jpg</t>
        </is>
      </c>
      <c r="J1447" s="3" t="inlineStr">
        <is>
          <t>Breakfast Sausage Patties with Apple, healthy food photography, plated, natural light</t>
        </is>
      </c>
      <c r="K1447" s="4" t="inlineStr"/>
      <c r="L1447" s="3" t="inlineStr">
        <is>
          <t>Ground turkey 93% lean — 400 g (14.1 oz)
Apple — 100 g (3.5 oz)
Fresh sage — 3 g (0.1 oz)
Fresh thyme — 2 g (0.1 oz)
Salt — 3 g (0.1 oz)
Extra-virgin olive oil — 10 g (0.4 oz)</t>
        </is>
      </c>
      <c r="M1447" s="4" t="inlineStr">
        <is>
          <t>[{"ingredient_id": "ground_turkey", "name": "Ground turkey 93% lean", "grams": 400.0, "note": ""}, {"ingredient_id": "apple", "name": "Apple", "grams": 100.0, "note": ""}, {"ingredient_id": "sage", "name": "Fresh sage", "grams": 3.0, "note": ""}, {"ingredient_id": "thyme", "name": "Fresh thyme", "grams": 2.0, "note": ""}, {"ingredient_id": "salt", "name": "Salt", "grams": 3.0, "note": ""}, {"ingredient_id": "olive_oil", "name": "Extra-virgin olive oil", "grams": 10.0, "note": ""}]</t>
        </is>
      </c>
      <c r="N1447" s="2" t="n">
        <v>188</v>
      </c>
      <c r="O1447" s="5" t="n">
        <v>18.9</v>
      </c>
      <c r="P1447" s="5" t="n">
        <v>10.7</v>
      </c>
      <c r="Q1447" s="5" t="n">
        <v>4.1</v>
      </c>
      <c r="R1447" s="5" t="n">
        <v>1</v>
      </c>
      <c r="S1447" s="5" t="n">
        <v>3.1</v>
      </c>
      <c r="T1447" s="2" t="n">
        <v>35</v>
      </c>
      <c r="U1447" s="2" t="inlineStr">
        <is>
          <t>low</t>
        </is>
      </c>
      <c r="V1447" s="5" t="n">
        <v>1.1</v>
      </c>
      <c r="W1447" s="2" t="inlineStr">
        <is>
          <t>low</t>
        </is>
      </c>
      <c r="X1447" s="3" t="inlineStr">
        <is>
          <t>Negligible carbohydrate (&lt;5 g net/serving): GI has little practical meaning, glycemic load is what matters.</t>
        </is>
      </c>
      <c r="Y1447" s="3" t="inlineStr">
        <is>
          <t>94% of this dish's available carbohydrate comes from ingredients with a published, measured GI; the rest uses conventional placeholders (see Ingredients sheet)</t>
        </is>
      </c>
      <c r="Z1447" s="2" t="n">
        <v>94</v>
      </c>
      <c r="AA1447" s="3" t="inlineStr">
        <is>
          <t>gluten-free, dairy-free, nut-free, low-carb</t>
        </is>
      </c>
      <c r="AB1447" s="3" t="inlineStr">
        <is>
          <t>1. Mix the turkey with grated apple, sage, thyme and salt.
2. Shape eight small patties.
3. Pan-fry in oil 5 to 6 minutes a side.</t>
        </is>
      </c>
      <c r="AC1447" s="4" t="inlineStr">
        <is>
          <t>["Mix the turkey with grated apple, sage, thyme and salt.", "Shape eight small patties.", "Pan-fry in oil 5 to 6 minutes a side."]</t>
        </is>
      </c>
    </row>
    <row r="1448" ht="96" customHeight="1">
      <c r="A1448" s="2" t="inlineStr">
        <is>
          <t>DB-1447</t>
        </is>
      </c>
      <c r="B1448" s="3" t="inlineStr">
        <is>
          <t>Cheddar Broccoli Egg Cups</t>
        </is>
      </c>
      <c r="C1448" s="4" t="inlineStr">
        <is>
          <t>Breakfast</t>
        </is>
      </c>
      <c r="D1448" s="4" t="inlineStr">
        <is>
          <t>American</t>
        </is>
      </c>
      <c r="E1448" s="2" t="n">
        <v>6</v>
      </c>
      <c r="F1448" s="2" t="n">
        <v>10</v>
      </c>
      <c r="G1448" s="2" t="n">
        <v>20</v>
      </c>
      <c r="H1448" s="2" t="n">
        <v>30</v>
      </c>
      <c r="I1448" s="4" t="inlineStr">
        <is>
          <t>cheddar-broccoli-egg-cups.jpg</t>
        </is>
      </c>
      <c r="J1448" s="3" t="inlineStr">
        <is>
          <t>Cheddar Broccoli Egg Cups, healthy food photography, plated, natural light</t>
        </is>
      </c>
      <c r="K1448" s="4" t="inlineStr"/>
      <c r="L1448" s="3" t="inlineStr">
        <is>
          <t>Egg, large (50 g each) — 300 g (10.6 oz)
Broccoli — 150 g (5.3 oz)
Cheddar cheese — 70 g (2.5 oz)
Milk, 2% — 60 g (2.1 oz)
Black pepper — 1 g (0.0 oz)</t>
        </is>
      </c>
      <c r="M1448" s="4" t="inlineStr">
        <is>
          <t>[{"ingredient_id": "egg", "name": "Egg, large (50 g each)", "grams": 300.0, "note": ""}, {"ingredient_id": "broccoli", "name": "Broccoli", "grams": 150.0, "note": ""}, {"ingredient_id": "cheddar", "name": "Cheddar cheese", "grams": 70.0, "note": ""}, {"ingredient_id": "milk", "name": "Milk, 2%", "grams": 60.0, "note": ""}, {"ingredient_id": "black_pepper", "name": "Black pepper", "grams": 1.0, "note": ""}]</t>
        </is>
      </c>
      <c r="N1448" s="2" t="n">
        <v>132</v>
      </c>
      <c r="O1448" s="5" t="n">
        <v>10</v>
      </c>
      <c r="P1448" s="5" t="n">
        <v>8.9</v>
      </c>
      <c r="Q1448" s="5" t="n">
        <v>2.7</v>
      </c>
      <c r="R1448" s="5" t="n">
        <v>0.7</v>
      </c>
      <c r="S1448" s="5" t="n">
        <v>2</v>
      </c>
      <c r="T1448" s="2" t="n">
        <v>14</v>
      </c>
      <c r="U1448" s="2" t="inlineStr">
        <is>
          <t>low</t>
        </is>
      </c>
      <c r="V1448" s="5" t="n">
        <v>0.3</v>
      </c>
      <c r="W1448" s="2" t="inlineStr">
        <is>
          <t>low</t>
        </is>
      </c>
      <c r="X1448" s="3" t="inlineStr">
        <is>
          <t>Negligible carbohydrate (&lt;5 g net/serving): GI has little practical meaning, glycemic load is what matters.</t>
        </is>
      </c>
      <c r="Y1448" s="3" t="inlineStr">
        <is>
          <t>23% of this dish's available carbohydrate comes from ingredients with a published, measured GI; the rest uses conventional placeholders (see Ingredients sheet)</t>
        </is>
      </c>
      <c r="Z1448" s="2" t="n">
        <v>23</v>
      </c>
      <c r="AA1448" s="3" t="inlineStr">
        <is>
          <t>vegetarian, gluten-free, nut-free, low-carb, meal-prep</t>
        </is>
      </c>
      <c r="AB1448" s="3" t="inlineStr">
        <is>
          <t>1. Divide the chopped broccoli and cheddar among six muffin cups.
2. Pour in the eggs whisked with milk and pepper.
3. Bake at 350°F for 18 to 20 minutes.</t>
        </is>
      </c>
      <c r="AC1448" s="4" t="inlineStr">
        <is>
          <t>["Divide the chopped broccoli and cheddar among six muffin cups.", "Pour in the eggs whisked with milk and pepper.", "Bake at 350°F for 18 to 20 minutes."]</t>
        </is>
      </c>
    </row>
    <row r="1449" ht="96" customHeight="1">
      <c r="A1449" s="2" t="inlineStr">
        <is>
          <t>DB-1448</t>
        </is>
      </c>
      <c r="B1449" s="3" t="inlineStr">
        <is>
          <t>Sheet Pan Sausage with Potatoes and Green Beans</t>
        </is>
      </c>
      <c r="C1449" s="4" t="inlineStr">
        <is>
          <t>Poultry</t>
        </is>
      </c>
      <c r="D1449" s="4" t="inlineStr">
        <is>
          <t>American</t>
        </is>
      </c>
      <c r="E1449" s="2" t="n">
        <v>4</v>
      </c>
      <c r="F1449" s="2" t="n">
        <v>10</v>
      </c>
      <c r="G1449" s="2" t="n">
        <v>30</v>
      </c>
      <c r="H1449" s="2" t="n">
        <v>40</v>
      </c>
      <c r="I1449" s="4" t="inlineStr">
        <is>
          <t>sheet-pan-sausage-with-potatoes-and-green-beans.jpg</t>
        </is>
      </c>
      <c r="J1449" s="3" t="inlineStr">
        <is>
          <t>Sheet Pan Sausage with Potatoes and Green Beans, healthy food photography, plated, natural light</t>
        </is>
      </c>
      <c r="K1449" s="4" t="inlineStr"/>
      <c r="L1449" s="3" t="inlineStr">
        <is>
          <t>Chicken sausage — 400 g (14.1 oz)
Potato, boiled, peeled — 400 g (14.1 oz)
Green beans — 300 g (10.6 oz)
Extra-virgin olive oil — 20 g (0.7 oz)
Garlic — 6 g (0.2 oz)
Italian seasoning — 3 g (0.1 oz)</t>
        </is>
      </c>
      <c r="M1449" s="4" t="inlineStr">
        <is>
          <t>[{"ingredient_id": "chicken_sausage", "name": "Chicken sausage", "grams": 400.0, "note": ""}, {"ingredient_id": "potato_boiled", "name": "Potato, boiled, peeled", "grams": 400.0, "note": ""}, {"ingredient_id": "green_beans", "name": "Green beans", "grams": 300.0, "note": ""}, {"ingredient_id": "olive_oil", "name": "Extra-virgin olive oil", "grams": 20.0, "note": ""}, {"ingredient_id": "garlic", "name": "Garlic", "grams": 6.0, "note": ""}, {"ingredient_id": "italian_seasoning", "name": "Italian seasoning", "grams": 3.0, "note": ""}]</t>
        </is>
      </c>
      <c r="N1449" s="2" t="n">
        <v>335</v>
      </c>
      <c r="O1449" s="5" t="n">
        <v>18.5</v>
      </c>
      <c r="P1449" s="5" t="n">
        <v>16.3</v>
      </c>
      <c r="Q1449" s="5" t="n">
        <v>29.8</v>
      </c>
      <c r="R1449" s="5" t="n">
        <v>3.9</v>
      </c>
      <c r="S1449" s="5" t="n">
        <v>25.9</v>
      </c>
      <c r="T1449" s="2" t="n">
        <v>54</v>
      </c>
      <c r="U1449" s="2" t="inlineStr">
        <is>
          <t>low</t>
        </is>
      </c>
      <c r="V1449" s="5" t="n">
        <v>14</v>
      </c>
      <c r="W1449" s="2" t="inlineStr">
        <is>
          <t>medium</t>
        </is>
      </c>
      <c r="X1449" s="3" t="inlineStr"/>
      <c r="Y1449" s="3" t="inlineStr">
        <is>
          <t>77% of this dish's available carbohydrate comes from ingredients with a published, measured GI; the rest uses conventional placeholders (see Ingredients sheet)</t>
        </is>
      </c>
      <c r="Z1449" s="2" t="n">
        <v>77</v>
      </c>
      <c r="AA1449" s="3" t="inlineStr">
        <is>
          <t>gluten-free, dairy-free, nut-free, one-pan</t>
        </is>
      </c>
      <c r="AB1449" s="3" t="inlineStr">
        <is>
          <t>1. Toss everything on a tray with oil, garlic and seasoning.
2. Roast at 425°F for 25 to 30 minutes.</t>
        </is>
      </c>
      <c r="AC1449" s="4" t="inlineStr">
        <is>
          <t>["Toss everything on a tray with oil, garlic and seasoning.", "Roast at 425°F for 25 to 30 minutes."]</t>
        </is>
      </c>
    </row>
    <row r="1450" ht="96" customHeight="1">
      <c r="A1450" s="2" t="inlineStr">
        <is>
          <t>DB-1449</t>
        </is>
      </c>
      <c r="B1450" s="3" t="inlineStr">
        <is>
          <t>Sheet Pan Salmon with Brussels Sprouts</t>
        </is>
      </c>
      <c r="C1450" s="4" t="inlineStr">
        <is>
          <t>Seafood</t>
        </is>
      </c>
      <c r="D1450" s="4" t="inlineStr">
        <is>
          <t>American</t>
        </is>
      </c>
      <c r="E1450" s="2" t="n">
        <v>4</v>
      </c>
      <c r="F1450" s="2" t="n">
        <v>10</v>
      </c>
      <c r="G1450" s="2" t="n">
        <v>22</v>
      </c>
      <c r="H1450" s="2" t="n">
        <v>32</v>
      </c>
      <c r="I1450" s="4" t="inlineStr">
        <is>
          <t>sheet-pan-salmon-with-brussels-sprouts.jpg</t>
        </is>
      </c>
      <c r="J1450" s="3" t="inlineStr">
        <is>
          <t>Sheet Pan Salmon with Brussels Sprouts, healthy food photography, plated, natural light</t>
        </is>
      </c>
      <c r="K1450" s="4" t="inlineStr"/>
      <c r="L1450" s="3" t="inlineStr">
        <is>
          <t>Salmon fillet — 560 g (19.8 oz)
Brussels sprouts — 450 g (15.9 oz)
Extra-virgin olive oil — 25 g (0.9 oz)
Dijon mustard — 20 g (0.7 oz)
Lemon (with juice &amp; zest) — 60 g (2.1 oz)
Garlic — 4 g (0.1 oz)</t>
        </is>
      </c>
      <c r="M1450" s="4" t="inlineStr">
        <is>
          <t>[{"ingredient_id": "salmon", "name": "Salmon fillet", "grams": 560.0, "note": ""}, {"ingredient_id": "brussels_sprouts", "name": "Brussels sprouts", "grams": 450.0, "note": ""}, {"ingredient_id": "olive_oil", "name": "Extra-virgin olive oil", "grams": 25.0, "note": ""}, {"ingredient_id": "dijon", "name": "Dijon mustard", "grams": 20.0, "note": ""}, {"ingredient_id": "lemon", "name": "Lemon (with juice &amp; zest)", "grams": 60.0, "note": ""}, {"ingredient_id": "garlic", "name": "Garlic", "grams": 4.0, "note": ""}]</t>
        </is>
      </c>
      <c r="N1450" s="2" t="n">
        <v>404</v>
      </c>
      <c r="O1450" s="5" t="n">
        <v>32.3</v>
      </c>
      <c r="P1450" s="5" t="n">
        <v>25</v>
      </c>
      <c r="Q1450" s="5" t="n">
        <v>12.1</v>
      </c>
      <c r="R1450" s="5" t="n">
        <v>4.9</v>
      </c>
      <c r="S1450" s="5" t="n">
        <v>7.2</v>
      </c>
      <c r="T1450" s="2" t="n">
        <v>16</v>
      </c>
      <c r="U1450" s="2" t="inlineStr">
        <is>
          <t>low</t>
        </is>
      </c>
      <c r="V1450" s="5" t="n">
        <v>1.2</v>
      </c>
      <c r="W1450" s="2" t="inlineStr">
        <is>
          <t>low</t>
        </is>
      </c>
      <c r="X1450" s="3" t="inlineStr"/>
      <c r="Y1450" s="3" t="inlineStr">
        <is>
          <t>0% of this dish's available carbohydrate comes from ingredients with a published, measured GI; the rest uses conventional placeholders (see Ingredients sheet)</t>
        </is>
      </c>
      <c r="Z1450" s="2" t="n">
        <v>0</v>
      </c>
      <c r="AA1450" s="3" t="inlineStr">
        <is>
          <t>pescatarian, gluten-free, dairy-free, nut-free, low-carb, high-protein, one-pan</t>
        </is>
      </c>
      <c r="AB1450" s="3" t="inlineStr">
        <is>
          <t>1. Roast the halved sprouts with oil at 425°F for 10 minutes.
2. Add the salmon brushed with mustard and garlic and roast 12 minutes more.
3. Serve with lemon.</t>
        </is>
      </c>
      <c r="AC1450" s="4" t="inlineStr">
        <is>
          <t>["Roast the halved sprouts with oil at 425°F for 10 minutes.", "Add the salmon brushed with mustard and garlic and roast 12 minutes more.", "Serve with lemon."]</t>
        </is>
      </c>
    </row>
    <row r="1451" ht="96" customHeight="1">
      <c r="A1451" s="2" t="inlineStr">
        <is>
          <t>DB-1450</t>
        </is>
      </c>
      <c r="B1451" s="3" t="inlineStr">
        <is>
          <t>Sheet Pan Shrimp and Vegetable Bake</t>
        </is>
      </c>
      <c r="C1451" s="4" t="inlineStr">
        <is>
          <t>Seafood</t>
        </is>
      </c>
      <c r="D1451" s="4" t="inlineStr">
        <is>
          <t>American</t>
        </is>
      </c>
      <c r="E1451" s="2" t="n">
        <v>4</v>
      </c>
      <c r="F1451" s="2" t="n">
        <v>10</v>
      </c>
      <c r="G1451" s="2" t="n">
        <v>15</v>
      </c>
      <c r="H1451" s="2" t="n">
        <v>25</v>
      </c>
      <c r="I1451" s="4" t="inlineStr">
        <is>
          <t>sheet-pan-shrimp-and-vegetable-bake.jpg</t>
        </is>
      </c>
      <c r="J1451" s="3" t="inlineStr">
        <is>
          <t>Sheet Pan Shrimp and Vegetable Bake, healthy food photography, plated, natural light</t>
        </is>
      </c>
      <c r="K1451" s="4" t="inlineStr"/>
      <c r="L1451" s="3" t="inlineStr">
        <is>
          <t>Shrimp, peeled — 500 g (17.6 oz)
Zucchini — 250 g (8.8 oz)
Bell pepper — 200 g (7.1 oz)
Cherry tomatoes — 200 g (7.1 oz)
Extra-virgin olive oil — 25 g (0.9 oz)
Old Bay seasoning — 5 g (0.2 oz)
Lemon juice — 20 g (0.7 oz)</t>
        </is>
      </c>
      <c r="M1451" s="4" t="inlineStr">
        <is>
          <t>[{"ingredient_id": "shrimp", "name": "Shrimp, peeled", "grams": 500.0, "note": ""}, {"ingredient_id": "zucchini", "name": "Zucchini", "grams": 250.0, "note": ""}, {"ingredient_id": "bell_pepper", "name": "Bell pepper", "grams": 200.0, "note": ""}, {"ingredient_id": "cherry_tomato", "name": "Cherry tomatoes", "grams": 200.0, "note": ""}, {"ingredient_id": "olive_oil", "name": "Extra-virgin olive oil", "grams": 25.0, "note": ""}, {"ingredient_id": "old_bay", "name": "Old Bay seasoning", "grams": 5.0, "note": ""}, {"ingredient_id": "lemon_juice", "name": "Lemon juice", "grams": 20.0, "note": ""}]</t>
        </is>
      </c>
      <c r="N1451" s="2" t="n">
        <v>201</v>
      </c>
      <c r="O1451" s="5" t="n">
        <v>26.8</v>
      </c>
      <c r="P1451" s="5" t="n">
        <v>7.4</v>
      </c>
      <c r="Q1451" s="5" t="n">
        <v>7.9</v>
      </c>
      <c r="R1451" s="5" t="n">
        <v>2.6</v>
      </c>
      <c r="S1451" s="5" t="n">
        <v>5.3</v>
      </c>
      <c r="T1451" s="2" t="n">
        <v>15</v>
      </c>
      <c r="U1451" s="2" t="inlineStr">
        <is>
          <t>low</t>
        </is>
      </c>
      <c r="V1451" s="5" t="n">
        <v>0.8</v>
      </c>
      <c r="W1451" s="2" t="inlineStr">
        <is>
          <t>low</t>
        </is>
      </c>
      <c r="X1451" s="3" t="inlineStr"/>
      <c r="Y1451" s="3" t="inlineStr">
        <is>
          <t>0% of this dish's available carbohydrate comes from ingredients with a published, measured GI; the rest uses conventional placeholders (see Ingredients sheet)</t>
        </is>
      </c>
      <c r="Z1451" s="2" t="n">
        <v>0</v>
      </c>
      <c r="AA1451" s="3" t="inlineStr">
        <is>
          <t>pescatarian, gluten-free, dairy-free, nut-free, low-carb, high-protein, one-pan</t>
        </is>
      </c>
      <c r="AB1451" s="3" t="inlineStr">
        <is>
          <t>1. Toss the vegetables with oil and Old Bay and roast at 425°F for 10 minutes.
2. Add the shrimp and roast 5 minutes more.
3. Finish with lemon.</t>
        </is>
      </c>
      <c r="AC1451" s="4" t="inlineStr">
        <is>
          <t>["Toss the vegetables with oil and Old Bay and roast at 425°F for 10 minutes.", "Add the shrimp and roast 5 minutes more.", "Finish with lemon."]</t>
        </is>
      </c>
    </row>
    <row r="1452" ht="96" customHeight="1">
      <c r="A1452" s="2" t="inlineStr">
        <is>
          <t>DB-1451</t>
        </is>
      </c>
      <c r="B1452" s="3" t="inlineStr">
        <is>
          <t>Slow Cooker Chicken Tortilla Chili</t>
        </is>
      </c>
      <c r="C1452" s="4" t="inlineStr">
        <is>
          <t>Soup &amp; Stew</t>
        </is>
      </c>
      <c r="D1452" s="4" t="inlineStr">
        <is>
          <t>Tex-Mex</t>
        </is>
      </c>
      <c r="E1452" s="2" t="n">
        <v>6</v>
      </c>
      <c r="F1452" s="2" t="n">
        <v>10</v>
      </c>
      <c r="G1452" s="2" t="n">
        <v>360</v>
      </c>
      <c r="H1452" s="2" t="n">
        <v>370</v>
      </c>
      <c r="I1452" s="4" t="inlineStr">
        <is>
          <t>slow-cooker-chicken-tortilla-chili.jpg</t>
        </is>
      </c>
      <c r="J1452" s="3" t="inlineStr">
        <is>
          <t>Slow Cooker Chicken Tortilla Chili, healthy food photography, plated, natural light</t>
        </is>
      </c>
      <c r="K1452" s="4" t="inlineStr"/>
      <c r="L1452" s="3" t="inlineStr">
        <is>
          <t>Chicken breast, skinless — 600 g (21.2 oz)
Black beans, cooked — 250 g (8.8 oz)
Sweet corn kernels — 120 g (4.2 oz)
Diced tomatoes, canned — 400 g (14.1 oz)
Yellow onion — 120 g (4.2 oz)
Taco seasoning, low sodium — 14 g (0.5 oz)
Chicken broth, low sodium — 300 g (10.6 oz)
Lime juice — 20 g (0.7 oz)</t>
        </is>
      </c>
      <c r="M1452" s="4" t="inlineStr">
        <is>
          <t>[{"ingredient_id": "chicken_breast", "name": "Chicken breast, skinless", "grams": 600.0, "note": ""}, {"ingredient_id": "black_beans", "name": "Black beans, cooked", "grams": 250.0, "note": ""}, {"ingredient_id": "corn", "name": "Sweet corn kernels", "grams": 120.0, "note": ""}, {"ingredient_id": "diced_tomatoes", "name": "Diced tomatoes, canned", "grams": 400.0, "note": ""}, {"ingredient_id": "onion", "name": "Yellow onion", "grams": 120.0, "note": ""}, {"ingredient_id": "taco_seasoning", "name": "Taco seasoning, low sodium", "grams": 14.0, "note": ""}, {"ingredient_id": "chicken_broth", "name": "Chicken broth, low sodium", "grams": 300.0, "note": ""}, {"ingredient_id": "lime_juice", "name": "Lime juice", "grams": 20.0, "note": ""}]</t>
        </is>
      </c>
      <c r="N1452" s="2" t="n">
        <v>228</v>
      </c>
      <c r="O1452" s="5" t="n">
        <v>28.6</v>
      </c>
      <c r="P1452" s="5" t="n">
        <v>3.5</v>
      </c>
      <c r="Q1452" s="5" t="n">
        <v>20.7</v>
      </c>
      <c r="R1452" s="5" t="n">
        <v>6.1</v>
      </c>
      <c r="S1452" s="5" t="n">
        <v>14.6</v>
      </c>
      <c r="T1452" s="2" t="n">
        <v>33</v>
      </c>
      <c r="U1452" s="2" t="inlineStr">
        <is>
          <t>low</t>
        </is>
      </c>
      <c r="V1452" s="5" t="n">
        <v>4.8</v>
      </c>
      <c r="W1452" s="2" t="inlineStr">
        <is>
          <t>low</t>
        </is>
      </c>
      <c r="X1452" s="3" t="inlineStr"/>
      <c r="Y1452" s="3" t="inlineStr">
        <is>
          <t>65% of this dish's available carbohydrate comes from ingredients with a published, measured GI; the rest uses conventional placeholders (see Ingredients sheet)</t>
        </is>
      </c>
      <c r="Z1452" s="2" t="n">
        <v>65</v>
      </c>
      <c r="AA1452" s="3" t="inlineStr">
        <is>
          <t>gluten-free, dairy-free, nut-free, low-carb, high-protein, slow-cooker</t>
        </is>
      </c>
      <c r="AB1452" s="3" t="inlineStr">
        <is>
          <t>1. Combine everything except the lime in the slow cooker.
2. Cook on low 6 hours.
3. Shred the chicken and finish with lime.</t>
        </is>
      </c>
      <c r="AC1452" s="4" t="inlineStr">
        <is>
          <t>["Combine everything except the lime in the slow cooker.", "Cook on low 6 hours.", "Shred the chicken and finish with lime."]</t>
        </is>
      </c>
    </row>
    <row r="1453" ht="96" customHeight="1">
      <c r="A1453" s="2" t="inlineStr">
        <is>
          <t>DB-1452</t>
        </is>
      </c>
      <c r="B1453" s="3" t="inlineStr">
        <is>
          <t>Slow Cooker Pot Roast Chili with Beans</t>
        </is>
      </c>
      <c r="C1453" s="4" t="inlineStr">
        <is>
          <t>Soup &amp; Stew</t>
        </is>
      </c>
      <c r="D1453" s="4" t="inlineStr">
        <is>
          <t>American</t>
        </is>
      </c>
      <c r="E1453" s="2" t="n">
        <v>8</v>
      </c>
      <c r="F1453" s="2" t="n">
        <v>15</v>
      </c>
      <c r="G1453" s="2" t="n">
        <v>420</v>
      </c>
      <c r="H1453" s="2" t="n">
        <v>435</v>
      </c>
      <c r="I1453" s="4" t="inlineStr">
        <is>
          <t>slow-cooker-pot-roast-chili-with-beans.jpg</t>
        </is>
      </c>
      <c r="J1453" s="3" t="inlineStr">
        <is>
          <t>Slow Cooker Pot Roast Chili with Beans, healthy food photography, plated, natural light</t>
        </is>
      </c>
      <c r="K1453" s="4" t="inlineStr"/>
      <c r="L1453" s="3" t="inlineStr">
        <is>
          <t>Beef chuck roast, trimmed — 800 g (28.2 oz)
Kidney beans, cooked — 300 g (10.6 oz)
Diced tomatoes, canned — 500 g (17.6 oz)
Yellow onion — 150 g (5.3 oz)
Chili powder — 14 g (0.5 oz)
Ground cumin — 4 g (0.1 oz)
Garlic — 8 g (0.3 oz)
Beef broth, low sodium — 300 g (10.6 oz)</t>
        </is>
      </c>
      <c r="M1453" s="4" t="inlineStr">
        <is>
          <t>[{"ingredient_id": "beef_chuck", "name": "Beef chuck roast, trimmed", "grams": 800.0, "note": ""}, {"ingredient_id": "kidney_beans", "name": "Kidney beans, cooked", "grams": 300.0, "note": ""}, {"ingredient_id": "diced_tomatoes", "name": "Diced tomatoes, canned", "grams": 500.0, "note": ""}, {"ingredient_id": "onion", "name": "Yellow onion", "grams": 150.0, "note": ""}, {"ingredient_id": "chili_powder", "name": "Chili powder", "grams": 14.0, "note": ""}, {"ingredient_id": "cumin", "name": "Ground cumin", "grams": 4.0, "note": ""}, {"ingredient_id": "garlic", "name": "Garlic", "grams": 8.0, "note": ""}, {"ingredient_id": "beef_broth", "name": "Beef broth, low sodium", "grams": 300.0, "note": ""}]</t>
        </is>
      </c>
      <c r="N1453" s="2" t="n">
        <v>261</v>
      </c>
      <c r="O1453" s="5" t="n">
        <v>25.1</v>
      </c>
      <c r="P1453" s="5" t="n">
        <v>11.8</v>
      </c>
      <c r="Q1453" s="5" t="n">
        <v>15</v>
      </c>
      <c r="R1453" s="5" t="n">
        <v>4.3</v>
      </c>
      <c r="S1453" s="5" t="n">
        <v>10.7</v>
      </c>
      <c r="T1453" s="2" t="n">
        <v>30</v>
      </c>
      <c r="U1453" s="2" t="inlineStr">
        <is>
          <t>low</t>
        </is>
      </c>
      <c r="V1453" s="5" t="n">
        <v>3.2</v>
      </c>
      <c r="W1453" s="2" t="inlineStr">
        <is>
          <t>low</t>
        </is>
      </c>
      <c r="X1453" s="3" t="inlineStr"/>
      <c r="Y1453" s="3" t="inlineStr">
        <is>
          <t>58% of this dish's available carbohydrate comes from ingredients with a published, measured GI; the rest uses conventional placeholders (see Ingredients sheet)</t>
        </is>
      </c>
      <c r="Z1453" s="2" t="n">
        <v>58</v>
      </c>
      <c r="AA1453" s="3" t="inlineStr">
        <is>
          <t>gluten-free, dairy-free, nut-free, low-carb, high-protein, slow-cooker</t>
        </is>
      </c>
      <c r="AB1453" s="3" t="inlineStr">
        <is>
          <t>1. Combine everything in the slow cooker.
2. Cook on low 7 hours and shred the beef.</t>
        </is>
      </c>
      <c r="AC1453" s="4" t="inlineStr">
        <is>
          <t>["Combine everything in the slow cooker.", "Cook on low 7 hours and shred the beef."]</t>
        </is>
      </c>
    </row>
    <row r="1454" ht="96" customHeight="1">
      <c r="A1454" s="2" t="inlineStr">
        <is>
          <t>DB-1453</t>
        </is>
      </c>
      <c r="B1454" s="3" t="inlineStr">
        <is>
          <t>Slow Cooker Turkey Meatballs in Marinara</t>
        </is>
      </c>
      <c r="C1454" s="4" t="inlineStr">
        <is>
          <t>Poultry</t>
        </is>
      </c>
      <c r="D1454" s="4" t="inlineStr">
        <is>
          <t>Italian</t>
        </is>
      </c>
      <c r="E1454" s="2" t="n">
        <v>6</v>
      </c>
      <c r="F1454" s="2" t="n">
        <v>20</v>
      </c>
      <c r="G1454" s="2" t="n">
        <v>240</v>
      </c>
      <c r="H1454" s="2" t="n">
        <v>260</v>
      </c>
      <c r="I1454" s="4" t="inlineStr">
        <is>
          <t>slow-cooker-turkey-meatballs-in-marinara.jpg</t>
        </is>
      </c>
      <c r="J1454" s="3" t="inlineStr">
        <is>
          <t>Slow Cooker Turkey Meatballs in Marinara, healthy food photography, plated, natural light</t>
        </is>
      </c>
      <c r="K1454" s="4" t="inlineStr"/>
      <c r="L1454" s="3" t="inlineStr">
        <is>
          <t>Ground turkey 93% lean — 650 g (22.9 oz)
Egg, large (50 g each) — 50 g (1.8 oz)
Parmesan, grated — 40 g (1.4 oz)
Marinara sauce, no sugar added — 600 g (21.2 oz)
Italian seasoning — 3 g (0.1 oz)
Garlic — 6 g (0.2 oz)
Yellow onion — 60 g (2.1 oz)</t>
        </is>
      </c>
      <c r="M1454" s="4" t="inlineStr">
        <is>
          <t>[{"ingredient_id": "ground_turkey", "name": "Ground turkey 93% lean", "grams": 650.0, "note": ""}, {"ingredient_id": "egg", "name": "Egg, large (50 g each)", "grams": 50.0, "note": ""}, {"ingredient_id": "parmesan", "name": "Parmesan, grated", "grams": 40.0, "note": ""}, {"ingredient_id": "marinara", "name": "Marinara sauce, no sugar added", "grams": 600.0, "note": ""}, {"ingredient_id": "italian_seasoning", "name": "Italian seasoning", "grams": 3.0, "note": ""}, {"ingredient_id": "garlic", "name": "Garlic", "grams": 6.0, "note": ""}, {"ingredient_id": "onion", "name": "Yellow onion", "grams": 60.0, "note": ""}]</t>
        </is>
      </c>
      <c r="N1454" s="2" t="n">
        <v>255</v>
      </c>
      <c r="O1454" s="5" t="n">
        <v>25.6</v>
      </c>
      <c r="P1454" s="5" t="n">
        <v>13.9</v>
      </c>
      <c r="Q1454" s="5" t="n">
        <v>6.9</v>
      </c>
      <c r="R1454" s="5" t="n">
        <v>1.9</v>
      </c>
      <c r="S1454" s="5" t="n">
        <v>5</v>
      </c>
      <c r="T1454" s="2" t="n">
        <v>29</v>
      </c>
      <c r="U1454" s="2" t="inlineStr">
        <is>
          <t>low</t>
        </is>
      </c>
      <c r="V1454" s="5" t="n">
        <v>1.5</v>
      </c>
      <c r="W1454" s="2" t="inlineStr">
        <is>
          <t>low</t>
        </is>
      </c>
      <c r="X1454" s="3" t="inlineStr"/>
      <c r="Y1454" s="3" t="inlineStr">
        <is>
          <t>70% of this dish's available carbohydrate comes from ingredients with a published, measured GI; the rest uses conventional placeholders (see Ingredients sheet)</t>
        </is>
      </c>
      <c r="Z1454" s="2" t="n">
        <v>70</v>
      </c>
      <c r="AA1454" s="3" t="inlineStr">
        <is>
          <t>gluten-free, nut-free, low-carb, high-protein, slow-cooker</t>
        </is>
      </c>
      <c r="AB1454" s="3" t="inlineStr">
        <is>
          <t>1. Mix the turkey with egg, parmesan, onion, garlic and seasoning and shape meatballs.
2. Cook in the marinara on low 4 hours.</t>
        </is>
      </c>
      <c r="AC1454" s="4" t="inlineStr">
        <is>
          <t>["Mix the turkey with egg, parmesan, onion, garlic and seasoning and shape meatballs.", "Cook in the marinara on low 4 hours."]</t>
        </is>
      </c>
    </row>
    <row r="1455" ht="96" customHeight="1">
      <c r="A1455" s="2" t="inlineStr">
        <is>
          <t>DB-1454</t>
        </is>
      </c>
      <c r="B1455" s="3" t="inlineStr">
        <is>
          <t>Air Fryer Chicken Thighs with Smoked Paprika</t>
        </is>
      </c>
      <c r="C1455" s="4" t="inlineStr">
        <is>
          <t>Poultry</t>
        </is>
      </c>
      <c r="D1455" s="4" t="inlineStr">
        <is>
          <t>American</t>
        </is>
      </c>
      <c r="E1455" s="2" t="n">
        <v>4</v>
      </c>
      <c r="F1455" s="2" t="n">
        <v>5</v>
      </c>
      <c r="G1455" s="2" t="n">
        <v>22</v>
      </c>
      <c r="H1455" s="2" t="n">
        <v>27</v>
      </c>
      <c r="I1455" s="4" t="inlineStr">
        <is>
          <t>air-fryer-chicken-thighs-with-smoked-paprika.jpg</t>
        </is>
      </c>
      <c r="J1455" s="3" t="inlineStr">
        <is>
          <t>Air Fryer Chicken Thighs with Smoked Paprika, healthy food photography, plated, natural light</t>
        </is>
      </c>
      <c r="K1455" s="4" t="inlineStr"/>
      <c r="L1455" s="3" t="inlineStr">
        <is>
          <t>Chicken thigh, skinless boneless — 700 g (24.7 oz)
Smoked paprika — 5 g (0.2 oz)
Garlic powder — 3 g (0.1 oz)
Extra-virgin olive oil — 15 g (0.5 oz)
Salt — 3 g (0.1 oz)
Green beans — 300 g (10.6 oz)</t>
        </is>
      </c>
      <c r="M1455" s="4" t="inlineStr">
        <is>
          <t>[{"ingredient_id": "chicken_thigh", "name": "Chicken thigh, skinless boneless", "grams": 700.0, "note": ""}, {"ingredient_id": "smoked_paprika", "name": "Smoked paprika", "grams": 5.0, "note": ""}, {"ingredient_id": "garlic_powder", "name": "Garlic powder", "grams": 3.0, "note": ""}, {"ingredient_id": "olive_oil", "name": "Extra-virgin olive oil", "grams": 15.0, "note": ""}, {"ingredient_id": "salt", "name": "Salt", "grams": 3.0, "note": ""}, {"ingredient_id": "green_beans", "name": "Green beans", "grams": 300.0, "note": ""}]</t>
        </is>
      </c>
      <c r="N1455" s="2" t="n">
        <v>274</v>
      </c>
      <c r="O1455" s="5" t="n">
        <v>36.1</v>
      </c>
      <c r="P1455" s="5" t="n">
        <v>11.2</v>
      </c>
      <c r="Q1455" s="5" t="n">
        <v>6.5</v>
      </c>
      <c r="R1455" s="5" t="n">
        <v>2.5</v>
      </c>
      <c r="S1455" s="5" t="n">
        <v>3.9</v>
      </c>
      <c r="T1455" s="2" t="n">
        <v>15</v>
      </c>
      <c r="U1455" s="2" t="inlineStr">
        <is>
          <t>low</t>
        </is>
      </c>
      <c r="V1455" s="5" t="n">
        <v>0.6</v>
      </c>
      <c r="W1455" s="2" t="inlineStr">
        <is>
          <t>low</t>
        </is>
      </c>
      <c r="X1455" s="3" t="inlineStr">
        <is>
          <t>Negligible carbohydrate (&lt;5 g net/serving): GI has little practical meaning, glycemic load is what matters.</t>
        </is>
      </c>
      <c r="Y1455" s="3" t="inlineStr">
        <is>
          <t>0% of this dish's available carbohydrate comes from ingredients with a published, measured GI; the rest uses conventional placeholders (see Ingredients sheet)</t>
        </is>
      </c>
      <c r="Z1455" s="2" t="n">
        <v>0</v>
      </c>
      <c r="AA1455" s="3" t="inlineStr">
        <is>
          <t>gluten-free, dairy-free, nut-free, low-carb, high-protein</t>
        </is>
      </c>
      <c r="AB1455" s="3" t="inlineStr">
        <is>
          <t>1. Rub the chicken with oil and spices.
2. Air fry at 380°F for 20 minutes, turning once.
3. Serve with steamed green beans.</t>
        </is>
      </c>
      <c r="AC1455" s="4" t="inlineStr">
        <is>
          <t>["Rub the chicken with oil and spices.", "Air fry at 380°F for 20 minutes, turning once.", "Serve with steamed green beans."]</t>
        </is>
      </c>
    </row>
    <row r="1456" ht="96" customHeight="1">
      <c r="A1456" s="2" t="inlineStr">
        <is>
          <t>DB-1455</t>
        </is>
      </c>
      <c r="B1456" s="3" t="inlineStr">
        <is>
          <t>Air Fryer Salmon with Lemon and Dill</t>
        </is>
      </c>
      <c r="C1456" s="4" t="inlineStr">
        <is>
          <t>Seafood</t>
        </is>
      </c>
      <c r="D1456" s="4" t="inlineStr">
        <is>
          <t>American</t>
        </is>
      </c>
      <c r="E1456" s="2" t="n">
        <v>4</v>
      </c>
      <c r="F1456" s="2" t="n">
        <v>5</v>
      </c>
      <c r="G1456" s="2" t="n">
        <v>10</v>
      </c>
      <c r="H1456" s="2" t="n">
        <v>15</v>
      </c>
      <c r="I1456" s="4" t="inlineStr">
        <is>
          <t>air-fryer-salmon-with-lemon-and-dill.jpg</t>
        </is>
      </c>
      <c r="J1456" s="3" t="inlineStr">
        <is>
          <t>Air Fryer Salmon with Lemon and Dill, healthy food photography, plated, natural light</t>
        </is>
      </c>
      <c r="K1456" s="4" t="inlineStr"/>
      <c r="L1456" s="3" t="inlineStr">
        <is>
          <t>Salmon fillet — 560 g (19.8 oz)
Lemon (with juice &amp; zest) — 60 g (2.1 oz)
Fresh dill — 4 g (0.1 oz)
Extra-virgin olive oil — 15 g (0.5 oz)
Garlic powder — 2 g (0.1 oz)
Asparagus — 300 g (10.6 oz)</t>
        </is>
      </c>
      <c r="M1456" s="4" t="inlineStr">
        <is>
          <t>[{"ingredient_id": "salmon", "name": "Salmon fillet", "grams": 560.0, "note": ""}, {"ingredient_id": "lemon", "name": "Lemon (with juice &amp; zest)", "grams": 60.0, "note": ""}, {"ingredient_id": "dill", "name": "Fresh dill", "grams": 4.0, "note": ""}, {"ingredient_id": "olive_oil", "name": "Extra-virgin olive oil", "grams": 15.0, "note": ""}, {"ingredient_id": "garlic_powder", "name": "Garlic powder", "grams": 2.0, "note": ""}, {"ingredient_id": "asparagus", "name": "Asparagus", "grams": 300.0, "note": ""}]</t>
        </is>
      </c>
      <c r="N1456" s="2" t="n">
        <v>346</v>
      </c>
      <c r="O1456" s="5" t="n">
        <v>29.9</v>
      </c>
      <c r="P1456" s="5" t="n">
        <v>22.1</v>
      </c>
      <c r="Q1456" s="5" t="n">
        <v>4.8</v>
      </c>
      <c r="R1456" s="5" t="n">
        <v>2.1</v>
      </c>
      <c r="S1456" s="5" t="n">
        <v>2.7</v>
      </c>
      <c r="T1456" s="2" t="n">
        <v>17</v>
      </c>
      <c r="U1456" s="2" t="inlineStr">
        <is>
          <t>low</t>
        </is>
      </c>
      <c r="V1456" s="5" t="n">
        <v>0.5</v>
      </c>
      <c r="W1456" s="2" t="inlineStr">
        <is>
          <t>low</t>
        </is>
      </c>
      <c r="X1456" s="3" t="inlineStr">
        <is>
          <t>Negligible carbohydrate (&lt;5 g net/serving): GI has little practical meaning, glycemic load is what matters.</t>
        </is>
      </c>
      <c r="Y1456" s="3" t="inlineStr">
        <is>
          <t>0% of this dish's available carbohydrate comes from ingredients with a published, measured GI; the rest uses conventional placeholders (see Ingredients sheet)</t>
        </is>
      </c>
      <c r="Z1456" s="2" t="n">
        <v>0</v>
      </c>
      <c r="AA1456" s="3" t="inlineStr">
        <is>
          <t>pescatarian, gluten-free, dairy-free, nut-free, low-carb, high-protein</t>
        </is>
      </c>
      <c r="AB1456" s="3" t="inlineStr">
        <is>
          <t>1. Brush the salmon with oil and seasoning.
2. Air fry at 390°F for 8 to 10 minutes.
3. Serve with lemon, dill and roasted asparagus.</t>
        </is>
      </c>
      <c r="AC1456" s="4" t="inlineStr">
        <is>
          <t>["Brush the salmon with oil and seasoning.", "Air fry at 390°F for 8 to 10 minutes.", "Serve with lemon, dill and roasted asparagus."]</t>
        </is>
      </c>
    </row>
    <row r="1457" ht="96" customHeight="1">
      <c r="A1457" s="2" t="inlineStr">
        <is>
          <t>DB-1456</t>
        </is>
      </c>
      <c r="B1457" s="3" t="inlineStr">
        <is>
          <t>Air Fryer Cauliflower Wings</t>
        </is>
      </c>
      <c r="C1457" s="4" t="inlineStr">
        <is>
          <t>Snack &amp; Appetizer</t>
        </is>
      </c>
      <c r="D1457" s="4" t="inlineStr">
        <is>
          <t>American</t>
        </is>
      </c>
      <c r="E1457" s="2" t="n">
        <v>4</v>
      </c>
      <c r="F1457" s="2" t="n">
        <v>10</v>
      </c>
      <c r="G1457" s="2" t="n">
        <v>18</v>
      </c>
      <c r="H1457" s="2" t="n">
        <v>28</v>
      </c>
      <c r="I1457" s="4" t="inlineStr">
        <is>
          <t>air-fryer-cauliflower-wings.jpg</t>
        </is>
      </c>
      <c r="J1457" s="3" t="inlineStr">
        <is>
          <t>Air Fryer Cauliflower Wings, healthy food photography, plated, natural light</t>
        </is>
      </c>
      <c r="K1457" s="4" t="inlineStr"/>
      <c r="L1457" s="3" t="inlineStr">
        <is>
          <t>Cauliflower — 450 g (15.9 oz)
Hot sauce (Tabasco/Frank's) — 40 g (1.4 oz)
Extra-virgin olive oil — 15 g (0.5 oz)
Garlic powder — 3 g (0.1 oz)
Almond flour — 30 g (1.1 oz)
Greek yogurt, plain 2% — 100 g (3.5 oz)
Fresh dill — 3 g (0.1 oz)</t>
        </is>
      </c>
      <c r="M1457" s="4" t="inlineStr">
        <is>
          <t>[{"ingredient_id": "cauliflower", "name": "Cauliflower", "grams": 450.0, "note": ""}, {"ingredient_id": "hot_sauce", "name": "Hot sauce (Tabasco/Frank's)", "grams": 40.0, "note": ""}, {"ingredient_id": "olive_oil", "name": "Extra-virgin olive oil", "grams": 15.0, "note": ""}, {"ingredient_id": "garlic_powder", "name": "Garlic powder", "grams": 3.0, "note": ""}, {"ingredient_id": "almond_flour", "name": "Almond flour", "grams": 30.0, "note": ""}, {"ingredient_id": "greek_yogurt", "name": "Greek yogurt, plain 2%", "grams": 100.0, "note": ""}, {"ingredient_id": "dill", "name": "Fresh dill", "grams": 3.0, "note": ""}]</t>
        </is>
      </c>
      <c r="N1457" s="2" t="n">
        <v>128</v>
      </c>
      <c r="O1457" s="5" t="n">
        <v>6.4</v>
      </c>
      <c r="P1457" s="5" t="n">
        <v>8.4</v>
      </c>
      <c r="Q1457" s="5" t="n">
        <v>9</v>
      </c>
      <c r="R1457" s="5" t="n">
        <v>3.3</v>
      </c>
      <c r="S1457" s="5" t="n">
        <v>5.7</v>
      </c>
      <c r="T1457" s="2" t="n">
        <v>14</v>
      </c>
      <c r="U1457" s="2" t="inlineStr">
        <is>
          <t>low</t>
        </is>
      </c>
      <c r="V1457" s="5" t="n">
        <v>0.8</v>
      </c>
      <c r="W1457" s="2" t="inlineStr">
        <is>
          <t>low</t>
        </is>
      </c>
      <c r="X1457" s="3" t="inlineStr"/>
      <c r="Y1457" s="3" t="inlineStr">
        <is>
          <t>17% of this dish's available carbohydrate comes from ingredients with a published, measured GI; the rest uses conventional placeholders (see Ingredients sheet)</t>
        </is>
      </c>
      <c r="Z1457" s="2" t="n">
        <v>17</v>
      </c>
      <c r="AA1457" s="3" t="inlineStr">
        <is>
          <t>vegetarian, gluten-free, low-carb</t>
        </is>
      </c>
      <c r="AB1457" s="3" t="inlineStr">
        <is>
          <t>1. Toss the florets with oil, almond flour and garlic powder.
2. Air fry at 400°F for 15 minutes.
3. Toss with hot sauce and serve with a yogurt dill dip.</t>
        </is>
      </c>
      <c r="AC1457" s="4" t="inlineStr">
        <is>
          <t>["Toss the florets with oil, almond flour and garlic powder.", "Air fry at 400°F for 15 minutes.", "Toss with hot sauce and serve with a yogurt dill dip."]</t>
        </is>
      </c>
    </row>
    <row r="1458" ht="96" customHeight="1">
      <c r="A1458" s="2" t="inlineStr">
        <is>
          <t>DB-1457</t>
        </is>
      </c>
      <c r="B1458" s="3" t="inlineStr">
        <is>
          <t>Air Fryer Shrimp with Garlic and Lime</t>
        </is>
      </c>
      <c r="C1458" s="4" t="inlineStr">
        <is>
          <t>Seafood</t>
        </is>
      </c>
      <c r="D1458" s="4" t="inlineStr">
        <is>
          <t>American</t>
        </is>
      </c>
      <c r="E1458" s="2" t="n">
        <v>3</v>
      </c>
      <c r="F1458" s="2" t="n">
        <v>5</v>
      </c>
      <c r="G1458" s="2" t="n">
        <v>8</v>
      </c>
      <c r="H1458" s="2" t="n">
        <v>13</v>
      </c>
      <c r="I1458" s="4" t="inlineStr">
        <is>
          <t>air-fryer-shrimp-with-garlic-and-lime.jpg</t>
        </is>
      </c>
      <c r="J1458" s="3" t="inlineStr">
        <is>
          <t>Air Fryer Shrimp with Garlic and Lime, healthy food photography, plated, natural light</t>
        </is>
      </c>
      <c r="K1458" s="4" t="inlineStr"/>
      <c r="L1458" s="3" t="inlineStr">
        <is>
          <t>Shrimp, peeled — 450 g (15.9 oz)
Garlic — 8 g (0.3 oz)
Lime juice — 25 g (0.9 oz)
Extra-virgin olive oil — 15 g (0.5 oz)
Smoked paprika — 2 g (0.1 oz)
Salt — 2 g (0.1 oz)</t>
        </is>
      </c>
      <c r="M1458" s="4" t="inlineStr">
        <is>
          <t>[{"ingredient_id": "shrimp", "name": "Shrimp, peeled", "grams": 450.0, "note": ""}, {"ingredient_id": "garlic", "name": "Garlic", "grams": 8.0, "note": ""}, {"ingredient_id": "lime_juice", "name": "Lime juice", "grams": 25.0, "note": ""}, {"ingredient_id": "olive_oil", "name": "Extra-virgin olive oil", "grams": 15.0, "note": ""}, {"ingredient_id": "smoked_paprika", "name": "Smoked paprika", "grams": 2.0, "note": ""}, {"ingredient_id": "salt", "name": "Salt", "grams": 2.0, "note": ""}]</t>
        </is>
      </c>
      <c r="N1458" s="2" t="n">
        <v>180</v>
      </c>
      <c r="O1458" s="5" t="n">
        <v>30.3</v>
      </c>
      <c r="P1458" s="5" t="n">
        <v>5.9</v>
      </c>
      <c r="Q1458" s="5" t="n">
        <v>1.9</v>
      </c>
      <c r="R1458" s="5" t="n">
        <v>0.3</v>
      </c>
      <c r="S1458" s="5" t="n">
        <v>1.6</v>
      </c>
      <c r="T1458" s="2" t="n">
        <v>25</v>
      </c>
      <c r="U1458" s="2" t="inlineStr">
        <is>
          <t>low</t>
        </is>
      </c>
      <c r="V1458" s="5" t="n">
        <v>0.4</v>
      </c>
      <c r="W1458" s="2" t="inlineStr">
        <is>
          <t>low</t>
        </is>
      </c>
      <c r="X1458" s="3" t="inlineStr">
        <is>
          <t>Negligible carbohydrate (&lt;5 g net/serving): GI has little practical meaning, glycemic load is what matters.</t>
        </is>
      </c>
      <c r="Y1458" s="3" t="inlineStr">
        <is>
          <t>0% of this dish's available carbohydrate comes from ingredients with a published, measured GI; the rest uses conventional placeholders (see Ingredients sheet)</t>
        </is>
      </c>
      <c r="Z1458" s="2" t="n">
        <v>0</v>
      </c>
      <c r="AA1458" s="3" t="inlineStr">
        <is>
          <t>pescatarian, gluten-free, dairy-free, nut-free, low-carb, high-protein</t>
        </is>
      </c>
      <c r="AB1458" s="3" t="inlineStr">
        <is>
          <t>1. Toss the shrimp with oil, garlic, lime and spices.
2. Air fry at 400°F for 6 to 8 minutes.</t>
        </is>
      </c>
      <c r="AC1458" s="4" t="inlineStr">
        <is>
          <t>["Toss the shrimp with oil, garlic, lime and spices.", "Air fry at 400°F for 6 to 8 minutes."]</t>
        </is>
      </c>
    </row>
    <row r="1459" ht="96" customHeight="1">
      <c r="A1459" s="2" t="inlineStr">
        <is>
          <t>DB-1458</t>
        </is>
      </c>
      <c r="B1459" s="3" t="inlineStr">
        <is>
          <t>Air Fryer Turkey Meatballs</t>
        </is>
      </c>
      <c r="C1459" s="4" t="inlineStr">
        <is>
          <t>Snack &amp; Appetizer</t>
        </is>
      </c>
      <c r="D1459" s="4" t="inlineStr">
        <is>
          <t>Italian</t>
        </is>
      </c>
      <c r="E1459" s="2" t="n">
        <v>5</v>
      </c>
      <c r="F1459" s="2" t="n">
        <v>15</v>
      </c>
      <c r="G1459" s="2" t="n">
        <v>12</v>
      </c>
      <c r="H1459" s="2" t="n">
        <v>27</v>
      </c>
      <c r="I1459" s="4" t="inlineStr">
        <is>
          <t>air-fryer-turkey-meatballs.jpg</t>
        </is>
      </c>
      <c r="J1459" s="3" t="inlineStr">
        <is>
          <t>Air Fryer Turkey Meatballs, healthy food photography, plated, natural light</t>
        </is>
      </c>
      <c r="K1459" s="4" t="inlineStr"/>
      <c r="L1459" s="3" t="inlineStr">
        <is>
          <t>Ground turkey 93% lean — 500 g (17.6 oz)
Egg, large (50 g each) — 50 g (1.8 oz)
Parmesan, grated — 30 g (1.1 oz)
Italian seasoning — 3 g (0.1 oz)
Garlic — 6 g (0.2 oz)
Oat bran, dry — 25 g (0.9 oz)</t>
        </is>
      </c>
      <c r="M1459" s="4" t="inlineStr">
        <is>
          <t>[{"ingredient_id": "ground_turkey", "name": "Ground turkey 93% lean", "grams": 500.0, "note": ""}, {"ingredient_id": "egg", "name": "Egg, large (50 g each)", "grams": 50.0, "note": ""}, {"ingredient_id": "parmesan", "name": "Parmesan, grated", "grams": 30.0, "note": ""}, {"ingredient_id": "italian_seasoning", "name": "Italian seasoning", "grams": 3.0, "note": ""}, {"ingredient_id": "garlic", "name": "Garlic", "grams": 6.0, "note": ""}, {"ingredient_id": "oat_bran", "name": "Oat bran, dry", "grams": 25.0, "note": ""}]</t>
        </is>
      </c>
      <c r="N1459" s="2" t="n">
        <v>206</v>
      </c>
      <c r="O1459" s="5" t="n">
        <v>23.2</v>
      </c>
      <c r="P1459" s="5" t="n">
        <v>11.1</v>
      </c>
      <c r="Q1459" s="5" t="n">
        <v>4.4</v>
      </c>
      <c r="R1459" s="5" t="n">
        <v>1</v>
      </c>
      <c r="S1459" s="5" t="n">
        <v>3.4</v>
      </c>
      <c r="T1459" s="2" t="n">
        <v>45</v>
      </c>
      <c r="U1459" s="2" t="inlineStr">
        <is>
          <t>low</t>
        </is>
      </c>
      <c r="V1459" s="5" t="n">
        <v>1.5</v>
      </c>
      <c r="W1459" s="2" t="inlineStr">
        <is>
          <t>low</t>
        </is>
      </c>
      <c r="X1459" s="3" t="inlineStr">
        <is>
          <t>Negligible carbohydrate (&lt;5 g net/serving): GI has little practical meaning, glycemic load is what matters.</t>
        </is>
      </c>
      <c r="Y1459" s="3" t="inlineStr">
        <is>
          <t>75% of this dish's available carbohydrate comes from ingredients with a published, measured GI; the rest uses conventional placeholders (see Ingredients sheet)</t>
        </is>
      </c>
      <c r="Z1459" s="2" t="n">
        <v>75</v>
      </c>
      <c r="AA1459" s="3" t="inlineStr">
        <is>
          <t>nut-free, low-carb</t>
        </is>
      </c>
      <c r="AB1459" s="3" t="inlineStr">
        <is>
          <t>1. Mix everything and shape twenty meatballs.
2. Air fry at 380°F for 10 to 12 minutes.</t>
        </is>
      </c>
      <c r="AC1459" s="4" t="inlineStr">
        <is>
          <t>["Mix everything and shape twenty meatballs.", "Air fry at 380°F for 10 to 12 minutes."]</t>
        </is>
      </c>
    </row>
    <row r="1460" ht="96" customHeight="1">
      <c r="A1460" s="2" t="inlineStr">
        <is>
          <t>DB-1459</t>
        </is>
      </c>
      <c r="B1460" s="3" t="inlineStr">
        <is>
          <t>Air Fryer Brussels Sprouts with Bacon</t>
        </is>
      </c>
      <c r="C1460" s="4" t="inlineStr">
        <is>
          <t>Side Dish</t>
        </is>
      </c>
      <c r="D1460" s="4" t="inlineStr">
        <is>
          <t>American</t>
        </is>
      </c>
      <c r="E1460" s="2" t="n">
        <v>4</v>
      </c>
      <c r="F1460" s="2" t="n">
        <v>5</v>
      </c>
      <c r="G1460" s="2" t="n">
        <v>15</v>
      </c>
      <c r="H1460" s="2" t="n">
        <v>20</v>
      </c>
      <c r="I1460" s="4" t="inlineStr">
        <is>
          <t>air-fryer-brussels-sprouts-with-bacon.jpg</t>
        </is>
      </c>
      <c r="J1460" s="3" t="inlineStr">
        <is>
          <t>Air Fryer Brussels Sprouts with Bacon, healthy food photography, plated, natural light</t>
        </is>
      </c>
      <c r="K1460" s="4" t="inlineStr"/>
      <c r="L1460" s="3" t="inlineStr">
        <is>
          <t>Brussels sprouts — 450 g (15.9 oz)
Bacon — 40 g (1.4 oz)
Extra-virgin olive oil — 10 g (0.4 oz)
Balsamic vinegar — 10 g (0.4 oz)</t>
        </is>
      </c>
      <c r="M1460" s="4" t="inlineStr">
        <is>
          <t>[{"ingredient_id": "brussels_sprouts", "name": "Brussels sprouts", "grams": 450.0, "note": ""}, {"ingredient_id": "bacon", "name": "Bacon", "grams": 40.0, "note": ""}, {"ingredient_id": "olive_oil", "name": "Extra-virgin olive oil", "grams": 10.0, "note": ""}, {"ingredient_id": "balsamic_vinegar", "name": "Balsamic vinegar", "grams": 10.0, "note": ""}]</t>
        </is>
      </c>
      <c r="N1460" s="2" t="n">
        <v>127</v>
      </c>
      <c r="O1460" s="5" t="n">
        <v>7.5</v>
      </c>
      <c r="P1460" s="5" t="n">
        <v>7</v>
      </c>
      <c r="Q1460" s="5" t="n">
        <v>10.7</v>
      </c>
      <c r="R1460" s="5" t="n">
        <v>4.3</v>
      </c>
      <c r="S1460" s="5" t="n">
        <v>6.4</v>
      </c>
      <c r="T1460" s="2" t="n">
        <v>16</v>
      </c>
      <c r="U1460" s="2" t="inlineStr">
        <is>
          <t>low</t>
        </is>
      </c>
      <c r="V1460" s="5" t="n">
        <v>1</v>
      </c>
      <c r="W1460" s="2" t="inlineStr">
        <is>
          <t>low</t>
        </is>
      </c>
      <c r="X1460" s="3" t="inlineStr"/>
      <c r="Y1460" s="3" t="inlineStr">
        <is>
          <t>0% of this dish's available carbohydrate comes from ingredients with a published, measured GI; the rest uses conventional placeholders (see Ingredients sheet)</t>
        </is>
      </c>
      <c r="Z1460" s="2" t="n">
        <v>0</v>
      </c>
      <c r="AA1460" s="3" t="inlineStr">
        <is>
          <t>gluten-free, dairy-free, nut-free, low-carb</t>
        </is>
      </c>
      <c r="AB1460" s="3" t="inlineStr">
        <is>
          <t>1. Toss the halved sprouts with oil and chopped bacon.
2. Air fry at 380°F for 12 to 15 minutes and finish with balsamic.</t>
        </is>
      </c>
      <c r="AC1460" s="4" t="inlineStr">
        <is>
          <t>["Toss the halved sprouts with oil and chopped bacon.", "Air fry at 380°F for 12 to 15 minutes and finish with balsamic."]</t>
        </is>
      </c>
    </row>
    <row r="1461" ht="96" customHeight="1">
      <c r="A1461" s="2" t="inlineStr">
        <is>
          <t>DB-1460</t>
        </is>
      </c>
      <c r="B1461" s="3" t="inlineStr">
        <is>
          <t>Roast Beef and Horseradish Wrap</t>
        </is>
      </c>
      <c r="C1461" s="4" t="inlineStr">
        <is>
          <t>Sandwiches &amp; Wraps</t>
        </is>
      </c>
      <c r="D1461" s="4" t="inlineStr">
        <is>
          <t>American</t>
        </is>
      </c>
      <c r="E1461" s="2" t="n">
        <v>2</v>
      </c>
      <c r="F1461" s="2" t="n">
        <v>5</v>
      </c>
      <c r="G1461" s="2" t="n">
        <v>0</v>
      </c>
      <c r="H1461" s="2" t="n">
        <v>5</v>
      </c>
      <c r="I1461" s="4" t="inlineStr">
        <is>
          <t>roast-beef-and-horseradish-wrap.jpg</t>
        </is>
      </c>
      <c r="J1461" s="3" t="inlineStr">
        <is>
          <t>Roast Beef and Horseradish Wrap, healthy food photography, plated, natural light</t>
        </is>
      </c>
      <c r="K1461" s="4" t="inlineStr"/>
      <c r="L1461" s="3" t="inlineStr">
        <is>
          <t>Flour tortilla, 8-inch — 80 g (2.8 oz)
Beef sirloin, trimmed — 150 g (5.3 oz)
Romaine lettuce — 40 g (1.4 oz)
Tomato — 80 g (2.8 oz)
Greek yogurt, plain 2% — 40 g (1.4 oz)
Dijon mustard — 10 g (0.4 oz)</t>
        </is>
      </c>
      <c r="M1461" s="4" t="inlineStr">
        <is>
          <t>[{"ingredient_id": "flour_tortilla", "name": "Flour tortilla, 8-inch", "grams": 80.0, "note": ""}, {"ingredient_id": "beef_sirloin", "name": "Beef sirloin, trimmed", "grams": 150.0, "note": ""}, {"ingredient_id": "romaine", "name": "Romaine lettuce", "grams": 40.0, "note": ""}, {"ingredient_id": "tomato", "name": "Tomato", "grams": 80.0, "note": ""}, {"ingredient_id": "greek_yogurt", "name": "Greek yogurt, plain 2%", "grams": 40.0, "note": ""}, {"ingredient_id": "dijon", "name": "Dijon mustard", "grams": 10.0, "note": ""}]</t>
        </is>
      </c>
      <c r="N1461" s="2" t="n">
        <v>248</v>
      </c>
      <c r="O1461" s="5" t="n">
        <v>22.6</v>
      </c>
      <c r="P1461" s="5" t="n">
        <v>7.3</v>
      </c>
      <c r="Q1461" s="5" t="n">
        <v>23</v>
      </c>
      <c r="R1461" s="5" t="n">
        <v>2.5</v>
      </c>
      <c r="S1461" s="5" t="n">
        <v>20.6</v>
      </c>
      <c r="T1461" s="2" t="n">
        <v>32</v>
      </c>
      <c r="U1461" s="2" t="inlineStr">
        <is>
          <t>low</t>
        </is>
      </c>
      <c r="V1461" s="5" t="n">
        <v>6.6</v>
      </c>
      <c r="W1461" s="2" t="inlineStr">
        <is>
          <t>low</t>
        </is>
      </c>
      <c r="X1461" s="3" t="inlineStr"/>
      <c r="Y1461" s="3" t="inlineStr">
        <is>
          <t>93% of this dish's available carbohydrate comes from ingredients with a published, measured GI; the rest uses conventional placeholders (see Ingredients sheet)</t>
        </is>
      </c>
      <c r="Z1461" s="2" t="n">
        <v>93</v>
      </c>
      <c r="AA1461" s="3" t="inlineStr">
        <is>
          <t>nut-free, no-cook</t>
        </is>
      </c>
      <c r="AB1461" s="3" t="inlineStr">
        <is>
          <t>1. Spread the tortillas with yogurt mixed with mustard.
2. Layer sliced roast beef, lettuce and tomato and roll.</t>
        </is>
      </c>
      <c r="AC1461" s="4" t="inlineStr">
        <is>
          <t>["Spread the tortillas with yogurt mixed with mustard.", "Layer sliced roast beef, lettuce and tomato and roll."]</t>
        </is>
      </c>
    </row>
    <row r="1462" ht="96" customHeight="1">
      <c r="A1462" s="2" t="inlineStr">
        <is>
          <t>DB-1461</t>
        </is>
      </c>
      <c r="B1462" s="3" t="inlineStr">
        <is>
          <t>Turkey Avocado Ranch Wrap</t>
        </is>
      </c>
      <c r="C1462" s="4" t="inlineStr">
        <is>
          <t>Sandwiches &amp; Wraps</t>
        </is>
      </c>
      <c r="D1462" s="4" t="inlineStr">
        <is>
          <t>American</t>
        </is>
      </c>
      <c r="E1462" s="2" t="n">
        <v>2</v>
      </c>
      <c r="F1462" s="2" t="n">
        <v>5</v>
      </c>
      <c r="G1462" s="2" t="n">
        <v>0</v>
      </c>
      <c r="H1462" s="2" t="n">
        <v>5</v>
      </c>
      <c r="I1462" s="4" t="inlineStr">
        <is>
          <t>turkey-avocado-ranch-wrap.jpg</t>
        </is>
      </c>
      <c r="J1462" s="3" t="inlineStr">
        <is>
          <t>Turkey Avocado Ranch Wrap, healthy food photography, plated, natural light</t>
        </is>
      </c>
      <c r="K1462" s="4" t="inlineStr"/>
      <c r="L1462" s="3" t="inlineStr">
        <is>
          <t>Flour tortilla, 8-inch — 80 g (2.8 oz)
Deli turkey breast, low sodium — 120 g (4.2 oz)
Avocado — 80 g (2.8 oz)
Romaine lettuce — 40 g (1.4 oz)
Tomato — 60 g (2.1 oz)
Greek yogurt, plain 2% — 40 g (1.4 oz)
Ranch seasoning (dry) — 3 g (0.1 oz)</t>
        </is>
      </c>
      <c r="M1462" s="4" t="inlineStr">
        <is>
          <t>[{"ingredient_id": "flour_tortilla", "name": "Flour tortilla, 8-inch", "grams": 80.0, "note": ""}, {"ingredient_id": "deli_turkey", "name": "Deli turkey breast, low sodium", "grams": 120.0, "note": ""}, {"ingredient_id": "avocado", "name": "Avocado", "grams": 80.0, "note": ""}, {"ingredient_id": "romaine", "name": "Romaine lettuce", "grams": 40.0, "note": ""}, {"ingredient_id": "tomato", "name": "Tomato", "grams": 60.0, "note": ""}, {"ingredient_id": "greek_yogurt", "name": "Greek yogurt, plain 2%", "grams": 40.0, "note": ""}, {"ingredient_id": "ranch_seasoning", "name": "Ranch seasoning (dry)", "grams": 3.0, "note": ""}]</t>
        </is>
      </c>
      <c r="N1462" s="2" t="n">
        <v>277</v>
      </c>
      <c r="O1462" s="5" t="n">
        <v>16.9</v>
      </c>
      <c r="P1462" s="5" t="n">
        <v>10.7</v>
      </c>
      <c r="Q1462" s="5" t="n">
        <v>29</v>
      </c>
      <c r="R1462" s="5" t="n">
        <v>5.2</v>
      </c>
      <c r="S1462" s="5" t="n">
        <v>23.8</v>
      </c>
      <c r="T1462" s="2" t="n">
        <v>28</v>
      </c>
      <c r="U1462" s="2" t="inlineStr">
        <is>
          <t>low</t>
        </is>
      </c>
      <c r="V1462" s="5" t="n">
        <v>6.7</v>
      </c>
      <c r="W1462" s="2" t="inlineStr">
        <is>
          <t>low</t>
        </is>
      </c>
      <c r="X1462" s="3" t="inlineStr"/>
      <c r="Y1462" s="3" t="inlineStr">
        <is>
          <t>81% of this dish's available carbohydrate comes from ingredients with a published, measured GI; the rest uses conventional placeholders (see Ingredients sheet)</t>
        </is>
      </c>
      <c r="Z1462" s="2" t="n">
        <v>81</v>
      </c>
      <c r="AA1462" s="3" t="inlineStr">
        <is>
          <t>nut-free, no-cook</t>
        </is>
      </c>
      <c r="AB1462" s="3" t="inlineStr">
        <is>
          <t>1. Stir the yogurt with the ranch seasoning.
2. Fill the tortillas with turkey, avocado, lettuce and tomato.
3. Roll and halve.</t>
        </is>
      </c>
      <c r="AC1462" s="4" t="inlineStr">
        <is>
          <t>["Stir the yogurt with the ranch seasoning.", "Fill the tortillas with turkey, avocado, lettuce and tomato.", "Roll and halve."]</t>
        </is>
      </c>
    </row>
    <row r="1463" ht="96" customHeight="1">
      <c r="A1463" s="2" t="inlineStr">
        <is>
          <t>DB-1462</t>
        </is>
      </c>
      <c r="B1463" s="3" t="inlineStr">
        <is>
          <t>Grilled Chicken Pesto Panini</t>
        </is>
      </c>
      <c r="C1463" s="4" t="inlineStr">
        <is>
          <t>Sandwiches &amp; Wraps</t>
        </is>
      </c>
      <c r="D1463" s="4" t="inlineStr">
        <is>
          <t>Italian</t>
        </is>
      </c>
      <c r="E1463" s="2" t="n">
        <v>2</v>
      </c>
      <c r="F1463" s="2" t="n">
        <v>10</v>
      </c>
      <c r="G1463" s="2" t="n">
        <v>8</v>
      </c>
      <c r="H1463" s="2" t="n">
        <v>18</v>
      </c>
      <c r="I1463" s="4" t="inlineStr">
        <is>
          <t>grilled-chicken-pesto-panini.jpg</t>
        </is>
      </c>
      <c r="J1463" s="3" t="inlineStr">
        <is>
          <t>Grilled Chicken Pesto Panini, healthy food photography, plated, natural light</t>
        </is>
      </c>
      <c r="K1463" s="4" t="inlineStr"/>
      <c r="L1463" s="3" t="inlineStr">
        <is>
          <t>White bread — 100 g (3.5 oz)
Chicken breast, skinless — 200 g (7.1 oz)
Basil pesto — 30 g (1.1 oz)
Mozzarella, part-skim — 50 g (1.8 oz)
Tomato — 80 g (2.8 oz)
Extra-virgin olive oil — 5 g (0.2 oz)</t>
        </is>
      </c>
      <c r="M1463" s="4" t="inlineStr">
        <is>
          <t>[{"ingredient_id": "white_bread", "name": "White bread", "grams": 100.0, "note": ""}, {"ingredient_id": "chicken_breast", "name": "Chicken breast, skinless", "grams": 200.0, "note": ""}, {"ingredient_id": "pesto", "name": "Basil pesto", "grams": 30.0, "note": ""}, {"ingredient_id": "mozzarella", "name": "Mozzarella, part-skim", "grams": 50.0, "note": ""}, {"ingredient_id": "tomato", "name": "Tomato", "grams": 80.0, "note": ""}, {"ingredient_id": "olive_oil", "name": "Extra-virgin olive oil", "grams": 5.0, "note": ""}]</t>
        </is>
      </c>
      <c r="N1463" s="2" t="n">
        <v>406</v>
      </c>
      <c r="O1463" s="5" t="n">
        <v>34.3</v>
      </c>
      <c r="P1463" s="5" t="n">
        <v>17</v>
      </c>
      <c r="Q1463" s="5" t="n">
        <v>27.8</v>
      </c>
      <c r="R1463" s="5" t="n">
        <v>1.9</v>
      </c>
      <c r="S1463" s="5" t="n">
        <v>25.9</v>
      </c>
      <c r="T1463" s="2" t="n">
        <v>66</v>
      </c>
      <c r="U1463" s="2" t="inlineStr">
        <is>
          <t>medium</t>
        </is>
      </c>
      <c r="V1463" s="5" t="n">
        <v>17.1</v>
      </c>
      <c r="W1463" s="2" t="inlineStr">
        <is>
          <t>medium</t>
        </is>
      </c>
      <c r="X1463" s="3" t="inlineStr">
        <is>
          <t>Medium-GI dish: keep to the stated portion and pair with the protein/fat in the recipe; GL per serving is the better guide.</t>
        </is>
      </c>
      <c r="Y1463" s="3" t="inlineStr">
        <is>
          <t>91% of this dish's available carbohydrate comes from ingredients with a published, measured GI; the rest uses conventional placeholders (see Ingredients sheet)</t>
        </is>
      </c>
      <c r="Z1463" s="2" t="n">
        <v>91</v>
      </c>
      <c r="AA1463" s="3" t="inlineStr">
        <is>
          <t>high-protein</t>
        </is>
      </c>
      <c r="AB1463" s="3" t="inlineStr">
        <is>
          <t>1. Grill and slice the chicken.
2. Layer on the bread with pesto, mozzarella and tomato.
3. Press in a hot pan until golden on both sides.</t>
        </is>
      </c>
      <c r="AC1463" s="4" t="inlineStr">
        <is>
          <t>["Grill and slice the chicken.", "Layer on the bread with pesto, mozzarella and tomato.", "Press in a hot pan until golden on both sides."]</t>
        </is>
      </c>
    </row>
    <row r="1464" ht="96" customHeight="1">
      <c r="A1464" s="2" t="inlineStr">
        <is>
          <t>DB-1463</t>
        </is>
      </c>
      <c r="B1464" s="3" t="inlineStr">
        <is>
          <t>Caprese Sandwich on Ezekiel Bread</t>
        </is>
      </c>
      <c r="C1464" s="4" t="inlineStr">
        <is>
          <t>Sandwiches &amp; Wraps</t>
        </is>
      </c>
      <c r="D1464" s="4" t="inlineStr">
        <is>
          <t>Italian</t>
        </is>
      </c>
      <c r="E1464" s="2" t="n">
        <v>2</v>
      </c>
      <c r="F1464" s="2" t="n">
        <v>5</v>
      </c>
      <c r="G1464" s="2" t="n">
        <v>0</v>
      </c>
      <c r="H1464" s="2" t="n">
        <v>5</v>
      </c>
      <c r="I1464" s="4" t="inlineStr">
        <is>
          <t>caprese-sandwich-on-ezekiel-bread.jpg</t>
        </is>
      </c>
      <c r="J1464" s="3" t="inlineStr">
        <is>
          <t>Caprese Sandwich on Ezekiel Bread, healthy food photography, plated, natural light</t>
        </is>
      </c>
      <c r="K1464" s="4" t="inlineStr"/>
      <c r="L1464" s="3" t="inlineStr">
        <is>
          <t>Sprouted grain bread (Ezekiel-style) — 100 g (3.5 oz)
Mozzarella, part-skim — 80 g (2.8 oz)
Tomato — 150 g (5.3 oz)
Fresh basil — 8 g (0.3 oz)
Balsamic vinegar — 10 g (0.4 oz)
Extra-virgin olive oil — 10 g (0.4 oz)</t>
        </is>
      </c>
      <c r="M1464" s="4" t="inlineStr">
        <is>
          <t>[{"ingredient_id": "ezekiel_bread", "name": "Sprouted grain bread (Ezekiel-style)", "grams": 100.0, "note": ""}, {"ingredient_id": "mozzarella", "name": "Mozzarella, part-skim", "grams": 80.0, "note": ""}, {"ingredient_id": "tomato", "name": "Tomato", "grams": 150.0, "note": ""}, {"ingredient_id": "basil", "name": "Fresh basil", "grams": 8.0, "note": ""}, {"ingredient_id": "balsamic_vinegar", "name": "Balsamic vinegar", "grams": 10.0, "note": ""}, {"ingredient_id": "olive_oil", "name": "Extra-virgin olive oil", "grams": 10.0, "note": ""}]</t>
        </is>
      </c>
      <c r="N1464" s="2" t="n">
        <v>282</v>
      </c>
      <c r="O1464" s="5" t="n">
        <v>16.4</v>
      </c>
      <c r="P1464" s="5" t="n">
        <v>12.3</v>
      </c>
      <c r="Q1464" s="5" t="n">
        <v>27.1</v>
      </c>
      <c r="R1464" s="5" t="n">
        <v>5.5</v>
      </c>
      <c r="S1464" s="5" t="n">
        <v>21.6</v>
      </c>
      <c r="T1464" s="2" t="n">
        <v>53</v>
      </c>
      <c r="U1464" s="2" t="inlineStr">
        <is>
          <t>low</t>
        </is>
      </c>
      <c r="V1464" s="5" t="n">
        <v>11.5</v>
      </c>
      <c r="W1464" s="2" t="inlineStr">
        <is>
          <t>medium</t>
        </is>
      </c>
      <c r="X1464" s="3" t="inlineStr"/>
      <c r="Y1464" s="3" t="inlineStr">
        <is>
          <t>81% of this dish's available carbohydrate comes from ingredients with a published, measured GI; the rest uses conventional placeholders (see Ingredients sheet)</t>
        </is>
      </c>
      <c r="Z1464" s="2" t="n">
        <v>81</v>
      </c>
      <c r="AA1464" s="3" t="inlineStr">
        <is>
          <t>vegetarian, gluten-free, nut-free, no-cook</t>
        </is>
      </c>
      <c r="AB1464" s="3" t="inlineStr">
        <is>
          <t>1. Toast the bread.
2. Layer mozzarella, tomato and basil and drizzle with oil and balsamic.</t>
        </is>
      </c>
      <c r="AC1464" s="4" t="inlineStr">
        <is>
          <t>["Toast the bread.", "Layer mozzarella, tomato and basil and drizzle with oil and balsamic."]</t>
        </is>
      </c>
    </row>
    <row r="1465" ht="96" customHeight="1">
      <c r="A1465" s="2" t="inlineStr">
        <is>
          <t>DB-1464</t>
        </is>
      </c>
      <c r="B1465" s="3" t="inlineStr">
        <is>
          <t>Hummus and Roasted Vegetable Sandwich</t>
        </is>
      </c>
      <c r="C1465" s="4" t="inlineStr">
        <is>
          <t>Sandwiches &amp; Wraps</t>
        </is>
      </c>
      <c r="D1465" s="4" t="inlineStr">
        <is>
          <t>American</t>
        </is>
      </c>
      <c r="E1465" s="2" t="n">
        <v>2</v>
      </c>
      <c r="F1465" s="2" t="n">
        <v>10</v>
      </c>
      <c r="G1465" s="2" t="n">
        <v>15</v>
      </c>
      <c r="H1465" s="2" t="n">
        <v>25</v>
      </c>
      <c r="I1465" s="4" t="inlineStr">
        <is>
          <t>hummus-and-roasted-vegetable-sandwich.jpg</t>
        </is>
      </c>
      <c r="J1465" s="3" t="inlineStr">
        <is>
          <t>Hummus and Roasted Vegetable Sandwich, healthy food photography, plated, natural light</t>
        </is>
      </c>
      <c r="K1465" s="4" t="inlineStr"/>
      <c r="L1465" s="3" t="inlineStr">
        <is>
          <t>Whole wheat bread (100% whole wheat) — 100 g (3.5 oz)
Hummus — 80 g (2.8 oz)
Zucchini — 150 g (5.3 oz)
Bell pepper — 100 g (3.5 oz)
Red onion — 40 g (1.4 oz)
Extra-virgin olive oil — 10 g (0.4 oz)
Arugula — 20 g (0.7 oz)</t>
        </is>
      </c>
      <c r="M1465" s="4" t="inlineStr">
        <is>
          <t>[{"ingredient_id": "whole_grain_bread", "name": "Whole wheat bread (100% whole wheat)", "grams": 100.0, "note": ""}, {"ingredient_id": "hummus", "name": "Hummus", "grams": 80.0, "note": ""}, {"ingredient_id": "zucchini", "name": "Zucchini", "grams": 150.0, "note": ""}, {"ingredient_id": "bell_pepper", "name": "Bell pepper", "grams": 100.0, "note": ""}, {"ingredient_id": "red_onion", "name": "Red onion", "grams": 40.0, "note": ""}, {"ingredient_id": "olive_oil", "name": "Extra-virgin olive oil", "grams": 10.0, "note": ""}, {"ingredient_id": "arugula", "name": "Arugula", "grams": 20.0, "note": ""}]</t>
        </is>
      </c>
      <c r="N1465" s="2" t="n">
        <v>274</v>
      </c>
      <c r="O1465" s="5" t="n">
        <v>11.1</v>
      </c>
      <c r="P1465" s="5" t="n">
        <v>11.1</v>
      </c>
      <c r="Q1465" s="5" t="n">
        <v>34.7</v>
      </c>
      <c r="R1465" s="5" t="n">
        <v>8</v>
      </c>
      <c r="S1465" s="5" t="n">
        <v>26.7</v>
      </c>
      <c r="T1465" s="2" t="n">
        <v>53</v>
      </c>
      <c r="U1465" s="2" t="inlineStr">
        <is>
          <t>low</t>
        </is>
      </c>
      <c r="V1465" s="5" t="n">
        <v>14.2</v>
      </c>
      <c r="W1465" s="2" t="inlineStr">
        <is>
          <t>medium</t>
        </is>
      </c>
      <c r="X1465" s="3" t="inlineStr"/>
      <c r="Y1465" s="3" t="inlineStr">
        <is>
          <t>80% of this dish's available carbohydrate comes from ingredients with a published, measured GI; the rest uses conventional placeholders (see Ingredients sheet)</t>
        </is>
      </c>
      <c r="Z1465" s="2" t="n">
        <v>80</v>
      </c>
      <c r="AA1465" s="3" t="inlineStr">
        <is>
          <t>vegan, dairy-free, nut-free, high-fiber</t>
        </is>
      </c>
      <c r="AB1465" s="3" t="inlineStr">
        <is>
          <t>1. Roast the sliced vegetables in oil at 425°F for 15 minutes.
2. Spread the bread with hummus and pile on the vegetables and arugula.</t>
        </is>
      </c>
      <c r="AC1465" s="4" t="inlineStr">
        <is>
          <t>["Roast the sliced vegetables in oil at 425°F for 15 minutes.", "Spread the bread with hummus and pile on the vegetables and arugula."]</t>
        </is>
      </c>
    </row>
    <row r="1466" ht="96" customHeight="1">
      <c r="A1466" s="2" t="inlineStr">
        <is>
          <t>DB-1465</t>
        </is>
      </c>
      <c r="B1466" s="3" t="inlineStr">
        <is>
          <t>Egg and Avocado Breakfast Sandwich on English Muffin</t>
        </is>
      </c>
      <c r="C1466" s="4" t="inlineStr">
        <is>
          <t>Sandwiches &amp; Wraps</t>
        </is>
      </c>
      <c r="D1466" s="4" t="inlineStr">
        <is>
          <t>American</t>
        </is>
      </c>
      <c r="E1466" s="2" t="n">
        <v>2</v>
      </c>
      <c r="F1466" s="2" t="n">
        <v>5</v>
      </c>
      <c r="G1466" s="2" t="n">
        <v>6</v>
      </c>
      <c r="H1466" s="2" t="n">
        <v>11</v>
      </c>
      <c r="I1466" s="4" t="inlineStr">
        <is>
          <t>egg-and-avocado-breakfast-sandwich-on-english-muffin.jpg</t>
        </is>
      </c>
      <c r="J1466" s="3" t="inlineStr">
        <is>
          <t>Egg and Avocado Breakfast Sandwich on English Muffin, healthy food photography, plated, natural light</t>
        </is>
      </c>
      <c r="K1466" s="4" t="inlineStr"/>
      <c r="L1466" s="3" t="inlineStr">
        <is>
          <t>Whole wheat English muffin — 114 g (4.0 oz)
Egg, large (50 g each) — 100 g (3.5 oz)
Avocado — 80 g (2.8 oz)
Tomato — 60 g (2.1 oz)
Spinach — 20 g (0.7 oz)
Black pepper — 1 g (0.0 oz)</t>
        </is>
      </c>
      <c r="M1466" s="4" t="inlineStr">
        <is>
          <t>[{"ingredient_id": "whole_wheat_english_muffin", "name": "Whole wheat English muffin", "grams": 114.0, "note": ""}, {"ingredient_id": "egg", "name": "Egg, large (50 g each)", "grams": 100.0, "note": ""}, {"ingredient_id": "avocado", "name": "Avocado", "grams": 80.0, "note": ""}, {"ingredient_id": "tomato", "name": "Tomato", "grams": 60.0, "note": ""}, {"ingredient_id": "spinach", "name": "Spinach", "grams": 20.0, "note": ""}, {"ingredient_id": "black_pepper", "name": "Black pepper", "grams": 1.0, "note": ""}]</t>
        </is>
      </c>
      <c r="N1466" s="2" t="n">
        <v>270</v>
      </c>
      <c r="O1466" s="5" t="n">
        <v>12.8</v>
      </c>
      <c r="P1466" s="5" t="n">
        <v>12</v>
      </c>
      <c r="Q1466" s="5" t="n">
        <v>31.2</v>
      </c>
      <c r="R1466" s="5" t="n">
        <v>7.4</v>
      </c>
      <c r="S1466" s="5" t="n">
        <v>23.9</v>
      </c>
      <c r="T1466" s="2" t="n">
        <v>42</v>
      </c>
      <c r="U1466" s="2" t="inlineStr">
        <is>
          <t>low</t>
        </is>
      </c>
      <c r="V1466" s="5" t="n">
        <v>10</v>
      </c>
      <c r="W1466" s="2" t="inlineStr">
        <is>
          <t>low</t>
        </is>
      </c>
      <c r="X1466" s="3" t="inlineStr"/>
      <c r="Y1466" s="3" t="inlineStr">
        <is>
          <t>91% of this dish's available carbohydrate comes from ingredients with a published, measured GI; the rest uses conventional placeholders (see Ingredients sheet)</t>
        </is>
      </c>
      <c r="Z1466" s="2" t="n">
        <v>91</v>
      </c>
      <c r="AA1466" s="3" t="inlineStr">
        <is>
          <t>vegetarian, dairy-free, nut-free, high-fiber</t>
        </is>
      </c>
      <c r="AB1466" s="3" t="inlineStr">
        <is>
          <t>1. Toast the muffins and fry the eggs.
2. Layer avocado, spinach, tomato and egg.</t>
        </is>
      </c>
      <c r="AC1466" s="4" t="inlineStr">
        <is>
          <t>["Toast the muffins and fry the eggs.", "Layer avocado, spinach, tomato and egg."]</t>
        </is>
      </c>
    </row>
    <row r="1467" ht="96" customHeight="1">
      <c r="A1467" s="2" t="inlineStr">
        <is>
          <t>DB-1466</t>
        </is>
      </c>
      <c r="B1467" s="3" t="inlineStr">
        <is>
          <t>Tuna Salad Stuffed Avocado</t>
        </is>
      </c>
      <c r="C1467" s="4" t="inlineStr">
        <is>
          <t>Salad</t>
        </is>
      </c>
      <c r="D1467" s="4" t="inlineStr">
        <is>
          <t>American</t>
        </is>
      </c>
      <c r="E1467" s="2" t="n">
        <v>2</v>
      </c>
      <c r="F1467" s="2" t="n">
        <v>10</v>
      </c>
      <c r="G1467" s="2" t="n">
        <v>0</v>
      </c>
      <c r="H1467" s="2" t="n">
        <v>10</v>
      </c>
      <c r="I1467" s="4" t="inlineStr">
        <is>
          <t>tuna-salad-stuffed-avocado.jpg</t>
        </is>
      </c>
      <c r="J1467" s="3" t="inlineStr">
        <is>
          <t>Tuna Salad Stuffed Avocado, healthy food photography, plated, natural light</t>
        </is>
      </c>
      <c r="K1467" s="4" t="inlineStr"/>
      <c r="L1467" s="3" t="inlineStr">
        <is>
          <t>Tuna, canned in water — 180 g (6.3 oz)
Avocado — 250 g (8.8 oz)
Celery — 30 g (1.1 oz)
Greek yogurt, plain 2% — 50 g (1.8 oz)
Dijon mustard — 8 g (0.3 oz)
Lemon juice — 15 g (0.5 oz)
Fresh chives — 4 g (0.1 oz)</t>
        </is>
      </c>
      <c r="M1467" s="4" t="inlineStr">
        <is>
          <t>[{"ingredient_id": "tuna_canned", "name": "Tuna, canned in water", "grams": 180.0, "note": ""}, {"ingredient_id": "avocado", "name": "Avocado", "grams": 250.0, "note": ""}, {"ingredient_id": "celery", "name": "Celery", "grams": 30.0, "note": ""}, {"ingredient_id": "greek_yogurt", "name": "Greek yogurt, plain 2%", "grams": 50.0, "note": ""}, {"ingredient_id": "dijon", "name": "Dijon mustard", "grams": 8.0, "note": ""}, {"ingredient_id": "lemon_juice", "name": "Lemon juice", "grams": 15.0, "note": ""}, {"ingredient_id": "chives", "name": "Fresh chives", "grams": 4.0, "note": ""}]</t>
        </is>
      </c>
      <c r="N1467" s="2" t="n">
        <v>330</v>
      </c>
      <c r="O1467" s="5" t="n">
        <v>28.8</v>
      </c>
      <c r="P1467" s="5" t="n">
        <v>20.3</v>
      </c>
      <c r="Q1467" s="5" t="n">
        <v>12.9</v>
      </c>
      <c r="R1467" s="5" t="n">
        <v>8.800000000000001</v>
      </c>
      <c r="S1467" s="5" t="n">
        <v>4.1</v>
      </c>
      <c r="T1467" s="2" t="n">
        <v>15</v>
      </c>
      <c r="U1467" s="2" t="inlineStr">
        <is>
          <t>low</t>
        </is>
      </c>
      <c r="V1467" s="5" t="n">
        <v>0.6</v>
      </c>
      <c r="W1467" s="2" t="inlineStr">
        <is>
          <t>low</t>
        </is>
      </c>
      <c r="X1467" s="3" t="inlineStr">
        <is>
          <t>Negligible carbohydrate (&lt;5 g net/serving): GI has little practical meaning, glycemic load is what matters.</t>
        </is>
      </c>
      <c r="Y1467" s="3" t="inlineStr">
        <is>
          <t>25% of this dish's available carbohydrate comes from ingredients with a published, measured GI; the rest uses conventional placeholders (see Ingredients sheet)</t>
        </is>
      </c>
      <c r="Z1467" s="2" t="n">
        <v>25</v>
      </c>
      <c r="AA1467" s="3" t="inlineStr">
        <is>
          <t>pescatarian, gluten-free, nut-free, low-carb, high-protein, high-fiber, no-cook</t>
        </is>
      </c>
      <c r="AB1467" s="3" t="inlineStr">
        <is>
          <t>1. Mix the tuna with celery, yogurt, mustard, lemon and chives.
2. Fill the halved avocados.</t>
        </is>
      </c>
      <c r="AC1467" s="4" t="inlineStr">
        <is>
          <t>["Mix the tuna with celery, yogurt, mustard, lemon and chives.", "Fill the halved avocados."]</t>
        </is>
      </c>
    </row>
    <row r="1468" ht="96" customHeight="1">
      <c r="A1468" s="2" t="inlineStr">
        <is>
          <t>DB-1467</t>
        </is>
      </c>
      <c r="B1468" s="3" t="inlineStr">
        <is>
          <t>Chicken Caesar Salad with Yogurt Dressing</t>
        </is>
      </c>
      <c r="C1468" s="4" t="inlineStr">
        <is>
          <t>Salad</t>
        </is>
      </c>
      <c r="D1468" s="4" t="inlineStr">
        <is>
          <t>American</t>
        </is>
      </c>
      <c r="E1468" s="2" t="n">
        <v>3</v>
      </c>
      <c r="F1468" s="2" t="n">
        <v>10</v>
      </c>
      <c r="G1468" s="2" t="n">
        <v>10</v>
      </c>
      <c r="H1468" s="2" t="n">
        <v>20</v>
      </c>
      <c r="I1468" s="4" t="inlineStr">
        <is>
          <t>chicken-caesar-salad-with-yogurt-dressing.jpg</t>
        </is>
      </c>
      <c r="J1468" s="3" t="inlineStr">
        <is>
          <t>Chicken Caesar Salad with Yogurt Dressing, healthy food photography, plated, natural light</t>
        </is>
      </c>
      <c r="K1468" s="4" t="inlineStr"/>
      <c r="L1468" s="3" t="inlineStr">
        <is>
          <t>Chicken breast, skinless — 360 g (12.7 oz)
Romaine lettuce — 250 g (8.8 oz)
Parmesan, grated — 40 g (1.4 oz)
Greek yogurt, plain 2% — 80 g (2.8 oz)
Lemon juice — 25 g (0.9 oz)
Garlic — 4 g (0.1 oz)
Dijon mustard — 8 g (0.3 oz)
Extra-virgin olive oil — 15 g (0.5 oz)
Anchovies, canned — 8 g (0.3 oz)</t>
        </is>
      </c>
      <c r="M1468" s="4" t="inlineStr">
        <is>
          <t>[{"ingredient_id": "chicken_breast", "name": "Chicken breast, skinless", "grams": 360.0, "note": ""}, {"ingredient_id": "romaine", "name": "Romaine lettuce", "grams": 250.0,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15.0, "note": ""}, {"ingredient_id": "anchovies", "name": "Anchovies, canned", "grams": 8.0, "note": ""}]</t>
        </is>
      </c>
      <c r="N1468" s="2" t="n">
        <v>290</v>
      </c>
      <c r="O1468" s="5" t="n">
        <v>36.7</v>
      </c>
      <c r="P1468" s="5" t="n">
        <v>13.1</v>
      </c>
      <c r="Q1468" s="5" t="n">
        <v>5.5</v>
      </c>
      <c r="R1468" s="5" t="n">
        <v>1.9</v>
      </c>
      <c r="S1468" s="5" t="n">
        <v>3.6</v>
      </c>
      <c r="T1468" s="2" t="n">
        <v>14</v>
      </c>
      <c r="U1468" s="2" t="inlineStr">
        <is>
          <t>low</t>
        </is>
      </c>
      <c r="V1468" s="5" t="n">
        <v>0.5</v>
      </c>
      <c r="W1468" s="2" t="inlineStr">
        <is>
          <t>low</t>
        </is>
      </c>
      <c r="X1468" s="3" t="inlineStr">
        <is>
          <t>Negligible carbohydrate (&lt;5 g net/serving): GI has little practical meaning, glycemic load is what matters.</t>
        </is>
      </c>
      <c r="Y1468" s="3" t="inlineStr">
        <is>
          <t>30% of this dish's available carbohydrate comes from ingredients with a published, measured GI; the rest uses conventional placeholders (see Ingredients sheet)</t>
        </is>
      </c>
      <c r="Z1468" s="2" t="n">
        <v>30</v>
      </c>
      <c r="AA1468" s="3" t="inlineStr">
        <is>
          <t>gluten-free, nut-free, low-carb, high-protein</t>
        </is>
      </c>
      <c r="AB1468" s="3" t="inlineStr">
        <is>
          <t>1. Grill and slice the chicken.
2. Blend the yogurt, lemon, garlic, mustard, oil and anchovy into a dressing.
3. Toss with the romaine and top with chicken and parmesan.</t>
        </is>
      </c>
      <c r="AC1468" s="4" t="inlineStr">
        <is>
          <t>["Grill and slice the chicken.", "Blend the yogurt, lemon, garlic, mustard, oil and anchovy into a dressing.", "Toss with the romaine and top with chicken and parmesan."]</t>
        </is>
      </c>
    </row>
    <row r="1469" ht="96" customHeight="1">
      <c r="A1469" s="2" t="inlineStr">
        <is>
          <t>DB-1468</t>
        </is>
      </c>
      <c r="B1469" s="3" t="inlineStr">
        <is>
          <t>Greek Chicken Salad with Tzatziki</t>
        </is>
      </c>
      <c r="C1469" s="4" t="inlineStr">
        <is>
          <t>Salad</t>
        </is>
      </c>
      <c r="D1469" s="4" t="inlineStr">
        <is>
          <t>Greek</t>
        </is>
      </c>
      <c r="E1469" s="2" t="n">
        <v>3</v>
      </c>
      <c r="F1469" s="2" t="n">
        <v>15</v>
      </c>
      <c r="G1469" s="2" t="n">
        <v>10</v>
      </c>
      <c r="H1469" s="2" t="n">
        <v>25</v>
      </c>
      <c r="I1469" s="4" t="inlineStr">
        <is>
          <t>greek-chicken-salad-with-tzatziki.jpg</t>
        </is>
      </c>
      <c r="J1469" s="3" t="inlineStr">
        <is>
          <t>Greek Chicken Salad with Tzatziki, healthy food photography, plated, natural light</t>
        </is>
      </c>
      <c r="K1469" s="4" t="inlineStr"/>
      <c r="L1469" s="3" t="inlineStr">
        <is>
          <t>Chicken breast, skinless — 360 g (12.7 oz)
Romaine lettuce — 200 g (7.1 oz)
Cucumber — 150 g (5.3 oz)
Tomato — 150 g (5.3 oz)
Red onion — 40 g (1.4 oz)
Olives (kalamata/green) — 40 g (1.4 oz)
Feta cheese — 50 g (1.8 oz)
Greek yogurt, plain 2% — 100 g (3.5 oz)
Lemon juice — 20 g (0.7 oz)
Garlic — 4 g (0.1 oz)</t>
        </is>
      </c>
      <c r="M1469" s="4" t="inlineStr">
        <is>
          <t>[{"ingredient_id": "chicken_breast", "name": "Chicken breast, skinless", "grams": 360.0, "note": ""}, {"ingredient_id": "romaine", "name": "Romaine lettuce", "grams": 200.0, "note": ""}, {"ingredient_id": "cucumber", "name": "Cucumber", "grams": 150.0, "note": ""}, {"ingredient_id": "tomato", "name": "Tomato", "grams": 150.0, "note": ""}, {"ingredient_id": "red_onion", "name": "Red onion", "grams": 40.0, "note": ""}, {"ingredient_id": "olives", "name": "Olives (kalamata/green)", "grams": 40.0, "note": ""}, {"ingredient_id": "feta", "name": "Feta cheese", "grams": 50.0, "note": ""}, {"ingredient_id": "greek_yogurt", "name": "Greek yogurt, plain 2%", "grams": 100.0, "note": ""}, {"ingredient_id": "lemon_juice", "name": "Lemon juice", "grams": 20.0, "note": ""}, {"ingredient_id": "garlic", "name": "Garlic", "grams": 4.0, "note": ""}]</t>
        </is>
      </c>
      <c r="N1469" s="2" t="n">
        <v>264</v>
      </c>
      <c r="O1469" s="5" t="n">
        <v>34.6</v>
      </c>
      <c r="P1469" s="5" t="n">
        <v>9.1</v>
      </c>
      <c r="Q1469" s="5" t="n">
        <v>10.9</v>
      </c>
      <c r="R1469" s="5" t="n">
        <v>3</v>
      </c>
      <c r="S1469" s="5" t="n">
        <v>7.9</v>
      </c>
      <c r="T1469" s="2" t="n">
        <v>14</v>
      </c>
      <c r="U1469" s="2" t="inlineStr">
        <is>
          <t>low</t>
        </is>
      </c>
      <c r="V1469" s="5" t="n">
        <v>1.1</v>
      </c>
      <c r="W1469" s="2" t="inlineStr">
        <is>
          <t>low</t>
        </is>
      </c>
      <c r="X1469" s="3" t="inlineStr"/>
      <c r="Y1469" s="3" t="inlineStr">
        <is>
          <t>17% of this dish's available carbohydrate comes from ingredients with a published, measured GI; the rest uses conventional placeholders (see Ingredients sheet)</t>
        </is>
      </c>
      <c r="Z1469" s="2" t="n">
        <v>17</v>
      </c>
      <c r="AA1469" s="3" t="inlineStr">
        <is>
          <t>gluten-free, nut-free, low-carb, high-protein</t>
        </is>
      </c>
      <c r="AB1469" s="3" t="inlineStr">
        <is>
          <t>1. Grill and slice the chicken.
2. Arrange the vegetables, olives and feta.
3. Mix the yogurt, lemon and garlic into a tzatziki and spoon on top.</t>
        </is>
      </c>
      <c r="AC1469" s="4" t="inlineStr">
        <is>
          <t>["Grill and slice the chicken.", "Arrange the vegetables, olives and feta.", "Mix the yogurt, lemon and garlic into a tzatziki and spoon on top."]</t>
        </is>
      </c>
    </row>
    <row r="1470" ht="96" customHeight="1">
      <c r="A1470" s="2" t="inlineStr">
        <is>
          <t>DB-1469</t>
        </is>
      </c>
      <c r="B1470" s="3" t="inlineStr">
        <is>
          <t>Asian Chicken Salad with Sesame Dressing</t>
        </is>
      </c>
      <c r="C1470" s="4" t="inlineStr">
        <is>
          <t>Salad</t>
        </is>
      </c>
      <c r="D1470" s="4" t="inlineStr">
        <is>
          <t>Asian</t>
        </is>
      </c>
      <c r="E1470" s="2" t="n">
        <v>3</v>
      </c>
      <c r="F1470" s="2" t="n">
        <v>15</v>
      </c>
      <c r="G1470" s="2" t="n">
        <v>0</v>
      </c>
      <c r="H1470" s="2" t="n">
        <v>15</v>
      </c>
      <c r="I1470" s="4" t="inlineStr">
        <is>
          <t>asian-chicken-salad-with-sesame-dressing.jpg</t>
        </is>
      </c>
      <c r="J1470" s="3" t="inlineStr">
        <is>
          <t>Asian Chicken Salad with Sesame Dressing, healthy food photography, plated, natural light</t>
        </is>
      </c>
      <c r="K1470" s="4" t="inlineStr"/>
      <c r="L1470" s="3" t="inlineStr">
        <is>
          <t>Rotisserie chicken, skin removed — 300 g (10.6 oz)
Napa cabbage — 200 g (7.1 oz)
Carrot — 80 g (2.8 oz)
Edamame, shelled, cooked — 100 g (3.5 oz)
Green onions (scallions) — 30 g (1.1 oz)
Rice vinegar, unseasoned — 20 g (0.7 oz)
Soy sauce, low sodium — 20 g (0.7 oz)
Toasted sesame oil — 10 g (0.4 oz)
Peanut butter, natural — 15 g (0.5 oz)
Fresh ginger — 5 g (0.2 oz)</t>
        </is>
      </c>
      <c r="M1470" s="4" t="inlineStr">
        <is>
          <t>[{"ingredient_id": "rotisserie_chicken", "name": "Rotisserie chicken, skin removed", "grams": 300.0, "note": ""}, {"ingredient_id": "napa_cabbage", "name": "Napa cabbage", "grams": 200.0, "note": ""}, {"ingredient_id": "carrot", "name": "Carrot", "grams": 80.0, "note": ""}, {"ingredient_id": "edamame", "name": "Edamame, shelled, cooked", "grams": 100.0, "note": ""}, {"ingredient_id": "green_onion", "name": "Green onions (scallions)", "grams": 30.0, "note": ""}, {"ingredient_id": "rice_vinegar", "name": "Rice vinegar, unseasoned", "grams": 20.0, "note": ""}, {"ingredient_id": "soy_sauce", "name": "Soy sauce, low sodium", "grams": 20.0, "note": ""}, {"ingredient_id": "sesame_oil", "name": "Toasted sesame oil", "grams": 10.0, "note": ""}, {"ingredient_id": "peanut_butter", "name": "Peanut butter, natural", "grams": 15.0, "note": ""}, {"ingredient_id": "ginger", "name": "Fresh ginger", "grams": 5.0, "note": ""}]</t>
        </is>
      </c>
      <c r="N1470" s="2" t="n">
        <v>290</v>
      </c>
      <c r="O1470" s="5" t="n">
        <v>30</v>
      </c>
      <c r="P1470" s="5" t="n">
        <v>14.7</v>
      </c>
      <c r="Q1470" s="5" t="n">
        <v>10.1</v>
      </c>
      <c r="R1470" s="5" t="n">
        <v>3.9</v>
      </c>
      <c r="S1470" s="5" t="n">
        <v>6.2</v>
      </c>
      <c r="T1470" s="2" t="n">
        <v>23</v>
      </c>
      <c r="U1470" s="2" t="inlineStr">
        <is>
          <t>low</t>
        </is>
      </c>
      <c r="V1470" s="5" t="n">
        <v>1.4</v>
      </c>
      <c r="W1470" s="2" t="inlineStr">
        <is>
          <t>low</t>
        </is>
      </c>
      <c r="X1470" s="3" t="inlineStr"/>
      <c r="Y1470" s="3" t="inlineStr">
        <is>
          <t>29% of this dish's available carbohydrate comes from ingredients with a published, measured GI; the rest uses conventional placeholders (see Ingredients sheet)</t>
        </is>
      </c>
      <c r="Z1470" s="2" t="n">
        <v>29</v>
      </c>
      <c r="AA1470" s="3" t="inlineStr">
        <is>
          <t>dairy-free, low-carb, high-protein, no-cook</t>
        </is>
      </c>
      <c r="AB1470" s="3" t="inlineStr">
        <is>
          <t>1. Shred the chicken and combine with cabbage, carrot, edamame and green onion.
2. Whisk the vinegar, soy sauce, sesame oil, peanut butter and ginger and toss through.</t>
        </is>
      </c>
      <c r="AC1470" s="4" t="inlineStr">
        <is>
          <t>["Shred the chicken and combine with cabbage, carrot, edamame and green onion.", "Whisk the vinegar, soy sauce, sesame oil, peanut butter and ginger and toss through."]</t>
        </is>
      </c>
    </row>
    <row r="1471" ht="96" customHeight="1">
      <c r="A1471" s="2" t="inlineStr">
        <is>
          <t>DB-1470</t>
        </is>
      </c>
      <c r="B1471" s="3" t="inlineStr">
        <is>
          <t>Spinach Strawberry Salad with Pecans</t>
        </is>
      </c>
      <c r="C1471" s="4" t="inlineStr">
        <is>
          <t>Salad</t>
        </is>
      </c>
      <c r="D1471" s="4" t="inlineStr">
        <is>
          <t>American</t>
        </is>
      </c>
      <c r="E1471" s="2" t="n">
        <v>4</v>
      </c>
      <c r="F1471" s="2" t="n">
        <v>10</v>
      </c>
      <c r="G1471" s="2" t="n">
        <v>0</v>
      </c>
      <c r="H1471" s="2" t="n">
        <v>10</v>
      </c>
      <c r="I1471" s="4" t="inlineStr">
        <is>
          <t>spinach-strawberry-salad-with-pecans.jpg</t>
        </is>
      </c>
      <c r="J1471" s="3" t="inlineStr">
        <is>
          <t>Spinach Strawberry Salad with Pecans, healthy food photography, plated, natural light</t>
        </is>
      </c>
      <c r="K1471" s="4" t="inlineStr"/>
      <c r="L1471" s="3" t="inlineStr">
        <is>
          <t>Spinach — 150 g (5.3 oz)
Strawberries — 200 g (7.1 oz)
Pecans — 30 g (1.1 oz)
Goat cheese — 40 g (1.4 oz)
Red onion — 30 g (1.1 oz)
Balsamic vinegar — 15 g (0.5 oz)
Extra-virgin olive oil — 20 g (0.7 oz)</t>
        </is>
      </c>
      <c r="M1471" s="4" t="inlineStr">
        <is>
          <t>[{"ingredient_id": "spinach", "name": "Spinach", "grams": 150.0, "note": ""}, {"ingredient_id": "strawberries", "name": "Strawberries", "grams": 200.0, "note": ""}, {"ingredient_id": "pecans", "name": "Pecans", "grams": 30.0, "note": ""}, {"ingredient_id": "goat_cheese", "name": "Goat cheese", "grams": 40.0, "note": ""}, {"ingredient_id": "red_onion", "name": "Red onion", "grams": 30.0, "note": ""}, {"ingredient_id": "balsamic_vinegar", "name": "Balsamic vinegar", "grams": 15.0, "note": ""}, {"ingredient_id": "olive_oil", "name": "Extra-virgin olive oil", "grams": 20.0, "note": ""}]</t>
        </is>
      </c>
      <c r="N1471" s="2" t="n">
        <v>163</v>
      </c>
      <c r="O1471" s="5" t="n">
        <v>4.4</v>
      </c>
      <c r="P1471" s="5" t="n">
        <v>13.7</v>
      </c>
      <c r="Q1471" s="5" t="n">
        <v>7.6</v>
      </c>
      <c r="R1471" s="5" t="n">
        <v>2.7</v>
      </c>
      <c r="S1471" s="5" t="n">
        <v>4.9</v>
      </c>
      <c r="T1471" s="2" t="n">
        <v>32</v>
      </c>
      <c r="U1471" s="2" t="inlineStr">
        <is>
          <t>low</t>
        </is>
      </c>
      <c r="V1471" s="5" t="n">
        <v>1.6</v>
      </c>
      <c r="W1471" s="2" t="inlineStr">
        <is>
          <t>low</t>
        </is>
      </c>
      <c r="X1471" s="3" t="inlineStr">
        <is>
          <t>Negligible carbohydrate (&lt;5 g net/serving): GI has little practical meaning, glycemic load is what matters.</t>
        </is>
      </c>
      <c r="Y1471" s="3" t="inlineStr">
        <is>
          <t>58% of this dish's available carbohydrate comes from ingredients with a published, measured GI; the rest uses conventional placeholders (see Ingredients sheet)</t>
        </is>
      </c>
      <c r="Z1471" s="2" t="n">
        <v>58</v>
      </c>
      <c r="AA1471" s="3" t="inlineStr">
        <is>
          <t>vegetarian, gluten-free, low-carb, no-cook</t>
        </is>
      </c>
      <c r="AB1471" s="3" t="inlineStr">
        <is>
          <t>1. Toss the spinach with strawberries, onion and pecans.
2. Dress with balsamic and oil and top with goat cheese.</t>
        </is>
      </c>
      <c r="AC1471" s="4" t="inlineStr">
        <is>
          <t>["Toss the spinach with strawberries, onion and pecans.", "Dress with balsamic and oil and top with goat cheese."]</t>
        </is>
      </c>
    </row>
    <row r="1472" ht="96" customHeight="1">
      <c r="A1472" s="2" t="inlineStr">
        <is>
          <t>DB-1471</t>
        </is>
      </c>
      <c r="B1472" s="3" t="inlineStr">
        <is>
          <t>Kale Caesar with Chickpea Croutons</t>
        </is>
      </c>
      <c r="C1472" s="4" t="inlineStr">
        <is>
          <t>Salad</t>
        </is>
      </c>
      <c r="D1472" s="4" t="inlineStr">
        <is>
          <t>American</t>
        </is>
      </c>
      <c r="E1472" s="2" t="n">
        <v>4</v>
      </c>
      <c r="F1472" s="2" t="n">
        <v>15</v>
      </c>
      <c r="G1472" s="2" t="n">
        <v>20</v>
      </c>
      <c r="H1472" s="2" t="n">
        <v>35</v>
      </c>
      <c r="I1472" s="4" t="inlineStr">
        <is>
          <t>kale-caesar-with-chickpea-croutons.jpg</t>
        </is>
      </c>
      <c r="J1472" s="3" t="inlineStr">
        <is>
          <t>Kale Caesar with Chickpea Croutons, healthy food photography, plated, natural light</t>
        </is>
      </c>
      <c r="K1472" s="4" t="inlineStr"/>
      <c r="L1472" s="3" t="inlineStr">
        <is>
          <t>Kale — 200 g (7.1 oz)
Chickpeas, cooked — 200 g (7.1 oz)
Parmesan, grated — 40 g (1.4 oz)
Greek yogurt, plain 2% — 80 g (2.8 oz)
Lemon juice — 25 g (0.9 oz)
Garlic — 4 g (0.1 oz)
Dijon mustard — 8 g (0.3 oz)
Extra-virgin olive oil — 20 g (0.7 oz)</t>
        </is>
      </c>
      <c r="M1472" s="4" t="inlineStr">
        <is>
          <t>[{"ingredient_id": "kale", "name": "Kale", "grams": 200.0, "note": ""}, {"ingredient_id": "chickpeas", "name": "Chickpeas, cooked", "grams": 200.0,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20.0, "note": ""}]</t>
        </is>
      </c>
      <c r="N1472" s="2" t="n">
        <v>213</v>
      </c>
      <c r="O1472" s="5" t="n">
        <v>12.6</v>
      </c>
      <c r="P1472" s="5" t="n">
        <v>10.1</v>
      </c>
      <c r="Q1472" s="5" t="n">
        <v>20</v>
      </c>
      <c r="R1472" s="5" t="n">
        <v>5.7</v>
      </c>
      <c r="S1472" s="5" t="n">
        <v>14.3</v>
      </c>
      <c r="T1472" s="2" t="n">
        <v>30</v>
      </c>
      <c r="U1472" s="2" t="inlineStr">
        <is>
          <t>low</t>
        </is>
      </c>
      <c r="V1472" s="5" t="n">
        <v>4.3</v>
      </c>
      <c r="W1472" s="2" t="inlineStr">
        <is>
          <t>low</t>
        </is>
      </c>
      <c r="X1472" s="3" t="inlineStr"/>
      <c r="Y1472" s="3" t="inlineStr">
        <is>
          <t>74% of this dish's available carbohydrate comes from ingredients with a published, measured GI; the rest uses conventional placeholders (see Ingredients sheet)</t>
        </is>
      </c>
      <c r="Z1472" s="2" t="n">
        <v>74</v>
      </c>
      <c r="AA1472" s="3" t="inlineStr">
        <is>
          <t>vegetarian, gluten-free, nut-free, low-carb</t>
        </is>
      </c>
      <c r="AB1472" s="3" t="inlineStr">
        <is>
          <t>1. Roast the chickpeas with a little oil at 425°F for 20 minutes.
2. Massage the kale with the yogurt, lemon, garlic, mustard and oil.
3. Top with parmesan and the chickpeas.</t>
        </is>
      </c>
      <c r="AC1472" s="4" t="inlineStr">
        <is>
          <t>["Roast the chickpeas with a little oil at 425°F for 20 minutes.", "Massage the kale with the yogurt, lemon, garlic, mustard and oil.", "Top with parmesan and the chickpeas."]</t>
        </is>
      </c>
    </row>
    <row r="1473" ht="96" customHeight="1">
      <c r="A1473" s="2" t="inlineStr">
        <is>
          <t>DB-1472</t>
        </is>
      </c>
      <c r="B1473" s="3" t="inlineStr">
        <is>
          <t>Roasted Sweet Potato and Black Bean Salad</t>
        </is>
      </c>
      <c r="C1473" s="4" t="inlineStr">
        <is>
          <t>Salad</t>
        </is>
      </c>
      <c r="D1473" s="4" t="inlineStr">
        <is>
          <t>Tex-Mex</t>
        </is>
      </c>
      <c r="E1473" s="2" t="n">
        <v>4</v>
      </c>
      <c r="F1473" s="2" t="n">
        <v>15</v>
      </c>
      <c r="G1473" s="2" t="n">
        <v>25</v>
      </c>
      <c r="H1473" s="2" t="n">
        <v>40</v>
      </c>
      <c r="I1473" s="4" t="inlineStr">
        <is>
          <t>roasted-sweet-potato-and-black-bean-salad.jpg</t>
        </is>
      </c>
      <c r="J1473" s="3" t="inlineStr">
        <is>
          <t>Roasted Sweet Potato and Black Bean Salad, healthy food photography, plated, natural light</t>
        </is>
      </c>
      <c r="K1473" s="4" t="inlineStr"/>
      <c r="L1473" s="3" t="inlineStr">
        <is>
          <t>Sweet potato, baked/roasted — 400 g (14.1 oz)
Black beans, cooked — 200 g (7.1 oz)
Arugula — 80 g (2.8 oz)
Red onion — 40 g (1.4 oz)
Lime juice — 25 g (0.9 oz)
Ground cumin — 2 g (0.1 oz)
Extra-virgin olive oil — 20 g (0.7 oz)
Fresh cilantro — 6 g (0.2 oz)</t>
        </is>
      </c>
      <c r="M1473" s="4" t="inlineStr">
        <is>
          <t>[{"ingredient_id": "sweet_potato_roasted", "name": "Sweet potato, baked/roasted", "grams": 400.0, "note": ""}, {"ingredient_id": "black_beans", "name": "Black beans, cooked", "grams": 200.0, "note": ""}, {"ingredient_id": "arugula", "name": "Arugula", "grams": 80.0, "note": ""}, {"ingredient_id": "red_onion", "name": "Red onion", "grams": 40.0, "note": ""}, {"ingredient_id": "lime_juice", "name": "Lime juice", "grams": 25.0, "note": ""}, {"ingredient_id": "cumin", "name": "Ground cumin", "grams": 2.0, "note": ""}, {"ingredient_id": "olive_oil", "name": "Extra-virgin olive oil", "grams": 20.0, "note": ""}, {"ingredient_id": "cilantro", "name": "Fresh cilantro", "grams": 6.0, "note": ""}]</t>
        </is>
      </c>
      <c r="N1473" s="2" t="n">
        <v>209</v>
      </c>
      <c r="O1473" s="5" t="n">
        <v>6.8</v>
      </c>
      <c r="P1473" s="5" t="n">
        <v>5.6</v>
      </c>
      <c r="Q1473" s="5" t="n">
        <v>34.3</v>
      </c>
      <c r="R1473" s="5" t="n">
        <v>8</v>
      </c>
      <c r="S1473" s="5" t="n">
        <v>26.4</v>
      </c>
      <c r="T1473" s="2" t="n">
        <v>65</v>
      </c>
      <c r="U1473" s="2" t="inlineStr">
        <is>
          <t>medium</t>
        </is>
      </c>
      <c r="V1473" s="5" t="n">
        <v>17.1</v>
      </c>
      <c r="W1473" s="2" t="inlineStr">
        <is>
          <t>medium</t>
        </is>
      </c>
      <c r="X1473" s="3" t="inlineStr">
        <is>
          <t>Medium-GI dish: keep to the stated portion and pair with the protein/fat in the recipe; GL per serving is the better guide.</t>
        </is>
      </c>
      <c r="Y1473" s="3" t="inlineStr">
        <is>
          <t>93% of this dish's available carbohydrate comes from ingredients with a published, measured GI; the rest uses conventional placeholders (see Ingredients sheet)</t>
        </is>
      </c>
      <c r="Z1473" s="2" t="n">
        <v>93</v>
      </c>
      <c r="AA1473" s="3" t="inlineStr">
        <is>
          <t>vegan, gluten-free, dairy-free, nut-free, high-fiber</t>
        </is>
      </c>
      <c r="AB1473" s="3" t="inlineStr">
        <is>
          <t>1. Toss the sweet potato with oil and cumin and roast at 425°F for 25 minutes.
2. Combine with beans, arugula and onion.
3. Dress with lime and cilantro.</t>
        </is>
      </c>
      <c r="AC1473" s="4" t="inlineStr">
        <is>
          <t>["Toss the sweet potato with oil and cumin and roast at 425°F for 25 minutes.", "Combine with beans, arugula and onion.", "Dress with lime and cilantro."]</t>
        </is>
      </c>
    </row>
    <row r="1474" ht="96" customHeight="1">
      <c r="A1474" s="2" t="inlineStr">
        <is>
          <t>DB-1473</t>
        </is>
      </c>
      <c r="B1474" s="3" t="inlineStr">
        <is>
          <t>Cucumber Dill Chicken Salad Cups</t>
        </is>
      </c>
      <c r="C1474" s="4" t="inlineStr">
        <is>
          <t>Salad</t>
        </is>
      </c>
      <c r="D1474" s="4" t="inlineStr">
        <is>
          <t>American</t>
        </is>
      </c>
      <c r="E1474" s="2" t="n">
        <v>4</v>
      </c>
      <c r="F1474" s="2" t="n">
        <v>10</v>
      </c>
      <c r="G1474" s="2" t="n">
        <v>0</v>
      </c>
      <c r="H1474" s="2" t="n">
        <v>10</v>
      </c>
      <c r="I1474" s="4" t="inlineStr">
        <is>
          <t>cucumber-dill-chicken-salad-cups.jpg</t>
        </is>
      </c>
      <c r="J1474" s="3" t="inlineStr">
        <is>
          <t>Cucumber Dill Chicken Salad Cups, healthy food photography, plated, natural light</t>
        </is>
      </c>
      <c r="K1474" s="4" t="inlineStr"/>
      <c r="L1474" s="3" t="inlineStr">
        <is>
          <t>Rotisserie chicken, skin removed — 300 g (10.6 oz)
Cucumber — 250 g (8.8 oz)
Greek yogurt, plain 2% — 80 g (2.8 oz)
Fresh dill — 5 g (0.2 oz)
Lemon juice — 15 g (0.5 oz)
Red onion — 30 g (1.1 oz)</t>
        </is>
      </c>
      <c r="M1474" s="4" t="inlineStr">
        <is>
          <t>[{"ingredient_id": "rotisserie_chicken", "name": "Rotisserie chicken, skin removed", "grams": 300.0, "note": ""}, {"ingredient_id": "cucumber", "name": "Cucumber", "grams": 250.0, "note": ""}, {"ingredient_id": "greek_yogurt", "name": "Greek yogurt, plain 2%", "grams": 80.0, "note": ""}, {"ingredient_id": "dill", "name": "Fresh dill", "grams": 5.0, "note": ""}, {"ingredient_id": "lemon_juice", "name": "Lemon juice", "grams": 15.0, "note": ""}, {"ingredient_id": "red_onion", "name": "Red onion", "grams": 30.0, "note": ""}]</t>
        </is>
      </c>
      <c r="N1474" s="2" t="n">
        <v>148</v>
      </c>
      <c r="O1474" s="5" t="n">
        <v>19.8</v>
      </c>
      <c r="P1474" s="5" t="n">
        <v>5.7</v>
      </c>
      <c r="Q1474" s="5" t="n">
        <v>4.1</v>
      </c>
      <c r="R1474" s="5" t="n">
        <v>0.5</v>
      </c>
      <c r="S1474" s="5" t="n">
        <v>3.6</v>
      </c>
      <c r="T1474" s="2" t="n">
        <v>14</v>
      </c>
      <c r="U1474" s="2" t="inlineStr">
        <is>
          <t>low</t>
        </is>
      </c>
      <c r="V1474" s="5" t="n">
        <v>0.5</v>
      </c>
      <c r="W1474" s="2" t="inlineStr">
        <is>
          <t>low</t>
        </is>
      </c>
      <c r="X1474" s="3" t="inlineStr">
        <is>
          <t>Negligible carbohydrate (&lt;5 g net/serving): GI has little practical meaning, glycemic load is what matters.</t>
        </is>
      </c>
      <c r="Y1474" s="3" t="inlineStr">
        <is>
          <t>22% of this dish's available carbohydrate comes from ingredients with a published, measured GI; the rest uses conventional placeholders (see Ingredients sheet)</t>
        </is>
      </c>
      <c r="Z1474" s="2" t="n">
        <v>22</v>
      </c>
      <c r="AA1474" s="3" t="inlineStr">
        <is>
          <t>gluten-free, nut-free, low-carb, no-cook</t>
        </is>
      </c>
      <c r="AB1474" s="3" t="inlineStr">
        <is>
          <t>1. Shred the chicken and mix with yogurt, dill, lemon and onion.
2. Spoon into thick cucumber cups.</t>
        </is>
      </c>
      <c r="AC1474" s="4" t="inlineStr">
        <is>
          <t>["Shred the chicken and mix with yogurt, dill, lemon and onion.", "Spoon into thick cucumber cups."]</t>
        </is>
      </c>
    </row>
    <row r="1475" ht="96" customHeight="1">
      <c r="A1475" s="2" t="inlineStr">
        <is>
          <t>DB-1474</t>
        </is>
      </c>
      <c r="B1475" s="3" t="inlineStr">
        <is>
          <t>Wedge Salad with Blue Cheese and Tomatoes</t>
        </is>
      </c>
      <c r="C1475" s="4" t="inlineStr">
        <is>
          <t>Salad</t>
        </is>
      </c>
      <c r="D1475" s="4" t="inlineStr">
        <is>
          <t>American</t>
        </is>
      </c>
      <c r="E1475" s="2" t="n">
        <v>4</v>
      </c>
      <c r="F1475" s="2" t="n">
        <v>10</v>
      </c>
      <c r="G1475" s="2" t="n">
        <v>0</v>
      </c>
      <c r="H1475" s="2" t="n">
        <v>10</v>
      </c>
      <c r="I1475" s="4" t="inlineStr">
        <is>
          <t>wedge-salad-with-blue-cheese-and-tomatoes.jpg</t>
        </is>
      </c>
      <c r="J1475" s="3" t="inlineStr">
        <is>
          <t>Wedge Salad with Blue Cheese and Tomatoes, healthy food photography, plated, natural light</t>
        </is>
      </c>
      <c r="K1475" s="4" t="inlineStr"/>
      <c r="L1475" s="3" t="inlineStr">
        <is>
          <t>Iceberg lettuce — 400 g (14.1 oz)
Blue cheese, crumbled — 50 g (1.8 oz)
Cherry tomatoes — 150 g (5.3 oz)
Red onion — 30 g (1.1 oz)
Bacon — 30 g (1.1 oz)
Greek yogurt, plain 2% — 80 g (2.8 oz)
Lemon juice — 10 g (0.4 oz)</t>
        </is>
      </c>
      <c r="M1475" s="4" t="inlineStr">
        <is>
          <t>[{"ingredient_id": "iceberg", "name": "Iceberg lettuce", "grams": 400.0, "note": ""}, {"ingredient_id": "blue_cheese", "name": "Blue cheese, crumbled", "grams": 50.0, "note": ""}, {"ingredient_id": "cherry_tomato", "name": "Cherry tomatoes", "grams": 150.0, "note": ""}, {"ingredient_id": "red_onion", "name": "Red onion", "grams": 30.0, "note": ""}, {"ingredient_id": "bacon", "name": "Bacon", "grams": 30.0, "note": ""}, {"ingredient_id": "greek_yogurt", "name": "Greek yogurt, plain 2%", "grams": 80.0, "note": ""}, {"ingredient_id": "lemon_juice", "name": "Lemon juice", "grams": 10.0, "note": ""}]</t>
        </is>
      </c>
      <c r="N1475" s="2" t="n">
        <v>124</v>
      </c>
      <c r="O1475" s="5" t="n">
        <v>8.699999999999999</v>
      </c>
      <c r="P1475" s="5" t="n">
        <v>7.4</v>
      </c>
      <c r="Q1475" s="5" t="n">
        <v>6.5</v>
      </c>
      <c r="R1475" s="5" t="n">
        <v>1.8</v>
      </c>
      <c r="S1475" s="5" t="n">
        <v>4.7</v>
      </c>
      <c r="T1475" s="2" t="n">
        <v>13</v>
      </c>
      <c r="U1475" s="2" t="inlineStr">
        <is>
          <t>low</t>
        </is>
      </c>
      <c r="V1475" s="5" t="n">
        <v>0.6</v>
      </c>
      <c r="W1475" s="2" t="inlineStr">
        <is>
          <t>low</t>
        </is>
      </c>
      <c r="X1475" s="3" t="inlineStr">
        <is>
          <t>Negligible carbohydrate (&lt;5 g net/serving): GI has little practical meaning, glycemic load is what matters.</t>
        </is>
      </c>
      <c r="Y1475" s="3" t="inlineStr">
        <is>
          <t>17% of this dish's available carbohydrate comes from ingredients with a published, measured GI; the rest uses conventional placeholders (see Ingredients sheet)</t>
        </is>
      </c>
      <c r="Z1475" s="2" t="n">
        <v>17</v>
      </c>
      <c r="AA1475" s="3" t="inlineStr">
        <is>
          <t>gluten-free, nut-free, low-carb</t>
        </is>
      </c>
      <c r="AB1475" s="3" t="inlineStr">
        <is>
          <t>1. Cut the lettuce into wedges.
2. Blend the blue cheese, yogurt and lemon into a dressing.
3. Top with tomatoes, onion and crisp bacon.</t>
        </is>
      </c>
      <c r="AC1475" s="4" t="inlineStr">
        <is>
          <t>["Cut the lettuce into wedges.", "Blend the blue cheese, yogurt and lemon into a dressing.", "Top with tomatoes, onion and crisp bacon."]</t>
        </is>
      </c>
    </row>
    <row r="1476" ht="96" customHeight="1">
      <c r="A1476" s="2" t="inlineStr">
        <is>
          <t>DB-1475</t>
        </is>
      </c>
      <c r="B1476" s="3" t="inlineStr">
        <is>
          <t>Marinated Mushroom and Artichoke Salad</t>
        </is>
      </c>
      <c r="C1476" s="4" t="inlineStr">
        <is>
          <t>Salad</t>
        </is>
      </c>
      <c r="D1476" s="4" t="inlineStr">
        <is>
          <t>Italian</t>
        </is>
      </c>
      <c r="E1476" s="2" t="n">
        <v>4</v>
      </c>
      <c r="F1476" s="2" t="n">
        <v>10</v>
      </c>
      <c r="G1476" s="2" t="n">
        <v>0</v>
      </c>
      <c r="H1476" s="2" t="n">
        <v>10</v>
      </c>
      <c r="I1476" s="4" t="inlineStr">
        <is>
          <t>marinated-mushroom-and-artichoke-salad.jpg</t>
        </is>
      </c>
      <c r="J1476" s="3" t="inlineStr">
        <is>
          <t>Marinated Mushroom and Artichoke Salad, healthy food photography, plated, natural light</t>
        </is>
      </c>
      <c r="K1476" s="4" t="inlineStr"/>
      <c r="L1476" s="3" t="inlineStr">
        <is>
          <t>Mushrooms (cremini/white) — 250 g (8.8 oz)
Artichoke hearts, canned in water — 200 g (7.1 oz)
Cherry tomatoes — 150 g (5.3 oz)
Red wine vinegar — 30 g (1.1 oz)
Extra-virgin olive oil — 30 g (1.1 oz)
Italian seasoning — 2 g (0.1 oz)
Fresh parsley — 6 g (0.2 oz)</t>
        </is>
      </c>
      <c r="M1476" s="4" t="inlineStr">
        <is>
          <t>[{"ingredient_id": "mushrooms", "name": "Mushrooms (cremini/white)", "grams": 250.0, "note": ""}, {"ingredient_id": "artichoke_hearts", "name": "Artichoke hearts, canned in water", "grams": 200.0, "note": ""}, {"ingredient_id": "cherry_tomato", "name": "Cherry tomatoes", "grams": 150.0, "note": ""}, {"ingredient_id": "red_wine_vinegar", "name": "Red wine vinegar", "grams": 30.0, "note": ""}, {"ingredient_id": "olive_oil", "name": "Extra-virgin olive oil", "grams": 30.0, "note": ""}, {"ingredient_id": "italian_seasoning", "name": "Italian seasoning", "grams": 2.0, "note": ""}, {"ingredient_id": "parsley", "name": "Fresh parsley", "grams": 6.0, "note": ""}]</t>
        </is>
      </c>
      <c r="N1476" s="2" t="n">
        <v>114</v>
      </c>
      <c r="O1476" s="5" t="n">
        <v>4</v>
      </c>
      <c r="P1476" s="5" t="n">
        <v>7.9</v>
      </c>
      <c r="Q1476" s="5" t="n">
        <v>9.199999999999999</v>
      </c>
      <c r="R1476" s="5" t="n">
        <v>4</v>
      </c>
      <c r="S1476" s="5" t="n">
        <v>5.2</v>
      </c>
      <c r="T1476" s="2" t="n">
        <v>15</v>
      </c>
      <c r="U1476" s="2" t="inlineStr">
        <is>
          <t>low</t>
        </is>
      </c>
      <c r="V1476" s="5" t="n">
        <v>0.8</v>
      </c>
      <c r="W1476" s="2" t="inlineStr">
        <is>
          <t>low</t>
        </is>
      </c>
      <c r="X1476" s="3" t="inlineStr"/>
      <c r="Y1476" s="3" t="inlineStr">
        <is>
          <t>0% of this dish's available carbohydrate comes from ingredients with a published, measured GI; the rest uses conventional placeholders (see Ingredients sheet)</t>
        </is>
      </c>
      <c r="Z1476" s="2" t="n">
        <v>0</v>
      </c>
      <c r="AA1476" s="3" t="inlineStr">
        <is>
          <t>vegan, gluten-free, dairy-free, nut-free, low-carb, no-cook</t>
        </is>
      </c>
      <c r="AB1476" s="3" t="inlineStr">
        <is>
          <t>1. Toss everything with the vinegar, oil and seasoning.
2. Marinate 30 minutes.</t>
        </is>
      </c>
      <c r="AC1476" s="4" t="inlineStr">
        <is>
          <t>["Toss everything with the vinegar, oil and seasoning.", "Marinate 30 minutes."]</t>
        </is>
      </c>
    </row>
    <row r="1477" ht="96" customHeight="1">
      <c r="A1477" s="2" t="inlineStr">
        <is>
          <t>DB-1476</t>
        </is>
      </c>
      <c r="B1477" s="3" t="inlineStr">
        <is>
          <t>Taco Salad with Lime Crema</t>
        </is>
      </c>
      <c r="C1477" s="4" t="inlineStr">
        <is>
          <t>Salad</t>
        </is>
      </c>
      <c r="D1477" s="4" t="inlineStr">
        <is>
          <t>Tex-Mex</t>
        </is>
      </c>
      <c r="E1477" s="2" t="n">
        <v>4</v>
      </c>
      <c r="F1477" s="2" t="n">
        <v>15</v>
      </c>
      <c r="G1477" s="2" t="n">
        <v>12</v>
      </c>
      <c r="H1477" s="2" t="n">
        <v>27</v>
      </c>
      <c r="I1477" s="4" t="inlineStr">
        <is>
          <t>taco-salad-with-lime-crema.jpg</t>
        </is>
      </c>
      <c r="J1477" s="3" t="inlineStr">
        <is>
          <t>Taco Salad with Lime Crema, healthy food photography, plated, natural light</t>
        </is>
      </c>
      <c r="K1477" s="4" t="inlineStr"/>
      <c r="L1477" s="3" t="inlineStr">
        <is>
          <t>Ground beef 90% lean — 400 g (14.1 oz)
Taco seasoning, low sodium — 12 g (0.4 oz)
Romaine lettuce — 250 g (8.8 oz)
Black beans, cooked — 150 g (5.3 oz)
Tomato — 150 g (5.3 oz)
Cheddar cheese — 50 g (1.8 oz)
Avocado — 100 g (3.5 oz)
Greek yogurt, plain 2% — 80 g (2.8 oz)
Lime juice — 20 g (0.7 oz)</t>
        </is>
      </c>
      <c r="M1477" s="4" t="inlineStr">
        <is>
          <t>[{"ingredient_id": "ground_beef", "name": "Ground beef 90% lean", "grams": 400.0, "note": ""}, {"ingredient_id": "taco_seasoning", "name": "Taco seasoning, low sodium", "grams": 12.0, "note": ""}, {"ingredient_id": "romaine", "name": "Romaine lettuce", "grams": 250.0, "note": ""}, {"ingredient_id": "black_beans", "name": "Black beans, cooked", "grams": 150.0, "note": ""}, {"ingredient_id": "tomato", "name": "Tomato", "grams": 150.0, "note": ""}, {"ingredient_id": "cheddar", "name": "Cheddar cheese", "grams": 50.0, "note": ""}, {"ingredient_id": "avocado", "name": "Avocado", "grams": 100.0, "note": ""}, {"ingredient_id": "greek_yogurt", "name": "Greek yogurt, plain 2%", "grams": 80.0, "note": ""}, {"ingredient_id": "lime_juice", "name": "Lime juice", "grams": 20.0, "note": ""}]</t>
        </is>
      </c>
      <c r="N1477" s="2" t="n">
        <v>358</v>
      </c>
      <c r="O1477" s="5" t="n">
        <v>30.1</v>
      </c>
      <c r="P1477" s="5" t="n">
        <v>19</v>
      </c>
      <c r="Q1477" s="5" t="n">
        <v>17.6</v>
      </c>
      <c r="R1477" s="5" t="n">
        <v>7.5</v>
      </c>
      <c r="S1477" s="5" t="n">
        <v>10.1</v>
      </c>
      <c r="T1477" s="2" t="n">
        <v>23</v>
      </c>
      <c r="U1477" s="2" t="inlineStr">
        <is>
          <t>low</t>
        </is>
      </c>
      <c r="V1477" s="5" t="n">
        <v>2.3</v>
      </c>
      <c r="W1477" s="2" t="inlineStr">
        <is>
          <t>low</t>
        </is>
      </c>
      <c r="X1477" s="3" t="inlineStr"/>
      <c r="Y1477" s="3" t="inlineStr">
        <is>
          <t>64% of this dish's available carbohydrate comes from ingredients with a published, measured GI; the rest uses conventional placeholders (see Ingredients sheet)</t>
        </is>
      </c>
      <c r="Z1477" s="2" t="n">
        <v>64</v>
      </c>
      <c r="AA1477" s="3" t="inlineStr">
        <is>
          <t>gluten-free, nut-free, low-carb, high-protein, high-fiber</t>
        </is>
      </c>
      <c r="AB1477" s="3" t="inlineStr">
        <is>
          <t>1. Brown the beef with the seasoning.
2. Arrange the romaine, beans, tomato and avocado in bowls.
3. Add the beef and cheddar and top with yogurt stirred with lime.</t>
        </is>
      </c>
      <c r="AC1477" s="4" t="inlineStr">
        <is>
          <t>["Brown the beef with the seasoning.", "Arrange the romaine, beans, tomato and avocado in bowls.", "Add the beef and cheddar and top with yogurt stirred with lime."]</t>
        </is>
      </c>
    </row>
    <row r="1478" ht="96" customHeight="1">
      <c r="A1478" s="2" t="inlineStr">
        <is>
          <t>DB-1477</t>
        </is>
      </c>
      <c r="B1478" s="3" t="inlineStr">
        <is>
          <t>Antipasto Skewers</t>
        </is>
      </c>
      <c r="C1478" s="4" t="inlineStr">
        <is>
          <t>Snack &amp; Appetizer</t>
        </is>
      </c>
      <c r="D1478" s="4" t="inlineStr">
        <is>
          <t>Italian</t>
        </is>
      </c>
      <c r="E1478" s="2" t="n">
        <v>6</v>
      </c>
      <c r="F1478" s="2" t="n">
        <v>15</v>
      </c>
      <c r="G1478" s="2" t="n">
        <v>0</v>
      </c>
      <c r="H1478" s="2" t="n">
        <v>15</v>
      </c>
      <c r="I1478" s="4" t="inlineStr">
        <is>
          <t>antipasto-skewers.jpg</t>
        </is>
      </c>
      <c r="J1478" s="3" t="inlineStr">
        <is>
          <t>Antipasto Skewers, healthy food photography, plated, natural light</t>
        </is>
      </c>
      <c r="K1478" s="4" t="inlineStr"/>
      <c r="L1478" s="3" t="inlineStr">
        <is>
          <t>Mozzarella, part-skim — 120 g (4.2 oz)
Cherry tomatoes — 150 g (5.3 oz)
Olives (kalamata/green) — 60 g (2.1 oz)
Artichoke hearts, canned in water — 120 g (4.2 oz)
Fresh basil — 8 g (0.3 oz)
Balsamic vinegar — 10 g (0.4 oz)
Extra-virgin olive oil — 10 g (0.4 oz)</t>
        </is>
      </c>
      <c r="M1478" s="4" t="inlineStr">
        <is>
          <t>[{"ingredient_id": "mozzarella", "name": "Mozzarella, part-skim", "grams": 120.0, "note": ""}, {"ingredient_id": "cherry_tomato", "name": "Cherry tomatoes", "grams": 150.0, "note": ""}, {"ingredient_id": "olives", "name": "Olives (kalamata/green)", "grams": 60.0, "note": ""}, {"ingredient_id": "artichoke_hearts", "name": "Artichoke hearts, canned in water", "grams": 120.0, "note": ""}, {"ingredient_id": "basil", "name": "Fresh basil", "grams": 8.0, "note": ""}, {"ingredient_id": "balsamic_vinegar", "name": "Balsamic vinegar", "grams": 10.0, "note": ""}, {"ingredient_id": "olive_oil", "name": "Extra-virgin olive oil", "grams": 10.0, "note": ""}]</t>
        </is>
      </c>
      <c r="N1478" s="2" t="n">
        <v>93</v>
      </c>
      <c r="O1478" s="5" t="n">
        <v>5.8</v>
      </c>
      <c r="P1478" s="5" t="n">
        <v>6.1</v>
      </c>
      <c r="Q1478" s="5" t="n">
        <v>4.6</v>
      </c>
      <c r="R1478" s="5" t="n">
        <v>1.7</v>
      </c>
      <c r="S1478" s="5" t="n">
        <v>2.9</v>
      </c>
      <c r="T1478" s="2" t="n">
        <v>14</v>
      </c>
      <c r="U1478" s="2" t="inlineStr">
        <is>
          <t>low</t>
        </is>
      </c>
      <c r="V1478" s="5" t="n">
        <v>0.4</v>
      </c>
      <c r="W1478" s="2" t="inlineStr">
        <is>
          <t>low</t>
        </is>
      </c>
      <c r="X1478" s="3" t="inlineStr">
        <is>
          <t>Negligible carbohydrate (&lt;5 g net/serving): GI has little practical meaning, glycemic load is what matters.</t>
        </is>
      </c>
      <c r="Y1478" s="3" t="inlineStr">
        <is>
          <t>0% of this dish's available carbohydrate comes from ingredients with a published, measured GI; the rest uses conventional placeholders (see Ingredients sheet)</t>
        </is>
      </c>
      <c r="Z1478" s="2" t="n">
        <v>0</v>
      </c>
      <c r="AA1478" s="3" t="inlineStr">
        <is>
          <t>vegetarian, gluten-free, nut-free, low-carb, no-cook</t>
        </is>
      </c>
      <c r="AB1478" s="3" t="inlineStr">
        <is>
          <t>1. Thread the mozzarella, tomatoes, olives, artichokes and basil onto skewers.
2. Drizzle with balsamic and oil.</t>
        </is>
      </c>
      <c r="AC1478" s="4" t="inlineStr">
        <is>
          <t>["Thread the mozzarella, tomatoes, olives, artichokes and basil onto skewers.", "Drizzle with balsamic and oil."]</t>
        </is>
      </c>
    </row>
    <row r="1479" ht="96" customHeight="1">
      <c r="A1479" s="2" t="inlineStr">
        <is>
          <t>DB-1478</t>
        </is>
      </c>
      <c r="B1479" s="3" t="inlineStr">
        <is>
          <t>Buffalo Chicken Thigh Bites with Celery and Blue Cheese</t>
        </is>
      </c>
      <c r="C1479" s="4" t="inlineStr">
        <is>
          <t>Snack &amp; Appetizer</t>
        </is>
      </c>
      <c r="D1479" s="4" t="inlineStr">
        <is>
          <t>American</t>
        </is>
      </c>
      <c r="E1479" s="2" t="n">
        <v>4</v>
      </c>
      <c r="F1479" s="2" t="n">
        <v>10</v>
      </c>
      <c r="G1479" s="2" t="n">
        <v>45</v>
      </c>
      <c r="H1479" s="2" t="n">
        <v>55</v>
      </c>
      <c r="I1479" s="4" t="inlineStr">
        <is>
          <t>buffalo-chicken-thigh-bites-with-celery-and-blue-cheese.jpg</t>
        </is>
      </c>
      <c r="J1479" s="3" t="inlineStr">
        <is>
          <t>Buffalo Chicken Thigh Bites with Celery and Blue Cheese, healthy food photography, plated, natural light</t>
        </is>
      </c>
      <c r="K1479" s="4" t="inlineStr"/>
      <c r="L1479" s="3" t="inlineStr">
        <is>
          <t>Chicken thigh, skinless boneless — 800 g (28.2 oz)
Hot sauce (Tabasco/Frank's) — 60 g (2.1 oz)
Butter — 20 g (0.7 oz)
Baking powder — 4 g (0.1 oz)
Garlic powder — 3 g (0.1 oz)
Celery — 120 g (4.2 oz)
Blue cheese, crumbled — 30 g (1.1 oz)</t>
        </is>
      </c>
      <c r="M1479" s="4" t="inlineStr">
        <is>
          <t>[{"ingredient_id": "chicken_thigh", "name": "Chicken thigh, skinless boneless", "grams": 800.0, "note": ""}, {"ingredient_id": "hot_sauce", "name": "Hot sauce (Tabasco/Frank's)", "grams": 60.0, "note": ""}, {"ingredient_id": "butter", "name": "Butter", "grams": 20.0, "note": ""}, {"ingredient_id": "baking_powder", "name": "Baking powder", "grams": 4.0, "note": ""}, {"ingredient_id": "garlic_powder", "name": "Garlic powder", "grams": 3.0, "note": ""}, {"ingredient_id": "celery", "name": "Celery", "grams": 120.0, "note": ""}, {"ingredient_id": "blue_cheese", "name": "Blue cheese, crumbled", "grams": 30.0, "note": ""}]</t>
        </is>
      </c>
      <c r="N1479" s="2" t="n">
        <v>314</v>
      </c>
      <c r="O1479" s="5" t="n">
        <v>41.4</v>
      </c>
      <c r="P1479" s="5" t="n">
        <v>14.6</v>
      </c>
      <c r="Q1479" s="5" t="n">
        <v>2.2</v>
      </c>
      <c r="R1479" s="5" t="n">
        <v>0.6</v>
      </c>
      <c r="S1479" s="5" t="n">
        <v>1.6</v>
      </c>
      <c r="T1479" s="2" t="n">
        <v>11</v>
      </c>
      <c r="U1479" s="2" t="inlineStr">
        <is>
          <t>low</t>
        </is>
      </c>
      <c r="V1479" s="5" t="n">
        <v>0.2</v>
      </c>
      <c r="W1479" s="2" t="inlineStr">
        <is>
          <t>low</t>
        </is>
      </c>
      <c r="X1479" s="3" t="inlineStr">
        <is>
          <t>Negligible carbohydrate (&lt;5 g net/serving): GI has little practical meaning, glycemic load is what matters.</t>
        </is>
      </c>
      <c r="Y1479" s="3" t="inlineStr">
        <is>
          <t>0% of this dish's available carbohydrate comes from ingredients with a published, measured GI; the rest uses conventional placeholders (see Ingredients sheet)</t>
        </is>
      </c>
      <c r="Z1479" s="2" t="n">
        <v>0</v>
      </c>
      <c r="AA1479" s="3" t="inlineStr">
        <is>
          <t>gluten-free, nut-free, low-carb, high-protein</t>
        </is>
      </c>
      <c r="AB1479" s="3" t="inlineStr">
        <is>
          <t>1. Toss the chicken with baking powder and garlic powder and bake at 425°F for 40 minutes.
2. Toss with melted butter and hot sauce.
3. Serve with celery and blue cheese.</t>
        </is>
      </c>
      <c r="AC1479" s="4" t="inlineStr">
        <is>
          <t>["Toss the chicken with baking powder and garlic powder and bake at 425°F for 40 minutes.", "Toss with melted butter and hot sauce.", "Serve with celery and blue cheese."]</t>
        </is>
      </c>
    </row>
    <row r="1480" ht="96" customHeight="1">
      <c r="A1480" s="2" t="inlineStr">
        <is>
          <t>DB-1479</t>
        </is>
      </c>
      <c r="B1480" s="3" t="inlineStr">
        <is>
          <t>Caprese Dip with Veggie Dippers</t>
        </is>
      </c>
      <c r="C1480" s="4" t="inlineStr">
        <is>
          <t>Snack &amp; Appetizer</t>
        </is>
      </c>
      <c r="D1480" s="4" t="inlineStr">
        <is>
          <t>Italian</t>
        </is>
      </c>
      <c r="E1480" s="2" t="n">
        <v>6</v>
      </c>
      <c r="F1480" s="2" t="n">
        <v>10</v>
      </c>
      <c r="G1480" s="2" t="n">
        <v>15</v>
      </c>
      <c r="H1480" s="2" t="n">
        <v>25</v>
      </c>
      <c r="I1480" s="4" t="inlineStr">
        <is>
          <t>caprese-dip-with-veggie-dippers.jpg</t>
        </is>
      </c>
      <c r="J1480" s="3" t="inlineStr">
        <is>
          <t>Caprese Dip with Veggie Dippers, healthy food photography, plated, natural light</t>
        </is>
      </c>
      <c r="K1480" s="4" t="inlineStr"/>
      <c r="L1480" s="3" t="inlineStr">
        <is>
          <t>Cream cheese — 120 g (4.2 oz)
Mozzarella, part-skim — 100 g (3.5 oz)
Cherry tomatoes — 150 g (5.3 oz)
Fresh basil — 8 g (0.3 oz)
Garlic — 4 g (0.1 oz)
Cucumber — 200 g (7.1 oz)
Carrot — 150 g (5.3 oz)</t>
        </is>
      </c>
      <c r="M1480" s="4" t="inlineStr">
        <is>
          <t>[{"ingredient_id": "cream_cheese", "name": "Cream cheese", "grams": 120.0, "note": ""}, {"ingredient_id": "mozzarella", "name": "Mozzarella, part-skim", "grams": 100.0, "note": ""}, {"ingredient_id": "cherry_tomato", "name": "Cherry tomatoes", "grams": 150.0, "note": ""}, {"ingredient_id": "basil", "name": "Fresh basil", "grams": 8.0, "note": ""}, {"ingredient_id": "garlic", "name": "Garlic", "grams": 4.0, "note": ""}, {"ingredient_id": "cucumber", "name": "Cucumber", "grams": 200.0, "note": ""}, {"ingredient_id": "carrot", "name": "Carrot", "grams": 150.0, "note": ""}]</t>
        </is>
      </c>
      <c r="N1480" s="2" t="n">
        <v>132</v>
      </c>
      <c r="O1480" s="5" t="n">
        <v>6</v>
      </c>
      <c r="P1480" s="5" t="n">
        <v>9.6</v>
      </c>
      <c r="Q1480" s="5" t="n">
        <v>6.1</v>
      </c>
      <c r="R1480" s="5" t="n">
        <v>1.2</v>
      </c>
      <c r="S1480" s="5" t="n">
        <v>4.9</v>
      </c>
      <c r="T1480" s="2" t="n">
        <v>20</v>
      </c>
      <c r="U1480" s="2" t="inlineStr">
        <is>
          <t>low</t>
        </is>
      </c>
      <c r="V1480" s="5" t="n">
        <v>1</v>
      </c>
      <c r="W1480" s="2" t="inlineStr">
        <is>
          <t>low</t>
        </is>
      </c>
      <c r="X1480" s="3" t="inlineStr">
        <is>
          <t>Negligible carbohydrate (&lt;5 g net/serving): GI has little practical meaning, glycemic load is what matters.</t>
        </is>
      </c>
      <c r="Y1480" s="3" t="inlineStr">
        <is>
          <t>34% of this dish's available carbohydrate comes from ingredients with a published, measured GI; the rest uses conventional placeholders (see Ingredients sheet)</t>
        </is>
      </c>
      <c r="Z1480" s="2" t="n">
        <v>34</v>
      </c>
      <c r="AA1480" s="3" t="inlineStr">
        <is>
          <t>vegetarian, gluten-free, nut-free, low-carb</t>
        </is>
      </c>
      <c r="AB1480" s="3" t="inlineStr">
        <is>
          <t>1. Mix the cream cheese, mozzarella, chopped tomatoes, basil and garlic in a dish.
2. Bake at 375°F for 15 minutes.
3. Serve with the vegetables.</t>
        </is>
      </c>
      <c r="AC1480" s="4" t="inlineStr">
        <is>
          <t>["Mix the cream cheese, mozzarella, chopped tomatoes, basil and garlic in a dish.", "Bake at 375°F for 15 minutes.", "Serve with the vegetables."]</t>
        </is>
      </c>
    </row>
    <row r="1481" ht="96" customHeight="1">
      <c r="A1481" s="2" t="inlineStr">
        <is>
          <t>DB-1480</t>
        </is>
      </c>
      <c r="B1481" s="3" t="inlineStr">
        <is>
          <t>Edamame with Sea Salt and Lime</t>
        </is>
      </c>
      <c r="C1481" s="4" t="inlineStr">
        <is>
          <t>Snack &amp; Appetizer</t>
        </is>
      </c>
      <c r="D1481" s="4" t="inlineStr">
        <is>
          <t>Japanese</t>
        </is>
      </c>
      <c r="E1481" s="2" t="n">
        <v>4</v>
      </c>
      <c r="F1481" s="2" t="n">
        <v>3</v>
      </c>
      <c r="G1481" s="2" t="n">
        <v>5</v>
      </c>
      <c r="H1481" s="2" t="n">
        <v>8</v>
      </c>
      <c r="I1481" s="4" t="inlineStr">
        <is>
          <t>edamame-with-sea-salt-and-lime.jpg</t>
        </is>
      </c>
      <c r="J1481" s="3" t="inlineStr">
        <is>
          <t>Edamame with Sea Salt and Lime, healthy food photography, plated, natural light</t>
        </is>
      </c>
      <c r="K1481" s="4" t="inlineStr"/>
      <c r="L1481" s="3" t="inlineStr">
        <is>
          <t>Edamame, shelled, cooked — 400 g (14.1 oz)
Lime juice — 15 g (0.5 oz)
Salt — 2 g (0.1 oz)</t>
        </is>
      </c>
      <c r="M1481" s="4" t="inlineStr">
        <is>
          <t>[{"ingredient_id": "edamame", "name": "Edamame, shelled, cooked", "grams": 400.0, "note": ""}, {"ingredient_id": "lime_juice", "name": "Lime juice", "grams": 15.0, "note": ""}, {"ingredient_id": "salt", "name": "Salt", "grams": 2.0, "note": ""}]</t>
        </is>
      </c>
      <c r="N1481" s="2" t="n">
        <v>122</v>
      </c>
      <c r="O1481" s="5" t="n">
        <v>12</v>
      </c>
      <c r="P1481" s="5" t="n">
        <v>5</v>
      </c>
      <c r="Q1481" s="5" t="n">
        <v>9.300000000000001</v>
      </c>
      <c r="R1481" s="5" t="n">
        <v>5</v>
      </c>
      <c r="S1481" s="5" t="n">
        <v>4.3</v>
      </c>
      <c r="T1481" s="2" t="n">
        <v>18</v>
      </c>
      <c r="U1481" s="2" t="inlineStr">
        <is>
          <t>low</t>
        </is>
      </c>
      <c r="V1481" s="5" t="n">
        <v>0.8</v>
      </c>
      <c r="W1481" s="2" t="inlineStr">
        <is>
          <t>low</t>
        </is>
      </c>
      <c r="X1481" s="3" t="inlineStr">
        <is>
          <t>Negligible carbohydrate (&lt;5 g net/serving): GI has little practical meaning, glycemic load is what matters.</t>
        </is>
      </c>
      <c r="Y1481" s="3" t="inlineStr">
        <is>
          <t>0% of this dish's available carbohydrate comes from ingredients with a published, measured GI; the rest uses conventional placeholders (see Ingredients sheet)</t>
        </is>
      </c>
      <c r="Z1481" s="2" t="n">
        <v>0</v>
      </c>
      <c r="AA1481" s="3" t="inlineStr">
        <is>
          <t>vegan, gluten-free, dairy-free, nut-free, low-carb</t>
        </is>
      </c>
      <c r="AB1481" s="3" t="inlineStr">
        <is>
          <t>1. Boil the edamame 5 minutes.
2. Toss with lime and salt.</t>
        </is>
      </c>
      <c r="AC1481" s="4" t="inlineStr">
        <is>
          <t>["Boil the edamame 5 minutes.", "Toss with lime and salt."]</t>
        </is>
      </c>
    </row>
    <row r="1482" ht="96" customHeight="1">
      <c r="A1482" s="2" t="inlineStr">
        <is>
          <t>DB-1481</t>
        </is>
      </c>
      <c r="B1482" s="3" t="inlineStr">
        <is>
          <t>Roasted Red Pepper Hummus with Crudités</t>
        </is>
      </c>
      <c r="C1482" s="4" t="inlineStr">
        <is>
          <t>Snack &amp; Appetizer</t>
        </is>
      </c>
      <c r="D1482" s="4" t="inlineStr">
        <is>
          <t>Middle Eastern</t>
        </is>
      </c>
      <c r="E1482" s="2" t="n">
        <v>6</v>
      </c>
      <c r="F1482" s="2" t="n">
        <v>10</v>
      </c>
      <c r="G1482" s="2" t="n">
        <v>0</v>
      </c>
      <c r="H1482" s="2" t="n">
        <v>10</v>
      </c>
      <c r="I1482" s="4" t="inlineStr">
        <is>
          <t>roasted-red-pepper-hummus-with-crudit-s.jpg</t>
        </is>
      </c>
      <c r="J1482" s="3" t="inlineStr">
        <is>
          <t>Roasted Red Pepper Hummus with Crudités, healthy food photography, plated, natural light</t>
        </is>
      </c>
      <c r="K1482" s="4" t="inlineStr"/>
      <c r="L1482" s="3" t="inlineStr">
        <is>
          <t>Chickpeas, cooked — 300 g (10.6 oz)
Roasted red peppers, jarred — 100 g (3.5 oz)
Tahini — 40 g (1.4 oz)
Lemon juice — 30 g (1.1 oz)
Garlic — 6 g (0.2 oz)
Extra-virgin olive oil — 20 g (0.7 oz)
Cucumber — 200 g (7.1 oz)
Carrot — 150 g (5.3 oz)
Bell pepper — 150 g (5.3 oz)</t>
        </is>
      </c>
      <c r="M1482" s="4" t="inlineStr">
        <is>
          <t>[{"ingredient_id": "chickpeas", "name": "Chickpeas, cooked", "grams": 300.0, "note": ""}, {"ingredient_id": "roasted_red_pepper", "name": "Roasted red peppers, jarred", "grams": 100.0,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"carrot", "name": "Carrot", "grams": 150.0, "note": ""}, {"ingredient_id": "bell_pepper", "name": "Bell pepper", "grams": 150.0, "note": ""}]</t>
        </is>
      </c>
      <c r="N1482" s="2" t="n">
        <v>182</v>
      </c>
      <c r="O1482" s="5" t="n">
        <v>6.5</v>
      </c>
      <c r="P1482" s="5" t="n">
        <v>8.5</v>
      </c>
      <c r="Q1482" s="5" t="n">
        <v>21.7</v>
      </c>
      <c r="R1482" s="5" t="n">
        <v>6.2</v>
      </c>
      <c r="S1482" s="5" t="n">
        <v>15.5</v>
      </c>
      <c r="T1482" s="2" t="n">
        <v>34</v>
      </c>
      <c r="U1482" s="2" t="inlineStr">
        <is>
          <t>low</t>
        </is>
      </c>
      <c r="V1482" s="5" t="n">
        <v>5.3</v>
      </c>
      <c r="W1482" s="2" t="inlineStr">
        <is>
          <t>low</t>
        </is>
      </c>
      <c r="X1482" s="3" t="inlineStr"/>
      <c r="Y1482" s="3" t="inlineStr">
        <is>
          <t>73% of this dish's available carbohydrate comes from ingredients with a published, measured GI; the rest uses conventional placeholders (see Ingredients sheet)</t>
        </is>
      </c>
      <c r="Z1482" s="2" t="n">
        <v>73</v>
      </c>
      <c r="AA1482" s="3" t="inlineStr">
        <is>
          <t>vegan, gluten-free, dairy-free, nut-free, no-cook</t>
        </is>
      </c>
      <c r="AB1482" s="3" t="inlineStr">
        <is>
          <t>1. Blend the chickpeas, red pepper, tahini, lemon, garlic and oil until smooth.
2. Serve with the vegetables.</t>
        </is>
      </c>
      <c r="AC1482" s="4" t="inlineStr">
        <is>
          <t>["Blend the chickpeas, red pepper, tahini, lemon, garlic and oil until smooth.", "Serve with the vegetables."]</t>
        </is>
      </c>
    </row>
    <row r="1483" ht="96" customHeight="1">
      <c r="A1483" s="2" t="inlineStr">
        <is>
          <t>DB-1482</t>
        </is>
      </c>
      <c r="B1483" s="3" t="inlineStr">
        <is>
          <t>Stuffed Mini Peppers with Cream Cheese and Chives</t>
        </is>
      </c>
      <c r="C1483" s="4" t="inlineStr">
        <is>
          <t>Snack &amp; Appetizer</t>
        </is>
      </c>
      <c r="D1483" s="4" t="inlineStr">
        <is>
          <t>American</t>
        </is>
      </c>
      <c r="E1483" s="2" t="n">
        <v>6</v>
      </c>
      <c r="F1483" s="2" t="n">
        <v>10</v>
      </c>
      <c r="G1483" s="2" t="n">
        <v>0</v>
      </c>
      <c r="H1483" s="2" t="n">
        <v>10</v>
      </c>
      <c r="I1483" s="4" t="inlineStr">
        <is>
          <t>stuffed-mini-peppers-with-cream-cheese-and-chives.jpg</t>
        </is>
      </c>
      <c r="J1483" s="3" t="inlineStr">
        <is>
          <t>Stuffed Mini Peppers with Cream Cheese and Chives, healthy food photography, plated, natural light</t>
        </is>
      </c>
      <c r="K1483" s="4" t="inlineStr"/>
      <c r="L1483" s="3" t="inlineStr">
        <is>
          <t>Bell pepper — 360 g (12.7 oz)
Cream cheese — 120 g (4.2 oz)
Fresh chives — 8 g (0.3 oz)
Garlic powder — 2 g (0.1 oz)
Everything bagel seasoning — 4 g (0.1 oz)</t>
        </is>
      </c>
      <c r="M1483" s="4" t="inlineStr">
        <is>
          <t>[{"ingredient_id": "bell_pepper", "name": "Bell pepper", "grams": 360.0, "note": ""}, {"ingredient_id": "cream_cheese", "name": "Cream cheese", "grams": 120.0, "note": ""}, {"ingredient_id": "chives", "name": "Fresh chives", "grams": 8.0, "note": ""}, {"ingredient_id": "garlic_powder", "name": "Garlic powder", "grams": 2.0, "note": ""}, {"ingredient_id": "everything_seasoning", "name": "Everything bagel seasoning", "grams": 4.0, "note": ""}]</t>
        </is>
      </c>
      <c r="N1483" s="2" t="n">
        <v>91</v>
      </c>
      <c r="O1483" s="5" t="n">
        <v>2</v>
      </c>
      <c r="P1483" s="5" t="n">
        <v>7.1</v>
      </c>
      <c r="Q1483" s="5" t="n">
        <v>4.9</v>
      </c>
      <c r="R1483" s="5" t="n">
        <v>1.4</v>
      </c>
      <c r="S1483" s="5" t="n">
        <v>3.5</v>
      </c>
      <c r="T1483" s="2" t="n">
        <v>12</v>
      </c>
      <c r="U1483" s="2" t="inlineStr">
        <is>
          <t>low</t>
        </is>
      </c>
      <c r="V1483" s="5" t="n">
        <v>0.4</v>
      </c>
      <c r="W1483" s="2" t="inlineStr">
        <is>
          <t>low</t>
        </is>
      </c>
      <c r="X1483" s="3" t="inlineStr">
        <is>
          <t>Negligible carbohydrate (&lt;5 g net/serving): GI has little practical meaning, glycemic load is what matters.</t>
        </is>
      </c>
      <c r="Y1483" s="3" t="inlineStr">
        <is>
          <t>0% of this dish's available carbohydrate comes from ingredients with a published, measured GI; the rest uses conventional placeholders (see Ingredients sheet)</t>
        </is>
      </c>
      <c r="Z1483" s="2" t="n">
        <v>0</v>
      </c>
      <c r="AA1483" s="3" t="inlineStr">
        <is>
          <t>vegetarian, gluten-free, nut-free, low-carb, no-cook</t>
        </is>
      </c>
      <c r="AB1483" s="3" t="inlineStr">
        <is>
          <t>1. Halve and seed the mini peppers.
2. Mix the cream cheese with chives and garlic powder.
3. Fill and dust with everything seasoning.</t>
        </is>
      </c>
      <c r="AC1483" s="4" t="inlineStr">
        <is>
          <t>["Halve and seed the mini peppers.", "Mix the cream cheese with chives and garlic powder.", "Fill and dust with everything seasoning."]</t>
        </is>
      </c>
    </row>
    <row r="1484" ht="96" customHeight="1">
      <c r="A1484" s="2" t="inlineStr">
        <is>
          <t>DB-1483</t>
        </is>
      </c>
      <c r="B1484" s="3" t="inlineStr">
        <is>
          <t>Spicy Roasted Chickpea Crunch</t>
        </is>
      </c>
      <c r="C1484" s="4" t="inlineStr">
        <is>
          <t>Snack &amp; Appetizer</t>
        </is>
      </c>
      <c r="D1484" s="4" t="inlineStr">
        <is>
          <t>American</t>
        </is>
      </c>
      <c r="E1484" s="2" t="n">
        <v>5</v>
      </c>
      <c r="F1484" s="2" t="n">
        <v>5</v>
      </c>
      <c r="G1484" s="2" t="n">
        <v>30</v>
      </c>
      <c r="H1484" s="2" t="n">
        <v>35</v>
      </c>
      <c r="I1484" s="4" t="inlineStr">
        <is>
          <t>spicy-roasted-chickpea-crunch.jpg</t>
        </is>
      </c>
      <c r="J1484" s="3" t="inlineStr">
        <is>
          <t>Spicy Roasted Chickpea Crunch, healthy food photography, plated, natural light</t>
        </is>
      </c>
      <c r="K1484" s="4" t="inlineStr"/>
      <c r="L1484" s="3" t="inlineStr">
        <is>
          <t>Chickpeas, cooked — 400 g (14.1 oz)
Extra-virgin olive oil — 15 g (0.5 oz)
Chili powder — 3 g (0.1 oz)
Smoked paprika — 2 g (0.1 oz)
Garlic powder — 2 g (0.1 oz)
Salt — 2 g (0.1 oz)</t>
        </is>
      </c>
      <c r="M1484" s="4" t="inlineStr">
        <is>
          <t>[{"ingredient_id": "chickpeas", "name": "Chickpeas, cooked", "grams": 400.0, "note": ""}, {"ingredient_id": "olive_oil", "name": "Extra-virgin olive oil", "grams": 15.0, "note": ""}, {"ingredient_id": "chili_powder", "name": "Chili powder", "grams": 3.0, "note": ""}, {"ingredient_id": "smoked_paprika", "name": "Smoked paprika", "grams": 2.0, "note": ""}, {"ingredient_id": "garlic_powder", "name": "Garlic powder", "grams": 2.0, "note": ""}, {"ingredient_id": "salt", "name": "Salt", "grams": 2.0, "note": ""}]</t>
        </is>
      </c>
      <c r="N1484" s="2" t="n">
        <v>162</v>
      </c>
      <c r="O1484" s="5" t="n">
        <v>7.3</v>
      </c>
      <c r="P1484" s="5" t="n">
        <v>5.2</v>
      </c>
      <c r="Q1484" s="5" t="n">
        <v>22.4</v>
      </c>
      <c r="R1484" s="5" t="n">
        <v>6.5</v>
      </c>
      <c r="S1484" s="5" t="n">
        <v>15.9</v>
      </c>
      <c r="T1484" s="2" t="n">
        <v>37</v>
      </c>
      <c r="U1484" s="2" t="inlineStr">
        <is>
          <t>low</t>
        </is>
      </c>
      <c r="V1484" s="5" t="n">
        <v>5.9</v>
      </c>
      <c r="W1484" s="2" t="inlineStr">
        <is>
          <t>low</t>
        </is>
      </c>
      <c r="X1484" s="3" t="inlineStr"/>
      <c r="Y1484" s="3" t="inlineStr">
        <is>
          <t>97% of this dish's available carbohydrate comes from ingredients with a published, measured GI; the rest uses conventional placeholders (see Ingredients sheet)</t>
        </is>
      </c>
      <c r="Z1484" s="2" t="n">
        <v>97</v>
      </c>
      <c r="AA1484" s="3" t="inlineStr">
        <is>
          <t>vegan, gluten-free, dairy-free, nut-free</t>
        </is>
      </c>
      <c r="AB1484" s="3" t="inlineStr">
        <is>
          <t>1. Dry the chickpeas well and toss with oil and spices.
2. Roast at 400°F for 25 to 30 minutes until crisp.</t>
        </is>
      </c>
      <c r="AC1484" s="4" t="inlineStr">
        <is>
          <t>["Dry the chickpeas well and toss with oil and spices.", "Roast at 400°F for 25 to 30 minutes until crisp."]</t>
        </is>
      </c>
    </row>
    <row r="1485" ht="96" customHeight="1">
      <c r="A1485" s="2" t="inlineStr">
        <is>
          <t>DB-1484</t>
        </is>
      </c>
      <c r="B1485" s="3" t="inlineStr">
        <is>
          <t>Cheddar and Apple Slices with Walnuts</t>
        </is>
      </c>
      <c r="C1485" s="4" t="inlineStr">
        <is>
          <t>Snack &amp; Appetizer</t>
        </is>
      </c>
      <c r="D1485" s="4" t="inlineStr">
        <is>
          <t>American</t>
        </is>
      </c>
      <c r="E1485" s="2" t="n">
        <v>2</v>
      </c>
      <c r="F1485" s="2" t="n">
        <v>5</v>
      </c>
      <c r="G1485" s="2" t="n">
        <v>0</v>
      </c>
      <c r="H1485" s="2" t="n">
        <v>5</v>
      </c>
      <c r="I1485" s="4" t="inlineStr">
        <is>
          <t>cheddar-and-apple-slices-with-walnuts.jpg</t>
        </is>
      </c>
      <c r="J1485" s="3" t="inlineStr">
        <is>
          <t>Cheddar and Apple Slices with Walnuts, healthy food photography, plated, natural light</t>
        </is>
      </c>
      <c r="K1485" s="4" t="inlineStr"/>
      <c r="L1485" s="3" t="inlineStr">
        <is>
          <t>Apple — 200 g (7.1 oz)
Cheddar cheese — 50 g (1.8 oz)
Walnuts — 20 g (0.7 oz)</t>
        </is>
      </c>
      <c r="M1485" s="4" t="inlineStr">
        <is>
          <t>[{"ingredient_id": "apple", "name": "Apple", "grams": 200.0, "note": ""}, {"ingredient_id": "cheddar", "name": "Cheddar cheese", "grams": 50.0, "note": ""}, {"ingredient_id": "walnuts", "name": "Walnuts", "grams": 20.0, "note": ""}]</t>
        </is>
      </c>
      <c r="N1485" s="2" t="n">
        <v>218</v>
      </c>
      <c r="O1485" s="5" t="n">
        <v>7.5</v>
      </c>
      <c r="P1485" s="5" t="n">
        <v>14.9</v>
      </c>
      <c r="Q1485" s="5" t="n">
        <v>15.7</v>
      </c>
      <c r="R1485" s="5" t="n">
        <v>3.1</v>
      </c>
      <c r="S1485" s="5" t="n">
        <v>12.7</v>
      </c>
      <c r="T1485" s="2" t="n">
        <v>34</v>
      </c>
      <c r="U1485" s="2" t="inlineStr">
        <is>
          <t>low</t>
        </is>
      </c>
      <c r="V1485" s="5" t="n">
        <v>4.3</v>
      </c>
      <c r="W1485" s="2" t="inlineStr">
        <is>
          <t>low</t>
        </is>
      </c>
      <c r="X1485" s="3" t="inlineStr"/>
      <c r="Y1485" s="3" t="inlineStr">
        <is>
          <t>92% of this dish's available carbohydrate comes from ingredients with a published, measured GI; the rest uses conventional placeholders (see Ingredients sheet)</t>
        </is>
      </c>
      <c r="Z1485" s="2" t="n">
        <v>92</v>
      </c>
      <c r="AA1485" s="3" t="inlineStr">
        <is>
          <t>vegetarian, gluten-free, low-carb, no-cook</t>
        </is>
      </c>
      <c r="AB1485" s="3" t="inlineStr">
        <is>
          <t>1. Slice the apple and cheddar.
2. Serve with the walnuts.</t>
        </is>
      </c>
      <c r="AC1485" s="4" t="inlineStr">
        <is>
          <t>["Slice the apple and cheddar.", "Serve with the walnuts."]</t>
        </is>
      </c>
    </row>
    <row r="1486" ht="96" customHeight="1">
      <c r="A1486" s="2" t="inlineStr">
        <is>
          <t>DB-1485</t>
        </is>
      </c>
      <c r="B1486" s="3" t="inlineStr">
        <is>
          <t>Cottage Cheese with Cherry Tomatoes and Everything Seasoning</t>
        </is>
      </c>
      <c r="C1486" s="4" t="inlineStr">
        <is>
          <t>Snack &amp; Appetizer</t>
        </is>
      </c>
      <c r="D1486" s="4" t="inlineStr">
        <is>
          <t>American</t>
        </is>
      </c>
      <c r="E1486" s="2" t="n">
        <v>2</v>
      </c>
      <c r="F1486" s="2" t="n">
        <v>3</v>
      </c>
      <c r="G1486" s="2" t="n">
        <v>0</v>
      </c>
      <c r="H1486" s="2" t="n">
        <v>3</v>
      </c>
      <c r="I1486" s="4" t="inlineStr">
        <is>
          <t>cottage-cheese-with-cherry-tomatoes-and-everything-seasoning.jpg</t>
        </is>
      </c>
      <c r="J1486" s="3" t="inlineStr">
        <is>
          <t>Cottage Cheese with Cherry Tomatoes and Everything Seasoning, healthy food photography, plated, natural light</t>
        </is>
      </c>
      <c r="K1486" s="4" t="inlineStr"/>
      <c r="L1486" s="3" t="inlineStr">
        <is>
          <t>Cottage cheese, low-fat — 300 g (10.6 oz)
Cherry tomatoes — 120 g (4.2 oz)
Everything bagel seasoning — 4 g (0.1 oz)
Extra-virgin olive oil — 5 g (0.2 oz)</t>
        </is>
      </c>
      <c r="M1486" s="4" t="inlineStr">
        <is>
          <t>[{"ingredient_id": "cottage_cheese", "name": "Cottage cheese, low-fat", "grams": 300.0, "note": ""}, {"ingredient_id": "cherry_tomato", "name": "Cherry tomatoes", "grams": 120.0, "note": ""}, {"ingredient_id": "everything_seasoning", "name": "Everything bagel seasoning", "grams": 4.0, "note": ""}, {"ingredient_id": "olive_oil", "name": "Extra-virgin olive oil", "grams": 5.0, "note": ""}]</t>
        </is>
      </c>
      <c r="N1486" s="2" t="n">
        <v>166</v>
      </c>
      <c r="O1486" s="5" t="n">
        <v>17.3</v>
      </c>
      <c r="P1486" s="5" t="n">
        <v>6.5</v>
      </c>
      <c r="Q1486" s="5" t="n">
        <v>9.4</v>
      </c>
      <c r="R1486" s="5" t="n">
        <v>0.9</v>
      </c>
      <c r="S1486" s="5" t="n">
        <v>8.5</v>
      </c>
      <c r="T1486" s="2" t="n">
        <v>11</v>
      </c>
      <c r="U1486" s="2" t="inlineStr">
        <is>
          <t>low</t>
        </is>
      </c>
      <c r="V1486" s="5" t="n">
        <v>0.9</v>
      </c>
      <c r="W1486" s="2" t="inlineStr">
        <is>
          <t>low</t>
        </is>
      </c>
      <c r="X1486" s="3" t="inlineStr"/>
      <c r="Y1486" s="3" t="inlineStr">
        <is>
          <t>0% of this dish's available carbohydrate comes from ingredients with a published, measured GI; the rest uses conventional placeholders (see Ingredients sheet)</t>
        </is>
      </c>
      <c r="Z1486" s="2" t="n">
        <v>0</v>
      </c>
      <c r="AA1486" s="3" t="inlineStr">
        <is>
          <t>vegetarian, gluten-free, nut-free, low-carb, no-cook</t>
        </is>
      </c>
      <c r="AB1486" s="3" t="inlineStr">
        <is>
          <t>1. Top the cottage cheese with halved tomatoes.
2. Finish with oil and everything seasoning.</t>
        </is>
      </c>
      <c r="AC1486" s="4" t="inlineStr">
        <is>
          <t>["Top the cottage cheese with halved tomatoes.", "Finish with oil and everything seasoning."]</t>
        </is>
      </c>
    </row>
    <row r="1487" ht="96" customHeight="1">
      <c r="A1487" s="2" t="inlineStr">
        <is>
          <t>DB-1486</t>
        </is>
      </c>
      <c r="B1487" s="3" t="inlineStr">
        <is>
          <t>Creamy Cauliflower and Leek Soup</t>
        </is>
      </c>
      <c r="C1487" s="4" t="inlineStr">
        <is>
          <t>Soup &amp; Stew</t>
        </is>
      </c>
      <c r="D1487" s="4" t="inlineStr">
        <is>
          <t>American</t>
        </is>
      </c>
      <c r="E1487" s="2" t="n">
        <v>5</v>
      </c>
      <c r="F1487" s="2" t="n">
        <v>10</v>
      </c>
      <c r="G1487" s="2" t="n">
        <v>25</v>
      </c>
      <c r="H1487" s="2" t="n">
        <v>35</v>
      </c>
      <c r="I1487" s="4" t="inlineStr">
        <is>
          <t>creamy-cauliflower-and-leek-soup.jpg</t>
        </is>
      </c>
      <c r="J1487" s="3" t="inlineStr">
        <is>
          <t>Creamy Cauliflower and Leek Soup, healthy food photography, plated, natural light</t>
        </is>
      </c>
      <c r="K1487" s="4" t="inlineStr"/>
      <c r="L1487" s="3" t="inlineStr">
        <is>
          <t>Cauliflower — 600 g (21.2 oz)
Leek — 150 g (5.3 oz)
Vegetable broth, low sodium — 600 g (21.2 oz)
Milk, 2% — 150 g (5.3 oz)
Garlic — 4 g (0.1 oz)
Extra-virgin olive oil — 15 g (0.5 oz)
Ground nutmeg — 1 g (0.0 oz)</t>
        </is>
      </c>
      <c r="M1487" s="4" t="inlineStr">
        <is>
          <t>[{"ingredient_id": "cauliflower", "name": "Cauliflower", "grams": 600.0, "note": ""}, {"ingredient_id": "leek", "name": "Leek", "grams": 150.0, "note": ""}, {"ingredient_id": "vegetable_broth", "name": "Vegetable broth, low sodium", "grams": 600.0, "note": ""}, {"ingredient_id": "milk", "name": "Milk, 2%", "grams": 150.0, "note": ""}, {"ingredient_id": "garlic", "name": "Garlic", "grams": 4.0, "note": ""}, {"ingredient_id": "olive_oil", "name": "Extra-virgin olive oil", "grams": 15.0, "note": ""}, {"ingredient_id": "nutmeg", "name": "Ground nutmeg", "grams": 1.0, "note": ""}]</t>
        </is>
      </c>
      <c r="N1487" s="2" t="n">
        <v>102</v>
      </c>
      <c r="O1487" s="5" t="n">
        <v>4.4</v>
      </c>
      <c r="P1487" s="5" t="n">
        <v>4.4</v>
      </c>
      <c r="Q1487" s="5" t="n">
        <v>13.8</v>
      </c>
      <c r="R1487" s="5" t="n">
        <v>3</v>
      </c>
      <c r="S1487" s="5" t="n">
        <v>10.8</v>
      </c>
      <c r="T1487" s="2" t="n">
        <v>14</v>
      </c>
      <c r="U1487" s="2" t="inlineStr">
        <is>
          <t>low</t>
        </is>
      </c>
      <c r="V1487" s="5" t="n">
        <v>1.5</v>
      </c>
      <c r="W1487" s="2" t="inlineStr">
        <is>
          <t>low</t>
        </is>
      </c>
      <c r="X1487" s="3" t="inlineStr"/>
      <c r="Y1487" s="3" t="inlineStr">
        <is>
          <t>13% of this dish's available carbohydrate comes from ingredients with a published, measured GI; the rest uses conventional placeholders (see Ingredients sheet)</t>
        </is>
      </c>
      <c r="Z1487" s="2" t="n">
        <v>13</v>
      </c>
      <c r="AA1487" s="3" t="inlineStr">
        <is>
          <t>vegetarian, gluten-free, nut-free, low-carb</t>
        </is>
      </c>
      <c r="AB1487" s="3" t="inlineStr">
        <is>
          <t>1. Soften the leek and garlic in oil.
2. Add the cauliflower and broth and simmer 15 minutes.
3. Blend with the milk and nutmeg.</t>
        </is>
      </c>
      <c r="AC1487" s="4" t="inlineStr">
        <is>
          <t>["Soften the leek and garlic in oil.", "Add the cauliflower and broth and simmer 15 minutes.", "Blend with the milk and nutmeg."]</t>
        </is>
      </c>
    </row>
    <row r="1488" ht="96" customHeight="1">
      <c r="A1488" s="2" t="inlineStr">
        <is>
          <t>DB-1487</t>
        </is>
      </c>
      <c r="B1488" s="3" t="inlineStr">
        <is>
          <t>Lentil and Spinach Soup</t>
        </is>
      </c>
      <c r="C1488" s="4" t="inlineStr">
        <is>
          <t>Soup &amp; Stew</t>
        </is>
      </c>
      <c r="D1488" s="4" t="inlineStr">
        <is>
          <t>Mediterranean</t>
        </is>
      </c>
      <c r="E1488" s="2" t="n">
        <v>6</v>
      </c>
      <c r="F1488" s="2" t="n">
        <v>10</v>
      </c>
      <c r="G1488" s="2" t="n">
        <v>35</v>
      </c>
      <c r="H1488" s="2" t="n">
        <v>45</v>
      </c>
      <c r="I1488" s="4" t="inlineStr">
        <is>
          <t>lentil-and-spinach-soup.jpg</t>
        </is>
      </c>
      <c r="J1488" s="3" t="inlineStr">
        <is>
          <t>Lentil and Spinach Soup, healthy food photography, plated, natural light</t>
        </is>
      </c>
      <c r="K1488" s="4" t="inlineStr"/>
      <c r="L1488" s="3" t="inlineStr">
        <is>
          <t>Lentils, cooked — 300 g (10.6 oz)
Spinach — 150 g (5.3 oz)
Diced tomatoes, canned — 300 g (10.6 oz)
Carrot — 100 g (3.5 oz)
Celery — 80 g (2.8 oz)
Yellow onion — 100 g (3.5 oz)
Vegetable broth, low sodium — 900 g (31.7 oz)
Ground cumin — 3 g (0.1 oz)
Lemon juice — 20 g (0.7 oz)
Garlic — 6 g (0.2 oz)</t>
        </is>
      </c>
      <c r="M1488" s="4" t="inlineStr">
        <is>
          <t>[{"ingredient_id": "lentils", "name": "Lentils, cooked", "grams": 300.0, "note": ""}, {"ingredient_id": "spinach", "name": "Spinach", "grams": 150.0, "note": ""}, {"ingredient_id": "diced_tomatoes", "name": "Diced tomatoes, canned", "grams": 300.0, "note": ""}, {"ingredient_id": "carrot", "name": "Carrot", "grams": 100.0, "note": ""}, {"ingredient_id": "celery", "name": "Celery", "grams": 80.0, "note": ""}, {"ingredient_id": "onion", "name": "Yellow onion", "grams": 100.0, "note": ""}, {"ingredient_id": "vegetable_broth", "name": "Vegetable broth, low sodium", "grams": 900.0, "note": ""}, {"ingredient_id": "cumin", "name": "Ground cumin", "grams": 3.0, "note": ""}, {"ingredient_id": "lemon_juice", "name": "Lemon juice", "grams": 20.0, "note": ""}, {"ingredient_id": "garlic", "name": "Garlic", "grams": 6.0, "note": ""}]</t>
        </is>
      </c>
      <c r="N1488" s="2" t="n">
        <v>107</v>
      </c>
      <c r="O1488" s="5" t="n">
        <v>7.2</v>
      </c>
      <c r="P1488" s="5" t="n">
        <v>0.9</v>
      </c>
      <c r="Q1488" s="5" t="n">
        <v>20</v>
      </c>
      <c r="R1488" s="5" t="n">
        <v>6.3</v>
      </c>
      <c r="S1488" s="5" t="n">
        <v>13.7</v>
      </c>
      <c r="T1488" s="2" t="n">
        <v>27</v>
      </c>
      <c r="U1488" s="2" t="inlineStr">
        <is>
          <t>low</t>
        </is>
      </c>
      <c r="V1488" s="5" t="n">
        <v>3.7</v>
      </c>
      <c r="W1488" s="2" t="inlineStr">
        <is>
          <t>low</t>
        </is>
      </c>
      <c r="X1488" s="3" t="inlineStr"/>
      <c r="Y1488" s="3" t="inlineStr">
        <is>
          <t>52% of this dish's available carbohydrate comes from ingredients with a published, measured GI; the rest uses conventional placeholders (see Ingredients sheet)</t>
        </is>
      </c>
      <c r="Z1488" s="2" t="n">
        <v>52</v>
      </c>
      <c r="AA1488" s="3" t="inlineStr">
        <is>
          <t>vegan, gluten-free, dairy-free, nut-free, low-carb</t>
        </is>
      </c>
      <c r="AB1488" s="3" t="inlineStr">
        <is>
          <t>1. Soften the onion, carrot, celery and garlic.
2. Add the lentils, tomatoes, broth and cumin and simmer 25 minutes.
3. Stir in the spinach and lemon.</t>
        </is>
      </c>
      <c r="AC1488" s="4" t="inlineStr">
        <is>
          <t>["Soften the onion, carrot, celery and garlic.", "Add the lentils, tomatoes, broth and cumin and simmer 25 minutes.", "Stir in the spinach and lemon."]</t>
        </is>
      </c>
    </row>
    <row r="1489" ht="96" customHeight="1">
      <c r="A1489" s="2" t="inlineStr">
        <is>
          <t>DB-1488</t>
        </is>
      </c>
      <c r="B1489" s="3" t="inlineStr">
        <is>
          <t>Butternut Squash Soup with Sage</t>
        </is>
      </c>
      <c r="C1489" s="4" t="inlineStr">
        <is>
          <t>Soup &amp; Stew</t>
        </is>
      </c>
      <c r="D1489" s="4" t="inlineStr">
        <is>
          <t>American</t>
        </is>
      </c>
      <c r="E1489" s="2" t="n">
        <v>5</v>
      </c>
      <c r="F1489" s="2" t="n">
        <v>10</v>
      </c>
      <c r="G1489" s="2" t="n">
        <v>30</v>
      </c>
      <c r="H1489" s="2" t="n">
        <v>40</v>
      </c>
      <c r="I1489" s="4" t="inlineStr">
        <is>
          <t>butternut-squash-soup-with-sage.jpg</t>
        </is>
      </c>
      <c r="J1489" s="3" t="inlineStr">
        <is>
          <t>Butternut Squash Soup with Sage, healthy food photography, plated, natural light</t>
        </is>
      </c>
      <c r="K1489" s="4" t="inlineStr"/>
      <c r="L1489" s="3" t="inlineStr">
        <is>
          <t>Butternut squash — 700 g (24.7 oz)
Yellow onion — 100 g (3.5 oz)
Vegetable broth, low sodium — 600 g (21.2 oz)
Fresh sage — 3 g (0.1 oz)
Heavy cream — 50 g (1.8 oz)
Extra-virgin olive oil — 15 g (0.5 oz)</t>
        </is>
      </c>
      <c r="M1489" s="4" t="inlineStr">
        <is>
          <t>[{"ingredient_id": "butternut_squash", "name": "Butternut squash", "grams": 700.0, "note": ""}, {"ingredient_id": "onion", "name": "Yellow onion", "grams": 100.0, "note": ""}, {"ingredient_id": "vegetable_broth", "name": "Vegetable broth, low sodium", "grams": 600.0, "note": ""}, {"ingredient_id": "sage", "name": "Fresh sage", "grams": 3.0, "note": ""}, {"ingredient_id": "heavy_cream", "name": "Heavy cream", "grams": 50.0, "note": ""}, {"ingredient_id": "olive_oil", "name": "Extra-virgin olive oil", "grams": 15.0, "note": ""}]</t>
        </is>
      </c>
      <c r="N1489" s="2" t="n">
        <v>143</v>
      </c>
      <c r="O1489" s="5" t="n">
        <v>2.5</v>
      </c>
      <c r="P1489" s="5" t="n">
        <v>7.1</v>
      </c>
      <c r="Q1489" s="5" t="n">
        <v>21.1</v>
      </c>
      <c r="R1489" s="5" t="n">
        <v>3.4</v>
      </c>
      <c r="S1489" s="5" t="n">
        <v>17.7</v>
      </c>
      <c r="T1489" s="2" t="n">
        <v>42</v>
      </c>
      <c r="U1489" s="2" t="inlineStr">
        <is>
          <t>low</t>
        </is>
      </c>
      <c r="V1489" s="5" t="n">
        <v>7.5</v>
      </c>
      <c r="W1489" s="2" t="inlineStr">
        <is>
          <t>low</t>
        </is>
      </c>
      <c r="X1489" s="3" t="inlineStr"/>
      <c r="Y1489" s="3" t="inlineStr">
        <is>
          <t>79% of this dish's available carbohydrate comes from ingredients with a published, measured GI; the rest uses conventional placeholders (see Ingredients sheet)</t>
        </is>
      </c>
      <c r="Z1489" s="2" t="n">
        <v>79</v>
      </c>
      <c r="AA1489" s="3" t="inlineStr">
        <is>
          <t>vegetarian, gluten-free, nut-free</t>
        </is>
      </c>
      <c r="AB1489" s="3" t="inlineStr">
        <is>
          <t>1. Roast the squash at 425°F for 25 minutes.
2. Soften the onion in oil, add the squash, broth and sage and simmer 10 minutes.
3. Blend with the cream.</t>
        </is>
      </c>
      <c r="AC1489" s="4" t="inlineStr">
        <is>
          <t>["Roast the squash at 425°F for 25 minutes.", "Soften the onion in oil, add the squash, broth and sage and simmer 10 minutes.", "Blend with the cream."]</t>
        </is>
      </c>
    </row>
    <row r="1490" ht="96" customHeight="1">
      <c r="A1490" s="2" t="inlineStr">
        <is>
          <t>DB-1489</t>
        </is>
      </c>
      <c r="B1490" s="3" t="inlineStr">
        <is>
          <t>Chicken Zucchini Noodle Soup</t>
        </is>
      </c>
      <c r="C1490" s="4" t="inlineStr">
        <is>
          <t>Soup &amp; Stew</t>
        </is>
      </c>
      <c r="D1490" s="4" t="inlineStr">
        <is>
          <t>American</t>
        </is>
      </c>
      <c r="E1490" s="2" t="n">
        <v>5</v>
      </c>
      <c r="F1490" s="2" t="n">
        <v>10</v>
      </c>
      <c r="G1490" s="2" t="n">
        <v>25</v>
      </c>
      <c r="H1490" s="2" t="n">
        <v>35</v>
      </c>
      <c r="I1490" s="4" t="inlineStr">
        <is>
          <t>chicken-zucchini-noodle-soup.jpg</t>
        </is>
      </c>
      <c r="J1490" s="3" t="inlineStr">
        <is>
          <t>Chicken Zucchini Noodle Soup, healthy food photography, plated, natural light</t>
        </is>
      </c>
      <c r="K1490" s="4" t="inlineStr"/>
      <c r="L1490" s="3" t="inlineStr">
        <is>
          <t>Chicken breast, skinless — 400 g (14.1 oz)
Zucchini noodles (zoodles) — 350 g (12.3 oz)
Chicken broth, low sodium — 1000 g (35.3 oz)
Carrot — 100 g (3.5 oz)
Celery — 80 g (2.8 oz)
Yellow onion — 80 g (2.8 oz)
Fresh parsley — 5 g (0.2 oz)</t>
        </is>
      </c>
      <c r="M1490" s="4" t="inlineStr">
        <is>
          <t>[{"ingredient_id": "chicken_breast", "name": "Chicken breast, skinless", "grams": 400.0, "note": ""}, {"ingredient_id": "zucchini_noodles", "name": "Zucchini noodles (zoodles)", "grams": 350.0, "note": ""}, {"ingredient_id": "chicken_broth", "name": "Chicken broth, low sodium", "grams": 1000.0, "note": ""}, {"ingredient_id": "carrot", "name": "Carrot", "grams": 100.0, "note": ""}, {"ingredient_id": "celery", "name": "Celery", "grams": 80.0, "note": ""}, {"ingredient_id": "onion", "name": "Yellow onion", "grams": 80.0, "note": ""}, {"ingredient_id": "parsley", "name": "Fresh parsley", "grams": 5.0, "note": ""}]</t>
        </is>
      </c>
      <c r="N1490" s="2" t="n">
        <v>139</v>
      </c>
      <c r="O1490" s="5" t="n">
        <v>21.3</v>
      </c>
      <c r="P1490" s="5" t="n">
        <v>2.8</v>
      </c>
      <c r="Q1490" s="5" t="n">
        <v>7.1</v>
      </c>
      <c r="R1490" s="5" t="n">
        <v>1.8</v>
      </c>
      <c r="S1490" s="5" t="n">
        <v>5.3</v>
      </c>
      <c r="T1490" s="2" t="n">
        <v>18</v>
      </c>
      <c r="U1490" s="2" t="inlineStr">
        <is>
          <t>low</t>
        </is>
      </c>
      <c r="V1490" s="5" t="n">
        <v>1</v>
      </c>
      <c r="W1490" s="2" t="inlineStr">
        <is>
          <t>low</t>
        </is>
      </c>
      <c r="X1490" s="3" t="inlineStr"/>
      <c r="Y1490" s="3" t="inlineStr">
        <is>
          <t>26% of this dish's available carbohydrate comes from ingredients with a published, measured GI; the rest uses conventional placeholders (see Ingredients sheet)</t>
        </is>
      </c>
      <c r="Z1490" s="2" t="n">
        <v>26</v>
      </c>
      <c r="AA1490" s="3" t="inlineStr">
        <is>
          <t>gluten-free, dairy-free, nut-free, low-carb</t>
        </is>
      </c>
      <c r="AB1490" s="3" t="inlineStr">
        <is>
          <t>1. Simmer the chicken and vegetables in the broth 20 minutes.
2. Shred the chicken, add the zucchini noodles and heat 2 minutes.</t>
        </is>
      </c>
      <c r="AC1490" s="4" t="inlineStr">
        <is>
          <t>["Simmer the chicken and vegetables in the broth 20 minutes.", "Shred the chicken, add the zucchini noodles and heat 2 minutes."]</t>
        </is>
      </c>
    </row>
    <row r="1491" ht="96" customHeight="1">
      <c r="A1491" s="2" t="inlineStr">
        <is>
          <t>DB-1490</t>
        </is>
      </c>
      <c r="B1491" s="3" t="inlineStr">
        <is>
          <t>Miso Mushroom Soup with Tofu</t>
        </is>
      </c>
      <c r="C1491" s="4" t="inlineStr">
        <is>
          <t>Soup &amp; Stew</t>
        </is>
      </c>
      <c r="D1491" s="4" t="inlineStr">
        <is>
          <t>Japanese</t>
        </is>
      </c>
      <c r="E1491" s="2" t="n">
        <v>4</v>
      </c>
      <c r="F1491" s="2" t="n">
        <v>10</v>
      </c>
      <c r="G1491" s="2" t="n">
        <v>15</v>
      </c>
      <c r="H1491" s="2" t="n">
        <v>25</v>
      </c>
      <c r="I1491" s="4" t="inlineStr">
        <is>
          <t>miso-mushroom-soup-with-tofu.jpg</t>
        </is>
      </c>
      <c r="J1491" s="3" t="inlineStr">
        <is>
          <t>Miso Mushroom Soup with Tofu, healthy food photography, plated, natural light</t>
        </is>
      </c>
      <c r="K1491" s="4" t="inlineStr"/>
      <c r="L1491" s="3" t="inlineStr">
        <is>
          <t>Shiitake mushrooms — 150 g (5.3 oz)
Tofu, extra-firm — 200 g (7.1 oz)
White miso paste — 40 g (1.4 oz)
Vegetable broth, low sodium — 800 g (28.2 oz)
Green onions (scallions) — 30 g (1.1 oz)
Fresh ginger — 6 g (0.2 oz)
Spinach — 80 g (2.8 oz)</t>
        </is>
      </c>
      <c r="M1491" s="4" t="inlineStr">
        <is>
          <t>[{"ingredient_id": "shiitake", "name": "Shiitake mushrooms", "grams": 150.0, "note": ""}, {"ingredient_id": "tofu", "name": "Tofu, extra-firm", "grams": 200.0, "note": ""}, {"ingredient_id": "miso", "name": "White miso paste", "grams": 40.0, "note": ""}, {"ingredient_id": "vegetable_broth", "name": "Vegetable broth, low sodium", "grams": 800.0, "note": ""}, {"ingredient_id": "green_onion", "name": "Green onions (scallions)", "grams": 30.0, "note": ""}, {"ingredient_id": "ginger", "name": "Fresh ginger", "grams": 6.0, "note": ""}, {"ingredient_id": "spinach", "name": "Spinach", "grams": 80.0, "note": ""}]</t>
        </is>
      </c>
      <c r="N1491" s="2" t="n">
        <v>129</v>
      </c>
      <c r="O1491" s="5" t="n">
        <v>12.3</v>
      </c>
      <c r="P1491" s="5" t="n">
        <v>5.8</v>
      </c>
      <c r="Q1491" s="5" t="n">
        <v>11.2</v>
      </c>
      <c r="R1491" s="5" t="n">
        <v>3.1</v>
      </c>
      <c r="S1491" s="5" t="n">
        <v>8.1</v>
      </c>
      <c r="T1491" s="2" t="n">
        <v>13</v>
      </c>
      <c r="U1491" s="2" t="inlineStr">
        <is>
          <t>low</t>
        </is>
      </c>
      <c r="V1491" s="5" t="n">
        <v>1.1</v>
      </c>
      <c r="W1491" s="2" t="inlineStr">
        <is>
          <t>low</t>
        </is>
      </c>
      <c r="X1491" s="3" t="inlineStr"/>
      <c r="Y1491" s="3" t="inlineStr">
        <is>
          <t>0% of this dish's available carbohydrate comes from ingredients with a published, measured GI; the rest uses conventional placeholders (see Ingredients sheet)</t>
        </is>
      </c>
      <c r="Z1491" s="2" t="n">
        <v>0</v>
      </c>
      <c r="AA1491" s="3" t="inlineStr">
        <is>
          <t>vegan, dairy-free, nut-free, low-carb</t>
        </is>
      </c>
      <c r="AB1491" s="3" t="inlineStr">
        <is>
          <t>1. Simmer the mushrooms and ginger in the broth 8 minutes.
2. Add the tofu and spinach.
3. Whisk in the miso off the heat and finish with green onion.</t>
        </is>
      </c>
      <c r="AC1491" s="4" t="inlineStr">
        <is>
          <t>["Simmer the mushrooms and ginger in the broth 8 minutes.", "Add the tofu and spinach.", "Whisk in the miso off the heat and finish with green onion."]</t>
        </is>
      </c>
    </row>
    <row r="1492" ht="96" customHeight="1">
      <c r="A1492" s="2" t="inlineStr">
        <is>
          <t>DB-1491</t>
        </is>
      </c>
      <c r="B1492" s="3" t="inlineStr">
        <is>
          <t>Tomato Basil Soup with White Beans</t>
        </is>
      </c>
      <c r="C1492" s="4" t="inlineStr">
        <is>
          <t>Soup &amp; Stew</t>
        </is>
      </c>
      <c r="D1492" s="4" t="inlineStr">
        <is>
          <t>Italian</t>
        </is>
      </c>
      <c r="E1492" s="2" t="n">
        <v>5</v>
      </c>
      <c r="F1492" s="2" t="n">
        <v>10</v>
      </c>
      <c r="G1492" s="2" t="n">
        <v>25</v>
      </c>
      <c r="H1492" s="2" t="n">
        <v>35</v>
      </c>
      <c r="I1492" s="4" t="inlineStr">
        <is>
          <t>tomato-basil-soup-with-white-beans.jpg</t>
        </is>
      </c>
      <c r="J1492" s="3" t="inlineStr">
        <is>
          <t>Tomato Basil Soup with White Beans, healthy food photography, plated, natural light</t>
        </is>
      </c>
      <c r="K1492" s="4" t="inlineStr"/>
      <c r="L1492" s="3" t="inlineStr">
        <is>
          <t>Crushed tomatoes, canned — 600 g (21.2 oz)
Cannellini beans, cooked — 250 g (8.8 oz)
Vegetable broth, low sodium — 400 g (14.1 oz)
Yellow onion — 100 g (3.5 oz)
Garlic — 6 g (0.2 oz)
Fresh basil — 10 g (0.4 oz)
Extra-virgin olive oil — 15 g (0.5 oz)</t>
        </is>
      </c>
      <c r="M1492" s="4" t="inlineStr">
        <is>
          <t>[{"ingredient_id": "crushed_tomatoes", "name": "Crushed tomatoes, canned", "grams": 600.0, "note": ""}, {"ingredient_id": "white_beans", "name": "Cannellini beans, cooked", "grams": 250.0, "note": ""}, {"ingredient_id": "vegetable_broth", "name": "Vegetable broth, low sodium", "grams": 400.0, "note": ""}, {"ingredient_id": "onion", "name": "Yellow onion", "grams": 100.0, "note": ""}, {"ingredient_id": "garlic", "name": "Garlic", "grams": 6.0, "note": ""}, {"ingredient_id": "basil", "name": "Fresh basil", "grams": 10.0, "note": ""}, {"ingredient_id": "olive_oil", "name": "Extra-virgin olive oil", "grams": 15.0, "note": ""}]</t>
        </is>
      </c>
      <c r="N1492" s="2" t="n">
        <v>151</v>
      </c>
      <c r="O1492" s="5" t="n">
        <v>7.5</v>
      </c>
      <c r="P1492" s="5" t="n">
        <v>3.8</v>
      </c>
      <c r="Q1492" s="5" t="n">
        <v>24.4</v>
      </c>
      <c r="R1492" s="5" t="n">
        <v>5.8</v>
      </c>
      <c r="S1492" s="5" t="n">
        <v>18.6</v>
      </c>
      <c r="T1492" s="2" t="n">
        <v>29</v>
      </c>
      <c r="U1492" s="2" t="inlineStr">
        <is>
          <t>low</t>
        </is>
      </c>
      <c r="V1492" s="5" t="n">
        <v>5.4</v>
      </c>
      <c r="W1492" s="2" t="inlineStr">
        <is>
          <t>low</t>
        </is>
      </c>
      <c r="X1492" s="3" t="inlineStr"/>
      <c r="Y1492" s="3" t="inlineStr">
        <is>
          <t>50% of this dish's available carbohydrate comes from ingredients with a published, measured GI; the rest uses conventional placeholders (see Ingredients sheet)</t>
        </is>
      </c>
      <c r="Z1492" s="2" t="n">
        <v>50</v>
      </c>
      <c r="AA1492" s="3" t="inlineStr">
        <is>
          <t>vegan, gluten-free, dairy-free, nut-free</t>
        </is>
      </c>
      <c r="AB1492" s="3" t="inlineStr">
        <is>
          <t>1. Soften the onion and garlic in oil.
2. Add the tomatoes, beans and broth and simmer 15 minutes.
3. Blend and finish with basil.</t>
        </is>
      </c>
      <c r="AC1492" s="4" t="inlineStr">
        <is>
          <t>["Soften the onion and garlic in oil.", "Add the tomatoes, beans and broth and simmer 15 minutes.", "Blend and finish with basil."]</t>
        </is>
      </c>
    </row>
    <row r="1493" ht="96" customHeight="1">
      <c r="A1493" s="2" t="inlineStr">
        <is>
          <t>DB-1492</t>
        </is>
      </c>
      <c r="B1493" s="3" t="inlineStr">
        <is>
          <t>Turkey Vegetable Soup with Kale</t>
        </is>
      </c>
      <c r="C1493" s="4" t="inlineStr">
        <is>
          <t>Soup &amp; Stew</t>
        </is>
      </c>
      <c r="D1493" s="4" t="inlineStr">
        <is>
          <t>American</t>
        </is>
      </c>
      <c r="E1493" s="2" t="n">
        <v>6</v>
      </c>
      <c r="F1493" s="2" t="n">
        <v>10</v>
      </c>
      <c r="G1493" s="2" t="n">
        <v>30</v>
      </c>
      <c r="H1493" s="2" t="n">
        <v>40</v>
      </c>
      <c r="I1493" s="4" t="inlineStr">
        <is>
          <t>turkey-vegetable-soup-with-kale.jpg</t>
        </is>
      </c>
      <c r="J1493" s="3" t="inlineStr">
        <is>
          <t>Turkey Vegetable Soup with Kale, healthy food photography, plated, natural light</t>
        </is>
      </c>
      <c r="K1493" s="4" t="inlineStr"/>
      <c r="L1493" s="3" t="inlineStr">
        <is>
          <t>Ground turkey 93% lean — 400 g (14.1 oz)
Kale — 120 g (4.2 oz)
Carrot — 120 g (4.2 oz)
Celery — 80 g (2.8 oz)
Yellow onion — 100 g (3.5 oz)
Diced tomatoes, canned — 300 g (10.6 oz)
Chicken broth, low sodium — 900 g (31.7 oz)
Italian seasoning — 3 g (0.1 oz)</t>
        </is>
      </c>
      <c r="M1493" s="4" t="inlineStr">
        <is>
          <t>[{"ingredient_id": "ground_turkey", "name": "Ground turkey 93% lean", "grams": 400.0, "note": ""}, {"ingredient_id": "kale", "name": "Kale", "grams": 120.0, "note": ""}, {"ingredient_id": "carrot", "name": "Carrot", "grams": 120.0, "note": ""}, {"ingredient_id": "celery", "name": "Celery", "grams": 80.0, "note": ""}, {"ingredient_id": "onion", "name": "Yellow onion", "grams": 100.0, "note": ""}, {"ingredient_id": "diced_tomatoes", "name": "Diced tomatoes, canned", "grams": 300.0, "note": ""}, {"ingredient_id": "chicken_broth", "name": "Chicken broth, low sodium", "grams": 900.0, "note": ""}, {"ingredient_id": "italian_seasoning", "name": "Italian seasoning", "grams": 3.0, "note": ""}]</t>
        </is>
      </c>
      <c r="N1493" s="2" t="n">
        <v>151</v>
      </c>
      <c r="O1493" s="5" t="n">
        <v>15.9</v>
      </c>
      <c r="P1493" s="5" t="n">
        <v>6</v>
      </c>
      <c r="Q1493" s="5" t="n">
        <v>9.199999999999999</v>
      </c>
      <c r="R1493" s="5" t="n">
        <v>2.7</v>
      </c>
      <c r="S1493" s="5" t="n">
        <v>6.5</v>
      </c>
      <c r="T1493" s="2" t="n">
        <v>24</v>
      </c>
      <c r="U1493" s="2" t="inlineStr">
        <is>
          <t>low</t>
        </is>
      </c>
      <c r="V1493" s="5" t="n">
        <v>1.6</v>
      </c>
      <c r="W1493" s="2" t="inlineStr">
        <is>
          <t>low</t>
        </is>
      </c>
      <c r="X1493" s="3" t="inlineStr"/>
      <c r="Y1493" s="3" t="inlineStr">
        <is>
          <t>21% of this dish's available carbohydrate comes from ingredients with a published, measured GI; the rest uses conventional placeholders (see Ingredients sheet)</t>
        </is>
      </c>
      <c r="Z1493" s="2" t="n">
        <v>21</v>
      </c>
      <c r="AA1493" s="3" t="inlineStr">
        <is>
          <t>gluten-free, dairy-free, nut-free, low-carb</t>
        </is>
      </c>
      <c r="AB1493" s="3" t="inlineStr">
        <is>
          <t>1. Brown the turkey with the onion.
2. Add the vegetables, tomatoes, broth and seasoning and simmer 25 minutes.
3. Stir in the kale for the last 5.</t>
        </is>
      </c>
      <c r="AC1493" s="4" t="inlineStr">
        <is>
          <t>["Brown the turkey with the onion.", "Add the vegetables, tomatoes, broth and seasoning and simmer 25 minutes.", "Stir in the kale for the last 5."]</t>
        </is>
      </c>
    </row>
  </sheetData>
  <autoFilter ref="A1:AC1493"/>
  <conditionalFormatting sqref="T2:T1493">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493">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COUNTIF(Recipes!$C$2:$C$1493,A2)</f>
        <v/>
      </c>
      <c r="C2" s="12">
        <f>AVERAGEIF(Recipes!$C$2:$C$1493,A2,Recipes!$N$2:$N$1493)</f>
        <v/>
      </c>
      <c r="D2" s="13">
        <f>AVERAGEIF(Recipes!$C$2:$C$1493,A2,Recipes!$S$2:$S$1493)</f>
        <v/>
      </c>
      <c r="E2" s="12">
        <f>AVERAGEIF(Recipes!$C$2:$C$1493,A2,Recipes!$T$2:$T$1493)</f>
        <v/>
      </c>
      <c r="F2" s="13">
        <f>AVERAGEIF(Recipes!$C$2:$C$1493,A2,Recipes!$V$2:$V$1493)</f>
        <v/>
      </c>
      <c r="G2" s="14">
        <f>COUNTIFS(Recipes!$C$2:$C$1493,A2,Recipes!$U$2:$U$1493,"low")/B2</f>
        <v/>
      </c>
    </row>
    <row r="3">
      <c r="A3" s="11" t="inlineStr">
        <is>
          <t>Breakfast</t>
        </is>
      </c>
      <c r="B3" s="11">
        <f>COUNTIF(Recipes!$C$2:$C$1493,A3)</f>
        <v/>
      </c>
      <c r="C3" s="12">
        <f>AVERAGEIF(Recipes!$C$2:$C$1493,A3,Recipes!$N$2:$N$1493)</f>
        <v/>
      </c>
      <c r="D3" s="13">
        <f>AVERAGEIF(Recipes!$C$2:$C$1493,A3,Recipes!$S$2:$S$1493)</f>
        <v/>
      </c>
      <c r="E3" s="12">
        <f>AVERAGEIF(Recipes!$C$2:$C$1493,A3,Recipes!$T$2:$T$1493)</f>
        <v/>
      </c>
      <c r="F3" s="13">
        <f>AVERAGEIF(Recipes!$C$2:$C$1493,A3,Recipes!$V$2:$V$1493)</f>
        <v/>
      </c>
      <c r="G3" s="14">
        <f>COUNTIFS(Recipes!$C$2:$C$1493,A3,Recipes!$U$2:$U$1493,"low")/B3</f>
        <v/>
      </c>
    </row>
    <row r="4">
      <c r="A4" s="11" t="inlineStr">
        <is>
          <t>Dessert</t>
        </is>
      </c>
      <c r="B4" s="11">
        <f>COUNTIF(Recipes!$C$2:$C$1493,A4)</f>
        <v/>
      </c>
      <c r="C4" s="12">
        <f>AVERAGEIF(Recipes!$C$2:$C$1493,A4,Recipes!$N$2:$N$1493)</f>
        <v/>
      </c>
      <c r="D4" s="13">
        <f>AVERAGEIF(Recipes!$C$2:$C$1493,A4,Recipes!$S$2:$S$1493)</f>
        <v/>
      </c>
      <c r="E4" s="12">
        <f>AVERAGEIF(Recipes!$C$2:$C$1493,A4,Recipes!$T$2:$T$1493)</f>
        <v/>
      </c>
      <c r="F4" s="13">
        <f>AVERAGEIF(Recipes!$C$2:$C$1493,A4,Recipes!$V$2:$V$1493)</f>
        <v/>
      </c>
      <c r="G4" s="14">
        <f>COUNTIFS(Recipes!$C$2:$C$1493,A4,Recipes!$U$2:$U$1493,"low")/B4</f>
        <v/>
      </c>
    </row>
    <row r="5">
      <c r="A5" s="11" t="inlineStr">
        <is>
          <t>Drinks &amp; Smoothies</t>
        </is>
      </c>
      <c r="B5" s="11">
        <f>COUNTIF(Recipes!$C$2:$C$1493,A5)</f>
        <v/>
      </c>
      <c r="C5" s="12">
        <f>AVERAGEIF(Recipes!$C$2:$C$1493,A5,Recipes!$N$2:$N$1493)</f>
        <v/>
      </c>
      <c r="D5" s="13">
        <f>AVERAGEIF(Recipes!$C$2:$C$1493,A5,Recipes!$S$2:$S$1493)</f>
        <v/>
      </c>
      <c r="E5" s="12">
        <f>AVERAGEIF(Recipes!$C$2:$C$1493,A5,Recipes!$T$2:$T$1493)</f>
        <v/>
      </c>
      <c r="F5" s="13">
        <f>AVERAGEIF(Recipes!$C$2:$C$1493,A5,Recipes!$V$2:$V$1493)</f>
        <v/>
      </c>
      <c r="G5" s="14">
        <f>COUNTIFS(Recipes!$C$2:$C$1493,A5,Recipes!$U$2:$U$1493,"low")/B5</f>
        <v/>
      </c>
    </row>
    <row r="6">
      <c r="A6" s="11" t="inlineStr">
        <is>
          <t>Poultry</t>
        </is>
      </c>
      <c r="B6" s="11">
        <f>COUNTIF(Recipes!$C$2:$C$1493,A6)</f>
        <v/>
      </c>
      <c r="C6" s="12">
        <f>AVERAGEIF(Recipes!$C$2:$C$1493,A6,Recipes!$N$2:$N$1493)</f>
        <v/>
      </c>
      <c r="D6" s="13">
        <f>AVERAGEIF(Recipes!$C$2:$C$1493,A6,Recipes!$S$2:$S$1493)</f>
        <v/>
      </c>
      <c r="E6" s="12">
        <f>AVERAGEIF(Recipes!$C$2:$C$1493,A6,Recipes!$T$2:$T$1493)</f>
        <v/>
      </c>
      <c r="F6" s="13">
        <f>AVERAGEIF(Recipes!$C$2:$C$1493,A6,Recipes!$V$2:$V$1493)</f>
        <v/>
      </c>
      <c r="G6" s="14">
        <f>COUNTIFS(Recipes!$C$2:$C$1493,A6,Recipes!$U$2:$U$1493,"low")/B6</f>
        <v/>
      </c>
    </row>
    <row r="7">
      <c r="A7" s="11" t="inlineStr">
        <is>
          <t>Salad</t>
        </is>
      </c>
      <c r="B7" s="11">
        <f>COUNTIF(Recipes!$C$2:$C$1493,A7)</f>
        <v/>
      </c>
      <c r="C7" s="12">
        <f>AVERAGEIF(Recipes!$C$2:$C$1493,A7,Recipes!$N$2:$N$1493)</f>
        <v/>
      </c>
      <c r="D7" s="13">
        <f>AVERAGEIF(Recipes!$C$2:$C$1493,A7,Recipes!$S$2:$S$1493)</f>
        <v/>
      </c>
      <c r="E7" s="12">
        <f>AVERAGEIF(Recipes!$C$2:$C$1493,A7,Recipes!$T$2:$T$1493)</f>
        <v/>
      </c>
      <c r="F7" s="13">
        <f>AVERAGEIF(Recipes!$C$2:$C$1493,A7,Recipes!$V$2:$V$1493)</f>
        <v/>
      </c>
      <c r="G7" s="14">
        <f>COUNTIFS(Recipes!$C$2:$C$1493,A7,Recipes!$U$2:$U$1493,"low")/B7</f>
        <v/>
      </c>
    </row>
    <row r="8">
      <c r="A8" s="11" t="inlineStr">
        <is>
          <t>Sandwiches &amp; Wraps</t>
        </is>
      </c>
      <c r="B8" s="11">
        <f>COUNTIF(Recipes!$C$2:$C$1493,A8)</f>
        <v/>
      </c>
      <c r="C8" s="12">
        <f>AVERAGEIF(Recipes!$C$2:$C$1493,A8,Recipes!$N$2:$N$1493)</f>
        <v/>
      </c>
      <c r="D8" s="13">
        <f>AVERAGEIF(Recipes!$C$2:$C$1493,A8,Recipes!$S$2:$S$1493)</f>
        <v/>
      </c>
      <c r="E8" s="12">
        <f>AVERAGEIF(Recipes!$C$2:$C$1493,A8,Recipes!$T$2:$T$1493)</f>
        <v/>
      </c>
      <c r="F8" s="13">
        <f>AVERAGEIF(Recipes!$C$2:$C$1493,A8,Recipes!$V$2:$V$1493)</f>
        <v/>
      </c>
      <c r="G8" s="14">
        <f>COUNTIFS(Recipes!$C$2:$C$1493,A8,Recipes!$U$2:$U$1493,"low")/B8</f>
        <v/>
      </c>
    </row>
    <row r="9">
      <c r="A9" s="11" t="inlineStr">
        <is>
          <t>Seafood</t>
        </is>
      </c>
      <c r="B9" s="11">
        <f>COUNTIF(Recipes!$C$2:$C$1493,A9)</f>
        <v/>
      </c>
      <c r="C9" s="12">
        <f>AVERAGEIF(Recipes!$C$2:$C$1493,A9,Recipes!$N$2:$N$1493)</f>
        <v/>
      </c>
      <c r="D9" s="13">
        <f>AVERAGEIF(Recipes!$C$2:$C$1493,A9,Recipes!$S$2:$S$1493)</f>
        <v/>
      </c>
      <c r="E9" s="12">
        <f>AVERAGEIF(Recipes!$C$2:$C$1493,A9,Recipes!$T$2:$T$1493)</f>
        <v/>
      </c>
      <c r="F9" s="13">
        <f>AVERAGEIF(Recipes!$C$2:$C$1493,A9,Recipes!$V$2:$V$1493)</f>
        <v/>
      </c>
      <c r="G9" s="14">
        <f>COUNTIFS(Recipes!$C$2:$C$1493,A9,Recipes!$U$2:$U$1493,"low")/B9</f>
        <v/>
      </c>
    </row>
    <row r="10">
      <c r="A10" s="11" t="inlineStr">
        <is>
          <t>Side Dish</t>
        </is>
      </c>
      <c r="B10" s="11">
        <f>COUNTIF(Recipes!$C$2:$C$1493,A10)</f>
        <v/>
      </c>
      <c r="C10" s="12">
        <f>AVERAGEIF(Recipes!$C$2:$C$1493,A10,Recipes!$N$2:$N$1493)</f>
        <v/>
      </c>
      <c r="D10" s="13">
        <f>AVERAGEIF(Recipes!$C$2:$C$1493,A10,Recipes!$S$2:$S$1493)</f>
        <v/>
      </c>
      <c r="E10" s="12">
        <f>AVERAGEIF(Recipes!$C$2:$C$1493,A10,Recipes!$T$2:$T$1493)</f>
        <v/>
      </c>
      <c r="F10" s="13">
        <f>AVERAGEIF(Recipes!$C$2:$C$1493,A10,Recipes!$V$2:$V$1493)</f>
        <v/>
      </c>
      <c r="G10" s="14">
        <f>COUNTIFS(Recipes!$C$2:$C$1493,A10,Recipes!$U$2:$U$1493,"low")/B10</f>
        <v/>
      </c>
    </row>
    <row r="11">
      <c r="A11" s="11" t="inlineStr">
        <is>
          <t>Snack &amp; Appetizer</t>
        </is>
      </c>
      <c r="B11" s="11">
        <f>COUNTIF(Recipes!$C$2:$C$1493,A11)</f>
        <v/>
      </c>
      <c r="C11" s="12">
        <f>AVERAGEIF(Recipes!$C$2:$C$1493,A11,Recipes!$N$2:$N$1493)</f>
        <v/>
      </c>
      <c r="D11" s="13">
        <f>AVERAGEIF(Recipes!$C$2:$C$1493,A11,Recipes!$S$2:$S$1493)</f>
        <v/>
      </c>
      <c r="E11" s="12">
        <f>AVERAGEIF(Recipes!$C$2:$C$1493,A11,Recipes!$T$2:$T$1493)</f>
        <v/>
      </c>
      <c r="F11" s="13">
        <f>AVERAGEIF(Recipes!$C$2:$C$1493,A11,Recipes!$V$2:$V$1493)</f>
        <v/>
      </c>
      <c r="G11" s="14">
        <f>COUNTIFS(Recipes!$C$2:$C$1493,A11,Recipes!$U$2:$U$1493,"low")/B11</f>
        <v/>
      </c>
    </row>
    <row r="12">
      <c r="A12" s="11" t="inlineStr">
        <is>
          <t>Soup &amp; Stew</t>
        </is>
      </c>
      <c r="B12" s="11">
        <f>COUNTIF(Recipes!$C$2:$C$1493,A12)</f>
        <v/>
      </c>
      <c r="C12" s="12">
        <f>AVERAGEIF(Recipes!$C$2:$C$1493,A12,Recipes!$N$2:$N$1493)</f>
        <v/>
      </c>
      <c r="D12" s="13">
        <f>AVERAGEIF(Recipes!$C$2:$C$1493,A12,Recipes!$S$2:$S$1493)</f>
        <v/>
      </c>
      <c r="E12" s="12">
        <f>AVERAGEIF(Recipes!$C$2:$C$1493,A12,Recipes!$T$2:$T$1493)</f>
        <v/>
      </c>
      <c r="F12" s="13">
        <f>AVERAGEIF(Recipes!$C$2:$C$1493,A12,Recipes!$V$2:$V$1493)</f>
        <v/>
      </c>
      <c r="G12" s="14">
        <f>COUNTIFS(Recipes!$C$2:$C$1493,A12,Recipes!$U$2:$U$1493,"low")/B12</f>
        <v/>
      </c>
    </row>
    <row r="13">
      <c r="A13" s="11" t="inlineStr">
        <is>
          <t>Vegetarian &amp; Vegan</t>
        </is>
      </c>
      <c r="B13" s="11">
        <f>COUNTIF(Recipes!$C$2:$C$1493,A13)</f>
        <v/>
      </c>
      <c r="C13" s="12">
        <f>AVERAGEIF(Recipes!$C$2:$C$1493,A13,Recipes!$N$2:$N$1493)</f>
        <v/>
      </c>
      <c r="D13" s="13">
        <f>AVERAGEIF(Recipes!$C$2:$C$1493,A13,Recipes!$S$2:$S$1493)</f>
        <v/>
      </c>
      <c r="E13" s="12">
        <f>AVERAGEIF(Recipes!$C$2:$C$1493,A13,Recipes!$T$2:$T$1493)</f>
        <v/>
      </c>
      <c r="F13" s="13">
        <f>AVERAGEIF(Recipes!$C$2:$C$1493,A13,Recipes!$V$2:$V$1493)</f>
        <v/>
      </c>
      <c r="G13" s="14">
        <f>COUNTIFS(Recipes!$C$2:$C$1493,A13,Recipes!$U$2:$U$1493,"low")/B13</f>
        <v/>
      </c>
    </row>
    <row r="14">
      <c r="A14" s="15" t="inlineStr">
        <is>
          <t>TOTAL</t>
        </is>
      </c>
      <c r="B14" s="15">
        <f>SUM(B2:B13)</f>
        <v/>
      </c>
      <c r="G14" s="16">
        <f>COUNTIF(Recipes!$U$2:$U$1493,"low")/B14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2026-10-11T21:03:09Z</dcterms:created>
  <dcterms:modified xsi:type="dcterms:W3CDTF">2026-10-11T21:03:10Z</dcterms:modified>
</cp:coreProperties>
</file>