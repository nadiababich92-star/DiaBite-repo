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ources" sheetId="3" state="visible" r:id="rId3"/>
    <sheet name="Summary" sheetId="4" state="visible" r:id="rId4"/>
    <sheet name="Methodology" sheetId="5" state="visible" r:id="rId5"/>
  </sheets>
  <definedNames>
    <definedName name="_xlnm._FilterDatabase" localSheetId="0" hidden="1">'Recipes'!$A$1:$AC$1624</definedName>
    <definedName name="_xlnm._FilterDatabase" localSheetId="1" hidden="1">'Ingredients'!$A$1:$Q$365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sz val="10"/>
    </font>
    <font>
      <name val="Arial"/>
      <b val="1"/>
    </font>
    <font>
      <name val="Arial"/>
      <i val="1"/>
      <sz val="9"/>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4" fillId="0" borderId="0" pivotButton="0" quotePrefix="0" xfId="0"/>
    <xf numFmtId="9" fontId="0"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46" customWidth="1" min="25" max="25"/>
    <col width="12" customWidth="1" min="26" max="26"/>
    <col width="36" customWidth="1" min="27" max="27"/>
    <col width="80" customWidth="1" min="28" max="28"/>
    <col width="30" customWidth="1" min="29" max="29"/>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gi_evidence</t>
        </is>
      </c>
      <c r="Z1" s="1" t="inlineStr">
        <is>
          <t>gi_measured_carb_share_pct</t>
        </is>
      </c>
      <c r="AA1" s="1" t="inlineStr">
        <is>
          <t>diet_tags</t>
        </is>
      </c>
      <c r="AB1" s="1" t="inlineStr">
        <is>
          <t>instructions</t>
        </is>
      </c>
      <c r="AC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0% of this dish's available carbohydrate comes from ingredients with a published, measured GI; the rest uses conventional placeholders (see Ingredients sheet)</t>
        </is>
      </c>
      <c r="Z2" s="2" t="n">
        <v>0</v>
      </c>
      <c r="AA2" s="3" t="inlineStr">
        <is>
          <t>vegetarian, gluten-free, nut-free, low-carb, quick</t>
        </is>
      </c>
      <c r="AB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C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0% of this dish's available carbohydrate comes from ingredients with a published, measured GI; the rest uses conventional placeholders (see Ingredients sheet)</t>
        </is>
      </c>
      <c r="Z3" s="2" t="n">
        <v>0</v>
      </c>
      <c r="AA3" s="3" t="inlineStr">
        <is>
          <t>vegetarian, gluten-free, nut-free, low-carb, quick</t>
        </is>
      </c>
      <c r="AB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C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55</v>
      </c>
      <c r="U4" s="2" t="inlineStr">
        <is>
          <t>low</t>
        </is>
      </c>
      <c r="V4" s="5" t="n">
        <v>7.7</v>
      </c>
      <c r="W4" s="2" t="inlineStr">
        <is>
          <t>low</t>
        </is>
      </c>
      <c r="X4" s="3" t="inlineStr"/>
      <c r="Y4" s="3" t="inlineStr">
        <is>
          <t>85% of this dish's available carbohydrate comes from ingredients with a published, measured GI; the rest uses conventional placeholders (see Ingredients sheet)</t>
        </is>
      </c>
      <c r="Z4" s="2" t="n">
        <v>85</v>
      </c>
      <c r="AA4" s="3" t="inlineStr">
        <is>
          <t>vegetarian, gluten-free, dairy-free, nut-free, low-carb, high-fiber, quick</t>
        </is>
      </c>
      <c r="AB4" s="3" t="inlineStr">
        <is>
          <t>1. Toast the bread until golden.
2. Mash the avocado with lemon juice and salt and spread over the toast.
3. Fry or poach the egg to your liking and set it on top.
4. Finish with red pepper flakes.</t>
        </is>
      </c>
      <c r="AC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50% of this dish's available carbohydrate comes from ingredients with a published, measured GI; the rest uses conventional placeholders (see Ingredients sheet)</t>
        </is>
      </c>
      <c r="Z5" s="2" t="n">
        <v>50</v>
      </c>
      <c r="AA5" s="3" t="inlineStr">
        <is>
          <t>vegetarian, gluten-free, high-protein, high-fiber, no-cook, quick</t>
        </is>
      </c>
      <c r="AB5" s="3" t="inlineStr">
        <is>
          <t>1. Spoon half the yogurt into a glass or bowl.
2. Layer half the berries and walnuts, then repeat with the remaining yogurt and toppings.
3. Sprinkle chia seeds and cinnamon on top and serve, or refrigerate up to 24 hours.</t>
        </is>
      </c>
      <c r="AC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90% of this dish's available carbohydrate comes from ingredients with a published, measured GI; the rest uses conventional placeholders (see Ingredients sheet)</t>
        </is>
      </c>
      <c r="Z6" s="2" t="n">
        <v>90</v>
      </c>
      <c r="AA6" s="3" t="inlineStr">
        <is>
          <t>vegan, dairy-free, high-fiber, no-cook, make-ahead</t>
        </is>
      </c>
      <c r="AB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C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0% of this dish's available carbohydrate comes from ingredients with a published, measured GI; the rest uses conventional placeholders (see Ingredients sheet)</t>
        </is>
      </c>
      <c r="Z7" s="2" t="n">
        <v>0</v>
      </c>
      <c r="AA7" s="3" t="inlineStr">
        <is>
          <t>vegan, gluten-free, dairy-free, low-carb, high-fiber, no-cook, make-ahead</t>
        </is>
      </c>
      <c r="AB7" s="3" t="inlineStr">
        <is>
          <t>1. Whisk chia seeds, almond milk, vanilla and sweetener in a bowl.
2. Let stand 10 minutes, whisk again to break up clumps, then refrigerate at least 4 hours or overnight.
3. Spoon into bowls and top with raspberries and sliced almonds.</t>
        </is>
      </c>
      <c r="AC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33</v>
      </c>
      <c r="U8" s="2" t="inlineStr">
        <is>
          <t>low</t>
        </is>
      </c>
      <c r="V8" s="5" t="n">
        <v>6.4</v>
      </c>
      <c r="W8" s="2" t="inlineStr">
        <is>
          <t>low</t>
        </is>
      </c>
      <c r="X8" s="3" t="inlineStr"/>
      <c r="Y8" s="3" t="inlineStr">
        <is>
          <t>49% of this dish's available carbohydrate comes from ingredients with a published, measured GI; the rest uses conventional placeholders (see Ingredients sheet)</t>
        </is>
      </c>
      <c r="Z8" s="2" t="n">
        <v>49</v>
      </c>
      <c r="AA8" s="3" t="inlineStr">
        <is>
          <t>vegetarian, gluten-free, high-protein, no-cook, quick</t>
        </is>
      </c>
      <c r="AB8" s="3" t="inlineStr">
        <is>
          <t>1. Spoon the cottage cheese into a bowl.
2. Slice the peach and arrange on top.
3. Sprinkle with chopped pecans, ground flaxseed and cinnamon.</t>
        </is>
      </c>
      <c r="AC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33% of this dish's available carbohydrate comes from ingredients with a published, measured GI; the rest uses conventional placeholders (see Ingredients sheet)</t>
        </is>
      </c>
      <c r="Z9" s="2" t="n">
        <v>33</v>
      </c>
      <c r="AA9" s="3" t="inlineStr">
        <is>
          <t>vegetarian, nut-free, high-protein, high-fiber</t>
        </is>
      </c>
      <c r="AB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C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0% of this dish's available carbohydrate comes from ingredients with a published, measured GI; the rest uses conventional placeholders (see Ingredients sheet)</t>
        </is>
      </c>
      <c r="Z10" s="2" t="n">
        <v>0</v>
      </c>
      <c r="AA10" s="3" t="inlineStr">
        <is>
          <t>gluten-free, nut-free, low-carb, high-protein, make-ahead</t>
        </is>
      </c>
      <c r="AB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C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46% of this dish's available carbohydrate comes from ingredients with a published, measured GI; the rest uses conventional placeholders (see Ingredients sheet)</t>
        </is>
      </c>
      <c r="Z11" s="2" t="n">
        <v>46</v>
      </c>
      <c r="AA11" s="3" t="inlineStr">
        <is>
          <t>vegetarian, gluten-free, dairy-free, low-carb</t>
        </is>
      </c>
      <c r="AB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C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0% of this dish's available carbohydrate comes from ingredients with a published, measured GI; the rest uses conventional placeholders (see Ingredients sheet)</t>
        </is>
      </c>
      <c r="Z12" s="2" t="n">
        <v>0</v>
      </c>
      <c r="AA12" s="3" t="inlineStr">
        <is>
          <t>vegetarian, gluten-free, nut-free, one-pan</t>
        </is>
      </c>
      <c r="AB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C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0% of this dish's available carbohydrate comes from ingredients with a published, measured GI; the rest uses conventional placeholders (see Ingredients sheet)</t>
        </is>
      </c>
      <c r="Z13" s="2" t="n">
        <v>0</v>
      </c>
      <c r="AA13" s="3" t="inlineStr">
        <is>
          <t>pescatarian, gluten-free, nut-free, low-carb, high-protein, quick</t>
        </is>
      </c>
      <c r="AB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C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70% of this dish's available carbohydrate comes from ingredients with a published, measured GI; the rest uses conventional placeholders (see Ingredients sheet)</t>
        </is>
      </c>
      <c r="Z14" s="2" t="n">
        <v>70</v>
      </c>
      <c r="AA14" s="3" t="inlineStr">
        <is>
          <t>vegetarian, gluten-free, high-protein, no-cook, quick</t>
        </is>
      </c>
      <c r="AB14" s="3" t="inlineStr">
        <is>
          <t>1. Add almond milk, protein powder, peanut butter, spinach, banana and chia seeds to a blender.
2. Add a handful of ice and blend on high until completely smooth.
3. Pour into a glass and drink right away.</t>
        </is>
      </c>
      <c r="AC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38% of this dish's available carbohydrate comes from ingredients with a published, measured GI; the rest uses conventional placeholders (see Ingredients sheet)</t>
        </is>
      </c>
      <c r="Z15" s="2" t="n">
        <v>38</v>
      </c>
      <c r="AA15" s="3" t="inlineStr">
        <is>
          <t>vegetarian, gluten-free, nut-free, low-carb, no-cook, quick</t>
        </is>
      </c>
      <c r="AB15" s="3" t="inlineStr">
        <is>
          <t>1. Combine all ingredients in a blender.
2. Blend on high for 45–60 seconds until silky.
3. Adjust thickness with water and serve cold.</t>
        </is>
      </c>
      <c r="AC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0% of this dish's available carbohydrate comes from ingredients with a published, measured GI; the rest uses conventional placeholders (see Ingredients sheet)</t>
        </is>
      </c>
      <c r="Z16" s="2" t="n">
        <v>0</v>
      </c>
      <c r="AA16" s="3" t="inlineStr">
        <is>
          <t>vegetarian, gluten-free, nut-free, low-carb, high-protein, quick</t>
        </is>
      </c>
      <c r="AB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C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18% of this dish's available carbohydrate comes from ingredients with a published, measured GI; the rest uses conventional placeholders (see Ingredients sheet)</t>
        </is>
      </c>
      <c r="Z17" s="2" t="n">
        <v>18</v>
      </c>
      <c r="AA17" s="3" t="inlineStr">
        <is>
          <t>vegetarian, gluten-free, nut-free, low-carb, make-ahead</t>
        </is>
      </c>
      <c r="AB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C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17% of this dish's available carbohydrate comes from ingredients with a published, measured GI; the rest uses conventional placeholders (see Ingredients sheet)</t>
        </is>
      </c>
      <c r="Z18" s="2" t="n">
        <v>17</v>
      </c>
      <c r="AA18" s="3" t="inlineStr">
        <is>
          <t>vegetarian, gluten-free, nut-free, low-carb, make-ahead, meal-prep</t>
        </is>
      </c>
      <c r="AB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C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88% of this dish's available carbohydrate comes from ingredients with a published, measured GI; the rest uses conventional placeholders (see Ingredients sheet)</t>
        </is>
      </c>
      <c r="Z19" s="2" t="n">
        <v>88</v>
      </c>
      <c r="AA19" s="3" t="inlineStr">
        <is>
          <t>vegetarian, nut-free, high-fiber, quick</t>
        </is>
      </c>
      <c r="AB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C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26</v>
      </c>
      <c r="U20" s="2" t="inlineStr">
        <is>
          <t>low</t>
        </is>
      </c>
      <c r="V20" s="5" t="n">
        <v>4.5</v>
      </c>
      <c r="W20" s="2" t="inlineStr">
        <is>
          <t>low</t>
        </is>
      </c>
      <c r="X20" s="3" t="inlineStr"/>
      <c r="Y20" s="3" t="inlineStr">
        <is>
          <t>54% of this dish's available carbohydrate comes from ingredients with a published, measured GI; the rest uses conventional placeholders (see Ingredients sheet)</t>
        </is>
      </c>
      <c r="Z20" s="2" t="n">
        <v>54</v>
      </c>
      <c r="AA20" s="3" t="inlineStr">
        <is>
          <t>vegetarian, gluten-free, no-cook, quick</t>
        </is>
      </c>
      <c r="AB20" s="3" t="inlineStr">
        <is>
          <t>1. Whisk ricotta with vanilla, cinnamon and sweetener until fluffy.
2. Spoon into a bowl and top with sliced strawberries.
3. Sprinkle with chopped pistachios.</t>
        </is>
      </c>
      <c r="AC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80% of this dish's available carbohydrate comes from ingredients with a published, measured GI; the rest uses conventional placeholders (see Ingredients sheet)</t>
        </is>
      </c>
      <c r="Z21" s="2" t="n">
        <v>80</v>
      </c>
      <c r="AA21" s="3" t="inlineStr">
        <is>
          <t>vegetarian, gluten-free, nut-free, high-fiber</t>
        </is>
      </c>
      <c r="AB21" s="3" t="inlineStr">
        <is>
          <t>1. Warm black beans with cumin and mash lightly.
2. Toast tortillas in a dry skillet until pliable and lightly charred.
3. Fry the eggs in olive oil until the whites are set.
4. Top each tortilla with beans, two eggs, warm salsa, avocado, cotija and cilantro.</t>
        </is>
      </c>
      <c r="AC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41</v>
      </c>
      <c r="U22" s="2" t="inlineStr">
        <is>
          <t>low</t>
        </is>
      </c>
      <c r="V22" s="5" t="n">
        <v>9.800000000000001</v>
      </c>
      <c r="W22" s="2" t="inlineStr">
        <is>
          <t>low</t>
        </is>
      </c>
      <c r="X22" s="3" t="inlineStr"/>
      <c r="Y22" s="3" t="inlineStr">
        <is>
          <t>90% of this dish's available carbohydrate comes from ingredients with a published, measured GI; the rest uses conventional placeholders (see Ingredients sheet)</t>
        </is>
      </c>
      <c r="Z22" s="2" t="n">
        <v>90</v>
      </c>
      <c r="AA22" s="3" t="inlineStr">
        <is>
          <t>nut-free, quick</t>
        </is>
      </c>
      <c r="AB22" s="3" t="inlineStr">
        <is>
          <t>1. Cook turkey bacon in a skillet until crisp; set aside.
2. Fry the egg in olive oil, breaking the yolk for a firmer sandwich.
3. Toast the English muffin and layer cheese, egg, bacon and tomato slices.
4. Close and serve warm.</t>
        </is>
      </c>
      <c r="AC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0% of this dish's available carbohydrate comes from ingredients with a published, measured GI; the rest uses conventional placeholders (see Ingredients sheet)</t>
        </is>
      </c>
      <c r="Z23" s="2" t="n">
        <v>0</v>
      </c>
      <c r="AA23" s="3" t="inlineStr">
        <is>
          <t>vegetarian, gluten-free, nut-free, low-carb, make-ahead</t>
        </is>
      </c>
      <c r="AB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C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0% of this dish's available carbohydrate comes from ingredients with a published, measured GI; the rest uses conventional placeholders (see Ingredients sheet)</t>
        </is>
      </c>
      <c r="Z24" s="2" t="n">
        <v>0</v>
      </c>
      <c r="AA24" s="3" t="inlineStr">
        <is>
          <t>vegan, gluten-free, dairy-free, nut-free, low-carb, high-protein, quick</t>
        </is>
      </c>
      <c r="AB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C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0% of this dish's available carbohydrate comes from ingredients with a published, measured GI; the rest uses conventional placeholders (see Ingredients sheet)</t>
        </is>
      </c>
      <c r="Z25" s="2" t="n">
        <v>0</v>
      </c>
      <c r="AA25" s="3" t="inlineStr">
        <is>
          <t>pescatarian, gluten-free, dairy-free, nut-free, low-carb, high-protein, quick, omega-3</t>
        </is>
      </c>
      <c r="AB25" s="3" t="inlineStr">
        <is>
          <t>1. Sauté chopped asparagus in olive oil for 4 minutes until crisp-tender.
2. Add flaked salmon and green onion and warm through.
3. Pour in whisked eggs seasoned with salt and stir gently until softly scrambled.
4. Finish with dill and a squeeze of lemon.</t>
        </is>
      </c>
      <c r="AC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87% of this dish's available carbohydrate comes from ingredients with a published, measured GI; the rest uses conventional placeholders (see Ingredients sheet)</t>
        </is>
      </c>
      <c r="Z26" s="2" t="n">
        <v>87</v>
      </c>
      <c r="AA26" s="3" t="inlineStr">
        <is>
          <t>vegetarian, high-fiber, no-cook, make-ahead</t>
        </is>
      </c>
      <c r="AB26" s="3" t="inlineStr">
        <is>
          <t>1. Stir oats, chia, almond milk, yogurt, peanut butter and cinnamon together in a jar.
2. Refrigerate overnight.
3. Top with sliced strawberries before eating.</t>
        </is>
      </c>
      <c r="AC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83% of this dish's available carbohydrate comes from ingredients with a published, measured GI; the rest uses conventional placeholders (see Ingredients sheet)</t>
        </is>
      </c>
      <c r="Z27" s="2" t="n">
        <v>83</v>
      </c>
      <c r="AA27" s="3" t="inlineStr">
        <is>
          <t>vegetarian, gluten-free, nut-free, quick</t>
        </is>
      </c>
      <c r="AB27" s="3" t="inlineStr">
        <is>
          <t>1. Whisk the eggs and scramble softly in olive oil.
2. Warm tortillas in a dry skillet.
3. Fill each with eggs, cheddar, pico de gallo, avocado and sliced jalapeño.
4. Top with cilantro and serve.</t>
        </is>
      </c>
      <c r="AC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0% of this dish's available carbohydrate comes from ingredients with a published, measured GI; the rest uses conventional placeholders (see Ingredients sheet)</t>
        </is>
      </c>
      <c r="Z28" s="2" t="n">
        <v>0</v>
      </c>
      <c r="AA28" s="3" t="inlineStr">
        <is>
          <t>vegetarian, gluten-free, nut-free, low-carb</t>
        </is>
      </c>
      <c r="AB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C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0% of this dish's available carbohydrate comes from ingredients with a published, measured GI; the rest uses conventional placeholders (see Ingredients sheet)</t>
        </is>
      </c>
      <c r="Z29" s="2" t="n">
        <v>0</v>
      </c>
      <c r="AA29" s="3" t="inlineStr">
        <is>
          <t>gluten-free, nut-free, low-carb, high-protein, quick</t>
        </is>
      </c>
      <c r="AB29" s="3" t="inlineStr">
        <is>
          <t>1. Sauté diced ham, bell pepper and onion in olive oil for 4 minutes.
2. Pour in whisked, seasoned eggs and cook until nearly set.
3. Sprinkle cheddar over one half, fold and cook 1 minute more.
4. Slide onto a plate.</t>
        </is>
      </c>
      <c r="AC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93% of this dish's available carbohydrate comes from ingredients with a published, measured GI; the rest uses conventional placeholders (see Ingredients sheet)</t>
        </is>
      </c>
      <c r="Z30" s="2" t="n">
        <v>93</v>
      </c>
      <c r="AA30" s="3" t="inlineStr">
        <is>
          <t>vegetarian, make-ahead, meal-prep</t>
        </is>
      </c>
      <c r="AB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C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0% of this dish's available carbohydrate comes from ingredients with a published, measured GI; the rest uses conventional placeholders (see Ingredients sheet)</t>
        </is>
      </c>
      <c r="Z31" s="2" t="n">
        <v>0</v>
      </c>
      <c r="AA31" s="3" t="inlineStr">
        <is>
          <t>pescatarian, gluten-free, nut-free, low-carb, high-protein, no-cook, quick</t>
        </is>
      </c>
      <c r="AB31" s="3" t="inlineStr">
        <is>
          <t>1. Spread cottage cheese in a shallow bowl.
2. Arrange smoked salmon, sliced cucumber, tomato and red onion on top.
3. Scatter capers, dill and everything seasoning and serve.</t>
        </is>
      </c>
      <c r="AC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0% of this dish's available carbohydrate comes from ingredients with a published, measured GI; the rest uses conventional placeholders (see Ingredients sheet)</t>
        </is>
      </c>
      <c r="Z32" s="2" t="n">
        <v>0</v>
      </c>
      <c r="AA32" s="3" t="inlineStr">
        <is>
          <t>vegetarian, nut-free, low-carb, high-protein, high-fiber, quick</t>
        </is>
      </c>
      <c r="AB32" s="3" t="inlineStr">
        <is>
          <t>1. Sauté mushrooms and spinach in half the oil, add whisked eggs and scramble.
2. Place the tortilla in the pan, put cheese and eggs on one half and fold.
3. Cook 2 minutes per side in the remaining oil until crisp.
4. Cut into wedges and serve with salsa.</t>
        </is>
      </c>
      <c r="AC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55</v>
      </c>
      <c r="U33" s="2" t="inlineStr">
        <is>
          <t>low</t>
        </is>
      </c>
      <c r="V33" s="5" t="n">
        <v>17.3</v>
      </c>
      <c r="W33" s="2" t="inlineStr">
        <is>
          <t>medium</t>
        </is>
      </c>
      <c r="X33" s="3" t="inlineStr"/>
      <c r="Y33" s="3" t="inlineStr">
        <is>
          <t>91% of this dish's available carbohydrate comes from ingredients with a published, measured GI; the rest uses conventional placeholders (see Ingredients sheet)</t>
        </is>
      </c>
      <c r="Z33" s="2" t="n">
        <v>91</v>
      </c>
      <c r="AA33" s="3" t="inlineStr">
        <is>
          <t>vegetarian, high-fiber, quick</t>
        </is>
      </c>
      <c r="AB33" s="3" t="inlineStr">
        <is>
          <t>1. Simmer oats, pumpkin puree and almond milk for 6–7 minutes, stirring.
2. Remove from heat and stir in protein powder, spice and sweetener.
3. Top with chopped pecans.</t>
        </is>
      </c>
      <c r="AC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20% of this dish's available carbohydrate comes from ingredients with a published, measured GI; the rest uses conventional placeholders (see Ingredients sheet)</t>
        </is>
      </c>
      <c r="Z34" s="2" t="n">
        <v>20</v>
      </c>
      <c r="AA34" s="3" t="inlineStr">
        <is>
          <t>vegetarian, gluten-free, nut-free, low-carb, make-ahead</t>
        </is>
      </c>
      <c r="AB34" s="3" t="inlineStr">
        <is>
          <t>1. Preheat oven to 350°F and oil 8 muffin cups.
2. Divide halved tomatoes, mozzarella and basil among the cups.
3. Pour in whisked eggs with milk and salt and bake 18–20 minutes.
4. Cool 5 minutes before removing.</t>
        </is>
      </c>
      <c r="AC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0% of this dish's available carbohydrate comes from ingredients with a published, measured GI; the rest uses conventional placeholders (see Ingredients sheet)</t>
        </is>
      </c>
      <c r="Z35" s="2" t="n">
        <v>0</v>
      </c>
      <c r="AA35" s="3" t="inlineStr">
        <is>
          <t>gluten-free, dairy-free, nut-free, low-carb, high-protein</t>
        </is>
      </c>
      <c r="AB35" s="3" t="inlineStr">
        <is>
          <t>1. Season the steak and sear in olive oil 3–4 minutes per side for medium; rest 5 minutes.
2. In the same pan, sauté garlic and spinach until wilted.
3. Fry the eggs to your liking.
4. Slice the steak and serve with eggs and spinach.</t>
        </is>
      </c>
      <c r="AC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36</v>
      </c>
      <c r="U36" s="2" t="inlineStr">
        <is>
          <t>low</t>
        </is>
      </c>
      <c r="V36" s="5" t="n">
        <v>6.8</v>
      </c>
      <c r="W36" s="2" t="inlineStr">
        <is>
          <t>low</t>
        </is>
      </c>
      <c r="X36" s="3" t="inlineStr"/>
      <c r="Y36" s="3" t="inlineStr">
        <is>
          <t>60% of this dish's available carbohydrate comes from ingredients with a published, measured GI; the rest uses conventional placeholders (see Ingredients sheet)</t>
        </is>
      </c>
      <c r="Z36" s="2" t="n">
        <v>60</v>
      </c>
      <c r="AA36" s="3" t="inlineStr">
        <is>
          <t>vegetarian, gluten-free, nut-free, high-protein, no-cook, quick, probiotic</t>
        </is>
      </c>
      <c r="AB36" s="3" t="inlineStr">
        <is>
          <t>1. Blend kefir, berries, flaxseed, protein powder and vanilla until smooth.
2. Add ice if you like it thicker.
3. Serve immediately.</t>
        </is>
      </c>
      <c r="AC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70% of this dish's available carbohydrate comes from ingredients with a published, measured GI; the rest uses conventional placeholders (see Ingredients sheet)</t>
        </is>
      </c>
      <c r="Z37" s="2" t="n">
        <v>70</v>
      </c>
      <c r="AA37" s="3" t="inlineStr">
        <is>
          <t>vegetarian, nut-free, high-protein, high-fiber</t>
        </is>
      </c>
      <c r="AB37" s="3" t="inlineStr">
        <is>
          <t>1. Hard-boil the eggs (8 minutes), cool and halve.
2. Arrange eggs, cucumber, tomato, olives and feta on a plate.
3. Add hummus drizzled with olive oil and za'atar, and the warmed pita half on the side.</t>
        </is>
      </c>
      <c r="AC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0% of this dish's available carbohydrate comes from ingredients with a published, measured GI; the rest uses conventional placeholders (see Ingredients sheet)</t>
        </is>
      </c>
      <c r="Z38" s="2" t="n">
        <v>0</v>
      </c>
      <c r="AA38" s="3" t="inlineStr">
        <is>
          <t>vegetarian, gluten-free, nut-free, low-carb, make-ahead, meal-prep</t>
        </is>
      </c>
      <c r="AB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C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68% of this dish's available carbohydrate comes from ingredients with a published, measured GI; the rest uses conventional placeholders (see Ingredients sheet)</t>
        </is>
      </c>
      <c r="Z39" s="2" t="n">
        <v>68</v>
      </c>
      <c r="AA39" s="3" t="inlineStr">
        <is>
          <t>gluten-free, dairy-free, nut-free, high-protein, one-pan</t>
        </is>
      </c>
      <c r="AB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C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34% of this dish's available carbohydrate comes from ingredients with a published, measured GI; the rest uses conventional placeholders (see Ingredients sheet)</t>
        </is>
      </c>
      <c r="Z40" s="2" t="n">
        <v>34</v>
      </c>
      <c r="AA40" s="3" t="inlineStr">
        <is>
          <t>vegetarian, gluten-free, nut-free, low-carb, make-ahead</t>
        </is>
      </c>
      <c r="AB40" s="3" t="inlineStr">
        <is>
          <t>1. Hard-boil the eggs, cool, peel and chop.
2. Mix with yogurt, mayo, Dijon, celery, chives, salt and pepper.
3. Spoon into butter lettuce leaves and serve.</t>
        </is>
      </c>
      <c r="AC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0% of this dish's available carbohydrate comes from ingredients with a published, measured GI; the rest uses conventional placeholders (see Ingredients sheet)</t>
        </is>
      </c>
      <c r="Z41" s="2" t="n">
        <v>0</v>
      </c>
      <c r="AA41" s="3" t="inlineStr">
        <is>
          <t>vegan, gluten-free, dairy-free, low-carb, high-fiber, no-cook, make-ahead</t>
        </is>
      </c>
      <c r="AB41" s="3" t="inlineStr">
        <is>
          <t>1. Whisk chia with both milks, vanilla and stevia; refrigerate overnight.
2. Toast coconut and almonds in a dry pan for 2 minutes.
3. Top the pudding with blackberries and the toasted mix.</t>
        </is>
      </c>
      <c r="AC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39% of this dish's available carbohydrate comes from ingredients with a published, measured GI; the rest uses conventional placeholders (see Ingredients sheet)</t>
        </is>
      </c>
      <c r="Z42" s="2" t="n">
        <v>39</v>
      </c>
      <c r="AA42" s="3" t="inlineStr">
        <is>
          <t>vegetarian, gluten-free, nut-free, low-carb, make-ahead</t>
        </is>
      </c>
      <c r="AB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C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83% of this dish's available carbohydrate comes from ingredients with a published, measured GI; the rest uses conventional placeholders (see Ingredients sheet)</t>
        </is>
      </c>
      <c r="Z43" s="2" t="n">
        <v>83</v>
      </c>
      <c r="AA43" s="3" t="inlineStr">
        <is>
          <t>vegetarian, nut-free</t>
        </is>
      </c>
      <c r="AB43" s="3" t="inlineStr">
        <is>
          <t>1. Blend oats, cottage cheese, eggs, baking powder, vanilla and cinnamon into a smooth batter.
2. Cook in a preheated, lightly greased waffle iron until golden, about 4 minutes per waffle.
3. Serve with Greek yogurt and sliced strawberries.</t>
        </is>
      </c>
      <c r="AC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0% of this dish's available carbohydrate comes from ingredients with a published, measured GI; the rest uses conventional placeholders (see Ingredients sheet)</t>
        </is>
      </c>
      <c r="Z44" s="2" t="n">
        <v>0</v>
      </c>
      <c r="AA44" s="3" t="inlineStr">
        <is>
          <t>vegetarian, gluten-free, dairy-free, nut-free, low-carb, quick</t>
        </is>
      </c>
      <c r="AB44" s="3" t="inlineStr">
        <is>
          <t>1. Poach the eggs in simmering water with a splash of vinegar for 3 minutes.
2. Toss greens with olive oil, lemon juice and salt.
3. Top with avocado, tomatoes, pumpkin seeds and the poached eggs.</t>
        </is>
      </c>
      <c r="AC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0% of this dish's available carbohydrate comes from ingredients with a published, measured GI; the rest uses conventional placeholders (see Ingredients sheet)</t>
        </is>
      </c>
      <c r="Z45" s="2" t="n">
        <v>0</v>
      </c>
      <c r="AA45" s="3" t="inlineStr">
        <is>
          <t>gluten-free, dairy-free, nut-free, low-carb, high-protein, one-pan</t>
        </is>
      </c>
      <c r="AB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C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79% of this dish's available carbohydrate comes from ingredients with a published, measured GI; the rest uses conventional placeholders (see Ingredients sheet)</t>
        </is>
      </c>
      <c r="Z46" s="2" t="n">
        <v>79</v>
      </c>
      <c r="AA46" s="3" t="inlineStr">
        <is>
          <t>vegetarian, nut-free</t>
        </is>
      </c>
      <c r="AB46" s="3" t="inlineStr">
        <is>
          <t>1. Blend cottage cheese, eggs, oats, vanilla and baking powder until smooth.
2. Fold in blueberries and let batter rest 5 minutes.
3. Cook small pancakes in coconut oil over medium-low heat, 2–3 minutes per side.</t>
        </is>
      </c>
      <c r="AC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28% of this dish's available carbohydrate comes from ingredients with a published, measured GI; the rest uses conventional placeholders (see Ingredients sheet)</t>
        </is>
      </c>
      <c r="Z47" s="2" t="n">
        <v>28</v>
      </c>
      <c r="AA47" s="3" t="inlineStr">
        <is>
          <t>gluten-free, nut-free, low-carb, high-protein</t>
        </is>
      </c>
      <c r="AB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C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53</v>
      </c>
      <c r="U48" s="2" t="inlineStr">
        <is>
          <t>low</t>
        </is>
      </c>
      <c r="V48" s="5" t="n">
        <v>11.9</v>
      </c>
      <c r="W48" s="2" t="inlineStr">
        <is>
          <t>medium</t>
        </is>
      </c>
      <c r="X48" s="3" t="inlineStr"/>
      <c r="Y48" s="3" t="inlineStr">
        <is>
          <t>89% of this dish's available carbohydrate comes from ingredients with a published, measured GI; the rest uses conventional placeholders (see Ingredients sheet)</t>
        </is>
      </c>
      <c r="Z48" s="2" t="n">
        <v>89</v>
      </c>
      <c r="AA48" s="3" t="inlineStr">
        <is>
          <t>vegan, gluten-free, dairy-free, quick</t>
        </is>
      </c>
      <c r="AB48" s="3" t="inlineStr">
        <is>
          <t>1. Toast the bread.
2. Spread with almond butter and top with thin banana slices.
3. Sprinkle with hemp seeds and cinnamon.</t>
        </is>
      </c>
      <c r="AC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0% of this dish's available carbohydrate comes from ingredients with a published, measured GI; the rest uses conventional placeholders (see Ingredients sheet)</t>
        </is>
      </c>
      <c r="Z49" s="2" t="n">
        <v>0</v>
      </c>
      <c r="AA49" s="3" t="inlineStr">
        <is>
          <t>gluten-free, nut-free, low-carb, high-protein, make-ahead</t>
        </is>
      </c>
      <c r="AB49" s="3" t="inlineStr">
        <is>
          <t>1. Preheat oven to 375°F. Sauté onion and asparagus pieces in oil in an ovenproof skillet for 4 minutes; add diced ham.
2. Whisk egg whites and eggs with pepper, pour over and sprinkle with parmesan.
3. Bake 15 minutes until set; slice into wedges.</t>
        </is>
      </c>
      <c r="AC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29% of this dish's available carbohydrate comes from ingredients with a published, measured GI; the rest uses conventional placeholders (see Ingredients sheet)</t>
        </is>
      </c>
      <c r="Z50" s="2" t="n">
        <v>29</v>
      </c>
      <c r="AA50" s="3" t="inlineStr">
        <is>
          <t>vegetarian, gluten-free, low-carb, high-protein, no-cook, quick</t>
        </is>
      </c>
      <c r="AB50" s="3" t="inlineStr">
        <is>
          <t>1. Combine everything in a blender.
2. Blend until creamy and thick.
3. Serve immediately.</t>
        </is>
      </c>
      <c r="AC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0% of this dish's available carbohydrate comes from ingredients with a published, measured GI; the rest uses conventional placeholders (see Ingredients sheet)</t>
        </is>
      </c>
      <c r="Z51" s="2" t="n">
        <v>0</v>
      </c>
      <c r="AA51" s="3" t="inlineStr">
        <is>
          <t>gluten-free, dairy-free, nut-free, low-carb, high-protein, quick</t>
        </is>
      </c>
      <c r="AB51" s="3" t="inlineStr">
        <is>
          <t>1. Cook bacon until crisp; drain and crumble.
2. Fry the eggs in a little of the bacon fat or olive oil.
3. Fill a bowl with arugula, tomatoes and sliced avocado; add eggs and bacon and season.</t>
        </is>
      </c>
      <c r="AC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45</v>
      </c>
      <c r="U52" s="2" t="inlineStr">
        <is>
          <t>low</t>
        </is>
      </c>
      <c r="V52" s="5" t="n">
        <v>15.7</v>
      </c>
      <c r="W52" s="2" t="inlineStr">
        <is>
          <t>medium</t>
        </is>
      </c>
      <c r="X52" s="3" t="inlineStr"/>
      <c r="Y52" s="3" t="inlineStr">
        <is>
          <t>94% of this dish's available carbohydrate comes from ingredients with a published, measured GI; the rest uses conventional placeholders (see Ingredients sheet)</t>
        </is>
      </c>
      <c r="Z52" s="2" t="n">
        <v>94</v>
      </c>
      <c r="AA52" s="3" t="inlineStr">
        <is>
          <t>vegan, gluten-free, dairy-free</t>
        </is>
      </c>
      <c r="AB52" s="3" t="inlineStr">
        <is>
          <t>1. Warm cooked buckwheat with almond milk, cinnamon and vanilla until creamy, 5 minutes.
2. Divide into bowls.
3. Top with pitted cherries and sliced almonds.</t>
        </is>
      </c>
      <c r="AC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0% of this dish's available carbohydrate comes from ingredients with a published, measured GI; the rest uses conventional placeholders (see Ingredients sheet)</t>
        </is>
      </c>
      <c r="Z53" s="2" t="n">
        <v>0</v>
      </c>
      <c r="AA53" s="3" t="inlineStr">
        <is>
          <t>vegetarian, gluten-free, nut-free, low-carb, high-fiber</t>
        </is>
      </c>
      <c r="AB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C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75% of this dish's available carbohydrate comes from ingredients with a published, measured GI; the rest uses conventional placeholders (see Ingredients sheet)</t>
        </is>
      </c>
      <c r="Z54" s="2" t="n">
        <v>75</v>
      </c>
      <c r="AA54" s="3" t="inlineStr">
        <is>
          <t>vegetarian, gluten-free, nut-free, high-fiber</t>
        </is>
      </c>
      <c r="AB54" s="3" t="inlineStr">
        <is>
          <t>1. Sauté kale in olive oil until tender; season and add lemon juice.
2. Fry or poach the eggs.
3. Divide quinoa between bowls, add kale, tomatoes, avocado and feta, and top with eggs.</t>
        </is>
      </c>
      <c r="AC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79% of this dish's available carbohydrate comes from ingredients with a published, measured GI; the rest uses conventional placeholders (see Ingredients sheet)</t>
        </is>
      </c>
      <c r="Z55" s="2" t="n">
        <v>79</v>
      </c>
      <c r="AA55" s="3" t="inlineStr">
        <is>
          <t>pescatarian, nut-free, high-protein, omega-3</t>
        </is>
      </c>
      <c r="AB55" s="3" t="inlineStr">
        <is>
          <t>1. Poach or bake trout fillet (or use smoked trout), then flake.
2. Hard-boil eggs, cool and halve.
3. Arrange trout, eggs, rye bread, cucumber and radish slices on a board with a bowl of yogurt mixed with dill, lemon and pepper.</t>
        </is>
      </c>
      <c r="AC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80% of this dish's available carbohydrate comes from ingredients with a published, measured GI; the rest uses conventional placeholders (see Ingredients sheet)</t>
        </is>
      </c>
      <c r="Z56" s="2" t="n">
        <v>80</v>
      </c>
      <c r="AA56" s="3" t="inlineStr">
        <is>
          <t>vegetarian, quick</t>
        </is>
      </c>
      <c r="AB56" s="3" t="inlineStr">
        <is>
          <t>1. Toast the bread.
2. Spread with cottage cheese and top with thin apple slices.
3. Sprinkle with cinnamon and chopped walnuts.</t>
        </is>
      </c>
      <c r="AC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74% of this dish's available carbohydrate comes from ingredients with a published, measured GI; the rest uses conventional placeholders (see Ingredients sheet)</t>
        </is>
      </c>
      <c r="Z57" s="2" t="n">
        <v>74</v>
      </c>
      <c r="AA57" s="3" t="inlineStr">
        <is>
          <t>vegetarian, gluten-free, nut-free, high-protein, high-fiber, one-pan</t>
        </is>
      </c>
      <c r="AB57" s="3" t="inlineStr">
        <is>
          <t>1. Sauté garlic and red pepper flakes in olive oil 30 seconds, add kale and cook until wilted.
2. Stir in beans, lemon juice and salt; heat through.
3. Make four wells, crack in the eggs, cover and cook 5–6 minutes.
4. Top with parmesan.</t>
        </is>
      </c>
      <c r="AC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53</v>
      </c>
      <c r="U58" s="2" t="inlineStr">
        <is>
          <t>low</t>
        </is>
      </c>
      <c r="V58" s="5" t="n">
        <v>15.2</v>
      </c>
      <c r="W58" s="2" t="inlineStr">
        <is>
          <t>medium</t>
        </is>
      </c>
      <c r="X58" s="3" t="inlineStr"/>
      <c r="Y58" s="3" t="inlineStr">
        <is>
          <t>83% of this dish's available carbohydrate comes from ingredients with a published, measured GI; the rest uses conventional placeholders (see Ingredients sheet)</t>
        </is>
      </c>
      <c r="Z58" s="2" t="n">
        <v>83</v>
      </c>
      <c r="AA58" s="3" t="inlineStr">
        <is>
          <t>gluten-free, dairy-free, nut-free, high-protein, high-fiber, quick</t>
        </is>
      </c>
      <c r="AB58" s="3" t="inlineStr">
        <is>
          <t>1. Toast the bread and fry the egg in olive oil.
2. Spread Dijon on one slice, mash avocado on the other.
3. Layer turkey, tomato and the egg; close the sandwich.</t>
        </is>
      </c>
      <c r="AC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63% of this dish's available carbohydrate comes from ingredients with a published, measured GI; the rest uses conventional placeholders (see Ingredients sheet)</t>
        </is>
      </c>
      <c r="Z59" s="2" t="n">
        <v>63</v>
      </c>
      <c r="AA59" s="3" t="inlineStr">
        <is>
          <t>vegan, gluten-free, dairy-free, low-carb, high-fiber, no-cook, make-ahead</t>
        </is>
      </c>
      <c r="AB59" s="3" t="inlineStr">
        <is>
          <t>1. Whisk almond milk with protein powder, matcha, vanilla and sweetener until no lumps remain.
2. Stir in chia seeds, rest 10 minutes, stir again and refrigerate 4+ hours.
3. Top with diced kiwi.</t>
        </is>
      </c>
      <c r="AC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67% of this dish's available carbohydrate comes from ingredients with a published, measured GI; the rest uses conventional placeholders (see Ingredients sheet)</t>
        </is>
      </c>
      <c r="Z60" s="2" t="n">
        <v>67</v>
      </c>
      <c r="AA60" s="3" t="inlineStr">
        <is>
          <t>vegetarian, gluten-free, nut-free, low-carb, high-protein, quick</t>
        </is>
      </c>
      <c r="AB60" s="3" t="inlineStr">
        <is>
          <t>1. Warm black beans with cumin in olive oil.
2. Add egg whites and stir gently until set.
3. Top with salsa verde, cotija and cilantro.</t>
        </is>
      </c>
      <c r="AC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83% of this dish's available carbohydrate comes from ingredients with a published, measured GI; the rest uses conventional placeholders (see Ingredients sheet)</t>
        </is>
      </c>
      <c r="Z61" s="2" t="n">
        <v>83</v>
      </c>
      <c r="AA61" s="3" t="inlineStr">
        <is>
          <t>pescatarian, dairy-free, nut-free, quick, omega-3</t>
        </is>
      </c>
      <c r="AB61" s="3" t="inlineStr">
        <is>
          <t>1. Toast the rye bread.
2. Mash avocado with lemon juice and spread on the toast.
3. Top with sardines, thin red onion, parsley and pepper flakes.</t>
        </is>
      </c>
      <c r="AC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30</v>
      </c>
      <c r="U62" s="2" t="inlineStr">
        <is>
          <t>low</t>
        </is>
      </c>
      <c r="V62" s="5" t="n">
        <v>5.8</v>
      </c>
      <c r="W62" s="2" t="inlineStr">
        <is>
          <t>low</t>
        </is>
      </c>
      <c r="X62" s="3" t="inlineStr"/>
      <c r="Y62" s="3" t="inlineStr">
        <is>
          <t>59% of this dish's available carbohydrate comes from ingredients with a published, measured GI; the rest uses conventional placeholders (see Ingredients sheet)</t>
        </is>
      </c>
      <c r="Z62" s="2" t="n">
        <v>59</v>
      </c>
      <c r="AA62" s="3" t="inlineStr">
        <is>
          <t>vegetarian, gluten-free, high-protein, no-cook, quick</t>
        </is>
      </c>
      <c r="AB62" s="3" t="inlineStr">
        <is>
          <t>1. Stir stevia into the yogurt if desired.
2. Top with pomegranate arils, pistachios and hemp seeds.
3. Garnish with torn mint.</t>
        </is>
      </c>
      <c r="AC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17% of this dish's available carbohydrate comes from ingredients with a published, measured GI; the rest uses conventional placeholders (see Ingredients sheet)</t>
        </is>
      </c>
      <c r="Z63" s="2" t="n">
        <v>17</v>
      </c>
      <c r="AA63" s="3" t="inlineStr">
        <is>
          <t>gluten-free, nut-free, low-carb, high-protein</t>
        </is>
      </c>
      <c r="AB63" s="3" t="inlineStr">
        <is>
          <t>1. Brown the sausage with pepper and mushrooms in an ovenproof skillet.
2. Pour in whisked eggs with Italian seasoning; cook until the bottom sets.
3. Spread marinara over the top, add mozzarella and broil 3–4 minutes until bubbly.
4. Slice like a pizza.</t>
        </is>
      </c>
      <c r="AC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49</v>
      </c>
      <c r="U64" s="2" t="inlineStr">
        <is>
          <t>low</t>
        </is>
      </c>
      <c r="V64" s="5" t="n">
        <v>15.3</v>
      </c>
      <c r="W64" s="2" t="inlineStr">
        <is>
          <t>medium</t>
        </is>
      </c>
      <c r="X64" s="3" t="inlineStr"/>
      <c r="Y64" s="3" t="inlineStr">
        <is>
          <t>94% of this dish's available carbohydrate comes from ingredients with a published, measured GI; the rest uses conventional placeholders (see Ingredients sheet)</t>
        </is>
      </c>
      <c r="Z64" s="2" t="n">
        <v>94</v>
      </c>
      <c r="AA64" s="3" t="inlineStr">
        <is>
          <t>vegetarian</t>
        </is>
      </c>
      <c r="AB64" s="3" t="inlineStr">
        <is>
          <t>1. Warm cooked farro with almond milk, cinnamon and vanilla for 5 minutes.
2. Divide into bowls and add a spoon of Greek yogurt.
3. Top with diced pear and walnuts.</t>
        </is>
      </c>
      <c r="AC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13% of this dish's available carbohydrate comes from ingredients with a published, measured GI; the rest uses conventional placeholders (see Ingredients sheet)</t>
        </is>
      </c>
      <c r="Z65" s="2" t="n">
        <v>13</v>
      </c>
      <c r="AA65" s="3" t="inlineStr">
        <is>
          <t>gluten-free, nut-free, low-carb, make-ahead</t>
        </is>
      </c>
      <c r="AB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C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92% of this dish's available carbohydrate comes from ingredients with a published, measured GI; the rest uses conventional placeholders (see Ingredients sheet)</t>
        </is>
      </c>
      <c r="Z66" s="2" t="n">
        <v>92</v>
      </c>
      <c r="AA66" s="3" t="inlineStr">
        <is>
          <t>vegetarian, high-fiber, no-cook, make-ahead</t>
        </is>
      </c>
      <c r="AB66" s="3" t="inlineStr">
        <is>
          <t>1. Stir oats, almond milk, yogurt, chia and vanilla in a jar.
2. Refrigerate overnight.
3. Top with sliced strawberries and a drizzle of almond butter.</t>
        </is>
      </c>
      <c r="AC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0% of this dish's available carbohydrate comes from ingredients with a published, measured GI; the rest uses conventional placeholders (see Ingredients sheet)</t>
        </is>
      </c>
      <c r="Z67" s="2" t="n">
        <v>0</v>
      </c>
      <c r="AA67" s="3" t="inlineStr">
        <is>
          <t>pescatarian, gluten-free, dairy-free, nut-free, low-carb, high-protein, quick</t>
        </is>
      </c>
      <c r="AB67" s="3" t="inlineStr">
        <is>
          <t>1. Whisk eggs with Old Bay and cook in olive oil until nearly set.
2. Add crab and green onion to one half, fold and cook 1 minute.
3. Top with sliced avocado and lemon juice.</t>
        </is>
      </c>
      <c r="AC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36% of this dish's available carbohydrate comes from ingredients with a published, measured GI; the rest uses conventional placeholders (see Ingredients sheet)</t>
        </is>
      </c>
      <c r="Z68" s="2" t="n">
        <v>36</v>
      </c>
      <c r="AA68" s="3" t="inlineStr">
        <is>
          <t>vegetarian, gluten-free, nut-free, low-carb, high-fiber, quick</t>
        </is>
      </c>
      <c r="AB68" s="3" t="inlineStr">
        <is>
          <t>1. Mix flaxseed, egg, baking powder, cinnamon, sweetener and melted coconut oil in a mug.
2. Microwave 90 seconds until set.
3. Turn out, split and serve with Greek yogurt and raspberries.</t>
        </is>
      </c>
      <c r="AC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0% of this dish's available carbohydrate comes from ingredients with a published, measured GI; the rest uses conventional placeholders (see Ingredients sheet)</t>
        </is>
      </c>
      <c r="Z69" s="2" t="n">
        <v>0</v>
      </c>
      <c r="AA69" s="3" t="inlineStr">
        <is>
          <t>gluten-free, nut-free, low-carb, high-protein</t>
        </is>
      </c>
      <c r="AB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C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14% of this dish's available carbohydrate comes from ingredients with a published, measured GI; the rest uses conventional placeholders (see Ingredients sheet)</t>
        </is>
      </c>
      <c r="Z70" s="2" t="n">
        <v>14</v>
      </c>
      <c r="AA70" s="3" t="inlineStr">
        <is>
          <t>vegan, dairy-free, nut-free, low-carb, high-fiber</t>
        </is>
      </c>
      <c r="AB70" s="3" t="inlineStr">
        <is>
          <t>1. Slice tempeh thin and marinate 5 minutes in tamari, paprika and maple syrup.
2. Pan-fry in olive oil 3 minutes per side until crisp.
3. Fill tortillas with lettuce, tomato, avocado and tempeh bacon; roll up.</t>
        </is>
      </c>
      <c r="AC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0% of this dish's available carbohydrate comes from ingredients with a published, measured GI; the rest uses conventional placeholders (see Ingredients sheet)</t>
        </is>
      </c>
      <c r="Z71" s="2" t="n">
        <v>0</v>
      </c>
      <c r="AA71" s="3" t="inlineStr">
        <is>
          <t>pescatarian, gluten-free, dairy-free, low-carb, high-protein, omega-3</t>
        </is>
      </c>
      <c r="AB71" s="3" t="inlineStr">
        <is>
          <t>1. Mix salmon, 1 egg, almond flour, green onion, Dijon and lemon juice; form 4 patties.
2. Pan-fry in olive oil 4 minutes per side until golden.
3. Poach the remaining 2 eggs.
4. Serve cakes on arugula topped with a poached egg.</t>
        </is>
      </c>
      <c r="AC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81% of this dish's available carbohydrate comes from ingredients with a published, measured GI; the rest uses conventional placeholders (see Ingredients sheet)</t>
        </is>
      </c>
      <c r="Z72" s="2" t="n">
        <v>81</v>
      </c>
      <c r="AA72" s="3" t="inlineStr">
        <is>
          <t>vegetarian, quick</t>
        </is>
      </c>
      <c r="AB72" s="3" t="inlineStr">
        <is>
          <t>1. Heat pesto in a nonstick pan and crack in the eggs; fry until whites set.
2. Toast the bread.
3. Slide the pesto eggs onto the toast and top with halved tomatoes and parmesan.</t>
        </is>
      </c>
      <c r="AC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0% of this dish's available carbohydrate comes from ingredients with a published, measured GI; the rest uses conventional placeholders (see Ingredients sheet)</t>
        </is>
      </c>
      <c r="Z73" s="2" t="n">
        <v>0</v>
      </c>
      <c r="AA73" s="3" t="inlineStr">
        <is>
          <t>vegetarian</t>
        </is>
      </c>
      <c r="AB73" s="3" t="inlineStr">
        <is>
          <t>1. Blend eggs, egg whites, almond milk, oat flour and vanilla into a thin batter.
2. Cook thin crepes in a lightly oiled pan, 1 minute per side; makes about 6.
3. Mix ricotta with sweetener, fill crepes, fold and top with blackberries.</t>
        </is>
      </c>
      <c r="AC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0% of this dish's available carbohydrate comes from ingredients with a published, measured GI; the rest uses conventional placeholders (see Ingredients sheet)</t>
        </is>
      </c>
      <c r="Z74" s="2" t="n">
        <v>0</v>
      </c>
      <c r="AA74" s="3" t="inlineStr">
        <is>
          <t>vegetarian, dairy-free, nut-free, low-carb, quick</t>
        </is>
      </c>
      <c r="AB74" s="3" t="inlineStr">
        <is>
          <t>1. Bring broth with ginger to a simmer; add cubed tofu and spinach.
2. Whisk miso with a ladle of hot broth and stir back in (do not boil).
3. Slowly pour in beaten eggs while stirring to form ribbons.
4. Top with green onion and torn nori.</t>
        </is>
      </c>
      <c r="AC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81% of this dish's available carbohydrate comes from ingredients with a published, measured GI; the rest uses conventional placeholders (see Ingredients sheet)</t>
        </is>
      </c>
      <c r="Z75" s="2" t="n">
        <v>81</v>
      </c>
      <c r="AA75" s="3" t="inlineStr">
        <is>
          <t>vegetarian, dairy-free</t>
        </is>
      </c>
      <c r="AB75" s="3" t="inlineStr">
        <is>
          <t>1. Simmer oats, grated zucchini and almond milk 5 minutes.
2. Whisk in egg whites while stirring quickly to thicken and add protein; cook 1 minute.
3. Stir in spices, vanilla and sweetener; top with walnuts.</t>
        </is>
      </c>
      <c r="AC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0% of this dish's available carbohydrate comes from ingredients with a published, measured GI; the rest uses conventional placeholders (see Ingredients sheet)</t>
        </is>
      </c>
      <c r="Z76" s="2" t="n">
        <v>0</v>
      </c>
      <c r="AA76" s="3" t="inlineStr">
        <is>
          <t>vegetarian, nut-free, low-carb, high-protein, high-fiber, quick</t>
        </is>
      </c>
      <c r="AB76" s="3" t="inlineStr">
        <is>
          <t>1. Sauté mushrooms and spinach in olive oil 3 minutes.
2. Add egg whites and scramble until set; stir in roasted pepper and feta.
3. Spoon into the warmed tortilla and roll up.</t>
        </is>
      </c>
      <c r="AC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23</v>
      </c>
      <c r="U77" s="2" t="inlineStr">
        <is>
          <t>low</t>
        </is>
      </c>
      <c r="V77" s="5" t="n">
        <v>5.6</v>
      </c>
      <c r="W77" s="2" t="inlineStr">
        <is>
          <t>low</t>
        </is>
      </c>
      <c r="X77" s="3" t="inlineStr"/>
      <c r="Y77" s="3" t="inlineStr">
        <is>
          <t>88% of this dish's available carbohydrate comes from ingredients with a published, measured GI; the rest uses conventional placeholders (see Ingredients sheet)</t>
        </is>
      </c>
      <c r="Z77" s="2" t="n">
        <v>88</v>
      </c>
      <c r="AA77" s="3" t="inlineStr">
        <is>
          <t>vegetarian, gluten-free, high-protein, high-fiber, no-cook, quick</t>
        </is>
      </c>
      <c r="AB77" s="3" t="inlineStr">
        <is>
          <t>1. Blend frozen cherries, yogurt, protein powder, almond milk and vanilla until thick.
2. Spoon into a bowl.
3. Top with chia seeds, sliced almonds and coconut.</t>
        </is>
      </c>
      <c r="AC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0% of this dish's available carbohydrate comes from ingredients with a published, measured GI; the rest uses conventional placeholders (see Ingredients sheet)</t>
        </is>
      </c>
      <c r="Z78" s="2" t="n">
        <v>0</v>
      </c>
      <c r="AA78" s="3" t="inlineStr">
        <is>
          <t>gluten-free, dairy-free, nut-free, low-carb</t>
        </is>
      </c>
      <c r="AB78" s="3" t="inlineStr">
        <is>
          <t>1. Sauté onion, pepper and shredded cabbage in olive oil until softened and browned in spots, 8 minutes.
2. Add shredded cooked beef and Dijon; press down and crisp 4 minutes.
3. Fry eggs and serve on top of the hash.</t>
        </is>
      </c>
      <c r="AC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32</v>
      </c>
      <c r="U79" s="2" t="inlineStr">
        <is>
          <t>low</t>
        </is>
      </c>
      <c r="V79" s="5" t="n">
        <v>4.9</v>
      </c>
      <c r="W79" s="2" t="inlineStr">
        <is>
          <t>low</t>
        </is>
      </c>
      <c r="X79" s="3" t="inlineStr"/>
      <c r="Y79" s="3" t="inlineStr">
        <is>
          <t>75% of this dish's available carbohydrate comes from ingredients with a published, measured GI; the rest uses conventional placeholders (see Ingredients sheet)</t>
        </is>
      </c>
      <c r="Z79" s="2" t="n">
        <v>75</v>
      </c>
      <c r="AA79" s="3" t="inlineStr">
        <is>
          <t>vegetarian, gluten-free, dairy-free, nut-free, quick</t>
        </is>
      </c>
      <c r="AB79" s="3" t="inlineStr">
        <is>
          <t>1. Sauté onion in olive oil with turmeric and cumin for 3 minutes.
2. Add chickpeas and spinach; cook until spinach wilts.
3. Pour in whisked eggs and scramble softly. Season and garnish with cilantro.</t>
        </is>
      </c>
      <c r="AC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0% of this dish's available carbohydrate comes from ingredients with a published, measured GI; the rest uses conventional placeholders (see Ingredients sheet)</t>
        </is>
      </c>
      <c r="Z80" s="2" t="n">
        <v>0</v>
      </c>
      <c r="AA80" s="3" t="inlineStr">
        <is>
          <t>gluten-free, dairy-free, nut-free, low-carb, high-protein, quick</t>
        </is>
      </c>
      <c r="AB80" s="3" t="inlineStr">
        <is>
          <t>1. Cook turkey bacon until crisp and chop.
2. Wilt spinach in olive oil, add egg whites and scramble.
3. Assemble in a bowl with tomatoes and avocado; sprinkle with everything seasoning.</t>
        </is>
      </c>
      <c r="AC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65% of this dish's available carbohydrate comes from ingredients with a published, measured GI; the rest uses conventional placeholders (see Ingredients sheet)</t>
        </is>
      </c>
      <c r="Z81" s="2" t="n">
        <v>65</v>
      </c>
      <c r="AA81" s="3" t="inlineStr">
        <is>
          <t>vegan, gluten-free, dairy-free, low-carb, high-fiber, make-ahead</t>
        </is>
      </c>
      <c r="AB81" s="3" t="inlineStr">
        <is>
          <t>1. Whisk chia, almond milk, sweetener, vanilla and half the cinnamon; refrigerate overnight.
2. Sauté diced apple with the remaining cinnamon and nutmeg for 4 minutes until soft.
3. Top the pudding with warm apple and walnuts.</t>
        </is>
      </c>
      <c r="AC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92% of this dish's available carbohydrate comes from ingredients with a published, measured GI; the rest uses conventional placeholders (see Ingredients sheet)</t>
        </is>
      </c>
      <c r="Z82" s="2" t="n">
        <v>92</v>
      </c>
      <c r="AA82" s="3" t="inlineStr">
        <is>
          <t>vegetarian, nut-free, quick</t>
        </is>
      </c>
      <c r="AB82" s="3" t="inlineStr">
        <is>
          <t>1. Whisk eggs with pepper and cook in butter over low heat, stirring for soft curds.
2. Fold in goat cheese and herbs off the heat.
3. Serve over toasted rye.</t>
        </is>
      </c>
      <c r="AC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43% of this dish's available carbohydrate comes from ingredients with a published, measured GI; the rest uses conventional placeholders (see Ingredients sheet)</t>
        </is>
      </c>
      <c r="Z83" s="2" t="n">
        <v>43</v>
      </c>
      <c r="AA83" s="3" t="inlineStr">
        <is>
          <t>gluten-free, nut-free, high-protein, high-fiber</t>
        </is>
      </c>
      <c r="AB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C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36</v>
      </c>
      <c r="U84" s="2" t="inlineStr">
        <is>
          <t>low</t>
        </is>
      </c>
      <c r="V84" s="5" t="n">
        <v>6.4</v>
      </c>
      <c r="W84" s="2" t="inlineStr">
        <is>
          <t>low</t>
        </is>
      </c>
      <c r="X84" s="3" t="inlineStr"/>
      <c r="Y84" s="3" t="inlineStr">
        <is>
          <t>54% of this dish's available carbohydrate comes from ingredients with a published, measured GI; the rest uses conventional placeholders (see Ingredients sheet)</t>
        </is>
      </c>
      <c r="Z84" s="2" t="n">
        <v>54</v>
      </c>
      <c r="AA84" s="3" t="inlineStr">
        <is>
          <t>vegetarian, gluten-free, no-cook, quick</t>
        </is>
      </c>
      <c r="AB84" s="3" t="inlineStr">
        <is>
          <t>1. Blend all ingredients until smooth.
2. Add ice for a thicker texture.
3. Pour and serve.</t>
        </is>
      </c>
      <c r="AC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25% of this dish's available carbohydrate comes from ingredients with a published, measured GI; the rest uses conventional placeholders (see Ingredients sheet)</t>
        </is>
      </c>
      <c r="Z85" s="2" t="n">
        <v>25</v>
      </c>
      <c r="AA85" s="3" t="inlineStr">
        <is>
          <t>vegetarian, gluten-free, dairy-free, nut-free, low-carb, high-fiber</t>
        </is>
      </c>
      <c r="AB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C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86% of this dish's available carbohydrate comes from ingredients with a published, measured GI; the rest uses conventional placeholders (see Ingredients sheet)</t>
        </is>
      </c>
      <c r="Z86" s="2" t="n">
        <v>86</v>
      </c>
      <c r="AA86" s="3" t="inlineStr">
        <is>
          <t>vegetarian, high-fiber</t>
        </is>
      </c>
      <c r="AB86" s="3" t="inlineStr">
        <is>
          <t>1. Warm cooked bulgur with cinnamon.
2. Divide into bowls and top with Greek yogurt.
3. Add berries, pistachios and a small drizzle of honey.</t>
        </is>
      </c>
      <c r="AC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15% of this dish's available carbohydrate comes from ingredients with a published, measured GI; the rest uses conventional placeholders (see Ingredients sheet)</t>
        </is>
      </c>
      <c r="Z87" s="2" t="n">
        <v>15</v>
      </c>
      <c r="AA87" s="3" t="inlineStr">
        <is>
          <t>gluten-free, nut-free, low-carb, high-protein</t>
        </is>
      </c>
      <c r="AB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C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47</v>
      </c>
      <c r="U88" s="2" t="inlineStr">
        <is>
          <t>low</t>
        </is>
      </c>
      <c r="V88" s="5" t="n">
        <v>8.699999999999999</v>
      </c>
      <c r="W88" s="2" t="inlineStr">
        <is>
          <t>low</t>
        </is>
      </c>
      <c r="X88" s="3" t="inlineStr"/>
      <c r="Y88" s="3" t="inlineStr">
        <is>
          <t>77% of this dish's available carbohydrate comes from ingredients with a published, measured GI; the rest uses conventional placeholders (see Ingredients sheet)</t>
        </is>
      </c>
      <c r="Z88" s="2" t="n">
        <v>77</v>
      </c>
      <c r="AA88" s="3" t="inlineStr">
        <is>
          <t>vegetarian, gluten-free, high-fiber, quick</t>
        </is>
      </c>
      <c r="AB88" s="3" t="inlineStr">
        <is>
          <t>1. Toast the bread.
2. Spread with Greek yogurt and dot with almond butter.
3. Top with raspberries and chia seeds.</t>
        </is>
      </c>
      <c r="AC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89% of this dish's available carbohydrate comes from ingredients with a published, measured GI; the rest uses conventional placeholders (see Ingredients sheet)</t>
        </is>
      </c>
      <c r="Z89" s="2" t="n">
        <v>89</v>
      </c>
      <c r="AA89" s="3" t="inlineStr">
        <is>
          <t>vegetarian, gluten-free, nut-free, high-fiber</t>
        </is>
      </c>
      <c r="AB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C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0% of this dish's available carbohydrate comes from ingredients with a published, measured GI; the rest uses conventional placeholders (see Ingredients sheet)</t>
        </is>
      </c>
      <c r="Z90" s="2" t="n">
        <v>0</v>
      </c>
      <c r="AA90" s="3" t="inlineStr">
        <is>
          <t>vegetarian, gluten-free, nut-free, low-carb, make-ahead</t>
        </is>
      </c>
      <c r="AB90" s="3" t="inlineStr">
        <is>
          <t>1. Preheat oven to 350°F and oil a muffin tin.
2. Blend egg whites with cottage cheese, salt and onion powder.
3. Divide chopped steamed broccoli and cheddar among cups, pour in the mixture.
4. Bake 18–20 minutes.</t>
        </is>
      </c>
      <c r="AC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0% of this dish's available carbohydrate comes from ingredients with a published, measured GI; the rest uses conventional placeholders (see Ingredients sheet)</t>
        </is>
      </c>
      <c r="Z91" s="2" t="n">
        <v>0</v>
      </c>
      <c r="AA91" s="3" t="inlineStr">
        <is>
          <t>vegetarian, gluten-free, nut-free, low-carb</t>
        </is>
      </c>
      <c r="AB91" s="3" t="inlineStr">
        <is>
          <t>1. Soften onion and pepper in olive oil 6 minutes.
2. Add chopped tomatoes and cook down 6 minutes into a thick sauce; season.
3. Pour in beaten eggs and stir slowly until soft-set.
4. Top with feta, parsley and pepper flakes.</t>
        </is>
      </c>
      <c r="AC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89% of this dish's available carbohydrate comes from ingredients with a published, measured GI; the rest uses conventional placeholders (see Ingredients sheet)</t>
        </is>
      </c>
      <c r="Z92" s="2" t="n">
        <v>89</v>
      </c>
      <c r="AA92" s="3" t="inlineStr">
        <is>
          <t>vegan, dairy-free, high-fiber, quick</t>
        </is>
      </c>
      <c r="AB92" s="3" t="inlineStr">
        <is>
          <t>1. Simmer oat bran and almond milk, stirring, 3–4 minutes until thick.
2. Stir in cinnamon and flaxseed.
3. Top with walnuts and blueberries.</t>
        </is>
      </c>
      <c r="AC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87% of this dish's available carbohydrate comes from ingredients with a published, measured GI; the rest uses conventional placeholders (see Ingredients sheet)</t>
        </is>
      </c>
      <c r="Z93" s="2" t="n">
        <v>87</v>
      </c>
      <c r="AA93" s="3" t="inlineStr">
        <is>
          <t>vegetarian, nut-free, high-fiber, quick</t>
        </is>
      </c>
      <c r="AB93" s="3" t="inlineStr">
        <is>
          <t>1. Wilt spinach in olive oil, add whisked eggs with oregano and scramble.
2. Warm the pita and split open.
3. Stuff with eggs, feta, tomato and chopped olives.</t>
        </is>
      </c>
      <c r="AC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51% of this dish's available carbohydrate comes from ingredients with a published, measured GI; the rest uses conventional placeholders (see Ingredients sheet)</t>
        </is>
      </c>
      <c r="Z94" s="2" t="n">
        <v>51</v>
      </c>
      <c r="AA94" s="3" t="inlineStr">
        <is>
          <t>vegetarian, gluten-free, low-carb, make-ahead</t>
        </is>
      </c>
      <c r="AB94" s="3" t="inlineStr">
        <is>
          <t>1. Preheat oven to 350°F and line 12 muffin cups.
2. Whisk eggs, yogurt, melted coconut oil, lemon zest and juice; stir in almond flour, protein, baking powder and sweetener.
3. Fold in blueberries and divide among cups.
4. Bake 20–22 minutes; cool before storing.</t>
        </is>
      </c>
      <c r="AC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0% of this dish's available carbohydrate comes from ingredients with a published, measured GI; the rest uses conventional placeholders (see Ingredients sheet)</t>
        </is>
      </c>
      <c r="Z95" s="2" t="n">
        <v>0</v>
      </c>
      <c r="AA95" s="3" t="inlineStr">
        <is>
          <t>vegetarian, gluten-free, nut-free, low-carb, quick</t>
        </is>
      </c>
      <c r="AB95" s="3" t="inlineStr">
        <is>
          <t>1. Sear mushrooms in olive oil over high heat until browned, 5 minutes; add garlic and thyme.
2. Lower heat, add whisked eggs and scramble gently.
3. Finish with parmesan and salt.</t>
        </is>
      </c>
      <c r="AC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89% of this dish's available carbohydrate comes from ingredients with a published, measured GI; the rest uses conventional placeholders (see Ingredients sheet)</t>
        </is>
      </c>
      <c r="Z96" s="2" t="n">
        <v>89</v>
      </c>
      <c r="AA96" s="3" t="inlineStr">
        <is>
          <t>vegetarian, no-cook, make-ahead</t>
        </is>
      </c>
      <c r="AB96" s="3" t="inlineStr">
        <is>
          <t>1. Stir oats, almond milk, half the yogurt, cinnamon, vanilla and sweetener; refrigerate overnight.
2. Whip cream cheese with the remaining yogurt for a 'frosting'.
3. Swirl the frosting over the oats and top with pecans.</t>
        </is>
      </c>
      <c r="AC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0% of this dish's available carbohydrate comes from ingredients with a published, measured GI; the rest uses conventional placeholders (see Ingredients sheet)</t>
        </is>
      </c>
      <c r="Z97" s="2" t="n">
        <v>0</v>
      </c>
      <c r="AA97" s="3" t="inlineStr">
        <is>
          <t>pescatarian, gluten-free, dairy-free, nut-free, low-carb, high-protein, quick</t>
        </is>
      </c>
      <c r="AB97" s="3" t="inlineStr">
        <is>
          <t>1. Mix eggs with sprouts, green onion, chopped mushrooms, chopped shrimp, tamari and sesame oil.
2. Ladle 1/2-cup portions into a hot oiled skillet and cook 3 minutes per side.
3. Serve with extra tamari.</t>
        </is>
      </c>
      <c r="AC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0% of this dish's available carbohydrate comes from ingredients with a published, measured GI; the rest uses conventional placeholders (see Ingredients sheet)</t>
        </is>
      </c>
      <c r="Z98" s="2" t="n">
        <v>0</v>
      </c>
      <c r="AA98" s="3" t="inlineStr">
        <is>
          <t>vegan, gluten-free, dairy-free, low-carb, high-fiber, quick</t>
        </is>
      </c>
      <c r="AB98" s="3" t="inlineStr">
        <is>
          <t>1. Combine hemp, flax, chia and almond milk in a small pot.
2. Simmer 3–4 minutes, stirring, until thick.
3. Add cinnamon and stevia; top with blackberries.</t>
        </is>
      </c>
      <c r="AC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0% of this dish's available carbohydrate comes from ingredients with a published, measured GI; the rest uses conventional placeholders (see Ingredients sheet)</t>
        </is>
      </c>
      <c r="Z99" s="2" t="n">
        <v>0</v>
      </c>
      <c r="AA99" s="3" t="inlineStr">
        <is>
          <t>gluten-free, nut-free, low-carb, high-protein, quick</t>
        </is>
      </c>
      <c r="AB99" s="3" t="inlineStr">
        <is>
          <t>1. Cook eggs as two thin omelets in olive oil.
2. Spread each with Dijon, layer ham, cheese and spinach.
3. Roll up tightly, slice into pinwheels.</t>
        </is>
      </c>
      <c r="AC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90% of this dish's available carbohydrate comes from ingredients with a published, measured GI; the rest uses conventional placeholders (see Ingredients sheet)</t>
        </is>
      </c>
      <c r="Z100" s="2" t="n">
        <v>90</v>
      </c>
      <c r="AA100" s="3" t="inlineStr">
        <is>
          <t>vegetarian, gluten-free, quick</t>
        </is>
      </c>
      <c r="AB100" s="3" t="inlineStr">
        <is>
          <t>1. Sauté diced apple in butter with cinnamon 4 minutes until tender.
2. Stir vanilla into the yogurt.
3. Top with warm apples and walnuts.</t>
        </is>
      </c>
      <c r="AC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83% of this dish's available carbohydrate comes from ingredients with a published, measured GI; the rest uses conventional placeholders (see Ingredients sheet)</t>
        </is>
      </c>
      <c r="Z101" s="2" t="n">
        <v>83</v>
      </c>
      <c r="AA101" s="3" t="inlineStr">
        <is>
          <t>vegan, gluten-free, dairy-free, nut-free, high-protein, high-fiber</t>
        </is>
      </c>
      <c r="AB101" s="3" t="inlineStr">
        <is>
          <t>1. Crumble tofu and cook in olive oil with taco seasoning 6 minutes until golden.
2. Warm beans and tortillas.
3. Fill tortillas with tofu, beans, avocado, salsa, cilantro and lime.</t>
        </is>
      </c>
      <c r="AC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80% of this dish's available carbohydrate comes from ingredients with a published, measured GI; the rest uses conventional placeholders (see Ingredients sheet)</t>
        </is>
      </c>
      <c r="Z102" s="2" t="n">
        <v>80</v>
      </c>
      <c r="AA102" s="3" t="inlineStr">
        <is>
          <t>vegetarian, dairy-free, high-fiber, quick</t>
        </is>
      </c>
      <c r="AB102" s="3" t="inlineStr">
        <is>
          <t>1. Cook oats in almond milk 4 minutes.
2. Whisk in egg whites vigorously and cook 2 more minutes until fluffy.
3. Top with almond butter, cinnamon and raspberries.</t>
        </is>
      </c>
      <c r="AC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0% of this dish's available carbohydrate comes from ingredients with a published, measured GI; the rest uses conventional placeholders (see Ingredients sheet)</t>
        </is>
      </c>
      <c r="Z103" s="2" t="n">
        <v>0</v>
      </c>
      <c r="AA103" s="3" t="inlineStr">
        <is>
          <t>gluten-free, nut-free, low-carb</t>
        </is>
      </c>
      <c r="AB103" s="3" t="inlineStr">
        <is>
          <t>1. Preheat oven to 400°F. Toss asparagus with olive oil in a baking dish and roast 8 minutes.
2. Nestle in torn prosciutto, crack eggs over the top and sprinkle with parmesan.
3. Bake 7–8 minutes until whites set; finish with pepper and lemon zest.</t>
        </is>
      </c>
      <c r="AC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0% of this dish's available carbohydrate comes from ingredients with a published, measured GI; the rest uses conventional placeholders (see Ingredients sheet)</t>
        </is>
      </c>
      <c r="Z104" s="2" t="n">
        <v>0</v>
      </c>
      <c r="AA104" s="3" t="inlineStr">
        <is>
          <t>vegetarian, gluten-free, nut-free, low-carb, make-ahead, meal-prep</t>
        </is>
      </c>
      <c r="AB104" s="3" t="inlineStr">
        <is>
          <t>1. Preheat oven to 350°F and oil 12 muffin cups.
2. Whisk egg whites and eggs with salt; stir in grated zucchini, halved tomatoes, spinach, feta and basil.
3. Fill cups and bake 18–20 minutes until set.</t>
        </is>
      </c>
      <c r="AC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81% of this dish's available carbohydrate comes from ingredients with a published, measured GI; the rest uses conventional placeholders (see Ingredients sheet)</t>
        </is>
      </c>
      <c r="Z105" s="2" t="n">
        <v>81</v>
      </c>
      <c r="AA105" s="3" t="inlineStr">
        <is>
          <t>vegetarian, high-fiber, no-cook, make-ahead</t>
        </is>
      </c>
      <c r="AB105" s="3" t="inlineStr">
        <is>
          <t>1. Stir oats, chia, almond milk, cocoa, sweetener and yogurt in a jar.
2. Refrigerate overnight.
3. Top with coconut and chopped almonds.</t>
        </is>
      </c>
      <c r="AC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0% of this dish's available carbohydrate comes from ingredients with a published, measured GI; the rest uses conventional placeholders (see Ingredients sheet)</t>
        </is>
      </c>
      <c r="Z106" s="2" t="n">
        <v>0</v>
      </c>
      <c r="AA106" s="3" t="inlineStr">
        <is>
          <t>pescatarian, gluten-free, nut-free, low-carb, high-protein, quick</t>
        </is>
      </c>
      <c r="AB106" s="3" t="inlineStr">
        <is>
          <t>1. Sauté shrimp and pepper with Cajun seasoning in olive oil 3 minutes; remove.
2. Cook whisked eggs until nearly set, add shrimp mix and cheese, fold.
3. Garnish with green onion.</t>
        </is>
      </c>
      <c r="AC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21</v>
      </c>
      <c r="U107" s="2" t="inlineStr">
        <is>
          <t>low</t>
        </is>
      </c>
      <c r="V107" s="5" t="n">
        <v>5.2</v>
      </c>
      <c r="W107" s="2" t="inlineStr">
        <is>
          <t>low</t>
        </is>
      </c>
      <c r="X107" s="3" t="inlineStr"/>
      <c r="Y107" s="3" t="inlineStr">
        <is>
          <t>57% of this dish's available carbohydrate comes from ingredients with a published, measured GI; the rest uses conventional placeholders (see Ingredients sheet)</t>
        </is>
      </c>
      <c r="Z107" s="2" t="n">
        <v>57</v>
      </c>
      <c r="AA107" s="3" t="inlineStr">
        <is>
          <t>vegetarian, gluten-free, high-protein, no-cook, quick</t>
        </is>
      </c>
      <c r="AB107" s="3" t="inlineStr">
        <is>
          <t>1. Spoon cottage cheese into a bowl.
2. Top with sliced pear, walnuts and hemp seeds.
3. Dust with cinnamon.</t>
        </is>
      </c>
      <c r="AC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15% of this dish's available carbohydrate comes from ingredients with a published, measured GI; the rest uses conventional placeholders (see Ingredients sheet)</t>
        </is>
      </c>
      <c r="Z108" s="2" t="n">
        <v>15</v>
      </c>
      <c r="AA108" s="3" t="inlineStr">
        <is>
          <t>vegetarian, gluten-free, nut-free, low-carb, make-ahead</t>
        </is>
      </c>
      <c r="AB108" s="3" t="inlineStr">
        <is>
          <t>1. Preheat oven to 375°F and oil a baking dish.
2. Whisk eggs, milk, softened cream cheese, garlic and salt.
3. Stir in chopped spinach, artichokes and mozzarella; pour into the dish.
4. Bake 30–35 minutes until set.</t>
        </is>
      </c>
      <c r="AC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0% of this dish's available carbohydrate comes from ingredients with a published, measured GI; the rest uses conventional placeholders (see Ingredients sheet)</t>
        </is>
      </c>
      <c r="Z109" s="2" t="n">
        <v>0</v>
      </c>
      <c r="AA109" s="3" t="inlineStr">
        <is>
          <t>gluten-free, dairy-free, nut-free, low-carb, high-protein</t>
        </is>
      </c>
      <c r="AB109" s="3" t="inlineStr">
        <is>
          <t>1. Brown sausage; remove. Sauté cauliflower rice and kale in olive oil 5 minutes; season.
2. Fry the eggs.
3. Bowl the cauliflower-kale, sausage, eggs, avocado and hot sauce.</t>
        </is>
      </c>
      <c r="AC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34% of this dish's available carbohydrate comes from ingredients with a published, measured GI; the rest uses conventional placeholders (see Ingredients sheet)</t>
        </is>
      </c>
      <c r="Z110" s="2" t="n">
        <v>34</v>
      </c>
      <c r="AA110" s="3" t="inlineStr">
        <is>
          <t>vegetarian, gluten-free, low-carb, high-protein</t>
        </is>
      </c>
      <c r="AB110" s="3" t="inlineStr">
        <is>
          <t>1. Whisk eggs, yogurt and vanilla; stir in almond flour, protein and baking powder.
2. Cook small pancakes in coconut oil 2–3 minutes per side.
3. Top with raspberries.</t>
        </is>
      </c>
      <c r="AC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0% of this dish's available carbohydrate comes from ingredients with a published, measured GI; the rest uses conventional placeholders (see Ingredients sheet)</t>
        </is>
      </c>
      <c r="Z111" s="2" t="n">
        <v>0</v>
      </c>
      <c r="AA111" s="3" t="inlineStr">
        <is>
          <t>pescatarian, gluten-free, nut-free, low-carb, no-cook, quick</t>
        </is>
      </c>
      <c r="AB111" s="3" t="inlineStr">
        <is>
          <t>1. Slice cucumber into thick rounds.
2. Top each with cream cheese and a piece of smoked salmon.
3. Sprinkle with everything seasoning and chives.</t>
        </is>
      </c>
      <c r="AC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0% of this dish's available carbohydrate comes from ingredients with a published, measured GI; the rest uses conventional placeholders (see Ingredients sheet)</t>
        </is>
      </c>
      <c r="Z112" s="2" t="n">
        <v>0</v>
      </c>
      <c r="AA112" s="3" t="inlineStr">
        <is>
          <t>vegetarian, gluten-free, nut-free, low-carb, quick</t>
        </is>
      </c>
      <c r="AB112" s="3" t="inlineStr">
        <is>
          <t>1. Sauté jalapeño and green onion in olive oil 2 minutes.
2. Add whisked eggs, cook until half set, stir in tomato and cheddar.
3. Finish under the broiler 2 minutes; top with cilantro.</t>
        </is>
      </c>
      <c r="AC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28</v>
      </c>
      <c r="U113" s="2" t="inlineStr">
        <is>
          <t>low</t>
        </is>
      </c>
      <c r="V113" s="5" t="n">
        <v>5.9</v>
      </c>
      <c r="W113" s="2" t="inlineStr">
        <is>
          <t>low</t>
        </is>
      </c>
      <c r="X113" s="3" t="inlineStr"/>
      <c r="Y113" s="3" t="inlineStr">
        <is>
          <t>97% of this dish's available carbohydrate comes from ingredients with a published, measured GI; the rest uses conventional placeholders (see Ingredients sheet)</t>
        </is>
      </c>
      <c r="Z113" s="2" t="n">
        <v>97</v>
      </c>
      <c r="AA113" s="3" t="inlineStr">
        <is>
          <t>vegetarian, gluten-free, high-protein, no-cook, quick</t>
        </is>
      </c>
      <c r="AB113" s="3" t="inlineStr">
        <is>
          <t>1. Stir cardamom into the yogurt.
2. Top with orange segments, pistachios and chia.
3. Garnish with mint.</t>
        </is>
      </c>
      <c r="AC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32</v>
      </c>
      <c r="U114" s="2" t="inlineStr">
        <is>
          <t>low</t>
        </is>
      </c>
      <c r="V114" s="5" t="n">
        <v>5.9</v>
      </c>
      <c r="W114" s="2" t="inlineStr">
        <is>
          <t>low</t>
        </is>
      </c>
      <c r="X114" s="3" t="inlineStr"/>
      <c r="Y114" s="3" t="inlineStr">
        <is>
          <t>89% of this dish's available carbohydrate comes from ingredients with a published, measured GI; the rest uses conventional placeholders (see Ingredients sheet)</t>
        </is>
      </c>
      <c r="Z114" s="2" t="n">
        <v>89</v>
      </c>
      <c r="AA114" s="3" t="inlineStr">
        <is>
          <t>vegetarian, gluten-free, nut-free, high-protein, high-fiber</t>
        </is>
      </c>
      <c r="AB114" s="3" t="inlineStr">
        <is>
          <t>1. Warm lentils with cumin, olive oil, lemon and salt; stir in spinach until wilted.
2. Fry or poach the eggs.
3. Serve lentils topped with eggs, yogurt and parsley.</t>
        </is>
      </c>
      <c r="AC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83% of this dish's available carbohydrate comes from ingredients with a published, measured GI; the rest uses conventional placeholders (see Ingredients sheet)</t>
        </is>
      </c>
      <c r="Z115" s="2" t="n">
        <v>83</v>
      </c>
      <c r="AA115" s="3" t="inlineStr">
        <is>
          <t>vegan, dairy-free, high-fiber, no-cook, make-ahead</t>
        </is>
      </c>
      <c r="AB115" s="3" t="inlineStr">
        <is>
          <t>1. Mix oats, almond milk, cocoa, chia and sweetener in a jar.
2. Refrigerate overnight.
3. Top with peanut butter and sliced strawberries.</t>
        </is>
      </c>
      <c r="AC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0% of this dish's available carbohydrate comes from ingredients with a published, measured GI; the rest uses conventional placeholders (see Ingredients sheet)</t>
        </is>
      </c>
      <c r="Z116" s="2" t="n">
        <v>0</v>
      </c>
      <c r="AA116" s="3" t="inlineStr">
        <is>
          <t>gluten-free, nut-free, low-carb, high-protein, one-pan</t>
        </is>
      </c>
      <c r="AB116" s="3" t="inlineStr">
        <is>
          <t>1. Brown sliced sausage in olive oil; add zucchini and cook 4 minutes.
2. Add tomatoes, olives and oregano; cook 2 minutes.
3. Crack eggs over, cover and cook 5 minutes; top with feta.</t>
        </is>
      </c>
      <c r="AC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88% of this dish's available carbohydrate comes from ingredients with a published, measured GI; the rest uses conventional placeholders (see Ingredients sheet)</t>
        </is>
      </c>
      <c r="Z117" s="2" t="n">
        <v>88</v>
      </c>
      <c r="AA117" s="3" t="inlineStr">
        <is>
          <t>vegan, gluten-free, dairy-free</t>
        </is>
      </c>
      <c r="AB117" s="3" t="inlineStr">
        <is>
          <t>1. Warm cooked quinoa with coconut milk, cinnamon and stevia 5 minutes.
2. Toast coconut in a dry pan.
3. Top porridge with blueberries, almonds and coconut.</t>
        </is>
      </c>
      <c r="AC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0% of this dish's available carbohydrate comes from ingredients with a published, measured GI; the rest uses conventional placeholders (see Ingredients sheet)</t>
        </is>
      </c>
      <c r="Z118" s="2" t="n">
        <v>0</v>
      </c>
      <c r="AA118" s="3" t="inlineStr">
        <is>
          <t>gluten-free, dairy-free, nut-free, low-carb, high-protein, one-pan</t>
        </is>
      </c>
      <c r="AB118" s="3" t="inlineStr">
        <is>
          <t>1. Cook bacon until crisp; remove and crumble.
2. Sauté shredded sprouts and onion in the pan with olive oil until browned, 8 minutes; add vinegar.
3. Make wells, crack in eggs, cover and cook 5 minutes; top with bacon.</t>
        </is>
      </c>
      <c r="AC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0% of this dish's available carbohydrate comes from ingredients with a published, measured GI; the rest uses conventional placeholders (see Ingredients sheet)</t>
        </is>
      </c>
      <c r="Z119" s="2" t="n">
        <v>0</v>
      </c>
      <c r="AA119" s="3" t="inlineStr">
        <is>
          <t>pescatarian, gluten-free, dairy-free, nut-free, low-carb, high-protein, high-fiber, no-cook, omega-3</t>
        </is>
      </c>
      <c r="AB119" s="3" t="inlineStr">
        <is>
          <t>1. Season cooled cauliflower rice with rice vinegar.
2. Top with salmon, avocado, cucumber, torn nori and a halved soft-boiled egg.
3. Sprinkle sesame seeds and drizzle with tamari.</t>
        </is>
      </c>
      <c r="AC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89% of this dish's available carbohydrate comes from ingredients with a published, measured GI; the rest uses conventional placeholders (see Ingredients sheet)</t>
        </is>
      </c>
      <c r="Z120" s="2" t="n">
        <v>89</v>
      </c>
      <c r="AA120" s="3" t="inlineStr">
        <is>
          <t>vegetarian, dairy-free, make-ahead</t>
        </is>
      </c>
      <c r="AB120" s="3" t="inlineStr">
        <is>
          <t>1. Preheat oven to 350°F; oil an 8x8 dish.
2. Whisk eggs, almond milk, orange zest and juice, vanilla and sweetener; stir in oats, baking powder, cinnamon, cranberries and pecans.
3. Bake 30–35 minutes until golden. Cut into squares.</t>
        </is>
      </c>
      <c r="AC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21% of this dish's available carbohydrate comes from ingredients with a published, measured GI; the rest uses conventional placeholders (see Ingredients sheet)</t>
        </is>
      </c>
      <c r="Z121" s="2" t="n">
        <v>21</v>
      </c>
      <c r="AA121" s="3" t="inlineStr">
        <is>
          <t>vegetarian, gluten-free, nut-free, low-carb, high-protein, quick</t>
        </is>
      </c>
      <c r="AB121" s="3" t="inlineStr">
        <is>
          <t>1. Sauté mushrooms and pepper in olive oil.
2. Pour in egg whites with Italian seasoning; cook until set.
3. Spread marinara on top, add mozzarella and broil 2 minutes.</t>
        </is>
      </c>
      <c r="AC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18% of this dish's available carbohydrate comes from ingredients with a published, measured GI; the rest uses conventional placeholders (see Ingredients sheet)</t>
        </is>
      </c>
      <c r="Z122" s="2" t="n">
        <v>18</v>
      </c>
      <c r="AA122" s="3" t="inlineStr">
        <is>
          <t>vegetarian, gluten-free, low-carb, high-fiber</t>
        </is>
      </c>
      <c r="AB122" s="3" t="inlineStr">
        <is>
          <t>1. Whisk eggs, almond milk, melted butter, vanilla and sweetener; stir in almond flour and baking powder.
2. Cook in a hot waffle iron 4 minutes until crisp.
3. Top with yogurt and blackberries.</t>
        </is>
      </c>
      <c r="AC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56% of this dish's available carbohydrate comes from ingredients with a published, measured GI; the rest uses conventional placeholders (see Ingredients sheet)</t>
        </is>
      </c>
      <c r="Z123" s="2" t="n">
        <v>56</v>
      </c>
      <c r="AA123" s="3" t="inlineStr">
        <is>
          <t>vegetarian, gluten-free, nut-free, low-carb, quick</t>
        </is>
      </c>
      <c r="AB123" s="3" t="inlineStr">
        <is>
          <t>1. Char poblano and onion in olive oil 5 minutes; add corn and cook 2 minutes.
2. Add whisked eggs and scramble softly.
3. Top with cotija, cilantro and lime.</t>
        </is>
      </c>
      <c r="AC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0% of this dish's available carbohydrate comes from ingredients with a published, measured GI; the rest uses conventional placeholders (see Ingredients sheet)</t>
        </is>
      </c>
      <c r="Z124" s="2" t="n">
        <v>0</v>
      </c>
      <c r="AA124" s="3" t="inlineStr">
        <is>
          <t>vegetarian, gluten-free, dairy-free, nut-free, low-carb, probiotic</t>
        </is>
      </c>
      <c r="AB124" s="3" t="inlineStr">
        <is>
          <t>1. Stir-fry cauliflower rice in avocado oil 4 minutes; add chopped kimchi and tamari and cook 3 minutes.
2. Push aside, scramble 2 eggs in the pan and mix through; add sesame oil.
3. Fry remaining 2 eggs and serve on top with green onion and sesame seeds.</t>
        </is>
      </c>
      <c r="AC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90% of this dish's available carbohydrate comes from ingredients with a published, measured GI; the rest uses conventional placeholders (see Ingredients sheet)</t>
        </is>
      </c>
      <c r="Z125" s="2" t="n">
        <v>90</v>
      </c>
      <c r="AA125" s="3" t="inlineStr">
        <is>
          <t>vegetarian, high-protein, high-fiber, quick</t>
        </is>
      </c>
      <c r="AB125" s="3" t="inlineStr">
        <is>
          <t>1. Cook oats in almond milk 5 minutes.
2. Off heat stir in protein powder and chia.
3. Top with sliced banana, peanut butter and cinnamon.</t>
        </is>
      </c>
      <c r="AC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0% of this dish's available carbohydrate comes from ingredients with a published, measured GI; the rest uses conventional placeholders (see Ingredients sheet)</t>
        </is>
      </c>
      <c r="Z126" s="2" t="n">
        <v>0</v>
      </c>
      <c r="AA126" s="3" t="inlineStr">
        <is>
          <t>gluten-free, nut-free, low-carb, make-ahead, meal-prep</t>
        </is>
      </c>
      <c r="AB126" s="3" t="inlineStr">
        <is>
          <t>1. Brown crumbled sausage with pepper and onion.
2. Divide among 12 oiled muffin cups with mozzarella.
3. Pour in whisked eggs with seasoning and bake at 350°F for 20 minutes.</t>
        </is>
      </c>
      <c r="AC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31</v>
      </c>
      <c r="U127" s="2" t="inlineStr">
        <is>
          <t>low</t>
        </is>
      </c>
      <c r="V127" s="5" t="n">
        <v>6.3</v>
      </c>
      <c r="W127" s="2" t="inlineStr">
        <is>
          <t>low</t>
        </is>
      </c>
      <c r="X127" s="3" t="inlineStr"/>
      <c r="Y127" s="3" t="inlineStr">
        <is>
          <t>76% of this dish's available carbohydrate comes from ingredients with a published, measured GI; the rest uses conventional placeholders (see Ingredients sheet)</t>
        </is>
      </c>
      <c r="Z127" s="2" t="n">
        <v>76</v>
      </c>
      <c r="AA127" s="3" t="inlineStr">
        <is>
          <t>vegetarian, gluten-free, nut-free, no-cook, quick</t>
        </is>
      </c>
      <c r="AB127" s="3" t="inlineStr">
        <is>
          <t>1. Blend everything with ice until smooth.
2. Let sit 5 minutes so chia thickens.
3. Serve cold.</t>
        </is>
      </c>
      <c r="AC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0% of this dish's available carbohydrate comes from ingredients with a published, measured GI; the rest uses conventional placeholders (see Ingredients sheet)</t>
        </is>
      </c>
      <c r="Z128" s="2" t="n">
        <v>0</v>
      </c>
      <c r="AA128" s="3" t="inlineStr">
        <is>
          <t>vegetarian, gluten-free, dairy-free, nut-free, low-carb, quick</t>
        </is>
      </c>
      <c r="AB128" s="3" t="inlineStr">
        <is>
          <t>1. Sauté onion, mushrooms and chopped broccoli 5 minutes.
2. Add whisked eggs with salt and cook until set; add tomato, fold.
3. Top with sliced avocado.</t>
        </is>
      </c>
      <c r="AC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62% of this dish's available carbohydrate comes from ingredients with a published, measured GI; the rest uses conventional placeholders (see Ingredients sheet)</t>
        </is>
      </c>
      <c r="Z129" s="2" t="n">
        <v>62</v>
      </c>
      <c r="AA129" s="3" t="inlineStr">
        <is>
          <t>vegetarian, nut-free, quick</t>
        </is>
      </c>
      <c r="AB129" s="3" t="inlineStr">
        <is>
          <t>1. Toast the bread and spread with cottage cheese.
2. Top with tomato slices and basil.
3. Drizzle with olive oil and pepper.</t>
        </is>
      </c>
      <c r="AC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73% of this dish's available carbohydrate comes from ingredients with a published, measured GI; the rest uses conventional placeholders (see Ingredients sheet)</t>
        </is>
      </c>
      <c r="Z130" s="2" t="n">
        <v>73</v>
      </c>
      <c r="AA130" s="3" t="inlineStr">
        <is>
          <t>vegetarian, gluten-free, nut-free, high-fiber</t>
        </is>
      </c>
      <c r="AB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C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66% of this dish's available carbohydrate comes from ingredients with a published, measured GI; the rest uses conventional placeholders (see Ingredients sheet)</t>
        </is>
      </c>
      <c r="Z131" s="2" t="n">
        <v>66</v>
      </c>
      <c r="AA131" s="3" t="inlineStr">
        <is>
          <t>vegetarian, gluten-free, nut-free, quick</t>
        </is>
      </c>
      <c r="AB131" s="3" t="inlineStr">
        <is>
          <t>1. Simmer broth with garlic; add beans and kale and cook 5 minutes.
2. Crack eggs into the soup and poach 4 minutes.
3. Serve with parmesan, olive oil and lemon.</t>
        </is>
      </c>
      <c r="AC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87% of this dish's available carbohydrate comes from ingredients with a published, measured GI; the rest uses conventional placeholders (see Ingredients sheet)</t>
        </is>
      </c>
      <c r="Z132" s="2" t="n">
        <v>87</v>
      </c>
      <c r="AA132" s="3" t="inlineStr">
        <is>
          <t>vegetarian, gluten-free, high-protein, no-cook, quick</t>
        </is>
      </c>
      <c r="AB132" s="3" t="inlineStr">
        <is>
          <t>1. Combine all ingredients in a blender.
2. Blend until smooth.
3. Serve immediately.</t>
        </is>
      </c>
      <c r="AC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0% of this dish's available carbohydrate comes from ingredients with a published, measured GI; the rest uses conventional placeholders (see Ingredients sheet)</t>
        </is>
      </c>
      <c r="Z133" s="2" t="n">
        <v>0</v>
      </c>
      <c r="AA133" s="3" t="inlineStr">
        <is>
          <t>vegetarian, gluten-free, nut-free, low-carb, quick</t>
        </is>
      </c>
      <c r="AB133" s="3" t="inlineStr">
        <is>
          <t>1. Wilt spinach and mix with ricotta, parmesan and nutmeg.
2. Cook eggs as a thin omelet in olive oil.
3. Spread with the ricotta mix and roll up.</t>
        </is>
      </c>
      <c r="AC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85% of this dish's available carbohydrate comes from ingredients with a published, measured GI; the rest uses conventional placeholders (see Ingredients sheet)</t>
        </is>
      </c>
      <c r="Z134" s="2" t="n">
        <v>85</v>
      </c>
      <c r="AA134" s="3" t="inlineStr">
        <is>
          <t>pescatarian, gluten-free, nut-free, high-protein</t>
        </is>
      </c>
      <c r="AB134" s="3" t="inlineStr">
        <is>
          <t>1. Coat tilapia in Cajun seasoning and sear in olive oil 3 minutes per side; flake.
2. Scramble eggs.
3. Toss slaw with yogurt and lime juice.
4. Fill warm tortillas with fish, egg, slaw and cilantro.</t>
        </is>
      </c>
      <c r="AC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30</v>
      </c>
      <c r="U135" s="2" t="inlineStr">
        <is>
          <t>low</t>
        </is>
      </c>
      <c r="V135" s="5" t="n">
        <v>6.1</v>
      </c>
      <c r="W135" s="2" t="inlineStr">
        <is>
          <t>low</t>
        </is>
      </c>
      <c r="X135" s="3" t="inlineStr"/>
      <c r="Y135" s="3" t="inlineStr">
        <is>
          <t>75% of this dish's available carbohydrate comes from ingredients with a published, measured GI; the rest uses conventional placeholders (see Ingredients sheet)</t>
        </is>
      </c>
      <c r="Z135" s="2" t="n">
        <v>75</v>
      </c>
      <c r="AA135" s="3" t="inlineStr">
        <is>
          <t>vegetarian, gluten-free, nut-free, high-fiber</t>
        </is>
      </c>
      <c r="AB135" s="3" t="inlineStr">
        <is>
          <t>1. Warm lentils with olive oil, lemon and salt.
2. Toss with tomatoes, cucumber and parsley.
3. Top with feta and halved soft-boiled eggs.</t>
        </is>
      </c>
      <c r="AC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0% of this dish's available carbohydrate comes from ingredients with a published, measured GI; the rest uses conventional placeholders (see Ingredients sheet)</t>
        </is>
      </c>
      <c r="Z136" s="2" t="n">
        <v>0</v>
      </c>
      <c r="AA136" s="3" t="inlineStr">
        <is>
          <t>gluten-free, nut-free, low-carb, quick</t>
        </is>
      </c>
      <c r="AB136" s="3" t="inlineStr">
        <is>
          <t>1. Line 6 muffin cups with prosciutto slices.
2. Add a little chopped spinach, crack in an egg, top with parmesan and pepper.
3. Bake at 400°F for 12–15 minutes.</t>
        </is>
      </c>
      <c r="AC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91% of this dish's available carbohydrate comes from ingredients with a published, measured GI; the rest uses conventional placeholders (see Ingredients sheet)</t>
        </is>
      </c>
      <c r="Z137" s="2" t="n">
        <v>91</v>
      </c>
      <c r="AA137" s="3" t="inlineStr">
        <is>
          <t>vegetarian, high-fiber, no-cook, make-ahead</t>
        </is>
      </c>
      <c r="AB137" s="3" t="inlineStr">
        <is>
          <t>1. Mix oats, grated carrot, almond milk, yogurt, spices, vanilla and sweetener.
2. Refrigerate overnight.
3. Top with walnuts.</t>
        </is>
      </c>
      <c r="AC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30</v>
      </c>
      <c r="U138" s="2" t="inlineStr">
        <is>
          <t>low</t>
        </is>
      </c>
      <c r="V138" s="5" t="n">
        <v>7.7</v>
      </c>
      <c r="W138" s="2" t="inlineStr">
        <is>
          <t>low</t>
        </is>
      </c>
      <c r="X138" s="3" t="inlineStr"/>
      <c r="Y138" s="3" t="inlineStr">
        <is>
          <t>79% of this dish's available carbohydrate comes from ingredients with a published, measured GI; the rest uses conventional placeholders (see Ingredients sheet)</t>
        </is>
      </c>
      <c r="Z138" s="2" t="n">
        <v>79</v>
      </c>
      <c r="AA138" s="3" t="inlineStr">
        <is>
          <t>vegetarian, gluten-free, nut-free, high-protein, high-fiber, quick</t>
        </is>
      </c>
      <c r="AB138" s="3" t="inlineStr">
        <is>
          <t>1. Warm beans with cumin and mash lightly.
2. Fry the eggs in olive oil.
3. Layer beans, eggs, cheddar, salsa, avocado and green onion in a bowl.</t>
        </is>
      </c>
      <c r="AC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54</v>
      </c>
      <c r="U139" s="2" t="inlineStr">
        <is>
          <t>low</t>
        </is>
      </c>
      <c r="V139" s="5" t="n">
        <v>7.7</v>
      </c>
      <c r="W139" s="2" t="inlineStr">
        <is>
          <t>low</t>
        </is>
      </c>
      <c r="X139" s="3" t="inlineStr"/>
      <c r="Y139" s="3" t="inlineStr">
        <is>
          <t>83% of this dish's available carbohydrate comes from ingredients with a published, measured GI; the rest uses conventional placeholders (see Ingredients sheet)</t>
        </is>
      </c>
      <c r="Z139" s="2" t="n">
        <v>83</v>
      </c>
      <c r="AA139" s="3" t="inlineStr">
        <is>
          <t>vegetarian, gluten-free, dairy-free, nut-free, low-carb, high-fiber, quick</t>
        </is>
      </c>
      <c r="AB139" s="3" t="inlineStr">
        <is>
          <t>1. Mash avocado with lemon juice and salt.
2. Chop hard-boiled eggs and fold in with chives.
3. Pile onto toasted bread; sprinkle pepper flakes.</t>
        </is>
      </c>
      <c r="AC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0% of this dish's available carbohydrate comes from ingredients with a published, measured GI; the rest uses conventional placeholders (see Ingredients sheet)</t>
        </is>
      </c>
      <c r="Z140" s="2" t="n">
        <v>0</v>
      </c>
      <c r="AA140" s="3" t="inlineStr">
        <is>
          <t>vegetarian, gluten-free, dairy-free, low-carb, high-fiber</t>
        </is>
      </c>
      <c r="AB140" s="3" t="inlineStr">
        <is>
          <t>1. Simmer cauliflower rice in almond milk 5 minutes until tender.
2. Whisk in egg whites and flaxseed; cook 2 minutes stirring until thick.
3. Add cinnamon, vanilla, sweetener; top with pecans and raspberries.</t>
        </is>
      </c>
      <c r="AC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0% of this dish's available carbohydrate comes from ingredients with a published, measured GI; the rest uses conventional placeholders (see Ingredients sheet)</t>
        </is>
      </c>
      <c r="Z141" s="2" t="n">
        <v>0</v>
      </c>
      <c r="AA141" s="3" t="inlineStr">
        <is>
          <t>gluten-free, dairy-free, nut-free, low-carb, high-protein, quick</t>
        </is>
      </c>
      <c r="AB141" s="3" t="inlineStr">
        <is>
          <t>1. Cook turkey bacon until crisp.
2. Spread romaine leaves with mayo; layer turkey, bacon, sliced egg, tomato and avocado.
3. Roll and eat.</t>
        </is>
      </c>
      <c r="AC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42</v>
      </c>
      <c r="U142" s="2" t="inlineStr">
        <is>
          <t>low</t>
        </is>
      </c>
      <c r="V142" s="5" t="n">
        <v>14.7</v>
      </c>
      <c r="W142" s="2" t="inlineStr">
        <is>
          <t>medium</t>
        </is>
      </c>
      <c r="X142" s="3" t="inlineStr"/>
      <c r="Y142" s="3" t="inlineStr">
        <is>
          <t>95% of this dish's available carbohydrate comes from ingredients with a published, measured GI; the rest uses conventional placeholders (see Ingredients sheet)</t>
        </is>
      </c>
      <c r="Z142" s="2" t="n">
        <v>95</v>
      </c>
      <c r="AA142" s="3" t="inlineStr">
        <is>
          <t>vegetarian, high-fiber</t>
        </is>
      </c>
      <c r="AB142" s="3" t="inlineStr">
        <is>
          <t>1. Simmer steel-cut oats in water 20–25 minutes, stirring occasionally.
2. Stir in almond milk, cardamom and cinnamon.
3. Top with diced pear, almonds and yogurt.</t>
        </is>
      </c>
      <c r="AC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42% of this dish's available carbohydrate comes from ingredients with a published, measured GI; the rest uses conventional placeholders (see Ingredients sheet)</t>
        </is>
      </c>
      <c r="Z143" s="2" t="n">
        <v>42</v>
      </c>
      <c r="AA143" s="3" t="inlineStr">
        <is>
          <t>vegetarian, nut-free, high-protein, high-fiber, quick</t>
        </is>
      </c>
      <c r="AB143" s="3" t="inlineStr">
        <is>
          <t>1. Crisp the tortilla in a skillet with olive oil.
2. Scramble egg whites, spread over the tortilla with beans and salsa.
3. Top with cheese, broil 2 minutes, add green onion and slice.</t>
        </is>
      </c>
      <c r="AC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67% of this dish's available carbohydrate comes from ingredients with a published, measured GI; the rest uses conventional placeholders (see Ingredients sheet)</t>
        </is>
      </c>
      <c r="Z144" s="2" t="n">
        <v>67</v>
      </c>
      <c r="AA144" s="3" t="inlineStr">
        <is>
          <t>nut-free, low-carb, high-protein</t>
        </is>
      </c>
      <c r="AB144" s="3" t="inlineStr">
        <is>
          <t>1. Season chicken, grill 6 minutes per side, rest and slice.
2. Whisk yogurt, lemon, Dijon, mashed anchovies, garlic and olive oil into a dressing.
3. Toss romaine with dressing, top with chicken, parmesan, pepper and crumbled crackers.</t>
        </is>
      </c>
      <c r="AC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32</v>
      </c>
      <c r="U145" s="2" t="inlineStr">
        <is>
          <t>low</t>
        </is>
      </c>
      <c r="V145" s="5" t="n">
        <v>8</v>
      </c>
      <c r="W145" s="2" t="inlineStr">
        <is>
          <t>low</t>
        </is>
      </c>
      <c r="X145" s="3" t="inlineStr"/>
      <c r="Y145" s="3" t="inlineStr">
        <is>
          <t>77% of this dish's available carbohydrate comes from ingredients with a published, measured GI; the rest uses conventional placeholders (see Ingredients sheet)</t>
        </is>
      </c>
      <c r="Z145" s="2" t="n">
        <v>77</v>
      </c>
      <c r="AA145" s="3" t="inlineStr">
        <is>
          <t>vegetarian, gluten-free, nut-free, high-fiber, make-ahead, no-cook</t>
        </is>
      </c>
      <c r="AB145" s="3" t="inlineStr">
        <is>
          <t>1. Combine chickpeas, diced cucumber, halved tomatoes, thin red onion, olives and parsley.
2. Whisk olive oil, lemon juice, oregano and salt; toss with the salad.
3. Fold in feta and chill 20 minutes before serving.</t>
        </is>
      </c>
      <c r="AC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20% of this dish's available carbohydrate comes from ingredients with a published, measured GI; the rest uses conventional placeholders (see Ingredients sheet)</t>
        </is>
      </c>
      <c r="Z146" s="2" t="n">
        <v>20</v>
      </c>
      <c r="AA146" s="3" t="inlineStr">
        <is>
          <t>gluten-free, nut-free, low-carb, high-protein</t>
        </is>
      </c>
      <c r="AB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C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41</v>
      </c>
      <c r="U147" s="2" t="inlineStr">
        <is>
          <t>low</t>
        </is>
      </c>
      <c r="V147" s="5" t="n">
        <v>14</v>
      </c>
      <c r="W147" s="2" t="inlineStr">
        <is>
          <t>medium</t>
        </is>
      </c>
      <c r="X147" s="3" t="inlineStr"/>
      <c r="Y147" s="3" t="inlineStr">
        <is>
          <t>78% of this dish's available carbohydrate comes from ingredients with a published, measured GI; the rest uses conventional placeholders (see Ingredients sheet)</t>
        </is>
      </c>
      <c r="Z147" s="2" t="n">
        <v>78</v>
      </c>
      <c r="AA147" s="3" t="inlineStr">
        <is>
          <t>vegan, gluten-free, dairy-free, nut-free, high-fiber, make-ahead</t>
        </is>
      </c>
      <c r="AB147" s="3" t="inlineStr">
        <is>
          <t>1. Massage chopped kale with a pinch of salt for 1 minute to soften.
2. Whisk tahini, lemon juice, garlic, water and salt into a smooth dressing.
3. Toss kale with quinoa, chickpeas, shredded carrot and cabbage; drizzle dressing and top with pumpkin seeds.</t>
        </is>
      </c>
      <c r="AC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47</v>
      </c>
      <c r="U148" s="2" t="inlineStr">
        <is>
          <t>low</t>
        </is>
      </c>
      <c r="V148" s="5" t="n">
        <v>8.9</v>
      </c>
      <c r="W148" s="2" t="inlineStr">
        <is>
          <t>low</t>
        </is>
      </c>
      <c r="X148" s="3" t="inlineStr"/>
      <c r="Y148" s="3" t="inlineStr">
        <is>
          <t>58% of this dish's available carbohydrate comes from ingredients with a published, measured GI; the rest uses conventional placeholders (see Ingredients sheet)</t>
        </is>
      </c>
      <c r="Z148" s="2" t="n">
        <v>58</v>
      </c>
      <c r="AA148" s="3" t="inlineStr">
        <is>
          <t>pescatarian, gluten-free, dairy-free, nut-free, high-protein</t>
        </is>
      </c>
      <c r="AB148" s="3" t="inlineStr">
        <is>
          <t>1. Boil potatoes until tender; blanch green beans 3 minutes; hard-boil eggs.
2. Whisk olive oil, vinegar, Dijon and mashed anchovy.
3. Arrange greens, tuna, potatoes, beans, eggs, tomatoes and olives; drizzle with dressing.</t>
        </is>
      </c>
      <c r="AC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20% of this dish's available carbohydrate comes from ingredients with a published, measured GI; the rest uses conventional placeholders (see Ingredients sheet)</t>
        </is>
      </c>
      <c r="Z149" s="2" t="n">
        <v>20</v>
      </c>
      <c r="AA149" s="3" t="inlineStr">
        <is>
          <t>gluten-free, dairy-free, low-carb, high-protein, no-cook</t>
        </is>
      </c>
      <c r="AB149" s="3" t="inlineStr">
        <is>
          <t>1. Whisk tamari, rice vinegar, sesame oil, grated ginger and peanut butter into a dressing.
2. Toss shredded chicken, cabbages, carrot, edamame, green onion and cilantro.
3. Dress just before serving and top with sliced almonds.</t>
        </is>
      </c>
      <c r="AC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0% of this dish's available carbohydrate comes from ingredients with a published, measured GI; the rest uses conventional placeholders (see Ingredients sheet)</t>
        </is>
      </c>
      <c r="Z150" s="2" t="n">
        <v>0</v>
      </c>
      <c r="AA150" s="3" t="inlineStr">
        <is>
          <t>pescatarian, gluten-free, nut-free, low-carb, high-protein</t>
        </is>
      </c>
      <c r="AB150" s="3" t="inlineStr">
        <is>
          <t>1. Toss shrimp with oregano and half the olive oil; grill 2–3 minutes per side.
2. Combine romaine, cucumber, tomato, onion and olives.
3. Dress with remaining oil and vinegar; top with feta and shrimp.</t>
        </is>
      </c>
      <c r="AC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80% of this dish's available carbohydrate comes from ingredients with a published, measured GI; the rest uses conventional placeholders (see Ingredients sheet)</t>
        </is>
      </c>
      <c r="Z151" s="2" t="n">
        <v>80</v>
      </c>
      <c r="AA151" s="3" t="inlineStr">
        <is>
          <t>vegan, gluten-free, dairy-free, nut-free, high-fiber, no-cook, make-ahead</t>
        </is>
      </c>
      <c r="AB151" s="3" t="inlineStr">
        <is>
          <t>1. Combine beans, corn, diced pepper, tomatoes, red onion and cilantro.
2. Whisk lime juice, olive oil, cumin, chili powder and salt.
3. Toss, fold in diced avocado just before serving.</t>
        </is>
      </c>
      <c r="AC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19% of this dish's available carbohydrate comes from ingredients with a published, measured GI; the rest uses conventional placeholders (see Ingredients sheet)</t>
        </is>
      </c>
      <c r="Z152" s="2" t="n">
        <v>19</v>
      </c>
      <c r="AA152" s="3" t="inlineStr">
        <is>
          <t>pescatarian, gluten-free, nut-free, low-carb, high-protein, omega-3</t>
        </is>
      </c>
      <c r="AB152" s="3" t="inlineStr">
        <is>
          <t>1. Season salmon and roast at 400°F for 12 minutes; flake.
2. Whisk yogurt, dill, lemon juice and salt for the dressing.
3. Toss greens, cucumber and radish with olive oil; top with salmon, avocado and dressing.</t>
        </is>
      </c>
      <c r="AC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29</v>
      </c>
      <c r="U153" s="2" t="inlineStr">
        <is>
          <t>low</t>
        </is>
      </c>
      <c r="V153" s="5" t="n">
        <v>3.9</v>
      </c>
      <c r="W153" s="2" t="inlineStr">
        <is>
          <t>low</t>
        </is>
      </c>
      <c r="X153" s="3" t="inlineStr"/>
      <c r="Y153" s="3" t="inlineStr">
        <is>
          <t>68% of this dish's available carbohydrate comes from ingredients with a published, measured GI; the rest uses conventional placeholders (see Ingredients sheet)</t>
        </is>
      </c>
      <c r="Z153" s="2" t="n">
        <v>68</v>
      </c>
      <c r="AA153" s="3" t="inlineStr">
        <is>
          <t>vegan, gluten-free, dairy-free, nut-free, low-carb, high-fiber, no-cook, make-ahead</t>
        </is>
      </c>
      <c r="AB153" s="3" t="inlineStr">
        <is>
          <t>1. Finely chop parsley, mint, tomato, cucumber and green onion.
2. Combine with cooked lentils.
3. Dress with lemon juice, olive oil and salt; rest 15 minutes.</t>
        </is>
      </c>
      <c r="AC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54% of this dish's available carbohydrate comes from ingredients with a published, measured GI; the rest uses conventional placeholders (see Ingredients sheet)</t>
        </is>
      </c>
      <c r="Z154" s="2" t="n">
        <v>54</v>
      </c>
      <c r="AA154" s="3" t="inlineStr">
        <is>
          <t>gluten-free, nut-free, low-carb, high-protein</t>
        </is>
      </c>
      <c r="AB154" s="3" t="inlineStr">
        <is>
          <t>1. Sear chicken in olive oil, slice and toss with hot sauce melted with butter.
2. Mix yogurt, crumbled blue cheese and lemon juice into a dressing.
3. Serve chicken over romaine, celery and carrot with the dressing.</t>
        </is>
      </c>
      <c r="AC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73% of this dish's available carbohydrate comes from ingredients with a published, measured GI; the rest uses conventional placeholders (see Ingredients sheet)</t>
        </is>
      </c>
      <c r="Z155" s="2" t="n">
        <v>73</v>
      </c>
      <c r="AA155" s="3" t="inlineStr">
        <is>
          <t>vegetarian, gluten-free, nut-free, high-protein, high-fiber, no-cook</t>
        </is>
      </c>
      <c r="AB155" s="3" t="inlineStr">
        <is>
          <t>1. Slice tomatoes and mozzarella; arrange on a platter with white beans.
2. Tuck basil leaves between slices.
3. Drizzle with olive oil and balsamic; season.</t>
        </is>
      </c>
      <c r="AC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0% of this dish's available carbohydrate comes from ingredients with a published, measured GI; the rest uses conventional placeholders (see Ingredients sheet)</t>
        </is>
      </c>
      <c r="Z156" s="2" t="n">
        <v>0</v>
      </c>
      <c r="AA156" s="3" t="inlineStr">
        <is>
          <t>gluten-free, dairy-free, nut-free, low-carb, high-protein</t>
        </is>
      </c>
      <c r="AB156" s="3" t="inlineStr">
        <is>
          <t>1. Season steak and grill 4–5 minutes per side; rest 5 minutes and slice thin.
2. Blend parsley, cilantro, garlic, vinegar, olive oil, pepper flakes and salt into chimichurri.
3. Toss arugula, tomatoes and onion; top with steak and chimichurri.</t>
        </is>
      </c>
      <c r="AC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5% of this dish's available carbohydrate comes from ingredients with a published, measured GI; the rest uses conventional placeholders (see Ingredients sheet)</t>
        </is>
      </c>
      <c r="Z157" s="2" t="n">
        <v>5</v>
      </c>
      <c r="AA157" s="3" t="inlineStr">
        <is>
          <t>vegan, gluten-free, dairy-free, low-carb, no-cook</t>
        </is>
      </c>
      <c r="AB157" s="3" t="inlineStr">
        <is>
          <t>1. Whisk peanut butter, lime juice, tamari, sesame oil, ginger and water until smooth.
2. Toss slaw, cabbage, edamame, pepper, green onion and cilantro.
3. Dress and top with chopped peanuts.</t>
        </is>
      </c>
      <c r="AC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14% of this dish's available carbohydrate comes from ingredients with a published, measured GI; the rest uses conventional placeholders (see Ingredients sheet)</t>
        </is>
      </c>
      <c r="Z158" s="2" t="n">
        <v>14</v>
      </c>
      <c r="AA158" s="3" t="inlineStr">
        <is>
          <t>pescatarian, gluten-free, nut-free, low-carb, high-protein</t>
        </is>
      </c>
      <c r="AB158" s="3" t="inlineStr">
        <is>
          <t>1. Poach shrimp 3 minutes; chill.
2. Mix yogurt, mayo, tomato paste, lemon juice and hot sauce for Louie dressing.
3. Plate lettuce, shrimp, quartered eggs, tomato, cucumber and avocado; spoon dressing over.</t>
        </is>
      </c>
      <c r="AC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76% of this dish's available carbohydrate comes from ingredients with a published, measured GI; the rest uses conventional placeholders (see Ingredients sheet)</t>
        </is>
      </c>
      <c r="Z159" s="2" t="n">
        <v>76</v>
      </c>
      <c r="AA159" s="3" t="inlineStr">
        <is>
          <t>vegetarian, nut-free, make-ahead</t>
        </is>
      </c>
      <c r="AB159" s="3" t="inlineStr">
        <is>
          <t>1. Roast zucchini, pepper and onion tossed with half the oil at 425°F for 20 minutes.
2. Combine farro, roasted vegetables, tomatoes and arugula.
3. Dress with remaining oil, balsamic and salt; top with feta and basil.</t>
        </is>
      </c>
      <c r="AC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78% of this dish's available carbohydrate comes from ingredients with a published, measured GI; the rest uses conventional placeholders (see Ingredients sheet)</t>
        </is>
      </c>
      <c r="Z160" s="2" t="n">
        <v>78</v>
      </c>
      <c r="AA160" s="3" t="inlineStr">
        <is>
          <t>gluten-free, low-carb, high-protein, no-cook</t>
        </is>
      </c>
      <c r="AB160" s="3" t="inlineStr">
        <is>
          <t>1. Dice chicken, apple and celery.
2. Mix yogurt, lemon juice, Dijon and salt; fold in chicken mix and walnuts.
3. Serve in butter lettuce cups.</t>
        </is>
      </c>
      <c r="AC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77% of this dish's available carbohydrate comes from ingredients with a published, measured GI; the rest uses conventional placeholders (see Ingredients sheet)</t>
        </is>
      </c>
      <c r="Z161" s="2" t="n">
        <v>77</v>
      </c>
      <c r="AA161" s="3" t="inlineStr">
        <is>
          <t>vegetarian, gluten-free, low-carb</t>
        </is>
      </c>
      <c r="AB161" s="3" t="inlineStr">
        <is>
          <t>1. Wrap beets in foil and roast at 400°F for 45 minutes; peel and slice.
2. Toss arugula with olive oil, balsamic and salt.
3. Top with beets, orange segments, goat cheese and walnuts.</t>
        </is>
      </c>
      <c r="AC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87% of this dish's available carbohydrate comes from ingredients with a published, measured GI; the rest uses conventional placeholders (see Ingredients sheet)</t>
        </is>
      </c>
      <c r="Z162" s="2" t="n">
        <v>87</v>
      </c>
      <c r="AA162" s="3" t="inlineStr">
        <is>
          <t>pescatarian, gluten-free, dairy-free, nut-free, high-protein, high-fiber, no-cook</t>
        </is>
      </c>
      <c r="AB162" s="3" t="inlineStr">
        <is>
          <t>1. Flake tuna and combine with beans, onion, celery, parsley and capers.
2. Dress with olive oil and lemon juice.
3. Serve over arugula.</t>
        </is>
      </c>
      <c r="AC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43% of this dish's available carbohydrate comes from ingredients with a published, measured GI; the rest uses conventional placeholders (see Ingredients sheet)</t>
        </is>
      </c>
      <c r="Z163" s="2" t="n">
        <v>43</v>
      </c>
      <c r="AA163" s="3" t="inlineStr">
        <is>
          <t>gluten-free, low-carb, high-protein</t>
        </is>
      </c>
      <c r="AB163" s="3" t="inlineStr">
        <is>
          <t>1. Grill seasoned chicken 6 minutes per side; slice.
2. Whisk olive oil, balsamic and Dijon.
3. Toss spinach, strawberries and onion with dressing; top with chicken, goat cheese and almonds.</t>
        </is>
      </c>
      <c r="AC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0% of this dish's available carbohydrate comes from ingredients with a published, measured GI; the rest uses conventional placeholders (see Ingredients sheet)</t>
        </is>
      </c>
      <c r="Z164" s="2" t="n">
        <v>0</v>
      </c>
      <c r="AA164" s="3" t="inlineStr">
        <is>
          <t>gluten-free, dairy-free, nut-free, low-carb</t>
        </is>
      </c>
      <c r="AB164" s="3" t="inlineStr">
        <is>
          <t>1. Hard-boil eggs; crisp turkey bacon.
2. Chop everything into small dice.
3. Toss with olive oil, lemon, Dijon and chives.</t>
        </is>
      </c>
      <c r="AC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37</v>
      </c>
      <c r="U165" s="2" t="inlineStr">
        <is>
          <t>low</t>
        </is>
      </c>
      <c r="V165" s="5" t="n">
        <v>7.8</v>
      </c>
      <c r="W165" s="2" t="inlineStr">
        <is>
          <t>low</t>
        </is>
      </c>
      <c r="X165" s="3" t="inlineStr"/>
      <c r="Y165" s="3" t="inlineStr">
        <is>
          <t>93% of this dish's available carbohydrate comes from ingredients with a published, measured GI; the rest uses conventional placeholders (see Ingredients sheet)</t>
        </is>
      </c>
      <c r="Z165" s="2" t="n">
        <v>93</v>
      </c>
      <c r="AA165" s="3" t="inlineStr">
        <is>
          <t>vegan, gluten-free, dairy-free, high-fiber, no-cook</t>
        </is>
      </c>
      <c r="AB165" s="3" t="inlineStr">
        <is>
          <t>1. Shred carrots and combine with chickpeas, cilantro and mint.
2. Whisk lemon juice, olive oil, cumin, coriander, cinnamon and salt.
3. Toss and top with toasted almonds.</t>
        </is>
      </c>
      <c r="AC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0% of this dish's available carbohydrate comes from ingredients with a published, measured GI; the rest uses conventional placeholders (see Ingredients sheet)</t>
        </is>
      </c>
      <c r="Z166" s="2" t="n">
        <v>0</v>
      </c>
      <c r="AA166" s="3" t="inlineStr">
        <is>
          <t>pescatarian, gluten-free, dairy-free, nut-free, low-carb, high-protein, high-fiber</t>
        </is>
      </c>
      <c r="AB166" s="3" t="inlineStr">
        <is>
          <t>1. Coat tuna in sesame seeds and sear in avocado oil 1 minute per side; slice.
2. Whisk tamari, rice vinegar, grated ginger and sesame oil.
3. Plate greens, cucumber, avocado and edamame; top with tuna and dressing.</t>
        </is>
      </c>
      <c r="AC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14% of this dish's available carbohydrate comes from ingredients with a published, measured GI; the rest uses conventional placeholders (see Ingredients sheet)</t>
        </is>
      </c>
      <c r="Z167" s="2" t="n">
        <v>14</v>
      </c>
      <c r="AA167" s="3" t="inlineStr">
        <is>
          <t>gluten-free, nut-free, low-carb, make-ahead</t>
        </is>
      </c>
      <c r="AB167" s="3" t="inlineStr">
        <is>
          <t>1. Cook turkey bacon until crisp; chop.
2. Mix yogurt, mayo, vinegar and sweetener.
3. Toss chopped raw broccoli, onion, seeds, cheddar and bacon with the dressing; chill 30 minutes.</t>
        </is>
      </c>
      <c r="AC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0% of this dish's available carbohydrate comes from ingredients with a published, measured GI; the rest uses conventional placeholders (see Ingredients sheet)</t>
        </is>
      </c>
      <c r="Z168" s="2" t="n">
        <v>0</v>
      </c>
      <c r="AA168" s="3" t="inlineStr">
        <is>
          <t>vegetarian, gluten-free, nut-free, low-carb</t>
        </is>
      </c>
      <c r="AB168" s="3" t="inlineStr">
        <is>
          <t>1. Sear thick feta slices in a dry nonstick pan 2 minutes per side until golden.
2. Toss cucumber, tomatoes, olives and mint with olive oil, lemon and oregano.
3. Top with warm feta.</t>
        </is>
      </c>
      <c r="AC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9% of this dish's available carbohydrate comes from ingredients with a published, measured GI; the rest uses conventional placeholders (see Ingredients sheet)</t>
        </is>
      </c>
      <c r="Z169" s="2" t="n">
        <v>9</v>
      </c>
      <c r="AA169" s="3" t="inlineStr">
        <is>
          <t>gluten-free, nut-free, low-carb, high-protein</t>
        </is>
      </c>
      <c r="AB169" s="3" t="inlineStr">
        <is>
          <t>1. Marinate chicken in spices, garlic, half the lemon and oil for 15 minutes; sear 6 minutes per side and slice.
2. Whisk tahini, yogurt, remaining lemon and water to a sauce.
3. Serve chicken over romaine, tomato, cucumber and onion with sauce and parsley.</t>
        </is>
      </c>
      <c r="AC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6% of this dish's available carbohydrate comes from ingredients with a published, measured GI; the rest uses conventional placeholders (see Ingredients sheet)</t>
        </is>
      </c>
      <c r="Z170" s="2" t="n">
        <v>6</v>
      </c>
      <c r="AA170" s="3" t="inlineStr">
        <is>
          <t>vegan, gluten-free, dairy-free, make-ahead</t>
        </is>
      </c>
      <c r="AB170" s="3" t="inlineStr">
        <is>
          <t>1. Combine wild rice, chopped cranberries, pecans, celery, green onion and parsley.
2. Whisk orange juice, zest, olive oil, vinegar and salt.
3. Toss and serve at room temperature.</t>
        </is>
      </c>
      <c r="AC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18% of this dish's available carbohydrate comes from ingredients with a published, measured GI; the rest uses conventional placeholders (see Ingredients sheet)</t>
        </is>
      </c>
      <c r="Z171" s="2" t="n">
        <v>18</v>
      </c>
      <c r="AA171" s="3" t="inlineStr">
        <is>
          <t>pescatarian, gluten-free, nut-free, low-carb, high-protein, no-cook</t>
        </is>
      </c>
      <c r="AB171" s="3" t="inlineStr">
        <is>
          <t>1. Gently mix crab with celery, onion, yogurt, Dijon, lemon and Old Bay.
2. Fold in diced avocado.
3. Serve in lettuce cups with chives.</t>
        </is>
      </c>
      <c r="AC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34</v>
      </c>
      <c r="U172" s="2" t="inlineStr">
        <is>
          <t>low</t>
        </is>
      </c>
      <c r="V172" s="5" t="n">
        <v>8.6</v>
      </c>
      <c r="W172" s="2" t="inlineStr">
        <is>
          <t>low</t>
        </is>
      </c>
      <c r="X172" s="3" t="inlineStr"/>
      <c r="Y172" s="3" t="inlineStr">
        <is>
          <t>64% of this dish's available carbohydrate comes from ingredients with a published, measured GI; the rest uses conventional placeholders (see Ingredients sheet)</t>
        </is>
      </c>
      <c r="Z172" s="2" t="n">
        <v>64</v>
      </c>
      <c r="AA172" s="3" t="inlineStr">
        <is>
          <t>vegan, gluten-free, dairy-free, nut-free, high-fiber</t>
        </is>
      </c>
      <c r="AB172" s="3" t="inlineStr">
        <is>
          <t>1. Toss cauliflower and chickpeas with oil, cumin and paprika; roast at 425°F for 25 minutes.
2. Whisk tahini, lemon, garlic and water.
3. Serve warm over arugula with tahini sauce, parsley and pomegranate.</t>
        </is>
      </c>
      <c r="AC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59% of this dish's available carbohydrate comes from ingredients with a published, measured GI; the rest uses conventional placeholders (see Ingredients sheet)</t>
        </is>
      </c>
      <c r="Z173" s="2" t="n">
        <v>59</v>
      </c>
      <c r="AA173" s="3" t="inlineStr">
        <is>
          <t>gluten-free, nut-free, low-carb, high-protein, high-fiber</t>
        </is>
      </c>
      <c r="AB173" s="3" t="inlineStr">
        <is>
          <t>1. Brown turkey in olive oil with taco seasoning, 8 minutes.
2. Layer romaine, beans, tomatoes and turkey in bowls.
3. Top with cheddar, avocado, salsa, yogurt and cilantro.</t>
        </is>
      </c>
      <c r="AC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21% of this dish's available carbohydrate comes from ingredients with a published, measured GI; the rest uses conventional placeholders (see Ingredients sheet)</t>
        </is>
      </c>
      <c r="Z174" s="2" t="n">
        <v>21</v>
      </c>
      <c r="AA174" s="3" t="inlineStr">
        <is>
          <t>pescatarian, gluten-free, nut-free, low-carb, high-protein, no-cook, omega-3</t>
        </is>
      </c>
      <c r="AB174" s="3" t="inlineStr">
        <is>
          <t>1. Mix salmon with yogurt, dill, onion, lemon juice and capers.
2. Slice cucumber thin and toss with pepper.
3. Serve salmon salad over greens and cucumber.</t>
        </is>
      </c>
      <c r="AC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25</v>
      </c>
      <c r="U175" s="2" t="inlineStr">
        <is>
          <t>low</t>
        </is>
      </c>
      <c r="V175" s="5" t="n">
        <v>4.4</v>
      </c>
      <c r="W175" s="2" t="inlineStr">
        <is>
          <t>low</t>
        </is>
      </c>
      <c r="X175" s="3" t="inlineStr"/>
      <c r="Y175" s="3" t="inlineStr">
        <is>
          <t>55% of this dish's available carbohydrate comes from ingredients with a published, measured GI; the rest uses conventional placeholders (see Ingredients sheet)</t>
        </is>
      </c>
      <c r="Z175" s="2" t="n">
        <v>55</v>
      </c>
      <c r="AA175" s="3" t="inlineStr">
        <is>
          <t>gluten-free, nut-free, high-fiber, no-cook</t>
        </is>
      </c>
      <c r="AB175" s="3" t="inlineStr">
        <is>
          <t>1. Chop romaine, turkey, mozzarella, artichokes and peppers.
2. Toss with olives and chickpeas.
3. Dress with olive oil, vinegar and oregano.</t>
        </is>
      </c>
      <c r="AC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0% of this dish's available carbohydrate comes from ingredients with a published, measured GI; the rest uses conventional placeholders (see Ingredients sheet)</t>
        </is>
      </c>
      <c r="Z176" s="2" t="n">
        <v>0</v>
      </c>
      <c r="AA176" s="3" t="inlineStr">
        <is>
          <t>gluten-free, low-carb</t>
        </is>
      </c>
      <c r="AB176" s="3" t="inlineStr">
        <is>
          <t>1. Cook bacon until crisp; crumble. Sauté shallot and shredded sprouts in the pan with olive oil 6 minutes.
2. Whisk vinegar and Dijon into the pan.
3. Toss with pecans, bacon and parmesan.</t>
        </is>
      </c>
      <c r="AC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16% of this dish's available carbohydrate comes from ingredients with a published, measured GI; the rest uses conventional placeholders (see Ingredients sheet)</t>
        </is>
      </c>
      <c r="Z177" s="2" t="n">
        <v>16</v>
      </c>
      <c r="AA177" s="3" t="inlineStr">
        <is>
          <t>gluten-free, nut-free, low-carb, high-protein, no-cook</t>
        </is>
      </c>
      <c r="AB177" s="3" t="inlineStr">
        <is>
          <t>1. Mash half the avocado with lime juice, yogurt and salt.
2. Fold in shredded chicken, diced avocado, onion, jalapeño and cilantro.
3. Serve over romaine.</t>
        </is>
      </c>
      <c r="AC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76% of this dish's available carbohydrate comes from ingredients with a published, measured GI; the rest uses conventional placeholders (see Ingredients sheet)</t>
        </is>
      </c>
      <c r="Z178" s="2" t="n">
        <v>76</v>
      </c>
      <c r="AA178" s="3" t="inlineStr">
        <is>
          <t>vegetarian, gluten-free, nut-free, make-ahead</t>
        </is>
      </c>
      <c r="AB178" s="3" t="inlineStr">
        <is>
          <t>1. Combine quinoa, cucumber, tomatoes, onion, olives and parsley.
2. Dress with olive oil, lemon, oregano and salt.
3. Fold in feta; chill.</t>
        </is>
      </c>
      <c r="AC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15% of this dish's available carbohydrate comes from ingredients with a published, measured GI; the rest uses conventional placeholders (see Ingredients sheet)</t>
        </is>
      </c>
      <c r="Z179" s="2" t="n">
        <v>15</v>
      </c>
      <c r="AA179" s="3" t="inlineStr">
        <is>
          <t>pescatarian, gluten-free, nut-free, low-carb, high-protein</t>
        </is>
      </c>
      <c r="AB179" s="3" t="inlineStr">
        <is>
          <t>1. Toss shrimp in Cajun seasoning and sear in half the oil 2 minutes per side.
2. Whisk yogurt, lemon, Dijon, garlic and remaining oil; massage into chopped kale.
3. Top with shrimp, parmesan and pumpkin seeds.</t>
        </is>
      </c>
      <c r="AC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24</v>
      </c>
      <c r="U180" s="2" t="inlineStr">
        <is>
          <t>low</t>
        </is>
      </c>
      <c r="V180" s="5" t="n">
        <v>2.8</v>
      </c>
      <c r="W180" s="2" t="inlineStr">
        <is>
          <t>low</t>
        </is>
      </c>
      <c r="X180" s="3" t="inlineStr"/>
      <c r="Y180" s="3" t="inlineStr">
        <is>
          <t>76% of this dish's available carbohydrate comes from ingredients with a published, measured GI; the rest uses conventional placeholders (see Ingredients sheet)</t>
        </is>
      </c>
      <c r="Z180" s="2" t="n">
        <v>76</v>
      </c>
      <c r="AA180" s="3" t="inlineStr">
        <is>
          <t>gluten-free, low-carb, high-protein</t>
        </is>
      </c>
      <c r="AB180" s="3" t="inlineStr">
        <is>
          <t>1. Season and pan-sear chicken 6 minutes per side; slice.
2. Whisk oil, vinegar and Dijon.
3. Toss arugula and sliced pear with dressing; top with chicken, walnuts and blue cheese.</t>
        </is>
      </c>
      <c r="AC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0% of this dish's available carbohydrate comes from ingredients with a published, measured GI; the rest uses conventional placeholders (see Ingredients sheet)</t>
        </is>
      </c>
      <c r="Z181" s="2" t="n">
        <v>0</v>
      </c>
      <c r="AA181" s="3" t="inlineStr">
        <is>
          <t>vegan, gluten-free, dairy-free, nut-free, low-carb, no-cook</t>
        </is>
      </c>
      <c r="AB181" s="3" t="inlineStr">
        <is>
          <t>1. Slice cucumber and radish thin.
2. Whisk rice vinegar, tamari, sesame oil and ginger.
3. Toss with edamame and green onion; sprinkle sesame seeds.</t>
        </is>
      </c>
      <c r="AC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75% of this dish's available carbohydrate comes from ingredients with a published, measured GI; the rest uses conventional placeholders (see Ingredients sheet)</t>
        </is>
      </c>
      <c r="Z182" s="2" t="n">
        <v>75</v>
      </c>
      <c r="AA182" s="3" t="inlineStr">
        <is>
          <t>gluten-free, nut-free, high-protein, high-fiber</t>
        </is>
      </c>
      <c r="AB182" s="3" t="inlineStr">
        <is>
          <t>1. Mix tomato paste, vinegar, paprika and sweetener into a quick BBQ sauce; brush over chicken and grill 6 minutes per side; slice.
2. Mix yogurt with ranch seasoning.
3. Toss romaine, beans, corn, tomatoes and cheddar; top with chicken and ranch.</t>
        </is>
      </c>
      <c r="AC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71% of this dish's available carbohydrate comes from ingredients with a published, measured GI; the rest uses conventional placeholders (see Ingredients sheet)</t>
        </is>
      </c>
      <c r="Z183" s="2" t="n">
        <v>71</v>
      </c>
      <c r="AA183" s="3" t="inlineStr">
        <is>
          <t>pescatarian, gluten-free, nut-free, low-carb, omega-3, no-cook</t>
        </is>
      </c>
      <c r="AB183" s="3" t="inlineStr">
        <is>
          <t>1. Flake mackerel and slice cooked beets.
2. Mix yogurt, dill and lemon.
3. Arrange greens, beets, onion and mackerel; drizzle yogurt and olive oil.</t>
        </is>
      </c>
      <c r="AC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30</v>
      </c>
      <c r="U184" s="2" t="inlineStr">
        <is>
          <t>low</t>
        </is>
      </c>
      <c r="V184" s="5" t="n">
        <v>4.2</v>
      </c>
      <c r="W184" s="2" t="inlineStr">
        <is>
          <t>low</t>
        </is>
      </c>
      <c r="X184" s="3" t="inlineStr"/>
      <c r="Y184" s="3" t="inlineStr">
        <is>
          <t>69% of this dish's available carbohydrate comes from ingredients with a published, measured GI; the rest uses conventional placeholders (see Ingredients sheet)</t>
        </is>
      </c>
      <c r="Z184" s="2" t="n">
        <v>69</v>
      </c>
      <c r="AA184" s="3" t="inlineStr">
        <is>
          <t>gluten-free, nut-free, low-carb, high-protein</t>
        </is>
      </c>
      <c r="AB184" s="3" t="inlineStr">
        <is>
          <t>1. Season and grill chicken; dice.
2. Chop romaine, cucumber, tomatoes and mozzarella.
3. Toss with chickpeas, basil and the oil-vinegar-seasoning dressing.</t>
        </is>
      </c>
      <c r="AC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0% of this dish's available carbohydrate comes from ingredients with a published, measured GI; the rest uses conventional placeholders (see Ingredients sheet)</t>
        </is>
      </c>
      <c r="Z185" s="2" t="n">
        <v>0</v>
      </c>
      <c r="AA185" s="3" t="inlineStr">
        <is>
          <t>pescatarian, gluten-free, dairy-free, nut-free, low-carb, high-protein, no-cook</t>
        </is>
      </c>
      <c r="AB185" s="3" t="inlineStr">
        <is>
          <t>1. Dice tuna and toss with tamari, sesame oil, sriracha and mayo.
2. Arrange greens, cucumber, avocado and edamame in bowls.
3. Top with tuna, green onion, sesame seeds and torn nori.</t>
        </is>
      </c>
      <c r="AC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56</v>
      </c>
      <c r="U186" s="2" t="inlineStr">
        <is>
          <t>medium</t>
        </is>
      </c>
      <c r="V186" s="5" t="n">
        <v>17.4</v>
      </c>
      <c r="W186" s="2" t="inlineStr">
        <is>
          <t>medium</t>
        </is>
      </c>
      <c r="X186" s="3" t="inlineStr">
        <is>
          <t>Medium-GI dish: keep to the stated portion and pair with the protein/fat in the recipe; GL per serving is the better guide.</t>
        </is>
      </c>
      <c r="Y186" s="3" t="inlineStr">
        <is>
          <t>87% of this dish's available carbohydrate comes from ingredients with a published, measured GI; the rest uses conventional placeholders (see Ingredients sheet)</t>
        </is>
      </c>
      <c r="Z186" s="2" t="n">
        <v>87</v>
      </c>
      <c r="AA186" s="3" t="inlineStr">
        <is>
          <t>vegetarian, gluten-free, nut-free, high-fiber</t>
        </is>
      </c>
      <c r="AB186" s="3" t="inlineStr">
        <is>
          <t>1. Roast diced sweet potato with half the oil, cinnamon and salt at 425°F for 22 minutes.
2. Massage kale with remaining oil, vinegar and Dijon.
3. Toss with sweet potato, chickpeas, pumpkin seeds and goat cheese.</t>
        </is>
      </c>
      <c r="AC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25% of this dish's available carbohydrate comes from ingredients with a published, measured GI; the rest uses conventional placeholders (see Ingredients sheet)</t>
        </is>
      </c>
      <c r="Z187" s="2" t="n">
        <v>25</v>
      </c>
      <c r="AA187" s="3" t="inlineStr">
        <is>
          <t>gluten-free, dairy-free, low-carb, high-protein, no-cook</t>
        </is>
      </c>
      <c r="AB187" s="3" t="inlineStr">
        <is>
          <t>1. Shred cabbage and carrot; slice green onion.
2. Whisk vinegar, oil, Dijon and sweetener.
3. Toss with chicken, almonds and seeds.</t>
        </is>
      </c>
      <c r="AC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29</v>
      </c>
      <c r="U188" s="2" t="inlineStr">
        <is>
          <t>low</t>
        </is>
      </c>
      <c r="V188" s="5" t="n">
        <v>5.5</v>
      </c>
      <c r="W188" s="2" t="inlineStr">
        <is>
          <t>low</t>
        </is>
      </c>
      <c r="X188" s="3" t="inlineStr"/>
      <c r="Y188" s="3" t="inlineStr">
        <is>
          <t>61% of this dish's available carbohydrate comes from ingredients with a published, measured GI; the rest uses conventional placeholders (see Ingredients sheet)</t>
        </is>
      </c>
      <c r="Z188" s="2" t="n">
        <v>61</v>
      </c>
      <c r="AA188" s="3" t="inlineStr">
        <is>
          <t>pescatarian, gluten-free, nut-free, high-protein</t>
        </is>
      </c>
      <c r="AB188" s="3" t="inlineStr">
        <is>
          <t>1. Sauté shrimp with garlic in half the oil 3 minutes; cool slightly.
2. Toss cucumber, tomatoes, chickpeas, herbs with lemon and remaining oil.
3. Add shrimp and feta.</t>
        </is>
      </c>
      <c r="AC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72% of this dish's available carbohydrate comes from ingredients with a published, measured GI; the rest uses conventional placeholders (see Ingredients sheet)</t>
        </is>
      </c>
      <c r="Z189" s="2" t="n">
        <v>72</v>
      </c>
      <c r="AA189" s="3" t="inlineStr">
        <is>
          <t>gluten-free, low-carb, high-protein</t>
        </is>
      </c>
      <c r="AB189" s="3" t="inlineStr">
        <is>
          <t>1. Grill chicken; slice.
2. Whisk oil, vinegar and Dijon.
3. Toss greens, apple, onion with dressing; top with chicken, pecans and cheddar.</t>
        </is>
      </c>
      <c r="AC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0% of this dish's available carbohydrate comes from ingredients with a published, measured GI; the rest uses conventional placeholders (see Ingredients sheet)</t>
        </is>
      </c>
      <c r="Z190" s="2" t="n">
        <v>0</v>
      </c>
      <c r="AA190" s="3" t="inlineStr">
        <is>
          <t>vegan, gluten-free, dairy-free, nut-free, low-carb</t>
        </is>
      </c>
      <c r="AB190" s="3" t="inlineStr">
        <is>
          <t>1. Smash cucumbers with the flat of a knife, cut into chunks and salt 5 minutes; drain.
2. Pan-fry tofu cubes in avocado oil until golden.
3. Toss cucumber and tofu with garlic, vinegar, tamari, sesame oil, chili crisp and cilantro.</t>
        </is>
      </c>
      <c r="AC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19% of this dish's available carbohydrate comes from ingredients with a published, measured GI; the rest uses conventional placeholders (see Ingredients sheet)</t>
        </is>
      </c>
      <c r="Z191" s="2" t="n">
        <v>19</v>
      </c>
      <c r="AA191" s="3" t="inlineStr">
        <is>
          <t>gluten-free, low-carb, no-cook</t>
        </is>
      </c>
      <c r="AB191" s="3" t="inlineStr">
        <is>
          <t>1. Whisk olive oil, orange juice and vinegar.
2. Toss greens, celery, chopped cranberries with dressing.
3. Top with turkey, walnuts and goat cheese.</t>
        </is>
      </c>
      <c r="AC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78% of this dish's available carbohydrate comes from ingredients with a published, measured GI; the rest uses conventional placeholders (see Ingredients sheet)</t>
        </is>
      </c>
      <c r="Z192" s="2" t="n">
        <v>78</v>
      </c>
      <c r="AA192" s="3" t="inlineStr">
        <is>
          <t>gluten-free, nut-free, low-carb, high-protein</t>
        </is>
      </c>
      <c r="AB192" s="3" t="inlineStr">
        <is>
          <t>1. Grill chicken; dice. Char corn in a dry skillet 4 minutes.
2. Mix yogurt, mayo, lime, chili powder.
3. Toss romaine, chicken, corn, jalapeño, cilantro with dressing; top with cotija.</t>
        </is>
      </c>
      <c r="AC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22% of this dish's available carbohydrate comes from ingredients with a published, measured GI; the rest uses conventional placeholders (see Ingredients sheet)</t>
        </is>
      </c>
      <c r="Z193" s="2" t="n">
        <v>22</v>
      </c>
      <c r="AA193" s="3" t="inlineStr">
        <is>
          <t>pescatarian, gluten-free, dairy-free, nut-free, low-carb, high-protein, high-fiber, omega-3</t>
        </is>
      </c>
      <c r="AB193" s="3" t="inlineStr">
        <is>
          <t>1. Roast salmon at 400°F 12 minutes; flake.
2. Whisk rice vinegar, tamari, sesame oil and ginger.
3. Toss greens, cucumber, avocado, carrot, edamame; top with salmon, nori strips and sesame.</t>
        </is>
      </c>
      <c r="AC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33</v>
      </c>
      <c r="U194" s="2" t="inlineStr">
        <is>
          <t>low</t>
        </is>
      </c>
      <c r="V194" s="5" t="n">
        <v>7</v>
      </c>
      <c r="W194" s="2" t="inlineStr">
        <is>
          <t>low</t>
        </is>
      </c>
      <c r="X194" s="3" t="inlineStr"/>
      <c r="Y194" s="3" t="inlineStr">
        <is>
          <t>85% of this dish's available carbohydrate comes from ingredients with a published, measured GI; the rest uses conventional placeholders (see Ingredients sheet)</t>
        </is>
      </c>
      <c r="Z194" s="2" t="n">
        <v>85</v>
      </c>
      <c r="AA194" s="3" t="inlineStr">
        <is>
          <t>vegan, gluten-free, dairy-free, nut-free, high-fiber, make-ahead</t>
        </is>
      </c>
      <c r="AB194" s="3" t="inlineStr">
        <is>
          <t>1. Blanch green beans 3 minutes; cool.
2. Whisk vinegar, oil, Dijon, sweetener and salt.
3. Toss all beans, onion and parsley with dressing; marinate 1 hour.</t>
        </is>
      </c>
      <c r="AC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31</v>
      </c>
      <c r="U195" s="2" t="inlineStr">
        <is>
          <t>low</t>
        </is>
      </c>
      <c r="V195" s="5" t="n">
        <v>8.300000000000001</v>
      </c>
      <c r="W195" s="2" t="inlineStr">
        <is>
          <t>low</t>
        </is>
      </c>
      <c r="X195" s="3" t="inlineStr"/>
      <c r="Y195" s="3" t="inlineStr">
        <is>
          <t>72% of this dish's available carbohydrate comes from ingredients with a published, measured GI; the rest uses conventional placeholders (see Ingredients sheet)</t>
        </is>
      </c>
      <c r="Z195" s="2" t="n">
        <v>72</v>
      </c>
      <c r="AA195" s="3" t="inlineStr">
        <is>
          <t>vegetarian, gluten-free, nut-free, high-fiber</t>
        </is>
      </c>
      <c r="AB195" s="3" t="inlineStr">
        <is>
          <t>1. Sear feta slices 2 minutes per side.
2. Toss chickpeas, arugula, tomatoes, cucumber and mint with lemon, oil and sumac.
3. Top with feta.</t>
        </is>
      </c>
      <c r="AC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19% of this dish's available carbohydrate comes from ingredients with a published, measured GI; the rest uses conventional placeholders (see Ingredients sheet)</t>
        </is>
      </c>
      <c r="Z196" s="2" t="n">
        <v>19</v>
      </c>
      <c r="AA196" s="3" t="inlineStr">
        <is>
          <t>vegan, gluten-free, dairy-free, low-carb, high-protein, high-fiber</t>
        </is>
      </c>
      <c r="AB196" s="3" t="inlineStr">
        <is>
          <t>1. Pan-fry tofu cubes in avocado oil until crisp.
2. Whisk tamari, vinegar, sesame oil and ginger.
3. Toss vegetables with dressing; top with tofu and almonds.</t>
        </is>
      </c>
      <c r="AC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0% of this dish's available carbohydrate comes from ingredients with a published, measured GI; the rest uses conventional placeholders (see Ingredients sheet)</t>
        </is>
      </c>
      <c r="Z197" s="2" t="n">
        <v>0</v>
      </c>
      <c r="AA197" s="3" t="inlineStr">
        <is>
          <t>gluten-free, low-carb, high-protein</t>
        </is>
      </c>
      <c r="AB197" s="3" t="inlineStr">
        <is>
          <t>1. Sear chicken in olive oil; slice.
2. Toss raw zoodles with pesto.
3. Add tomatoes, mozzarella, chicken and pine nuts.</t>
        </is>
      </c>
      <c r="AC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17% of this dish's available carbohydrate comes from ingredients with a published, measured GI; the rest uses conventional placeholders (see Ingredients sheet)</t>
        </is>
      </c>
      <c r="Z198" s="2" t="n">
        <v>17</v>
      </c>
      <c r="AA198" s="3" t="inlineStr">
        <is>
          <t>gluten-free, nut-free, low-carb, high-protein, no-cook</t>
        </is>
      </c>
      <c r="AB198" s="3" t="inlineStr">
        <is>
          <t>1. Whisk yogurt, lemon, Dijon, mashed anchovy, garlic and oil.
2. Massage dressing into chopped kale.
3. Top with chicken, parmesan and hemp seeds.</t>
        </is>
      </c>
      <c r="AC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52% of this dish's available carbohydrate comes from ingredients with a published, measured GI; the rest uses conventional placeholders (see Ingredients sheet)</t>
        </is>
      </c>
      <c r="Z199" s="2" t="n">
        <v>52</v>
      </c>
      <c r="AA199" s="3" t="inlineStr">
        <is>
          <t>pescatarian, gluten-free, dairy-free, nut-free, low-carb, omega-3, no-cook</t>
        </is>
      </c>
      <c r="AB199" s="3" t="inlineStr">
        <is>
          <t>1. Shave fennel thin; segment orange.
2. Toss with olives, onion, olive oil, lemon and parsley.
3. Top with sardines and pepper.</t>
        </is>
      </c>
      <c r="AC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16% of this dish's available carbohydrate comes from ingredients with a published, measured GI; the rest uses conventional placeholders (see Ingredients sheet)</t>
        </is>
      </c>
      <c r="Z200" s="2" t="n">
        <v>16</v>
      </c>
      <c r="AA200" s="3" t="inlineStr">
        <is>
          <t>vegetarian, gluten-free, nut-free, low-carb, make-ahead</t>
        </is>
      </c>
      <c r="AB200" s="3" t="inlineStr">
        <is>
          <t>1. Steam cauliflower florets 6–8 minutes until just tender; cool completely.
2. Mix yogurt, mayo, Dijon and salt.
3. Fold in cauliflower, chopped eggs, celery, onion and pickle; top with paprika and chives. Chill 1 hour.</t>
        </is>
      </c>
      <c r="AC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62% of this dish's available carbohydrate comes from ingredients with a published, measured GI; the rest uses conventional placeholders (see Ingredients sheet)</t>
        </is>
      </c>
      <c r="Z201" s="2" t="n">
        <v>62</v>
      </c>
      <c r="AA201" s="3" t="inlineStr">
        <is>
          <t>dairy-free, nut-free, high-protein</t>
        </is>
      </c>
      <c r="AB201" s="3" t="inlineStr">
        <is>
          <t>1. Grill seasoned chicken; slice. Toast pita until crisp and break into shards.
2. Whisk oil, lemon, sumac and garlic.
3. Toss lettuce, cucumber, tomato, radish, herbs with dressing; add chicken and pita.</t>
        </is>
      </c>
      <c r="AC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32</v>
      </c>
      <c r="U202" s="2" t="inlineStr">
        <is>
          <t>low</t>
        </is>
      </c>
      <c r="V202" s="5" t="n">
        <v>3.5</v>
      </c>
      <c r="W202" s="2" t="inlineStr">
        <is>
          <t>low</t>
        </is>
      </c>
      <c r="X202" s="3" t="inlineStr"/>
      <c r="Y202" s="3" t="inlineStr">
        <is>
          <t>62% of this dish's available carbohydrate comes from ingredients with a published, measured GI; the rest uses conventional placeholders (see Ingredients sheet)</t>
        </is>
      </c>
      <c r="Z202" s="2" t="n">
        <v>62</v>
      </c>
      <c r="AA202" s="3" t="inlineStr">
        <is>
          <t>pescatarian, gluten-free, dairy-free, nut-free, low-carb, high-protein</t>
        </is>
      </c>
      <c r="AB202" s="3" t="inlineStr">
        <is>
          <t>1. Sauté shrimp with cumin 3 minutes; cool.
2. Toss mango, avocado, onion, jalapeño, cilantro with lime and oil.
3. Serve with shrimp over greens.</t>
        </is>
      </c>
      <c r="AC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31</v>
      </c>
      <c r="U203" s="2" t="inlineStr">
        <is>
          <t>low</t>
        </is>
      </c>
      <c r="V203" s="5" t="n">
        <v>6.1</v>
      </c>
      <c r="W203" s="2" t="inlineStr">
        <is>
          <t>low</t>
        </is>
      </c>
      <c r="X203" s="3" t="inlineStr"/>
      <c r="Y203" s="3" t="inlineStr">
        <is>
          <t>76% of this dish's available carbohydrate comes from ingredients with a published, measured GI; the rest uses conventional placeholders (see Ingredients sheet)</t>
        </is>
      </c>
      <c r="Z203" s="2" t="n">
        <v>76</v>
      </c>
      <c r="AA203" s="3" t="inlineStr">
        <is>
          <t>pescatarian, gluten-free, dairy-free, nut-free, high-protein, high-fiber, omega-3</t>
        </is>
      </c>
      <c r="AB203" s="3" t="inlineStr">
        <is>
          <t>1. Roast salmon at 400°F for 12 minutes.
2. Whisk lemon, olive oil and Dijon; toss with lentils, tomatoes, onion and parsley.
3. Serve on arugula with flaked salmon.</t>
        </is>
      </c>
      <c r="AC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0% of this dish's available carbohydrate comes from ingredients with a published, measured GI; the rest uses conventional placeholders (see Ingredients sheet)</t>
        </is>
      </c>
      <c r="Z204" s="2" t="n">
        <v>0</v>
      </c>
      <c r="AA204" s="3" t="inlineStr">
        <is>
          <t>gluten-free, dairy-free, nut-free, low-carb</t>
        </is>
      </c>
      <c r="AB204" s="3" t="inlineStr">
        <is>
          <t>1. Brown chicken in avocado oil, breaking it up, 8 minutes.
2. Off heat toss with shallot, lime juice, fish sauce, herbs, green onion and pepper flakes.
3. Serve in lettuce cups with cucumber.</t>
        </is>
      </c>
      <c r="AC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17% of this dish's available carbohydrate comes from ingredients with a published, measured GI; the rest uses conventional placeholders (see Ingredients sheet)</t>
        </is>
      </c>
      <c r="Z205" s="2" t="n">
        <v>17</v>
      </c>
      <c r="AA205" s="3" t="inlineStr">
        <is>
          <t>vegetarian, gluten-free, nut-free, low-carb, no-cook</t>
        </is>
      </c>
      <c r="AB205" s="3" t="inlineStr">
        <is>
          <t>1. Shred hearts of palm with a fork.
2. Mix with celery, onion, yogurt, mayo, Dijon, Old Bay and lemon.
3. Serve in lettuce cups.</t>
        </is>
      </c>
      <c r="AC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0% of this dish's available carbohydrate comes from ingredients with a published, measured GI; the rest uses conventional placeholders (see Ingredients sheet)</t>
        </is>
      </c>
      <c r="Z206" s="2" t="n">
        <v>0</v>
      </c>
      <c r="AA206" s="3" t="inlineStr">
        <is>
          <t>pescatarian, gluten-free, dairy-free, nut-free, low-carb, no-cook</t>
        </is>
      </c>
      <c r="AB206" s="3" t="inlineStr">
        <is>
          <t>1. Mash avocado with lemon and Dijon; fold in tuna, celery and onion.
2. Hollow out tomatoes.
3. Fill with tuna salad and top with chives.</t>
        </is>
      </c>
      <c r="AC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33</v>
      </c>
      <c r="U207" s="2" t="inlineStr">
        <is>
          <t>low</t>
        </is>
      </c>
      <c r="V207" s="5" t="n">
        <v>4.2</v>
      </c>
      <c r="W207" s="2" t="inlineStr">
        <is>
          <t>low</t>
        </is>
      </c>
      <c r="X207" s="3" t="inlineStr"/>
      <c r="Y207" s="3" t="inlineStr">
        <is>
          <t>13% of this dish's available carbohydrate comes from ingredients with a published, measured GI; the rest uses conventional placeholders (see Ingredients sheet)</t>
        </is>
      </c>
      <c r="Z207" s="2" t="n">
        <v>13</v>
      </c>
      <c r="AA207" s="3" t="inlineStr">
        <is>
          <t>gluten-free, low-carb, high-protein</t>
        </is>
      </c>
      <c r="AB207" s="3" t="inlineStr">
        <is>
          <t>1. Grill chicken; slice.
2. Massage kale with oil, lemon, Dijon and honey.
3. Top with chicken, pomegranate, walnuts and feta.</t>
        </is>
      </c>
      <c r="AC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71% of this dish's available carbohydrate comes from ingredients with a published, measured GI; the rest uses conventional placeholders (see Ingredients sheet)</t>
        </is>
      </c>
      <c r="Z208" s="2" t="n">
        <v>71</v>
      </c>
      <c r="AA208" s="3" t="inlineStr">
        <is>
          <t>vegetarian, gluten-free, no-cook</t>
        </is>
      </c>
      <c r="AB208" s="3" t="inlineStr">
        <is>
          <t>1. Shave zucchini into ribbons with a peeler.
2. Toss with lemon, olive oil, beans and basil.
3. Top with parmesan shavings, pine nuts and pepper.</t>
        </is>
      </c>
      <c r="AC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26</v>
      </c>
      <c r="U209" s="2" t="inlineStr">
        <is>
          <t>low</t>
        </is>
      </c>
      <c r="V209" s="5" t="n">
        <v>4</v>
      </c>
      <c r="W209" s="2" t="inlineStr">
        <is>
          <t>low</t>
        </is>
      </c>
      <c r="X209" s="3" t="inlineStr"/>
      <c r="Y209" s="3" t="inlineStr">
        <is>
          <t>61% of this dish's available carbohydrate comes from ingredients with a published, measured GI; the rest uses conventional placeholders (see Ingredients sheet)</t>
        </is>
      </c>
      <c r="Z209" s="2" t="n">
        <v>61</v>
      </c>
      <c r="AA209" s="3" t="inlineStr">
        <is>
          <t>gluten-free, nut-free, high-protein, high-fiber</t>
        </is>
      </c>
      <c r="AB209" s="3" t="inlineStr">
        <is>
          <t>1. Brown beef with taco seasoning, drain.
2. Layer romaine, beans, tomato and beef.
3. Top with cheddar, avocado, salsa, yogurt and green onion.</t>
        </is>
      </c>
      <c r="AC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0% of this dish's available carbohydrate comes from ingredients with a published, measured GI; the rest uses conventional placeholders (see Ingredients sheet)</t>
        </is>
      </c>
      <c r="Z210" s="2" t="n">
        <v>0</v>
      </c>
      <c r="AA210" s="3" t="inlineStr">
        <is>
          <t>vegetarian, gluten-free, nut-free, low-carb, no-cook</t>
        </is>
      </c>
      <c r="AB210" s="3" t="inlineStr">
        <is>
          <t>1. Chop cucumber and tomato; slice onion thin.
2. Toss with olives, oil, vinegar and oregano.
3. Top with feta.</t>
        </is>
      </c>
      <c r="AC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91% of this dish's available carbohydrate comes from ingredients with a published, measured GI; the rest uses conventional placeholders (see Ingredients sheet)</t>
        </is>
      </c>
      <c r="Z211" s="2" t="n">
        <v>91</v>
      </c>
      <c r="AA211" s="3" t="inlineStr">
        <is>
          <t>high-protein</t>
        </is>
      </c>
      <c r="AB211" s="3" t="inlineStr">
        <is>
          <t>1. Grill chicken and dice.
2. Whisk oil, vinegar and Dijon; massage into chopped kale.
3. Toss with farro, apple, pecans, goat cheese and chicken.</t>
        </is>
      </c>
      <c r="AC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35</v>
      </c>
      <c r="U212" s="2" t="inlineStr">
        <is>
          <t>low</t>
        </is>
      </c>
      <c r="V212" s="5" t="n">
        <v>11.6</v>
      </c>
      <c r="W212" s="2" t="inlineStr">
        <is>
          <t>medium</t>
        </is>
      </c>
      <c r="X212" s="3" t="inlineStr"/>
      <c r="Y212" s="3" t="inlineStr">
        <is>
          <t>88% of this dish's available carbohydrate comes from ingredients with a published, measured GI; the rest uses conventional placeholders (see Ingredients sheet)</t>
        </is>
      </c>
      <c r="Z212" s="2" t="n">
        <v>88</v>
      </c>
      <c r="AA212" s="3" t="inlineStr">
        <is>
          <t>vegan, gluten-free, dairy-free, nut-free, high-fiber, no-cook</t>
        </is>
      </c>
      <c r="AB212" s="3" t="inlineStr">
        <is>
          <t>1. Mash chickpeas and avocado together roughly.
2. Stir in lemon, hot sauce, cumin, celery, onion and cilantro.
3. Serve over romaine.</t>
        </is>
      </c>
      <c r="AC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60% of this dish's available carbohydrate comes from ingredients with a published, measured GI; the rest uses conventional placeholders (see Ingredients sheet)</t>
        </is>
      </c>
      <c r="Z213" s="2" t="n">
        <v>60</v>
      </c>
      <c r="AA213" s="3" t="inlineStr">
        <is>
          <t>pescatarian, gluten-free, dairy-free, nut-free, low-carb, high-protein</t>
        </is>
      </c>
      <c r="AB213" s="3" t="inlineStr">
        <is>
          <t>1. Pat scallops dry, sear in avocado oil 90 seconds per side.
2. Whisk olive oil, orange juice and Dijon.
3. Toss greens with dressing; top with grapefruit segments, avocado, scallops and chives.</t>
        </is>
      </c>
      <c r="AC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18% of this dish's available carbohydrate comes from ingredients with a published, measured GI; the rest uses conventional placeholders (see Ingredients sheet)</t>
        </is>
      </c>
      <c r="Z214" s="2" t="n">
        <v>18</v>
      </c>
      <c r="AA214" s="3" t="inlineStr">
        <is>
          <t>vegetarian, gluten-free, nut-free, low-carb, high-fiber</t>
        </is>
      </c>
      <c r="AB214" s="3" t="inlineStr">
        <is>
          <t>1. Hard-boil and chop eggs.
2. Mix with yogurt, Dijon, celery, chives and salt.
3. Halve avocados and fill; dust with paprika.</t>
        </is>
      </c>
      <c r="AC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11% of this dish's available carbohydrate comes from ingredients with a published, measured GI; the rest uses conventional placeholders (see Ingredients sheet)</t>
        </is>
      </c>
      <c r="Z215" s="2" t="n">
        <v>11</v>
      </c>
      <c r="AA215" s="3" t="inlineStr">
        <is>
          <t>gluten-free, nut-free, low-carb, high-protein</t>
        </is>
      </c>
      <c r="AB215" s="3" t="inlineStr">
        <is>
          <t>1. Crisp turkey bacon; chop.
2. Mix yogurt, mayo, lemon and chives.
3. Toss romaine, tomato, turkey, bacon and avocado with dressing.</t>
        </is>
      </c>
      <c r="AC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51% of this dish's available carbohydrate comes from ingredients with a published, measured GI; the rest uses conventional placeholders (see Ingredients sheet)</t>
        </is>
      </c>
      <c r="Z216" s="2" t="n">
        <v>51</v>
      </c>
      <c r="AA216" s="3" t="inlineStr">
        <is>
          <t>pescatarian, gluten-free, dairy-free, nut-free, low-carb, high-protein, omega-3</t>
        </is>
      </c>
      <c r="AB216" s="3" t="inlineStr">
        <is>
          <t>1. Roast salmon at 400°F for 12 minutes.
2. Shave fennel and segment orange.
3. Toss arugula, fennel, orange and olives with oil and lemon; top with salmon.</t>
        </is>
      </c>
      <c r="AC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29% of this dish's available carbohydrate comes from ingredients with a published, measured GI; the rest uses conventional placeholders (see Ingredients sheet)</t>
        </is>
      </c>
      <c r="Z217" s="2" t="n">
        <v>29</v>
      </c>
      <c r="AA217" s="3" t="inlineStr">
        <is>
          <t>gluten-free, nut-free, low-carb, high-protein</t>
        </is>
      </c>
      <c r="AB217" s="3" t="inlineStr">
        <is>
          <t>1. Toss cauliflower in oil and half the hot sauce; roast at 425°F 22 minutes.
2. Mix yogurt, blue cheese, lemon and remaining hot sauce.
3. Toss romaine, celery, carrot, chicken and cauliflower with dressing.</t>
        </is>
      </c>
      <c r="AC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6% of this dish's available carbohydrate comes from ingredients with a published, measured GI; the rest uses conventional placeholders (see Ingredients sheet)</t>
        </is>
      </c>
      <c r="Z218" s="2" t="n">
        <v>6</v>
      </c>
      <c r="AA218" s="3" t="inlineStr">
        <is>
          <t>gluten-free, dairy-free, low-carb, high-protein</t>
        </is>
      </c>
      <c r="AB218" s="3" t="inlineStr">
        <is>
          <t>1. Grill steak 4 minutes per side; rest and slice thin.
2. Whisk lime, fish sauce and pepper flakes.
3. Toss greens, cucumber, tomato, onion, herbs and steak with dressing; top with peanuts.</t>
        </is>
      </c>
      <c r="AC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0% of this dish's available carbohydrate comes from ingredients with a published, measured GI; the rest uses conventional placeholders (see Ingredients sheet)</t>
        </is>
      </c>
      <c r="Z219" s="2" t="n">
        <v>0</v>
      </c>
      <c r="AA219" s="3" t="inlineStr">
        <is>
          <t>gluten-free, nut-free, low-carb, high-protein</t>
        </is>
      </c>
      <c r="AB219" s="3" t="inlineStr">
        <is>
          <t>1. Grill chicken; slice.
2. Arrange greens, tomato, mozzarella and chicken.
3. Drizzle oil and balsamic; scatter basil.</t>
        </is>
      </c>
      <c r="AC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84% of this dish's available carbohydrate comes from ingredients with a published, measured GI; the rest uses conventional placeholders (see Ingredients sheet)</t>
        </is>
      </c>
      <c r="Z220" s="2" t="n">
        <v>84</v>
      </c>
      <c r="AA220" s="3" t="inlineStr">
        <is>
          <t>dairy-free, nut-free, high-protein</t>
        </is>
      </c>
      <c r="AB220" s="3" t="inlineStr">
        <is>
          <t>1. Poach or grill chicken; shred.
2. Whisk tamari, vinegar, sesame oil and ginger.
3. Toss cold soba with chicken, vegetables and dressing; sprinkle sesame.</t>
        </is>
      </c>
      <c r="AC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57% of this dish's available carbohydrate comes from ingredients with a published, measured GI; the rest uses conventional placeholders (see Ingredients sheet)</t>
        </is>
      </c>
      <c r="Z221" s="2" t="n">
        <v>57</v>
      </c>
      <c r="AA221" s="3" t="inlineStr">
        <is>
          <t>pescatarian, gluten-free, dairy-free, nut-free, low-carb, high-protein</t>
        </is>
      </c>
      <c r="AB221" s="3" t="inlineStr">
        <is>
          <t>1. Sauté shrimp in oil with Cajun seasoning 3 minutes.
2. Char corn 3 minutes in the same pan.
3. Toss with avocado, tomato, onion, cilantro, lime; serve over romaine.</t>
        </is>
      </c>
      <c r="AC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29</v>
      </c>
      <c r="U222" s="2" t="inlineStr">
        <is>
          <t>low</t>
        </is>
      </c>
      <c r="V222" s="5" t="n">
        <v>5</v>
      </c>
      <c r="W222" s="2" t="inlineStr">
        <is>
          <t>low</t>
        </is>
      </c>
      <c r="X222" s="3" t="inlineStr"/>
      <c r="Y222" s="3" t="inlineStr">
        <is>
          <t>70% of this dish's available carbohydrate comes from ingredients with a published, measured GI; the rest uses conventional placeholders (see Ingredients sheet)</t>
        </is>
      </c>
      <c r="Z222" s="2" t="n">
        <v>70</v>
      </c>
      <c r="AA222" s="3" t="inlineStr">
        <is>
          <t>vegetarian, gluten-free, nut-free, high-fiber, make-ahead, no-cook</t>
        </is>
      </c>
      <c r="AB222" s="3" t="inlineStr">
        <is>
          <t>1. Combine lentils, cucumber, tomatoes, onion, olives and parsley.
2. Dress with oil, vinegar and oregano.
3. Fold in feta.</t>
        </is>
      </c>
      <c r="AC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21% of this dish's available carbohydrate comes from ingredients with a published, measured GI; the rest uses conventional placeholders (see Ingredients sheet)</t>
        </is>
      </c>
      <c r="Z223" s="2" t="n">
        <v>21</v>
      </c>
      <c r="AA223" s="3" t="inlineStr">
        <is>
          <t>gluten-free, nut-free, low-carb, high-protein</t>
        </is>
      </c>
      <c r="AB223" s="3" t="inlineStr">
        <is>
          <t>1. Grill chicken and crisp bacon; chop.
2. Whisk yogurt, ranch seasoning and lemon.
3. Toss everything with the dressing.</t>
        </is>
      </c>
      <c r="AC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31</v>
      </c>
      <c r="U224" s="2" t="inlineStr">
        <is>
          <t>low</t>
        </is>
      </c>
      <c r="V224" s="5" t="n">
        <v>7.3</v>
      </c>
      <c r="W224" s="2" t="inlineStr">
        <is>
          <t>low</t>
        </is>
      </c>
      <c r="X224" s="3" t="inlineStr"/>
      <c r="Y224" s="3" t="inlineStr">
        <is>
          <t>69% of this dish's available carbohydrate comes from ingredients with a published, measured GI; the rest uses conventional placeholders (see Ingredients sheet)</t>
        </is>
      </c>
      <c r="Z224" s="2" t="n">
        <v>69</v>
      </c>
      <c r="AA224" s="3" t="inlineStr">
        <is>
          <t>vegetarian, gluten-free, high-fiber</t>
        </is>
      </c>
      <c r="AB224" s="3" t="inlineStr">
        <is>
          <t>1. Roast broccoli and chickpeas with oil, garlic and pepper flakes at 425°F 20 minutes.
2. Toss with lemon juice.
3. Top with parmesan and almonds; serve warm.</t>
        </is>
      </c>
      <c r="AC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0% of this dish's available carbohydrate comes from ingredients with a published, measured GI; the rest uses conventional placeholders (see Ingredients sheet)</t>
        </is>
      </c>
      <c r="Z225" s="2" t="n">
        <v>0</v>
      </c>
      <c r="AA225" s="3" t="inlineStr">
        <is>
          <t>gluten-free, nut-free, low-carb, high-protein</t>
        </is>
      </c>
      <c r="AB225" s="3" t="inlineStr">
        <is>
          <t>1. Sauté shrimp 3 minutes; crisp bacon; boil eggs.
2. Whisk oil, vinegar and Dijon.
3. Arrange all over romaine; drizzle dressing.</t>
        </is>
      </c>
      <c r="AC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67% of this dish's available carbohydrate comes from ingredients with a published, measured GI; the rest uses conventional placeholders (see Ingredients sheet)</t>
        </is>
      </c>
      <c r="Z226" s="2" t="n">
        <v>67</v>
      </c>
      <c r="AA226" s="3" t="inlineStr">
        <is>
          <t>gluten-free, nut-free, low-carb, high-protein</t>
        </is>
      </c>
      <c r="AB226" s="3" t="inlineStr">
        <is>
          <t>1. Season pork and roast at 425°F 18–20 minutes; rest and slice.
2. Whisk yogurt, Dijon and vinegar.
3. Toss shredded cabbage, apple and carrot with dressing; serve with pork.</t>
        </is>
      </c>
      <c r="AC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0% of this dish's available carbohydrate comes from ingredients with a published, measured GI; the rest uses conventional placeholders (see Ingredients sheet)</t>
        </is>
      </c>
      <c r="Z227" s="2" t="n">
        <v>0</v>
      </c>
      <c r="AA227" s="3" t="inlineStr">
        <is>
          <t>pescatarian, dairy-free, nut-free, low-carb, high-protein, omega-3</t>
        </is>
      </c>
      <c r="AB227" s="3" t="inlineStr">
        <is>
          <t>1. Whisk miso, ginger, vinegar and sesame oil; brush half on salmon and roast at 400°F 12 minutes.
2. Toss greens, cucumber, edamame and radish with remaining dressing.
3. Top with salmon and sesame seeds.</t>
        </is>
      </c>
      <c r="AC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91% of this dish's available carbohydrate comes from ingredients with a published, measured GI; the rest uses conventional placeholders (see Ingredients sheet)</t>
        </is>
      </c>
      <c r="Z228" s="2" t="n">
        <v>91</v>
      </c>
      <c r="AA228" s="3" t="inlineStr">
        <is>
          <t>gluten-free, dairy-free, nut-free, high-protein, high-fiber</t>
        </is>
      </c>
      <c r="AB228" s="3" t="inlineStr">
        <is>
          <t>1. Grill chicken; dice.
2. Whisk lime, oil and cumin.
3. Toss quinoa, beans, pepper, corn, cilantro with dressing; top with chicken and avocado.</t>
        </is>
      </c>
      <c r="AC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0% of this dish's available carbohydrate comes from ingredients with a published, measured GI; the rest uses conventional placeholders (see Ingredients sheet)</t>
        </is>
      </c>
      <c r="Z229" s="2" t="n">
        <v>0</v>
      </c>
      <c r="AA229" s="3" t="inlineStr">
        <is>
          <t>vegan, gluten-free, dairy-free, nut-free, low-carb, no-cook</t>
        </is>
      </c>
      <c r="AB229" s="3" t="inlineStr">
        <is>
          <t>1. Chop tomato and cucumber; slice onion.
2. Toss with oil, vinegar, dill and salt.
3. Sprinkle hemp seeds.</t>
        </is>
      </c>
      <c r="AC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12% of this dish's available carbohydrate comes from ingredients with a published, measured GI; the rest uses conventional placeholders (see Ingredients sheet)</t>
        </is>
      </c>
      <c r="Z230" s="2" t="n">
        <v>12</v>
      </c>
      <c r="AA230" s="3" t="inlineStr">
        <is>
          <t>gluten-free, nut-free, low-carb, high-protein</t>
        </is>
      </c>
      <c r="AB230" s="3" t="inlineStr">
        <is>
          <t>1. Marinate chicken in lemon, oregano, garlic and half the oil; grill 6 minutes per side and slice.
2. Mix yogurt, dill and grated cucumber (a little) for tzatziki.
3. Toss salad vegetables with remaining oil; top with chicken, feta and tzatziki.</t>
        </is>
      </c>
      <c r="AC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30</v>
      </c>
      <c r="U231" s="2" t="inlineStr">
        <is>
          <t>low</t>
        </is>
      </c>
      <c r="V231" s="5" t="n">
        <v>4.5</v>
      </c>
      <c r="W231" s="2" t="inlineStr">
        <is>
          <t>low</t>
        </is>
      </c>
      <c r="X231" s="3" t="inlineStr"/>
      <c r="Y231" s="3" t="inlineStr">
        <is>
          <t>80% of this dish's available carbohydrate comes from ingredients with a published, measured GI; the rest uses conventional placeholders (see Ingredients sheet)</t>
        </is>
      </c>
      <c r="Z231" s="2" t="n">
        <v>80</v>
      </c>
      <c r="AA231" s="3" t="inlineStr">
        <is>
          <t>pescatarian, gluten-free, dairy-free, high-protein, high-fiber</t>
        </is>
      </c>
      <c r="AB231" s="3" t="inlineStr">
        <is>
          <t>1. Sauté shrimp 3 minutes; cool.
2. Segment citrus.
3. Toss greens with oil and lime; top with citrus, avocado, onion, shrimp, pistachios and mint.</t>
        </is>
      </c>
      <c r="AC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31</v>
      </c>
      <c r="U232" s="2" t="inlineStr">
        <is>
          <t>low</t>
        </is>
      </c>
      <c r="V232" s="5" t="n">
        <v>5.8</v>
      </c>
      <c r="W232" s="2" t="inlineStr">
        <is>
          <t>low</t>
        </is>
      </c>
      <c r="X232" s="3" t="inlineStr"/>
      <c r="Y232" s="3" t="inlineStr">
        <is>
          <t>69% of this dish's available carbohydrate comes from ingredients with a published, measured GI; the rest uses conventional placeholders (see Ingredients sheet)</t>
        </is>
      </c>
      <c r="Z232" s="2" t="n">
        <v>69</v>
      </c>
      <c r="AA232" s="3" t="inlineStr">
        <is>
          <t>gluten-free, nut-free, high-protein, high-fiber</t>
        </is>
      </c>
      <c r="AB232" s="3" t="inlineStr">
        <is>
          <t>1. Roast chickpeas with half the oil and paprika at 425°F 22 minutes.
2. Grill chicken; slice.
3. Massage kale with remaining oil, lemon and garlic; toss with tomatoes, chicken, chickpeas and parmesan.</t>
        </is>
      </c>
      <c r="AC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0% of this dish's available carbohydrate comes from ingredients with a published, measured GI; the rest uses conventional placeholders (see Ingredients sheet)</t>
        </is>
      </c>
      <c r="Z233" s="2" t="n">
        <v>0</v>
      </c>
      <c r="AA233" s="3" t="inlineStr">
        <is>
          <t>pescatarian, gluten-free, dairy-free, nut-free, low-carb, high-protein</t>
        </is>
      </c>
      <c r="AB233" s="3" t="inlineStr">
        <is>
          <t>1. Sauté shrimp 3 minutes; cool.
2. Whisk tahini, tamari, vinegar, sesame oil, garlic, ginger and a little water.
3. Toss zoodles and cucumber with sauce; top with shrimp, green onion and sesame.</t>
        </is>
      </c>
      <c r="AC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0% of this dish's available carbohydrate comes from ingredients with a published, measured GI; the rest uses conventional placeholders (see Ingredients sheet)</t>
        </is>
      </c>
      <c r="Z234" s="2" t="n">
        <v>0</v>
      </c>
      <c r="AA234" s="3" t="inlineStr">
        <is>
          <t>vegetarian, gluten-free, nut-free, high-protein, no-cook</t>
        </is>
      </c>
      <c r="AB234" s="3" t="inlineStr">
        <is>
          <t>1. Chop vegetables.
2. Spoon cottage cheese into a bowl and surround with vegetables.
3. Drizzle oil, add seeds, dill and pepper.</t>
        </is>
      </c>
      <c r="AC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43% of this dish's available carbohydrate comes from ingredients with a published, measured GI; the rest uses conventional placeholders (see Ingredients sheet)</t>
        </is>
      </c>
      <c r="Z235" s="2" t="n">
        <v>43</v>
      </c>
      <c r="AA235" s="3" t="inlineStr">
        <is>
          <t>gluten-free, high-protein, no-cook</t>
        </is>
      </c>
      <c r="AB235" s="3" t="inlineStr">
        <is>
          <t>1. Whisk oil, vinegar and Dijon; massage into kale.
2. Add sliced apple, turkey and cheddar.
3. Top with walnuts.</t>
        </is>
      </c>
      <c r="AC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28</v>
      </c>
      <c r="U236" s="2" t="inlineStr">
        <is>
          <t>low</t>
        </is>
      </c>
      <c r="V236" s="5" t="n">
        <v>5.6</v>
      </c>
      <c r="W236" s="2" t="inlineStr">
        <is>
          <t>low</t>
        </is>
      </c>
      <c r="X236" s="3" t="inlineStr"/>
      <c r="Y236" s="3" t="inlineStr">
        <is>
          <t>58% of this dish's available carbohydrate comes from ingredients with a published, measured GI; the rest uses conventional placeholders (see Ingredients sheet)</t>
        </is>
      </c>
      <c r="Z236" s="2" t="n">
        <v>58</v>
      </c>
      <c r="AA236" s="3" t="inlineStr">
        <is>
          <t>pescatarian, gluten-free, nut-free, high-protein, high-fiber, no-cook</t>
        </is>
      </c>
      <c r="AB236" s="3" t="inlineStr">
        <is>
          <t>1. Mix tuna, chickpeas, cucumber, olives, feta, parsley with oil and lemon.
2. Halve and seed peppers.
3. Fill with the tuna mixture.</t>
        </is>
      </c>
      <c r="AC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0% of this dish's available carbohydrate comes from ingredients with a published, measured GI; the rest uses conventional placeholders (see Ingredients sheet)</t>
        </is>
      </c>
      <c r="Z237" s="2" t="n">
        <v>0</v>
      </c>
      <c r="AA237" s="3" t="inlineStr">
        <is>
          <t>gluten-free, high-protein, high-fiber, make-ahead</t>
        </is>
      </c>
      <c r="AB237" s="3" t="inlineStr">
        <is>
          <t>1. Cook pasta al dente; rinse cool.
2. Grill chicken; dice.
3. Toss pasta, chicken, tomatoes, mozzarella and arugula with pesto and lemon.</t>
        </is>
      </c>
      <c r="AC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50% of this dish's available carbohydrate comes from ingredients with a published, measured GI; the rest uses conventional placeholders (see Ingredients sheet)</t>
        </is>
      </c>
      <c r="Z238" s="2" t="n">
        <v>50</v>
      </c>
      <c r="AA238" s="3" t="inlineStr">
        <is>
          <t>vegan, gluten-free, dairy-free, nut-free, low-carb, high-fiber, no-cook</t>
        </is>
      </c>
      <c r="AB238" s="3" t="inlineStr">
        <is>
          <t>1. Shred carrot; slice cucumber.
2. Whisk ginger, vinegar, tamari and sesame oil.
3. Toss with edamame and green onion; top with sesame.</t>
        </is>
      </c>
      <c r="AC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55% of this dish's available carbohydrate comes from ingredients with a published, measured GI; the rest uses conventional placeholders (see Ingredients sheet)</t>
        </is>
      </c>
      <c r="Z239" s="2" t="n">
        <v>55</v>
      </c>
      <c r="AA239" s="3" t="inlineStr">
        <is>
          <t>nut-free, high-protein</t>
        </is>
      </c>
      <c r="AB239" s="3" t="inlineStr">
        <is>
          <t>1. Season chicken with oregano, garlic, lemon and oil; sear and slice.
2. Make tzatziki with yogurt, dill and grated cucumber.
3. Bowl romaine, tomato, cucumber, onion, chicken and tzatziki; serve with toasted pita half.</t>
        </is>
      </c>
      <c r="AC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77% of this dish's available carbohydrate comes from ingredients with a published, measured GI; the rest uses conventional placeholders (see Ingredients sheet)</t>
        </is>
      </c>
      <c r="Z240" s="2" t="n">
        <v>77</v>
      </c>
      <c r="AA240" s="3" t="inlineStr">
        <is>
          <t>vegetarian, gluten-free, nut-free</t>
        </is>
      </c>
      <c r="AB240" s="3" t="inlineStr">
        <is>
          <t>1. Sauté mushrooms with garlic and thyme in oil 6 minutes.
2. Toss warm mushrooms with beans, balsamic and parsley.
3. Serve over arugula with parmesan.</t>
        </is>
      </c>
      <c r="AC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0% of this dish's available carbohydrate comes from ingredients with a published, measured GI; the rest uses conventional placeholders (see Ingredients sheet)</t>
        </is>
      </c>
      <c r="Z241" s="2" t="n">
        <v>0</v>
      </c>
      <c r="AA241" s="3" t="inlineStr">
        <is>
          <t>gluten-free, nut-free, low-carb, high-protein, high-fiber</t>
        </is>
      </c>
      <c r="AB241" s="3" t="inlineStr">
        <is>
          <t>1. Rub steak with chili powder; sear 4 minutes per side; rest, slice.
2. Toss romaine, tomato, onion with lime and oil.
3. Top with steak, avocado, cotija, cilantro.</t>
        </is>
      </c>
      <c r="AC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31% of this dish's available carbohydrate comes from ingredients with a published, measured GI; the rest uses conventional placeholders (see Ingredients sheet)</t>
        </is>
      </c>
      <c r="Z242" s="2" t="n">
        <v>31</v>
      </c>
      <c r="AA242" s="3" t="inlineStr">
        <is>
          <t>pescatarian, gluten-free, nut-free, low-carb, high-protein, omega-3</t>
        </is>
      </c>
      <c r="AB242" s="3" t="inlineStr">
        <is>
          <t>1. Roast salmon at 400°F 12 minutes.
2. Whisk yogurt, lemon, Dijon, anchovy, garlic and oil.
3. Toss romaine with dressing; top with salmon, parmesan and capers.</t>
        </is>
      </c>
      <c r="AC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64% of this dish's available carbohydrate comes from ingredients with a published, measured GI; the rest uses conventional placeholders (see Ingredients sheet)</t>
        </is>
      </c>
      <c r="Z243" s="2" t="n">
        <v>64</v>
      </c>
      <c r="AA243" s="3" t="inlineStr">
        <is>
          <t>pescatarian, nut-free, low-carb, high-protein, omega-3</t>
        </is>
      </c>
      <c r="AB243" s="3" t="inlineStr">
        <is>
          <t>1. Slice radish and cucumber thin.
2. Mix yogurt, dill, lemon and oil.
3. Toss vegetables in dressing; top with flaked trout and rye croutons.</t>
        </is>
      </c>
      <c r="AC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34</v>
      </c>
      <c r="U244" s="2" t="inlineStr">
        <is>
          <t>low</t>
        </is>
      </c>
      <c r="V244" s="5" t="n">
        <v>10.9</v>
      </c>
      <c r="W244" s="2" t="inlineStr">
        <is>
          <t>medium</t>
        </is>
      </c>
      <c r="X244" s="3" t="inlineStr"/>
      <c r="Y244" s="3" t="inlineStr">
        <is>
          <t>75% of this dish's available carbohydrate comes from ingredients with a published, measured GI; the rest uses conventional placeholders (see Ingredients sheet)</t>
        </is>
      </c>
      <c r="Z244" s="2" t="n">
        <v>75</v>
      </c>
      <c r="AA244" s="3" t="inlineStr">
        <is>
          <t>vegan, gluten-free, dairy-free, nut-free, high-fiber, no-cook</t>
        </is>
      </c>
      <c r="AB244" s="3" t="inlineStr">
        <is>
          <t>1. Whisk tahini, lemon, garlic and water.
2. Toss spinach, chickpeas, cucumber, tomato and onion.
3. Drizzle with dressing; sprinkle sumac.</t>
        </is>
      </c>
      <c r="AC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41</v>
      </c>
      <c r="U245" s="2" t="inlineStr">
        <is>
          <t>low</t>
        </is>
      </c>
      <c r="V245" s="5" t="n">
        <v>3.9</v>
      </c>
      <c r="W245" s="2" t="inlineStr">
        <is>
          <t>low</t>
        </is>
      </c>
      <c r="X245" s="3" t="inlineStr"/>
      <c r="Y245" s="3" t="inlineStr">
        <is>
          <t>63% of this dish's available carbohydrate comes from ingredients with a published, measured GI; the rest uses conventional placeholders (see Ingredients sheet)</t>
        </is>
      </c>
      <c r="Z245" s="2" t="n">
        <v>63</v>
      </c>
      <c r="AA245" s="3" t="inlineStr">
        <is>
          <t>gluten-free, nut-free, low-carb, no-cook</t>
        </is>
      </c>
      <c r="AB245" s="3" t="inlineStr">
        <is>
          <t>1. Slice peach and mozzarella.
2. Arrange with prosciutto over arugula.
3. Drizzle oil and balsamic; add basil and pepper.</t>
        </is>
      </c>
      <c r="AC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0% of this dish's available carbohydrate comes from ingredients with a published, measured GI; the rest uses conventional placeholders (see Ingredients sheet)</t>
        </is>
      </c>
      <c r="Z246" s="2" t="n">
        <v>0</v>
      </c>
      <c r="AA246" s="3" t="inlineStr">
        <is>
          <t>gluten-free, dairy-free, nut-free, low-carb, high-protein</t>
        </is>
      </c>
      <c r="AB246" s="3" t="inlineStr">
        <is>
          <t>1. Grill chicken; dice.
2. Pulse raw cauliflower rice with parsley, mint, tomato, cucumber and green onion.
3. Dress with lemon, oil and salt; fold in chicken.</t>
        </is>
      </c>
      <c r="AC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43</v>
      </c>
      <c r="U247" s="2" t="inlineStr">
        <is>
          <t>low</t>
        </is>
      </c>
      <c r="V247" s="5" t="n">
        <v>9.300000000000001</v>
      </c>
      <c r="W247" s="2" t="inlineStr">
        <is>
          <t>low</t>
        </is>
      </c>
      <c r="X247" s="3" t="inlineStr"/>
      <c r="Y247" s="3" t="inlineStr">
        <is>
          <t>91% of this dish's available carbohydrate comes from ingredients with a published, measured GI; the rest uses conventional placeholders (see Ingredients sheet)</t>
        </is>
      </c>
      <c r="Z247" s="2" t="n">
        <v>91</v>
      </c>
      <c r="AA247" s="3" t="inlineStr">
        <is>
          <t>vegetarian, gluten-free, nut-free, high-fiber</t>
        </is>
      </c>
      <c r="AB247" s="3" t="inlineStr">
        <is>
          <t>1. Roast diced squash with half the oil, cinnamon and salt at 425°F 22 minutes.
2. Toss arugula and chickpeas with remaining oil and balsamic.
3. Top with squash, seeds and goat cheese.</t>
        </is>
      </c>
      <c r="AC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0% of this dish's available carbohydrate comes from ingredients with a published, measured GI; the rest uses conventional placeholders (see Ingredients sheet)</t>
        </is>
      </c>
      <c r="Z248" s="2" t="n">
        <v>0</v>
      </c>
      <c r="AA248" s="3" t="inlineStr">
        <is>
          <t>pescatarian, gluten-free, dairy-free, nut-free, low-carb, high-protein</t>
        </is>
      </c>
      <c r="AB248" s="3" t="inlineStr">
        <is>
          <t>1. Poach shrimp 3 minutes, chop and chill.
2. Toss with hearts of palm, tomato, onion, cilantro, jalapeño, lime and salt; marinate 20 minutes.
3. Fold in avocado and oil.</t>
        </is>
      </c>
      <c r="AC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23% of this dish's available carbohydrate comes from ingredients with a published, measured GI; the rest uses conventional placeholders (see Ingredients sheet)</t>
        </is>
      </c>
      <c r="Z249" s="2" t="n">
        <v>23</v>
      </c>
      <c r="AA249" s="3" t="inlineStr">
        <is>
          <t>gluten-free, dairy-free, nut-free, low-carb, high-protein, make-ahead</t>
        </is>
      </c>
      <c r="AB249" s="3" t="inlineStr">
        <is>
          <t>1. Sauté onion, carrot and celery in olive oil 6 minutes; add garlic.
2. Add broth, chicken, thyme, bay leaf and salt; simmer 20 minutes; remove chicken and shred.
3. Add green beans and zucchini, simmer 6 minutes; return chicken and finish with parsley.</t>
        </is>
      </c>
      <c r="AC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31</v>
      </c>
      <c r="U250" s="2" t="inlineStr">
        <is>
          <t>low</t>
        </is>
      </c>
      <c r="V250" s="5" t="n">
        <v>8.800000000000001</v>
      </c>
      <c r="W250" s="2" t="inlineStr">
        <is>
          <t>low</t>
        </is>
      </c>
      <c r="X250" s="3" t="inlineStr"/>
      <c r="Y250" s="3" t="inlineStr">
        <is>
          <t>60% of this dish's available carbohydrate comes from ingredients with a published, measured GI; the rest uses conventional placeholders (see Ingredients sheet)</t>
        </is>
      </c>
      <c r="Z250" s="2" t="n">
        <v>60</v>
      </c>
      <c r="AA250" s="3" t="inlineStr">
        <is>
          <t>gluten-free, dairy-free, nut-free, high-protein, high-fiber, make-ahead, freezer</t>
        </is>
      </c>
      <c r="AB250" s="3" t="inlineStr">
        <is>
          <t>1. Brown turkey in olive oil with onion and pepper, 8 minutes; add garlic and spices.
2. Add tomatoes, beans, broth and salt; simmer uncovered 35 minutes, stirring occasionally.
3. Serve with Greek yogurt and cilantro if desired.</t>
        </is>
      </c>
      <c r="AC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19</v>
      </c>
      <c r="U251" s="2" t="inlineStr">
        <is>
          <t>low</t>
        </is>
      </c>
      <c r="V251" s="5" t="n">
        <v>5.8</v>
      </c>
      <c r="W251" s="2" t="inlineStr">
        <is>
          <t>low</t>
        </is>
      </c>
      <c r="X251" s="3" t="inlineStr"/>
      <c r="Y251" s="3" t="inlineStr">
        <is>
          <t>75% of this dish's available carbohydrate comes from ingredients with a published, measured GI; the rest uses conventional placeholders (see Ingredients sheet)</t>
        </is>
      </c>
      <c r="Z251" s="2" t="n">
        <v>75</v>
      </c>
      <c r="AA251" s="3" t="inlineStr">
        <is>
          <t>vegan, gluten-free, dairy-free, nut-free, high-fiber, make-ahead</t>
        </is>
      </c>
      <c r="AB251" s="3" t="inlineStr">
        <is>
          <t>1. Sauté onion and carrot in oil 6 minutes; add garlic, cumin and turmeric.
2. Add dry lentils and broth; simmer 25 minutes until soft.
3. Blend partially, stir in lemon juice and salt; garnish with cilantro.</t>
        </is>
      </c>
      <c r="AC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18% of this dish's available carbohydrate comes from ingredients with a published, measured GI; the rest uses conventional placeholders (see Ingredients sheet)</t>
        </is>
      </c>
      <c r="Z252" s="2" t="n">
        <v>18</v>
      </c>
      <c r="AA252" s="3" t="inlineStr">
        <is>
          <t>vegetarian, gluten-free, nut-free, low-carb</t>
        </is>
      </c>
      <c r="AB252" s="3" t="inlineStr">
        <is>
          <t>1. Sauté onion and garlic in oil; add broccoli, cauliflower and broth; simmer 15 minutes.
2. Blend two-thirds of the soup until smooth (cauliflower replaces flour as thickener).
3. Stir in milk, cheddar, Dijon and salt; heat gently without boiling.</t>
        </is>
      </c>
      <c r="AC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37</v>
      </c>
      <c r="U253" s="2" t="inlineStr">
        <is>
          <t>low</t>
        </is>
      </c>
      <c r="V253" s="5" t="n">
        <v>8.5</v>
      </c>
      <c r="W253" s="2" t="inlineStr">
        <is>
          <t>low</t>
        </is>
      </c>
      <c r="X253" s="3" t="inlineStr"/>
      <c r="Y253" s="3" t="inlineStr">
        <is>
          <t>77% of this dish's available carbohydrate comes from ingredients with a published, measured GI; the rest uses conventional placeholders (see Ingredients sheet)</t>
        </is>
      </c>
      <c r="Z253" s="2" t="n">
        <v>77</v>
      </c>
      <c r="AA253" s="3" t="inlineStr">
        <is>
          <t>dairy-free, nut-free, make-ahead, freezer</t>
        </is>
      </c>
      <c r="AB253" s="3" t="inlineStr">
        <is>
          <t>1. Brown cubed beef in oil; remove. Sauté onion, carrot, celery and mushrooms 8 minutes.
2. Add tomato paste, garlic, broth, beef, thyme and bay leaf; simmer 60 minutes.
3. Add dry barley and simmer 30 minutes more until tender; season.</t>
        </is>
      </c>
      <c r="AC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69% of this dish's available carbohydrate comes from ingredients with a published, measured GI; the rest uses conventional placeholders (see Ingredients sheet)</t>
        </is>
      </c>
      <c r="Z254" s="2" t="n">
        <v>69</v>
      </c>
      <c r="AA254" s="3" t="inlineStr">
        <is>
          <t>gluten-free, nut-free, high-protein, high-fiber, make-ahead</t>
        </is>
      </c>
      <c r="AB254" s="3" t="inlineStr">
        <is>
          <t>1. Brown sliced sausage in oil; add onion, carrot and garlic and cook 5 minutes.
2. Add tomatoes, broth, beans and rosemary; simmer 15 minutes.
3. Stir in kale until wilted; serve with parmesan.</t>
        </is>
      </c>
      <c r="AC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0% of this dish's available carbohydrate comes from ingredients with a published, measured GI; the rest uses conventional placeholders (see Ingredients sheet)</t>
        </is>
      </c>
      <c r="Z255" s="2" t="n">
        <v>0</v>
      </c>
      <c r="AA255" s="3" t="inlineStr">
        <is>
          <t>gluten-free, dairy-free, nut-free, low-carb, high-protein</t>
        </is>
      </c>
      <c r="AB255" s="3" t="inlineStr">
        <is>
          <t>1. Simmer broth with ginger, lemongrass and curry paste 10 minutes.
2. Add sliced chicken and mushrooms; cook 8 minutes.
3. Add coconut milk, fish sauce and lime; heat through. Top with cilantro, green onion and chili.</t>
        </is>
      </c>
      <c r="AC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78% of this dish's available carbohydrate comes from ingredients with a published, measured GI; the rest uses conventional placeholders (see Ingredients sheet)</t>
        </is>
      </c>
      <c r="Z256" s="2" t="n">
        <v>78</v>
      </c>
      <c r="AA256" s="3" t="inlineStr">
        <is>
          <t>vegetarian, gluten-free, nut-free, high-fiber, make-ahead</t>
        </is>
      </c>
      <c r="AB256" s="3" t="inlineStr">
        <is>
          <t>1. Sauté onion, pepper and garlic in oil with cumin and chili powder 6 minutes.
2. Add beans and broth; simmer 20 minutes.
3. Blend half the soup, stir back in with lime and salt; top with yogurt and cilantro.</t>
        </is>
      </c>
      <c r="AC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43% of this dish's available carbohydrate comes from ingredients with a published, measured GI; the rest uses conventional placeholders (see Ingredients sheet)</t>
        </is>
      </c>
      <c r="Z257" s="2" t="n">
        <v>43</v>
      </c>
      <c r="AA257" s="3" t="inlineStr">
        <is>
          <t>gluten-free, nut-free, high-protein, high-fiber</t>
        </is>
      </c>
      <c r="AB257" s="3" t="inlineStr">
        <is>
          <t>1. Sauté onion, pepper, jalapeño and garlic with spices in oil 5 minutes.
2. Add broth, tomatoes and chicken; simmer 20 minutes; shred the chicken.
3. Add beans and heat; serve with avocado, cheddar, cilantro and lime.</t>
        </is>
      </c>
      <c r="AC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13% of this dish's available carbohydrate comes from ingredients with a published, measured GI; the rest uses conventional placeholders (see Ingredients sheet)</t>
        </is>
      </c>
      <c r="Z258" s="2" t="n">
        <v>13</v>
      </c>
      <c r="AA258" s="3" t="inlineStr">
        <is>
          <t>vegetarian, gluten-free, nut-free, low-carb</t>
        </is>
      </c>
      <c r="AB258" s="3" t="inlineStr">
        <is>
          <t>1. Sauté onion and garlic in oil 5 minutes.
2. Add cauliflower and broth; simmer 15 minutes.
3. Blend smooth with milk, nutmeg and salt; garnish with parmesan and chives.</t>
        </is>
      </c>
      <c r="AC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29</v>
      </c>
      <c r="U259" s="2" t="inlineStr">
        <is>
          <t>low</t>
        </is>
      </c>
      <c r="V259" s="5" t="n">
        <v>7.2</v>
      </c>
      <c r="W259" s="2" t="inlineStr">
        <is>
          <t>low</t>
        </is>
      </c>
      <c r="X259" s="3" t="inlineStr"/>
      <c r="Y259" s="3" t="inlineStr">
        <is>
          <t>64% of this dish's available carbohydrate comes from ingredients with a published, measured GI; the rest uses conventional placeholders (see Ingredients sheet)</t>
        </is>
      </c>
      <c r="Z259" s="2" t="n">
        <v>64</v>
      </c>
      <c r="AA259" s="3" t="inlineStr">
        <is>
          <t>vegan, gluten-free, dairy-free, nut-free, high-fiber, make-ahead, freezer</t>
        </is>
      </c>
      <c r="AB259" s="3" t="inlineStr">
        <is>
          <t>1. Sauté onion, carrot and celery in oil 7 minutes; add garlic and spices.
2. Add dry lentils, tomatoes and broth; simmer 30 minutes.
3. Stir in spinach and vinegar; season.</t>
        </is>
      </c>
      <c r="AC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23% of this dish's available carbohydrate comes from ingredients with a published, measured GI; the rest uses conventional placeholders (see Ingredients sheet)</t>
        </is>
      </c>
      <c r="Z260" s="2" t="n">
        <v>23</v>
      </c>
      <c r="AA260" s="3" t="inlineStr">
        <is>
          <t>gluten-free, low-carb, high-protein</t>
        </is>
      </c>
      <c r="AB260" s="3" t="inlineStr">
        <is>
          <t>1. Mix turkey, egg, half the parmesan, almond flour and seasoning; roll into small meatballs.
2. Sauté onion, carrot, celery, garlic in oil; add broth and simmer.
3. Drop in meatballs, cook 12 minutes; add spinach and remaining parmesan.</t>
        </is>
      </c>
      <c r="AC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29</v>
      </c>
      <c r="U261" s="2" t="inlineStr">
        <is>
          <t>low</t>
        </is>
      </c>
      <c r="V261" s="5" t="n">
        <v>7.3</v>
      </c>
      <c r="W261" s="2" t="inlineStr">
        <is>
          <t>low</t>
        </is>
      </c>
      <c r="X261" s="3" t="inlineStr"/>
      <c r="Y261" s="3" t="inlineStr">
        <is>
          <t>82% of this dish's available carbohydrate comes from ingredients with a published, measured GI; the rest uses conventional placeholders (see Ingredients sheet)</t>
        </is>
      </c>
      <c r="Z261" s="2" t="n">
        <v>82</v>
      </c>
      <c r="AA261" s="3" t="inlineStr">
        <is>
          <t>gluten-free, dairy-free, nut-free, high-fiber, make-ahead, freezer</t>
        </is>
      </c>
      <c r="AB261" s="3" t="inlineStr">
        <is>
          <t>1. Sauté onion, carrot and celery in oil 6 minutes; add garlic.
2. Add dry split peas, ham, broth, bay leaf and thyme; simmer 60–70 minutes until peas break down.
3. Remove bay leaf; season with pepper.</t>
        </is>
      </c>
      <c r="AC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0% of this dish's available carbohydrate comes from ingredients with a published, measured GI; the rest uses conventional placeholders (see Ingredients sheet)</t>
        </is>
      </c>
      <c r="Z262" s="2" t="n">
        <v>0</v>
      </c>
      <c r="AA262" s="3" t="inlineStr">
        <is>
          <t>vegetarian, gluten-free, dairy-free, nut-free, low-carb, quick</t>
        </is>
      </c>
      <c r="AB262" s="3" t="inlineStr">
        <is>
          <t>1. Simmer broth with ginger and tamari; add tofu cubes.
2. Drizzle in beaten eggs while stirring slowly to make ribbons.
3. Add spinach, sesame oil and green onion.</t>
        </is>
      </c>
      <c r="AC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36% of this dish's available carbohydrate comes from ingredients with a published, measured GI; the rest uses conventional placeholders (see Ingredients sheet)</t>
        </is>
      </c>
      <c r="Z263" s="2" t="n">
        <v>36</v>
      </c>
      <c r="AA263" s="3" t="inlineStr">
        <is>
          <t>pescatarian, gluten-free, nut-free, low-carb, high-protein, omega-3</t>
        </is>
      </c>
      <c r="AB263" s="3" t="inlineStr">
        <is>
          <t>1. Sauté onion, celery, carrot and garlic in oil 6 minutes.
2. Add cauliflower and broth; simmer 12 minutes. Blend half for creaminess.
3. Add salmon chunks and milk; simmer 6 minutes; finish with dill and lemon.</t>
        </is>
      </c>
      <c r="AC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27</v>
      </c>
      <c r="U264" s="2" t="inlineStr">
        <is>
          <t>low</t>
        </is>
      </c>
      <c r="V264" s="5" t="n">
        <v>9.300000000000001</v>
      </c>
      <c r="W264" s="2" t="inlineStr">
        <is>
          <t>low</t>
        </is>
      </c>
      <c r="X264" s="3" t="inlineStr"/>
      <c r="Y264" s="3" t="inlineStr">
        <is>
          <t>46% of this dish's available carbohydrate comes from ingredients with a published, measured GI; the rest uses conventional placeholders (see Ingredients sheet)</t>
        </is>
      </c>
      <c r="Z264" s="2" t="n">
        <v>46</v>
      </c>
      <c r="AA264" s="3" t="inlineStr">
        <is>
          <t>vegetarian, gluten-free, nut-free, high-fiber, make-ahead</t>
        </is>
      </c>
      <c r="AB264" s="3" t="inlineStr">
        <is>
          <t>1. Sauté onion, carrot, celery in oil 7 minutes; add garlic and seasoning.
2. Add tomatoes, broth, beans; simmer 15 minutes; add zucchini and green beans for 6 minutes.
3. Cook pasta separately and add to bowls; top with parmesan.</t>
        </is>
      </c>
      <c r="AC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20% of this dish's available carbohydrate comes from ingredients with a published, measured GI; the rest uses conventional placeholders (see Ingredients sheet)</t>
        </is>
      </c>
      <c r="Z265" s="2" t="n">
        <v>20</v>
      </c>
      <c r="AA265" s="3" t="inlineStr">
        <is>
          <t>gluten-free, dairy-free, nut-free, low-carb, high-protein</t>
        </is>
      </c>
      <c r="AB265" s="3" t="inlineStr">
        <is>
          <t>1. Sauté onion, carrot, celery in oil; add garlic and thyme.
2. Add broth and chicken; simmer 20 minutes; shred chicken.
3. Add zoodles for 2 minutes; finish with parsley and lemon.</t>
        </is>
      </c>
      <c r="AC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33</v>
      </c>
      <c r="U266" s="2" t="inlineStr">
        <is>
          <t>low</t>
        </is>
      </c>
      <c r="V266" s="5" t="n">
        <v>12.3</v>
      </c>
      <c r="W266" s="2" t="inlineStr">
        <is>
          <t>medium</t>
        </is>
      </c>
      <c r="X266" s="3" t="inlineStr"/>
      <c r="Y266" s="3" t="inlineStr">
        <is>
          <t>71% of this dish's available carbohydrate comes from ingredients with a published, measured GI; the rest uses conventional placeholders (see Ingredients sheet)</t>
        </is>
      </c>
      <c r="Z266" s="2" t="n">
        <v>71</v>
      </c>
      <c r="AA266" s="3" t="inlineStr">
        <is>
          <t>vegan, gluten-free, dairy-free, nut-free, high-fiber, make-ahead</t>
        </is>
      </c>
      <c r="AB266" s="3" t="inlineStr">
        <is>
          <t>1. Sauté onion and carrot in oil 6 minutes; add garlic and spices 1 minute.
2. Add tomatoes, broth, chickpeas and harissa; simmer 20 minutes.
3. Add zucchini for 8 minutes; finish with lemon and cilantro.</t>
        </is>
      </c>
      <c r="AC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44% of this dish's available carbohydrate comes from ingredients with a published, measured GI; the rest uses conventional placeholders (see Ingredients sheet)</t>
        </is>
      </c>
      <c r="Z267" s="2" t="n">
        <v>44</v>
      </c>
      <c r="AA267" s="3" t="inlineStr">
        <is>
          <t>gluten-free, dairy-free, nut-free, low-carb, high-protein, make-ahead, freezer</t>
        </is>
      </c>
      <c r="AB267" s="3" t="inlineStr">
        <is>
          <t>1. Brown beef cubes in oil in batches; remove.
2. Sauté onion, celery, mushrooms; add tomato paste, garlic, wine and reduce 2 minutes.
3. Return beef with broth, thyme, bay leaf; simmer covered 90 minutes. Add carrot and turnip; cook 30 minutes more.</t>
        </is>
      </c>
      <c r="AC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0% of this dish's available carbohydrate comes from ingredients with a published, measured GI; the rest uses conventional placeholders (see Ingredients sheet)</t>
        </is>
      </c>
      <c r="Z268" s="2" t="n">
        <v>0</v>
      </c>
      <c r="AA268" s="3" t="inlineStr">
        <is>
          <t>vegan, gluten-free, dairy-free, nut-free, low-carb, no-cook, make-ahead</t>
        </is>
      </c>
      <c r="AB268" s="3" t="inlineStr">
        <is>
          <t>1. Roughly chop vegetables.
2. Blend with garlic, oil, vinegar, salt and cumin until smooth.
3. Chill 2 hours; serve cold.</t>
        </is>
      </c>
      <c r="AC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78% of this dish's available carbohydrate comes from ingredients with a published, measured GI; the rest uses conventional placeholders (see Ingredients sheet)</t>
        </is>
      </c>
      <c r="Z269" s="2" t="n">
        <v>78</v>
      </c>
      <c r="AA269" s="3" t="inlineStr">
        <is>
          <t>gluten-free, nut-free, high-protein, make-ahead</t>
        </is>
      </c>
      <c r="AB269" s="3" t="inlineStr">
        <is>
          <t>1. Sauté onion and garlic with spices in oil 5 minutes.
2. Add broth, chicken, beans and chiles; simmer 25 minutes; shred chicken.
3. Mash a few beans to thicken; stir in yogurt, lime, cilantro and salt.</t>
        </is>
      </c>
      <c r="AC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0% of this dish's available carbohydrate comes from ingredients with a published, measured GI; the rest uses conventional placeholders (see Ingredients sheet)</t>
        </is>
      </c>
      <c r="Z270" s="2" t="n">
        <v>0</v>
      </c>
      <c r="AA270" s="3" t="inlineStr">
        <is>
          <t>vegan, dairy-free, nut-free, low-carb, quick</t>
        </is>
      </c>
      <c r="AB270" s="3" t="inlineStr">
        <is>
          <t>1. Simmer broth with sliced shiitake 5 minutes; add tofu and wakame.
2. Remove from heat; whisk miso with a little broth and stir in.
3. Top with green onion.</t>
        </is>
      </c>
      <c r="AC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44% of this dish's available carbohydrate comes from ingredients with a published, measured GI; the rest uses conventional placeholders (see Ingredients sheet)</t>
        </is>
      </c>
      <c r="Z271" s="2" t="n">
        <v>44</v>
      </c>
      <c r="AA271" s="3" t="inlineStr">
        <is>
          <t>vegan, gluten-free, dairy-free, nut-free, make-ahead</t>
        </is>
      </c>
      <c r="AB271" s="3" t="inlineStr">
        <is>
          <t>1. Roast halved tomatoes, onion and garlic with oil at 400°F for 35 minutes.
2. Blend with broth, white beans (for body and protein) and basil.
3. Simmer 5 minutes; season.</t>
        </is>
      </c>
      <c r="AC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0% of this dish's available carbohydrate comes from ingredients with a published, measured GI; the rest uses conventional placeholders (see Ingredients sheet)</t>
        </is>
      </c>
      <c r="Z272" s="2" t="n">
        <v>0</v>
      </c>
      <c r="AA272" s="3" t="inlineStr">
        <is>
          <t>gluten-free, dairy-free, nut-free, low-carb, high-protein</t>
        </is>
      </c>
      <c r="AB272" s="3" t="inlineStr">
        <is>
          <t>1. Brown sausage in oil; add onion, pepper, celery and cook 8 minutes; add garlic.
2. Add tomatoes, broth, okra, Cajun seasoning and bay leaf; simmer 25 minutes.
3. Add shrimp for 4 minutes; serve over sautéed cauliflower rice with green onion.</t>
        </is>
      </c>
      <c r="AC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13% of this dish's available carbohydrate comes from ingredients with a published, measured GI; the rest uses conventional placeholders (see Ingredients sheet)</t>
        </is>
      </c>
      <c r="Z273" s="2" t="n">
        <v>13</v>
      </c>
      <c r="AA273" s="3" t="inlineStr">
        <is>
          <t>vegetarian, gluten-free, nut-free</t>
        </is>
      </c>
      <c r="AB273" s="3" t="inlineStr">
        <is>
          <t>1. Sauté mushrooms in oil until browned; add onion, carrot, celery and garlic 5 minutes.
2. Add broth, thyme; simmer 15 minutes.
3. Stir in cooked wild rice and milk; heat; serve with parmesan.</t>
        </is>
      </c>
      <c r="AC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0% of this dish's available carbohydrate comes from ingredients with a published, measured GI; the rest uses conventional placeholders (see Ingredients sheet)</t>
        </is>
      </c>
      <c r="Z274" s="2" t="n">
        <v>0</v>
      </c>
      <c r="AA274" s="3" t="inlineStr">
        <is>
          <t>gluten-free, dairy-free, nut-free, low-carb, high-protein</t>
        </is>
      </c>
      <c r="AB274" s="3" t="inlineStr">
        <is>
          <t>1. Simmer broth with ginger, star anise, cinnamon and fish sauce 15 minutes; poach chicken in it 10 minutes; slice.
2. Strain broth over zoodles in bowls.
3. Top with chicken, sprouts, herbs, lime, jalapeño and green onion.</t>
        </is>
      </c>
      <c r="AC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28</v>
      </c>
      <c r="U275" s="2" t="inlineStr">
        <is>
          <t>low</t>
        </is>
      </c>
      <c r="V275" s="5" t="n">
        <v>9.199999999999999</v>
      </c>
      <c r="W275" s="2" t="inlineStr">
        <is>
          <t>low</t>
        </is>
      </c>
      <c r="X275" s="3" t="inlineStr"/>
      <c r="Y275" s="3" t="inlineStr">
        <is>
          <t>73% of this dish's available carbohydrate comes from ingredients with a published, measured GI; the rest uses conventional placeholders (see Ingredients sheet)</t>
        </is>
      </c>
      <c r="Z275" s="2" t="n">
        <v>73</v>
      </c>
      <c r="AA275" s="3" t="inlineStr">
        <is>
          <t>vegan, gluten-free, dairy-free, nut-free, high-fiber, make-ahead</t>
        </is>
      </c>
      <c r="AB275" s="3" t="inlineStr">
        <is>
          <t>1. Sauté onion, garlic, ginger and curry powder in oil 5 minutes.
2. Add squash, dry lentils and broth; simmer 25 minutes.
3. Blend, stir in coconut milk, lime and salt; garnish with cilantro.</t>
        </is>
      </c>
      <c r="AC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14% of this dish's available carbohydrate comes from ingredients with a published, measured GI; the rest uses conventional placeholders (see Ingredients sheet)</t>
        </is>
      </c>
      <c r="Z276" s="2" t="n">
        <v>14</v>
      </c>
      <c r="AA276" s="3" t="inlineStr">
        <is>
          <t>gluten-free, low-carb, high-protein</t>
        </is>
      </c>
      <c r="AB276" s="3" t="inlineStr">
        <is>
          <t>1. Mix turkey, egg, almond flour, garlic powder; form meatballs.
2. Sauté onion and carrot; add broth, tomatoes, seasoning; simmer.
3. Add meatballs 12 minutes; add zucchini and green beans 6 minutes; serve with parmesan.</t>
        </is>
      </c>
      <c r="AC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23% of this dish's available carbohydrate comes from ingredients with a published, measured GI; the rest uses conventional placeholders (see Ingredients sheet)</t>
        </is>
      </c>
      <c r="Z277" s="2" t="n">
        <v>23</v>
      </c>
      <c r="AA277" s="3" t="inlineStr">
        <is>
          <t>gluten-free, dairy-free, nut-free, low-carb, high-protein</t>
        </is>
      </c>
      <c r="AB277" s="3" t="inlineStr">
        <is>
          <t>1. Simmer chicken in broth with onion, garlic, cumin and salt 25 minutes; shred.
2. Add carrot, cabbage and zucchini; cook 10 minutes.
3. Serve with cilantro, lime, jalapeño and avocado.</t>
        </is>
      </c>
      <c r="AC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47% of this dish's available carbohydrate comes from ingredients with a published, measured GI; the rest uses conventional placeholders (see Ingredients sheet)</t>
        </is>
      </c>
      <c r="Z278" s="2" t="n">
        <v>47</v>
      </c>
      <c r="AA278" s="3" t="inlineStr">
        <is>
          <t>vegetarian, gluten-free, nut-free</t>
        </is>
      </c>
      <c r="AB278" s="3" t="inlineStr">
        <is>
          <t>1. Sauté onion and garlic in oil; add zucchini and cook 5 minutes.
2. Add broth and beans; simmer 12 minutes.
3. Blend with basil and lemon; season; top with parmesan.</t>
        </is>
      </c>
      <c r="AC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0% of this dish's available carbohydrate comes from ingredients with a published, measured GI; the rest uses conventional placeholders (see Ingredients sheet)</t>
        </is>
      </c>
      <c r="Z279" s="2" t="n">
        <v>0</v>
      </c>
      <c r="AA279" s="3" t="inlineStr">
        <is>
          <t>vegetarian, dairy-free, nut-free, low-carb, high-protein</t>
        </is>
      </c>
      <c r="AB279" s="3" t="inlineStr">
        <is>
          <t>1. Sauté kimchi and garlic in sesame oil 3 minutes.
2. Add broth, gochujang, mushrooms and zucchini; simmer 8 minutes.
3. Add tofu chunks; crack in eggs and cook 3 minutes; top with green onion.</t>
        </is>
      </c>
      <c r="AC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18% of this dish's available carbohydrate comes from ingredients with a published, measured GI; the rest uses conventional placeholders (see Ingredients sheet)</t>
        </is>
      </c>
      <c r="Z280" s="2" t="n">
        <v>18</v>
      </c>
      <c r="AA280" s="3" t="inlineStr">
        <is>
          <t>gluten-free, dairy-free, nut-free, low-carb, high-protein</t>
        </is>
      </c>
      <c r="AB280" s="3" t="inlineStr">
        <is>
          <t>1. Simmer chicken with onion and carrot in broth 20 minutes; shred chicken.
2. Add cauliflower rice, cook 5 minutes.
3. Whisk eggs with lemon; temper with hot broth and stir in off heat (avgolemono); add dill and salt.</t>
        </is>
      </c>
      <c r="AC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30</v>
      </c>
      <c r="U281" s="2" t="inlineStr">
        <is>
          <t>low</t>
        </is>
      </c>
      <c r="V281" s="5" t="n">
        <v>12.7</v>
      </c>
      <c r="W281" s="2" t="inlineStr">
        <is>
          <t>medium</t>
        </is>
      </c>
      <c r="X281" s="3" t="inlineStr"/>
      <c r="Y281" s="3" t="inlineStr">
        <is>
          <t>69% of this dish's available carbohydrate comes from ingredients with a published, measured GI; the rest uses conventional placeholders (see Ingredients sheet)</t>
        </is>
      </c>
      <c r="Z281" s="2" t="n">
        <v>69</v>
      </c>
      <c r="AA281" s="3" t="inlineStr">
        <is>
          <t>vegan, gluten-free, dairy-free, nut-free, high-fiber, make-ahead, freezer</t>
        </is>
      </c>
      <c r="AB281" s="3" t="inlineStr">
        <is>
          <t>1. Sauté onion, pepper and zucchini in oil 8 minutes; add garlic and spices.
2. Add tomatoes, beans, broth and cocoa; simmer 30 minutes.
3. Season and serve with yogurt or avocado.</t>
        </is>
      </c>
      <c r="AC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"grams": 150.0, "note": ""}, {"ingredient_id": "salt", "name": "Salt", "grams": 3.0, "note": ""}, {"ingredient_id": "black_pepper", "name": "Black pepper", "grams": 1.0, "note": ""}]</t>
        </is>
      </c>
      <c r="N282" s="2" t="n">
        <v>257</v>
      </c>
      <c r="O282" s="5" t="n">
        <v>24.6</v>
      </c>
      <c r="P282" s="5" t="n">
        <v>7.8</v>
      </c>
      <c r="Q282" s="5" t="n">
        <v>23.6</v>
      </c>
      <c r="R282" s="5" t="n">
        <v>3.6</v>
      </c>
      <c r="S282" s="5" t="n">
        <v>20</v>
      </c>
      <c r="T282" s="2" t="n">
        <v>32</v>
      </c>
      <c r="U282" s="2" t="inlineStr">
        <is>
          <t>low</t>
        </is>
      </c>
      <c r="V282" s="5" t="n">
        <v>6.4</v>
      </c>
      <c r="W282" s="2" t="inlineStr">
        <is>
          <t>low</t>
        </is>
      </c>
      <c r="X282" s="3" t="inlineStr"/>
      <c r="Y282" s="3" t="inlineStr">
        <is>
          <t>49% of this dish's available carbohydrate comes from ingredients with a published, measured GI; the rest uses conventional placeholders (see Ingredients sheet)</t>
        </is>
      </c>
      <c r="Z282" s="2" t="n">
        <v>49</v>
      </c>
      <c r="AA282" s="3" t="inlineStr">
        <is>
          <t>gluten-free, nut-free</t>
        </is>
      </c>
      <c r="AB282" s="3" t="inlineStr">
        <is>
          <t>1. Crisp turkey bacon; set aside. Sauté onion and celery in oil.
2. Add cauliflower, potato, broth, thyme; simmer 15 minutes; blend half.
3. Add clams and milk; heat 5 minutes; top with bacon and pepper.</t>
        </is>
      </c>
      <c r="AC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35</v>
      </c>
      <c r="U283" s="2" t="inlineStr">
        <is>
          <t>low</t>
        </is>
      </c>
      <c r="V283" s="5" t="n">
        <v>13.8</v>
      </c>
      <c r="W283" s="2" t="inlineStr">
        <is>
          <t>medium</t>
        </is>
      </c>
      <c r="X283" s="3" t="inlineStr"/>
      <c r="Y283" s="3" t="inlineStr">
        <is>
          <t>74% of this dish's available carbohydrate comes from ingredients with a published, measured GI; the rest uses conventional placeholders (see Ingredients sheet)</t>
        </is>
      </c>
      <c r="Z283" s="2" t="n">
        <v>74</v>
      </c>
      <c r="AA283" s="3" t="inlineStr">
        <is>
          <t>vegan, gluten-free, dairy-free, high-fiber, make-ahead</t>
        </is>
      </c>
      <c r="AB283" s="3" t="inlineStr">
        <is>
          <t>1. Sauté onion, garlic, ginger and spices in oil 5 minutes.
2. Add sweet potato, tomatoes, broth and chickpeas; simmer 20 minutes.
3. Whisk in peanut butter, add spinach and lime; season.</t>
        </is>
      </c>
      <c r="AC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13% of this dish's available carbohydrate comes from ingredients with a published, measured GI; the rest uses conventional placeholders (see Ingredients sheet)</t>
        </is>
      </c>
      <c r="Z284" s="2" t="n">
        <v>13</v>
      </c>
      <c r="AA284" s="3" t="inlineStr">
        <is>
          <t>gluten-free, dairy-free, nut-free, low-carb, high-protein</t>
        </is>
      </c>
      <c r="AB284" s="3" t="inlineStr">
        <is>
          <t>1. Sauté onion and carrot in oil; add garlic and paprika.
2. Add broth, tomatoes and chicken; simmer 20 minutes; shred chicken.
3. Add cabbage and cook 8 minutes; finish with dill.</t>
        </is>
      </c>
      <c r="AC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0% of this dish's available carbohydrate comes from ingredients with a published, measured GI; the rest uses conventional placeholders (see Ingredients sheet)</t>
        </is>
      </c>
      <c r="Z285" s="2" t="n">
        <v>0</v>
      </c>
      <c r="AA285" s="3" t="inlineStr">
        <is>
          <t>pescatarian, gluten-free, dairy-free, nut-free, high-protein</t>
        </is>
      </c>
      <c r="AB285" s="3" t="inlineStr">
        <is>
          <t>1. Sauté onion, fennel and garlic in oil 6 minutes; add pepper flakes and oregano.
2. Add wine, tomatoes and broth; simmer 15 minutes.
3. Add mussels, cod and shrimp; cover and cook 6 minutes until mussels open; finish with parsley.</t>
        </is>
      </c>
      <c r="AC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72% of this dish's available carbohydrate comes from ingredients with a published, measured GI; the rest uses conventional placeholders (see Ingredients sheet)</t>
        </is>
      </c>
      <c r="Z286" s="2" t="n">
        <v>72</v>
      </c>
      <c r="AA286" s="3" t="inlineStr">
        <is>
          <t>gluten-free, nut-free, high-protein, high-fiber</t>
        </is>
      </c>
      <c r="AB286" s="3" t="inlineStr">
        <is>
          <t>1. Brown sausage; add onion and garlic 4 minutes.
2. Add broth and beans; simmer 10 minutes.
3. Stir in chard until wilted; finish with lemon and parmesan.</t>
        </is>
      </c>
      <c r="AC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70% of this dish's available carbohydrate comes from ingredients with a published, measured GI; the rest uses conventional placeholders (see Ingredients sheet)</t>
        </is>
      </c>
      <c r="Z287" s="2" t="n">
        <v>70</v>
      </c>
      <c r="AA287" s="3" t="inlineStr">
        <is>
          <t>vegan, gluten-free, dairy-free, nut-free, high-fiber, make-ahead</t>
        </is>
      </c>
      <c r="AB287" s="3" t="inlineStr">
        <is>
          <t>1. Sauté onion, ginger and garlic in oil 5 minutes.
2. Add carrot, beans and broth; simmer 20 minutes.
3. Blend with coconut milk and lime; season.</t>
        </is>
      </c>
      <c r="AC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0% of this dish's available carbohydrate comes from ingredients with a published, measured GI; the rest uses conventional placeholders (see Ingredients sheet)</t>
        </is>
      </c>
      <c r="Z288" s="2" t="n">
        <v>0</v>
      </c>
      <c r="AA288" s="3" t="inlineStr">
        <is>
          <t>gluten-free, dairy-free, nut-free, low-carb, high-protein</t>
        </is>
      </c>
      <c r="AB288" s="3" t="inlineStr">
        <is>
          <t>1. Brown pork with ginger and garlic; add tamari.
2. Add broth and shiitake; simmer 8 minutes.
3. Add cabbage and tofu; cook 5 minutes; finish with sesame oil and green onion.</t>
        </is>
      </c>
      <c r="AC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30</v>
      </c>
      <c r="U289" s="2" t="inlineStr">
        <is>
          <t>low</t>
        </is>
      </c>
      <c r="V289" s="5" t="n">
        <v>11.9</v>
      </c>
      <c r="W289" s="2" t="inlineStr">
        <is>
          <t>medium</t>
        </is>
      </c>
      <c r="X289" s="3" t="inlineStr"/>
      <c r="Y289" s="3" t="inlineStr">
        <is>
          <t>54% of this dish's available carbohydrate comes from ingredients with a published, measured GI; the rest uses conventional placeholders (see Ingredients sheet)</t>
        </is>
      </c>
      <c r="Z289" s="2" t="n">
        <v>54</v>
      </c>
      <c r="AA289" s="3" t="inlineStr">
        <is>
          <t>vegan, gluten-free, dairy-free, nut-free, high-fiber, make-ahead</t>
        </is>
      </c>
      <c r="AB289" s="3" t="inlineStr">
        <is>
          <t>1. Sauté onion, carrot, celery in oil; add garlic, thyme, turmeric.
2. Add broth and chickpeas; simmer 12 minutes.
3. Add pasta and cook 6–7 minutes; finish with parsley and lemon.</t>
        </is>
      </c>
      <c r="AC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13% of this dish's available carbohydrate comes from ingredients with a published, measured GI; the rest uses conventional placeholders (see Ingredients sheet)</t>
        </is>
      </c>
      <c r="Z290" s="2" t="n">
        <v>13</v>
      </c>
      <c r="AA290" s="3" t="inlineStr">
        <is>
          <t>gluten-free, dairy-free, nut-free, low-carb, high-protein, make-ahead</t>
        </is>
      </c>
      <c r="AB290" s="3" t="inlineStr">
        <is>
          <t>1. Brown beef with onion in oil; add garlic and paprika.
2. Add broth, tomatoes, carrot and cabbage; simmer 25 minutes.
3. Finish with vinegar and salt.</t>
        </is>
      </c>
      <c r="AC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8% of this dish's available carbohydrate comes from ingredients with a published, measured GI; the rest uses conventional placeholders (see Ingredients sheet)</t>
        </is>
      </c>
      <c r="Z291" s="2" t="n">
        <v>8</v>
      </c>
      <c r="AA291" s="3" t="inlineStr">
        <is>
          <t>gluten-free, nut-free, low-carb, high-protein</t>
        </is>
      </c>
      <c r="AB291" s="3" t="inlineStr">
        <is>
          <t>1. Sauté onion, garlic, ginger and spices in oil 5 minutes.
2. Add tomatoes, broth, chicken and cauliflower; simmer 20 minutes; shred chicken.
3. Stir in yogurt off heat; garnish cilantro.</t>
        </is>
      </c>
      <c r="AC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45% of this dish's available carbohydrate comes from ingredients with a published, measured GI; the rest uses conventional placeholders (see Ingredients sheet)</t>
        </is>
      </c>
      <c r="Z292" s="2" t="n">
        <v>45</v>
      </c>
      <c r="AA292" s="3" t="inlineStr">
        <is>
          <t>vegetarian, gluten-free, nut-free, high-fiber</t>
        </is>
      </c>
      <c r="AB292" s="3" t="inlineStr">
        <is>
          <t>1. Sauté leek and garlic in oil 6 minutes.
2. Add asparagus, beans and broth; simmer 12 minutes.
3. Blend smooth with lemon; serve with yogurt and chives.</t>
        </is>
      </c>
      <c r="AC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0% of this dish's available carbohydrate comes from ingredients with a published, measured GI; the rest uses conventional placeholders (see Ingredients sheet)</t>
        </is>
      </c>
      <c r="Z293" s="2" t="n">
        <v>0</v>
      </c>
      <c r="AA293" s="3" t="inlineStr">
        <is>
          <t>vegetarian, gluten-free, dairy-free, nut-free, low-carb, quick</t>
        </is>
      </c>
      <c r="AB293" s="3" t="inlineStr">
        <is>
          <t>1. Simmer broth with shiitake, ginger, tamari and vinegar 8 minutes.
2. Add tofu strips; drizzle in beaten eggs while stirring.
3. Finish with sesame oil, pepper, sprouts and green onion.</t>
        </is>
      </c>
      <c r="AC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33</v>
      </c>
      <c r="U294" s="2" t="inlineStr">
        <is>
          <t>low</t>
        </is>
      </c>
      <c r="V294" s="5" t="n">
        <v>8.199999999999999</v>
      </c>
      <c r="W294" s="2" t="inlineStr">
        <is>
          <t>low</t>
        </is>
      </c>
      <c r="X294" s="3" t="inlineStr"/>
      <c r="Y294" s="3" t="inlineStr">
        <is>
          <t>70% of this dish's available carbohydrate comes from ingredients with a published, measured GI; the rest uses conventional placeholders (see Ingredients sheet)</t>
        </is>
      </c>
      <c r="Z294" s="2" t="n">
        <v>70</v>
      </c>
      <c r="AA294" s="3" t="inlineStr">
        <is>
          <t>gluten-free, dairy-free, nut-free, high-protein, high-fiber, make-ahead</t>
        </is>
      </c>
      <c r="AB294" s="3" t="inlineStr">
        <is>
          <t>1. Brown lamb cubes in oil; remove. Sauté onion, carrot, garlic and spices 6 minutes.
2. Return lamb with tomatoes and broth; simmer covered 60 minutes.
3. Add chickpeas for 20 minutes; finish with lemon and cilantro.</t>
        </is>
      </c>
      <c r="AC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14% of this dish's available carbohydrate comes from ingredients with a published, measured GI; the rest uses conventional placeholders (see Ingredients sheet)</t>
        </is>
      </c>
      <c r="Z295" s="2" t="n">
        <v>14</v>
      </c>
      <c r="AA295" s="3" t="inlineStr">
        <is>
          <t>vegetarian, gluten-free, nut-free, low-carb</t>
        </is>
      </c>
      <c r="AB295" s="3" t="inlineStr">
        <is>
          <t>1. Sear mushrooms in oil until browned; add onion, garlic, thyme; deglaze with wine.
2. Add cauliflower and broth; simmer 15 minutes.
3. Blend with milk; season.</t>
        </is>
      </c>
      <c r="AC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0% of this dish's available carbohydrate comes from ingredients with a published, measured GI; the rest uses conventional placeholders (see Ingredients sheet)</t>
        </is>
      </c>
      <c r="Z296" s="2" t="n">
        <v>0</v>
      </c>
      <c r="AA296" s="3" t="inlineStr">
        <is>
          <t>pescatarian, gluten-free, dairy-free, nut-free, low-carb, high-protein</t>
        </is>
      </c>
      <c r="AB296" s="3" t="inlineStr">
        <is>
          <t>1. Fry curry paste and ginger 1 minute; add broth and coconut milk; simmer 5 minutes.
2. Add pepper, mushrooms and snap peas; cook 4 minutes.
3. Add shrimp 3 minutes; finish with fish sauce, lime and basil.</t>
        </is>
      </c>
      <c r="AC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28</v>
      </c>
      <c r="U297" s="2" t="inlineStr">
        <is>
          <t>low</t>
        </is>
      </c>
      <c r="V297" s="5" t="n">
        <v>6.8</v>
      </c>
      <c r="W297" s="2" t="inlineStr">
        <is>
          <t>low</t>
        </is>
      </c>
      <c r="X297" s="3" t="inlineStr"/>
      <c r="Y297" s="3" t="inlineStr">
        <is>
          <t>65% of this dish's available carbohydrate comes from ingredients with a published, measured GI; the rest uses conventional placeholders (see Ingredients sheet)</t>
        </is>
      </c>
      <c r="Z297" s="2" t="n">
        <v>65</v>
      </c>
      <c r="AA297" s="3" t="inlineStr">
        <is>
          <t>gluten-free, dairy-free, nut-free, high-protein, high-fiber, make-ahead</t>
        </is>
      </c>
      <c r="AB297" s="3" t="inlineStr">
        <is>
          <t>1. Brown turkey with onion and pepper in oil; add garlic and spices.
2. Add beans, tomatoes, chiles, broth; simmer 20 minutes.
3. Finish with cilantro and lime.</t>
        </is>
      </c>
      <c r="AC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0% of this dish's available carbohydrate comes from ingredients with a published, measured GI; the rest uses conventional placeholders (see Ingredients sheet)</t>
        </is>
      </c>
      <c r="Z298" s="2" t="n">
        <v>0</v>
      </c>
      <c r="AA298" s="3" t="inlineStr">
        <is>
          <t>vegetarian, gluten-free, nut-free</t>
        </is>
      </c>
      <c r="AB298" s="3" t="inlineStr">
        <is>
          <t>1. Cook thinly sliced onions in oil and butter over medium-low heat 40 minutes until deeply caramelized.
2. Add garlic, thyme and wine; reduce; add broth and simmer 15 minutes.
3. Ladle into ovenproof bowls, top with Swiss cheese and broil until bubbling.</t>
        </is>
      </c>
      <c r="AC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11% of this dish's available carbohydrate comes from ingredients with a published, measured GI; the rest uses conventional placeholders (see Ingredients sheet)</t>
        </is>
      </c>
      <c r="Z299" s="2" t="n">
        <v>11</v>
      </c>
      <c r="AA299" s="3" t="inlineStr">
        <is>
          <t>vegetarian, gluten-free, nut-free, make-ahead</t>
        </is>
      </c>
      <c r="AB299" s="3" t="inlineStr">
        <is>
          <t>1. Sweat leeks in oil 6 minutes without browning.
2. Add cauliflower and broth; simmer 15 minutes.
3. Blend with milk and vinegar; chill or serve warm with chives.</t>
        </is>
      </c>
      <c r="AC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56% of this dish's available carbohydrate comes from ingredients with a published, measured GI; the rest uses conventional placeholders (see Ingredients sheet)</t>
        </is>
      </c>
      <c r="Z300" s="2" t="n">
        <v>56</v>
      </c>
      <c r="AA300" s="3" t="inlineStr">
        <is>
          <t>gluten-free, nut-free, low-carb, high-protein</t>
        </is>
      </c>
      <c r="AB300" s="3" t="inlineStr">
        <is>
          <t>1. Sauté onion and pepper in oil with cumin.
2. Add enchilada sauce, broth, chiles and chicken; simmer 20 minutes; shred chicken.
3. Add beans; serve with cheddar, yogurt and cilantro.</t>
        </is>
      </c>
      <c r="AC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31</v>
      </c>
      <c r="U301" s="2" t="inlineStr">
        <is>
          <t>low</t>
        </is>
      </c>
      <c r="V301" s="5" t="n">
        <v>7.4</v>
      </c>
      <c r="W301" s="2" t="inlineStr">
        <is>
          <t>low</t>
        </is>
      </c>
      <c r="X301" s="3" t="inlineStr"/>
      <c r="Y301" s="3" t="inlineStr">
        <is>
          <t>68% of this dish's available carbohydrate comes from ingredients with a published, measured GI; the rest uses conventional placeholders (see Ingredients sheet)</t>
        </is>
      </c>
      <c r="Z301" s="2" t="n">
        <v>68</v>
      </c>
      <c r="AA301" s="3" t="inlineStr">
        <is>
          <t>gluten-free, dairy-free, nut-free, high-fiber, make-ahead</t>
        </is>
      </c>
      <c r="AB301" s="3" t="inlineStr">
        <is>
          <t>1. Brown sausage; add onion, carrot and garlic 5 minutes; add paprika.
2. Add lentils, tomatoes and broth; simmer 25 minutes.
3. Stir in spinach and vinegar.</t>
        </is>
      </c>
      <c r="AC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22% of this dish's available carbohydrate comes from ingredients with a published, measured GI; the rest uses conventional placeholders (see Ingredients sheet)</t>
        </is>
      </c>
      <c r="Z302" s="2" t="n">
        <v>22</v>
      </c>
      <c r="AA302" s="3" t="inlineStr">
        <is>
          <t>vegetarian, gluten-free, nut-free, low-carb, no-cook</t>
        </is>
      </c>
      <c r="AB302" s="3" t="inlineStr">
        <is>
          <t>1. Blend cucumber, avocado, yogurt, lime, dill, garlic, water and salt until smooth.
2. Chill 1 hour.
3. Drizzle with olive oil before serving.</t>
        </is>
      </c>
      <c r="AC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75% of this dish's available carbohydrate comes from ingredients with a published, measured GI; the rest uses conventional placeholders (see Ingredients sheet)</t>
        </is>
      </c>
      <c r="Z303" s="2" t="n">
        <v>75</v>
      </c>
      <c r="AA303" s="3" t="inlineStr">
        <is>
          <t>gluten-free, nut-free, high-protein, high-fiber</t>
        </is>
      </c>
      <c r="AB303" s="3" t="inlineStr">
        <is>
          <t>1. Brown turkey with onion and carrot in oil; add garlic and rosemary.
2. Add broth and beans; simmer 15 minutes.
3. Add kale for 5 minutes; serve with parmesan.</t>
        </is>
      </c>
      <c r="AC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0% of this dish's available carbohydrate comes from ingredients with a published, measured GI; the rest uses conventional placeholders (see Ingredients sheet)</t>
        </is>
      </c>
      <c r="Z304" s="2" t="n">
        <v>0</v>
      </c>
      <c r="AA304" s="3" t="inlineStr">
        <is>
          <t>gluten-free, dairy-free, nut-free, low-carb, high-protein, make-ahead</t>
        </is>
      </c>
      <c r="AB304" s="3" t="inlineStr">
        <is>
          <t>1. Brown beef and onion in oil; add garlic and paprika.
2. Add tomatoes, sauce, broth and cabbage; simmer 25 minutes.
3. Add cauliflower rice for 5 minutes; finish with dill.</t>
        </is>
      </c>
      <c r="AC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29</v>
      </c>
      <c r="U305" s="2" t="inlineStr">
        <is>
          <t>low</t>
        </is>
      </c>
      <c r="V305" s="5" t="n">
        <v>6.1</v>
      </c>
      <c r="W305" s="2" t="inlineStr">
        <is>
          <t>low</t>
        </is>
      </c>
      <c r="X305" s="3" t="inlineStr"/>
      <c r="Y305" s="3" t="inlineStr">
        <is>
          <t>46% of this dish's available carbohydrate comes from ingredients with a published, measured GI; the rest uses conventional placeholders (see Ingredients sheet)</t>
        </is>
      </c>
      <c r="Z305" s="2" t="n">
        <v>46</v>
      </c>
      <c r="AA305" s="3" t="inlineStr">
        <is>
          <t>pescatarian, gluten-free, dairy-free, nut-free, high-protein, high-fiber</t>
        </is>
      </c>
      <c r="AB305" s="3" t="inlineStr">
        <is>
          <t>1. Sauté onion, pepper, garlic with paprika in oil 6 minutes; add wine.
2. Add tomatoes, broth, chickpeas, kale; simmer 12 minutes.
3. Add cod chunks; cook 6 minutes; finish with parsley.</t>
        </is>
      </c>
      <c r="AC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0% of this dish's available carbohydrate comes from ingredients with a published, measured GI; the rest uses conventional placeholders (see Ingredients sheet)</t>
        </is>
      </c>
      <c r="Z306" s="2" t="n">
        <v>0</v>
      </c>
      <c r="AA306" s="3" t="inlineStr">
        <is>
          <t>vegetarian, gluten-free, dairy-free, nut-free, low-carb, quick</t>
        </is>
      </c>
      <c r="AB306" s="3" t="inlineStr">
        <is>
          <t>1. Simmer broth with ginger, garlic and tamari.
2. Drizzle in egg whites while stirring.
3. Add spinach, sesame oil and green onion.</t>
        </is>
      </c>
      <c r="AC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36</v>
      </c>
      <c r="U307" s="2" t="inlineStr">
        <is>
          <t>low</t>
        </is>
      </c>
      <c r="V307" s="5" t="n">
        <v>7.6</v>
      </c>
      <c r="W307" s="2" t="inlineStr">
        <is>
          <t>low</t>
        </is>
      </c>
      <c r="X307" s="3" t="inlineStr"/>
      <c r="Y307" s="3" t="inlineStr">
        <is>
          <t>77% of this dish's available carbohydrate comes from ingredients with a published, measured GI; the rest uses conventional placeholders (see Ingredients sheet)</t>
        </is>
      </c>
      <c r="Z307" s="2" t="n">
        <v>77</v>
      </c>
      <c r="AA307" s="3" t="inlineStr">
        <is>
          <t>dairy-free, nut-free, make-ahead</t>
        </is>
      </c>
      <c r="AB307" s="3" t="inlineStr">
        <is>
          <t>1. Sauté onion, carrot, celery, mushrooms in oil 6 minutes; add garlic and thyme.
2. Add broth and chicken; simmer 25 minutes; shred chicken.
3. Stir in cooked barley; finish with parsley.</t>
        </is>
      </c>
      <c r="AC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21% of this dish's available carbohydrate comes from ingredients with a published, measured GI; the rest uses conventional placeholders (see Ingredients sheet)</t>
        </is>
      </c>
      <c r="Z308" s="2" t="n">
        <v>21</v>
      </c>
      <c r="AA308" s="3" t="inlineStr">
        <is>
          <t>gluten-free, dairy-free, nut-free, low-carb, high-protein, anti-inflammatory</t>
        </is>
      </c>
      <c r="AB308" s="3" t="inlineStr">
        <is>
          <t>1. Sauté onion, carrot, celery in oil with turmeric, ginger and garlic.
2. Add broth and chicken; simmer 20 minutes; shred.
3. Add cauliflower rice 5 minutes; finish with lemon, parsley, pepper.</t>
        </is>
      </c>
      <c r="AC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0% of this dish's available carbohydrate comes from ingredients with a published, measured GI; the rest uses conventional placeholders (see Ingredients sheet)</t>
        </is>
      </c>
      <c r="Z309" s="2" t="n">
        <v>0</v>
      </c>
      <c r="AA309" s="3" t="inlineStr">
        <is>
          <t>gluten-free, nut-free, low-carb</t>
        </is>
      </c>
      <c r="AB309" s="3" t="inlineStr">
        <is>
          <t>1. Brown sausage; add onion and garlic.
2. Add tomatoes, broth and zucchini; simmer 12 minutes.
3. Stir in spinach; serve with parmesan.</t>
        </is>
      </c>
      <c r="AC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0% of this dish's available carbohydrate comes from ingredients with a published, measured GI; the rest uses conventional placeholders (see Ingredients sheet)</t>
        </is>
      </c>
      <c r="Z310" s="2" t="n">
        <v>0</v>
      </c>
      <c r="AA310" s="3" t="inlineStr">
        <is>
          <t>vegetarian, dairy-free, nut-free, high-protein, high-fiber</t>
        </is>
      </c>
      <c r="AB310" s="3" t="inlineStr">
        <is>
          <t>1. Simmer broth with ginger, garlic, tamari and shiitake 8 minutes; add bok choy 2 minutes.
2. Rinse shirataki well and add to bowls with pan-seared tofu.
3. Whisk miso into broth off heat; pour over; top with halved eggs, green onion, sesame oil, nori.</t>
        </is>
      </c>
      <c r="AC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33</v>
      </c>
      <c r="U311" s="2" t="inlineStr">
        <is>
          <t>low</t>
        </is>
      </c>
      <c r="V311" s="5" t="n">
        <v>6.3</v>
      </c>
      <c r="W311" s="2" t="inlineStr">
        <is>
          <t>low</t>
        </is>
      </c>
      <c r="X311" s="3" t="inlineStr"/>
      <c r="Y311" s="3" t="inlineStr">
        <is>
          <t>66% of this dish's available carbohydrate comes from ingredients with a published, measured GI; the rest uses conventional placeholders (see Ingredients sheet)</t>
        </is>
      </c>
      <c r="Z311" s="2" t="n">
        <v>66</v>
      </c>
      <c r="AA311" s="3" t="inlineStr">
        <is>
          <t>gluten-free, dairy-free, nut-free, high-protein, high-fiber, make-ahead</t>
        </is>
      </c>
      <c r="AB311" s="3" t="inlineStr">
        <is>
          <t>1. Brown turkey with onion and pepper in oil; add garlic and spices.
2. Add pumpkin, tomatoes, beans, broth; simmer 30 minutes.
3. Season; serve with yogurt and pepitas.</t>
        </is>
      </c>
      <c r="AC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0% of this dish's available carbohydrate comes from ingredients with a published, measured GI; the rest uses conventional placeholders (see Ingredients sheet)</t>
        </is>
      </c>
      <c r="Z312" s="2" t="n">
        <v>0</v>
      </c>
      <c r="AA312" s="3" t="inlineStr">
        <is>
          <t>pescatarian, gluten-free, dairy-free, nut-free, low-carb, high-protein</t>
        </is>
      </c>
      <c r="AB312" s="3" t="inlineStr">
        <is>
          <t>1. Sauté fennel, leek and garlic in oil 6 minutes; add wine.
2. Add broth and tomatoes; simmer 10 minutes.
3. Add cod and shrimp 5 minutes; finish with parsley and lemon.</t>
        </is>
      </c>
      <c r="AC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70% of this dish's available carbohydrate comes from ingredients with a published, measured GI; the rest uses conventional placeholders (see Ingredients sheet)</t>
        </is>
      </c>
      <c r="Z313" s="2" t="n">
        <v>70</v>
      </c>
      <c r="AA313" s="3" t="inlineStr">
        <is>
          <t>gluten-free, dairy-free, nut-free, high-protein, meal-prep</t>
        </is>
      </c>
      <c r="AB313" s="3" t="inlineStr">
        <is>
          <t>1. Marinate chicken in lemon, oil, garlic, herbs, salt and pepper 15 minutes.
2. Grill 6–7 minutes per side until 165°F; rest 5 minutes.
3. Serve with steamed broccoli and quinoa.</t>
        </is>
      </c>
      <c r="AC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5% of this dish's available carbohydrate comes from ingredients with a published, measured GI; the rest uses conventional placeholders (see Ingredients sheet)</t>
        </is>
      </c>
      <c r="Z314" s="2" t="n">
        <v>5</v>
      </c>
      <c r="AA314" s="3" t="inlineStr">
        <is>
          <t>nut-free, high-protein, high-fiber, one-pan</t>
        </is>
      </c>
      <c r="AB314" s="3" t="inlineStr">
        <is>
          <t>1. Toss sliced chicken, peppers and onion with oil and spices on a sheet pan.
2. Roast at 425°F for 20 minutes, stirring once.
3. Squeeze lime over; serve in warm tortillas with yogurt and cilantro.</t>
        </is>
      </c>
      <c r="AC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24</v>
      </c>
      <c r="U315" s="2" t="inlineStr">
        <is>
          <t>low</t>
        </is>
      </c>
      <c r="V315" s="5" t="n">
        <v>3.2</v>
      </c>
      <c r="W315" s="2" t="inlineStr">
        <is>
          <t>low</t>
        </is>
      </c>
      <c r="X315" s="3" t="inlineStr"/>
      <c r="Y315" s="3" t="inlineStr">
        <is>
          <t>37% of this dish's available carbohydrate comes from ingredients with a published, measured GI; the rest uses conventional placeholders (see Ingredients sheet)</t>
        </is>
      </c>
      <c r="Z315" s="2" t="n">
        <v>37</v>
      </c>
      <c r="AA315" s="3" t="inlineStr">
        <is>
          <t>gluten-free, dairy-free, low-carb, high-protein, quick</t>
        </is>
      </c>
      <c r="AB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C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28% of this dish's available carbohydrate comes from ingredients with a published, measured GI; the rest uses conventional placeholders (see Ingredients sheet)</t>
        </is>
      </c>
      <c r="Z316" s="2" t="n">
        <v>28</v>
      </c>
      <c r="AA316" s="3" t="inlineStr">
        <is>
          <t>gluten-free, low-carb, high-protein</t>
        </is>
      </c>
      <c r="AB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C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28% of this dish's available carbohydrate comes from ingredients with a published, measured GI; the rest uses conventional placeholders (see Ingredients sheet)</t>
        </is>
      </c>
      <c r="Z317" s="2" t="n">
        <v>28</v>
      </c>
      <c r="AA317" s="3" t="inlineStr">
        <is>
          <t>gluten-free, nut-free, low-carb, high-protein</t>
        </is>
      </c>
      <c r="AB317" s="3" t="inlineStr">
        <is>
          <t>1. Marinate chicken cubes in lemon, oil, garlic, oregano and salt 20 minutes; thread onto skewers.
2. Grill 10–12 minutes, turning.
3. Mix yogurt with grated squeezed cucumber, dill and garlic for tzatziki; serve with tomatoes and onion.</t>
        </is>
      </c>
      <c r="AC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60% of this dish's available carbohydrate comes from ingredients with a published, measured GI; the rest uses conventional placeholders (see Ingredients sheet)</t>
        </is>
      </c>
      <c r="Z318" s="2" t="n">
        <v>60</v>
      </c>
      <c r="AA318" s="3" t="inlineStr">
        <is>
          <t>gluten-free, nut-free, high-protein, high-fiber, meal-prep, slow-cooker</t>
        </is>
      </c>
      <c r="AB318" s="3" t="inlineStr">
        <is>
          <t>1. Place chicken, salsa and spices in a slow cooker; cook on low 4 hours.
2. Shred chicken in the sauce; stir in beans.
3. Serve over romaine with avocado, cheddar and yogurt.</t>
        </is>
      </c>
      <c r="AC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0% of this dish's available carbohydrate comes from ingredients with a published, measured GI; the rest uses conventional placeholders (see Ingredients sheet)</t>
        </is>
      </c>
      <c r="Z319" s="2" t="n">
        <v>0</v>
      </c>
      <c r="AA319" s="3" t="inlineStr">
        <is>
          <t>gluten-free, dairy-free, nut-free, low-carb, high-protein, make-ahead</t>
        </is>
      </c>
      <c r="AB319" s="3" t="inlineStr">
        <is>
          <t>1. Brown chicken in oil; remove. Sauté onion, pepper, mushrooms 6 minutes; add garlic and herbs.
2. Deglaze with wine; add tomatoes, olives, capers; return chicken.
3. Simmer covered 30 minutes; serve with sautéed greens or cauliflower rice.</t>
        </is>
      </c>
      <c r="AC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40% of this dish's available carbohydrate comes from ingredients with a published, measured GI; the rest uses conventional placeholders (see Ingredients sheet)</t>
        </is>
      </c>
      <c r="Z320" s="2" t="n">
        <v>40</v>
      </c>
      <c r="AA320" s="3" t="inlineStr">
        <is>
          <t>gluten-free, low-carb, high-protein, meal-prep</t>
        </is>
      </c>
      <c r="AB320" s="3" t="inlineStr">
        <is>
          <t>1. Mix turkey, egg, parmesan, almond flour, garlic, parsley, seasoning and salt; form 16 meatballs.
2. Brown in oil, add marinara and simmer 15 minutes.
3. Serve over lightly sautéed zoodles.</t>
        </is>
      </c>
      <c r="AC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12% of this dish's available carbohydrate comes from ingredients with a published, measured GI; the rest uses conventional placeholders (see Ingredients sheet)</t>
        </is>
      </c>
      <c r="Z321" s="2" t="n">
        <v>12</v>
      </c>
      <c r="AA321" s="3" t="inlineStr">
        <is>
          <t>gluten-free, nut-free, high-protein</t>
        </is>
      </c>
      <c r="AB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C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63% of this dish's available carbohydrate comes from ingredients with a published, measured GI; the rest uses conventional placeholders (see Ingredients sheet)</t>
        </is>
      </c>
      <c r="Z322" s="2" t="n">
        <v>63</v>
      </c>
      <c r="AA322" s="3" t="inlineStr">
        <is>
          <t>gluten-free, nut-free, low-carb, high-protein, no-cook, quick</t>
        </is>
      </c>
      <c r="AB322" s="3" t="inlineStr">
        <is>
          <t>1. Toss shredded chicken with hot sauce and melted butter.
2. Mix yogurt and blue cheese.
3. Fill lettuce leaves with chicken, celery, carrot and blue cheese sauce.</t>
        </is>
      </c>
      <c r="AC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0% of this dish's available carbohydrate comes from ingredients with a published, measured GI; the rest uses conventional placeholders (see Ingredients sheet)</t>
        </is>
      </c>
      <c r="Z323" s="2" t="n">
        <v>0</v>
      </c>
      <c r="AA323" s="3" t="inlineStr">
        <is>
          <t>gluten-free, low-carb, high-protein</t>
        </is>
      </c>
      <c r="AB323" s="3" t="inlineStr">
        <is>
          <t>1. Pound chicken thin, season, dust with almond flour and sear in oil 4 minutes per side; remove.
2. Add garlic, broth, lemon and capers; simmer 3 minutes; whisk in butter.
3. Return chicken to coat; serve with steamed green beans and parsley.</t>
        </is>
      </c>
      <c r="AC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54</v>
      </c>
      <c r="U324" s="2" t="inlineStr">
        <is>
          <t>low</t>
        </is>
      </c>
      <c r="V324" s="5" t="n">
        <v>17.1</v>
      </c>
      <c r="W324" s="2" t="inlineStr">
        <is>
          <t>medium</t>
        </is>
      </c>
      <c r="X324" s="3" t="inlineStr"/>
      <c r="Y324" s="3" t="inlineStr">
        <is>
          <t>70% of this dish's available carbohydrate comes from ingredients with a published, measured GI; the rest uses conventional placeholders (see Ingredients sheet)</t>
        </is>
      </c>
      <c r="Z324" s="2" t="n">
        <v>70</v>
      </c>
      <c r="AA324" s="3" t="inlineStr">
        <is>
          <t>gluten-free, dairy-free, nut-free, high-protein</t>
        </is>
      </c>
      <c r="AB324" s="3" t="inlineStr">
        <is>
          <t>1. Fry curry paste in oil 1 minute; add chicken and brown 5 minutes.
2. Add coconut milk, broth and vegetables; simmer 15 minutes.
3. Season with fish sauce and lime; top with basil; serve with a small portion of brown rice.</t>
        </is>
      </c>
      <c r="AC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31% of this dish's available carbohydrate comes from ingredients with a published, measured GI; the rest uses conventional placeholders (see Ingredients sheet)</t>
        </is>
      </c>
      <c r="Z325" s="2" t="n">
        <v>31</v>
      </c>
      <c r="AA325" s="3" t="inlineStr">
        <is>
          <t>gluten-free, dairy-free, nut-free, low-carb, high-protein, make-ahead</t>
        </is>
      </c>
      <c r="AB325" s="3" t="inlineStr">
        <is>
          <t>1. Preheat oven to 425°F. Rub chicken with oil, herbs, salt; stuff with lemon and garlic.
2. Roast on a bed of carrots and onion 60 minutes; add sprouts for the last 25 minutes.
3. Rest 10 minutes; carve, removing most skin, and serve with the vegetables.</t>
        </is>
      </c>
      <c r="AC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7% of this dish's available carbohydrate comes from ingredients with a published, measured GI; the rest uses conventional placeholders (see Ingredients sheet)</t>
        </is>
      </c>
      <c r="Z326" s="2" t="n">
        <v>7</v>
      </c>
      <c r="AA326" s="3" t="inlineStr">
        <is>
          <t>gluten-free, nut-free, low-carb, high-protein, meal-prep</t>
        </is>
      </c>
      <c r="AB326" s="3" t="inlineStr">
        <is>
          <t>1. Marinate chicken in spices, garlic, lemon, oil 15 minutes; roast at 425°F 20 minutes; slice.
2. Sauté cauliflower rice; whisk tahini with yogurt, lemon and water.
3. Bowl cauliflower rice, chicken, cucumber, tomato, sauce and parsley.</t>
        </is>
      </c>
      <c r="AC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0% of this dish's available carbohydrate comes from ingredients with a published, measured GI; the rest uses conventional placeholders (see Ingredients sheet)</t>
        </is>
      </c>
      <c r="Z327" s="2" t="n">
        <v>0</v>
      </c>
      <c r="AA327" s="3" t="inlineStr">
        <is>
          <t>gluten-free, dairy-free, nut-free, low-carb, high-protein</t>
        </is>
      </c>
      <c r="AB327" s="3" t="inlineStr">
        <is>
          <t>1. Mix turkey with grated onion, garlic, Dijon, egg and salt; form 4 patties.
2. Grill or pan-sear in oil 6–7 minutes per side to 165°F.
3. Serve in lettuce leaves with avocado, tomato and red onion.</t>
        </is>
      </c>
      <c r="AC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0% of this dish's available carbohydrate comes from ingredients with a published, measured GI; the rest uses conventional placeholders (see Ingredients sheet)</t>
        </is>
      </c>
      <c r="Z328" s="2" t="n">
        <v>0</v>
      </c>
      <c r="AA328" s="3" t="inlineStr">
        <is>
          <t>gluten-free, nut-free, low-carb, high-protein</t>
        </is>
      </c>
      <c r="AB328" s="3" t="inlineStr">
        <is>
          <t>1. Pound chicken, season, sear in oil 4 minutes per side; remove.
2. Sauté mushrooms and shallot 6 minutes; add garlic, wine, broth, thyme; reduce by half; swirl in butter.
3. Return chicken 3 minutes; serve with roasted asparagus and parsley.</t>
        </is>
      </c>
      <c r="AC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0% of this dish's available carbohydrate comes from ingredients with a published, measured GI; the rest uses conventional placeholders (see Ingredients sheet)</t>
        </is>
      </c>
      <c r="Z329" s="2" t="n">
        <v>0</v>
      </c>
      <c r="AA329" s="3" t="inlineStr">
        <is>
          <t>gluten-free, low-carb, high-protein</t>
        </is>
      </c>
      <c r="AB329" s="3" t="inlineStr">
        <is>
          <t>1. Halve and seed peppers; roast cut-side down at 400°F 10 minutes.
2. Mix chicken, pesto, cauliflower rice, chopped tomato, spinach and half the mozzarella.
3. Fill peppers, top with remaining cheese; bake 20 minutes.</t>
        </is>
      </c>
      <c r="AC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57</v>
      </c>
      <c r="U330" s="2" t="inlineStr">
        <is>
          <t>medium</t>
        </is>
      </c>
      <c r="V330" s="5" t="n">
        <v>17.7</v>
      </c>
      <c r="W330" s="2" t="inlineStr">
        <is>
          <t>medium</t>
        </is>
      </c>
      <c r="X330" s="3" t="inlineStr">
        <is>
          <t>Medium-GI dish: keep to the stated portion and pair with the protein/fat in the recipe; GL per serving is the better guide.</t>
        </is>
      </c>
      <c r="Y330" s="3" t="inlineStr">
        <is>
          <t>81% of this dish's available carbohydrate comes from ingredients with a published, measured GI; the rest uses conventional placeholders (see Ingredients sheet)</t>
        </is>
      </c>
      <c r="Z330" s="2" t="n">
        <v>81</v>
      </c>
      <c r="AA330" s="3" t="inlineStr">
        <is>
          <t>gluten-free, dairy-free, nut-free, high-protein</t>
        </is>
      </c>
      <c r="AB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C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31% of this dish's available carbohydrate comes from ingredients with a published, measured GI; the rest uses conventional placeholders (see Ingredients sheet)</t>
        </is>
      </c>
      <c r="Z331" s="2" t="n">
        <v>31</v>
      </c>
      <c r="AA331" s="3" t="inlineStr">
        <is>
          <t>nut-free, high-protein, high-fiber</t>
        </is>
      </c>
      <c r="AB331" s="3" t="inlineStr">
        <is>
          <t>1. Mix chicken, beans, chiles, onion, half the cheese and a third of the sauce.
2. Fill and roll tortillas; place seam-side down in a baking dish; pour over remaining sauce and cheese.
3. Bake at 375°F 20 minutes; serve with yogurt and cilantro.</t>
        </is>
      </c>
      <c r="AC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0% of this dish's available carbohydrate comes from ingredients with a published, measured GI; the rest uses conventional placeholders (see Ingredients sheet)</t>
        </is>
      </c>
      <c r="Z332" s="2" t="n">
        <v>0</v>
      </c>
      <c r="AA332" s="3" t="inlineStr">
        <is>
          <t>gluten-free, dairy-free, nut-free, low-carb, high-protein</t>
        </is>
      </c>
      <c r="AB332" s="3" t="inlineStr">
        <is>
          <t>1. Remove backbone and flatten chicken; rub with oil, lemon zest, pepper, garlic, thyme and salt.
2. Roast at 450°F 40–45 minutes to 165°F; add green beans and tomatoes to the pan for the last 15 minutes.
3. Rest, carve and serve, removing skin.</t>
        </is>
      </c>
      <c r="AC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0% of this dish's available carbohydrate comes from ingredients with a published, measured GI; the rest uses conventional placeholders (see Ingredients sheet)</t>
        </is>
      </c>
      <c r="Z333" s="2" t="n">
        <v>0</v>
      </c>
      <c r="AA333" s="3" t="inlineStr">
        <is>
          <t>gluten-free, dairy-free, nut-free, low-carb, high-protein, quick</t>
        </is>
      </c>
      <c r="AB333" s="3" t="inlineStr">
        <is>
          <t>1. Brown chicken in avocado oil; add garlic, ginger, mushrooms, water chestnuts 4 minutes.
2. Add tamari, vinegar, sesame oil, sriracha; cook 2 minutes; stir in green onion.
3. Spoon into lettuce cups.</t>
        </is>
      </c>
      <c r="AC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0% of this dish's available carbohydrate comes from ingredients with a published, measured GI; the rest uses conventional placeholders (see Ingredients sheet)</t>
        </is>
      </c>
      <c r="Z334" s="2" t="n">
        <v>0</v>
      </c>
      <c r="AA334" s="3" t="inlineStr">
        <is>
          <t>gluten-free, dairy-free, nut-free, low-carb, high-protein</t>
        </is>
      </c>
      <c r="AB334" s="3" t="inlineStr">
        <is>
          <t>1. Sear seasoned chicken in oil 4 minutes per side.
2. Add coconut milk, lime juice, garlic, ginger, jalapeño; simmer covered 15 minutes.
3. Stir in spinach; serve over cauliflower rice with cilantro and lime zest.</t>
        </is>
      </c>
      <c r="AC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0% of this dish's available carbohydrate comes from ingredients with a published, measured GI; the rest uses conventional placeholders (see Ingredients sheet)</t>
        </is>
      </c>
      <c r="Z335" s="2" t="n">
        <v>0</v>
      </c>
      <c r="AA335" s="3" t="inlineStr">
        <is>
          <t>gluten-free, nut-free, low-carb, high-protein, meal-prep</t>
        </is>
      </c>
      <c r="AB335" s="3" t="inlineStr">
        <is>
          <t>1. Grill chicken and slice; boil eggs; crisp bacon.
2. Divide romaine, tomatoes, chicken, eggs, bacon and blue cheese into 4 containers.
3. Pack dressing (oil, vinegar, Dijon) and avocado separately; add before eating.</t>
        </is>
      </c>
      <c r="AC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23% of this dish's available carbohydrate comes from ingredients with a published, measured GI; the rest uses conventional placeholders (see Ingredients sheet)</t>
        </is>
      </c>
      <c r="Z336" s="2" t="n">
        <v>23</v>
      </c>
      <c r="AA336" s="3" t="inlineStr">
        <is>
          <t>gluten-free, nut-free, low-carb, high-protein</t>
        </is>
      </c>
      <c r="AB336" s="3" t="inlineStr">
        <is>
          <t>1. Halve zucchini lengthwise, scoop out centers and chop the flesh.
2. Brown turkey with onion, garlic, zucchini flesh and seasoning; stir in marinara.
3. Fill boats, top with cheeses; bake at 400°F 20 minutes.</t>
        </is>
      </c>
      <c r="AC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0% of this dish's available carbohydrate comes from ingredients with a published, measured GI; the rest uses conventional placeholders (see Ingredients sheet)</t>
        </is>
      </c>
      <c r="Z337" s="2" t="n">
        <v>0</v>
      </c>
      <c r="AA337" s="3" t="inlineStr">
        <is>
          <t>gluten-free, dairy-free, nut-free, low-carb, high-protein</t>
        </is>
      </c>
      <c r="AB337" s="3" t="inlineStr">
        <is>
          <t>1. Brown chicken in oil; add onion and garlic.
2. Add tamari, vinegar, bay leaves and pepper with 150 ml water; simmer covered 35 minutes, uncovered the last 10 to reduce.
3. Serve with sautéed bok choy and cauliflower rice.</t>
        </is>
      </c>
      <c r="AC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13% of this dish's available carbohydrate comes from ingredients with a published, measured GI; the rest uses conventional placeholders (see Ingredients sheet)</t>
        </is>
      </c>
      <c r="Z338" s="2" t="n">
        <v>13</v>
      </c>
      <c r="AA338" s="3" t="inlineStr">
        <is>
          <t>gluten-free, low-carb, high-protein, kid-friendly</t>
        </is>
      </c>
      <c r="AB338" s="3" t="inlineStr">
        <is>
          <t>1. Cut chicken into strips; dip in egg then almond flour-parmesan-spice mix.
2. Bake on an oiled rack at 425°F 18 minutes, flipping once.
3. Mix yogurt and Dijon for dipping; serve with roasted broccoli.</t>
        </is>
      </c>
      <c r="AC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5% of this dish's available carbohydrate comes from ingredients with a published, measured GI; the rest uses conventional placeholders (see Ingredients sheet)</t>
        </is>
      </c>
      <c r="Z339" s="2" t="n">
        <v>5</v>
      </c>
      <c r="AA339" s="3" t="inlineStr">
        <is>
          <t>gluten-free, nut-free, high-protein, high-fiber</t>
        </is>
      </c>
      <c r="AB339" s="3" t="inlineStr">
        <is>
          <t>1. Simmer cauliflower with garlic in broth 12 minutes; blend with milk, parmesan, nutmeg and salt into a creamy sauce.
2. Sear chicken pieces in oil; steam broccoli; cook pasta al dente.
3. Toss everything with the sauce.</t>
        </is>
      </c>
      <c r="AC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25% of this dish's available carbohydrate comes from ingredients with a published, measured GI; the rest uses conventional placeholders (see Ingredients sheet)</t>
        </is>
      </c>
      <c r="Z340" s="2" t="n">
        <v>25</v>
      </c>
      <c r="AA340" s="3" t="inlineStr">
        <is>
          <t>gluten-free, nut-free, low-carb, high-protein</t>
        </is>
      </c>
      <c r="AB340" s="3" t="inlineStr">
        <is>
          <t>1. Blend jalapeño, green onion, garlic, ginger, spices, tamari, half the lime, oil into a paste; coat chicken 15 minutes.
2. Grill or roast at 425°F 22 minutes.
3. Toss cabbage and carrot with yogurt, remaining lime and salt.</t>
        </is>
      </c>
      <c r="AC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0% of this dish's available carbohydrate comes from ingredients with a published, measured GI; the rest uses conventional placeholders (see Ingredients sheet)</t>
        </is>
      </c>
      <c r="Z341" s="2" t="n">
        <v>0</v>
      </c>
      <c r="AA341" s="3" t="inlineStr">
        <is>
          <t>gluten-free, dairy-free, nut-free, low-carb, high-protein, meal-prep</t>
        </is>
      </c>
      <c r="AB341" s="3" t="inlineStr">
        <is>
          <t>1. Grate zucchini and squeeze dry; mix with chicken, green onion, cilantro, garlic, cumin and salt.
2. Form small balls and bake on an oiled sheet at 400°F 18 minutes.
3. Serve with guacamole.</t>
        </is>
      </c>
      <c r="AC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76% of this dish's available carbohydrate comes from ingredients with a published, measured GI; the rest uses conventional placeholders (see Ingredients sheet)</t>
        </is>
      </c>
      <c r="Z342" s="2" t="n">
        <v>76</v>
      </c>
      <c r="AA342" s="3" t="inlineStr">
        <is>
          <t>nut-free, high-protein</t>
        </is>
      </c>
      <c r="AB342" s="3" t="inlineStr">
        <is>
          <t>1. Marinate chicken cubes in lemon, oil, garlic, oregano, salt; skewer and grill 10–12 minutes.
2. Make tzatziki with yogurt, grated cucumber and dill.
3. Serve with tomato, onion and warm pita halves.</t>
        </is>
      </c>
      <c r="AC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47% of this dish's available carbohydrate comes from ingredients with a published, measured GI; the rest uses conventional placeholders (see Ingredients sheet)</t>
        </is>
      </c>
      <c r="Z343" s="2" t="n">
        <v>47</v>
      </c>
      <c r="AA343" s="3" t="inlineStr">
        <is>
          <t>gluten-free, nut-free, high-protein, high-fiber, one-pan</t>
        </is>
      </c>
      <c r="AB343" s="3" t="inlineStr">
        <is>
          <t>1. Brown turkey with onion and pepper in oil; add seasoning.
2. Add beans, tomatoes and cauliflower rice; simmer 8 minutes.
3. Top with cheddar, cover to melt; serve with avocado, yogurt and cilantro.</t>
        </is>
      </c>
      <c r="AC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0% of this dish's available carbohydrate comes from ingredients with a published, measured GI; the rest uses conventional placeholders (see Ingredients sheet)</t>
        </is>
      </c>
      <c r="Z344" s="2" t="n">
        <v>0</v>
      </c>
      <c r="AA344" s="3" t="inlineStr">
        <is>
          <t>gluten-free, nut-free, low-carb, high-protein, one-pan</t>
        </is>
      </c>
      <c r="AB344" s="3" t="inlineStr">
        <is>
          <t>1. Sear seasoned chicken in oil 5 minutes per side; remove.
2. Sauté garlic and tomatoes until they burst; add balsamic and spinach.
3. Return chicken, top with mozzarella; cover 2 minutes; scatter basil.</t>
        </is>
      </c>
      <c r="AC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33</v>
      </c>
      <c r="U345" s="2" t="inlineStr">
        <is>
          <t>low</t>
        </is>
      </c>
      <c r="V345" s="5" t="n">
        <v>7.7</v>
      </c>
      <c r="W345" s="2" t="inlineStr">
        <is>
          <t>low</t>
        </is>
      </c>
      <c r="X345" s="3" t="inlineStr"/>
      <c r="Y345" s="3" t="inlineStr">
        <is>
          <t>67% of this dish's available carbohydrate comes from ingredients with a published, measured GI; the rest uses conventional placeholders (see Ingredients sheet)</t>
        </is>
      </c>
      <c r="Z345" s="2" t="n">
        <v>67</v>
      </c>
      <c r="AA345" s="3" t="inlineStr">
        <is>
          <t>gluten-free, dairy-free, nut-free, high-protein, high-fiber, make-ahead</t>
        </is>
      </c>
      <c r="AB345" s="3" t="inlineStr">
        <is>
          <t>1. Brown chicken in oil; remove. Sauté onion, garlic, ginger and spices 5 minutes.
2. Add tomatoes, broth, chickpeas, olives, lemon; return chicken; simmer covered 30 minutes.
3. Garnish with cilantro; serve with cauliflower couscous.</t>
        </is>
      </c>
      <c r="AC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0% of this dish's available carbohydrate comes from ingredients with a published, measured GI; the rest uses conventional placeholders (see Ingredients sheet)</t>
        </is>
      </c>
      <c r="Z346" s="2" t="n">
        <v>0</v>
      </c>
      <c r="AA346" s="3" t="inlineStr">
        <is>
          <t>gluten-free, dairy-free, nut-free, low-carb, high-protein, quick</t>
        </is>
      </c>
      <c r="AB346" s="3" t="inlineStr">
        <is>
          <t>1. Rub chicken with spices, salt and half the oil; air fry at 400°F 18 minutes, flipping once.
2. Toss vegetables with remaining oil; roast at 425°F 20 minutes.
3. Serve together.</t>
        </is>
      </c>
      <c r="AC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8% of this dish's available carbohydrate comes from ingredients with a published, measured GI; the rest uses conventional placeholders (see Ingredients sheet)</t>
        </is>
      </c>
      <c r="Z347" s="2" t="n">
        <v>8</v>
      </c>
      <c r="AA347" s="3" t="inlineStr">
        <is>
          <t>gluten-free, dairy-free, low-carb, high-protein</t>
        </is>
      </c>
      <c r="AB347" s="3" t="inlineStr">
        <is>
          <t>1. Whisk fish sauce, lime, tamari, sweetener.
2. Stir-fry chicken in oil with garlic; push aside and scramble eggs.
3. Add zoodles, sauce, sprouts and green onion; toss 2 minutes; top with peanuts, cilantro.</t>
        </is>
      </c>
      <c r="AC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39% of this dish's available carbohydrate comes from ingredients with a published, measured GI; the rest uses conventional placeholders (see Ingredients sheet)</t>
        </is>
      </c>
      <c r="Z348" s="2" t="n">
        <v>39</v>
      </c>
      <c r="AA348" s="3" t="inlineStr">
        <is>
          <t>gluten-free, dairy-free, nut-free, low-carb, high-protein, one-pan</t>
        </is>
      </c>
      <c r="AB348" s="3" t="inlineStr">
        <is>
          <t>1. Rub chicken with rosemary, garlic, lemon zest, oil and salt.
2. Roast at 425°F with cauliflower and carrot 40–45 minutes.
3. Squeeze lemon over before serving.</t>
        </is>
      </c>
      <c r="AC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25</v>
      </c>
      <c r="U349" s="2" t="inlineStr">
        <is>
          <t>low</t>
        </is>
      </c>
      <c r="V349" s="5" t="n">
        <v>2.5</v>
      </c>
      <c r="W349" s="2" t="inlineStr">
        <is>
          <t>low</t>
        </is>
      </c>
      <c r="X349" s="3" t="inlineStr"/>
      <c r="Y349" s="3" t="inlineStr">
        <is>
          <t>38% of this dish's available carbohydrate comes from ingredients with a published, measured GI; the rest uses conventional placeholders (see Ingredients sheet)</t>
        </is>
      </c>
      <c r="Z349" s="2" t="n">
        <v>38</v>
      </c>
      <c r="AA349" s="3" t="inlineStr">
        <is>
          <t>gluten-free, dairy-free, nut-free, low-carb, high-protein, quick</t>
        </is>
      </c>
      <c r="AB349" s="3" t="inlineStr">
        <is>
          <t>1. Stir-fry diced chicken in avocado oil; remove.
2. Scramble eggs; add carrot, garlic, ginger, cauliflower rice; stir-fry 5 minutes.
3. Add peas, chicken, tamari and sesame oil; finish with green onion.</t>
        </is>
      </c>
      <c r="AC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36</v>
      </c>
      <c r="U350" s="2" t="inlineStr">
        <is>
          <t>low</t>
        </is>
      </c>
      <c r="V350" s="5" t="n">
        <v>6.9</v>
      </c>
      <c r="W350" s="2" t="inlineStr">
        <is>
          <t>low</t>
        </is>
      </c>
      <c r="X350" s="3" t="inlineStr"/>
      <c r="Y350" s="3" t="inlineStr">
        <is>
          <t>56% of this dish's available carbohydrate comes from ingredients with a published, measured GI; the rest uses conventional placeholders (see Ingredients sheet)</t>
        </is>
      </c>
      <c r="Z350" s="2" t="n">
        <v>56</v>
      </c>
      <c r="AA350" s="3" t="inlineStr">
        <is>
          <t>dairy-free, nut-free, high-protein</t>
        </is>
      </c>
      <c r="AB350" s="3" t="inlineStr">
        <is>
          <t>1. Brown turkey with onion and pepper in oil; add garlic.
2. Add tomato sauce, paste, vinegar, Dijon, paprika and sweetener; simmer 10 minutes.
3. Serve on toasted English muffin halves or in lettuce cups.</t>
        </is>
      </c>
      <c r="AC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19% of this dish's available carbohydrate comes from ingredients with a published, measured GI; the rest uses conventional placeholders (see Ingredients sheet)</t>
        </is>
      </c>
      <c r="Z351" s="2" t="n">
        <v>19</v>
      </c>
      <c r="AA351" s="3" t="inlineStr">
        <is>
          <t>gluten-free, nut-free, low-carb, high-protein</t>
        </is>
      </c>
      <c r="AB351" s="3" t="inlineStr">
        <is>
          <t>1. Sear chicken in oil 5 minutes per side; remove.
2. Sauté garlic and sun-dried tomatoes; add broth, cream cheese, milk and parmesan; whisk smooth.
3. Wilt spinach in the sauce, return chicken; simmer 5 minutes.</t>
        </is>
      </c>
      <c r="AC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45</v>
      </c>
      <c r="U352" s="2" t="inlineStr">
        <is>
          <t>low</t>
        </is>
      </c>
      <c r="V352" s="5" t="n">
        <v>15.9</v>
      </c>
      <c r="W352" s="2" t="inlineStr">
        <is>
          <t>medium</t>
        </is>
      </c>
      <c r="X352" s="3" t="inlineStr"/>
      <c r="Y352" s="3" t="inlineStr">
        <is>
          <t>81% of this dish's available carbohydrate comes from ingredients with a published, measured GI; the rest uses conventional placeholders (see Ingredients sheet)</t>
        </is>
      </c>
      <c r="Z352" s="2" t="n">
        <v>81</v>
      </c>
      <c r="AA352" s="3" t="inlineStr">
        <is>
          <t>gluten-free, nut-free, high-protein, high-fiber, meal-prep</t>
        </is>
      </c>
      <c r="AB352" s="3" t="inlineStr">
        <is>
          <t>1. Season chicken with chili powder, cumin, lime; grill and slice.
2. Mix brown rice and cauliflower rice for a half-carb base.
3. Bowl rice, beans, chicken, pico, romaine, avocado, cheddar and yogurt.</t>
        </is>
      </c>
      <c r="AC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0% of this dish's available carbohydrate comes from ingredients with a published, measured GI; the rest uses conventional placeholders (see Ingredients sheet)</t>
        </is>
      </c>
      <c r="Z353" s="2" t="n">
        <v>0</v>
      </c>
      <c r="AA353" s="3" t="inlineStr">
        <is>
          <t>gluten-free, dairy-free, nut-free, low-carb, high-protein</t>
        </is>
      </c>
      <c r="AB353" s="3" t="inlineStr">
        <is>
          <t>1. Blend garlic, ginger, vinegar and spices; marinate chicken 15 minutes.
2. Sauté onion in oil until golden; add chicken and marinade; cook 5 minutes.
3. Add tomatoes and cauliflower; simmer covered 25 minutes; top with cilantro.</t>
        </is>
      </c>
      <c r="AC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0% of this dish's available carbohydrate comes from ingredients with a published, measured GI; the rest uses conventional placeholders (see Ingredients sheet)</t>
        </is>
      </c>
      <c r="Z354" s="2" t="n">
        <v>0</v>
      </c>
      <c r="AA354" s="3" t="inlineStr">
        <is>
          <t>gluten-free, low-carb, high-protein</t>
        </is>
      </c>
      <c r="AB354" s="3" t="inlineStr">
        <is>
          <t>1. Butterfly chicken, spread Dijon, layer ham and Swiss; roll and secure.
2. Sprinkle with almond flour-parmesan; bake at 400°F 25–28 minutes.
3. Serve with roasted asparagus.</t>
        </is>
      </c>
      <c r="AC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0% of this dish's available carbohydrate comes from ingredients with a published, measured GI; the rest uses conventional placeholders (see Ingredients sheet)</t>
        </is>
      </c>
      <c r="Z355" s="2" t="n">
        <v>0</v>
      </c>
      <c r="AA355" s="3" t="inlineStr">
        <is>
          <t>gluten-free, low-carb, high-protein, make-ahead</t>
        </is>
      </c>
      <c r="AB355" s="3" t="inlineStr">
        <is>
          <t>1. Mix turkey, grated squeezed zucchini, onion, eggs, almond flour, garlic, parmesan, seasoning, salt.
2. Shape into a loaf; spread with tomato paste mixed with Dijon.
3. Bake at 375°F 50–55 minutes to 165°F; rest 10 minutes.</t>
        </is>
      </c>
      <c r="AC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0% of this dish's available carbohydrate comes from ingredients with a published, measured GI; the rest uses conventional placeholders (see Ingredients sheet)</t>
        </is>
      </c>
      <c r="Z356" s="2" t="n">
        <v>0</v>
      </c>
      <c r="AA356" s="3" t="inlineStr">
        <is>
          <t>gluten-free, dairy-free, low-carb, high-protein</t>
        </is>
      </c>
      <c r="AB356" s="3" t="inlineStr">
        <is>
          <t>1. Marinate chicken strips in coconut milk, curry powder, turmeric, garlic and half the tamari 20 minutes; skewer.
2. Grill 4–5 minutes per side.
3. Whisk peanut butter, remaining tamari, lime, sriracha and warm water; serve with cucumber.</t>
        </is>
      </c>
      <c r="AC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69% of this dish's available carbohydrate comes from ingredients with a published, measured GI; the rest uses conventional placeholders (see Ingredients sheet)</t>
        </is>
      </c>
      <c r="Z357" s="2" t="n">
        <v>69</v>
      </c>
      <c r="AA357" s="3" t="inlineStr">
        <is>
          <t>gluten-free, nut-free, high-protein, high-fiber, one-pan</t>
        </is>
      </c>
      <c r="AB357" s="3" t="inlineStr">
        <is>
          <t>1. Brown sausage slices in oil; add onion and garlic.
2. Add kale and broth; cook until wilted.
3. Stir in beans, pepper flakes, lemon; top with parmesan.</t>
        </is>
      </c>
      <c r="AC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3% of this dish's available carbohydrate comes from ingredients with a published, measured GI; the rest uses conventional placeholders (see Ingredients sheet)</t>
        </is>
      </c>
      <c r="Z358" s="2" t="n">
        <v>3</v>
      </c>
      <c r="AA358" s="3" t="inlineStr">
        <is>
          <t>nut-free, high-protein, high-fiber</t>
        </is>
      </c>
      <c r="AB358" s="3" t="inlineStr">
        <is>
          <t>1. Poach chicken and shred. Blend tomatoes, chipotle, sautéed onion and garlic; simmer with chicken 10 minutes.
2. Bake tortillas at 400°F 8 minutes until crisp.
3. Top with beans, tinga, lettuce, cotija, avocado and yogurt.</t>
        </is>
      </c>
      <c r="AC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11% of this dish's available carbohydrate comes from ingredients with a published, measured GI; the rest uses conventional placeholders (see Ingredients sheet)</t>
        </is>
      </c>
      <c r="Z359" s="2" t="n">
        <v>11</v>
      </c>
      <c r="AA359" s="3" t="inlineStr">
        <is>
          <t>gluten-free, nut-free, low-carb, high-protein</t>
        </is>
      </c>
      <c r="AB359" s="3" t="inlineStr">
        <is>
          <t>1. Sear chicken in oil; remove. Sauté mushrooms, shallot, garlic and thyme 6 minutes.
2. Add broth; reduce; stir in yogurt and Dijon off the heat.
3. Return chicken; serve with green beans.</t>
        </is>
      </c>
      <c r="AC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18% of this dish's available carbohydrate comes from ingredients with a published, measured GI; the rest uses conventional placeholders (see Ingredients sheet)</t>
        </is>
      </c>
      <c r="Z360" s="2" t="n">
        <v>18</v>
      </c>
      <c r="AA360" s="3" t="inlineStr">
        <is>
          <t>gluten-free, low-carb, high-protein, meal-prep</t>
        </is>
      </c>
      <c r="AB360" s="3" t="inlineStr">
        <is>
          <t>1. Mix turkey, feta, onion, garlic, oregano, mint, egg, almond flour, salt; form 16 meatballs.
2. Bake at 400°F 18 minutes.
3. Serve with cucumber-tomato salad and yogurt-dill sauce.</t>
        </is>
      </c>
      <c r="AC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0% of this dish's available carbohydrate comes from ingredients with a published, measured GI; the rest uses conventional placeholders (see Ingredients sheet)</t>
        </is>
      </c>
      <c r="Z361" s="2" t="n">
        <v>0</v>
      </c>
      <c r="AA361" s="3" t="inlineStr">
        <is>
          <t>gluten-free, nut-free, low-carb, high-protein, one-pan</t>
        </is>
      </c>
      <c r="AB361" s="3" t="inlineStr">
        <is>
          <t>1. Toss chicken and vegetables with oil, garlic, seasoning, salt; arrange on a sheet pan with lemon slices.
2. Roast at 425°F 22 minutes.
3. Sprinkle with parmesan.</t>
        </is>
      </c>
      <c r="AC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19% of this dish's available carbohydrate comes from ingredients with a published, measured GI; the rest uses conventional placeholders (see Ingredients sheet)</t>
        </is>
      </c>
      <c r="Z362" s="2" t="n">
        <v>19</v>
      </c>
      <c r="AA362" s="3" t="inlineStr">
        <is>
          <t>gluten-free, nut-free, low-carb, high-protein</t>
        </is>
      </c>
      <c r="AB362" s="3" t="inlineStr">
        <is>
          <t>1. Brush caps with oil; roast 8 minutes.
2. Brown turkey with onion, garlic, seasoning; add spinach and marinara.
3. Fill caps, top with mozzarella; bake at 400°F 12 minutes.</t>
        </is>
      </c>
      <c r="AC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10% of this dish's available carbohydrate comes from ingredients with a published, measured GI; the rest uses conventional placeholders (see Ingredients sheet)</t>
        </is>
      </c>
      <c r="Z363" s="2" t="n">
        <v>10</v>
      </c>
      <c r="AA363" s="3" t="inlineStr">
        <is>
          <t>gluten-free, nut-free, high-protein</t>
        </is>
      </c>
      <c r="AB363" s="3" t="inlineStr">
        <is>
          <t>1. Marinate chicken in half the yogurt and spices; broil 8 minutes.
2. Cook onion, ginger, garlic in butter; add tomatoes and simmer 10 minutes; blend.
3. Add coconut milk, remaining yogurt and chicken; simmer 8 minutes; serve over cauliflower rice.</t>
        </is>
      </c>
      <c r="AC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19% of this dish's available carbohydrate comes from ingredients with a published, measured GI; the rest uses conventional placeholders (see Ingredients sheet)</t>
        </is>
      </c>
      <c r="Z364" s="2" t="n">
        <v>19</v>
      </c>
      <c r="AA364" s="3" t="inlineStr">
        <is>
          <t>gluten-free, low-carb, high-protein, make-ahead</t>
        </is>
      </c>
      <c r="AB364" s="3" t="inlineStr">
        <is>
          <t>1. Slice zucchini lengthwise; salt and blot dry 15 minutes; grill briefly.
2. Brown chicken; mix with marinara. Mix ricotta, egg, pesto, spinach.
3. Layer zucchini, ricotta and chicken sauce; top with mozzarella and parmesan; bake at 375°F 40 minutes.</t>
        </is>
      </c>
      <c r="AC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0% of this dish's available carbohydrate comes from ingredients with a published, measured GI; the rest uses conventional placeholders (see Ingredients sheet)</t>
        </is>
      </c>
      <c r="Z365" s="2" t="n">
        <v>0</v>
      </c>
      <c r="AA365" s="3" t="inlineStr">
        <is>
          <t>gluten-free, dairy-free, nut-free, low-carb, high-protein</t>
        </is>
      </c>
      <c r="AB365" s="3" t="inlineStr">
        <is>
          <t>1. Whisk mustards, vinegar, garlic, sweetener, oil and thyme.
2. Coat chicken and roast at 425°F 25–28 minutes, basting once.
3. Serve with green beans.</t>
        </is>
      </c>
      <c r="AC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22</v>
      </c>
      <c r="U366" s="2" t="inlineStr">
        <is>
          <t>low</t>
        </is>
      </c>
      <c r="V366" s="5" t="n">
        <v>3.4</v>
      </c>
      <c r="W366" s="2" t="inlineStr">
        <is>
          <t>low</t>
        </is>
      </c>
      <c r="X366" s="3" t="inlineStr"/>
      <c r="Y366" s="3" t="inlineStr">
        <is>
          <t>33% of this dish's available carbohydrate comes from ingredients with a published, measured GI; the rest uses conventional placeholders (see Ingredients sheet)</t>
        </is>
      </c>
      <c r="Z366" s="2" t="n">
        <v>33</v>
      </c>
      <c r="AA366" s="3" t="inlineStr">
        <is>
          <t>gluten-free, dairy-free, high-protein</t>
        </is>
      </c>
      <c r="AB366" s="3" t="inlineStr">
        <is>
          <t>1. Toss chicken with arrowroot; stir-fry in avocado oil; remove.
2. Stir-fry vegetables, garlic, ginger 4 minutes; add tamari, vinegar, sesame oil.
3. Return chicken with cashews; serve over cauliflower rice.</t>
        </is>
      </c>
      <c r="AC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50% of this dish's available carbohydrate comes from ingredients with a published, measured GI; the rest uses conventional placeholders (see Ingredients sheet)</t>
        </is>
      </c>
      <c r="Z367" s="2" t="n">
        <v>50</v>
      </c>
      <c r="AA367" s="3" t="inlineStr">
        <is>
          <t>gluten-free, nut-free, high-protein, meal-prep</t>
        </is>
      </c>
      <c r="AB367" s="3" t="inlineStr">
        <is>
          <t>1. Halve peppers; roast 10 minutes.
2. Brown chicken with onion, garlic, cumin; stir in quinoa, tomatoes and spinach.
3. Fill peppers, top with cheddar; bake at 400°F 20 minutes.</t>
        </is>
      </c>
      <c r="AC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15% of this dish's available carbohydrate comes from ingredients with a published, measured GI; the rest uses conventional placeholders (see Ingredients sheet)</t>
        </is>
      </c>
      <c r="Z368" s="2" t="n">
        <v>15</v>
      </c>
      <c r="AA368" s="3" t="inlineStr">
        <is>
          <t>nut-free, low-carb, high-protein, high-fiber</t>
        </is>
      </c>
      <c r="AB368" s="3" t="inlineStr">
        <is>
          <t>1. Marinate chicken in half the yogurt, garlic, oregano, lemon, oil, salt; roast at 450°F 20 minutes; slice.
2. Mix remaining yogurt with grated cucumber and dill.
3. Fill warm tortillas with chicken, tomato, onion and tzatziki.</t>
        </is>
      </c>
      <c r="AC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77% of this dish's available carbohydrate comes from ingredients with a published, measured GI; the rest uses conventional placeholders (see Ingredients sheet)</t>
        </is>
      </c>
      <c r="Z369" s="2" t="n">
        <v>77</v>
      </c>
      <c r="AA369" s="3" t="inlineStr">
        <is>
          <t>gluten-free, nut-free, high-protein</t>
        </is>
      </c>
      <c r="AB369" s="3" t="inlineStr">
        <is>
          <t>1. Boil whole sweet potatoes 20–25 minutes until tender (boiling keeps the GI far lower than baking).
2. Sauté chicken strips, pepper and onion with seasoning in oil.
3. Split potatoes, fill with fajita mix; top with cheddar, yogurt, cilantro, lime.</t>
        </is>
      </c>
      <c r="AC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8% of this dish's available carbohydrate comes from ingredients with a published, measured GI; the rest uses conventional placeholders (see Ingredients sheet)</t>
        </is>
      </c>
      <c r="Z370" s="2" t="n">
        <v>8</v>
      </c>
      <c r="AA370" s="3" t="inlineStr">
        <is>
          <t>gluten-free, nut-free, high-protein, high-fiber, make-ahead</t>
        </is>
      </c>
      <c r="AB370" s="3" t="inlineStr">
        <is>
          <t>1. Halve squash, roast cut-side down at 400°F 40 minutes; scrape strands.
2. Brown turkey with onion, carrot, celery, garlic; add wine, tomatoes, seasoning; simmer 25 minutes; stir in milk.
3. Serve sauce over squash with parmesan.</t>
        </is>
      </c>
      <c r="AC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14% of this dish's available carbohydrate comes from ingredients with a published, measured GI; the rest uses conventional placeholders (see Ingredients sheet)</t>
        </is>
      </c>
      <c r="Z371" s="2" t="n">
        <v>14</v>
      </c>
      <c r="AA371" s="3" t="inlineStr">
        <is>
          <t>gluten-free, low-carb, high-protein</t>
        </is>
      </c>
      <c r="AB371" s="3" t="inlineStr">
        <is>
          <t>1. Coat chicken strips in egg then almond flour-paprika; bake at 425°F 18 minutes.
2. Toss cauliflower in oil; roast 20 minutes; toss in hot sauce and butter.
3. Mix yogurt and blue cheese; serve with celery.</t>
        </is>
      </c>
      <c r="AC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77% of this dish's available carbohydrate comes from ingredients with a published, measured GI; the rest uses conventional placeholders (see Ingredients sheet)</t>
        </is>
      </c>
      <c r="Z372" s="2" t="n">
        <v>77</v>
      </c>
      <c r="AA372" s="3" t="inlineStr">
        <is>
          <t>nut-free, high-protein, one-pan</t>
        </is>
      </c>
      <c r="AB372" s="3" t="inlineStr">
        <is>
          <t>1. Sear chicken in oil; remove. Sauté onion and garlic; add cooked farro, broth, thyme.
2. Return chicken, simmer covered 15 minutes.
3. Stir in kale until wilted; finish with lemon and parmesan.</t>
        </is>
      </c>
      <c r="AC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0% of this dish's available carbohydrate comes from ingredients with a published, measured GI; the rest uses conventional placeholders (see Ingredients sheet)</t>
        </is>
      </c>
      <c r="Z373" s="2" t="n">
        <v>0</v>
      </c>
      <c r="AA373" s="3" t="inlineStr">
        <is>
          <t>gluten-free, nut-free, low-carb, high-protein, quick</t>
        </is>
      </c>
      <c r="AB373" s="3" t="inlineStr">
        <is>
          <t>1. Sear chicken pieces in oil with garlic; remove.
2. Sauté tomatoes 2 minutes; add zoodles, lemon zest and juice; toss 2 minutes.
3. Return chicken; top with parmesan, basil, pepper flakes.</t>
        </is>
      </c>
      <c r="AC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0% of this dish's available carbohydrate comes from ingredients with a published, measured GI; the rest uses conventional placeholders (see Ingredients sheet)</t>
        </is>
      </c>
      <c r="Z374" s="2" t="n">
        <v>0</v>
      </c>
      <c r="AA374" s="3" t="inlineStr">
        <is>
          <t>dairy-free, nut-free, low-carb, high-protein</t>
        </is>
      </c>
      <c r="AB374" s="3" t="inlineStr">
        <is>
          <t>1. Stir-fry chicken in avocado oil until browned.
2. Add garlic, kimchi, cauliflower rice; cook 5 minutes; push aside and scramble eggs.
3. Stir in tamari, gochujang, sesame oil, green onion.</t>
        </is>
      </c>
      <c r="AC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0% of this dish's available carbohydrate comes from ingredients with a published, measured GI; the rest uses conventional placeholders (see Ingredients sheet)</t>
        </is>
      </c>
      <c r="Z375" s="2" t="n">
        <v>0</v>
      </c>
      <c r="AA375" s="3" t="inlineStr">
        <is>
          <t>gluten-free, dairy-free, nut-free, low-carb, high-protein, one-pan</t>
        </is>
      </c>
      <c r="AB375" s="3" t="inlineStr">
        <is>
          <t>1. Rub chicken with paprika, garlic powder, salt and half the oil.
2. Cut cabbage into wedges, brush with oil, Dijon and vinegar.
3. Roast everything at 425°F 35–40 minutes.</t>
        </is>
      </c>
      <c r="AC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47% of this dish's available carbohydrate comes from ingredients with a published, measured GI; the rest uses conventional placeholders (see Ingredients sheet)</t>
        </is>
      </c>
      <c r="Z376" s="2" t="n">
        <v>47</v>
      </c>
      <c r="AA376" s="3" t="inlineStr">
        <is>
          <t>gluten-free, nut-free, high-protein, high-fiber</t>
        </is>
      </c>
      <c r="AB376" s="3" t="inlineStr">
        <is>
          <t>1. Season chicken; sear and slice.
2. Bake tortillas until crisp.
3. Layer beans, romaine, chicken, pico, cotija, avocado and yogurt over the tortillas.</t>
        </is>
      </c>
      <c r="AC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0% of this dish's available carbohydrate comes from ingredients with a published, measured GI; the rest uses conventional placeholders (see Ingredients sheet)</t>
        </is>
      </c>
      <c r="Z377" s="2" t="n">
        <v>0</v>
      </c>
      <c r="AA377" s="3" t="inlineStr">
        <is>
          <t>gluten-free, nut-free, low-carb, high-protein, one-pan</t>
        </is>
      </c>
      <c r="AB377" s="3" t="inlineStr">
        <is>
          <t>1. Sear chicken in oil; add garlic, artichokes, olives, tomatoes, lemon slices, oregano.
2. Roast at 400°F 25 minutes.
3. Top with feta and parsley.</t>
        </is>
      </c>
      <c r="AC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30% of this dish's available carbohydrate comes from ingredients with a published, measured GI; the rest uses conventional placeholders (see Ingredients sheet)</t>
        </is>
      </c>
      <c r="Z378" s="2" t="n">
        <v>30</v>
      </c>
      <c r="AA378" s="3" t="inlineStr">
        <is>
          <t>gluten-free, nut-free, low-carb, high-protein</t>
        </is>
      </c>
      <c r="AB378" s="3" t="inlineStr">
        <is>
          <t>1. Rub chicken with cumin, paprika, garlic, lime, oil and salt; roast at 425°F 30 minutes.
2. Blend yogurt, cilantro, jalapeño, mayo and lime into green sauce.
3. Serve chicken with sauce and romaine.</t>
        </is>
      </c>
      <c r="AC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47% of this dish's available carbohydrate comes from ingredients with a published, measured GI; the rest uses conventional placeholders (see Ingredients sheet)</t>
        </is>
      </c>
      <c r="Z379" s="2" t="n">
        <v>47</v>
      </c>
      <c r="AA379" s="3" t="inlineStr">
        <is>
          <t>nut-free, high-protein, high-fiber, quick</t>
        </is>
      </c>
      <c r="AB379" s="3" t="inlineStr">
        <is>
          <t>1. Mix chicken, beans, pepper and cumin.
2. Fill half of each tortilla with cheese and filling; fold.
3. Cook in oil 3 minutes per side; serve with salsa and yogurt.</t>
        </is>
      </c>
      <c r="AC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0% of this dish's available carbohydrate comes from ingredients with a published, measured GI; the rest uses conventional placeholders (see Ingredients sheet)</t>
        </is>
      </c>
      <c r="Z380" s="2" t="n">
        <v>0</v>
      </c>
      <c r="AA380" s="3" t="inlineStr">
        <is>
          <t>gluten-free, nut-free, low-carb, high-protein</t>
        </is>
      </c>
      <c r="AB380" s="3" t="inlineStr">
        <is>
          <t>1. Cut pockets in chicken; fill with wilted spinach, cream cheese, mozzarella, garlic, sun-dried tomato.
2. Season, sear in oil 3 minutes per side; bake at 400°F 18 minutes.
3. Serve with roasted broccoli.</t>
        </is>
      </c>
      <c r="AC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0% of this dish's available carbohydrate comes from ingredients with a published, measured GI; the rest uses conventional placeholders (see Ingredients sheet)</t>
        </is>
      </c>
      <c r="Z381" s="2" t="n">
        <v>0</v>
      </c>
      <c r="AA381" s="3" t="inlineStr">
        <is>
          <t>gluten-free, dairy-free, nut-free, low-carb, high-protein</t>
        </is>
      </c>
      <c r="AB381" s="3" t="inlineStr">
        <is>
          <t>1. Simmer tamari, vinegar, ginger, garlic, sweetener into a glaze.
2. Skewer chicken and green onion pieces; grill 10–12 minutes, brushing with glaze.
3. Serve with sautéed bok choy and sesame seeds.</t>
        </is>
      </c>
      <c r="AC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19% of this dish's available carbohydrate comes from ingredients with a published, measured GI; the rest uses conventional placeholders (see Ingredients sheet)</t>
        </is>
      </c>
      <c r="Z382" s="2" t="n">
        <v>19</v>
      </c>
      <c r="AA382" s="3" t="inlineStr">
        <is>
          <t>gluten-free, nut-free, low-carb, high-protein, make-ahead</t>
        </is>
      </c>
      <c r="AB382" s="3" t="inlineStr">
        <is>
          <t>1. Steam cauliflower 5 minutes; cook and dice chicken; crisp bacon.
2. Mix yogurt, cream cheese and ranch; fold in chicken and cauliflower.
3. Top with cheddar and bacon; bake at 375°F 20 minutes; add green onion.</t>
        </is>
      </c>
      <c r="AC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30% of this dish's available carbohydrate comes from ingredients with a published, measured GI; the rest uses conventional placeholders (see Ingredients sheet)</t>
        </is>
      </c>
      <c r="Z383" s="2" t="n">
        <v>30</v>
      </c>
      <c r="AA383" s="3" t="inlineStr">
        <is>
          <t>gluten-free, dairy-free, nut-free, low-carb, high-protein, quick</t>
        </is>
      </c>
      <c r="AB383" s="3" t="inlineStr">
        <is>
          <t>1. Brown chicken in avocado oil with ginger and garlic.
2. Add tamari, vinegar, sesame oil and grated carrot; cook 2 minutes.
3. Serve in lettuce cups with cucumber, green onion and sesame.</t>
        </is>
      </c>
      <c r="AC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0% of this dish's available carbohydrate comes from ingredients with a published, measured GI; the rest uses conventional placeholders (see Ingredients sheet)</t>
        </is>
      </c>
      <c r="Z384" s="2" t="n">
        <v>0</v>
      </c>
      <c r="AA384" s="3" t="inlineStr">
        <is>
          <t>gluten-free, dairy-free, nut-free, low-carb, high-protein, one-pan</t>
        </is>
      </c>
      <c r="AB384" s="3" t="inlineStr">
        <is>
          <t>1. Sear chicken in oil; remove. Sauté shallot and garlic; add wine.
2. Add tomatoes, olives, herbs, zucchini; return chicken.
3. Simmer covered 25 minutes.</t>
        </is>
      </c>
      <c r="AC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82% of this dish's available carbohydrate comes from ingredients with a published, measured GI; the rest uses conventional placeholders (see Ingredients sheet)</t>
        </is>
      </c>
      <c r="Z385" s="2" t="n">
        <v>82</v>
      </c>
      <c r="AA385" s="3" t="inlineStr">
        <is>
          <t>gluten-free, nut-free, high-protein</t>
        </is>
      </c>
      <c r="AB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C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39% of this dish's available carbohydrate comes from ingredients with a published, measured GI; the rest uses conventional placeholders (see Ingredients sheet)</t>
        </is>
      </c>
      <c r="Z386" s="2" t="n">
        <v>39</v>
      </c>
      <c r="AA386" s="3" t="inlineStr">
        <is>
          <t>gluten-free, nut-free, low-carb, high-protein</t>
        </is>
      </c>
      <c r="AB386" s="3" t="inlineStr">
        <is>
          <t>1. Marinate chicken in 150 g yogurt, spices, ginger, garlic, lemon, salt for 30 minutes.
2. Roast at 450°F 22 minutes.
3. Mix remaining yogurt with grated cucumber, mint for raita.</t>
        </is>
      </c>
      <c r="AC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0% of this dish's available carbohydrate comes from ingredients with a published, measured GI; the rest uses conventional placeholders (see Ingredients sheet)</t>
        </is>
      </c>
      <c r="Z387" s="2" t="n">
        <v>0</v>
      </c>
      <c r="AA387" s="3" t="inlineStr">
        <is>
          <t>gluten-free, dairy-free, nut-free, low-carb, high-protein, one-pan</t>
        </is>
      </c>
      <c r="AB387" s="3" t="inlineStr">
        <is>
          <t>1. Season chicken; sear skin-side down in an ovenproof skillet 6 minutes.
2. Add halved sprouts, chopped bacon, garlic; roast at 425°F 25 minutes.
3. Toss sprouts with vinegar and Dijon.</t>
        </is>
      </c>
      <c r="AC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13% of this dish's available carbohydrate comes from ingredients with a published, measured GI; the rest uses conventional placeholders (see Ingredients sheet)</t>
        </is>
      </c>
      <c r="Z388" s="2" t="n">
        <v>13</v>
      </c>
      <c r="AA388" s="3" t="inlineStr">
        <is>
          <t>gluten-free, nut-free, low-carb, high-protein</t>
        </is>
      </c>
      <c r="AB388" s="3" t="inlineStr">
        <is>
          <t>1. Brown chicken in oil; remove. Sauté onion and pepper; add paprika, garlic, tomato paste.
2. Add broth and chicken; simmer covered 25 minutes.
3. Stir in yogurt off heat; serve over cauliflower rice with parsley.</t>
        </is>
      </c>
      <c r="AC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0% of this dish's available carbohydrate comes from ingredients with a published, measured GI; the rest uses conventional placeholders (see Ingredients sheet)</t>
        </is>
      </c>
      <c r="Z389" s="2" t="n">
        <v>0</v>
      </c>
      <c r="AA389" s="3" t="inlineStr">
        <is>
          <t>gluten-free, dairy-free, nut-free, low-carb, high-protein, quick</t>
        </is>
      </c>
      <c r="AB389" s="3" t="inlineStr">
        <is>
          <t>1. Stir-fry chicken and garlic in oil; push aside and scramble eggs.
2. Add broccolini 2 minutes; add zoodles, tamari, fish sauce, sweetener.
3. Toss 2 minutes; finish with pepper.</t>
        </is>
      </c>
      <c r="AC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0% of this dish's available carbohydrate comes from ingredients with a published, measured GI; the rest uses conventional placeholders (see Ingredients sheet)</t>
        </is>
      </c>
      <c r="Z390" s="2" t="n">
        <v>0</v>
      </c>
      <c r="AA390" s="3" t="inlineStr">
        <is>
          <t>gluten-free, nut-free, low-carb, high-protein, quick</t>
        </is>
      </c>
      <c r="AB390" s="3" t="inlineStr">
        <is>
          <t>1. Pound turkey cutlets thin; season; sear in oil 3 minutes per side.
2. Add butter, sage, garlic, broth, lemon juice; simmer 2 minutes.
3. Serve over sautéed spinach.</t>
        </is>
      </c>
      <c r="AC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31</v>
      </c>
      <c r="U391" s="2" t="inlineStr">
        <is>
          <t>low</t>
        </is>
      </c>
      <c r="V391" s="5" t="n">
        <v>7.7</v>
      </c>
      <c r="W391" s="2" t="inlineStr">
        <is>
          <t>low</t>
        </is>
      </c>
      <c r="X391" s="3" t="inlineStr"/>
      <c r="Y391" s="3" t="inlineStr">
        <is>
          <t>49% of this dish's available carbohydrate comes from ingredients with a published, measured GI; the rest uses conventional placeholders (see Ingredients sheet)</t>
        </is>
      </c>
      <c r="Z391" s="2" t="n">
        <v>49</v>
      </c>
      <c r="AA391" s="3" t="inlineStr">
        <is>
          <t>gluten-free, dairy-free, nut-free, high-protein, high-fiber</t>
        </is>
      </c>
      <c r="AB391" s="3" t="inlineStr">
        <is>
          <t>1. Sauté onion, garlic, ginger and curry powder in oil.
2. Add chicken, cauliflower, chickpeas, tomatoes, coconut milk; simmer 20 minutes.
3. Stir in spinach; garnish cilantro.</t>
        </is>
      </c>
      <c r="AC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0% of this dish's available carbohydrate comes from ingredients with a published, measured GI; the rest uses conventional placeholders (see Ingredients sheet)</t>
        </is>
      </c>
      <c r="Z392" s="2" t="n">
        <v>0</v>
      </c>
      <c r="AA392" s="3" t="inlineStr">
        <is>
          <t>gluten-free, nut-free, low-carb, high-protein, one-pan</t>
        </is>
      </c>
      <c r="AB392" s="3" t="inlineStr">
        <is>
          <t>1. Brown sausage in oil; remove.
2. Sauté peppers, onion, garlic 8 minutes; add tomatoes and seasoning.
3. Return sausage; simmer 5 minutes; top with parmesan and basil.</t>
        </is>
      </c>
      <c r="AC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12% of this dish's available carbohydrate comes from ingredients with a published, measured GI; the rest uses conventional placeholders (see Ingredients sheet)</t>
        </is>
      </c>
      <c r="Z393" s="2" t="n">
        <v>12</v>
      </c>
      <c r="AA393" s="3" t="inlineStr">
        <is>
          <t>gluten-free, nut-free, high-protein</t>
        </is>
      </c>
      <c r="AB393" s="3" t="inlineStr">
        <is>
          <t>1. Roast halved squash at 400°F 40 minutes; scrape strands.
2. Brown chicken with pepper, mushrooms, onion, garlic and oregano; add marinara.
3. Toss with squash strands, return to shells, top with mozzarella; broil 3 minutes.</t>
        </is>
      </c>
      <c r="AC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0% of this dish's available carbohydrate comes from ingredients with a published, measured GI; the rest uses conventional placeholders (see Ingredients sheet)</t>
        </is>
      </c>
      <c r="Z394" s="2" t="n">
        <v>0</v>
      </c>
      <c r="AA394" s="3" t="inlineStr">
        <is>
          <t>gluten-free, dairy-free, nut-free, low-carb, high-protein, quick</t>
        </is>
      </c>
      <c r="AB394" s="3" t="inlineStr">
        <is>
          <t>1. Brown chicken in oil; toss off heat with shallot, lime, fish sauce, herbs and pepper flakes.
2. Sauté cauliflower rice 4 minutes.
3. Serve larb over cauliflower rice with cucumber.</t>
        </is>
      </c>
      <c r="AC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0% of this dish's available carbohydrate comes from ingredients with a published, measured GI; the rest uses conventional placeholders (see Ingredients sheet)</t>
        </is>
      </c>
      <c r="Z395" s="2" t="n">
        <v>0</v>
      </c>
      <c r="AA395" s="3" t="inlineStr">
        <is>
          <t>gluten-free, low-carb, high-protein</t>
        </is>
      </c>
      <c r="AB395" s="3" t="inlineStr">
        <is>
          <t>1. Mix butter with garlic, parsley, dill; chill. Cut pockets in chicken and stuff with herb butter.
2. Dip in egg, coat with almond flour; bake at 400°F 25 minutes.
3. Serve with green beans and lemon.</t>
        </is>
      </c>
      <c r="AC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10% of this dish's available carbohydrate comes from ingredients with a published, measured GI; the rest uses conventional placeholders (see Ingredients sheet)</t>
        </is>
      </c>
      <c r="Z396" s="2" t="n">
        <v>10</v>
      </c>
      <c r="AA396" s="3" t="inlineStr">
        <is>
          <t>gluten-free, nut-free, low-carb, high-protein</t>
        </is>
      </c>
      <c r="AB396" s="3" t="inlineStr">
        <is>
          <t>1. Mix turkey, grated onion, parsley, garlic, spices, egg and salt; form logs on skewers.
2. Grill or broil 12 minutes, turning.
3. Whisk tahini, lemon, yogurt and water; serve with cucumber and tomato.</t>
        </is>
      </c>
      <c r="AC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53% of this dish's available carbohydrate comes from ingredients with a published, measured GI; the rest uses conventional placeholders (see Ingredients sheet)</t>
        </is>
      </c>
      <c r="Z397" s="2" t="n">
        <v>53</v>
      </c>
      <c r="AA397" s="3" t="inlineStr">
        <is>
          <t>gluten-free, nut-free, high-protein, one-pan</t>
        </is>
      </c>
      <c r="AB397" s="3" t="inlineStr">
        <is>
          <t>1. Sauté chicken pieces with onion and cumin in oil.
2. Add zucchini, beans and sauce; simmer 8 minutes.
3. Top with cheddar; cover to melt; serve with cilantro and yogurt.</t>
        </is>
      </c>
      <c r="AC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9% of this dish's available carbohydrate comes from ingredients with a published, measured GI; the rest uses conventional placeholders (see Ingredients sheet)</t>
        </is>
      </c>
      <c r="Z398" s="2" t="n">
        <v>9</v>
      </c>
      <c r="AA398" s="3" t="inlineStr">
        <is>
          <t>gluten-free, nut-free, high-protein</t>
        </is>
      </c>
      <c r="AB398" s="3" t="inlineStr">
        <is>
          <t>1. Steam cauliflower; cook pasta al dente; sear diced chicken in oil.
2. Warm milk, cream cheese, cheddar, Dijon, garlic powder into a sauce.
3. Combine everything in a dish; bake at 375°F 15 minutes.</t>
        </is>
      </c>
      <c r="AC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25</v>
      </c>
      <c r="U399" s="2" t="inlineStr">
        <is>
          <t>low</t>
        </is>
      </c>
      <c r="V399" s="5" t="n">
        <v>2.6</v>
      </c>
      <c r="W399" s="2" t="inlineStr">
        <is>
          <t>low</t>
        </is>
      </c>
      <c r="X399" s="3" t="inlineStr"/>
      <c r="Y399" s="3" t="inlineStr">
        <is>
          <t>54% of this dish's available carbohydrate comes from ingredients with a published, measured GI; the rest uses conventional placeholders (see Ingredients sheet)</t>
        </is>
      </c>
      <c r="Z399" s="2" t="n">
        <v>54</v>
      </c>
      <c r="AA399" s="3" t="inlineStr">
        <is>
          <t>gluten-free, dairy-free, nut-free, low-carb, high-protein</t>
        </is>
      </c>
      <c r="AB399" s="3" t="inlineStr">
        <is>
          <t>1. Score and season duck; sear skin-side down 8 minutes, flip 4 minutes; rest and slice, discarding excess skin.
2. Sauté shallot in drippings; add cherries, balsamic, broth, thyme; reduce.
3. Serve duck over arugula with sauce.</t>
        </is>
      </c>
      <c r="AC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83% of this dish's available carbohydrate comes from ingredients with a published, measured GI; the rest uses conventional placeholders (see Ingredients sheet)</t>
        </is>
      </c>
      <c r="Z400" s="2" t="n">
        <v>83</v>
      </c>
      <c r="AA400" s="3" t="inlineStr">
        <is>
          <t>gluten-free, nut-free, high-protein</t>
        </is>
      </c>
      <c r="AB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C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58</v>
      </c>
      <c r="U401" s="2" t="inlineStr">
        <is>
          <t>medium</t>
        </is>
      </c>
      <c r="V401" s="5" t="n">
        <v>11.3</v>
      </c>
      <c r="W401" s="2" t="inlineStr">
        <is>
          <t>medium</t>
        </is>
      </c>
      <c r="X401" s="3" t="inlineStr">
        <is>
          <t>Medium-GI dish: keep to the stated portion and pair with the protein/fat in the recipe; GL per serving is the better guide.</t>
        </is>
      </c>
      <c r="Y401" s="3" t="inlineStr">
        <is>
          <t>86% of this dish's available carbohydrate comes from ingredients with a published, measured GI; the rest uses conventional placeholders (see Ingredients sheet)</t>
        </is>
      </c>
      <c r="Z401" s="2" t="n">
        <v>86</v>
      </c>
      <c r="AA401" s="3" t="inlineStr">
        <is>
          <t>gluten-free, dairy-free, nut-free, high-protein, one-pan</t>
        </is>
      </c>
      <c r="AB401" s="3" t="inlineStr">
        <is>
          <t>1. Brown chicken and halved potatoes in oil; add garlic and oregano.
2. Add wine and broth; roast at 400°F 25 minutes.
3. Add peas for the last 5 minutes; finish with lemon and parsley.</t>
        </is>
      </c>
      <c r="AC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15% of this dish's available carbohydrate comes from ingredients with a published, measured GI; the rest uses conventional placeholders (see Ingredients sheet)</t>
        </is>
      </c>
      <c r="Z402" s="2" t="n">
        <v>15</v>
      </c>
      <c r="AA402" s="3" t="inlineStr">
        <is>
          <t>gluten-free, low-carb, high-protein</t>
        </is>
      </c>
      <c r="AB402" s="3" t="inlineStr">
        <is>
          <t>1. Marinate chicken in yogurt and half the hot sauce 15 minutes; coat in almond flour with cayenne, paprika, garlic powder.
2. Bake at 425°F 22 minutes; brush with remaining hot sauce mixed with oil.
3. Serve with vinegar slaw and pickles.</t>
        </is>
      </c>
      <c r="AC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16% of this dish's available carbohydrate comes from ingredients with a published, measured GI; the rest uses conventional placeholders (see Ingredients sheet)</t>
        </is>
      </c>
      <c r="Z403" s="2" t="n">
        <v>16</v>
      </c>
      <c r="AA403" s="3" t="inlineStr">
        <is>
          <t>gluten-free, nut-free, low-carb, high-protein</t>
        </is>
      </c>
      <c r="AB403" s="3" t="inlineStr">
        <is>
          <t>1. Sear chicken strips in oil; remove. Sauté mushrooms, onion, garlic 8 minutes.
2. Add broth, paprika, Dijon; reduce; stir in yogurt off heat; return chicken.
3. Serve over sautéed zoodles with parsley.</t>
        </is>
      </c>
      <c r="AC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51% of this dish's available carbohydrate comes from ingredients with a published, measured GI; the rest uses conventional placeholders (see Ingredients sheet)</t>
        </is>
      </c>
      <c r="Z404" s="2" t="n">
        <v>51</v>
      </c>
      <c r="AA404" s="3" t="inlineStr">
        <is>
          <t>gluten-free, nut-free, low-carb, high-protein, make-ahead</t>
        </is>
      </c>
      <c r="AB404" s="3" t="inlineStr">
        <is>
          <t>1. Char poblanos; peel and chop. Sear diced chicken with onion and cumin in oil.
2. Mix chicken, poblano, cauliflower rice, beans, salsa verde, yogurt and half the cheese in a dish.
3. Top with remaining cheese; bake at 375°F 25 minutes; garnish cilantro.</t>
        </is>
      </c>
      <c r="AC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0% of this dish's available carbohydrate comes from ingredients with a published, measured GI; the rest uses conventional placeholders (see Ingredients sheet)</t>
        </is>
      </c>
      <c r="Z405" s="2" t="n">
        <v>0</v>
      </c>
      <c r="AA405" s="3" t="inlineStr">
        <is>
          <t>gluten-free, dairy-free, nut-free, low-carb, high-protein, one-pan</t>
        </is>
      </c>
      <c r="AB405" s="3" t="inlineStr">
        <is>
          <t>1. Toss fennel wedges, olives, garlic with oil; nestle chicken on top with lemon slices and rosemary.
2. Roast at 425°F 30–35 minutes.
3. Spoon pan juices over.</t>
        </is>
      </c>
      <c r="AC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0% of this dish's available carbohydrate comes from ingredients with a published, measured GI; the rest uses conventional placeholders (see Ingredients sheet)</t>
        </is>
      </c>
      <c r="Z406" s="2" t="n">
        <v>0</v>
      </c>
      <c r="AA406" s="3" t="inlineStr">
        <is>
          <t>gluten-free, low-carb, high-protein</t>
        </is>
      </c>
      <c r="AB406" s="3" t="inlineStr">
        <is>
          <t>1. Roast cauliflower florets with oil at 425°F 20 minutes.
2. Sear chicken pieces; add tomatoes and spinach.
3. Toss chicken, cauliflower and pesto; top with parmesan.</t>
        </is>
      </c>
      <c r="AC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0% of this dish's available carbohydrate comes from ingredients with a published, measured GI; the rest uses conventional placeholders (see Ingredients sheet)</t>
        </is>
      </c>
      <c r="Z407" s="2" t="n">
        <v>0</v>
      </c>
      <c r="AA407" s="3" t="inlineStr">
        <is>
          <t>gluten-free, dairy-free, nut-free, low-carb, high-protein</t>
        </is>
      </c>
      <c r="AB407" s="3" t="inlineStr">
        <is>
          <t>1. Thread chicken and vegetables onto skewers; brush with a third of the oil; season.
2. Grill 10–12 minutes, turning.
3. Blend remaining oil, herbs, garlic, vinegar, oregano, pepper flakes; spoon over.</t>
        </is>
      </c>
      <c r="AC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0% of this dish's available carbohydrate comes from ingredients with a published, measured GI; the rest uses conventional placeholders (see Ingredients sheet)</t>
        </is>
      </c>
      <c r="Z408" s="2" t="n">
        <v>0</v>
      </c>
      <c r="AA408" s="3" t="inlineStr">
        <is>
          <t>gluten-free, low-carb, high-protein, one-pan</t>
        </is>
      </c>
      <c r="AB408" s="3" t="inlineStr">
        <is>
          <t>1. Mix turkey, egg, almond flour, oregano, garlic, salt; form meatballs; brown in oil.
2. Add zucchini and tomatoes; cover and cook 10 minutes.
3. Top with feta and lemon.</t>
        </is>
      </c>
      <c r="AC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24% of this dish's available carbohydrate comes from ingredients with a published, measured GI; the rest uses conventional placeholders (see Ingredients sheet)</t>
        </is>
      </c>
      <c r="Z409" s="2" t="n">
        <v>24</v>
      </c>
      <c r="AA409" s="3" t="inlineStr">
        <is>
          <t>gluten-free, dairy-free, nut-free, low-carb, high-protein, high-fiber</t>
        </is>
      </c>
      <c r="AB409" s="3" t="inlineStr">
        <is>
          <t>1. Rinse and dry-fry shirataki 3 minutes; set aside.
2. Stir-fry chicken in oil; add garlic, ginger, cabbage, carrot, celery 4 minutes.
3. Add noodles, sprouts, tamari, sesame oil; toss; top green onion.</t>
        </is>
      </c>
      <c r="AC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16% of this dish's available carbohydrate comes from ingredients with a published, measured GI; the rest uses conventional placeholders (see Ingredients sheet)</t>
        </is>
      </c>
      <c r="Z410" s="2" t="n">
        <v>16</v>
      </c>
      <c r="AA410" s="3" t="inlineStr">
        <is>
          <t>gluten-free, nut-free, low-carb, high-protein, make-ahead</t>
        </is>
      </c>
      <c r="AB410" s="3" t="inlineStr">
        <is>
          <t>1. Cook and dice chicken; wilt spinach with garlic.
2. Mix cream cheese, yogurt, parmesan; fold in chicken, spinach, artichokes.
3. Top with mozzarella; bake at 375°F 20 minutes.</t>
        </is>
      </c>
      <c r="AC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0% of this dish's available carbohydrate comes from ingredients with a published, measured GI; the rest uses conventional placeholders (see Ingredients sheet)</t>
        </is>
      </c>
      <c r="Z411" s="2" t="n">
        <v>0</v>
      </c>
      <c r="AA411" s="3" t="inlineStr">
        <is>
          <t>gluten-free, dairy-free, nut-free, low-carb, high-protein, meal-prep</t>
        </is>
      </c>
      <c r="AB411" s="3" t="inlineStr">
        <is>
          <t>1. Rub turkey with oil, garlic, herbs, lemon zest and salt.
2. Roast at 350°F with broth in the pan 80–90 minutes to 165°F, basting.
3. Rest 15 minutes; slice; serve with green beans.</t>
        </is>
      </c>
      <c r="AC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0% of this dish's available carbohydrate comes from ingredients with a published, measured GI; the rest uses conventional placeholders (see Ingredients sheet)</t>
        </is>
      </c>
      <c r="Z412" s="2" t="n">
        <v>0</v>
      </c>
      <c r="AA412" s="3" t="inlineStr">
        <is>
          <t>gluten-free, low-carb, high-protein</t>
        </is>
      </c>
      <c r="AB412" s="3" t="inlineStr">
        <is>
          <t>1. Halve zucchini and scoop centers.
2. Mix chicken, pesto, ricotta and chopped tomato; fill boats.
3. Top with cheeses; bake at 400°F 25 minutes.</t>
        </is>
      </c>
      <c r="AC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23% of this dish's available carbohydrate comes from ingredients with a published, measured GI; the rest uses conventional placeholders (see Ingredients sheet)</t>
        </is>
      </c>
      <c r="Z413" s="2" t="n">
        <v>23</v>
      </c>
      <c r="AA413" s="3" t="inlineStr">
        <is>
          <t>gluten-free, dairy-free, nut-free, low-carb, high-protein, make-ahead</t>
        </is>
      </c>
      <c r="AB413" s="3" t="inlineStr">
        <is>
          <t>1. Brown chicken and bacon in oil; remove. Sauté onion, carrot, mushrooms, garlic; add tomato paste.
2. Add wine, broth, thyme, bay; return chicken; simmer covered 45 minutes.
3. Uncover last 10 minutes to reduce; serve with cauliflower mash.</t>
        </is>
      </c>
      <c r="AC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13% of this dish's available carbohydrate comes from ingredients with a published, measured GI; the rest uses conventional placeholders (see Ingredients sheet)</t>
        </is>
      </c>
      <c r="Z414" s="2" t="n">
        <v>13</v>
      </c>
      <c r="AA414" s="3" t="inlineStr">
        <is>
          <t>gluten-free, dairy-free, nut-free, low-carb, high-protein</t>
        </is>
      </c>
      <c r="AB414" s="3" t="inlineStr">
        <is>
          <t>1. Sear chicken pieces in avocado oil until golden.
2. Add tamari, vinegar, garlic, ginger, sweetener and arrowroot slurry; simmer until glossy; add sesame oil.
3. Top with sesame seeds and green onion; serve with steamed broccoli.</t>
        </is>
      </c>
      <c r="AC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24</v>
      </c>
      <c r="U415" s="2" t="inlineStr">
        <is>
          <t>low</t>
        </is>
      </c>
      <c r="V415" s="5" t="n">
        <v>2.6</v>
      </c>
      <c r="W415" s="2" t="inlineStr">
        <is>
          <t>low</t>
        </is>
      </c>
      <c r="X415" s="3" t="inlineStr"/>
      <c r="Y415" s="3" t="inlineStr">
        <is>
          <t>50% of this dish's available carbohydrate comes from ingredients with a published, measured GI; the rest uses conventional placeholders (see Ingredients sheet)</t>
        </is>
      </c>
      <c r="Z415" s="2" t="n">
        <v>50</v>
      </c>
      <c r="AA415" s="3" t="inlineStr">
        <is>
          <t>gluten-free, low-carb, high-protein</t>
        </is>
      </c>
      <c r="AB415" s="3" t="inlineStr">
        <is>
          <t>1. Sauté onion, carrot, celery, mushrooms in oil; add diced chicken and thyme.
2. Blend steamed cauliflower with milk; add to skillet with broth; simmer 12 minutes.
3. Add peas; top with almond flour-parmesan crumble and broil 3 minutes.</t>
        </is>
      </c>
      <c r="AC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0% of this dish's available carbohydrate comes from ingredients with a published, measured GI; the rest uses conventional placeholders (see Ingredients sheet)</t>
        </is>
      </c>
      <c r="Z416" s="2" t="n">
        <v>0</v>
      </c>
      <c r="AA416" s="3" t="inlineStr">
        <is>
          <t>gluten-free, nut-free, low-carb, high-protein</t>
        </is>
      </c>
      <c r="AB416" s="3" t="inlineStr">
        <is>
          <t>1. Season chicken, sear 3 minutes per side, transfer to a dish.
2. Top with diced tomato, basil, garlic, balsamic and mozzarella.
3. Bake at 400°F 15 minutes; serve on zoodles.</t>
        </is>
      </c>
      <c r="AC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21% of this dish's available carbohydrate comes from ingredients with a published, measured GI; the rest uses conventional placeholders (see Ingredients sheet)</t>
        </is>
      </c>
      <c r="Z417" s="2" t="n">
        <v>21</v>
      </c>
      <c r="AA417" s="3" t="inlineStr">
        <is>
          <t>gluten-free, nut-free, low-carb, high-protein</t>
        </is>
      </c>
      <c r="AB417" s="3" t="inlineStr">
        <is>
          <t>1. Toss wings with oil, lime zest, garlic, chili powder, cumin, salt.
2. Bake on a rack at 425°F 40–45 minutes until crisp.
3. Squeeze lime, add cilantro; serve with celery and yogurt dip.</t>
        </is>
      </c>
      <c r="AC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9% of this dish's available carbohydrate comes from ingredients with a published, measured GI; the rest uses conventional placeholders (see Ingredients sheet)</t>
        </is>
      </c>
      <c r="Z418" s="2" t="n">
        <v>9</v>
      </c>
      <c r="AA418" s="3" t="inlineStr">
        <is>
          <t>nut-free, low-carb, high-protein, high-fiber, no-cook, quick</t>
        </is>
      </c>
      <c r="AB418" s="3" t="inlineStr">
        <is>
          <t>1. Whisk yogurt, lemon, Dijon, mashed anchovy.
2. Toss chopped kale, chicken and parmesan with dressing.
3. Roll in tortillas.</t>
        </is>
      </c>
      <c r="AC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26</v>
      </c>
      <c r="U419" s="2" t="inlineStr">
        <is>
          <t>low</t>
        </is>
      </c>
      <c r="V419" s="5" t="n">
        <v>5</v>
      </c>
      <c r="W419" s="2" t="inlineStr">
        <is>
          <t>low</t>
        </is>
      </c>
      <c r="X419" s="3" t="inlineStr"/>
      <c r="Y419" s="3" t="inlineStr">
        <is>
          <t>43% of this dish's available carbohydrate comes from ingredients with a published, measured GI; the rest uses conventional placeholders (see Ingredients sheet)</t>
        </is>
      </c>
      <c r="Z419" s="2" t="n">
        <v>43</v>
      </c>
      <c r="AA419" s="3" t="inlineStr">
        <is>
          <t>gluten-free, nut-free, high-protein, high-fiber</t>
        </is>
      </c>
      <c r="AB419" s="3" t="inlineStr">
        <is>
          <t>1. Halve peppers; roast 10 minutes.
2. Brown turkey with onion and spices; add beans and tomatoes; simmer 8 minutes.
3. Fill peppers, top with cheddar; bake at 400°F 18 minutes; add green onion.</t>
        </is>
      </c>
      <c r="AC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18% of this dish's available carbohydrate comes from ingredients with a published, measured GI; the rest uses conventional placeholders (see Ingredients sheet)</t>
        </is>
      </c>
      <c r="Z420" s="2" t="n">
        <v>18</v>
      </c>
      <c r="AA420" s="3" t="inlineStr">
        <is>
          <t>gluten-free, nut-free, low-carb, high-protein, no-cook</t>
        </is>
      </c>
      <c r="AB420" s="3" t="inlineStr">
        <is>
          <t>1. Mix chicken, yogurt, dill, lemon, celery, onion, salt.
2. Halve cucumbers lengthwise and scoop seeds.
3. Fill with chicken salad.</t>
        </is>
      </c>
      <c r="AC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0% of this dish's available carbohydrate comes from ingredients with a published, measured GI; the rest uses conventional placeholders (see Ingredients sheet)</t>
        </is>
      </c>
      <c r="Z421" s="2" t="n">
        <v>0</v>
      </c>
      <c r="AA421" s="3" t="inlineStr">
        <is>
          <t>gluten-free, dairy-free, low-carb, high-protein</t>
        </is>
      </c>
      <c r="AB421" s="3" t="inlineStr">
        <is>
          <t>1. Sauté onion and garlic; blend with chipotle, tomatoes, cocoa, almond butter, spices, broth.
2. Brown chicken in oil; pour sauce over; simmer covered 30 minutes.
3. Top with sesame seeds; serve with cauliflower rice.</t>
        </is>
      </c>
      <c r="AC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7% of this dish's available carbohydrate comes from ingredients with a published, measured GI; the rest uses conventional placeholders (see Ingredients sheet)</t>
        </is>
      </c>
      <c r="Z422" s="2" t="n">
        <v>7</v>
      </c>
      <c r="AA422" s="3" t="inlineStr">
        <is>
          <t>gluten-free, nut-free, high-protein</t>
        </is>
      </c>
      <c r="AB422" s="3" t="inlineStr">
        <is>
          <t>1. Roast halved squash 40 minutes.
2. Simmer cauliflower and garlic in milk; blend with parmesan and cream cheese.
3. Toss squash strands with sauce, cooked chicken and spinach; top with mozzarella; broil 3 minutes.</t>
        </is>
      </c>
      <c r="AC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53% of this dish's available carbohydrate comes from ingredients with a published, measured GI; the rest uses conventional placeholders (see Ingredients sheet)</t>
        </is>
      </c>
      <c r="Z423" s="2" t="n">
        <v>53</v>
      </c>
      <c r="AA423" s="3" t="inlineStr">
        <is>
          <t>nut-free, high-protein, high-fiber, make-ahead</t>
        </is>
      </c>
      <c r="AB423" s="3" t="inlineStr">
        <is>
          <t>1. Cook and shred chicken; sauté onion.
2. Layer torn tortillas, chicken, beans, corn, chiles, sauce and cheese in a dish.
3. Bake at 375°F 25 minutes; serve with yogurt.</t>
        </is>
      </c>
      <c r="AC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22% of this dish's available carbohydrate comes from ingredients with a published, measured GI; the rest uses conventional placeholders (see Ingredients sheet)</t>
        </is>
      </c>
      <c r="Z424" s="2" t="n">
        <v>22</v>
      </c>
      <c r="AA424" s="3" t="inlineStr">
        <is>
          <t>gluten-free, nut-free, low-carb, high-protein</t>
        </is>
      </c>
      <c r="AB424" s="3" t="inlineStr">
        <is>
          <t>1. Rub chicken with za'atar, lemon, oil, garlic, salt; roast with cauliflower at 425°F 25 minutes.
2. Mix yogurt with cucumber and mint.
3. Serve chicken with yogurt sauce.</t>
        </is>
      </c>
      <c r="AC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0% of this dish's available carbohydrate comes from ingredients with a published, measured GI; the rest uses conventional placeholders (see Ingredients sheet)</t>
        </is>
      </c>
      <c r="Z425" s="2" t="n">
        <v>0</v>
      </c>
      <c r="AA425" s="3" t="inlineStr">
        <is>
          <t>gluten-free, dairy-free, nut-free, low-carb, high-protein</t>
        </is>
      </c>
      <c r="AB425" s="3" t="inlineStr">
        <is>
          <t>1. Marinate chicken with olives, capers, garlic, oregano, vinegar, oil, bay 20 minutes.
2. Roast at 400°F with wine poured around 35 minutes.
3. Top with parsley; serve with green beans.</t>
        </is>
      </c>
      <c r="AC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79% of this dish's available carbohydrate comes from ingredients with a published, measured GI; the rest uses conventional placeholders (see Ingredients sheet)</t>
        </is>
      </c>
      <c r="Z426" s="2" t="n">
        <v>79</v>
      </c>
      <c r="AA426" s="3" t="inlineStr">
        <is>
          <t>high-protein</t>
        </is>
      </c>
      <c r="AB426" s="3" t="inlineStr">
        <is>
          <t>1. Mix turkey with grated squeezed zucchini, garlic, oregano, egg, almond flour, salt; form meatballs; bake at 400°F 18 minutes.
2. Mix yogurt, grated cucumber, dill.
3. Serve in pita halves with tomato and tzatziki.</t>
        </is>
      </c>
      <c r="AC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31</v>
      </c>
      <c r="U427" s="2" t="inlineStr">
        <is>
          <t>low</t>
        </is>
      </c>
      <c r="V427" s="5" t="n">
        <v>9.5</v>
      </c>
      <c r="W427" s="2" t="inlineStr">
        <is>
          <t>low</t>
        </is>
      </c>
      <c r="X427" s="3" t="inlineStr"/>
      <c r="Y427" s="3" t="inlineStr">
        <is>
          <t>63% of this dish's available carbohydrate comes from ingredients with a published, measured GI; the rest uses conventional placeholders (see Ingredients sheet)</t>
        </is>
      </c>
      <c r="Z427" s="2" t="n">
        <v>63</v>
      </c>
      <c r="AA427" s="3" t="inlineStr">
        <is>
          <t>gluten-free, dairy-free, nut-free, high-protein, high-fiber, make-ahead, freezer</t>
        </is>
      </c>
      <c r="AB427" s="3" t="inlineStr">
        <is>
          <t>1. Brown beef with onion and pepper in oil; drain fat; add garlic and spices.
2. Add tomatoes, beans, broth; simmer 45 minutes.
3. Serve with yogurt, cheddar and jalapeño.</t>
        </is>
      </c>
      <c r="AC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0% of this dish's available carbohydrate comes from ingredients with a published, measured GI; the rest uses conventional placeholders (see Ingredients sheet)</t>
        </is>
      </c>
      <c r="Z428" s="2" t="n">
        <v>0</v>
      </c>
      <c r="AA428" s="3" t="inlineStr">
        <is>
          <t>gluten-free, dairy-free, nut-free, low-carb, high-protein</t>
        </is>
      </c>
      <c r="AB428" s="3" t="inlineStr">
        <is>
          <t>1. Roast broccoli with a third of the oil at 425°F 18 minutes.
2. Season steak; grill 4–5 minutes per side; rest 5 minutes and slice against the grain.
3. Blend remaining oil, herbs, garlic, vinegar, oregano, pepper flakes; spoon over steak.</t>
        </is>
      </c>
      <c r="AC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9% of this dish's available carbohydrate comes from ingredients with a published, measured GI; the rest uses conventional placeholders (see Ingredients sheet)</t>
        </is>
      </c>
      <c r="Z429" s="2" t="n">
        <v>9</v>
      </c>
      <c r="AA429" s="3" t="inlineStr">
        <is>
          <t>gluten-free, dairy-free, nut-free, low-carb, high-protein, quick</t>
        </is>
      </c>
      <c r="AB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C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43% of this dish's available carbohydrate comes from ingredients with a published, measured GI; the rest uses conventional placeholders (see Ingredients sheet)</t>
        </is>
      </c>
      <c r="Z430" s="2" t="n">
        <v>43</v>
      </c>
      <c r="AA430" s="3" t="inlineStr">
        <is>
          <t>gluten-free, dairy-free, nut-free, low-carb, high-protein</t>
        </is>
      </c>
      <c r="AB430" s="3" t="inlineStr">
        <is>
          <t>1. Season pork; sear in oil; roast at 425°F 15 minutes; rest.
2. Sauté onion and apple slices with sage; add Dijon, vinegar, broth; reduce.
3. Slice pork; serve with apple-sage pan sauce and roasted sprouts.</t>
        </is>
      </c>
      <c r="AC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12% of this dish's available carbohydrate comes from ingredients with a published, measured GI; the rest uses conventional placeholders (see Ingredients sheet)</t>
        </is>
      </c>
      <c r="Z431" s="2" t="n">
        <v>12</v>
      </c>
      <c r="AA431" s="3" t="inlineStr">
        <is>
          <t>gluten-free, nut-free, low-carb, high-protein, quick</t>
        </is>
      </c>
      <c r="AB431" s="3" t="inlineStr">
        <is>
          <t>1. Brown beef with taco seasoning; drain.
2. Spoon into lettuce leaves.
3. Top with pico, avocado, cheddar, yogurt, jalapeño and lime.</t>
        </is>
      </c>
      <c r="AC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0% of this dish's available carbohydrate comes from ingredients with a published, measured GI; the rest uses conventional placeholders (see Ingredients sheet)</t>
        </is>
      </c>
      <c r="Z432" s="2" t="n">
        <v>0</v>
      </c>
      <c r="AA432" s="3" t="inlineStr">
        <is>
          <t>gluten-free, dairy-free, nut-free, low-carb, high-protein, one-pan</t>
        </is>
      </c>
      <c r="AB432" s="3" t="inlineStr">
        <is>
          <t>1. Season chops; sear in oil 4 minutes per side; rest.
2. Sauté onion and cabbage in the pan 8 minutes; add vinegar, broth and Dijon.
3. Serve chops over the cabbage.</t>
        </is>
      </c>
      <c r="AC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14% of this dish's available carbohydrate comes from ingredients with a published, measured GI; the rest uses conventional placeholders (see Ingredients sheet)</t>
        </is>
      </c>
      <c r="Z433" s="2" t="n">
        <v>14</v>
      </c>
      <c r="AA433" s="3" t="inlineStr">
        <is>
          <t>gluten-free, nut-free, low-carb, high-protein</t>
        </is>
      </c>
      <c r="AB433" s="3" t="inlineStr">
        <is>
          <t>1. Marinate beef cubes in oil, lemon, garlic, oregano, cumin 20 minutes.
2. Thread with vegetables; grill 10–12 minutes.
3. Serve with yogurt-mint sauce.</t>
        </is>
      </c>
      <c r="AC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60% of this dish's available carbohydrate comes from ingredients with a published, measured GI; the rest uses conventional placeholders (see Ingredients sheet)</t>
        </is>
      </c>
      <c r="Z434" s="2" t="n">
        <v>60</v>
      </c>
      <c r="AA434" s="3" t="inlineStr">
        <is>
          <t>dairy-free, nut-free, low-carb, high-protein, make-ahead</t>
        </is>
      </c>
      <c r="AB434" s="3" t="inlineStr">
        <is>
          <t>1. Pulse mushrooms, carrot, onion finely; sauté 5 minutes; cool.
2. Mix with beef, eggs, oats, garlic, Dijon, thyme, salt; shape a loaf.
3. Glaze with tomato paste and vinegar; bake at 375°F 55–60 minutes.</t>
        </is>
      </c>
      <c r="AC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0% of this dish's available carbohydrate comes from ingredients with a published, measured GI; the rest uses conventional placeholders (see Ingredients sheet)</t>
        </is>
      </c>
      <c r="Z435" s="2" t="n">
        <v>0</v>
      </c>
      <c r="AA435" s="3" t="inlineStr">
        <is>
          <t>gluten-free, nut-free, low-carb, high-protein</t>
        </is>
      </c>
      <c r="AB435" s="3" t="inlineStr">
        <is>
          <t>1. Brush portobellos with oil; grill 4 minutes per side.
2. Form bison patties; grill 5 minutes per side; top with cheddar.
3. Assemble burgers between mushroom caps with tomato, onion, arugula, Dijon.</t>
        </is>
      </c>
      <c r="AC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9% of this dish's available carbohydrate comes from ingredients with a published, measured GI; the rest uses conventional placeholders (see Ingredients sheet)</t>
        </is>
      </c>
      <c r="Z436" s="2" t="n">
        <v>9</v>
      </c>
      <c r="AA436" s="3" t="inlineStr">
        <is>
          <t>gluten-free, dairy-free, nut-free, low-carb, high-protein, quick</t>
        </is>
      </c>
      <c r="AB436" s="3" t="inlineStr">
        <is>
          <t>1. Toss pork strips with arrowroot and half the tamari; stir-fry in oil; remove.
2. Stir-fry snap peas, pepper, ginger, garlic 3 minutes.
3. Return pork with remaining tamari, vinegar, sesame oil; serve over cauliflower rice.</t>
        </is>
      </c>
      <c r="AC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56% of this dish's available carbohydrate comes from ingredients with a published, measured GI; the rest uses conventional placeholders (see Ingredients sheet)</t>
        </is>
      </c>
      <c r="Z437" s="2" t="n">
        <v>56</v>
      </c>
      <c r="AA437" s="3" t="inlineStr">
        <is>
          <t>gluten-free, dairy-free, nut-free, low-carb, high-protein, slow-cooker, make-ahead</t>
        </is>
      </c>
      <c r="AB437" s="3" t="inlineStr">
        <is>
          <t>1. Sear seasoned roast in oil on all sides.
2. Place in slow cooker with vegetables, garlic, broth, tomato paste, herbs.
3. Cook on low 8 hours; shred and serve with the vegetables and juices.</t>
        </is>
      </c>
      <c r="AC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20% of this dish's available carbohydrate comes from ingredients with a published, measured GI; the rest uses conventional placeholders (see Ingredients sheet)</t>
        </is>
      </c>
      <c r="Z438" s="2" t="n">
        <v>20</v>
      </c>
      <c r="AA438" s="3" t="inlineStr">
        <is>
          <t>gluten-free, nut-free, low-carb, high-protein</t>
        </is>
      </c>
      <c r="AB438" s="3" t="inlineStr">
        <is>
          <t>1. Roast cauliflower with half the oil and cumin at 425°F 22 minutes.
2. Season chops with garlic, lemon zest, salt; sear 3–4 minutes per side.
3. Mix yogurt, mint, lemon juice; serve alongside.</t>
        </is>
      </c>
      <c r="AC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0% of this dish's available carbohydrate comes from ingredients with a published, measured GI; the rest uses conventional placeholders (see Ingredients sheet)</t>
        </is>
      </c>
      <c r="Z439" s="2" t="n">
        <v>0</v>
      </c>
      <c r="AA439" s="3" t="inlineStr">
        <is>
          <t>gluten-free, dairy-free, nut-free, high-protein, high-fiber, make-ahead</t>
        </is>
      </c>
      <c r="AB439" s="3" t="inlineStr">
        <is>
          <t>1. Blanch cabbage leaves 3 minutes. Mix beef, cauliflower rice, sautéed onion, egg, garlic, paprika, salt.
2. Roll filling in leaves; place seam-down in a dish; pour over tomato sauce and tomatoes.
3. Cover and bake at 350°F 70 minutes; garnish dill.</t>
        </is>
      </c>
      <c r="AC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54% of this dish's available carbohydrate comes from ingredients with a published, measured GI; the rest uses conventional placeholders (see Ingredients sheet)</t>
        </is>
      </c>
      <c r="Z440" s="2" t="n">
        <v>54</v>
      </c>
      <c r="AA440" s="3" t="inlineStr">
        <is>
          <t>gluten-free, dairy-free, nut-free, high-protein, high-fiber, slow-cooker, meal-prep</t>
        </is>
      </c>
      <c r="AB440" s="3" t="inlineStr">
        <is>
          <t>1. Slow-cook pork with orange, lime, garlic, cumin, oregano, onion, broth, salt on low 4 hours.
2. Shred; crisp under the broiler 5 minutes.
3. Bowl with cauliflower rice, beans, pico, avocado, cilantro.</t>
        </is>
      </c>
      <c r="AC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24</v>
      </c>
      <c r="U441" s="2" t="inlineStr">
        <is>
          <t>low</t>
        </is>
      </c>
      <c r="V441" s="5" t="n">
        <v>1</v>
      </c>
      <c r="W441" s="2" t="inlineStr">
        <is>
          <t>low</t>
        </is>
      </c>
      <c r="X441" s="3" t="inlineStr">
        <is>
          <t>Negligible carbohydrate (&lt;5 g net/serving): GI has little practical meaning, glycemic load is what matters.</t>
        </is>
      </c>
      <c r="Y441" s="3" t="inlineStr">
        <is>
          <t>42% of this dish's available carbohydrate comes from ingredients with a published, measured GI; the rest uses conventional placeholders (see Ingredients sheet)</t>
        </is>
      </c>
      <c r="Z441" s="2" t="n">
        <v>42</v>
      </c>
      <c r="AA441" s="3" t="inlineStr">
        <is>
          <t>gluten-free, dairy-free, nut-free, low-carb, high-protein</t>
        </is>
      </c>
      <c r="AB441" s="3" t="inlineStr">
        <is>
          <t>1. Marinate thinly sliced beef in tamari, grated pear, garlic, ginger, sesame oil, sweetener 20 minutes.
2. Sear in a hot pan with avocado oil 2 minutes per batch.
3. Serve in lettuce with kimchi, green onion, sesame.</t>
        </is>
      </c>
      <c r="AC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22% of this dish's available carbohydrate comes from ingredients with a published, measured GI; the rest uses conventional placeholders (see Ingredients sheet)</t>
        </is>
      </c>
      <c r="Z442" s="2" t="n">
        <v>22</v>
      </c>
      <c r="AA442" s="3" t="inlineStr">
        <is>
          <t>gluten-free, nut-free, low-carb, high-protein</t>
        </is>
      </c>
      <c r="AB442" s="3" t="inlineStr">
        <is>
          <t>1. Brown pork with fennel seeds, seasoning and pepper flakes (homemade sausage).
2. Add peppers, onion, garlic; cook 6 minutes; add marinara.
3. Serve over sautéed zoodles with parmesan.</t>
        </is>
      </c>
      <c r="AC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41% of this dish's available carbohydrate comes from ingredients with a published, measured GI; the rest uses conventional placeholders (see Ingredients sheet)</t>
        </is>
      </c>
      <c r="Z443" s="2" t="n">
        <v>41</v>
      </c>
      <c r="AA443" s="3" t="inlineStr">
        <is>
          <t>gluten-free, nut-free, high-protein</t>
        </is>
      </c>
      <c r="AB443" s="3" t="inlineStr">
        <is>
          <t>1. Halve zucchini; scoop centers and chop.
2. Brown beef with onion, zucchini flesh, seasoning; add beans and salsa.
3. Fill boats, top with cheddar; bake at 400°F 20 minutes; serve with yogurt and cilantro.</t>
        </is>
      </c>
      <c r="AC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0% of this dish's available carbohydrate comes from ingredients with a published, measured GI; the rest uses conventional placeholders (see Ingredients sheet)</t>
        </is>
      </c>
      <c r="Z444" s="2" t="n">
        <v>0</v>
      </c>
      <c r="AA444" s="3" t="inlineStr">
        <is>
          <t>gluten-free, dairy-free, nut-free, low-carb, high-protein</t>
        </is>
      </c>
      <c r="AB444" s="3" t="inlineStr">
        <is>
          <t>1. Roast halved sprouts with half the oil at 425°F 20 minutes.
2. Season chops with rosemary and garlic; sear 4–5 minutes per side.
3. Toss sprouts with balsamic and Dijon; serve with chops.</t>
        </is>
      </c>
      <c r="AC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23</v>
      </c>
      <c r="U445" s="2" t="inlineStr">
        <is>
          <t>low</t>
        </is>
      </c>
      <c r="V445" s="5" t="n">
        <v>2.8</v>
      </c>
      <c r="W445" s="2" t="inlineStr">
        <is>
          <t>low</t>
        </is>
      </c>
      <c r="X445" s="3" t="inlineStr"/>
      <c r="Y445" s="3" t="inlineStr">
        <is>
          <t>31% of this dish's available carbohydrate comes from ingredients with a published, measured GI; the rest uses conventional placeholders (see Ingredients sheet)</t>
        </is>
      </c>
      <c r="Z445" s="2" t="n">
        <v>31</v>
      </c>
      <c r="AA445" s="3" t="inlineStr">
        <is>
          <t>gluten-free, nut-free, low-carb, high-protein, make-ahead</t>
        </is>
      </c>
      <c r="AB445" s="3" t="inlineStr">
        <is>
          <t>1. Brown lamb with onion, carrot, mushrooms, garlic; add tomato paste, broth, thyme, peas; simmer 10 minutes.
2. Steam cauliflower; mash with butter, milk, parmesan, salt.
3. Spread mash over filling; bake at 400°F 25 minutes.</t>
        </is>
      </c>
      <c r="AC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43</v>
      </c>
      <c r="U446" s="2" t="inlineStr">
        <is>
          <t>low</t>
        </is>
      </c>
      <c r="V446" s="5" t="n">
        <v>10.1</v>
      </c>
      <c r="W446" s="2" t="inlineStr">
        <is>
          <t>medium</t>
        </is>
      </c>
      <c r="X446" s="3" t="inlineStr"/>
      <c r="Y446" s="3" t="inlineStr">
        <is>
          <t>78% of this dish's available carbohydrate comes from ingredients with a published, measured GI; the rest uses conventional placeholders (see Ingredients sheet)</t>
        </is>
      </c>
      <c r="Z446" s="2" t="n">
        <v>78</v>
      </c>
      <c r="AA446" s="3" t="inlineStr">
        <is>
          <t>nut-free, high-protein</t>
        </is>
      </c>
      <c r="AB446" s="3" t="inlineStr">
        <is>
          <t>1. Sear beef strips in oil; remove. Sauté mushrooms, onion, garlic 8 minutes; add paprika, broth, Dijon.
2. Stir in yogurt off the heat; return beef.
3. Serve over al dente whole wheat pasta with parsley.</t>
        </is>
      </c>
      <c r="AC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9% of this dish's available carbohydrate comes from ingredients with a published, measured GI; the rest uses conventional placeholders (see Ingredients sheet)</t>
        </is>
      </c>
      <c r="Z447" s="2" t="n">
        <v>9</v>
      </c>
      <c r="AA447" s="3" t="inlineStr">
        <is>
          <t>gluten-free, nut-free, low-carb, high-protein</t>
        </is>
      </c>
      <c r="AB447" s="3" t="inlineStr">
        <is>
          <t>1. Slice pork into medallions; season; sear 3 minutes per side; remove.
2. Sauté mushrooms, shallot, garlic, thyme; add wine and broth; reduce; stir in yogurt off heat.
3. Return pork; serve with green beans.</t>
        </is>
      </c>
      <c r="AC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43% of this dish's available carbohydrate comes from ingredients with a published, measured GI; the rest uses conventional placeholders (see Ingredients sheet)</t>
        </is>
      </c>
      <c r="Z448" s="2" t="n">
        <v>43</v>
      </c>
      <c r="AA448" s="3" t="inlineStr">
        <is>
          <t>gluten-free, nut-free, high-protein, high-fiber</t>
        </is>
      </c>
      <c r="AB448" s="3" t="inlineStr">
        <is>
          <t>1. Season steak with chili powder, cumin, lime; grill and slice.
2. Sauté peppers and onion in oil until charred.
3. Bowl cauliflower rice, beans, steak, peppers, avocado, salsa, yogurt, cilantro.</t>
        </is>
      </c>
      <c r="AC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19% of this dish's available carbohydrate comes from ingredients with a published, measured GI; the rest uses conventional placeholders (see Ingredients sheet)</t>
        </is>
      </c>
      <c r="Z449" s="2" t="n">
        <v>19</v>
      </c>
      <c r="AA449" s="3" t="inlineStr">
        <is>
          <t>gluten-free, nut-free, low-carb, high-protein</t>
        </is>
      </c>
      <c r="AB449" s="3" t="inlineStr">
        <is>
          <t>1. Mix lamb, grated onion, herbs, garlic, spices, salt; shape onto skewers.
2. Grill 12 minutes, turning.
3. Serve with cucumber-tomato salad and lemon yogurt.</t>
        </is>
      </c>
      <c r="AC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0% of this dish's available carbohydrate comes from ingredients with a published, measured GI; the rest uses conventional placeholders (see Ingredients sheet)</t>
        </is>
      </c>
      <c r="Z450" s="2" t="n">
        <v>0</v>
      </c>
      <c r="AA450" s="3" t="inlineStr">
        <is>
          <t>gluten-free, dairy-free, nut-free, low-carb, high-protein, make-ahead</t>
        </is>
      </c>
      <c r="AB450" s="3" t="inlineStr">
        <is>
          <t>1. Sear steak in oil; remove. Sauté peppers, onion, garlic; add cumin, oregano, wine.
2. Add tomatoes, broth, bay, steak; simmer covered 2.5 hours until shreddable.
3. Shred, return to sauce with olives; serve over cauliflower rice.</t>
        </is>
      </c>
      <c r="AC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0% of this dish's available carbohydrate comes from ingredients with a published, measured GI; the rest uses conventional placeholders (see Ingredients sheet)</t>
        </is>
      </c>
      <c r="Z451" s="2" t="n">
        <v>0</v>
      </c>
      <c r="AA451" s="3" t="inlineStr">
        <is>
          <t>gluten-free, dairy-free, nut-free, low-carb, high-protein, quick</t>
        </is>
      </c>
      <c r="AB451" s="3" t="inlineStr">
        <is>
          <t>1. Blister green beans in avocado oil over high heat 5 minutes; remove.
2. Brown pork with garlic and ginger; add tamari, vinegar, chili crisp.
3. Return beans; toss with sesame oil and green onion.</t>
        </is>
      </c>
      <c r="AC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67% of this dish's available carbohydrate comes from ingredients with a published, measured GI; the rest uses conventional placeholders (see Ingredients sheet)</t>
        </is>
      </c>
      <c r="Z452" s="2" t="n">
        <v>67</v>
      </c>
      <c r="AA452" s="3" t="inlineStr">
        <is>
          <t>nut-free, high-protein</t>
        </is>
      </c>
      <c r="AB452" s="3" t="inlineStr">
        <is>
          <t>1. Mix beef with grated onion, a third of the parsley, garlic, cumin, paprika, salt; form kebabs; grill 10 minutes.
2. Toss bulgur with remaining parsley, tomato, cucumber, mint, lemon, oil.
3. Serve kebabs over tabbouleh with yogurt.</t>
        </is>
      </c>
      <c r="AC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0% of this dish's available carbohydrate comes from ingredients with a published, measured GI; the rest uses conventional placeholders (see Ingredients sheet)</t>
        </is>
      </c>
      <c r="Z453" s="2" t="n">
        <v>0</v>
      </c>
      <c r="AA453" s="3" t="inlineStr">
        <is>
          <t>gluten-free, nut-free, low-carb, high-protein, quick</t>
        </is>
      </c>
      <c r="AB453" s="3" t="inlineStr">
        <is>
          <t>1. Sear beef cubes in oil over high heat 2 minutes per side; remove.
2. Sauté zucchini 4 minutes; add butter and garlic 1 minute.
3. Return beef; toss with parsley and pepper flakes.</t>
        </is>
      </c>
      <c r="AC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16% of this dish's available carbohydrate comes from ingredients with a published, measured GI; the rest uses conventional placeholders (see Ingredients sheet)</t>
        </is>
      </c>
      <c r="Z454" s="2" t="n">
        <v>16</v>
      </c>
      <c r="AA454" s="3" t="inlineStr">
        <is>
          <t>gluten-free, nut-free, low-carb, high-protein</t>
        </is>
      </c>
      <c r="AB454" s="3" t="inlineStr">
        <is>
          <t>1. Marinate pork cubes in lemon, oil, garlic, oregano, salt 20 minutes; skewer; grill 10–12 minutes.
2. Toss tomato, cucumber, onion, olives, feta.
3. Serve with yogurt-dill sauce.</t>
        </is>
      </c>
      <c r="AC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6% of this dish's available carbohydrate comes from ingredients with a published, measured GI; the rest uses conventional placeholders (see Ingredients sheet)</t>
        </is>
      </c>
      <c r="Z455" s="2" t="n">
        <v>6</v>
      </c>
      <c r="AA455" s="3" t="inlineStr">
        <is>
          <t>gluten-free, nut-free, high-protein, high-fiber, make-ahead</t>
        </is>
      </c>
      <c r="AB455" s="3" t="inlineStr">
        <is>
          <t>1. Brown beef cubes in oil; sauté onion, carrot, celery, garlic; add wine, tomatoes, broth, rosemary.
2. Simmer covered 80 minutes; shred beef into sauce.
3. Roast squash; serve ragu over strands with parmesan.</t>
        </is>
      </c>
      <c r="AC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0% of this dish's available carbohydrate comes from ingredients with a published, measured GI; the rest uses conventional placeholders (see Ingredients sheet)</t>
        </is>
      </c>
      <c r="Z456" s="2" t="n">
        <v>0</v>
      </c>
      <c r="AA456" s="3" t="inlineStr">
        <is>
          <t>gluten-free, dairy-free, nut-free, low-carb, high-protein, quick, one-pan</t>
        </is>
      </c>
      <c r="AB456" s="3" t="inlineStr">
        <is>
          <t>1. Brown pork in oil with garlic and ginger.
2. Add slaw, tamari, vinegar; cook 5 minutes until wilted; push aside, scramble eggs.
3. Finish with sesame oil, green onion, sriracha.</t>
        </is>
      </c>
      <c r="AC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29</v>
      </c>
      <c r="U457" s="2" t="inlineStr">
        <is>
          <t>low</t>
        </is>
      </c>
      <c r="V457" s="5" t="n">
        <v>5.5</v>
      </c>
      <c r="W457" s="2" t="inlineStr">
        <is>
          <t>low</t>
        </is>
      </c>
      <c r="X457" s="3" t="inlineStr"/>
      <c r="Y457" s="3" t="inlineStr">
        <is>
          <t>48% of this dish's available carbohydrate comes from ingredients with a published, measured GI; the rest uses conventional placeholders (see Ingredients sheet)</t>
        </is>
      </c>
      <c r="Z457" s="2" t="n">
        <v>48</v>
      </c>
      <c r="AA457" s="3" t="inlineStr">
        <is>
          <t>nut-free, high-protein, high-fiber, make-ahead</t>
        </is>
      </c>
      <c r="AB457" s="3" t="inlineStr">
        <is>
          <t>1. Brown beef with onion and cumin; stir in beans and chiles.
2. Layer tortillas, beef, sauce and cheese in a dish.
3. Bake at 375°F 25 minutes; serve with yogurt and cilantro.</t>
        </is>
      </c>
      <c r="AC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0% of this dish's available carbohydrate comes from ingredients with a published, measured GI; the rest uses conventional placeholders (see Ingredients sheet)</t>
        </is>
      </c>
      <c r="Z458" s="2" t="n">
        <v>0</v>
      </c>
      <c r="AA458" s="3" t="inlineStr">
        <is>
          <t>gluten-free, dairy-free, low-carb, high-protein</t>
        </is>
      </c>
      <c r="AB458" s="3" t="inlineStr">
        <is>
          <t>1. Rub pork with Dijon, garlic, herbs, salt; press on almond flour.
2. Roast at 400°F 20 minutes (tenderloin) to 145°F; rest.
3. Serve with green beans tossed in oil.</t>
        </is>
      </c>
      <c r="AC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0% of this dish's available carbohydrate comes from ingredients with a published, measured GI; the rest uses conventional placeholders (see Ingredients sheet)</t>
        </is>
      </c>
      <c r="Z459" s="2" t="n">
        <v>0</v>
      </c>
      <c r="AA459" s="3" t="inlineStr">
        <is>
          <t>gluten-free, nut-free, low-carb, high-protein, slow-cooker</t>
        </is>
      </c>
      <c r="AB459" s="3" t="inlineStr">
        <is>
          <t>1. Blend chipotle, garlic, cumin, oregano, lime, vinegar, broth; pour over beef in slow cooker with bay leaves.
2. Cook on low 5 hours; shred.
3. Serve in lettuce with onion, cilantro, cotija.</t>
        </is>
      </c>
      <c r="AC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43</v>
      </c>
      <c r="U460" s="2" t="inlineStr">
        <is>
          <t>low</t>
        </is>
      </c>
      <c r="V460" s="5" t="n">
        <v>2.6</v>
      </c>
      <c r="W460" s="2" t="inlineStr">
        <is>
          <t>low</t>
        </is>
      </c>
      <c r="X460" s="3" t="inlineStr"/>
      <c r="Y460" s="3" t="inlineStr">
        <is>
          <t>66% of this dish's available carbohydrate comes from ingredients with a published, measured GI; the rest uses conventional placeholders (see Ingredients sheet)</t>
        </is>
      </c>
      <c r="Z460" s="2" t="n">
        <v>66</v>
      </c>
      <c r="AA460" s="3" t="inlineStr">
        <is>
          <t>gluten-free, dairy-free, nut-free, low-carb, high-protein</t>
        </is>
      </c>
      <c r="AB460" s="3" t="inlineStr">
        <is>
          <t>1. Rub chops with paprika and salt; grill 4–5 minutes per side.
2. Dice peach, onion, jalapeño; toss with cilantro and lime.
3. Serve chops with salsa over arugula.</t>
        </is>
      </c>
      <c r="AC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23% of this dish's available carbohydrate comes from ingredients with a published, measured GI; the rest uses conventional placeholders (see Ingredients sheet)</t>
        </is>
      </c>
      <c r="Z461" s="2" t="n">
        <v>23</v>
      </c>
      <c r="AA461" s="3" t="inlineStr">
        <is>
          <t>gluten-free, nut-free, low-carb, high-protein, make-ahead</t>
        </is>
      </c>
      <c r="AB461" s="3" t="inlineStr">
        <is>
          <t>1. Slice zucchini into planks; salt, drain 15 minutes, blot; grill briefly.
2. Brown beef with garlic and seasoning; add marinara. Mix ricotta, egg, spinach.
3. Layer; top with mozzarella and parmesan; bake at 375°F 40 minutes; rest 10.</t>
        </is>
      </c>
      <c r="AC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17% of this dish's available carbohydrate comes from ingredients with a published, measured GI; the rest uses conventional placeholders (see Ingredients sheet)</t>
        </is>
      </c>
      <c r="Z462" s="2" t="n">
        <v>17</v>
      </c>
      <c r="AA462" s="3" t="inlineStr">
        <is>
          <t>gluten-free, dairy-free, low-carb, high-protein</t>
        </is>
      </c>
      <c r="AB462" s="3" t="inlineStr">
        <is>
          <t>1. Mix pork, garlic, half the fish sauce, green onion, ginger; form meatballs; pan-fry in oil 10 minutes.
2. Toss cabbage, carrot, cucumber, herbs with lime, vinegar and remaining fish sauce.
3. Serve over cauliflower rice with peanuts.</t>
        </is>
      </c>
      <c r="AC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0% of this dish's available carbohydrate comes from ingredients with a published, measured GI; the rest uses conventional placeholders (see Ingredients sheet)</t>
        </is>
      </c>
      <c r="Z463" s="2" t="n">
        <v>0</v>
      </c>
      <c r="AA463" s="3" t="inlineStr">
        <is>
          <t>gluten-free, dairy-free, nut-free, low-carb, high-protein, quick</t>
        </is>
      </c>
      <c r="AB463" s="3" t="inlineStr">
        <is>
          <t>1. Season steak; sear 4 minutes per side; rest, slice.
2. Sauté peppers and onion in oil until charred.
3. Fill romaine leaves with steak, peppers, guacamole, salsa.</t>
        </is>
      </c>
      <c r="AC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0% of this dish's available carbohydrate comes from ingredients with a published, measured GI; the rest uses conventional placeholders (see Ingredients sheet)</t>
        </is>
      </c>
      <c r="Z464" s="2" t="n">
        <v>0</v>
      </c>
      <c r="AA464" s="3" t="inlineStr">
        <is>
          <t>gluten-free, dairy-free, nut-free, low-carb, high-protein, quick</t>
        </is>
      </c>
      <c r="AB464" s="3" t="inlineStr">
        <is>
          <t>1. Stir-fry pork strips in oil; remove.
2. Stir-fry shiitake, garlic, ginger; add bok choy 3 minutes.
3. Return pork with tamari, vinegar, sesame oil; top sesame.</t>
        </is>
      </c>
      <c r="AC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0% of this dish's available carbohydrate comes from ingredients with a published, measured GI; the rest uses conventional placeholders (see Ingredients sheet)</t>
        </is>
      </c>
      <c r="Z465" s="2" t="n">
        <v>0</v>
      </c>
      <c r="AA465" s="3" t="inlineStr">
        <is>
          <t>gluten-free, dairy-free, nut-free, low-carb, high-protein, make-ahead</t>
        </is>
      </c>
      <c r="AB465" s="3" t="inlineStr">
        <is>
          <t>1. Brown beef with onion, pepper, garlic; add spices.
2. Add tomatoes, paste, olives, capers; simmer 20 minutes.
3. Serve over cauliflower rice.</t>
        </is>
      </c>
      <c r="AC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30% of this dish's available carbohydrate comes from ingredients with a published, measured GI; the rest uses conventional placeholders (see Ingredients sheet)</t>
        </is>
      </c>
      <c r="Z466" s="2" t="n">
        <v>30</v>
      </c>
      <c r="AA466" s="3" t="inlineStr">
        <is>
          <t>gluten-free, dairy-free, nut-free, low-carb, high-protein, make-ahead</t>
        </is>
      </c>
      <c r="AB466" s="3" t="inlineStr">
        <is>
          <t>1. Rub lamb with garlic, rosemary, lemon zest, oil, Dijon, salt; rest 30 minutes.
2. Roast at 375°F 75–90 minutes to 135°F for medium-rare, adding vegetables around it after 30 minutes.
3. Rest 15 minutes; slice thin.</t>
        </is>
      </c>
      <c r="AC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18% of this dish's available carbohydrate comes from ingredients with a published, measured GI; the rest uses conventional placeholders (see Ingredients sheet)</t>
        </is>
      </c>
      <c r="Z467" s="2" t="n">
        <v>18</v>
      </c>
      <c r="AA467" s="3" t="inlineStr">
        <is>
          <t>gluten-free, nut-free, low-carb, high-protein, quick</t>
        </is>
      </c>
      <c r="AB467" s="3" t="inlineStr">
        <is>
          <t>1. Brown beef; season; drain.
2. Whisk yogurt, mayo, mustard and pickle juice into 'special sauce'.
3. Toss romaine, tomato, pickle, onion; top with beef, cheddar, sauce.</t>
        </is>
      </c>
      <c r="AC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0% of this dish's available carbohydrate comes from ingredients with a published, measured GI; the rest uses conventional placeholders (see Ingredients sheet)</t>
        </is>
      </c>
      <c r="Z468" s="2" t="n">
        <v>0</v>
      </c>
      <c r="AA468" s="3" t="inlineStr">
        <is>
          <t>gluten-free, dairy-free, nut-free, low-carb, high-protein, quick</t>
        </is>
      </c>
      <c r="AB468" s="3" t="inlineStr">
        <is>
          <t>1. Brown pork with ginger and garlic in oil.
2. Add cabbage, tamari, vinegar; cook 5 minutes.
3. Finish with sesame oil, green onion, chili crisp.</t>
        </is>
      </c>
      <c r="AC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0% of this dish's available carbohydrate comes from ingredients with a published, measured GI; the rest uses conventional placeholders (see Ingredients sheet)</t>
        </is>
      </c>
      <c r="Z469" s="2" t="n">
        <v>0</v>
      </c>
      <c r="AA469" s="3" t="inlineStr">
        <is>
          <t>gluten-free, nut-free, low-carb, high-protein, meal-prep</t>
        </is>
      </c>
      <c r="AB469" s="3" t="inlineStr">
        <is>
          <t>1. Halve peppers; roast 10 minutes.
2. Brown beef with onion, garlic, seasoning; add cauliflower rice and tomatoes.
3. Fill peppers, top with mozzarella; bake at 400°F 20 minutes.</t>
        </is>
      </c>
      <c r="AC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0% of this dish's available carbohydrate comes from ingredients with a published, measured GI; the rest uses conventional placeholders (see Ingredients sheet)</t>
        </is>
      </c>
      <c r="Z470" s="2" t="n">
        <v>0</v>
      </c>
      <c r="AA470" s="3" t="inlineStr">
        <is>
          <t>gluten-free, dairy-free, nut-free, low-carb, high-protein, make-ahead</t>
        </is>
      </c>
      <c r="AB470" s="3" t="inlineStr">
        <is>
          <t>1. Broil tomatillos, poblano, jalapeño, onion, garlic 10 minutes; blend with cilantro.
2. Brown pork cubes in oil; add sauce, cumin, broth; simmer covered 1.5–2 hours.
3. Finish with lime; serve with cauliflower rice.</t>
        </is>
      </c>
      <c r="AC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69% of this dish's available carbohydrate comes from ingredients with a published, measured GI; the rest uses conventional placeholders (see Ingredients sheet)</t>
        </is>
      </c>
      <c r="Z471" s="2" t="n">
        <v>69</v>
      </c>
      <c r="AA471" s="3" t="inlineStr">
        <is>
          <t>gluten-free, dairy-free, nut-free, high-protein, high-fiber</t>
        </is>
      </c>
      <c r="AB471" s="3" t="inlineStr">
        <is>
          <t>1. Roast diced sweet potato with half the oil at 425°F 18 minutes.
2. Sear steak 4 minutes per side; rest, slice. Sauté kale with garlic; fry eggs.
3. Bowl everything with avocado and hot sauce.</t>
        </is>
      </c>
      <c r="AC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14% of this dish's available carbohydrate comes from ingredients with a published, measured GI; the rest uses conventional placeholders (see Ingredients sheet)</t>
        </is>
      </c>
      <c r="Z472" s="2" t="n">
        <v>14</v>
      </c>
      <c r="AA472" s="3" t="inlineStr">
        <is>
          <t>gluten-free, low-carb, high-protein</t>
        </is>
      </c>
      <c r="AB472" s="3" t="inlineStr">
        <is>
          <t>1. Mix beef, feta, onion, garlic, oregano, mint, egg, almond flour, salt; form meatballs; bake at 400°F 18 minutes.
2. Shave zucchini; toss with tomato, lemon, oil.
3. Serve with yogurt.</t>
        </is>
      </c>
      <c r="AC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0% of this dish's available carbohydrate comes from ingredients with a published, measured GI; the rest uses conventional placeholders (see Ingredients sheet)</t>
        </is>
      </c>
      <c r="Z473" s="2" t="n">
        <v>0</v>
      </c>
      <c r="AA473" s="3" t="inlineStr">
        <is>
          <t>gluten-free, dairy-free, nut-free, low-carb, high-protein</t>
        </is>
      </c>
      <c r="AB473" s="3" t="inlineStr">
        <is>
          <t>1. Rub pork with Dijon, garlic, thyme; wrap in bacon.
2. Roast at 425°F 25 minutes to 145°F; broil 2 minutes to crisp.
3. Roast asparagus with oil alongside; slice pork.</t>
        </is>
      </c>
      <c r="AC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32% of this dish's available carbohydrate comes from ingredients with a published, measured GI; the rest uses conventional placeholders (see Ingredients sheet)</t>
        </is>
      </c>
      <c r="Z474" s="2" t="n">
        <v>32</v>
      </c>
      <c r="AA474" s="3" t="inlineStr">
        <is>
          <t>gluten-free, dairy-free, nut-free, low-carb, high-protein</t>
        </is>
      </c>
      <c r="AB474" s="3" t="inlineStr">
        <is>
          <t>1. Marinate sliced steak in spices, garlic, lemon, oil 15 minutes; sear in a hot pan 5 minutes.
2. Whisk tahini with lemon and water.
3. Plate beef with hummus, tomato, cucumber, onion, parsley, tahini sauce.</t>
        </is>
      </c>
      <c r="AC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10% of this dish's available carbohydrate comes from ingredients with a published, measured GI; the rest uses conventional placeholders (see Ingredients sheet)</t>
        </is>
      </c>
      <c r="Z475" s="2" t="n">
        <v>10</v>
      </c>
      <c r="AA475" s="3" t="inlineStr">
        <is>
          <t>gluten-free, nut-free, low-carb, high-protein</t>
        </is>
      </c>
      <c r="AB475" s="3" t="inlineStr">
        <is>
          <t>1. Rub ribs with spices, sweetener, salt; wrap in foil; bake at 300°F 2 hours.
2. Mix tomato paste, vinegar, Dijon into a glaze; brush on and broil 5 minutes.
3. Serve with yogurt slaw.</t>
        </is>
      </c>
      <c r="AC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11% of this dish's available carbohydrate comes from ingredients with a published, measured GI; the rest uses conventional placeholders (see Ingredients sheet)</t>
        </is>
      </c>
      <c r="Z476" s="2" t="n">
        <v>11</v>
      </c>
      <c r="AA476" s="3" t="inlineStr">
        <is>
          <t>gluten-free, nut-free, low-carb, high-protein</t>
        </is>
      </c>
      <c r="AB476" s="3" t="inlineStr">
        <is>
          <t>1. Mix beef, onion, parsley, garlic, spices, salt; shape kofta; grill 12 minutes.
2. Sauté cauliflower rice.
3. Bowl with tomato, cucumber, yogurt-tahini-lemon sauce.</t>
        </is>
      </c>
      <c r="AC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0% of this dish's available carbohydrate comes from ingredients with a published, measured GI; the rest uses conventional placeholders (see Ingredients sheet)</t>
        </is>
      </c>
      <c r="Z477" s="2" t="n">
        <v>0</v>
      </c>
      <c r="AA477" s="3" t="inlineStr">
        <is>
          <t>gluten-free, dairy-free, nut-free, low-carb, high-protein</t>
        </is>
      </c>
      <c r="AB477" s="3" t="inlineStr">
        <is>
          <t>1. Roast cauliflower with a third of the oil at 425°F 22 minutes.
2. Sear seasoned pork; roast 15 minutes; rest, slice.
3. Blend remaining oil, herbs, garlic, vinegar, oregano, pepper flakes; spoon over.</t>
        </is>
      </c>
      <c r="AC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24</v>
      </c>
      <c r="U478" s="2" t="inlineStr">
        <is>
          <t>low</t>
        </is>
      </c>
      <c r="V478" s="5" t="n">
        <v>2.9</v>
      </c>
      <c r="W478" s="2" t="inlineStr">
        <is>
          <t>low</t>
        </is>
      </c>
      <c r="X478" s="3" t="inlineStr"/>
      <c r="Y478" s="3" t="inlineStr">
        <is>
          <t>32% of this dish's available carbohydrate comes from ingredients with a published, measured GI; the rest uses conventional placeholders (see Ingredients sheet)</t>
        </is>
      </c>
      <c r="Z478" s="2" t="n">
        <v>32</v>
      </c>
      <c r="AA478" s="3" t="inlineStr">
        <is>
          <t>gluten-free, nut-free, low-carb, high-protein, one-pan</t>
        </is>
      </c>
      <c r="AB478" s="3" t="inlineStr">
        <is>
          <t>1. Brown beef with onion, carrot, garlic; add tomato paste, broth, thyme, peas; simmer 8 minutes.
2. Steam and mash cauliflower; spread over the skillet.
3. Top with cheddar; broil 4 minutes.</t>
        </is>
      </c>
      <c r="AC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73% of this dish's available carbohydrate comes from ingredients with a published, measured GI; the rest uses conventional placeholders (see Ingredients sheet)</t>
        </is>
      </c>
      <c r="Z479" s="2" t="n">
        <v>73</v>
      </c>
      <c r="AA479" s="3" t="inlineStr">
        <is>
          <t>gluten-free, dairy-free, nut-free, high-protein, high-fiber</t>
        </is>
      </c>
      <c r="AB479" s="3" t="inlineStr">
        <is>
          <t>1. Season chops; sear 4–5 minutes per side; rest.
2. Sauté garlic and kale in the pan; add beans and broth; simmer 5 minutes.
3. Finish with lemon and pepper flakes; serve with chops.</t>
        </is>
      </c>
      <c r="AC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0% of this dish's available carbohydrate comes from ingredients with a published, measured GI; the rest uses conventional placeholders (see Ingredients sheet)</t>
        </is>
      </c>
      <c r="Z480" s="2" t="n">
        <v>0</v>
      </c>
      <c r="AA480" s="3" t="inlineStr">
        <is>
          <t>gluten-free, dairy-free, low-carb, high-protein</t>
        </is>
      </c>
      <c r="AB480" s="3" t="inlineStr">
        <is>
          <t>1. Marinate steak strips in tamari, garlic, ginger, curry powder, coconut milk 20 minutes; skewer; grill 3 minutes per side.
2. Whisk peanut butter, lime, sriracha, warm water.
3. Toss cucumber and onion with rice vinegar; serve with satay and sauce.</t>
        </is>
      </c>
      <c r="AC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18% of this dish's available carbohydrate comes from ingredients with a published, measured GI; the rest uses conventional placeholders (see Ingredients sheet)</t>
        </is>
      </c>
      <c r="Z481" s="2" t="n">
        <v>18</v>
      </c>
      <c r="AA481" s="3" t="inlineStr">
        <is>
          <t>gluten-free, nut-free, low-carb, high-protein</t>
        </is>
      </c>
      <c r="AB481" s="3" t="inlineStr">
        <is>
          <t>1. Brush caps with oil; roast 8 minutes.
2. Brown beef with onion, garlic, seasoning; add spinach and marinara.
3. Fill caps; top with cheeses; bake at 400°F 12 minutes.</t>
        </is>
      </c>
      <c r="AC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28% of this dish's available carbohydrate comes from ingredients with a published, measured GI; the rest uses conventional placeholders (see Ingredients sheet)</t>
        </is>
      </c>
      <c r="Z482" s="2" t="n">
        <v>28</v>
      </c>
      <c r="AA482" s="3" t="inlineStr">
        <is>
          <t>gluten-free, dairy-free, low-carb, high-protein, quick</t>
        </is>
      </c>
      <c r="AB482" s="3" t="inlineStr">
        <is>
          <t>1. Brown pork with garlic, ginger, half the tamari.
2. Whisk peanut butter, remaining tamari, lime, sriracha, water.
3. Fill lettuce with pork, carrot, cucumber, cilantro; drizzle sauce; top with peanuts.</t>
        </is>
      </c>
      <c r="AC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17% of this dish's available carbohydrate comes from ingredients with a published, measured GI; the rest uses conventional placeholders (see Ingredients sheet)</t>
        </is>
      </c>
      <c r="Z483" s="2" t="n">
        <v>17</v>
      </c>
      <c r="AA483" s="3" t="inlineStr">
        <is>
          <t>gluten-free, dairy-free, nut-free, low-carb, high-protein, quick</t>
        </is>
      </c>
      <c r="AB483" s="3" t="inlineStr">
        <is>
          <t>1. Brown beef in oil with garlic and ginger.
2. Add cabbage and carrot; stir-fry 5 minutes.
3. Add tamari, vinegar, sesame oil, green onion.</t>
        </is>
      </c>
      <c r="AC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16% of this dish's available carbohydrate comes from ingredients with a published, measured GI; the rest uses conventional placeholders (see Ingredients sheet)</t>
        </is>
      </c>
      <c r="Z484" s="2" t="n">
        <v>16</v>
      </c>
      <c r="AA484" s="3" t="inlineStr">
        <is>
          <t>gluten-free, nut-free, low-carb, high-protein, make-ahead</t>
        </is>
      </c>
      <c r="AB484" s="3" t="inlineStr">
        <is>
          <t>1. Slice eggplant; brush with oil; roast at 425°F 20 minutes.
2. Brown lamb with onion, garlic; add tomatoes, cinnamon, oregano; simmer 15 minutes.
3. Layer eggplant and lamb; top with yogurt whisked with eggs, parmesan, nutmeg; bake at 375°F 35 minutes.</t>
        </is>
      </c>
      <c r="AC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0% of this dish's available carbohydrate comes from ingredients with a published, measured GI; the rest uses conventional placeholders (see Ingredients sheet)</t>
        </is>
      </c>
      <c r="Z485" s="2" t="n">
        <v>0</v>
      </c>
      <c r="AA485" s="3" t="inlineStr">
        <is>
          <t>gluten-free, dairy-free, nut-free, low-carb, high-protein</t>
        </is>
      </c>
      <c r="AB485" s="3" t="inlineStr">
        <is>
          <t>1. Sauté bacon, onion, garlic; add collards, broth, vinegar; simmer covered 20 minutes.
2. Rub chops with Cajun seasoning; sear 4–5 minutes per side.
3. Serve chops over greens.</t>
        </is>
      </c>
      <c r="AC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65% of this dish's available carbohydrate comes from ingredients with a published, measured GI; the rest uses conventional placeholders (see Ingredients sheet)</t>
        </is>
      </c>
      <c r="Z486" s="2" t="n">
        <v>65</v>
      </c>
      <c r="AA486" s="3" t="inlineStr">
        <is>
          <t>gluten-free, dairy-free, nut-free, high-protein, one-pan</t>
        </is>
      </c>
      <c r="AB486" s="3" t="inlineStr">
        <is>
          <t>1. Sauté diced sweet potato in oil covered 8 minutes.
2. Add beef, pepper, onion, garlic, spices; cook 8 minutes.
3. Stir in kale; top with avocado.</t>
        </is>
      </c>
      <c r="AC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12% of this dish's available carbohydrate comes from ingredients with a published, measured GI; the rest uses conventional placeholders (see Ingredients sheet)</t>
        </is>
      </c>
      <c r="Z487" s="2" t="n">
        <v>12</v>
      </c>
      <c r="AA487" s="3" t="inlineStr">
        <is>
          <t>gluten-free, nut-free, low-carb, high-protein</t>
        </is>
      </c>
      <c r="AB487" s="3" t="inlineStr">
        <is>
          <t>1. Sear seasoned chops; remove.
2. Sauté shallot and garlic; add broth, Dijon, thyme; reduce; stir in yogurt off heat.
3. Return chops to coat; serve with steamed broccoli.</t>
        </is>
      </c>
      <c r="AC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0% of this dish's available carbohydrate comes from ingredients with a published, measured GI; the rest uses conventional placeholders (see Ingredients sheet)</t>
        </is>
      </c>
      <c r="Z488" s="2" t="n">
        <v>0</v>
      </c>
      <c r="AA488" s="3" t="inlineStr">
        <is>
          <t>gluten-free, nut-free, low-carb, high-protein, one-pan</t>
        </is>
      </c>
      <c r="AB488" s="3" t="inlineStr">
        <is>
          <t>1. Brown beef with onion and garlic.
2. Add zucchini, tomatoes, oregano; simmer 10 minutes.
3. Top with feta and parsley.</t>
        </is>
      </c>
      <c r="AC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22% of this dish's available carbohydrate comes from ingredients with a published, measured GI; the rest uses conventional placeholders (see Ingredients sheet)</t>
        </is>
      </c>
      <c r="Z489" s="2" t="n">
        <v>22</v>
      </c>
      <c r="AA489" s="3" t="inlineStr">
        <is>
          <t>gluten-free, dairy-free, nut-free, low-carb, high-protein</t>
        </is>
      </c>
      <c r="AB489" s="3" t="inlineStr">
        <is>
          <t>1. Marinate pork slices in tamari, garlic, fish sauce; sear in oil.
2. Quick-pickle shredded carrot and daikon in rice vinegar 15 minutes.
3. Bowl cauliflower rice, pork, pickles, cucumber, jalapeño, cilantro, sriracha mayo.</t>
        </is>
      </c>
      <c r="AC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64% of this dish's available carbohydrate comes from ingredients with a published, measured GI; the rest uses conventional placeholders (see Ingredients sheet)</t>
        </is>
      </c>
      <c r="Z490" s="2" t="n">
        <v>64</v>
      </c>
      <c r="AA490" s="3" t="inlineStr">
        <is>
          <t>gluten-free, nut-free, high-protein, high-fiber, make-ahead</t>
        </is>
      </c>
      <c r="AB490" s="3" t="inlineStr">
        <is>
          <t>1. Brown beef with onion, garlic, cumin.
2. Add salsa verde, chiles, beans, broth; simmer 30 minutes.
3. Serve with cilantro and yogurt.</t>
        </is>
      </c>
      <c r="AC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14% of this dish's available carbohydrate comes from ingredients with a published, measured GI; the rest uses conventional placeholders (see Ingredients sheet)</t>
        </is>
      </c>
      <c r="Z491" s="2" t="n">
        <v>14</v>
      </c>
      <c r="AA491" s="3" t="inlineStr">
        <is>
          <t>gluten-free, low-carb, high-protein</t>
        </is>
      </c>
      <c r="AB491" s="3" t="inlineStr">
        <is>
          <t>1. Dip cutlets in egg then almond flour-parmesan-paprika.
2. Pan-fry in oil 3–4 minutes per side.
3. Toss cucumber with yogurt, dill, vinegar; serve with lemon.</t>
        </is>
      </c>
      <c r="AC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0% of this dish's available carbohydrate comes from ingredients with a published, measured GI; the rest uses conventional placeholders (see Ingredients sheet)</t>
        </is>
      </c>
      <c r="Z492" s="2" t="n">
        <v>0</v>
      </c>
      <c r="AA492" s="3" t="inlineStr">
        <is>
          <t>gluten-free, dairy-free, nut-free, low-carb, high-protein</t>
        </is>
      </c>
      <c r="AB492" s="3" t="inlineStr">
        <is>
          <t>1. Roast vegetables with half the oil, garlic, rosemary at 425°F 20 minutes.
2. Sear steak 4 minutes per side; rest, slice.
3. Drizzle vegetables with balsamic; serve.</t>
        </is>
      </c>
      <c r="AC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12% of this dish's available carbohydrate comes from ingredients with a published, measured GI; the rest uses conventional placeholders (see Ingredients sheet)</t>
        </is>
      </c>
      <c r="Z493" s="2" t="n">
        <v>12</v>
      </c>
      <c r="AA493" s="3" t="inlineStr">
        <is>
          <t>gluten-free, nut-free, low-carb, high-protein, make-ahead</t>
        </is>
      </c>
      <c r="AB493" s="3" t="inlineStr">
        <is>
          <t>1. Brown lamb cubes; remove. Sauté onion, garlic, ginger, spices.
2. Add tomatoes, yogurt, lamb; simmer covered 60 minutes.
3. Stir in spinach; garnish cilantro; serve with cauliflower rice.</t>
        </is>
      </c>
      <c r="AC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4% of this dish's available carbohydrate comes from ingredients with a published, measured GI; the rest uses conventional placeholders (see Ingredients sheet)</t>
        </is>
      </c>
      <c r="Z494" s="2" t="n">
        <v>4</v>
      </c>
      <c r="AA494" s="3" t="inlineStr">
        <is>
          <t>nut-free, low-carb, high-protein, high-fiber</t>
        </is>
      </c>
      <c r="AB494" s="3" t="inlineStr">
        <is>
          <t>1. Sauté pork strips with spices in oil; remove.
2. Sauté peppers and onion until charred; return pork; add lime.
3. Serve in tortillas with avocado and yogurt.</t>
        </is>
      </c>
      <c r="AC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28% of this dish's available carbohydrate comes from ingredients with a published, measured GI; the rest uses conventional placeholders (see Ingredients sheet)</t>
        </is>
      </c>
      <c r="Z495" s="2" t="n">
        <v>28</v>
      </c>
      <c r="AA495" s="3" t="inlineStr">
        <is>
          <t>gluten-free, dairy-free, nut-free, low-carb, high-protein, slow-cooker</t>
        </is>
      </c>
      <c r="AB495" s="3" t="inlineStr">
        <is>
          <t>1. Sear beef cubes in oil.
2. Add to slow cooker with all ingredients.
3. Cook on low 7 hours; serve over cauliflower mash.</t>
        </is>
      </c>
      <c r="AC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19% of this dish's available carbohydrate comes from ingredients with a published, measured GI; the rest uses conventional placeholders (see Ingredients sheet)</t>
        </is>
      </c>
      <c r="Z496" s="2" t="n">
        <v>19</v>
      </c>
      <c r="AA496" s="3" t="inlineStr">
        <is>
          <t>gluten-free, high-protein</t>
        </is>
      </c>
      <c r="AB496" s="3" t="inlineStr">
        <is>
          <t>1. Roast halved squash 40 minutes.
2. Mix pork, egg, parmesan, almond flour, garlic, parsley, salt; form meatballs; brown in oil; simmer in marinara 15 minutes.
3. Serve over squash strands.</t>
        </is>
      </c>
      <c r="AC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0% of this dish's available carbohydrate comes from ingredients with a published, measured GI; the rest uses conventional placeholders (see Ingredients sheet)</t>
        </is>
      </c>
      <c r="Z497" s="2" t="n">
        <v>0</v>
      </c>
      <c r="AA497" s="3" t="inlineStr">
        <is>
          <t>gluten-free, low-carb, high-protein</t>
        </is>
      </c>
      <c r="AB497" s="3" t="inlineStr">
        <is>
          <t>1. Sear steak 4 minutes per side; rest, slice.
2. Toss greens, tomato, onion with oil and balsamic.
3. Top with steak, blue cheese, walnuts.</t>
        </is>
      </c>
      <c r="AC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0% of this dish's available carbohydrate comes from ingredients with a published, measured GI; the rest uses conventional placeholders (see Ingredients sheet)</t>
        </is>
      </c>
      <c r="Z498" s="2" t="n">
        <v>0</v>
      </c>
      <c r="AA498" s="3" t="inlineStr">
        <is>
          <t>dairy-free, nut-free, low-carb, high-protein, high-fiber</t>
        </is>
      </c>
      <c r="AB498" s="3" t="inlineStr">
        <is>
          <t>1. Simmer broth with garlic, ginger, tamari, mushrooms 10 minutes; add bok choy.
2. Sear sliced pork 2 minutes per side.
3. Whisk miso into broth; assemble with rinsed shirataki, pork, halved eggs, green onion, sesame oil, nori.</t>
        </is>
      </c>
      <c r="AC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0% of this dish's available carbohydrate comes from ingredients with a published, measured GI; the rest uses conventional placeholders (see Ingredients sheet)</t>
        </is>
      </c>
      <c r="Z499" s="2" t="n">
        <v>0</v>
      </c>
      <c r="AA499" s="3" t="inlineStr">
        <is>
          <t>gluten-free, nut-free, low-carb, high-protein</t>
        </is>
      </c>
      <c r="AB499" s="3" t="inlineStr">
        <is>
          <t>1. Halve peppers; roast 10 minutes.
2. Brown beef with onion, garlic, spices; add tomatoes, olives, chopped egg.
3. Fill peppers; top with cotija; bake at 400°F 20 minutes.</t>
        </is>
      </c>
      <c r="AC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0% of this dish's available carbohydrate comes from ingredients with a published, measured GI; the rest uses conventional placeholders (see Ingredients sheet)</t>
        </is>
      </c>
      <c r="Z500" s="2" t="n">
        <v>0</v>
      </c>
      <c r="AA500" s="3" t="inlineStr">
        <is>
          <t>gluten-free, dairy-free, low-carb, high-protein, quick</t>
        </is>
      </c>
      <c r="AB500" s="3" t="inlineStr">
        <is>
          <t>1. Stir-fry pork strips in oil; remove.
2. Stir-fry green beans with garlic, ginger 5 minutes.
3. Return pork with tamari, vinegar, sesame oil; toss with toasted almonds.</t>
        </is>
      </c>
      <c r="AC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13% of this dish's available carbohydrate comes from ingredients with a published, measured GI; the rest uses conventional placeholders (see Ingredients sheet)</t>
        </is>
      </c>
      <c r="Z501" s="2" t="n">
        <v>13</v>
      </c>
      <c r="AA501" s="3" t="inlineStr">
        <is>
          <t>gluten-free, nut-free, low-carb, high-protein</t>
        </is>
      </c>
      <c r="AB501" s="3" t="inlineStr">
        <is>
          <t>1. Mix beef with grated onion, garlic, oregano, cumin, salt; press into a thin sheet and bake at 425°F 15 minutes; slice into strips.
2. Sauté cauliflower rice.
3. Bowl with tomato, cucumber, onion, feta, yogurt-dill sauce.</t>
        </is>
      </c>
      <c r="AC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30% of this dish's available carbohydrate comes from ingredients with a published, measured GI; the rest uses conventional placeholders (see Ingredients sheet)</t>
        </is>
      </c>
      <c r="Z502" s="2" t="n">
        <v>30</v>
      </c>
      <c r="AA502" s="3" t="inlineStr">
        <is>
          <t>gluten-free, dairy-free, nut-free, low-carb, high-protein, one-pan</t>
        </is>
      </c>
      <c r="AB502" s="3" t="inlineStr">
        <is>
          <t>1. Toss fennel and onion with half the oil; roast at 425°F 15 minutes.
2. Add seasoned pork and orange slices; roast 15 minutes more.
3. Rest and slice; spoon pan juices over.</t>
        </is>
      </c>
      <c r="AC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0% of this dish's available carbohydrate comes from ingredients with a published, measured GI; the rest uses conventional placeholders (see Ingredients sheet)</t>
        </is>
      </c>
      <c r="Z503" s="2" t="n">
        <v>0</v>
      </c>
      <c r="AA503" s="3" t="inlineStr">
        <is>
          <t>gluten-free, dairy-free, nut-free, low-carb, high-protein, quick</t>
        </is>
      </c>
      <c r="AB503" s="3" t="inlineStr">
        <is>
          <t>1. Brown beef with garlic and ginger; remove.
2. Stir-fry broccoli and cauliflower rice 5 minutes; scramble eggs in.
3. Return beef with tamari, sesame oil, green onion.</t>
        </is>
      </c>
      <c r="AC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23% of this dish's available carbohydrate comes from ingredients with a published, measured GI; the rest uses conventional placeholders (see Ingredients sheet)</t>
        </is>
      </c>
      <c r="Z504" s="2" t="n">
        <v>23</v>
      </c>
      <c r="AA504" s="3" t="inlineStr">
        <is>
          <t>gluten-free, nut-free, low-carb, high-protein</t>
        </is>
      </c>
      <c r="AB504" s="3" t="inlineStr">
        <is>
          <t>1. Mix lamb, garlic, oregano, mint, salt; form patties; grill 5 minutes per side.
2. Mix yogurt, grated cucumber, dill.
3. Serve in lettuce with feta, tomato, onion, tzatziki.</t>
        </is>
      </c>
      <c r="AC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0% of this dish's available carbohydrate comes from ingredients with a published, measured GI; the rest uses conventional placeholders (see Ingredients sheet)</t>
        </is>
      </c>
      <c r="Z505" s="2" t="n">
        <v>0</v>
      </c>
      <c r="AA505" s="3" t="inlineStr">
        <is>
          <t>gluten-free, dairy-free, nut-free, low-carb, high-protein, one-pan</t>
        </is>
      </c>
      <c r="AB505" s="3" t="inlineStr">
        <is>
          <t>1. Toss sprouts and onion with oil; spread on a pan.
2. Rub pork with Dijon, garlic, thyme; add to pan.
3. Roast at 425°F 22 minutes; drizzle vinegar over sprouts.</t>
        </is>
      </c>
      <c r="AC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0% of this dish's available carbohydrate comes from ingredients with a published, measured GI; the rest uses conventional placeholders (see Ingredients sheet)</t>
        </is>
      </c>
      <c r="Z506" s="2" t="n">
        <v>0</v>
      </c>
      <c r="AA506" s="3" t="inlineStr">
        <is>
          <t>pescatarian, gluten-free, dairy-free, nut-free, low-carb, high-protein, omega-3, one-pan</t>
        </is>
      </c>
      <c r="AB506" s="3" t="inlineStr">
        <is>
          <t>1. Place salmon and asparagus on a sheet pan; rub with oil, garlic, salt, pepper; top with lemon slices.
2. Bake at 400°F 12–15 minutes.
3. Finish with dill and lemon juice.</t>
        </is>
      </c>
      <c r="AC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0% of this dish's available carbohydrate comes from ingredients with a published, measured GI; the rest uses conventional placeholders (see Ingredients sheet)</t>
        </is>
      </c>
      <c r="Z507" s="2" t="n">
        <v>0</v>
      </c>
      <c r="AA507" s="3" t="inlineStr">
        <is>
          <t>pescatarian, gluten-free, nut-free, low-carb, high-protein, quick</t>
        </is>
      </c>
      <c r="AB507" s="3" t="inlineStr">
        <is>
          <t>1. Sauté garlic in oil and butter 30 seconds; add shrimp, cook 2 minutes per side; remove.
2. Add wine and lemon juice; reduce 1 minute; add zoodles and toss 2 minutes.
3. Return shrimp; top with parsley, parmesan, pepper flakes.</t>
        </is>
      </c>
      <c r="AC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28</v>
      </c>
      <c r="U508" s="2" t="inlineStr">
        <is>
          <t>low</t>
        </is>
      </c>
      <c r="V508" s="5" t="n">
        <v>3</v>
      </c>
      <c r="W508" s="2" t="inlineStr">
        <is>
          <t>low</t>
        </is>
      </c>
      <c r="X508" s="3" t="inlineStr"/>
      <c r="Y508" s="3" t="inlineStr">
        <is>
          <t>47% of this dish's available carbohydrate comes from ingredients with a published, measured GI; the rest uses conventional placeholders (see Ingredients sheet)</t>
        </is>
      </c>
      <c r="Z508" s="2" t="n">
        <v>47</v>
      </c>
      <c r="AA508" s="3" t="inlineStr">
        <is>
          <t>pescatarian, gluten-free, dairy-free, nut-free, low-carb, high-protein</t>
        </is>
      </c>
      <c r="AB508" s="3" t="inlineStr">
        <is>
          <t>1. Rub cod with spices and salt; sear in oil 3–4 minutes per side.
2. Dice mango, onion, jalapeño; toss with cilantro and lime.
3. Serve fish over cauliflower rice with salsa.</t>
        </is>
      </c>
      <c r="AC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0% of this dish's available carbohydrate comes from ingredients with a published, measured GI; the rest uses conventional placeholders (see Ingredients sheet)</t>
        </is>
      </c>
      <c r="Z509" s="2" t="n">
        <v>0</v>
      </c>
      <c r="AA509" s="3" t="inlineStr">
        <is>
          <t>pescatarian, gluten-free, dairy-free, nut-free, low-carb, high-protein, high-fiber</t>
        </is>
      </c>
      <c r="AB509" s="3" t="inlineStr">
        <is>
          <t>1. Cube tuna; toss with tamari, sesame oil, vinegar, green onion.
2. Steam cauliflower rice 4 minutes; cool.
3. Bowl with avocado, cucumber, edamame, seaweed, tuna; top sesame.</t>
        </is>
      </c>
      <c r="AC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0% of this dish's available carbohydrate comes from ingredients with a published, measured GI; the rest uses conventional placeholders (see Ingredients sheet)</t>
        </is>
      </c>
      <c r="Z510" s="2" t="n">
        <v>0</v>
      </c>
      <c r="AA510" s="3" t="inlineStr">
        <is>
          <t>pescatarian, gluten-free, nut-free, low-carb, high-protein, quick</t>
        </is>
      </c>
      <c r="AB510" s="3" t="inlineStr">
        <is>
          <t>1. Sauté asparagus in oil 4 minutes; remove.
2. Melt butter with garlic; add shrimp, cook 3 minutes.
3. Return asparagus; finish with lemon, parsley, pepper flakes.</t>
        </is>
      </c>
      <c r="AC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10% of this dish's available carbohydrate comes from ingredients with a published, measured GI; the rest uses conventional placeholders (see Ingredients sheet)</t>
        </is>
      </c>
      <c r="Z511" s="2" t="n">
        <v>10</v>
      </c>
      <c r="AA511" s="3" t="inlineStr">
        <is>
          <t>pescatarian, gluten-free, low-carb, high-protein, omega-3</t>
        </is>
      </c>
      <c r="AB511" s="3" t="inlineStr">
        <is>
          <t>1. Pulse salmon; mix with egg, almond flour, Dijon, green onion, dill, salt; form 4 patties.
2. Pan-fry in oil 4 minutes per side.
3. Mash avocado with yogurt and lime; toss with slaw; serve with burgers.</t>
        </is>
      </c>
      <c r="AC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82% of this dish's available carbohydrate comes from ingredients with a published, measured GI; the rest uses conventional placeholders (see Ingredients sheet)</t>
        </is>
      </c>
      <c r="Z512" s="2" t="n">
        <v>82</v>
      </c>
      <c r="AA512" s="3" t="inlineStr">
        <is>
          <t>pescatarian, gluten-free, nut-free, high-protein, high-fiber</t>
        </is>
      </c>
      <c r="AB512" s="3" t="inlineStr">
        <is>
          <t>1. Season fish with chili powder, cumin, salt; sear in oil 3–4 minutes per side; flake.
2. Toss cabbage with yogurt, mayo, lime, cilantro, jalapeño.
3. Fill warm tortillas with fish, slaw, avocado.</t>
        </is>
      </c>
      <c r="AC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0% of this dish's available carbohydrate comes from ingredients with a published, measured GI; the rest uses conventional placeholders (see Ingredients sheet)</t>
        </is>
      </c>
      <c r="Z513" s="2" t="n">
        <v>0</v>
      </c>
      <c r="AA513" s="3" t="inlineStr">
        <is>
          <t>pescatarian, dairy-free, nut-free, low-carb, high-protein, omega-3</t>
        </is>
      </c>
      <c r="AB513" s="3" t="inlineStr">
        <is>
          <t>1. Whisk miso, tamari, vinegar, ginger, sesame oil; brush on salmon.
2. Broil 8–10 minutes.
3. Sauté bok choy with garlic in avocado oil; top salmon with sesame.</t>
        </is>
      </c>
      <c r="AC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14% of this dish's available carbohydrate comes from ingredients with a published, measured GI; the rest uses conventional placeholders (see Ingredients sheet)</t>
        </is>
      </c>
      <c r="Z514" s="2" t="n">
        <v>14</v>
      </c>
      <c r="AA514" s="3" t="inlineStr">
        <is>
          <t>gluten-free, nut-free, low-carb, high-protein</t>
        </is>
      </c>
      <c r="AB514" s="3" t="inlineStr">
        <is>
          <t>1. Steam cauliflower; blend with milk, cheddar, butter, salt into 'grits'.
2. Crisp bacon; sauté shrimp with garlic and Cajun seasoning in oil 3 minutes; add lemon.
3. Serve shrimp over grits with bacon and green onion.</t>
        </is>
      </c>
      <c r="AC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0% of this dish's available carbohydrate comes from ingredients with a published, measured GI; the rest uses conventional placeholders (see Ingredients sheet)</t>
        </is>
      </c>
      <c r="Z515" s="2" t="n">
        <v>0</v>
      </c>
      <c r="AA515" s="3" t="inlineStr">
        <is>
          <t>pescatarian, gluten-free, dairy-free, low-carb, high-protein, one-pan</t>
        </is>
      </c>
      <c r="AB515" s="3" t="inlineStr">
        <is>
          <t>1. Spread pesto over cod; surround with tomatoes and zucchini tossed in oil.
2. Bake at 400°F 14 minutes.
3. Squeeze lemon over.</t>
        </is>
      </c>
      <c r="AC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0% of this dish's available carbohydrate comes from ingredients with a published, measured GI; the rest uses conventional placeholders (see Ingredients sheet)</t>
        </is>
      </c>
      <c r="Z516" s="2" t="n">
        <v>0</v>
      </c>
      <c r="AA516" s="3" t="inlineStr">
        <is>
          <t>pescatarian, gluten-free, dairy-free, nut-free, low-carb, high-protein</t>
        </is>
      </c>
      <c r="AB516" s="3" t="inlineStr">
        <is>
          <t>1. Sauté onion, garlic, ginger, curry paste in oil 2 minutes.
2. Add coconut milk, pepper, snap peas; simmer 5 minutes.
3. Add shrimp 3 minutes; finish with fish sauce, lime, basil; serve over cauliflower rice.</t>
        </is>
      </c>
      <c r="AC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16% of this dish's available carbohydrate comes from ingredients with a published, measured GI; the rest uses conventional placeholders (see Ingredients sheet)</t>
        </is>
      </c>
      <c r="Z517" s="2" t="n">
        <v>16</v>
      </c>
      <c r="AA517" s="3" t="inlineStr">
        <is>
          <t>pescatarian, gluten-free, nut-free, low-carb, high-protein, high-fiber, no-cook, quick</t>
        </is>
      </c>
      <c r="AB517" s="3" t="inlineStr">
        <is>
          <t>1. Mix tuna, yogurt, Dijon, celery, onion, lemon, pepper.
2. Halve avocados.
3. Fill with tuna salad; top chives.</t>
        </is>
      </c>
      <c r="AC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12% of this dish's available carbohydrate comes from ingredients with a published, measured GI; the rest uses conventional placeholders (see Ingredients sheet)</t>
        </is>
      </c>
      <c r="Z518" s="2" t="n">
        <v>12</v>
      </c>
      <c r="AA518" s="3" t="inlineStr">
        <is>
          <t>pescatarian, gluten-free, nut-free, low-carb, high-protein</t>
        </is>
      </c>
      <c r="AB518" s="3" t="inlineStr">
        <is>
          <t>1. Simmer cauliflower with garlic in milk and water; blend with half the butter and salt.
2. Pat scallops dry; sear in oil 90 seconds per side.
3. Wilt spinach in remaining butter; plate purée, spinach, scallops; finish with lemon and chives.</t>
        </is>
      </c>
      <c r="AC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0% of this dish's available carbohydrate comes from ingredients with a published, measured GI; the rest uses conventional placeholders (see Ingredients sheet)</t>
        </is>
      </c>
      <c r="Z519" s="2" t="n">
        <v>0</v>
      </c>
      <c r="AA519" s="3" t="inlineStr">
        <is>
          <t>pescatarian, dairy-free, nut-free, low-carb, high-protein, high-fiber, one-pan, quick</t>
        </is>
      </c>
      <c r="AB519" s="3" t="inlineStr">
        <is>
          <t>1. Toss shrimp, peppers, onion with oil and spices on a sheet pan.
2. Roast at 425°F 10–12 minutes.
3. Squeeze lime; serve in tortillas with avocado and cilantro.</t>
        </is>
      </c>
      <c r="AC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0% of this dish's available carbohydrate comes from ingredients with a published, measured GI; the rest uses conventional placeholders (see Ingredients sheet)</t>
        </is>
      </c>
      <c r="Z520" s="2" t="n">
        <v>0</v>
      </c>
      <c r="AA520" s="3" t="inlineStr">
        <is>
          <t>pescatarian, gluten-free, nut-free, low-carb, high-protein, quick</t>
        </is>
      </c>
      <c r="AB520" s="3" t="inlineStr">
        <is>
          <t>1. Season halibut; sear in oil 4 minutes per side.
2. Add butter, garlic, capers, lemon juice; spoon over fish 1 minute.
3. Serve with steamed green beans and parsley.</t>
        </is>
      </c>
      <c r="AC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52</v>
      </c>
      <c r="U521" s="2" t="inlineStr">
        <is>
          <t>low</t>
        </is>
      </c>
      <c r="V521" s="5" t="n">
        <v>13.1</v>
      </c>
      <c r="W521" s="2" t="inlineStr">
        <is>
          <t>medium</t>
        </is>
      </c>
      <c r="X521" s="3" t="inlineStr"/>
      <c r="Y521" s="3" t="inlineStr">
        <is>
          <t>69% of this dish's available carbohydrate comes from ingredients with a published, measured GI; the rest uses conventional placeholders (see Ingredients sheet)</t>
        </is>
      </c>
      <c r="Z521" s="2" t="n">
        <v>69</v>
      </c>
      <c r="AA521" s="3" t="inlineStr">
        <is>
          <t>pescatarian, gluten-free, dairy-free, nut-free, high-protein, omega-3</t>
        </is>
      </c>
      <c r="AB521" s="3" t="inlineStr">
        <is>
          <t>1. Simmer tamari, vinegar, ginger, garlic, sweetener, arrowroot slurry into a glaze; add sesame oil.
2. Broil salmon 8 minutes, brushing with glaze.
3. Serve over mixed brown and cauliflower rice with steamed broccoli, sesame and green onion.</t>
        </is>
      </c>
      <c r="AC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30% of this dish's available carbohydrate comes from ingredients with a published, measured GI; the rest uses conventional placeholders (see Ingredients sheet)</t>
        </is>
      </c>
      <c r="Z522" s="2" t="n">
        <v>30</v>
      </c>
      <c r="AA522" s="3" t="inlineStr">
        <is>
          <t>pescatarian, gluten-free, dairy-free, low-carb, high-protein, quick</t>
        </is>
      </c>
      <c r="AB522" s="3" t="inlineStr">
        <is>
          <t>1. Sauté shrimp with garlic in oil 3 minutes.
2. Whisk peanut butter, tamari, lime, sriracha, water.
3. Fill lettuce with shrimp, carrot, cucumber, cilantro; drizzle sauce; top peanuts.</t>
        </is>
      </c>
      <c r="AC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0% of this dish's available carbohydrate comes from ingredients with a published, measured GI; the rest uses conventional placeholders (see Ingredients sheet)</t>
        </is>
      </c>
      <c r="Z523" s="2" t="n">
        <v>0</v>
      </c>
      <c r="AA523" s="3" t="inlineStr">
        <is>
          <t>pescatarian, gluten-free, nut-free, low-carb, high-protein, one-pan</t>
        </is>
      </c>
      <c r="AB523" s="3" t="inlineStr">
        <is>
          <t>1. Place tilapia in a dish; top with tomato, olives, onion, garlic, oregano, oil, lemon.
2. Bake at 400°F 15–18 minutes.
3. Top with feta and parsley.</t>
        </is>
      </c>
      <c r="AC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0% of this dish's available carbohydrate comes from ingredients with a published, measured GI; the rest uses conventional placeholders (see Ingredients sheet)</t>
        </is>
      </c>
      <c r="Z524" s="2" t="n">
        <v>0</v>
      </c>
      <c r="AA524" s="3" t="inlineStr">
        <is>
          <t>gluten-free, dairy-free, nut-free, low-carb, high-protein, one-pan, quick</t>
        </is>
      </c>
      <c r="AB524" s="3" t="inlineStr">
        <is>
          <t>1. Brown sausage in oil; remove.
2. Sauté peppers, zucchini, onion, garlic 6 minutes.
3. Add shrimp and Cajun seasoning; cook 3 minutes; return sausage; finish with lemon.</t>
        </is>
      </c>
      <c r="AC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0% of this dish's available carbohydrate comes from ingredients with a published, measured GI; the rest uses conventional placeholders (see Ingredients sheet)</t>
        </is>
      </c>
      <c r="Z525" s="2" t="n">
        <v>0</v>
      </c>
      <c r="AA525" s="3" t="inlineStr">
        <is>
          <t>pescatarian, gluten-free, dairy-free, nut-free, low-carb, high-protein, quick</t>
        </is>
      </c>
      <c r="AB525" s="3" t="inlineStr">
        <is>
          <t>1. Press tuna into sesame seeds; sear in avocado oil 1–2 minutes per side; slice.
2. Whisk tamari, sesame oil, vinegar, ginger; toss half with slaw.
3. Serve tuna over slaw with remaining sauce and green onion.</t>
        </is>
      </c>
      <c r="AC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27% of this dish's available carbohydrate comes from ingredients with a published, measured GI; the rest uses conventional placeholders (see Ingredients sheet)</t>
        </is>
      </c>
      <c r="Z526" s="2" t="n">
        <v>27</v>
      </c>
      <c r="AA526" s="3" t="inlineStr">
        <is>
          <t>pescatarian, gluten-free, low-carb, high-protein, omega-3</t>
        </is>
      </c>
      <c r="AB526" s="3" t="inlineStr">
        <is>
          <t>1. Mix salmon, eggs, almond flour, green onion, Dijon, lemon zest; form 8 cakes.
2. Pan-fry in oil 4 minutes per side.
3. Mix yogurt, dill, lemon juice; serve cakes over greens.</t>
        </is>
      </c>
      <c r="AC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24</v>
      </c>
      <c r="U527" s="2" t="inlineStr">
        <is>
          <t>low</t>
        </is>
      </c>
      <c r="V527" s="5" t="n">
        <v>2.3</v>
      </c>
      <c r="W527" s="2" t="inlineStr">
        <is>
          <t>low</t>
        </is>
      </c>
      <c r="X527" s="3" t="inlineStr"/>
      <c r="Y527" s="3" t="inlineStr">
        <is>
          <t>36% of this dish's available carbohydrate comes from ingredients with a published, measured GI; the rest uses conventional placeholders (see Ingredients sheet)</t>
        </is>
      </c>
      <c r="Z527" s="2" t="n">
        <v>36</v>
      </c>
      <c r="AA527" s="3" t="inlineStr">
        <is>
          <t>pescatarian, gluten-free, dairy-free, nut-free, low-carb, high-protein, quick</t>
        </is>
      </c>
      <c r="AB527" s="3" t="inlineStr">
        <is>
          <t>1. Sauté shrimp with half the garlic in oil; remove.
2. Scramble eggs; add carrot, remaining garlic, ginger, cauliflower rice 5 minutes.
3. Add peas, shrimp, tamari, sesame oil, green onion.</t>
        </is>
      </c>
      <c r="AC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0% of this dish's available carbohydrate comes from ingredients with a published, measured GI; the rest uses conventional placeholders (see Ingredients sheet)</t>
        </is>
      </c>
      <c r="Z528" s="2" t="n">
        <v>0</v>
      </c>
      <c r="AA528" s="3" t="inlineStr">
        <is>
          <t>pescatarian, gluten-free, dairy-free, nut-free, low-carb, high-protein, omega-3, quick</t>
        </is>
      </c>
      <c r="AB528" s="3" t="inlineStr">
        <is>
          <t>1. Rub salmon with oil, cumin, salt; broil 8–10 minutes.
2. Dice avocado, tomato, onion, jalapeño; toss with cilantro and lime.
3. Serve salmon over greens with salsa.</t>
        </is>
      </c>
      <c r="AC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0% of this dish's available carbohydrate comes from ingredients with a published, measured GI; the rest uses conventional placeholders (see Ingredients sheet)</t>
        </is>
      </c>
      <c r="Z529" s="2" t="n">
        <v>0</v>
      </c>
      <c r="AA529" s="3" t="inlineStr">
        <is>
          <t>pescatarian, gluten-free, low-carb, high-protein, quick, one-pan</t>
        </is>
      </c>
      <c r="AB529" s="3" t="inlineStr">
        <is>
          <t>1. Sauté zucchini chunks with garlic in oil 4 minutes.
2. Add shrimp and tomatoes; cook 3 minutes.
3. Toss with pesto; top parmesan and lemon.</t>
        </is>
      </c>
      <c r="AC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20% of this dish's available carbohydrate comes from ingredients with a published, measured GI; the rest uses conventional placeholders (see Ingredients sheet)</t>
        </is>
      </c>
      <c r="Z530" s="2" t="n">
        <v>20</v>
      </c>
      <c r="AA530" s="3" t="inlineStr">
        <is>
          <t>pescatarian, gluten-free, low-carb, high-protein</t>
        </is>
      </c>
      <c r="AB530" s="3" t="inlineStr">
        <is>
          <t>1. Mix crab, egg, almond flour, half the mayo, Dijon, Old Bay, green onion; form 8 cakes; chill 15 minutes.
2. Pan-fry in oil 4 minutes per side.
3. Mix yogurt, remaining mayo, chopped pickle, hot sauce, lemon; serve over arugula.</t>
        </is>
      </c>
      <c r="AC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0% of this dish's available carbohydrate comes from ingredients with a published, measured GI; the rest uses conventional placeholders (see Ingredients sheet)</t>
        </is>
      </c>
      <c r="Z531" s="2" t="n">
        <v>0</v>
      </c>
      <c r="AA531" s="3" t="inlineStr">
        <is>
          <t>pescatarian, gluten-free, dairy-free, nut-free, low-carb, high-protein, omega-3, one-pan</t>
        </is>
      </c>
      <c r="AB531" s="3" t="inlineStr">
        <is>
          <t>1. Lay trout on a pan with broccolini; rub with oil, garlic, salt; top with lemon slices and dill.
2. Bake at 400°F 12–15 minutes.
3. Serve with lemon juice.</t>
        </is>
      </c>
      <c r="AC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0% of this dish's available carbohydrate comes from ingredients with a published, measured GI; the rest uses conventional placeholders (see Ingredients sheet)</t>
        </is>
      </c>
      <c r="Z532" s="2" t="n">
        <v>0</v>
      </c>
      <c r="AA532" s="3" t="inlineStr">
        <is>
          <t>pescatarian, gluten-free, dairy-free, nut-free, low-carb, high-protein, make-ahead</t>
        </is>
      </c>
      <c r="AB532" s="3" t="inlineStr">
        <is>
          <t>1. Poach shrimp 2–3 minutes; chop; chill.
2. Toss with lime, tomato, onion, cucumber, cilantro, jalapeño, salt; marinate 30 minutes.
3. Fold in avocado and oil.</t>
        </is>
      </c>
      <c r="AC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83% of this dish's available carbohydrate comes from ingredients with a published, measured GI; the rest uses conventional placeholders (see Ingredients sheet)</t>
        </is>
      </c>
      <c r="Z533" s="2" t="n">
        <v>83</v>
      </c>
      <c r="AA533" s="3" t="inlineStr">
        <is>
          <t>pescatarian, gluten-free, dairy-free, nut-free, high-protein, high-fiber, omega-3, no-cook</t>
        </is>
      </c>
      <c r="AB533" s="3" t="inlineStr">
        <is>
          <t>1. Toss beans, tomato, onion, parsley, capers with lemon and oil.
2. Plate over arugula.
3. Top with sardines.</t>
        </is>
      </c>
      <c r="AC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0% of this dish's available carbohydrate comes from ingredients with a published, measured GI; the rest uses conventional placeholders (see Ingredients sheet)</t>
        </is>
      </c>
      <c r="Z534" s="2" t="n">
        <v>0</v>
      </c>
      <c r="AA534" s="3" t="inlineStr">
        <is>
          <t>pescatarian, gluten-free, dairy-free, nut-free, low-carb, high-protein, quick</t>
        </is>
      </c>
      <c r="AB534" s="3" t="inlineStr">
        <is>
          <t>1. Stir-fry garlic and shrimp in oil 2 minutes; push aside and scramble eggs.
2. Add broccolini 2 minutes; add zoodles, tamari, fish sauce, sweetener.
3. Toss 2 minutes.</t>
        </is>
      </c>
      <c r="AC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0% of this dish's available carbohydrate comes from ingredients with a published, measured GI; the rest uses conventional placeholders (see Ingredients sheet)</t>
        </is>
      </c>
      <c r="Z535" s="2" t="n">
        <v>0</v>
      </c>
      <c r="AA535" s="3" t="inlineStr">
        <is>
          <t>pescatarian, gluten-free, dairy-free, low-carb, high-protein, omega-3, one-pan</t>
        </is>
      </c>
      <c r="AB535" s="3" t="inlineStr">
        <is>
          <t>1. Roast halved sprouts with two-thirds of the oil at 425°F 12 minutes.
2. Add salmon rubbed with Dijon, garlic, remaining oil; roast 12 minutes more.
3. Top with walnuts and lemon.</t>
        </is>
      </c>
      <c r="AC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0% of this dish's available carbohydrate comes from ingredients with a published, measured GI; the rest uses conventional placeholders (see Ingredients sheet)</t>
        </is>
      </c>
      <c r="Z536" s="2" t="n">
        <v>0</v>
      </c>
      <c r="AA536" s="3" t="inlineStr">
        <is>
          <t>pescatarian, gluten-free, dairy-free, nut-free, low-carb, high-protein, one-pan</t>
        </is>
      </c>
      <c r="AB536" s="3" t="inlineStr">
        <is>
          <t>1. Sauté onion, garlic, jalapeño in oil; add tomatoes, olives, capers, oregano; simmer 8 minutes.
2. Nestle tilapia in the sauce; cover; cook 8 minutes.
3. Serve over cauliflower rice with cilantro.</t>
        </is>
      </c>
      <c r="AC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17% of this dish's available carbohydrate comes from ingredients with a published, measured GI; the rest uses conventional placeholders (see Ingredients sheet)</t>
        </is>
      </c>
      <c r="Z537" s="2" t="n">
        <v>17</v>
      </c>
      <c r="AA537" s="3" t="inlineStr">
        <is>
          <t>pescatarian, gluten-free, nut-free, low-carb, high-protein, high-fiber, quick</t>
        </is>
      </c>
      <c r="AB537" s="3" t="inlineStr">
        <is>
          <t>1. Sauté shrimp in oil 3 minutes; chop; cool.
2. Mix with yogurt, lime, cilantro, onion, jalapeño, salt.
3. Fill avocado halves.</t>
        </is>
      </c>
      <c r="AC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0% of this dish's available carbohydrate comes from ingredients with a published, measured GI; the rest uses conventional placeholders (see Ingredients sheet)</t>
        </is>
      </c>
      <c r="Z538" s="2" t="n">
        <v>0</v>
      </c>
      <c r="AA538" s="3" t="inlineStr">
        <is>
          <t>pescatarian, gluten-free, dairy-free, nut-free, low-carb, high-protein</t>
        </is>
      </c>
      <c r="AB538" s="3" t="inlineStr">
        <is>
          <t>1. Pulse olives, sun-dried tomato, capers, garlic, oil into tapenade.
2. Bake cod at 400°F 12 minutes; top with tapenade last 3 minutes.
3. Serve with green beans, lemon, basil.</t>
        </is>
      </c>
      <c r="AC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0% of this dish's available carbohydrate comes from ingredients with a published, measured GI; the rest uses conventional placeholders (see Ingredients sheet)</t>
        </is>
      </c>
      <c r="Z539" s="2" t="n">
        <v>0</v>
      </c>
      <c r="AA539" s="3" t="inlineStr">
        <is>
          <t>pescatarian, gluten-free, dairy-free, nut-free, low-carb, high-protein, quick, one-pan</t>
        </is>
      </c>
      <c r="AB539" s="3" t="inlineStr">
        <is>
          <t>1. Sauté shrimp with garlic and ginger in oil; remove.
2. Add slaw, tamari, vinegar; cook 5 minutes; scramble eggs in.
3. Return shrimp; finish with sesame oil and green onion.</t>
        </is>
      </c>
      <c r="AC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0% of this dish's available carbohydrate comes from ingredients with a published, measured GI; the rest uses conventional placeholders (see Ingredients sheet)</t>
        </is>
      </c>
      <c r="Z540" s="2" t="n">
        <v>0</v>
      </c>
      <c r="AA540" s="3" t="inlineStr">
        <is>
          <t>pescatarian, gluten-free, dairy-free, nut-free, low-carb, high-protein, omega-3</t>
        </is>
      </c>
      <c r="AB540" s="3" t="inlineStr">
        <is>
          <t>1. Roast salmon 12 minutes; blanch green beans; boil eggs.
2. Whisk oil, Dijon, vinegar.
3. Arrange greens, salmon, beans, eggs, tomato, olives, capers; drizzle dressing.</t>
        </is>
      </c>
      <c r="AC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0% of this dish's available carbohydrate comes from ingredients with a published, measured GI; the rest uses conventional placeholders (see Ingredients sheet)</t>
        </is>
      </c>
      <c r="Z541" s="2" t="n">
        <v>0</v>
      </c>
      <c r="AA541" s="3" t="inlineStr">
        <is>
          <t>pescatarian, gluten-free, nut-free, low-carb, high-protein, quick</t>
        </is>
      </c>
      <c r="AB541" s="3" t="inlineStr">
        <is>
          <t>1. Toss shrimp with spices and garlic; sauté in oil 3 minutes.
2. Fill romaine leaves with shrimp.
3. Top with pico, avocado, cotija, lime.</t>
        </is>
      </c>
      <c r="AC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0% of this dish's available carbohydrate comes from ingredients with a published, measured GI; the rest uses conventional placeholders (see Ingredients sheet)</t>
        </is>
      </c>
      <c r="Z542" s="2" t="n">
        <v>0</v>
      </c>
      <c r="AA542" s="3" t="inlineStr">
        <is>
          <t>pescatarian, gluten-free, dairy-free, nut-free, high-protein, quick</t>
        </is>
      </c>
      <c r="AB542" s="3" t="inlineStr">
        <is>
          <t>1. Sauté shallot and garlic in oil; add wine and tomatoes; simmer 5 minutes.
2. Add mussels; cover; cook 5–6 minutes until open.
3. Top with parsley, lemon, pepper flakes.</t>
        </is>
      </c>
      <c r="AC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0% of this dish's available carbohydrate comes from ingredients with a published, measured GI; the rest uses conventional placeholders (see Ingredients sheet)</t>
        </is>
      </c>
      <c r="Z543" s="2" t="n">
        <v>0</v>
      </c>
      <c r="AA543" s="3" t="inlineStr">
        <is>
          <t>pescatarian, gluten-free, low-carb, high-protein</t>
        </is>
      </c>
      <c r="AB543" s="3" t="inlineStr">
        <is>
          <t>1. Pulse almonds with parmesan, garlic powder, paprika; dip fish in egg then crumbs.
2. Bake at 425°F 12 minutes.
3. Serve with green beans and lemon.</t>
        </is>
      </c>
      <c r="AC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11% of this dish's available carbohydrate comes from ingredients with a published, measured GI; the rest uses conventional placeholders (see Ingredients sheet)</t>
        </is>
      </c>
      <c r="Z544" s="2" t="n">
        <v>11</v>
      </c>
      <c r="AA544" s="3" t="inlineStr">
        <is>
          <t>pescatarian, gluten-free, dairy-free, nut-free, low-carb, high-protein, quick</t>
        </is>
      </c>
      <c r="AB544" s="3" t="inlineStr">
        <is>
          <t>1. Stir-fry broccoli with garlic and ginger in oil 4 minutes; add broth and cover 2 minutes.
2. Add shrimp; cook 3 minutes.
3. Add tamari, vinegar, arrowroot slurry, sesame oil; toss; top sesame.</t>
        </is>
      </c>
      <c r="AC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70% of this dish's available carbohydrate comes from ingredients with a published, measured GI; the rest uses conventional placeholders (see Ingredients sheet)</t>
        </is>
      </c>
      <c r="Z545" s="2" t="n">
        <v>70</v>
      </c>
      <c r="AA545" s="3" t="inlineStr">
        <is>
          <t>pescatarian, gluten-free, dairy-free, nut-free, high-protein, high-fiber, omega-3</t>
        </is>
      </c>
      <c r="AB545" s="3" t="inlineStr">
        <is>
          <t>1. Roast salmon 12 minutes.
2. Whisk tahini, lemon, garlic, water; massage half into kale.
3. Bowl quinoa, kale, cucumber, edamame, avocado, salmon; drizzle remaining dressing.</t>
        </is>
      </c>
      <c r="AC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18% of this dish's available carbohydrate comes from ingredients with a published, measured GI; the rest uses conventional placeholders (see Ingredients sheet)</t>
        </is>
      </c>
      <c r="Z546" s="2" t="n">
        <v>18</v>
      </c>
      <c r="AA546" s="3" t="inlineStr">
        <is>
          <t>pescatarian, gluten-free, nut-free, low-carb, high-protein, no-cook</t>
        </is>
      </c>
      <c r="AB546" s="3" t="inlineStr">
        <is>
          <t>1. Mix lobster with celery, chives, lemon, mayo, yogurt, pepper.
2. Fold in avocado.
3. Serve in lettuce cups.</t>
        </is>
      </c>
      <c r="AC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26% of this dish's available carbohydrate comes from ingredients with a published, measured GI; the rest uses conventional placeholders (see Ingredients sheet)</t>
        </is>
      </c>
      <c r="Z547" s="2" t="n">
        <v>26</v>
      </c>
      <c r="AA547" s="3" t="inlineStr">
        <is>
          <t>pescatarian, gluten-free, nut-free, low-carb, high-protein, omega-3</t>
        </is>
      </c>
      <c r="AB547" s="3" t="inlineStr">
        <is>
          <t>1. Rub salmon with Cajun seasoning; sear 4 minutes per side.
2. Whisk yogurt, lemon, Dijon, anchovy, oil.
3. Toss romaine with dressing; top salmon, parmesan, avocado.</t>
        </is>
      </c>
      <c r="AC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0% of this dish's available carbohydrate comes from ingredients with a published, measured GI; the rest uses conventional placeholders (see Ingredients sheet)</t>
        </is>
      </c>
      <c r="Z548" s="2" t="n">
        <v>0</v>
      </c>
      <c r="AA548" s="3" t="inlineStr">
        <is>
          <t>pescatarian, gluten-free, nut-free, high-protein</t>
        </is>
      </c>
      <c r="AB548" s="3" t="inlineStr">
        <is>
          <t>1. Roast halved squash 40 minutes; scrape strands.
2. Sauté garlic in oil and butter; add shrimp 3 minutes; add tomatoes and spinach.
3. Toss with squash, lemon, parmesan, pepper flakes.</t>
        </is>
      </c>
      <c r="AC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22% of this dish's available carbohydrate comes from ingredients with a published, measured GI; the rest uses conventional placeholders (see Ingredients sheet)</t>
        </is>
      </c>
      <c r="Z549" s="2" t="n">
        <v>22</v>
      </c>
      <c r="AA549" s="3" t="inlineStr">
        <is>
          <t>pescatarian, gluten-free, dairy-free, nut-free, low-carb, high-protein, one-pan</t>
        </is>
      </c>
      <c r="AB549" s="3" t="inlineStr">
        <is>
          <t>1. Place julienned vegetables on parchment; top with cod, lemon slices, thyme, oil, wine, salt.
2. Fold parchment into sealed packets.
3. Bake at 400°F 15–18 minutes; open at the table.</t>
        </is>
      </c>
      <c r="AC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15% of this dish's available carbohydrate comes from ingredients with a published, measured GI; the rest uses conventional placeholders (see Ingredients sheet)</t>
        </is>
      </c>
      <c r="Z550" s="2" t="n">
        <v>15</v>
      </c>
      <c r="AA550" s="3" t="inlineStr">
        <is>
          <t>pescatarian, gluten-free, dairy-free, nut-free, low-carb, high-protein, high-fiber</t>
        </is>
      </c>
      <c r="AB550" s="3" t="inlineStr">
        <is>
          <t>1. Steam cauliflower rice; season with rice vinegar; cool.
2. Sauté shrimp 3 minutes.
3. Bowl with avocado, cucumber, carrot, edamame, nori strips; drizzle tamari and sriracha mayo; sprinkle sesame.</t>
        </is>
      </c>
      <c r="AC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0% of this dish's available carbohydrate comes from ingredients with a published, measured GI; the rest uses conventional placeholders (see Ingredients sheet)</t>
        </is>
      </c>
      <c r="Z551" s="2" t="n">
        <v>0</v>
      </c>
      <c r="AA551" s="3" t="inlineStr">
        <is>
          <t>pescatarian, gluten-free, nut-free, low-carb, high-protein, omega-3, quick</t>
        </is>
      </c>
      <c r="AB551" s="3" t="inlineStr">
        <is>
          <t>1. Sear salmon in oil 4 minutes per side; remove.
2. Add garlic, broth, lemon juice, capers; simmer 2 minutes; whisk in butter.
3. Spoon over salmon; serve with roasted asparagus and parsley.</t>
        </is>
      </c>
      <c r="AC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0% of this dish's available carbohydrate comes from ingredients with a published, measured GI; the rest uses conventional placeholders (see Ingredients sheet)</t>
        </is>
      </c>
      <c r="Z552" s="2" t="n">
        <v>0</v>
      </c>
      <c r="AA552" s="3" t="inlineStr">
        <is>
          <t>pescatarian, gluten-free, nut-free, low-carb, high-protein, quick</t>
        </is>
      </c>
      <c r="AB552" s="3" t="inlineStr">
        <is>
          <t>1. Sauté shrimp 3 minutes; chop.
2. Lay cucumber ribbons overlapping; spread cream cheese; add shrimp and avocado.
3. Roll tightly; slice; sprinkle sesame and chives; serve with tamari.</t>
        </is>
      </c>
      <c r="AC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0% of this dish's available carbohydrate comes from ingredients with a published, measured GI; the rest uses conventional placeholders (see Ingredients sheet)</t>
        </is>
      </c>
      <c r="Z553" s="2" t="n">
        <v>0</v>
      </c>
      <c r="AA553" s="3" t="inlineStr">
        <is>
          <t>pescatarian, gluten-free, dairy-free, nut-free, low-carb, high-protein, quick</t>
        </is>
      </c>
      <c r="AB553" s="3" t="inlineStr">
        <is>
          <t>1. Blend parsley, capers, anchovy, garlic, lemon, most of the oil, Dijon into salsa verde.
2. Brush swordfish with remaining oil; grill 4 minutes per side.
3. Serve over arugula with salsa verde.</t>
        </is>
      </c>
      <c r="AC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19% of this dish's available carbohydrate comes from ingredients with a published, measured GI; the rest uses conventional placeholders (see Ingredients sheet)</t>
        </is>
      </c>
      <c r="Z554" s="2" t="n">
        <v>19</v>
      </c>
      <c r="AA554" s="3" t="inlineStr">
        <is>
          <t>pescatarian, gluten-free, nut-free, low-carb, high-protein</t>
        </is>
      </c>
      <c r="AB554" s="3" t="inlineStr">
        <is>
          <t>1. Halve zucchini; scoop centers.
2. Sauté chopped shrimp with garlic and zucchini flesh; mix with marinara.
3. Fill boats; top cheeses; bake at 400°F 18 minutes; add basil.</t>
        </is>
      </c>
      <c r="AC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82% of this dish's available carbohydrate comes from ingredients with a published, measured GI; the rest uses conventional placeholders (see Ingredients sheet)</t>
        </is>
      </c>
      <c r="Z555" s="2" t="n">
        <v>82</v>
      </c>
      <c r="AA555" s="3" t="inlineStr">
        <is>
          <t>pescatarian, gluten-free, nut-free, low-carb, high-protein, omega-3</t>
        </is>
      </c>
      <c r="AB555" s="3" t="inlineStr">
        <is>
          <t>1. Roast beets wrapped in foil 40 minutes; peel and slice.
2. Broil mackerel with oil and salt 8 minutes.
3. Mix yogurt, Dijon, dill, lemon; serve fish with beets, greens and sauce.</t>
        </is>
      </c>
      <c r="AC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0% of this dish's available carbohydrate comes from ingredients with a published, measured GI; the rest uses conventional placeholders (see Ingredients sheet)</t>
        </is>
      </c>
      <c r="Z556" s="2" t="n">
        <v>0</v>
      </c>
      <c r="AA556" s="3" t="inlineStr">
        <is>
          <t>pescatarian, gluten-free, dairy-free, nut-free, high-protein, quick</t>
        </is>
      </c>
      <c r="AB556" s="3" t="inlineStr">
        <is>
          <t>1. Sauté garlic in oil; add wine and clams; cover 5 minutes until open.
2. Add zoodles; toss 2 minutes.
3. Finish with parsley, lemon, pepper flakes.</t>
        </is>
      </c>
      <c r="AC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17% of this dish's available carbohydrate comes from ingredients with a published, measured GI; the rest uses conventional placeholders (see Ingredients sheet)</t>
        </is>
      </c>
      <c r="Z557" s="2" t="n">
        <v>17</v>
      </c>
      <c r="AA557" s="3" t="inlineStr">
        <is>
          <t>gluten-free, nut-free, low-carb, high-protein</t>
        </is>
      </c>
      <c r="AB557" s="3" t="inlineStr">
        <is>
          <t>1. Sauté shrimp; crisp bacon; boil eggs.
2. Mix yogurt, blue cheese, lemon.
3. Fill lettuce with shrimp, egg, bacon, avocado, tomato; drizzle.</t>
        </is>
      </c>
      <c r="AC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0% of this dish's available carbohydrate comes from ingredients with a published, measured GI; the rest uses conventional placeholders (see Ingredients sheet)</t>
        </is>
      </c>
      <c r="Z558" s="2" t="n">
        <v>0</v>
      </c>
      <c r="AA558" s="3" t="inlineStr">
        <is>
          <t>pescatarian, gluten-free, dairy-free, nut-free, low-carb, high-protein, omega-3, quick</t>
        </is>
      </c>
      <c r="AB558" s="3" t="inlineStr">
        <is>
          <t>1. Sear salmon cubes in oil 3 minutes; remove.
2. Stir-fry green beans, pepper, ginger, garlic 4 minutes.
3. Return salmon with tamari, vinegar, sesame oil; top sesame.</t>
        </is>
      </c>
      <c r="AC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0% of this dish's available carbohydrate comes from ingredients with a published, measured GI; the rest uses conventional placeholders (see Ingredients sheet)</t>
        </is>
      </c>
      <c r="Z559" s="2" t="n">
        <v>0</v>
      </c>
      <c r="AA559" s="3" t="inlineStr">
        <is>
          <t>pescatarian, gluten-free, dairy-free, nut-free, low-carb, high-protein</t>
        </is>
      </c>
      <c r="AB559" s="3" t="inlineStr">
        <is>
          <t>1. Sizzle mustard seeds in oil; add onion, garlic, ginger, spices.
2. Add tomatoes and coconut milk; simmer 8 minutes.
3. Add cod and spinach; cook 6 minutes; finish with lime, cilantro.</t>
        </is>
      </c>
      <c r="AC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0% of this dish's available carbohydrate comes from ingredients with a published, measured GI; the rest uses conventional placeholders (see Ingredients sheet)</t>
        </is>
      </c>
      <c r="Z560" s="2" t="n">
        <v>0</v>
      </c>
      <c r="AA560" s="3" t="inlineStr">
        <is>
          <t>pescatarian, gluten-free, dairy-free, nut-free, low-carb, high-protein, quick</t>
        </is>
      </c>
      <c r="AB560" s="3" t="inlineStr">
        <is>
          <t>1. Skewer shrimp and zucchini chunks; brush with a third of the oil; grill 3 minutes per side.
2. Blend remaining oil, herbs, garlic, vinegar, oregano, pepper flakes.
3. Spoon chimichurri over skewers.</t>
        </is>
      </c>
      <c r="AC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11% of this dish's available carbohydrate comes from ingredients with a published, measured GI; the rest uses conventional placeholders (see Ingredients sheet)</t>
        </is>
      </c>
      <c r="Z561" s="2" t="n">
        <v>11</v>
      </c>
      <c r="AA561" s="3" t="inlineStr">
        <is>
          <t>pescatarian, gluten-free, nut-free, low-carb, high-protein, quick</t>
        </is>
      </c>
      <c r="AB561" s="3" t="inlineStr">
        <is>
          <t>1. Halve and seed peppers.
2. Mix tuna, yogurt, Dijon, celery, green onion; fill peppers.
3. Top with cheddar; bake at 400°F 12 minutes.</t>
        </is>
      </c>
      <c r="AC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9% of this dish's available carbohydrate comes from ingredients with a published, measured GI; the rest uses conventional placeholders (see Ingredients sheet)</t>
        </is>
      </c>
      <c r="Z562" s="2" t="n">
        <v>9</v>
      </c>
      <c r="AA562" s="3" t="inlineStr">
        <is>
          <t>pescatarian, nut-free, low-carb, high-protein, high-fiber, omega-3</t>
        </is>
      </c>
      <c r="AB562" s="3" t="inlineStr">
        <is>
          <t>1. Roast salmon; flake.
2. Toss chopped kale with yogurt, lemon, Dijon, parmesan.
3. Roll salmon and kale in tortillas.</t>
        </is>
      </c>
      <c r="AC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0% of this dish's available carbohydrate comes from ingredients with a published, measured GI; the rest uses conventional placeholders (see Ingredients sheet)</t>
        </is>
      </c>
      <c r="Z563" s="2" t="n">
        <v>0</v>
      </c>
      <c r="AA563" s="3" t="inlineStr">
        <is>
          <t>pescatarian, gluten-free, dairy-free, nut-free, low-carb, high-protein, quick</t>
        </is>
      </c>
      <c r="AB563" s="3" t="inlineStr">
        <is>
          <t>1. Sauté cauliflower rice with coconut milk, garlic, ginger 6 minutes.
2. Sauté shrimp with jalapeño in oil 3 minutes.
3. Combine; finish with lime, green onion, cilantro.</t>
        </is>
      </c>
      <c r="AC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0% of this dish's available carbohydrate comes from ingredients with a published, measured GI; the rest uses conventional placeholders (see Ingredients sheet)</t>
        </is>
      </c>
      <c r="Z564" s="2" t="n">
        <v>0</v>
      </c>
      <c r="AA564" s="3" t="inlineStr">
        <is>
          <t>pescatarian, gluten-free, low-carb, high-protein</t>
        </is>
      </c>
      <c r="AB564" s="3" t="inlineStr">
        <is>
          <t>1. Sauté onion, garlic, eggplant, zucchini, pepper in oil 10 minutes; add tomato, thyme; simmer 15 minutes.
2. Press almond flour-parmesan-basil onto halibut; bake at 400°F 12 minutes.
3. Serve fish over ratatouille.</t>
        </is>
      </c>
      <c r="AC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84% of this dish's available carbohydrate comes from ingredients with a published, measured GI; the rest uses conventional placeholders (see Ingredients sheet)</t>
        </is>
      </c>
      <c r="Z565" s="2" t="n">
        <v>84</v>
      </c>
      <c r="AA565" s="3" t="inlineStr">
        <is>
          <t>pescatarian, gluten-free, dairy-free, nut-free, high-protein, high-fiber, quick, one-pan</t>
        </is>
      </c>
      <c r="AB565" s="3" t="inlineStr">
        <is>
          <t>1. Sauté garlic in oil; add tomatoes 2 minutes.
2. Add shrimp 3 minutes; add beans and spinach until wilted.
3. Finish with lemon, parsley, pepper flakes.</t>
        </is>
      </c>
      <c r="AC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70% of this dish's available carbohydrate comes from ingredients with a published, measured GI; the rest uses conventional placeholders (see Ingredients sheet)</t>
        </is>
      </c>
      <c r="Z566" s="2" t="n">
        <v>70</v>
      </c>
      <c r="AA566" s="3" t="inlineStr">
        <is>
          <t>pescatarian, gluten-free, dairy-free, nut-free, high-protein, omega-3, one-pan</t>
        </is>
      </c>
      <c r="AB566" s="3" t="inlineStr">
        <is>
          <t>1. Roast sweet potato cubes with half the oil 15 minutes.
2. Add broccoli and salmon rubbed with garlic, paprika, remaining oil; roast 15 minutes more.
3. Finish with lemon.</t>
        </is>
      </c>
      <c r="AC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0% of this dish's available carbohydrate comes from ingredients with a published, measured GI; the rest uses conventional placeholders (see Ingredients sheet)</t>
        </is>
      </c>
      <c r="Z567" s="2" t="n">
        <v>0</v>
      </c>
      <c r="AA567" s="3" t="inlineStr">
        <is>
          <t>pescatarian, gluten-free, dairy-free, nut-free, low-carb, high-protein</t>
        </is>
      </c>
      <c r="AB567" s="3" t="inlineStr">
        <is>
          <t>1. Simmer broth with lemongrass, ginger, jalapeño 8 minutes.
2. Add mushrooms and tomato 3 minutes; add shrimp 3 minutes.
3. Add fish sauce, lime; pour over zoodles; top cilantro.</t>
        </is>
      </c>
      <c r="AC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43% of this dish's available carbohydrate comes from ingredients with a published, measured GI; the rest uses conventional placeholders (see Ingredients sheet)</t>
        </is>
      </c>
      <c r="Z568" s="2" t="n">
        <v>43</v>
      </c>
      <c r="AA568" s="3" t="inlineStr">
        <is>
          <t>pescatarian, gluten-free, dairy-free, nut-free, low-carb, high-protein, one-pan</t>
        </is>
      </c>
      <c r="AB568" s="3" t="inlineStr">
        <is>
          <t>1. Roast sliced fennel with half the oil at 425°F 12 minutes.
2. Add sea bass, orange slices, olives, garlic, thyme, remaining oil; roast 12 minutes.
3. Serve with pan juices.</t>
        </is>
      </c>
      <c r="AC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9% of this dish's available carbohydrate comes from ingredients with a published, measured GI; the rest uses conventional placeholders (see Ingredients sheet)</t>
        </is>
      </c>
      <c r="Z569" s="2" t="n">
        <v>9</v>
      </c>
      <c r="AA569" s="3" t="inlineStr">
        <is>
          <t>pescatarian, gluten-free, nut-free, low-carb, high-protein</t>
        </is>
      </c>
      <c r="AB569" s="3" t="inlineStr">
        <is>
          <t>1. Blend steamed cauliflower with milk, cheddar, salt.
2. Sauté kale with half the garlic; sauté shrimp with remaining garlic and Old Bay.
3. Bowl grits, kale, shrimp; finish lemon, green onion.</t>
        </is>
      </c>
      <c r="AC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0% of this dish's available carbohydrate comes from ingredients with a published, measured GI; the rest uses conventional placeholders (see Ingredients sheet)</t>
        </is>
      </c>
      <c r="Z570" s="2" t="n">
        <v>0</v>
      </c>
      <c r="AA570" s="3" t="inlineStr">
        <is>
          <t>pescatarian, gluten-free, dairy-free, nut-free, low-carb, high-protein, omega-3</t>
        </is>
      </c>
      <c r="AB570" s="3" t="inlineStr">
        <is>
          <t>1. Roast or sear salmon; flake. Steam and cool cauliflower rice seasoned with vinegar.
2. In a ring mold layer cauliflower rice, avocado, cucumber, salmon; unmold.
3. Top with nori strips, sesame, green onion, tamari, sriracha.</t>
        </is>
      </c>
      <c r="AC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0% of this dish's available carbohydrate comes from ingredients with a published, measured GI; the rest uses conventional placeholders (see Ingredients sheet)</t>
        </is>
      </c>
      <c r="Z571" s="2" t="n">
        <v>0</v>
      </c>
      <c r="AA571" s="3" t="inlineStr">
        <is>
          <t>pescatarian, gluten-free, low-carb, high-protein, omega-3, quick</t>
        </is>
      </c>
      <c r="AB571" s="3" t="inlineStr">
        <is>
          <t>1. Sear trout in oil 3 minutes per side; remove.
2. Toast sliced almonds in butter; add lemon juice and parsley.
3. Spoon over trout; serve with green beans.</t>
        </is>
      </c>
      <c r="AC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0% of this dish's available carbohydrate comes from ingredients with a published, measured GI; the rest uses conventional placeholders (see Ingredients sheet)</t>
        </is>
      </c>
      <c r="Z572" s="2" t="n">
        <v>0</v>
      </c>
      <c r="AA572" s="3" t="inlineStr">
        <is>
          <t>pescatarian, dairy-free, nut-free, low-carb, high-protein, probiotic</t>
        </is>
      </c>
      <c r="AB572" s="3" t="inlineStr">
        <is>
          <t>1. Sauté shrimp with garlic in oil; remove.
2. Stir-fry kimchi and cauliflower rice 5 minutes; scramble eggs in.
3. Return shrimp with tamari, gochujang, sesame oil, green onion.</t>
        </is>
      </c>
      <c r="AC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26% of this dish's available carbohydrate comes from ingredients with a published, measured GI; the rest uses conventional placeholders (see Ingredients sheet)</t>
        </is>
      </c>
      <c r="Z573" s="2" t="n">
        <v>26</v>
      </c>
      <c r="AA573" s="3" t="inlineStr">
        <is>
          <t>pescatarian, gluten-free, low-carb, high-protein</t>
        </is>
      </c>
      <c r="AB573" s="3" t="inlineStr">
        <is>
          <t>1. Mix flaked cod, eggs, almond flour, green onion, Dijon, Old Bay; form 8 cakes.
2. Pan-fry in oil 4 minutes per side.
3. Mix yogurt, dill, lemon; serve cakes over arugula.</t>
        </is>
      </c>
      <c r="AC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28</v>
      </c>
      <c r="U574" s="2" t="inlineStr">
        <is>
          <t>low</t>
        </is>
      </c>
      <c r="V574" s="5" t="n">
        <v>6.5</v>
      </c>
      <c r="W574" s="2" t="inlineStr">
        <is>
          <t>low</t>
        </is>
      </c>
      <c r="X574" s="3" t="inlineStr"/>
      <c r="Y574" s="3" t="inlineStr">
        <is>
          <t>7% of this dish's available carbohydrate comes from ingredients with a published, measured GI; the rest uses conventional placeholders (see Ingredients sheet)</t>
        </is>
      </c>
      <c r="Z574" s="2" t="n">
        <v>7</v>
      </c>
      <c r="AA574" s="3" t="inlineStr">
        <is>
          <t>pescatarian, gluten-free, nut-free, high-protein, high-fiber</t>
        </is>
      </c>
      <c r="AB574" s="3" t="inlineStr">
        <is>
          <t>1. Cook pasta al dente.
2. Sauté garlic, asparagus, zucchini 4 minutes; add shrimp and tomatoes 3 minutes; add peas.
3. Toss with pasta, lemon, parmesan, basil.</t>
        </is>
      </c>
      <c r="AC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0% of this dish's available carbohydrate comes from ingredients with a published, measured GI; the rest uses conventional placeholders (see Ingredients sheet)</t>
        </is>
      </c>
      <c r="Z575" s="2" t="n">
        <v>0</v>
      </c>
      <c r="AA575" s="3" t="inlineStr">
        <is>
          <t>pescatarian, gluten-free, dairy-free, nut-free, low-carb, high-protein, no-cook, omega-3</t>
        </is>
      </c>
      <c r="AB575" s="3" t="inlineStr">
        <is>
          <t>1. Cube salmon; toss with tamari, sesame oil, vinegar, green onion.
2. Fill lettuce cups with poke, avocado, cucumber, seaweed.
3. Sprinkle sesame.</t>
        </is>
      </c>
      <c r="AC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0% of this dish's available carbohydrate comes from ingredients with a published, measured GI; the rest uses conventional placeholders (see Ingredients sheet)</t>
        </is>
      </c>
      <c r="Z576" s="2" t="n">
        <v>0</v>
      </c>
      <c r="AA576" s="3" t="inlineStr">
        <is>
          <t>pescatarian, gluten-free, dairy-free, nut-free, low-carb, high-protein, one-pan</t>
        </is>
      </c>
      <c r="AB576" s="3" t="inlineStr">
        <is>
          <t>1. Place snapper in a dish with tomatoes, zucchini, garlic; drizzle oil, wine, lemon; season.
2. Bake at 400°F 15–18 minutes.
3. Top with basil.</t>
        </is>
      </c>
      <c r="AC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17% of this dish's available carbohydrate comes from ingredients with a published, measured GI; the rest uses conventional placeholders (see Ingredients sheet)</t>
        </is>
      </c>
      <c r="Z577" s="2" t="n">
        <v>17</v>
      </c>
      <c r="AA577" s="3" t="inlineStr">
        <is>
          <t>pescatarian, gluten-free, nut-free, low-carb, high-protein, quick</t>
        </is>
      </c>
      <c r="AB577" s="3" t="inlineStr">
        <is>
          <t>1. Sauté shrimp 3 minutes.
2. Whisk yogurt, lemon, Dijon, anchovy, garlic, oil.
3. Toss zoodles and romaine with dressing; top shrimp and parmesan.</t>
        </is>
      </c>
      <c r="AC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84% of this dish's available carbohydrate comes from ingredients with a published, measured GI; the rest uses conventional placeholders (see Ingredients sheet)</t>
        </is>
      </c>
      <c r="Z578" s="2" t="n">
        <v>84</v>
      </c>
      <c r="AA578" s="3" t="inlineStr">
        <is>
          <t>pescatarian, gluten-free, nut-free, high-protein, high-fiber, omega-3</t>
        </is>
      </c>
      <c r="AB578" s="3" t="inlineStr">
        <is>
          <t>1. Rub salmon with spices and oil; broil 8 minutes; flake.
2. Mix yogurt with minced chipotle and lime.
3. Fill tortillas with cabbage, salmon, avocado, chipotle yogurt, cilantro.</t>
        </is>
      </c>
      <c r="AC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11% of this dish's available carbohydrate comes from ingredients with a published, measured GI; the rest uses conventional placeholders (see Ingredients sheet)</t>
        </is>
      </c>
      <c r="Z579" s="2" t="n">
        <v>11</v>
      </c>
      <c r="AA579" s="3" t="inlineStr">
        <is>
          <t>pescatarian, gluten-free, nut-free, low-carb, high-protein, one-pan</t>
        </is>
      </c>
      <c r="AB579" s="3" t="inlineStr">
        <is>
          <t>1. Sauté shrimp with garlic in oil; remove.
2. Wilt spinach; add artichokes, cream cheese, yogurt, parmesan; stir until creamy.
3. Return shrimp; finish with lemon.</t>
        </is>
      </c>
      <c r="AC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0% of this dish's available carbohydrate comes from ingredients with a published, measured GI; the rest uses conventional placeholders (see Ingredients sheet)</t>
        </is>
      </c>
      <c r="Z580" s="2" t="n">
        <v>0</v>
      </c>
      <c r="AA580" s="3" t="inlineStr">
        <is>
          <t>pescatarian, gluten-free, dairy-free, nut-free, low-carb, high-protein, quick</t>
        </is>
      </c>
      <c r="AB580" s="3" t="inlineStr">
        <is>
          <t>1. Brush tuna with oil; grill 2 minutes per side.
2. Toss avocado, tomato, onion, basil, capers with lemon and oil.
3. Slice tuna; serve with salad.</t>
        </is>
      </c>
      <c r="AC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0% of this dish's available carbohydrate comes from ingredients with a published, measured GI; the rest uses conventional placeholders (see Ingredients sheet)</t>
        </is>
      </c>
      <c r="Z581" s="2" t="n">
        <v>0</v>
      </c>
      <c r="AA581" s="3" t="inlineStr">
        <is>
          <t>pescatarian, gluten-free, dairy-free, low-carb, high-protein, high-fiber</t>
        </is>
      </c>
      <c r="AB581" s="3" t="inlineStr">
        <is>
          <t>1. Simmer collards with onion, garlic, broth, vinegar 20 minutes.
2. Dip catfish in egg then almond flour-Cajun; pan-fry in oil 4 minutes per side.
3. Serve with collards and hot sauce.</t>
        </is>
      </c>
      <c r="AC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33</v>
      </c>
      <c r="U582" s="2" t="inlineStr">
        <is>
          <t>low</t>
        </is>
      </c>
      <c r="V582" s="5" t="n">
        <v>2</v>
      </c>
      <c r="W582" s="2" t="inlineStr">
        <is>
          <t>low</t>
        </is>
      </c>
      <c r="X582" s="3" t="inlineStr"/>
      <c r="Y582" s="3" t="inlineStr">
        <is>
          <t>65% of this dish's available carbohydrate comes from ingredients with a published, measured GI; the rest uses conventional placeholders (see Ingredients sheet)</t>
        </is>
      </c>
      <c r="Z582" s="2" t="n">
        <v>65</v>
      </c>
      <c r="AA582" s="3" t="inlineStr">
        <is>
          <t>pescatarian, gluten-free, dairy-free, nut-free, low-carb, high-protein, quick</t>
        </is>
      </c>
      <c r="AB582" s="3" t="inlineStr">
        <is>
          <t>1. Sauté shrimp with cumin 3 minutes; cool slightly.
2. Toss with mango, onion, jalapeño, cilantro, lime, avocado.
3. Spoon into lettuce cups.</t>
        </is>
      </c>
      <c r="AC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0% of this dish's available carbohydrate comes from ingredients with a published, measured GI; the rest uses conventional placeholders (see Ingredients sheet)</t>
        </is>
      </c>
      <c r="Z583" s="2" t="n">
        <v>0</v>
      </c>
      <c r="AA583" s="3" t="inlineStr">
        <is>
          <t>pescatarian, gluten-free, dairy-free, nut-free, low-carb, high-protein, omega-3, quick</t>
        </is>
      </c>
      <c r="AB583" s="3" t="inlineStr">
        <is>
          <t>1. Rub sardines with oil, garlic, salt; roast at 425°F 10–12 minutes.
2. Toss arugula and tomato with lemon.
3. Serve sardines over the salad with parsley.</t>
        </is>
      </c>
      <c r="AC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52</v>
      </c>
      <c r="U584" s="2" t="inlineStr">
        <is>
          <t>low</t>
        </is>
      </c>
      <c r="V584" s="5" t="n">
        <v>10.2</v>
      </c>
      <c r="W584" s="2" t="inlineStr">
        <is>
          <t>medium</t>
        </is>
      </c>
      <c r="X584" s="3" t="inlineStr"/>
      <c r="Y584" s="3" t="inlineStr">
        <is>
          <t>77% of this dish's available carbohydrate comes from ingredients with a published, measured GI; the rest uses conventional placeholders (see Ingredients sheet)</t>
        </is>
      </c>
      <c r="Z584" s="2" t="n">
        <v>77</v>
      </c>
      <c r="AA584" s="3" t="inlineStr">
        <is>
          <t>gluten-free, nut-free, high-protein, one-pan</t>
        </is>
      </c>
      <c r="AB584" s="3" t="inlineStr">
        <is>
          <t>1. Toss potatoes with half the oil and Old Bay; roast 15 minutes.
2. Add zucchini, sausage, corn, shrimp, remaining oil, garlic; roast 10 minutes.
3. Drizzle melted butter and lemon; parsley.</t>
        </is>
      </c>
      <c r="AC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33% of this dish's available carbohydrate comes from ingredients with a published, measured GI; the rest uses conventional placeholders (see Ingredients sheet)</t>
        </is>
      </c>
      <c r="Z585" s="2" t="n">
        <v>33</v>
      </c>
      <c r="AA585" s="3" t="inlineStr">
        <is>
          <t>pescatarian, gluten-free, nut-free, low-carb, high-protein, omega-3, quick</t>
        </is>
      </c>
      <c r="AB585" s="3" t="inlineStr">
        <is>
          <t>1. Roast salmon with oil and salt 12 minutes.
2. Mix yogurt, grated cucumber, dill, garlic, lemon.
3. Serve salmon over greens with sauce.</t>
        </is>
      </c>
      <c r="AC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0% of this dish's available carbohydrate comes from ingredients with a published, measured GI; the rest uses conventional placeholders (see Ingredients sheet)</t>
        </is>
      </c>
      <c r="Z586" s="2" t="n">
        <v>0</v>
      </c>
      <c r="AA586" s="3" t="inlineStr">
        <is>
          <t>pescatarian, gluten-free, dairy-free, nut-free, low-carb, high-protein, quick</t>
        </is>
      </c>
      <c r="AB586" s="3" t="inlineStr">
        <is>
          <t>1. Sear scallops in oil 90 seconds per side; remove.
2. Stir-fry asparagus, garlic, ginger 3 minutes.
3. Return scallops with tamari, vinegar, sesame oil; green onion.</t>
        </is>
      </c>
      <c r="AC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33</v>
      </c>
      <c r="U587" s="2" t="inlineStr">
        <is>
          <t>low</t>
        </is>
      </c>
      <c r="V587" s="5" t="n">
        <v>12.5</v>
      </c>
      <c r="W587" s="2" t="inlineStr">
        <is>
          <t>medium</t>
        </is>
      </c>
      <c r="X587" s="3" t="inlineStr"/>
      <c r="Y587" s="3" t="inlineStr">
        <is>
          <t>64% of this dish's available carbohydrate comes from ingredients with a published, measured GI; the rest uses conventional placeholders (see Ingredients sheet)</t>
        </is>
      </c>
      <c r="Z587" s="2" t="n">
        <v>64</v>
      </c>
      <c r="AA587" s="3" t="inlineStr">
        <is>
          <t>vegan, gluten-free, dairy-free, nut-free, high-fiber, make-ahead</t>
        </is>
      </c>
      <c r="AB587" s="3" t="inlineStr">
        <is>
          <t>1. Sauté onion, garlic, ginger, spices in oil 5 minutes.
2. Add tomatoes, coconut milk, chickpeas; simmer 12 minutes.
3. Stir in spinach; finish lime, cilantro; serve over cauliflower rice.</t>
        </is>
      </c>
      <c r="AC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21% of this dish's available carbohydrate comes from ingredients with a published, measured GI; the rest uses conventional placeholders (see Ingredients sheet)</t>
        </is>
      </c>
      <c r="Z588" s="2" t="n">
        <v>21</v>
      </c>
      <c r="AA588" s="3" t="inlineStr">
        <is>
          <t>vegan, gluten-free, dairy-free, nut-free, low-carb, high-protein, high-fiber</t>
        </is>
      </c>
      <c r="AB588" s="3" t="inlineStr">
        <is>
          <t>1. Press tofu; cube; toss with arrowroot; pan-fry in oil until crisp; remove.
2. Stir-fry vegetables, garlic, ginger 5 minutes.
3. Return tofu with tamari, vinegar, sesame oil; top sesame.</t>
        </is>
      </c>
      <c r="AC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84% of this dish's available carbohydrate comes from ingredients with a published, measured GI; the rest uses conventional placeholders (see Ingredients sheet)</t>
        </is>
      </c>
      <c r="Z589" s="2" t="n">
        <v>84</v>
      </c>
      <c r="AA589" s="3" t="inlineStr">
        <is>
          <t>vegetarian, dairy-free, nut-free, high-fiber</t>
        </is>
      </c>
      <c r="AB589" s="3" t="inlineStr">
        <is>
          <t>1. Mash beans; mix with oats, egg, onion, garlic, spices, salt; form 4 patties; chill 15 minutes.
2. Pan-fry in oil 5 minutes per side.
3. Serve in lettuce with avocado, tomato, salsa.</t>
        </is>
      </c>
      <c r="AC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31</v>
      </c>
      <c r="U590" s="2" t="inlineStr">
        <is>
          <t>low</t>
        </is>
      </c>
      <c r="V590" s="5" t="n">
        <v>9.699999999999999</v>
      </c>
      <c r="W590" s="2" t="inlineStr">
        <is>
          <t>low</t>
        </is>
      </c>
      <c r="X590" s="3" t="inlineStr"/>
      <c r="Y590" s="3" t="inlineStr">
        <is>
          <t>54% of this dish's available carbohydrate comes from ingredients with a published, measured GI; the rest uses conventional placeholders (see Ingredients sheet)</t>
        </is>
      </c>
      <c r="Z590" s="2" t="n">
        <v>54</v>
      </c>
      <c r="AA590" s="3" t="inlineStr">
        <is>
          <t>vegetarian, gluten-free, nut-free, high-fiber, make-ahead</t>
        </is>
      </c>
      <c r="AB590" s="3" t="inlineStr">
        <is>
          <t>1. Sauté onion, carrot, celery, mushrooms, garlic in oil 8 minutes.
2. Add wine, tomatoes, lentils, seasoning; simmer 20 minutes.
3. Serve over sautéed zoodles with parmesan.</t>
        </is>
      </c>
      <c r="AC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26% of this dish's available carbohydrate comes from ingredients with a published, measured GI; the rest uses conventional placeholders (see Ingredients sheet)</t>
        </is>
      </c>
      <c r="Z591" s="2" t="n">
        <v>26</v>
      </c>
      <c r="AA591" s="3" t="inlineStr">
        <is>
          <t>vegetarian, gluten-free, low-carb, high-protein, high-fiber, make-ahead</t>
        </is>
      </c>
      <c r="AB591" s="3" t="inlineStr">
        <is>
          <t>1. Slice eggplant; salt 15 minutes; blot. Dip in egg then almond flour-parmesan-seasoning; bake at 425°F 20 minutes.
2. Layer with marinara and mozzarella in a dish.
3. Bake at 375°F 20 minutes; top basil.</t>
        </is>
      </c>
      <c r="AC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49% of this dish's available carbohydrate comes from ingredients with a published, measured GI; the rest uses conventional placeholders (see Ingredients sheet)</t>
        </is>
      </c>
      <c r="Z592" s="2" t="n">
        <v>49</v>
      </c>
      <c r="AA592" s="3" t="inlineStr">
        <is>
          <t>vegan, gluten-free, dairy-free, nut-free, high-protein, high-fiber</t>
        </is>
      </c>
      <c r="AB592" s="3" t="inlineStr">
        <is>
          <t>1. Crumble tempeh; sauté in oil with seasoning and tamari 8 minutes until browned.
2. Sauté cauliflower rice.
3. Bowl with beans, pico, avocado, romaine, lime, cilantro.</t>
        </is>
      </c>
      <c r="AC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13% of this dish's available carbohydrate comes from ingredients with a published, measured GI; the rest uses conventional placeholders (see Ingredients sheet)</t>
        </is>
      </c>
      <c r="Z593" s="2" t="n">
        <v>13</v>
      </c>
      <c r="AA593" s="3" t="inlineStr">
        <is>
          <t>vegetarian, gluten-free, low-carb</t>
        </is>
      </c>
      <c r="AB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C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66% of this dish's available carbohydrate comes from ingredients with a published, measured GI; the rest uses conventional placeholders (see Ingredients sheet)</t>
        </is>
      </c>
      <c r="Z594" s="2" t="n">
        <v>66</v>
      </c>
      <c r="AA594" s="3" t="inlineStr">
        <is>
          <t>vegetarian, gluten-free</t>
        </is>
      </c>
      <c r="AB594" s="3" t="inlineStr">
        <is>
          <t>1. Brush caps with oil and balsamic; roast 8 minutes.
2. Sauté chopped mushrooms, garlic, spinach; mix with quinoa, walnuts, thyme.
3. Fill caps; top goat cheese; bake at 400°F 12 minutes.</t>
        </is>
      </c>
      <c r="AC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0% of this dish's available carbohydrate comes from ingredients with a published, measured GI; the rest uses conventional placeholders (see Ingredients sheet)</t>
        </is>
      </c>
      <c r="Z595" s="2" t="n">
        <v>0</v>
      </c>
      <c r="AA595" s="3" t="inlineStr">
        <is>
          <t>vegan, gluten-free, dairy-free, nut-free, low-carb, high-protein, high-fiber</t>
        </is>
      </c>
      <c r="AB595" s="3" t="inlineStr">
        <is>
          <t>1. Pan-fry tofu cubes in oil until golden; remove.
2. Fry curry paste, garlic, ginger; add coconut milk, vegetables; simmer 8 minutes.
3. Return tofu; add tamari, lime, basil; serve over cauliflower rice.</t>
        </is>
      </c>
      <c r="AC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67% of this dish's available carbohydrate comes from ingredients with a published, measured GI; the rest uses conventional placeholders (see Ingredients sheet)</t>
        </is>
      </c>
      <c r="Z596" s="2" t="n">
        <v>67</v>
      </c>
      <c r="AA596" s="3" t="inlineStr">
        <is>
          <t>vegan, gluten-free, dairy-free, high-fiber, quick</t>
        </is>
      </c>
      <c r="AB596" s="3" t="inlineStr">
        <is>
          <t>1. Blend avocado, basil, garlic, lemon, oil, pine nuts, salt into pesto.
2. Warm zoodles 2 minutes; toss with pesto.
3. Add beans and tomatoes.</t>
        </is>
      </c>
      <c r="AC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32</v>
      </c>
      <c r="U597" s="2" t="inlineStr">
        <is>
          <t>low</t>
        </is>
      </c>
      <c r="V597" s="5" t="n">
        <v>10.3</v>
      </c>
      <c r="W597" s="2" t="inlineStr">
        <is>
          <t>medium</t>
        </is>
      </c>
      <c r="X597" s="3" t="inlineStr"/>
      <c r="Y597" s="3" t="inlineStr">
        <is>
          <t>50% of this dish's available carbohydrate comes from ingredients with a published, measured GI; the rest uses conventional placeholders (see Ingredients sheet)</t>
        </is>
      </c>
      <c r="Z597" s="2" t="n">
        <v>50</v>
      </c>
      <c r="AA597" s="3" t="inlineStr">
        <is>
          <t>vegetarian, gluten-free, nut-free, high-protein, high-fiber, one-pan</t>
        </is>
      </c>
      <c r="AB597" s="3" t="inlineStr">
        <is>
          <t>1. Sauté onion, pepper, garlic with spices in oil 7 minutes.
2. Add tomatoes, chickpeas, harissa; simmer 10 minutes.
3. Crack in eggs; cover 7 minutes; top feta, parsley.</t>
        </is>
      </c>
      <c r="AC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38</v>
      </c>
      <c r="U598" s="2" t="inlineStr">
        <is>
          <t>low</t>
        </is>
      </c>
      <c r="V598" s="5" t="n">
        <v>12.5</v>
      </c>
      <c r="W598" s="2" t="inlineStr">
        <is>
          <t>medium</t>
        </is>
      </c>
      <c r="X598" s="3" t="inlineStr"/>
      <c r="Y598" s="3" t="inlineStr">
        <is>
          <t>71% of this dish's available carbohydrate comes from ingredients with a published, measured GI; the rest uses conventional placeholders (see Ingredients sheet)</t>
        </is>
      </c>
      <c r="Z598" s="2" t="n">
        <v>71</v>
      </c>
      <c r="AA598" s="3" t="inlineStr">
        <is>
          <t>vegetarian, gluten-free, nut-free, high-fiber, meal-prep</t>
        </is>
      </c>
      <c r="AB598" s="3" t="inlineStr">
        <is>
          <t>1. Halve peppers; roast 10 minutes.
2. Mix quinoa, chickpeas, chopped spinach, olives, tomato, garlic, oregano, lemon, oil, half the feta.
3. Fill peppers; top remaining feta; bake at 400°F 20 minutes.</t>
        </is>
      </c>
      <c r="AC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18% of this dish's available carbohydrate comes from ingredients with a published, measured GI; the rest uses conventional placeholders (see Ingredients sheet)</t>
        </is>
      </c>
      <c r="Z599" s="2" t="n">
        <v>18</v>
      </c>
      <c r="AA599" s="3" t="inlineStr">
        <is>
          <t>vegan, gluten-free, dairy-free, low-carb, high-protein, high-fiber</t>
        </is>
      </c>
      <c r="AB599" s="3" t="inlineStr">
        <is>
          <t>1. Toss tofu cubes with arrowroot and half the oil; roast at 425°F 25 minutes with broccoli tossed in remaining oil.
2. Whisk peanut butter, tamari, lime, ginger, sriracha, warm water.
3. Drizzle sauce; top green onion, peanuts.</t>
        </is>
      </c>
      <c r="AC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29</v>
      </c>
      <c r="U600" s="2" t="inlineStr">
        <is>
          <t>low</t>
        </is>
      </c>
      <c r="V600" s="5" t="n">
        <v>7.2</v>
      </c>
      <c r="W600" s="2" t="inlineStr">
        <is>
          <t>low</t>
        </is>
      </c>
      <c r="X600" s="3" t="inlineStr"/>
      <c r="Y600" s="3" t="inlineStr">
        <is>
          <t>64% of this dish's available carbohydrate comes from ingredients with a published, measured GI; the rest uses conventional placeholders (see Ingredients sheet)</t>
        </is>
      </c>
      <c r="Z600" s="2" t="n">
        <v>64</v>
      </c>
      <c r="AA600" s="3" t="inlineStr">
        <is>
          <t>vegetarian, gluten-free, nut-free, high-fiber, make-ahead</t>
        </is>
      </c>
      <c r="AB600" s="3" t="inlineStr">
        <is>
          <t>1. Sauté onion, carrot, mushrooms, garlic; add lentils, tomato paste, broth, thyme, peas; simmer 10 minutes.
2. Mash steamed cauliflower with butter, milk, parmesan, salt.
3. Top filling with mash; bake at 400°F 25 minutes.</t>
        </is>
      </c>
      <c r="AC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15% of this dish's available carbohydrate comes from ingredients with a published, measured GI; the rest uses conventional placeholders (see Ingredients sheet)</t>
        </is>
      </c>
      <c r="Z601" s="2" t="n">
        <v>15</v>
      </c>
      <c r="AA601" s="3" t="inlineStr">
        <is>
          <t>vegetarian, gluten-free, dairy-free, nut-free, low-carb, high-fiber, quick</t>
        </is>
      </c>
      <c r="AB601" s="3" t="inlineStr">
        <is>
          <t>1. Scramble eggs in oil; remove.
2. Stir-fry carrot, garlic, ginger, cauliflower rice 5 minutes.
3. Add edamame, eggs, tamari, sesame oil, green onion.</t>
        </is>
      </c>
      <c r="AC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33</v>
      </c>
      <c r="U602" s="2" t="inlineStr">
        <is>
          <t>low</t>
        </is>
      </c>
      <c r="V602" s="5" t="n">
        <v>10.7</v>
      </c>
      <c r="W602" s="2" t="inlineStr">
        <is>
          <t>medium</t>
        </is>
      </c>
      <c r="X602" s="3" t="inlineStr"/>
      <c r="Y602" s="3" t="inlineStr">
        <is>
          <t>74% of this dish's available carbohydrate comes from ingredients with a published, measured GI; the rest uses conventional placeholders (see Ingredients sheet)</t>
        </is>
      </c>
      <c r="Z602" s="2" t="n">
        <v>74</v>
      </c>
      <c r="AA602" s="3" t="inlineStr">
        <is>
          <t>vegan, gluten-free, dairy-free, high-fiber</t>
        </is>
      </c>
      <c r="AB602" s="3" t="inlineStr">
        <is>
          <t>1. Pulse chickpeas, onion, garlic, herbs, spices, baking powder, almond flour, salt; form 16 balls; brush with oil.
2. Bake at 425°F 22 minutes, flipping once.
3. Whisk tahini, lemon, water; serve with cucumber-tomato salad.</t>
        </is>
      </c>
      <c r="AC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34% of this dish's available carbohydrate comes from ingredients with a published, measured GI; the rest uses conventional placeholders (see Ingredients sheet)</t>
        </is>
      </c>
      <c r="Z603" s="2" t="n">
        <v>34</v>
      </c>
      <c r="AA603" s="3" t="inlineStr">
        <is>
          <t>vegetarian, gluten-free, nut-free, high-fiber</t>
        </is>
      </c>
      <c r="AB603" s="3" t="inlineStr">
        <is>
          <t>1. Roast halved squash 40 minutes; scrape.
2. Sauté garlic and vegetables 5 minutes; add beans.
3. Toss with squash, lemon, parmesan, basil.</t>
        </is>
      </c>
      <c r="AC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59% of this dish's available carbohydrate comes from ingredients with a published, measured GI; the rest uses conventional placeholders (see Ingredients sheet)</t>
        </is>
      </c>
      <c r="Z604" s="2" t="n">
        <v>59</v>
      </c>
      <c r="AA604" s="3" t="inlineStr">
        <is>
          <t>vegetarian, gluten-free, nut-free</t>
        </is>
      </c>
      <c r="AB604" s="3" t="inlineStr">
        <is>
          <t>1. Brush caps with oil and garlic; roast 8 minutes.
2. Fill with halved tomato, mozzarella, beans; bake 10 minutes.
3. Top basil and balsamic.</t>
        </is>
      </c>
      <c r="AC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55% of this dish's available carbohydrate comes from ingredients with a published, measured GI; the rest uses conventional placeholders (see Ingredients sheet)</t>
        </is>
      </c>
      <c r="Z605" s="2" t="n">
        <v>55</v>
      </c>
      <c r="AA605" s="3" t="inlineStr">
        <is>
          <t>vegan, gluten-free, dairy-free, nut-free, high-protein, high-fiber, quick</t>
        </is>
      </c>
      <c r="AB605" s="3" t="inlineStr">
        <is>
          <t>1. Crumble tofu; sauté with turmeric, cumin, nutritional yeast, pepper 6 minutes.
2. Sauté cauliflower rice.
3. Bowl with beans, salsa, avocado, cilantro.</t>
        </is>
      </c>
      <c r="AC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40</v>
      </c>
      <c r="U606" s="2" t="inlineStr">
        <is>
          <t>low</t>
        </is>
      </c>
      <c r="V606" s="5" t="n">
        <v>9.6</v>
      </c>
      <c r="W606" s="2" t="inlineStr">
        <is>
          <t>low</t>
        </is>
      </c>
      <c r="X606" s="3" t="inlineStr"/>
      <c r="Y606" s="3" t="inlineStr">
        <is>
          <t>79% of this dish's available carbohydrate comes from ingredients with a published, measured GI; the rest uses conventional placeholders (see Ingredients sheet)</t>
        </is>
      </c>
      <c r="Z606" s="2" t="n">
        <v>79</v>
      </c>
      <c r="AA606" s="3" t="inlineStr">
        <is>
          <t>vegetarian, dairy-free, high-fiber, make-ahead</t>
        </is>
      </c>
      <c r="AB606" s="3" t="inlineStr">
        <is>
          <t>1. Sauté onion, carrot, mushrooms, garlic; pulse with lentils, oats, walnuts, eggs, half the tomato paste, tamari, thyme.
2. Press into a loaf pan; glaze with remaining tomato paste.
3. Bake at 375°F 50 minutes; rest 10.</t>
        </is>
      </c>
      <c r="AC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75% of this dish's available carbohydrate comes from ingredients with a published, measured GI; the rest uses conventional placeholders (see Ingredients sheet)</t>
        </is>
      </c>
      <c r="Z607" s="2" t="n">
        <v>75</v>
      </c>
      <c r="AA607" s="3" t="inlineStr">
        <is>
          <t>vegan, dairy-free, nut-free, high-fiber</t>
        </is>
      </c>
      <c r="AB607" s="3" t="inlineStr">
        <is>
          <t>1. Cook soba; rinse cold.
2. Whisk tamari, vinegar, sesame oil, ginger.
3. Toss soba with edamame, vegetables, dressing; sesame.</t>
        </is>
      </c>
      <c r="AC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21% of this dish's available carbohydrate comes from ingredients with a published, measured GI; the rest uses conventional placeholders (see Ingredients sheet)</t>
        </is>
      </c>
      <c r="Z608" s="2" t="n">
        <v>21</v>
      </c>
      <c r="AA608" s="3" t="inlineStr">
        <is>
          <t>vegetarian, gluten-free, nut-free, low-carb, make-ahead</t>
        </is>
      </c>
      <c r="AB608" s="3" t="inlineStr">
        <is>
          <t>1. Slice zucchini; salt, blot, grill briefly. Sauté mushrooms and garlic; add marinara.
2. Mix ricotta, egg, spinach, seasoning.
3. Layer zucchini, ricotta, sauce; top cheeses; bake at 375°F 40 minutes.</t>
        </is>
      </c>
      <c r="AC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29</v>
      </c>
      <c r="U609" s="2" t="inlineStr">
        <is>
          <t>low</t>
        </is>
      </c>
      <c r="V609" s="5" t="n">
        <v>8.5</v>
      </c>
      <c r="W609" s="2" t="inlineStr">
        <is>
          <t>low</t>
        </is>
      </c>
      <c r="X609" s="3" t="inlineStr"/>
      <c r="Y609" s="3" t="inlineStr">
        <is>
          <t>44% of this dish's available carbohydrate comes from ingredients with a published, measured GI; the rest uses conventional placeholders (see Ingredients sheet)</t>
        </is>
      </c>
      <c r="Z609" s="2" t="n">
        <v>44</v>
      </c>
      <c r="AA609" s="3" t="inlineStr">
        <is>
          <t>vegetarian, gluten-free, nut-free, high-fiber</t>
        </is>
      </c>
      <c r="AB609" s="3" t="inlineStr">
        <is>
          <t>1. Roast cauliflower florets with half the oil and half the spices at 425°F 20 minutes.
2. Sauté onion, garlic, ginger, remaining spices; add tomatoes; simmer 10 minutes; add coconut milk.
3. Stir in cauliflower, chickpeas, yogurt; garnish cilantro.</t>
        </is>
      </c>
      <c r="AC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19% of this dish's available carbohydrate comes from ingredients with a published, measured GI; the rest uses conventional placeholders (see Ingredients sheet)</t>
        </is>
      </c>
      <c r="Z610" s="2" t="n">
        <v>19</v>
      </c>
      <c r="AA610" s="3" t="inlineStr">
        <is>
          <t>vegetarian, gluten-free, low-carb</t>
        </is>
      </c>
      <c r="AB610" s="3" t="inlineStr">
        <is>
          <t>1. Grate zucchini; salt; squeeze very dry. Mix with eggs, feta, almond flour, green onion, herbs.
2. Pan-fry spoonfuls in oil 3 minutes per side.
3. Mix yogurt, grated cucumber, garlic; serve.</t>
        </is>
      </c>
      <c r="AC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180 g (6.3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180.0,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401</v>
      </c>
      <c r="O611" s="5" t="n">
        <v>14.7</v>
      </c>
      <c r="P611" s="5" t="n">
        <v>17</v>
      </c>
      <c r="Q611" s="5" t="n">
        <v>52.6</v>
      </c>
      <c r="R611" s="5" t="n">
        <v>14.2</v>
      </c>
      <c r="S611" s="5" t="n">
        <v>38.5</v>
      </c>
      <c r="T611" s="2" t="n">
        <v>48</v>
      </c>
      <c r="U611" s="2" t="inlineStr">
        <is>
          <t>low</t>
        </is>
      </c>
      <c r="V611" s="5" t="n">
        <v>18.5</v>
      </c>
      <c r="W611" s="2" t="inlineStr">
        <is>
          <t>medium</t>
        </is>
      </c>
      <c r="X611" s="3" t="inlineStr"/>
      <c r="Y611" s="3" t="inlineStr">
        <is>
          <t>81% of this dish's available carbohydrate comes from ingredients with a published, measured GI; the rest uses conventional placeholders (see Ingredients sheet)</t>
        </is>
      </c>
      <c r="Z611" s="2" t="n">
        <v>81</v>
      </c>
      <c r="AA611" s="3" t="inlineStr">
        <is>
          <t>vegan, gluten-free, dairy-free, nut-free, high-fiber, meal-prep</t>
        </is>
      </c>
      <c r="AB611" s="3" t="inlineStr">
        <is>
          <t>1. Roast chickpeas, sweet potato, broccoli with oil, paprika, salt at 425°F 22 minutes.
2. Whisk tahini, lemon, garlic, water.
3. Bowl quinoa, kale, cabbage, roasted items, avocado; drizzle tahini.</t>
        </is>
      </c>
      <c r="AC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12% of this dish's available carbohydrate comes from ingredients with a published, measured GI; the rest uses conventional placeholders (see Ingredients sheet)</t>
        </is>
      </c>
      <c r="Z612" s="2" t="n">
        <v>12</v>
      </c>
      <c r="AA612" s="3" t="inlineStr">
        <is>
          <t>vegetarian, gluten-free, nut-free, low-carb</t>
        </is>
      </c>
      <c r="AB612" s="3" t="inlineStr">
        <is>
          <t>1. Sear mushrooms in oil until browned; add onion, garlic, thyme, paprika.
2. Add broth; reduce; stir in yogurt and Dijon off heat.
3. Serve over sautéed zoodles with parsley.</t>
        </is>
      </c>
      <c r="AC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79% of this dish's available carbohydrate comes from ingredients with a published, measured GI; the rest uses conventional placeholders (see Ingredients sheet)</t>
        </is>
      </c>
      <c r="Z613" s="2" t="n">
        <v>79</v>
      </c>
      <c r="AA613" s="3" t="inlineStr">
        <is>
          <t>vegetarian, gluten-free, nut-free, high-fiber, one-pan</t>
        </is>
      </c>
      <c r="AB613" s="3" t="inlineStr">
        <is>
          <t>1. Sauté diced sweet potato in oil covered 8 minutes; add onion, pepper, garlic, cumin.
2. Add beans and enchilada sauce; simmer 8 minutes.
3. Top cheddar; cover to melt; serve with yogurt, avocado, cilantro.</t>
        </is>
      </c>
      <c r="AC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28% of this dish's available carbohydrate comes from ingredients with a published, measured GI; the rest uses conventional placeholders (see Ingredients sheet)</t>
        </is>
      </c>
      <c r="Z614" s="2" t="n">
        <v>28</v>
      </c>
      <c r="AA614" s="3" t="inlineStr">
        <is>
          <t>vegetarian, gluten-free, dairy-free, nut-free, low-carb</t>
        </is>
      </c>
      <c r="AB614" s="3" t="inlineStr">
        <is>
          <t>1. Marinate tofu slabs in tamari, garlic, five-spice; pan-fry in oil until crisp.
2. Quick-pickle carrot and daikon in vinegar 15 minutes.
3. Fill lettuce with tofu, pickles, cucumber, jalapeño, cilantro, sriracha mayo.</t>
        </is>
      </c>
      <c r="AC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55% of this dish's available carbohydrate comes from ingredients with a published, measured GI; the rest uses conventional placeholders (see Ingredients sheet)</t>
        </is>
      </c>
      <c r="Z615" s="2" t="n">
        <v>55</v>
      </c>
      <c r="AA615" s="3" t="inlineStr">
        <is>
          <t>vegan, gluten-free, dairy-free, nut-free, high-fiber, make-ahead</t>
        </is>
      </c>
      <c r="AB615" s="3" t="inlineStr">
        <is>
          <t>1. Sauté onion and garlic in oil; add eggplant, pepper 8 minutes.
2. Add zucchini, tomato, thyme; simmer 20 minutes.
3. Stir in beans; finish basil.</t>
        </is>
      </c>
      <c r="AC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0% of this dish's available carbohydrate comes from ingredients with a published, measured GI; the rest uses conventional placeholders (see Ingredients sheet)</t>
        </is>
      </c>
      <c r="Z616" s="2" t="n">
        <v>0</v>
      </c>
      <c r="AA616" s="3" t="inlineStr">
        <is>
          <t>vegetarian, gluten-free, nut-free, low-carb, make-ahead</t>
        </is>
      </c>
      <c r="AB616" s="3" t="inlineStr">
        <is>
          <t>1. Whisk eggs with cottage cheese, garlic powder, salt.
2. Stir in chopped vegetables and half the cheddar; pour into oiled dish.
3. Top remaining cheddar; bake at 350°F 35–40 minutes.</t>
        </is>
      </c>
      <c r="AC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40</v>
      </c>
      <c r="U617" s="2" t="inlineStr">
        <is>
          <t>low</t>
        </is>
      </c>
      <c r="V617" s="5" t="n">
        <v>16.8</v>
      </c>
      <c r="W617" s="2" t="inlineStr">
        <is>
          <t>medium</t>
        </is>
      </c>
      <c r="X617" s="3" t="inlineStr"/>
      <c r="Y617" s="3" t="inlineStr">
        <is>
          <t>84% of this dish's available carbohydrate comes from ingredients with a published, measured GI; the rest uses conventional placeholders (see Ingredients sheet)</t>
        </is>
      </c>
      <c r="Z617" s="2" t="n">
        <v>84</v>
      </c>
      <c r="AA617" s="3" t="inlineStr">
        <is>
          <t>vegetarian, gluten-free, nut-free, high-fiber</t>
        </is>
      </c>
      <c r="AB617" s="3" t="inlineStr">
        <is>
          <t>1. Sauté onion, garlic; add lentils, seasoning, tomato paste, splash of water; cook 6 minutes.
2. Toss cabbage with lime and half the yogurt.
3. Fill tortillas with lentils, slaw, avocado, yogurt, cilantro.</t>
        </is>
      </c>
      <c r="AC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0% of this dish's available carbohydrate comes from ingredients with a published, measured GI; the rest uses conventional placeholders (see Ingredients sheet)</t>
        </is>
      </c>
      <c r="Z618" s="2" t="n">
        <v>0</v>
      </c>
      <c r="AA618" s="3" t="inlineStr">
        <is>
          <t>vegan, gluten-free, dairy-free, nut-free, low-carb, high-protein, high-fiber, quick</t>
        </is>
      </c>
      <c r="AB618" s="3" t="inlineStr">
        <is>
          <t>1. Pan-fry tempeh slices in oil until golden; remove.
2. Stir-fry shiitake, garlic, ginger; add bok choy 3 minutes.
3. Return tempeh with tamari, vinegar, sesame oil; sesame.</t>
        </is>
      </c>
      <c r="AC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54% of this dish's available carbohydrate comes from ingredients with a published, measured GI; the rest uses conventional placeholders (see Ingredients sheet)</t>
        </is>
      </c>
      <c r="Z619" s="2" t="n">
        <v>54</v>
      </c>
      <c r="AA619" s="3" t="inlineStr">
        <is>
          <t>vegetarian, gluten-free</t>
        </is>
      </c>
      <c r="AB619" s="3" t="inlineStr">
        <is>
          <t>1. Brush caps with oil; roast 8 minutes.
2. Sauté spinach and garlic; mix with feta, ricotta, dill, beans.
3. Fill; top pine nuts; bake at 400°F 12 minutes.</t>
        </is>
      </c>
      <c r="AC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77% of this dish's available carbohydrate comes from ingredients with a published, measured GI; the rest uses conventional placeholders (see Ingredients sheet)</t>
        </is>
      </c>
      <c r="Z620" s="2" t="n">
        <v>77</v>
      </c>
      <c r="AA620" s="3" t="inlineStr">
        <is>
          <t>vegetarian, gluten-free, nut-free, high-fiber</t>
        </is>
      </c>
      <c r="AB620" s="3" t="inlineStr">
        <is>
          <t>1. Halve zucchini; scoop.
2. Mix quinoa, beans, corn, salsa, cumin, chopped zucchini flesh.
3. Fill; top cheese; bake at 400°F 25 minutes; cilantro.</t>
        </is>
      </c>
      <c r="AC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0% of this dish's available carbohydrate comes from ingredients with a published, measured GI; the rest uses conventional placeholders (see Ingredients sheet)</t>
        </is>
      </c>
      <c r="Z621" s="2" t="n">
        <v>0</v>
      </c>
      <c r="AA621" s="3" t="inlineStr">
        <is>
          <t>vegetarian, gluten-free, dairy-free, nut-free, low-carb</t>
        </is>
      </c>
      <c r="AB621" s="3" t="inlineStr">
        <is>
          <t>1. Sauté onion, garlic, ginger, curry powder in oil.
2. Add tomatoes, coconut milk, cauliflower, green beans; simmer 15 minutes.
3. Add halved eggs; warm; garnish cilantro.</t>
        </is>
      </c>
      <c r="AC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77% of this dish's available carbohydrate comes from ingredients with a published, measured GI; the rest uses conventional placeholders (see Ingredients sheet)</t>
        </is>
      </c>
      <c r="Z622" s="2" t="n">
        <v>77</v>
      </c>
      <c r="AA622" s="3" t="inlineStr">
        <is>
          <t>vegetarian, gluten-free, nut-free, make-ahead</t>
        </is>
      </c>
      <c r="AB622" s="3" t="inlineStr">
        <is>
          <t>1. Sauté onion and garlic; steam broccoli.
2. Mix quinoa, broccoli, yogurt, eggs, milk, Dijon, half the cheddar, salt.
3. Spread in a dish; top cheddar; bake at 375°F 25 minutes.</t>
        </is>
      </c>
      <c r="AC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34</v>
      </c>
      <c r="U623" s="2" t="inlineStr">
        <is>
          <t>low</t>
        </is>
      </c>
      <c r="V623" s="5" t="n">
        <v>11.1</v>
      </c>
      <c r="W623" s="2" t="inlineStr">
        <is>
          <t>medium</t>
        </is>
      </c>
      <c r="X623" s="3" t="inlineStr"/>
      <c r="Y623" s="3" t="inlineStr">
        <is>
          <t>74% of this dish's available carbohydrate comes from ingredients with a published, measured GI; the rest uses conventional placeholders (see Ingredients sheet)</t>
        </is>
      </c>
      <c r="Z623" s="2" t="n">
        <v>74</v>
      </c>
      <c r="AA623" s="3" t="inlineStr">
        <is>
          <t>vegetarian, gluten-free, nut-free, high-fiber, one-pan, quick</t>
        </is>
      </c>
      <c r="AB623" s="3" t="inlineStr">
        <is>
          <t>1. Sauté onion and garlic in oil; add tomatoes, chickpeas, oregano; simmer 10 minutes.
2. Stir in spinach and olives.
3. Top feta and lemon.</t>
        </is>
      </c>
      <c r="AC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7% of this dish's available carbohydrate comes from ingredients with a published, measured GI; the rest uses conventional placeholders (see Ingredients sheet)</t>
        </is>
      </c>
      <c r="Z624" s="2" t="n">
        <v>7</v>
      </c>
      <c r="AA624" s="3" t="inlineStr">
        <is>
          <t>vegetarian, gluten-free, dairy-free, low-carb, high-protein</t>
        </is>
      </c>
      <c r="AB624" s="3" t="inlineStr">
        <is>
          <t>1. Pan-fry tofu cubes until crisp; push aside; scramble eggs.
2. Add zoodles, garlic, tamari, lime, sweetener, sriracha; toss 2 minutes.
3. Add sprouts, green onion; top peanuts, cilantro.</t>
        </is>
      </c>
      <c r="AC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24</v>
      </c>
      <c r="U625" s="2" t="inlineStr">
        <is>
          <t>low</t>
        </is>
      </c>
      <c r="V625" s="5" t="n">
        <v>2.9</v>
      </c>
      <c r="W625" s="2" t="inlineStr">
        <is>
          <t>low</t>
        </is>
      </c>
      <c r="X625" s="3" t="inlineStr"/>
      <c r="Y625" s="3" t="inlineStr">
        <is>
          <t>33% of this dish's available carbohydrate comes from ingredients with a published, measured GI; the rest uses conventional placeholders (see Ingredients sheet)</t>
        </is>
      </c>
      <c r="Z625" s="2" t="n">
        <v>33</v>
      </c>
      <c r="AA625" s="3" t="inlineStr">
        <is>
          <t>vegetarian, gluten-free, dairy-free, nut-free, low-carb, high-protein, high-fiber, quick</t>
        </is>
      </c>
      <c r="AB625" s="3" t="inlineStr">
        <is>
          <t>1. Pan-fry tofu cubes until golden; remove.
2. Scramble eggs; add carrot, garlic, ginger, cauliflower rice 5 minutes.
3. Add peas, tofu, tamari, sesame oil, green onion.</t>
        </is>
      </c>
      <c r="AC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36</v>
      </c>
      <c r="U626" s="2" t="inlineStr">
        <is>
          <t>low</t>
        </is>
      </c>
      <c r="V626" s="5" t="n">
        <v>14.1</v>
      </c>
      <c r="W626" s="2" t="inlineStr">
        <is>
          <t>medium</t>
        </is>
      </c>
      <c r="X626" s="3" t="inlineStr"/>
      <c r="Y626" s="3" t="inlineStr">
        <is>
          <t>80% of this dish's available carbohydrate comes from ingredients with a published, measured GI; the rest uses conventional placeholders (see Ingredients sheet)</t>
        </is>
      </c>
      <c r="Z626" s="2" t="n">
        <v>80</v>
      </c>
      <c r="AA626" s="3" t="inlineStr">
        <is>
          <t>vegetarian, gluten-free, nut-free, high-fiber</t>
        </is>
      </c>
      <c r="AB626" s="3" t="inlineStr">
        <is>
          <t>1. Boil whole sweet potatoes 20–25 minutes until tender (boiling keeps the GI far lower than baking).
2. Sauté onion, pepper, garlic, spices; add beans and tomatoes; simmer 15 minutes.
3. Split potatoes; fill with chili; top yogurt, cheddar, green onion.</t>
        </is>
      </c>
      <c r="AC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23% of this dish's available carbohydrate comes from ingredients with a published, measured GI; the rest uses conventional placeholders (see Ingredients sheet)</t>
        </is>
      </c>
      <c r="Z627" s="2" t="n">
        <v>23</v>
      </c>
      <c r="AA627" s="3" t="inlineStr">
        <is>
          <t>vegetarian, gluten-free, nut-free, high-fiber, make-ahead</t>
        </is>
      </c>
      <c r="AB627" s="3" t="inlineStr">
        <is>
          <t>1. Slice eggplant lengthwise thin; brush with oil; roast at 425°F 12 minutes until pliable.
2. Mix ricotta, egg, spinach, parmesan, garlic; spread on slices and roll.
3. Place in marinara; top mozzarella; bake at 375°F 25 minutes; basil.</t>
        </is>
      </c>
      <c r="AC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71% of this dish's available carbohydrate comes from ingredients with a published, measured GI; the rest uses conventional placeholders (see Ingredients sheet)</t>
        </is>
      </c>
      <c r="Z628" s="2" t="n">
        <v>71</v>
      </c>
      <c r="AA628" s="3" t="inlineStr">
        <is>
          <t>vegetarian, gluten-free, nut-free, high-protein, high-fiber, one-pan</t>
        </is>
      </c>
      <c r="AB628" s="3" t="inlineStr">
        <is>
          <t>1. Sauté garlic and pepper flakes in oil; add tomatoes and beans; simmer 5 minutes.
2. Add kale until wilted; make wells; crack eggs; cover 6 minutes.
3. Top parmesan and lemon.</t>
        </is>
      </c>
      <c r="AC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5% of this dish's available carbohydrate comes from ingredients with a published, measured GI; the rest uses conventional placeholders (see Ingredients sheet)</t>
        </is>
      </c>
      <c r="Z629" s="2" t="n">
        <v>5</v>
      </c>
      <c r="AA629" s="3" t="inlineStr">
        <is>
          <t>vegetarian, gluten-free, nut-free, high-protein, high-fiber</t>
        </is>
      </c>
      <c r="AB629" s="3" t="inlineStr">
        <is>
          <t>1. Crumble tempeh; brown in oil with onion, carrot, celery, garlic.
2. Add wine, tomatoes, seasoning; simmer 20 minutes.
3. Serve over al dente pasta with parmesan.</t>
        </is>
      </c>
      <c r="AC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28</v>
      </c>
      <c r="U630" s="2" t="inlineStr">
        <is>
          <t>low</t>
        </is>
      </c>
      <c r="V630" s="5" t="n">
        <v>8.300000000000001</v>
      </c>
      <c r="W630" s="2" t="inlineStr">
        <is>
          <t>low</t>
        </is>
      </c>
      <c r="X630" s="3" t="inlineStr"/>
      <c r="Y630" s="3" t="inlineStr">
        <is>
          <t>41% of this dish's available carbohydrate comes from ingredients with a published, measured GI; the rest uses conventional placeholders (see Ingredients sheet)</t>
        </is>
      </c>
      <c r="Z630" s="2" t="n">
        <v>41</v>
      </c>
      <c r="AA630" s="3" t="inlineStr">
        <is>
          <t>vegan, gluten-free, dairy-free, high-fiber, make-ahead</t>
        </is>
      </c>
      <c r="AB630" s="3" t="inlineStr">
        <is>
          <t>1. Blanch cabbage leaves. Mix lentils, cauliflower rice, sautéed onion, garlic, walnuts, paprika, salt.
2. Roll filling in leaves; place in a dish; cover with tomato sauce and tomatoes.
3. Bake covered at 350°F 60 minutes; dill.</t>
        </is>
      </c>
      <c r="AC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26</v>
      </c>
      <c r="U631" s="2" t="inlineStr">
        <is>
          <t>low</t>
        </is>
      </c>
      <c r="V631" s="5" t="n">
        <v>5.7</v>
      </c>
      <c r="W631" s="2" t="inlineStr">
        <is>
          <t>low</t>
        </is>
      </c>
      <c r="X631" s="3" t="inlineStr"/>
      <c r="Y631" s="3" t="inlineStr">
        <is>
          <t>56% of this dish's available carbohydrate comes from ingredients with a published, measured GI; the rest uses conventional placeholders (see Ingredients sheet)</t>
        </is>
      </c>
      <c r="Z631" s="2" t="n">
        <v>56</v>
      </c>
      <c r="AA631" s="3" t="inlineStr">
        <is>
          <t>vegetarian, gluten-free, nut-free, high-fiber</t>
        </is>
      </c>
      <c r="AB631" s="3" t="inlineStr">
        <is>
          <t>1. Thread feta cubes and vegetables on skewers; brush with oil and oregano.
2. Grill 8–10 minutes, turning gently.
3. Serve over chickpeas dressed with lemon.</t>
        </is>
      </c>
      <c r="AC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69% of this dish's available carbohydrate comes from ingredients with a published, measured GI; the rest uses conventional placeholders (see Ingredients sheet)</t>
        </is>
      </c>
      <c r="Z632" s="2" t="n">
        <v>69</v>
      </c>
      <c r="AA632" s="3" t="inlineStr">
        <is>
          <t>vegan, gluten-free, dairy-free, nut-free, high-fiber</t>
        </is>
      </c>
      <c r="AB632" s="3" t="inlineStr">
        <is>
          <t>1. Cut cauliflower into 1-inch steaks; brush with a third of the oil; roast at 425°F 25 minutes, flipping once.
2. Blend remaining oil, herbs, garlic, vinegar, oregano, pepper flakes.
3. Serve steaks over warm beans with chimichurri.</t>
        </is>
      </c>
      <c r="AC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7% of this dish's available carbohydrate comes from ingredients with a published, measured GI; the rest uses conventional placeholders (see Ingredients sheet)</t>
        </is>
      </c>
      <c r="Z633" s="2" t="n">
        <v>7</v>
      </c>
      <c r="AA633" s="3" t="inlineStr">
        <is>
          <t>vegetarian, gluten-free, nut-free, high-protein, high-fiber</t>
        </is>
      </c>
      <c r="AB633" s="3" t="inlineStr">
        <is>
          <t>1. Toss tofu cubes with half the yogurt and spices; roast at 425°F 20 minutes.
2. Sauté onion, ginger, garlic, remaining spices; add tomatoes, simmer 10 minutes; add coconut milk and yogurt.
3. Add tofu; serve over cauliflower rice with cilantro.</t>
        </is>
      </c>
      <c r="AC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32% of this dish's available carbohydrate comes from ingredients with a published, measured GI; the rest uses conventional placeholders (see Ingredients sheet)</t>
        </is>
      </c>
      <c r="Z634" s="2" t="n">
        <v>32</v>
      </c>
      <c r="AA634" s="3" t="inlineStr">
        <is>
          <t>vegetarian, gluten-free, nut-free, high-fiber</t>
        </is>
      </c>
      <c r="AB634" s="3" t="inlineStr">
        <is>
          <t>1. Roast halved squash 40 minutes; scrape strands.
2. Mix strands with sautéed spinach and garlic, artichokes, cream cheese, yogurt, beans, half the cheeses.
3. Return to shells; top remaining cheese; broil 4 minutes.</t>
        </is>
      </c>
      <c r="AC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32</v>
      </c>
      <c r="U635" s="2" t="inlineStr">
        <is>
          <t>low</t>
        </is>
      </c>
      <c r="V635" s="5" t="n">
        <v>8.9</v>
      </c>
      <c r="W635" s="2" t="inlineStr">
        <is>
          <t>low</t>
        </is>
      </c>
      <c r="X635" s="3" t="inlineStr"/>
      <c r="Y635" s="3" t="inlineStr">
        <is>
          <t>63% of this dish's available carbohydrate comes from ingredients with a published, measured GI; the rest uses conventional placeholders (see Ingredients sheet)</t>
        </is>
      </c>
      <c r="Z635" s="2" t="n">
        <v>63</v>
      </c>
      <c r="AA635" s="3" t="inlineStr">
        <is>
          <t>vegan, gluten-free, dairy-free, high-fiber, make-ahead</t>
        </is>
      </c>
      <c r="AB635" s="3" t="inlineStr">
        <is>
          <t>1. Sauté onion, garlic, spices in oil.
2. Add vegetables, tomatoes, chickpeas, harissa; simmer covered 25 minutes.
3. Top cilantro and toasted almonds.</t>
        </is>
      </c>
      <c r="AC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0% of this dish's available carbohydrate comes from ingredients with a published, measured GI; the rest uses conventional placeholders (see Ingredients sheet)</t>
        </is>
      </c>
      <c r="Z636" s="2" t="n">
        <v>0</v>
      </c>
      <c r="AA636" s="3" t="inlineStr">
        <is>
          <t>vegetarian, gluten-free, nut-free, low-carb</t>
        </is>
      </c>
      <c r="AB636" s="3" t="inlineStr">
        <is>
          <t>1. Sauté asparagus in oil in an ovenproof skillet 4 minutes; add spinach.
2. Pour in whisked egg whites and eggs with salt; add tomatoes, dot goat cheese.
3. Bake at 375°F 15 minutes; chives.</t>
        </is>
      </c>
      <c r="AC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24% of this dish's available carbohydrate comes from ingredients with a published, measured GI; the rest uses conventional placeholders (see Ingredients sheet)</t>
        </is>
      </c>
      <c r="Z637" s="2" t="n">
        <v>24</v>
      </c>
      <c r="AA637" s="3" t="inlineStr">
        <is>
          <t>vegan, gluten-free, dairy-free, low-carb, high-protein</t>
        </is>
      </c>
      <c r="AB637" s="3" t="inlineStr">
        <is>
          <t>1. Crumble tofu; pan-fry in oil 8 minutes until browned.
2. Whisk peanut butter, tamari, lime, sriracha, garlic, water; toss half with tofu.
3. Fill lettuce; add vegetables; drizzle remaining sauce; peanuts.</t>
        </is>
      </c>
      <c r="AC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27</v>
      </c>
      <c r="U638" s="2" t="inlineStr">
        <is>
          <t>low</t>
        </is>
      </c>
      <c r="V638" s="5" t="n">
        <v>6</v>
      </c>
      <c r="W638" s="2" t="inlineStr">
        <is>
          <t>low</t>
        </is>
      </c>
      <c r="X638" s="3" t="inlineStr"/>
      <c r="Y638" s="3" t="inlineStr">
        <is>
          <t>55% of this dish's available carbohydrate comes from ingredients with a published, measured GI; the rest uses conventional placeholders (see Ingredients sheet)</t>
        </is>
      </c>
      <c r="Z638" s="2" t="n">
        <v>55</v>
      </c>
      <c r="AA638" s="3" t="inlineStr">
        <is>
          <t>vegetarian, gluten-free, nut-free, high-fiber, make-ahead</t>
        </is>
      </c>
      <c r="AB638" s="3" t="inlineStr">
        <is>
          <t>1. Roast eggplant slices with oil 20 minutes.
2. Simmer lentils with onion, garlic, tomatoes, cinnamon, oregano 10 minutes.
3. Layer; top yogurt whisked with eggs, parmesan, nutmeg; bake at 375°F 30 minutes.</t>
        </is>
      </c>
      <c r="AC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37</v>
      </c>
      <c r="U639" s="2" t="inlineStr">
        <is>
          <t>low</t>
        </is>
      </c>
      <c r="V639" s="5" t="n">
        <v>12.6</v>
      </c>
      <c r="W639" s="2" t="inlineStr">
        <is>
          <t>medium</t>
        </is>
      </c>
      <c r="X639" s="3" t="inlineStr"/>
      <c r="Y639" s="3" t="inlineStr">
        <is>
          <t>87% of this dish's available carbohydrate comes from ingredients with a published, measured GI; the rest uses conventional placeholders (see Ingredients sheet)</t>
        </is>
      </c>
      <c r="Z639" s="2" t="n">
        <v>87</v>
      </c>
      <c r="AA639" s="3" t="inlineStr">
        <is>
          <t>vegetarian, dairy-free, nut-free, high-fiber</t>
        </is>
      </c>
      <c r="AB639" s="3" t="inlineStr">
        <is>
          <t>1. Mash chickpeas with oats, egg, garlic, cumin, parsley, salt; form patties; pan-fry 5 minutes per side.
2. Bowl greens, cucumber, tomato, olives.
3. Add patties and hummus; lemon.</t>
        </is>
      </c>
      <c r="AC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0% of this dish's available carbohydrate comes from ingredients with a published, measured GI; the rest uses conventional placeholders (see Ingredients sheet)</t>
        </is>
      </c>
      <c r="Z640" s="2" t="n">
        <v>0</v>
      </c>
      <c r="AA640" s="3" t="inlineStr">
        <is>
          <t>vegan, gluten-free, dairy-free, nut-free, low-carb</t>
        </is>
      </c>
      <c r="AB640" s="3" t="inlineStr">
        <is>
          <t>1. Thread pressed tofu and vegetables; brush with a third of the oil; grill 10–12 minutes.
2. Blend remaining oil, herbs, garlic, vinegar, oregano, salt.
3. Spoon over skewers.</t>
        </is>
      </c>
      <c r="AC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0% of this dish's available carbohydrate comes from ingredients with a published, measured GI; the rest uses conventional placeholders (see Ingredients sheet)</t>
        </is>
      </c>
      <c r="Z641" s="2" t="n">
        <v>0</v>
      </c>
      <c r="AA641" s="3" t="inlineStr">
        <is>
          <t>vegetarian, gluten-free, dairy-free, nut-free, low-carb, quick</t>
        </is>
      </c>
      <c r="AB641" s="3" t="inlineStr">
        <is>
          <t>1. Scramble eggs in oil; remove.
2. Stir-fry mushrooms until browned; add garlic, ginger, cabbage 5 minutes.
3. Return eggs; add tamari, vinegar, sesame oil, green onion, chili crisp.</t>
        </is>
      </c>
      <c r="AC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31</v>
      </c>
      <c r="U642" s="2" t="inlineStr">
        <is>
          <t>low</t>
        </is>
      </c>
      <c r="V642" s="5" t="n">
        <v>8</v>
      </c>
      <c r="W642" s="2" t="inlineStr">
        <is>
          <t>low</t>
        </is>
      </c>
      <c r="X642" s="3" t="inlineStr"/>
      <c r="Y642" s="3" t="inlineStr">
        <is>
          <t>75% of this dish's available carbohydrate comes from ingredients with a published, measured GI; the rest uses conventional placeholders (see Ingredients sheet)</t>
        </is>
      </c>
      <c r="Z642" s="2" t="n">
        <v>75</v>
      </c>
      <c r="AA642" s="3" t="inlineStr">
        <is>
          <t>vegetarian, gluten-free, nut-free, high-fiber, one-pan</t>
        </is>
      </c>
      <c r="AB642" s="3" t="inlineStr">
        <is>
          <t>1. Place feta in a dish surrounded by tomatoes, chickpeas, olives, garlic; drizzle oil, oregano, pepper flakes.
2. Bake at 400°F 25 minutes until tomatoes burst.
3. Stir in spinach and basil; mash feta into the sauce.</t>
        </is>
      </c>
      <c r="AC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11% of this dish's available carbohydrate comes from ingredients with a published, measured GI; the rest uses conventional placeholders (see Ingredients sheet)</t>
        </is>
      </c>
      <c r="Z643" s="2" t="n">
        <v>11</v>
      </c>
      <c r="AA643" s="3" t="inlineStr">
        <is>
          <t>vegetarian, gluten-free, dairy-free, nut-free, low-carb, high-fiber, quick</t>
        </is>
      </c>
      <c r="AB643" s="3" t="inlineStr">
        <is>
          <t>1. Scramble eggs; remove.
2. Stir-fry carrot, garlic, ginger, cauliflower rice 5 minutes; add edamame.
3. Return eggs; add tamari, sesame oil, green onion, torn nori.</t>
        </is>
      </c>
      <c r="AC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50% of this dish's available carbohydrate comes from ingredients with a published, measured GI; the rest uses conventional placeholders (see Ingredients sheet)</t>
        </is>
      </c>
      <c r="Z644" s="2" t="n">
        <v>50</v>
      </c>
      <c r="AA644" s="3" t="inlineStr">
        <is>
          <t>vegetarian, gluten-free, low-carb</t>
        </is>
      </c>
      <c r="AB644" s="3" t="inlineStr">
        <is>
          <t>1. Grate zucchini; salt; squeeze dry; mix with corn, eggs, almond flour, parmesan, green onion.
2. Pan-fry spoonfuls in oil 3 minutes per side.
3. Serve with yogurt, lime, cilantro.</t>
        </is>
      </c>
      <c r="AC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51% of this dish's available carbohydrate comes from ingredients with a published, measured GI; the rest uses conventional placeholders (see Ingredients sheet)</t>
        </is>
      </c>
      <c r="Z645" s="2" t="n">
        <v>51</v>
      </c>
      <c r="AA645" s="3" t="inlineStr">
        <is>
          <t>vegetarian, gluten-free, nut-free, high-fiber</t>
        </is>
      </c>
      <c r="AB645" s="3" t="inlineStr">
        <is>
          <t>1. Marinate caps in balsamic, tamari, garlic, half the oil; roast at 425°F 18 minutes.
2. Mash steamed cauliflower with butter, milk, parmesan, salt.
3. Serve mushrooms over mash with warm beans and thyme.</t>
        </is>
      </c>
      <c r="AC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11% of this dish's available carbohydrate comes from ingredients with a published, measured GI; the rest uses conventional placeholders (see Ingredients sheet)</t>
        </is>
      </c>
      <c r="Z646" s="2" t="n">
        <v>11</v>
      </c>
      <c r="AA646" s="3" t="inlineStr">
        <is>
          <t>vegan, gluten-free, dairy-free, low-carb, high-protein, high-fiber</t>
        </is>
      </c>
      <c r="AB646" s="3" t="inlineStr">
        <is>
          <t>1. Pan-fry tempeh cubes in oil; steam broccoli.
2. Whisk peanut butter, tamari, lime, ginger, sriracha, water.
3. Bowl cauliflower rice, vegetables, tempeh; sauce; peanuts.</t>
        </is>
      </c>
      <c r="AC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31</v>
      </c>
      <c r="U647" s="2" t="inlineStr">
        <is>
          <t>low</t>
        </is>
      </c>
      <c r="V647" s="5" t="n">
        <v>8.699999999999999</v>
      </c>
      <c r="W647" s="2" t="inlineStr">
        <is>
          <t>low</t>
        </is>
      </c>
      <c r="X647" s="3" t="inlineStr"/>
      <c r="Y647" s="3" t="inlineStr">
        <is>
          <t>69% of this dish's available carbohydrate comes from ingredients with a published, measured GI; the rest uses conventional placeholders (see Ingredients sheet)</t>
        </is>
      </c>
      <c r="Z647" s="2" t="n">
        <v>69</v>
      </c>
      <c r="AA647" s="3" t="inlineStr">
        <is>
          <t>vegetarian, gluten-free, nut-free, high-fiber, quick</t>
        </is>
      </c>
      <c r="AB647" s="3" t="inlineStr">
        <is>
          <t>1. Warm zoodles with garlic in oil 2 minutes.
2. Toss with chickpeas, tomato, mozzarella.
3. Balsamic, basil, salt.</t>
        </is>
      </c>
      <c r="AC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62% of this dish's available carbohydrate comes from ingredients with a published, measured GI; the rest uses conventional placeholders (see Ingredients sheet)</t>
        </is>
      </c>
      <c r="Z648" s="2" t="n">
        <v>62</v>
      </c>
      <c r="AA648" s="3" t="inlineStr">
        <is>
          <t>vegetarian, nut-free, high-fiber, make-ahead</t>
        </is>
      </c>
      <c r="AB648" s="3" t="inlineStr">
        <is>
          <t>1. Sauté onion, pepper, cumin; mix with beans, corn, chiles.
2. Layer tortillas, filling, sauce, cheese.
3. Bake at 375°F 25 minutes; yogurt, cilantro.</t>
        </is>
      </c>
      <c r="AC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0% of this dish's available carbohydrate comes from ingredients with a published, measured GI; the rest uses conventional placeholders (see Ingredients sheet)</t>
        </is>
      </c>
      <c r="Z649" s="2" t="n">
        <v>0</v>
      </c>
      <c r="AA649" s="3" t="inlineStr">
        <is>
          <t>vegan, dairy-free, nut-free, low-carb, high-fiber</t>
        </is>
      </c>
      <c r="AB649" s="3" t="inlineStr">
        <is>
          <t>1. Halve eggplants; score; brush with avocado oil; roast at 425°F 20 minutes.
2. Whisk miso, tamari, vinegar, sesame oil, ginger, sweetener; brush on; broil 3 minutes.
3. Serve with edamame, green onion, sesame.</t>
        </is>
      </c>
      <c r="AC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0% of this dish's available carbohydrate comes from ingredients with a published, measured GI; the rest uses conventional placeholders (see Ingredients sheet)</t>
        </is>
      </c>
      <c r="Z650" s="2" t="n">
        <v>0</v>
      </c>
      <c r="AA650" s="3" t="inlineStr">
        <is>
          <t>vegan, gluten-free, dairy-free, nut-free, low-carb, quick</t>
        </is>
      </c>
      <c r="AB650" s="3" t="inlineStr">
        <is>
          <t>1. Crumble tofu; brown in oil 8 minutes.
2. Add garlic, ginger, slaw, tamari, vinegar; cook 5 minutes.
3. Sesame oil, green onion, sriracha.</t>
        </is>
      </c>
      <c r="AC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11% of this dish's available carbohydrate comes from ingredients with a published, measured GI; the rest uses conventional placeholders (see Ingredients sheet)</t>
        </is>
      </c>
      <c r="Z651" s="2" t="n">
        <v>11</v>
      </c>
      <c r="AA651" s="3" t="inlineStr">
        <is>
          <t>vegetarian, gluten-free, nut-free, low-carb, make-ahead</t>
        </is>
      </c>
      <c r="AB651" s="3" t="inlineStr">
        <is>
          <t>1. Roast vegetables with oil at 425°F 15 minutes.
2. Whisk eggs, milk, salt; pour over vegetables in an ovenproof skillet; dot goat cheese, thyme.
3. Bake at 375°F 18 minutes.</t>
        </is>
      </c>
      <c r="AC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36</v>
      </c>
      <c r="U652" s="2" t="inlineStr">
        <is>
          <t>low</t>
        </is>
      </c>
      <c r="V652" s="5" t="n">
        <v>10.3</v>
      </c>
      <c r="W652" s="2" t="inlineStr">
        <is>
          <t>medium</t>
        </is>
      </c>
      <c r="X652" s="3" t="inlineStr"/>
      <c r="Y652" s="3" t="inlineStr">
        <is>
          <t>92% of this dish's available carbohydrate comes from ingredients with a published, measured GI; the rest uses conventional placeholders (see Ingredients sheet)</t>
        </is>
      </c>
      <c r="Z652" s="2" t="n">
        <v>92</v>
      </c>
      <c r="AA652" s="3" t="inlineStr">
        <is>
          <t>vegetarian, gluten-free, nut-free, high-fiber, no-cook</t>
        </is>
      </c>
      <c r="AB652" s="3" t="inlineStr">
        <is>
          <t>1. Mash chickpeas roughly.
2. Mix with celery, onion, pickle, mayo, yogurt, Dijon, lemon, crumbled nori, dill.
3. Serve in lettuce cups.</t>
        </is>
      </c>
      <c r="AC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18% of this dish's available carbohydrate comes from ingredients with a published, measured GI; the rest uses conventional placeholders (see Ingredients sheet)</t>
        </is>
      </c>
      <c r="Z653" s="2" t="n">
        <v>18</v>
      </c>
      <c r="AA653" s="3" t="inlineStr">
        <is>
          <t>vegetarian, gluten-free, nut-free, low-carb, make-ahead</t>
        </is>
      </c>
      <c r="AB653" s="3" t="inlineStr">
        <is>
          <t>1. Steam cauliflower; chop.
2. Mix yogurt, cream cheese, eggs, garlic powder, half the cheddar, salt; fold in cauliflower.
3. Top cheddar; bake at 375°F 25 minutes; green onion.</t>
        </is>
      </c>
      <c r="AC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15% of this dish's available carbohydrate comes from ingredients with a published, measured GI; the rest uses conventional placeholders (see Ingredients sheet)</t>
        </is>
      </c>
      <c r="Z654" s="2" t="n">
        <v>15</v>
      </c>
      <c r="AA654" s="3" t="inlineStr">
        <is>
          <t>vegan, gluten-free, dairy-free, nut-free, low-carb, high-protein, high-fiber</t>
        </is>
      </c>
      <c r="AB654" s="3" t="inlineStr">
        <is>
          <t>1. Pan-fry tofu until crisp.
2. Rinse and dry-fry shirataki; stir-fry vegetables 3 minutes.
3. Whisk tahini, tamari, vinegar, sesame oil, garlic, ginger, water; toss everything; sesame.</t>
        </is>
      </c>
      <c r="AC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74% of this dish's available carbohydrate comes from ingredients with a published, measured GI; the rest uses conventional placeholders (see Ingredients sheet)</t>
        </is>
      </c>
      <c r="Z655" s="2" t="n">
        <v>74</v>
      </c>
      <c r="AA655" s="3" t="inlineStr">
        <is>
          <t>vegetarian, gluten-free, nut-free, high-fiber, quick</t>
        </is>
      </c>
      <c r="AB655" s="3" t="inlineStr">
        <is>
          <t>1. Sauté onion, garlic, cumin; add beans, chipotle, splash of water; mash lightly; cook 6 minutes.
2. Fill romaine leaves.
3. Top avocado, pico, cotija, cilantro, lime.</t>
        </is>
      </c>
      <c r="AC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16% of this dish's available carbohydrate comes from ingredients with a published, measured GI; the rest uses conventional placeholders (see Ingredients sheet)</t>
        </is>
      </c>
      <c r="Z656" s="2" t="n">
        <v>16</v>
      </c>
      <c r="AA656" s="3" t="inlineStr">
        <is>
          <t>vegetarian, gluten-free, nut-free, low-carb</t>
        </is>
      </c>
      <c r="AB656" s="3" t="inlineStr">
        <is>
          <t>1. Halve zucchini; scoop.
2. Mix ricotta, spinach, egg, parmesan, garlic, nutmeg, salt; fill.
3. Spoon marinara over; top mozzarella; bake at 400°F 25 minutes.</t>
        </is>
      </c>
      <c r="AC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36</v>
      </c>
      <c r="U657" s="2" t="inlineStr">
        <is>
          <t>low</t>
        </is>
      </c>
      <c r="V657" s="5" t="n">
        <v>12.3</v>
      </c>
      <c r="W657" s="2" t="inlineStr">
        <is>
          <t>medium</t>
        </is>
      </c>
      <c r="X657" s="3" t="inlineStr"/>
      <c r="Y657" s="3" t="inlineStr">
        <is>
          <t>76% of this dish's available carbohydrate comes from ingredients with a published, measured GI; the rest uses conventional placeholders (see Ingredients sheet)</t>
        </is>
      </c>
      <c r="Z657" s="2" t="n">
        <v>76</v>
      </c>
      <c r="AA657" s="3" t="inlineStr">
        <is>
          <t>vegan, dairy-free, nut-free, high-fiber</t>
        </is>
      </c>
      <c r="AB657" s="3" t="inlineStr">
        <is>
          <t>1. Sauté onion, pepper, garlic in oil.
2. Add lentils, sauce, paste, vinegar, Dijon, paprika, sweetener; simmer 10 minutes.
3. Serve on toasted muffin halves or lettuce.</t>
        </is>
      </c>
      <c r="AC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0% of this dish's available carbohydrate comes from ingredients with a published, measured GI; the rest uses conventional placeholders (see Ingredients sheet)</t>
        </is>
      </c>
      <c r="Z658" s="2" t="n">
        <v>0</v>
      </c>
      <c r="AA658" s="3" t="inlineStr">
        <is>
          <t>vegan, gluten-free, dairy-free, nut-free, high-protein, high-fiber</t>
        </is>
      </c>
      <c r="AB658" s="3" t="inlineStr">
        <is>
          <t>1. Sauté onion, pepper, garlic, spices in oil.
2. Add tomatoes and harissa; simmer 10 minutes.
3. Nestle tofu slabs into the sauce; cover 8 minutes; parsley.</t>
        </is>
      </c>
      <c r="AC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12% of this dish's available carbohydrate comes from ingredients with a published, measured GI; the rest uses conventional placeholders (see Ingredients sheet)</t>
        </is>
      </c>
      <c r="Z659" s="2" t="n">
        <v>12</v>
      </c>
      <c r="AA659" s="3" t="inlineStr">
        <is>
          <t>vegan, gluten-free, dairy-free, nut-free, low-carb, high-protein, high-fiber, quick</t>
        </is>
      </c>
      <c r="AB659" s="3" t="inlineStr">
        <is>
          <t>1. Pan-fry tofu cubes until golden; remove.
2. Stir-fry broccoli, garlic, ginger; add broth, cover 2 minutes.
3. Add tamari, vinegar, arrowroot slurry, sesame oil, tofu, pepper flakes.</t>
        </is>
      </c>
      <c r="AC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28</v>
      </c>
      <c r="U660" s="2" t="inlineStr">
        <is>
          <t>low</t>
        </is>
      </c>
      <c r="V660" s="5" t="n">
        <v>7.2</v>
      </c>
      <c r="W660" s="2" t="inlineStr">
        <is>
          <t>low</t>
        </is>
      </c>
      <c r="X660" s="3" t="inlineStr"/>
      <c r="Y660" s="3" t="inlineStr">
        <is>
          <t>56% of this dish's available carbohydrate comes from ingredients with a published, measured GI; the rest uses conventional placeholders (see Ingredients sheet)</t>
        </is>
      </c>
      <c r="Z660" s="2" t="n">
        <v>56</v>
      </c>
      <c r="AA660" s="3" t="inlineStr">
        <is>
          <t>vegetarian, gluten-free, nut-free, high-fiber</t>
        </is>
      </c>
      <c r="AB660" s="3" t="inlineStr">
        <is>
          <t>1. Score and roast eggplant halves with half the oil at 400°F 25 minutes; scoop flesh.
2. Sauté onion, garlic, flesh, tomato, chickpeas, oregano, cinnamon.
3. Refill shells; top feta; bake 15 minutes; parsley.</t>
        </is>
      </c>
      <c r="AC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8% of this dish's available carbohydrate comes from ingredients with a published, measured GI; the rest uses conventional placeholders (see Ingredients sheet)</t>
        </is>
      </c>
      <c r="Z661" s="2" t="n">
        <v>8</v>
      </c>
      <c r="AA661" s="3" t="inlineStr">
        <is>
          <t>vegetarian, gluten-free, nut-free</t>
        </is>
      </c>
      <c r="AB661" s="3" t="inlineStr">
        <is>
          <t>1. Cook pasta al dente; steam cauliflower.
2. Blend half the cauliflower with milk, cream cheese, Dijon, garlic powder, nutritional yeast, salt; warm with cheddar.
3. Toss with pasta and remaining florets.</t>
        </is>
      </c>
      <c r="AC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20% of this dish's available carbohydrate comes from ingredients with a published, measured GI; the rest uses conventional placeholders (see Ingredients sheet)</t>
        </is>
      </c>
      <c r="Z662" s="2" t="n">
        <v>20</v>
      </c>
      <c r="AA662" s="3" t="inlineStr">
        <is>
          <t>vegetarian, gluten-free, nut-free, low-carb, high-fiber</t>
        </is>
      </c>
      <c r="AB662" s="3" t="inlineStr">
        <is>
          <t>1. Crumble tempeh; sauté in oil with seasoning, fennel, paprika, tamari until browned.
2. Add peppers, onion, garlic; cook 8 minutes; add marinara.
3. Simmer 5 minutes; parmesan.</t>
        </is>
      </c>
      <c r="AC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0% of this dish's available carbohydrate comes from ingredients with a published, measured GI; the rest uses conventional placeholders (see Ingredients sheet)</t>
        </is>
      </c>
      <c r="Z663" s="2" t="n">
        <v>0</v>
      </c>
      <c r="AA663" s="3" t="inlineStr">
        <is>
          <t>vegetarian, gluten-free, nut-free, low-carb</t>
        </is>
      </c>
      <c r="AB663" s="3" t="inlineStr">
        <is>
          <t>1. Halve peppers; roast 10 minutes.
2. Mix cottage cheese, eggs, spinach, parmesan, herbs, garlic, salt; fill.
3. Top tomato; bake at 375°F 20 minutes until set.</t>
        </is>
      </c>
      <c r="AC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69% of this dish's available carbohydrate comes from ingredients with a published, measured GI; the rest uses conventional placeholders (see Ingredients sheet)</t>
        </is>
      </c>
      <c r="Z664" s="2" t="n">
        <v>69</v>
      </c>
      <c r="AA664" s="3" t="inlineStr">
        <is>
          <t>vegan, gluten-free, dairy-free, nut-free, high-fiber, make-ahead</t>
        </is>
      </c>
      <c r="AB664" s="3" t="inlineStr">
        <is>
          <t>1. Sauté onion, pepper, garlic, spices in oil.
2. Add beans, broth, bay; simmer 15 minutes; mash some; add vinegar.
3. Serve over cauliflower rice with avocado, cilantro.</t>
        </is>
      </c>
      <c r="AC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24</v>
      </c>
      <c r="U665" s="2" t="inlineStr">
        <is>
          <t>low</t>
        </is>
      </c>
      <c r="V665" s="5" t="n">
        <v>7.8</v>
      </c>
      <c r="W665" s="2" t="inlineStr">
        <is>
          <t>low</t>
        </is>
      </c>
      <c r="X665" s="3" t="inlineStr"/>
      <c r="Y665" s="3" t="inlineStr">
        <is>
          <t>56% of this dish's available carbohydrate comes from ingredients with a published, measured GI; the rest uses conventional placeholders (see Ingredients sheet)</t>
        </is>
      </c>
      <c r="Z665" s="2" t="n">
        <v>56</v>
      </c>
      <c r="AA665" s="3" t="inlineStr">
        <is>
          <t>vegan, gluten-free, dairy-free, nut-free, high-fiber</t>
        </is>
      </c>
      <c r="AB665" s="3" t="inlineStr">
        <is>
          <t>1. Roast cauliflower, broccoli, pepper, onion, chickpeas with oil and za'atar at 425°F 22 minutes.
2. Spread hummus in bowls.
3. Top roasted vegetables, cucumber, tomato, lemon, parsley.</t>
        </is>
      </c>
      <c r="AC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38% of this dish's available carbohydrate comes from ingredients with a published, measured GI; the rest uses conventional placeholders (see Ingredients sheet)</t>
        </is>
      </c>
      <c r="Z666" s="2" t="n">
        <v>38</v>
      </c>
      <c r="AA666" s="3" t="inlineStr">
        <is>
          <t>vegetarian, gluten-free, nut-free, low-carb, make-ahead</t>
        </is>
      </c>
      <c r="AB666" s="3" t="inlineStr">
        <is>
          <t>1. Hard-boil eggs; cool; halve; remove yolks.
2. Mash yolks with yogurt, mayo, Dijon, salt.
3. Pipe into whites; paprika, chives.</t>
        </is>
      </c>
      <c r="AC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37</v>
      </c>
      <c r="U667" s="2" t="inlineStr">
        <is>
          <t>low</t>
        </is>
      </c>
      <c r="V667" s="5" t="n">
        <v>7.4</v>
      </c>
      <c r="W667" s="2" t="inlineStr">
        <is>
          <t>low</t>
        </is>
      </c>
      <c r="X667" s="3" t="inlineStr"/>
      <c r="Y667" s="3" t="inlineStr">
        <is>
          <t>97% of this dish's available carbohydrate comes from ingredients with a published, measured GI; the rest uses conventional placeholders (see Ingredients sheet)</t>
        </is>
      </c>
      <c r="Z667" s="2" t="n">
        <v>97</v>
      </c>
      <c r="AA667" s="3" t="inlineStr">
        <is>
          <t>vegan, gluten-free, dairy-free, nut-free, high-fiber, make-ahead</t>
        </is>
      </c>
      <c r="AB667" s="3" t="inlineStr">
        <is>
          <t>1. Pat chickpeas very dry.
2. Toss with oil, spices, salt.
3. Roast at 400°F 30–35 minutes, shaking twice; cool to crisp.</t>
        </is>
      </c>
      <c r="AC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43% of this dish's available carbohydrate comes from ingredients with a published, measured GI; the rest uses conventional placeholders (see Ingredients sheet)</t>
        </is>
      </c>
      <c r="Z668" s="2" t="n">
        <v>43</v>
      </c>
      <c r="AA668" s="3" t="inlineStr">
        <is>
          <t>vegan, gluten-free, dairy-free, nut-free, low-carb, no-cook, quick</t>
        </is>
      </c>
      <c r="AB668" s="3" t="inlineStr">
        <is>
          <t>1. Slice cucumber into thick rounds.
2. Top each with hummus and a tomato half.
3. Sprinkle za'atar; drizzle oil.</t>
        </is>
      </c>
      <c r="AC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57% of this dish's available carbohydrate comes from ingredients with a published, measured GI; the rest uses conventional placeholders (see Ingredients sheet)</t>
        </is>
      </c>
      <c r="Z669" s="2" t="n">
        <v>57</v>
      </c>
      <c r="AA669" s="3" t="inlineStr">
        <is>
          <t>vegetarian, gluten-free, nut-free, low-carb, no-cook</t>
        </is>
      </c>
      <c r="AB669" s="3" t="inlineStr">
        <is>
          <t>1. Mix yogurt, ranch seasoning, lemon, chives.
2. Cut vegetables into sticks.
3. Serve together.</t>
        </is>
      </c>
      <c r="AC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0% of this dish's available carbohydrate comes from ingredients with a published, measured GI; the rest uses conventional placeholders (see Ingredients sheet)</t>
        </is>
      </c>
      <c r="Z670" s="2" t="n">
        <v>0</v>
      </c>
      <c r="AA670" s="3" t="inlineStr">
        <is>
          <t>gluten-free, nut-free, low-carb, no-cook, quick</t>
        </is>
      </c>
      <c r="AB670" s="3" t="inlineStr">
        <is>
          <t>1. Spread turkey slices with cream cheese.
2. Add avocado and cucumber sticks.
3. Roll; sprinkle seasoning.</t>
        </is>
      </c>
      <c r="AC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0% of this dish's available carbohydrate comes from ingredients with a published, measured GI; the rest uses conventional placeholders (see Ingredients sheet)</t>
        </is>
      </c>
      <c r="Z671" s="2" t="n">
        <v>0</v>
      </c>
      <c r="AA671" s="3" t="inlineStr">
        <is>
          <t>vegetarian, gluten-free, nut-free, low-carb, no-cook, quick</t>
        </is>
      </c>
      <c r="AB671" s="3" t="inlineStr">
        <is>
          <t>1. Spoon cottage cheese into a bowl.
2. Top with halved tomatoes.
3. Seasoning and oil.</t>
        </is>
      </c>
      <c r="AC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86% of this dish's available carbohydrate comes from ingredients with a published, measured GI; the rest uses conventional placeholders (see Ingredients sheet)</t>
        </is>
      </c>
      <c r="Z672" s="2" t="n">
        <v>86</v>
      </c>
      <c r="AA672" s="3" t="inlineStr">
        <is>
          <t>vegan, gluten-free, dairy-free, no-cook, quick</t>
        </is>
      </c>
      <c r="AB672" s="3" t="inlineStr">
        <is>
          <t>1. Slice apple.
2. Spread or dip in almond butter.
3. Sprinkle cinnamon and hemp seeds.</t>
        </is>
      </c>
      <c r="AC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0% of this dish's available carbohydrate comes from ingredients with a published, measured GI; the rest uses conventional placeholders (see Ingredients sheet)</t>
        </is>
      </c>
      <c r="Z673" s="2" t="n">
        <v>0</v>
      </c>
      <c r="AA673" s="3" t="inlineStr">
        <is>
          <t>vegan, gluten-free, dairy-free, nut-free, low-carb, quick</t>
        </is>
      </c>
      <c r="AB673" s="3" t="inlineStr">
        <is>
          <t>1. Boil or steam edamame pods 4 minutes.
2. Toss with tamari, sesame oil, garlic, pepper flakes.
3. Sesame seeds.</t>
        </is>
      </c>
      <c r="AC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0% of this dish's available carbohydrate comes from ingredients with a published, measured GI; the rest uses conventional placeholders (see Ingredients sheet)</t>
        </is>
      </c>
      <c r="Z674" s="2" t="n">
        <v>0</v>
      </c>
      <c r="AA674" s="3" t="inlineStr">
        <is>
          <t>vegetarian, gluten-free, nut-free, low-carb, no-cook, quick</t>
        </is>
      </c>
      <c r="AB674" s="3" t="inlineStr">
        <is>
          <t>1. Thread tomato, mozzarella, basil onto picks.
2. Drizzle balsamic and oil.
3. Serve.</t>
        </is>
      </c>
      <c r="AC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0% of this dish's available carbohydrate comes from ingredients with a published, measured GI; the rest uses conventional placeholders (see Ingredients sheet)</t>
        </is>
      </c>
      <c r="Z675" s="2" t="n">
        <v>0</v>
      </c>
      <c r="AA675" s="3" t="inlineStr">
        <is>
          <t>pescatarian, gluten-free, nut-free, low-carb, no-cook, quick, omega-3</t>
        </is>
      </c>
      <c r="AB675" s="3" t="inlineStr">
        <is>
          <t>1. Slice cucumber into rounds.
2. Top with cream cheese and salmon.
3. Dill, capers, lemon zest.</t>
        </is>
      </c>
      <c r="AC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0% of this dish's available carbohydrate comes from ingredients with a published, measured GI; the rest uses conventional placeholders (see Ingredients sheet)</t>
        </is>
      </c>
      <c r="Z676" s="2" t="n">
        <v>0</v>
      </c>
      <c r="AA676" s="3" t="inlineStr">
        <is>
          <t>vegan, gluten-free, dairy-free, nut-free, low-carb, high-fiber, no-cook</t>
        </is>
      </c>
      <c r="AB676" s="3" t="inlineStr">
        <is>
          <t>1. Mash avocado with lime, salt.
2. Fold in onion, cilantro, jalapeño, tomato.
3. Serve with jicama sticks.</t>
        </is>
      </c>
      <c r="AC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0% of this dish's available carbohydrate comes from ingredients with a published, measured GI; the rest uses conventional placeholders (see Ingredients sheet)</t>
        </is>
      </c>
      <c r="Z677" s="2" t="n">
        <v>0</v>
      </c>
      <c r="AA677" s="3" t="inlineStr">
        <is>
          <t>vegetarian, gluten-free, dairy-free, nut-free, low-carb, quick</t>
        </is>
      </c>
      <c r="AB677" s="3" t="inlineStr">
        <is>
          <t>1. Boil eggs 9–10 minutes; cool in ice water.
2. Peel and halve.
3. Sprinkle seasoning; dash hot sauce.</t>
        </is>
      </c>
      <c r="AC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21% of this dish's available carbohydrate comes from ingredients with a published, measured GI; the rest uses conventional placeholders (see Ingredients sheet)</t>
        </is>
      </c>
      <c r="Z678" s="2" t="n">
        <v>21</v>
      </c>
      <c r="AA678" s="3" t="inlineStr">
        <is>
          <t>vegan, gluten-free, dairy-free, low-carb, no-cook, make-ahead</t>
        </is>
      </c>
      <c r="AB678" s="3" t="inlineStr">
        <is>
          <t>1. Combine nuts and seeds.
2. Add coconut and chopped dark chocolate.
3. Portion into 40 g servings.</t>
        </is>
      </c>
      <c r="AC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0% of this dish's available carbohydrate comes from ingredients with a published, measured GI; the rest uses conventional placeholders (see Ingredients sheet)</t>
        </is>
      </c>
      <c r="Z679" s="2" t="n">
        <v>0</v>
      </c>
      <c r="AA679" s="3" t="inlineStr">
        <is>
          <t>vegan, gluten-free, dairy-free, low-carb, no-cook, quick</t>
        </is>
      </c>
      <c r="AB679" s="3" t="inlineStr">
        <is>
          <t>1. Cut celery into sticks.
2. Fill with peanut butter.
3. Sprinkle chia.</t>
        </is>
      </c>
      <c r="AC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0% of this dish's available carbohydrate comes from ingredients with a published, measured GI; the rest uses conventional placeholders (see Ingredients sheet)</t>
        </is>
      </c>
      <c r="Z680" s="2" t="n">
        <v>0</v>
      </c>
      <c r="AA680" s="3" t="inlineStr">
        <is>
          <t>vegetarian, gluten-free, nut-free, low-carb</t>
        </is>
      </c>
      <c r="AB680" s="3" t="inlineStr">
        <is>
          <t>1. Slice zucchini thin; blot dry.
2. Toss with oil, parmesan, seasonings.
3. Bake on racks at 400°F 25–30 minutes until crisp.</t>
        </is>
      </c>
      <c r="AC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0% of this dish's available carbohydrate comes from ingredients with a published, measured GI; the rest uses conventional placeholders (see Ingredients sheet)</t>
        </is>
      </c>
      <c r="Z681" s="2" t="n">
        <v>0</v>
      </c>
      <c r="AA681" s="3" t="inlineStr">
        <is>
          <t>pescatarian, gluten-free, dairy-free, nut-free, low-carb, quick</t>
        </is>
      </c>
      <c r="AB681" s="3" t="inlineStr">
        <is>
          <t>1. Poach shrimp with Old Bay 3 minutes; chill.
2. Mix tomato paste, hot sauce, lemon, Dijon, a little water for cocktail sauce.
3. Serve shrimp with sauce and avocado slices.</t>
        </is>
      </c>
      <c r="AC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15% of this dish's available carbohydrate comes from ingredients with a published, measured GI; the rest uses conventional placeholders (see Ingredients sheet)</t>
        </is>
      </c>
      <c r="Z682" s="2" t="n">
        <v>15</v>
      </c>
      <c r="AA682" s="3" t="inlineStr">
        <is>
          <t>vegetarian, gluten-free, nut-free, low-carb</t>
        </is>
      </c>
      <c r="AB682" s="3" t="inlineStr">
        <is>
          <t>1. Toss florets with oil and garlic powder; roast at 425°F 22 minutes.
2. Toss in hot sauce melted with butter; roast 6 minutes.
3. Serve with yogurt-blue cheese dip and celery.</t>
        </is>
      </c>
      <c r="AC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55% of this dish's available carbohydrate comes from ingredients with a published, measured GI; the rest uses conventional placeholders (see Ingredients sheet)</t>
        </is>
      </c>
      <c r="Z683" s="2" t="n">
        <v>55</v>
      </c>
      <c r="AA683" s="3" t="inlineStr">
        <is>
          <t>vegetarian, gluten-free, nut-free, low-carb, no-cook, quick</t>
        </is>
      </c>
      <c r="AB683" s="3" t="inlineStr">
        <is>
          <t>1. Spoon yogurt into a bowl.
2. Top berries and chia.
3. Cinnamon.</t>
        </is>
      </c>
      <c r="AC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10% of this dish's available carbohydrate comes from ingredients with a published, measured GI; the rest uses conventional placeholders (see Ingredients sheet)</t>
        </is>
      </c>
      <c r="Z684" s="2" t="n">
        <v>10</v>
      </c>
      <c r="AA684" s="3" t="inlineStr">
        <is>
          <t>pescatarian, gluten-free, nut-free, low-carb, no-cook, quick</t>
        </is>
      </c>
      <c r="AB684" s="3" t="inlineStr">
        <is>
          <t>1. Halve cucumber lengthwise; scoop seeds.
2. Mix tuna, yogurt, Dijon, celery, dill, lemon.
3. Fill boats.</t>
        </is>
      </c>
      <c r="AC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11% of this dish's available carbohydrate comes from ingredients with a published, measured GI; the rest uses conventional placeholders (see Ingredients sheet)</t>
        </is>
      </c>
      <c r="Z685" s="2" t="n">
        <v>11</v>
      </c>
      <c r="AA685" s="3" t="inlineStr">
        <is>
          <t>vegetarian, gluten-free, nut-free, low-carb, no-cook</t>
        </is>
      </c>
      <c r="AB685" s="3" t="inlineStr">
        <is>
          <t>1. Halve and seed mini peppers.
2. Mix goat cheese, yogurt, herbs, garlic, pepper.
3. Pipe into peppers.</t>
        </is>
      </c>
      <c r="AC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0% of this dish's available carbohydrate comes from ingredients with a published, measured GI; the rest uses conventional placeholders (see Ingredients sheet)</t>
        </is>
      </c>
      <c r="Z686" s="2" t="n">
        <v>0</v>
      </c>
      <c r="AA686" s="3" t="inlineStr">
        <is>
          <t>vegan, gluten-free, dairy-free, nut-free, low-carb</t>
        </is>
      </c>
      <c r="AB686" s="3" t="inlineStr">
        <is>
          <t>1. Tear kale; dry thoroughly; massage with oil.
2. Sprinkle nutritional yeast, salt, paprika.
3. Bake at 300°F 12–15 minutes until crisp.</t>
        </is>
      </c>
      <c r="AC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0% of this dish's available carbohydrate comes from ingredients with a published, measured GI; the rest uses conventional placeholders (see Ingredients sheet)</t>
        </is>
      </c>
      <c r="Z687" s="2" t="n">
        <v>0</v>
      </c>
      <c r="AA687" s="3" t="inlineStr">
        <is>
          <t>vegetarian, gluten-free, low-carb, no-cook, quick</t>
        </is>
      </c>
      <c r="AB687" s="3" t="inlineStr">
        <is>
          <t>1. Slice cheese and cucumber.
2. Arrange with almonds, olives, pickle.
3. Serve.</t>
        </is>
      </c>
      <c r="AC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74% of this dish's available carbohydrate comes from ingredients with a published, measured GI; the rest uses conventional placeholders (see Ingredients sheet)</t>
        </is>
      </c>
      <c r="Z688" s="2" t="n">
        <v>74</v>
      </c>
      <c r="AA688" s="3" t="inlineStr">
        <is>
          <t>vegetarian, low-carb, make-ahead, no-cook</t>
        </is>
      </c>
      <c r="AB688" s="3" t="inlineStr">
        <is>
          <t>1. Mix all ingredients into a stiff dough, adding almond milk as needed.
2. Roll into 16 balls.
3. Chill 30 minutes; store refrigerated up to 1 week.</t>
        </is>
      </c>
      <c r="AC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0% of this dish's available carbohydrate comes from ingredients with a published, measured GI; the rest uses conventional placeholders (see Ingredients sheet)</t>
        </is>
      </c>
      <c r="Z689" s="2" t="n">
        <v>0</v>
      </c>
      <c r="AA689" s="3" t="inlineStr">
        <is>
          <t>vegetarian, gluten-free, dairy-free, low-carb, make-ahead</t>
        </is>
      </c>
      <c r="AB689" s="3" t="inlineStr">
        <is>
          <t>1. Whisk egg white with vanilla; toss almonds to coat.
2. Toss with cinnamon, sweetener, salt.
3. Bake at 325°F 15 minutes; cool.</t>
        </is>
      </c>
      <c r="AC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10% of this dish's available carbohydrate comes from ingredients with a published, measured GI; the rest uses conventional placeholders (see Ingredients sheet)</t>
        </is>
      </c>
      <c r="Z690" s="2" t="n">
        <v>10</v>
      </c>
      <c r="AA690" s="3" t="inlineStr">
        <is>
          <t>vegetarian, gluten-free, nut-free, low-carb</t>
        </is>
      </c>
      <c r="AB690" s="3" t="inlineStr">
        <is>
          <t>1. Hard-boil and chop eggs; mix with yogurt, Dijon, chives, salt.
2. Cut cucumber into thick rounds; scoop centers.
3. Fill; paprika.</t>
        </is>
      </c>
      <c r="AC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0% of this dish's available carbohydrate comes from ingredients with a published, measured GI; the rest uses conventional placeholders (see Ingredients sheet)</t>
        </is>
      </c>
      <c r="Z691" s="2" t="n">
        <v>0</v>
      </c>
      <c r="AA691" s="3" t="inlineStr">
        <is>
          <t>gluten-free, nut-free, low-carb, quick</t>
        </is>
      </c>
      <c r="AB691" s="3" t="inlineStr">
        <is>
          <t>1. Wrap 2–3 spears in half a prosciutto slice.
2. Brush with oil; roast at 425°F 10–12 minutes.
3. Parmesan, pepper.</t>
        </is>
      </c>
      <c r="AC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17% of this dish's available carbohydrate comes from ingredients with a published, measured GI; the rest uses conventional placeholders (see Ingredients sheet)</t>
        </is>
      </c>
      <c r="Z692" s="2" t="n">
        <v>17</v>
      </c>
      <c r="AA692" s="3" t="inlineStr">
        <is>
          <t>vegetarian, gluten-free, nut-free, low-carb</t>
        </is>
      </c>
      <c r="AB692" s="3" t="inlineStr">
        <is>
          <t>1. Wilt spinach; squeeze dry; chop artichokes.
2. Mix with yogurt, cream cheese, half the cheeses, garlic, salt; top remaining cheese.
3. Bake at 375°F 18 minutes; serve with vegetable dippers.</t>
        </is>
      </c>
      <c r="AC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0% of this dish's available carbohydrate comes from ingredients with a published, measured GI; the rest uses conventional placeholders (see Ingredients sheet)</t>
        </is>
      </c>
      <c r="Z693" s="2" t="n">
        <v>0</v>
      </c>
      <c r="AA693" s="3" t="inlineStr">
        <is>
          <t>vegetarian, gluten-free, dairy-free, nut-free, low-carb</t>
        </is>
      </c>
      <c r="AB693" s="3" t="inlineStr">
        <is>
          <t>1. Hard-boil eggs; halve; remove yolks.
2. Mash yolks with avocado, lime, cilantro, jalapeño, salt.
3. Fill whites; paprika.</t>
        </is>
      </c>
      <c r="AC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0% of this dish's available carbohydrate comes from ingredients with a published, measured GI; the rest uses conventional placeholders (see Ingredients sheet)</t>
        </is>
      </c>
      <c r="Z694" s="2" t="n">
        <v>0</v>
      </c>
      <c r="AA694" s="3" t="inlineStr">
        <is>
          <t>pescatarian, gluten-free, dairy-free, nut-free, low-carb, no-cook, quick</t>
        </is>
      </c>
      <c r="AB694" s="3" t="inlineStr">
        <is>
          <t>1. Mix tuna with mayo and sriracha.
2. Lay on nori with avocado and cucumber.
3. Roll; slice; sesame.</t>
        </is>
      </c>
      <c r="AC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0% of this dish's available carbohydrate comes from ingredients with a published, measured GI; the rest uses conventional placeholders (see Ingredients sheet)</t>
        </is>
      </c>
      <c r="Z695" s="2" t="n">
        <v>0</v>
      </c>
      <c r="AA695" s="3" t="inlineStr">
        <is>
          <t>vegan, gluten-free, dairy-free, nut-free, low-carb, make-ahead</t>
        </is>
      </c>
      <c r="AB695" s="3" t="inlineStr">
        <is>
          <t>1. Toss seeds with oil, chili powder, lime zest, salt.
2. Roast at 325°F 15 minutes, stirring once.
3. Cool.</t>
        </is>
      </c>
      <c r="AC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0% of this dish's available carbohydrate comes from ingredients with a published, measured GI; the rest uses conventional placeholders (see Ingredients sheet)</t>
        </is>
      </c>
      <c r="Z696" s="2" t="n">
        <v>0</v>
      </c>
      <c r="AA696" s="3" t="inlineStr">
        <is>
          <t>gluten-free, nut-free, low-carb, no-cook, quick</t>
        </is>
      </c>
      <c r="AB696" s="3" t="inlineStr">
        <is>
          <t>1. Layer turkey and cheese on romaine leaves.
2. Add Dijon and tomato.
3. Roll and eat.</t>
        </is>
      </c>
      <c r="AC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0% of this dish's available carbohydrate comes from ingredients with a published, measured GI; the rest uses conventional placeholders (see Ingredients sheet)</t>
        </is>
      </c>
      <c r="Z697" s="2" t="n">
        <v>0</v>
      </c>
      <c r="AA697" s="3" t="inlineStr">
        <is>
          <t>vegetarian, gluten-free, low-carb, no-cook, quick</t>
        </is>
      </c>
      <c r="AB697" s="3" t="inlineStr">
        <is>
          <t>1. Whisk ricotta with vanilla and stevia.
2. Top raspberries.
3. Almonds.</t>
        </is>
      </c>
      <c r="AC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17% of this dish's available carbohydrate comes from ingredients with a published, measured GI; the rest uses conventional placeholders (see Ingredients sheet)</t>
        </is>
      </c>
      <c r="Z698" s="2" t="n">
        <v>17</v>
      </c>
      <c r="AA698" s="3" t="inlineStr">
        <is>
          <t>vegan, gluten-free, dairy-free, nut-free, low-carb, make-ahead</t>
        </is>
      </c>
      <c r="AB698" s="3" t="inlineStr">
        <is>
          <t>1. Roast whole eggplants at 425°F 40 minutes; cool; scoop flesh.
2. Blend with tahini, lemon, garlic, half the oil, cumin, salt.
3. Drizzle oil, parsley; serve with vegetables.</t>
        </is>
      </c>
      <c r="AC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0% of this dish's available carbohydrate comes from ingredients with a published, measured GI; the rest uses conventional placeholders (see Ingredients sheet)</t>
        </is>
      </c>
      <c r="Z699" s="2" t="n">
        <v>0</v>
      </c>
      <c r="AA699" s="3" t="inlineStr">
        <is>
          <t>vegetarian, gluten-free, low-carb, no-cook, quick</t>
        </is>
      </c>
      <c r="AB699" s="3" t="inlineStr">
        <is>
          <t>1. Halve tomatoes; cube mozzarella.
2. Toss with pesto.
3. Basil.</t>
        </is>
      </c>
      <c r="AC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0% of this dish's available carbohydrate comes from ingredients with a published, measured GI; the rest uses conventional placeholders (see Ingredients sheet)</t>
        </is>
      </c>
      <c r="Z700" s="2" t="n">
        <v>0</v>
      </c>
      <c r="AA700" s="3" t="inlineStr">
        <is>
          <t>vegetarian, gluten-free, nut-free, low-carb, no-cook</t>
        </is>
      </c>
      <c r="AB700" s="3" t="inlineStr">
        <is>
          <t>1. Slice tops off tomatoes; scoop seeds.
2. Mix cottage cheese with herbs and pepper.
3. Fill tomatoes.</t>
        </is>
      </c>
      <c r="AC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0% of this dish's available carbohydrate comes from ingredients with a published, measured GI; the rest uses conventional placeholders (see Ingredients sheet)</t>
        </is>
      </c>
      <c r="Z701" s="2" t="n">
        <v>0</v>
      </c>
      <c r="AA701" s="3" t="inlineStr">
        <is>
          <t>vegan, gluten-free, dairy-free, nut-free, low-carb, quick</t>
        </is>
      </c>
      <c r="AB701" s="3" t="inlineStr">
        <is>
          <t>1. Steam edamame 4 minutes.
2. Plate with roasted seaweed.
3. Tamari, sesame.</t>
        </is>
      </c>
      <c r="AC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14% of this dish's available carbohydrate comes from ingredients with a published, measured GI; the rest uses conventional placeholders (see Ingredients sheet)</t>
        </is>
      </c>
      <c r="Z702" s="2" t="n">
        <v>14</v>
      </c>
      <c r="AA702" s="3" t="inlineStr">
        <is>
          <t>vegetarian, gluten-free, nut-free, low-carb, quick</t>
        </is>
      </c>
      <c r="AB702" s="3" t="inlineStr">
        <is>
          <t>1. Slice cucumber into rounds.
2. Top with marinara, mozzarella, olives, seasoning.
3. Broil 2–3 minutes.</t>
        </is>
      </c>
      <c r="AC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0% of this dish's available carbohydrate comes from ingredients with a published, measured GI; the rest uses conventional placeholders (see Ingredients sheet)</t>
        </is>
      </c>
      <c r="Z703" s="2" t="n">
        <v>0</v>
      </c>
      <c r="AA703" s="3" t="inlineStr">
        <is>
          <t>vegetarian, gluten-free, low-carb, make-ahead</t>
        </is>
      </c>
      <c r="AB703" s="3" t="inlineStr">
        <is>
          <t>1. Mix almond flour, egg, parmesan, rosemary, salt into a dough; roll thin between parchment.
2. Cut into squares; bake at 350°F 12–15 minutes.
3. Serve with cheddar slices.</t>
        </is>
      </c>
      <c r="AC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86% of this dish's available carbohydrate comes from ingredients with a published, measured GI; the rest uses conventional placeholders (see Ingredients sheet)</t>
        </is>
      </c>
      <c r="Z704" s="2" t="n">
        <v>86</v>
      </c>
      <c r="AA704" s="3" t="inlineStr">
        <is>
          <t>vegetarian, gluten-free, low-carb, no-cook, quick</t>
        </is>
      </c>
      <c r="AB704" s="3" t="inlineStr">
        <is>
          <t>1. Whisk yogurt, peanut butter, cinnamon, vanilla.
2. Slice apple.
3. Dip.</t>
        </is>
      </c>
      <c r="AC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40% of this dish's available carbohydrate comes from ingredients with a published, measured GI; the rest uses conventional placeholders (see Ingredients sheet)</t>
        </is>
      </c>
      <c r="Z705" s="2" t="n">
        <v>40</v>
      </c>
      <c r="AA705" s="3" t="inlineStr">
        <is>
          <t>pescatarian, gluten-free, nut-free, low-carb, no-cook, omega-3</t>
        </is>
      </c>
      <c r="AB705" s="3" t="inlineStr">
        <is>
          <t>1. Mix salmon, yogurt, dill, lemon, celery, capers.
2. Spoon into romaine leaves.
3. Serve.</t>
        </is>
      </c>
      <c r="AC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0% of this dish's available carbohydrate comes from ingredients with a published, measured GI; the rest uses conventional placeholders (see Ingredients sheet)</t>
        </is>
      </c>
      <c r="Z706" s="2" t="n">
        <v>0</v>
      </c>
      <c r="AA706" s="3" t="inlineStr">
        <is>
          <t>vegetarian, gluten-free, nut-free, low-carb, quick</t>
        </is>
      </c>
      <c r="AB706" s="3" t="inlineStr">
        <is>
          <t>1. Spoon tablespoon mounds of parmesan on parchment.
2. Sprinkle pepper and seasoning.
3. Bake at 400°F 5–6 minutes until golden; cool to crisp.</t>
        </is>
      </c>
      <c r="AC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0% of this dish's available carbohydrate comes from ingredients with a published, measured GI; the rest uses conventional placeholders (see Ingredients sheet)</t>
        </is>
      </c>
      <c r="Z707" s="2" t="n">
        <v>0</v>
      </c>
      <c r="AA707" s="3" t="inlineStr">
        <is>
          <t>gluten-free, nut-free, low-carb</t>
        </is>
      </c>
      <c r="AB707" s="3" t="inlineStr">
        <is>
          <t>1. Halve and seed jalapeños.
2. Mix cream cheese, cheddar, garlic powder; fill peppers; wrap each in half a slice of turkey bacon.
3. Bake at 400°F 18–20 minutes; green onion.</t>
        </is>
      </c>
      <c r="AC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64% of this dish's available carbohydrate comes from ingredients with a published, measured GI; the rest uses conventional placeholders (see Ingredients sheet)</t>
        </is>
      </c>
      <c r="Z708" s="2" t="n">
        <v>64</v>
      </c>
      <c r="AA708" s="3" t="inlineStr">
        <is>
          <t>vegan, gluten-free, dairy-free, low-carb, make-ahead</t>
        </is>
      </c>
      <c r="AB708" s="3" t="inlineStr">
        <is>
          <t>1. Whisk chia, milk, vanilla, sweetener.
2. Divide into 4 jars; refrigerate overnight.
3. Top blueberries.</t>
        </is>
      </c>
      <c r="AC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0% of this dish's available carbohydrate comes from ingredients with a published, measured GI; the rest uses conventional placeholders (see Ingredients sheet)</t>
        </is>
      </c>
      <c r="Z709" s="2" t="n">
        <v>0</v>
      </c>
      <c r="AA709" s="3" t="inlineStr">
        <is>
          <t>vegan, gluten-free, dairy-free, nut-free, low-carb, make-ahead</t>
        </is>
      </c>
      <c r="AB709" s="3" t="inlineStr">
        <is>
          <t>1. Roast cauliflower with half the oil at 425°F 20 minutes.
2. Blend with tahini, lemon, garlic, remaining oil, cumin, salt until smooth.
3. Paprika; serve with vegetables.</t>
        </is>
      </c>
      <c r="AC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20% of this dish's available carbohydrate comes from ingredients with a published, measured GI; the rest uses conventional placeholders (see Ingredients sheet)</t>
        </is>
      </c>
      <c r="Z710" s="2" t="n">
        <v>20</v>
      </c>
      <c r="AA710" s="3" t="inlineStr">
        <is>
          <t>gluten-free, low-carb, make-ahead</t>
        </is>
      </c>
      <c r="AB710" s="3" t="inlineStr">
        <is>
          <t>1. Mix turkey, egg, almond flour, garlic, oregano, feta, salt; form small meatballs; bake at 400°F 18 minutes.
2. Thread meatballs with tomato and cucumber onto picks.
3. Serve with yogurt-dill dip.</t>
        </is>
      </c>
      <c r="AC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0% of this dish's available carbohydrate comes from ingredients with a published, measured GI; the rest uses conventional placeholders (see Ingredients sheet)</t>
        </is>
      </c>
      <c r="Z711" s="2" t="n">
        <v>0</v>
      </c>
      <c r="AA711" s="3" t="inlineStr">
        <is>
          <t>pescatarian, gluten-free, dairy-free, nut-free, low-carb, no-cook, quick</t>
        </is>
      </c>
      <c r="AB711" s="3" t="inlineStr">
        <is>
          <t>1. Cut cucumber into thick rounds; scoop centers.
2. Fill with mashed avocado and a piece of salmon.
3. Nori strip, sesame, tamari.</t>
        </is>
      </c>
      <c r="AC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0% of this dish's available carbohydrate comes from ingredients with a published, measured GI; the rest uses conventional placeholders (see Ingredients sheet)</t>
        </is>
      </c>
      <c r="Z712" s="2" t="n">
        <v>0</v>
      </c>
      <c r="AA712" s="3" t="inlineStr">
        <is>
          <t>vegan, gluten-free, dairy-free, nut-free, low-carb, make-ahead</t>
        </is>
      </c>
      <c r="AB712" s="3" t="inlineStr">
        <is>
          <t>1. Pat shelled edamame dry; toss with oil and spices.
2. Roast at 400°F 25–30 minutes until crunchy.
3. Cool.</t>
        </is>
      </c>
      <c r="AC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22% of this dish's available carbohydrate comes from ingredients with a published, measured GI; the rest uses conventional placeholders (see Ingredients sheet)</t>
        </is>
      </c>
      <c r="Z713" s="2" t="n">
        <v>22</v>
      </c>
      <c r="AA713" s="3" t="inlineStr">
        <is>
          <t>vegetarian, gluten-free, nut-free, low-carb, make-ahead</t>
        </is>
      </c>
      <c r="AB713" s="3" t="inlineStr">
        <is>
          <t>1. Whisk eggs, milk, salt; stir in spinach, feta, green onion, dill.
2. Pour into oiled mini muffin cups.
3. Bake at 350°F 15–18 minutes.</t>
        </is>
      </c>
      <c r="AC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0% of this dish's available carbohydrate comes from ingredients with a published, measured GI; the rest uses conventional placeholders (see Ingredients sheet)</t>
        </is>
      </c>
      <c r="Z714" s="2" t="n">
        <v>0</v>
      </c>
      <c r="AA714" s="3" t="inlineStr">
        <is>
          <t>vegetarian, gluten-free, nut-free, low-carb, no-cook, quick</t>
        </is>
      </c>
      <c r="AB714" s="3" t="inlineStr">
        <is>
          <t>1. Arrange olives, feta, cucumber and tomato on a plate.
2. Drizzle oil.
3. Oregano.</t>
        </is>
      </c>
      <c r="AC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0% of this dish's available carbohydrate comes from ingredients with a published, measured GI; the rest uses conventional placeholders (see Ingredients sheet)</t>
        </is>
      </c>
      <c r="Z715" s="2" t="n">
        <v>0</v>
      </c>
      <c r="AA715" s="3" t="inlineStr">
        <is>
          <t>vegan, gluten-free, dairy-free, low-carb, no-cook, quick</t>
        </is>
      </c>
      <c r="AB715" s="3" t="inlineStr">
        <is>
          <t>1. Cut celery into boats.
2. Fill with peanut butter.
3. Hemp seeds, cinnamon.</t>
        </is>
      </c>
      <c r="AC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59% of this dish's available carbohydrate comes from ingredients with a published, measured GI; the rest uses conventional placeholders (see Ingredients sheet)</t>
        </is>
      </c>
      <c r="Z716" s="2" t="n">
        <v>59</v>
      </c>
      <c r="AA716" s="3" t="inlineStr">
        <is>
          <t>vegetarian, gluten-free, nut-free, low-carb, no-cook</t>
        </is>
      </c>
      <c r="AB716" s="3" t="inlineStr">
        <is>
          <t>1. Grate cucumber; squeeze dry.
2. Mix with yogurt, garlic, dill, lemon, oil, salt.
3. Serve with vegetable sticks.</t>
        </is>
      </c>
      <c r="AC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0% of this dish's available carbohydrate comes from ingredients with a published, measured GI; the rest uses conventional placeholders (see Ingredients sheet)</t>
        </is>
      </c>
      <c r="Z717" s="2" t="n">
        <v>0</v>
      </c>
      <c r="AA717" s="3" t="inlineStr">
        <is>
          <t>pescatarian, gluten-free, dairy-free, nut-free, low-carb, no-cook, quick</t>
        </is>
      </c>
      <c r="AB717" s="3" t="inlineStr">
        <is>
          <t>1. Mix tuna, mayo, sriracha, green onion.
2. Spoon onto seaweed sheets with cucumber.
3. Fold and eat.</t>
        </is>
      </c>
      <c r="AC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17</v>
      </c>
      <c r="U718" s="2" t="inlineStr">
        <is>
          <t>low</t>
        </is>
      </c>
      <c r="V718" s="5" t="n">
        <v>2.1</v>
      </c>
      <c r="W718" s="2" t="inlineStr">
        <is>
          <t>low</t>
        </is>
      </c>
      <c r="X718" s="3" t="inlineStr"/>
      <c r="Y718" s="3" t="inlineStr">
        <is>
          <t>21% of this dish's available carbohydrate comes from ingredients with a published, measured GI; the rest uses conventional placeholders (see Ingredients sheet)</t>
        </is>
      </c>
      <c r="Z718" s="2" t="n">
        <v>21</v>
      </c>
      <c r="AA718" s="3" t="inlineStr">
        <is>
          <t>vegetarian, gluten-free, low-carb, no-cook, quick</t>
        </is>
      </c>
      <c r="AB718" s="3" t="inlineStr">
        <is>
          <t>1. Bowl the cottage cheese.
2. Top berries and pistachios.
3. Cinnamon.</t>
        </is>
      </c>
      <c r="AC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86% of this dish's available carbohydrate comes from ingredients with a published, measured GI; the rest uses conventional placeholders (see Ingredients sheet)</t>
        </is>
      </c>
      <c r="Z719" s="2" t="n">
        <v>86</v>
      </c>
      <c r="AA719" s="3" t="inlineStr">
        <is>
          <t>vegan, gluten-free, dairy-free, nut-free, no-cook, make-ahead</t>
        </is>
      </c>
      <c r="AB719" s="3" t="inlineStr">
        <is>
          <t>1. Blend beans, oil, lemon, garlic, rosemary, salt.
2. Top parsley and extra oil.
3. Serve with vegetables.</t>
        </is>
      </c>
      <c r="AC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20% of this dish's available carbohydrate comes from ingredients with a published, measured GI; the rest uses conventional placeholders (see Ingredients sheet)</t>
        </is>
      </c>
      <c r="Z720" s="2" t="n">
        <v>20</v>
      </c>
      <c r="AA720" s="3" t="inlineStr">
        <is>
          <t>vegetarian, gluten-free, nut-free, low-carb, make-ahead</t>
        </is>
      </c>
      <c r="AB720" s="3" t="inlineStr">
        <is>
          <t>1. Whisk eggs, milk, salt.
2. Divide tomato, mozzarella, basil into mini muffin cups; pour eggs.
3. Bake at 350°F 15–18 minutes.</t>
        </is>
      </c>
      <c r="AC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0% of this dish's available carbohydrate comes from ingredients with a published, measured GI; the rest uses conventional placeholders (see Ingredients sheet)</t>
        </is>
      </c>
      <c r="Z721" s="2" t="n">
        <v>0</v>
      </c>
      <c r="AA721" s="3" t="inlineStr">
        <is>
          <t>vegan, gluten-free, dairy-free, low-carb, make-ahead</t>
        </is>
      </c>
      <c r="AB721" s="3" t="inlineStr">
        <is>
          <t>1. Toss walnuts with oil, spices, sweetener, salt.
2. Roast at 350°F 10–12 minutes.
3. Cool.</t>
        </is>
      </c>
      <c r="AC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14% of this dish's available carbohydrate comes from ingredients with a published, measured GI; the rest uses conventional placeholders (see Ingredients sheet)</t>
        </is>
      </c>
      <c r="Z722" s="2" t="n">
        <v>14</v>
      </c>
      <c r="AA722" s="3" t="inlineStr">
        <is>
          <t>pescatarian, gluten-free, nut-free, low-carb, no-cook, omega-3</t>
        </is>
      </c>
      <c r="AB722" s="3" t="inlineStr">
        <is>
          <t>1. Blend trout, cream cheese, yogurt, lemon, dill, pepper.
2. Slice cucumber.
3. Serve pâté on cucumber rounds with chives.</t>
        </is>
      </c>
      <c r="AC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98% of this dish's available carbohydrate comes from ingredients with a published, measured GI; the rest uses conventional placeholders (see Ingredients sheet)</t>
        </is>
      </c>
      <c r="Z723" s="2" t="n">
        <v>98</v>
      </c>
      <c r="AA723" s="3" t="inlineStr">
        <is>
          <t>vegan, gluten-free, dairy-free, nut-free, make-ahead</t>
        </is>
      </c>
      <c r="AB723" s="3" t="inlineStr">
        <is>
          <t>1. Slice apples paper-thin; toss with cinnamon.
2. Bake on racks at 200°F 2 hours, flipping once.
3. Cool to crisp.</t>
        </is>
      </c>
      <c r="AC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0% of this dish's available carbohydrate comes from ingredients with a published, measured GI; the rest uses conventional placeholders (see Ingredients sheet)</t>
        </is>
      </c>
      <c r="Z724" s="2" t="n">
        <v>0</v>
      </c>
      <c r="AA724" s="3" t="inlineStr">
        <is>
          <t>nut-free, low-carb, high-fiber, no-cook, make-ahead</t>
        </is>
      </c>
      <c r="AB724" s="3" t="inlineStr">
        <is>
          <t>1. Spread tortillas with cream cheese and Dijon.
2. Layer turkey, spinach, peppers; roll tightly.
3. Slice into pinwheels.</t>
        </is>
      </c>
      <c r="AC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0% of this dish's available carbohydrate comes from ingredients with a published, measured GI; the rest uses conventional placeholders (see Ingredients sheet)</t>
        </is>
      </c>
      <c r="Z725" s="2" t="n">
        <v>0</v>
      </c>
      <c r="AA725" s="3" t="inlineStr">
        <is>
          <t>vegetarian, gluten-free, nut-free, low-carb, no-cook, make-ahead</t>
        </is>
      </c>
      <c r="AB725" s="3" t="inlineStr">
        <is>
          <t>1. Cube mozzarella.
2. Toss with olives, oil, pepper flakes, seasoning, lemon zest, garlic.
3. Marinate 1 hour.</t>
        </is>
      </c>
      <c r="AC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92% of this dish's available carbohydrate comes from ingredients with a published, measured GI; the rest uses conventional placeholders (see Ingredients sheet)</t>
        </is>
      </c>
      <c r="Z726" s="2" t="n">
        <v>92</v>
      </c>
      <c r="AA726" s="3" t="inlineStr">
        <is>
          <t>vegetarian, gluten-free, low-carb, make-ahead</t>
        </is>
      </c>
      <c r="AB726" s="3" t="inlineStr">
        <is>
          <t>1. Whisk yogurt, protein, vanilla; spread on parchment-lined tray.
2. Top berries, almonds, chocolate chips.
3. Freeze 3 hours; break into pieces.</t>
        </is>
      </c>
      <c r="AC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0% of this dish's available carbohydrate comes from ingredients with a published, measured GI; the rest uses conventional placeholders (see Ingredients sheet)</t>
        </is>
      </c>
      <c r="Z727" s="2" t="n">
        <v>0</v>
      </c>
      <c r="AA727" s="3" t="inlineStr">
        <is>
          <t>vegan, gluten-free, dairy-free, low-carb, quick</t>
        </is>
      </c>
      <c r="AB727" s="3" t="inlineStr">
        <is>
          <t>1. Toss beans with oil, garlic, salt.
2. Roast at 425°F 15–18 minutes.
3. Lemon and toasted almonds.</t>
        </is>
      </c>
      <c r="AC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8% of this dish's available carbohydrate comes from ingredients with a published, measured GI; the rest uses conventional placeholders (see Ingredients sheet)</t>
        </is>
      </c>
      <c r="Z728" s="2" t="n">
        <v>8</v>
      </c>
      <c r="AA728" s="3" t="inlineStr">
        <is>
          <t>vegetarian, gluten-free, nut-free, low-carb</t>
        </is>
      </c>
      <c r="AB728" s="3" t="inlineStr">
        <is>
          <t>1. Steam cauliflower and garlic 12 minutes.
2. Blend with butter, milk, parmesan, salt.
3. Chives.</t>
        </is>
      </c>
      <c r="AC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0% of this dish's available carbohydrate comes from ingredients with a published, measured GI; the rest uses conventional placeholders (see Ingredients sheet)</t>
        </is>
      </c>
      <c r="Z729" s="2" t="n">
        <v>0</v>
      </c>
      <c r="AA729" s="3" t="inlineStr">
        <is>
          <t>vegetarian, gluten-free, nut-free, low-carb</t>
        </is>
      </c>
      <c r="AB729" s="3" t="inlineStr">
        <is>
          <t>1. Halve sprouts; toss with oil, garlic, salt.
2. Roast at 425°F 22 minutes.
3. Balsamic, parmesan.</t>
        </is>
      </c>
      <c r="AC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0% of this dish's available carbohydrate comes from ingredients with a published, measured GI; the rest uses conventional placeholders (see Ingredients sheet)</t>
        </is>
      </c>
      <c r="Z730" s="2" t="n">
        <v>0</v>
      </c>
      <c r="AA730" s="3" t="inlineStr">
        <is>
          <t>vegan, gluten-free, dairy-free, nut-free, low-carb, quick</t>
        </is>
      </c>
      <c r="AB730" s="3" t="inlineStr">
        <is>
          <t>1. Sizzle garlic in oil 30 seconds.
2. Add spinach; toss until wilted.
3. Lemon, pepper flakes, salt.</t>
        </is>
      </c>
      <c r="AC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0% of this dish's available carbohydrate comes from ingredients with a published, measured GI; the rest uses conventional placeholders (see Ingredients sheet)</t>
        </is>
      </c>
      <c r="Z731" s="2" t="n">
        <v>0</v>
      </c>
      <c r="AA731" s="3" t="inlineStr">
        <is>
          <t>vegan, gluten-free, dairy-free, nut-free, low-carb, quick</t>
        </is>
      </c>
      <c r="AB731" s="3" t="inlineStr">
        <is>
          <t>1. Sauté garlic in oil; add cauliflower rice 5 minutes.
2. Lime juice and zest.
3. Cilantro, salt.</t>
        </is>
      </c>
      <c r="AC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90% of this dish's available carbohydrate comes from ingredients with a published, measured GI; the rest uses conventional placeholders (see Ingredients sheet)</t>
        </is>
      </c>
      <c r="Z732" s="2" t="n">
        <v>90</v>
      </c>
      <c r="AA732" s="3" t="inlineStr">
        <is>
          <t>vegan, gluten-free, dairy-free</t>
        </is>
      </c>
      <c r="AB732" s="3" t="inlineStr">
        <is>
          <t>1. Sauté onion and garlic in oil.
2. Stir in cooked quinoa; heat through.
3. Parsley, lemon, almonds.</t>
        </is>
      </c>
      <c r="AC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0% of this dish's available carbohydrate comes from ingredients with a published, measured GI; the rest uses conventional placeholders (see Ingredients sheet)</t>
        </is>
      </c>
      <c r="Z733" s="2" t="n">
        <v>0</v>
      </c>
      <c r="AA733" s="3" t="inlineStr">
        <is>
          <t>vegetarian, gluten-free, nut-free, low-carb</t>
        </is>
      </c>
      <c r="AB733" s="3" t="inlineStr">
        <is>
          <t>1. Toss florets with oil, garlic, salt.
2. Roast at 425°F 18–20 minutes.
3. Parmesan, lemon, pepper flakes.</t>
        </is>
      </c>
      <c r="AC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0% of this dish's available carbohydrate comes from ingredients with a published, measured GI; the rest uses conventional placeholders (see Ingredients sheet)</t>
        </is>
      </c>
      <c r="Z734" s="2" t="n">
        <v>0</v>
      </c>
      <c r="AA734" s="3" t="inlineStr">
        <is>
          <t>vegetarian, gluten-free, nut-free, low-carb, quick</t>
        </is>
      </c>
      <c r="AB734" s="3" t="inlineStr">
        <is>
          <t>1. Sauté garlic in oil.
2. Add zoodles; toss 2–3 minutes.
3. Basil, parmesan, salt.</t>
        </is>
      </c>
      <c r="AC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0% of this dish's available carbohydrate comes from ingredients with a published, measured GI; the rest uses conventional placeholders (see Ingredients sheet)</t>
        </is>
      </c>
      <c r="Z735" s="2" t="n">
        <v>0</v>
      </c>
      <c r="AA735" s="3" t="inlineStr">
        <is>
          <t>vegan, gluten-free, dairy-free, nut-free, low-carb, quick</t>
        </is>
      </c>
      <c r="AB735" s="3" t="inlineStr">
        <is>
          <t>1. Toss asparagus with oil, garlic, salt.
2. Roast at 425°F 10–12 minutes.
3. Lemon zest and juice.</t>
        </is>
      </c>
      <c r="AC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14% of this dish's available carbohydrate comes from ingredients with a published, measured GI; the rest uses conventional placeholders (see Ingredients sheet)</t>
        </is>
      </c>
      <c r="Z736" s="2" t="n">
        <v>14</v>
      </c>
      <c r="AA736" s="3" t="inlineStr">
        <is>
          <t>vegetarian, gluten-free, nut-free, low-carb, no-cook</t>
        </is>
      </c>
      <c r="AB736" s="3" t="inlineStr">
        <is>
          <t>1. Slice cucumber thin; salt 10 minutes; drain.
2. Mix yogurt, dill, vinegar.
3. Toss with cucumber and onion.</t>
        </is>
      </c>
      <c r="AC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0% of this dish's available carbohydrate comes from ingredients with a published, measured GI; the rest uses conventional placeholders (see Ingredients sheet)</t>
        </is>
      </c>
      <c r="Z737" s="2" t="n">
        <v>0</v>
      </c>
      <c r="AA737" s="3" t="inlineStr">
        <is>
          <t>vegan, gluten-free, dairy-free, nut-free, low-carb</t>
        </is>
      </c>
      <c r="AB737" s="3" t="inlineStr">
        <is>
          <t>1. Toss florets with oil and spices.
2. Roast at 425°F 22–25 minutes.
3. Cilantro, lemon.</t>
        </is>
      </c>
      <c r="AC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0% of this dish's available carbohydrate comes from ingredients with a published, measured GI; the rest uses conventional placeholders (see Ingredients sheet)</t>
        </is>
      </c>
      <c r="Z738" s="2" t="n">
        <v>0</v>
      </c>
      <c r="AA738" s="3" t="inlineStr">
        <is>
          <t>vegetarian, gluten-free, nut-free, low-carb, quick</t>
        </is>
      </c>
      <c r="AB738" s="3" t="inlineStr">
        <is>
          <t>1. Sear mushrooms in oil over high heat 6 minutes without stirring much.
2. Add butter, garlic, thyme 2 minutes.
3. Parsley, salt.</t>
        </is>
      </c>
      <c r="AC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26% of this dish's available carbohydrate comes from ingredients with a published, measured GI; the rest uses conventional placeholders (see Ingredients sheet)</t>
        </is>
      </c>
      <c r="Z739" s="2" t="n">
        <v>26</v>
      </c>
      <c r="AA739" s="3" t="inlineStr">
        <is>
          <t>vegan, gluten-free, dairy-free, nut-free, low-carb, make-ahead</t>
        </is>
      </c>
      <c r="AB739" s="3" t="inlineStr">
        <is>
          <t>1. Sauté onion in oil; add shredded cabbage and apple.
2. Add vinegar, bay, sweetener, salt, 100 ml water; cover.
3. Simmer 35 minutes.</t>
        </is>
      </c>
      <c r="AC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0% of this dish's available carbohydrate comes from ingredients with a published, measured GI; the rest uses conventional placeholders (see Ingredients sheet)</t>
        </is>
      </c>
      <c r="Z740" s="2" t="n">
        <v>0</v>
      </c>
      <c r="AA740" s="3" t="inlineStr">
        <is>
          <t>vegan, gluten-free, dairy-free, nut-free, low-carb, make-ahead</t>
        </is>
      </c>
      <c r="AB740" s="3" t="inlineStr">
        <is>
          <t>1. Sauté onion and garlic in oil.
2. Add beans and tomatoes; simmer covered 30 minutes.
3. Dill, salt.</t>
        </is>
      </c>
      <c r="AC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99% of this dish's available carbohydrate comes from ingredients with a published, measured GI; the rest uses conventional placeholders (see Ingredients sheet)</t>
        </is>
      </c>
      <c r="Z741" s="2" t="n">
        <v>99</v>
      </c>
      <c r="AA741" s="3" t="inlineStr">
        <is>
          <t>vegetarian, gluten-free</t>
        </is>
      </c>
      <c r="AB741" s="3" t="inlineStr">
        <is>
          <t>1. Boil cubed sweet potato 20 minutes; drain.
2. Mash with yogurt, butter, cinnamon, salt.
3. Pecans.</t>
        </is>
      </c>
      <c r="AC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0% of this dish's available carbohydrate comes from ingredients with a published, measured GI; the rest uses conventional placeholders (see Ingredients sheet)</t>
        </is>
      </c>
      <c r="Z742" s="2" t="n">
        <v>0</v>
      </c>
      <c r="AA742" s="3" t="inlineStr">
        <is>
          <t>vegan, gluten-free, dairy-free, nut-free, low-carb</t>
        </is>
      </c>
      <c r="AB742" s="3" t="inlineStr">
        <is>
          <t>1. Halve radishes; toss with oil, garlic, thyme, salt.
2. Roast at 425°F 22 minutes.
3. Lemon.</t>
        </is>
      </c>
      <c r="AC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20% of this dish's available carbohydrate comes from ingredients with a published, measured GI; the rest uses conventional placeholders (see Ingredients sheet)</t>
        </is>
      </c>
      <c r="Z743" s="2" t="n">
        <v>20</v>
      </c>
      <c r="AA743" s="3" t="inlineStr">
        <is>
          <t>vegetarian, gluten-free, nut-free, low-carb</t>
        </is>
      </c>
      <c r="AB743" s="3" t="inlineStr">
        <is>
          <t>1. Sauté garlic in oil; wilt spinach; squeeze out excess liquid.
2. Stir in cream cheese, yogurt, parmesan, nutmeg.
3. Heat gently; salt.</t>
        </is>
      </c>
      <c r="AC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34</v>
      </c>
      <c r="U744" s="2" t="inlineStr">
        <is>
          <t>low</t>
        </is>
      </c>
      <c r="V744" s="5" t="n">
        <v>4.6</v>
      </c>
      <c r="W744" s="2" t="inlineStr">
        <is>
          <t>low</t>
        </is>
      </c>
      <c r="X744" s="3" t="inlineStr"/>
      <c r="Y744" s="3" t="inlineStr">
        <is>
          <t>90% of this dish's available carbohydrate comes from ingredients with a published, measured GI; the rest uses conventional placeholders (see Ingredients sheet)</t>
        </is>
      </c>
      <c r="Z744" s="2" t="n">
        <v>90</v>
      </c>
      <c r="AA744" s="3" t="inlineStr">
        <is>
          <t>vegan, gluten-free, dairy-free, nut-free, low-carb, high-fiber, no-cook, make-ahead</t>
        </is>
      </c>
      <c r="AB744" s="3" t="inlineStr">
        <is>
          <t>1. Whisk Dijon, lemon, oil, salt.
2. Toss with lentils, shallot, parsley.
3. Serve at room temperature.</t>
        </is>
      </c>
      <c r="AC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0% of this dish's available carbohydrate comes from ingredients with a published, measured GI; the rest uses conventional placeholders (see Ingredients sheet)</t>
        </is>
      </c>
      <c r="Z745" s="2" t="n">
        <v>0</v>
      </c>
      <c r="AA745" s="3" t="inlineStr">
        <is>
          <t>vegetarian, gluten-free, nut-free, low-carb, quick</t>
        </is>
      </c>
      <c r="AB745" s="3" t="inlineStr">
        <is>
          <t>1. Slice zucchini lengthwise; brush oil; salt.
2. Grill 3–4 minutes per side.
3. Feta, mint, lemon.</t>
        </is>
      </c>
      <c r="AC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0% of this dish's available carbohydrate comes from ingredients with a published, measured GI; the rest uses conventional placeholders (see Ingredients sheet)</t>
        </is>
      </c>
      <c r="Z746" s="2" t="n">
        <v>0</v>
      </c>
      <c r="AA746" s="3" t="inlineStr">
        <is>
          <t>vegan, gluten-free, dairy-free, low-carb, quick</t>
        </is>
      </c>
      <c r="AB746" s="3" t="inlineStr">
        <is>
          <t>1. Sauté cauliflower rice with cumin in oil 5 minutes.
2. Toss with herbs and lemon.
3. Almonds, salt.</t>
        </is>
      </c>
      <c r="AC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0% of this dish's available carbohydrate comes from ingredients with a published, measured GI; the rest uses conventional placeholders (see Ingredients sheet)</t>
        </is>
      </c>
      <c r="Z747" s="2" t="n">
        <v>0</v>
      </c>
      <c r="AA747" s="3" t="inlineStr">
        <is>
          <t>vegan, gluten-free, dairy-free, nut-free, low-carb</t>
        </is>
      </c>
      <c r="AB747" s="3" t="inlineStr">
        <is>
          <t>1. Cut peppers into strips; toss with oil, garlic, paprika, salt.
2. Roast at 425°F 22 minutes.
3. Parsley.</t>
        </is>
      </c>
      <c r="AC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42</v>
      </c>
      <c r="U748" s="2" t="inlineStr">
        <is>
          <t>low</t>
        </is>
      </c>
      <c r="V748" s="5" t="n">
        <v>11.1</v>
      </c>
      <c r="W748" s="2" t="inlineStr">
        <is>
          <t>medium</t>
        </is>
      </c>
      <c r="X748" s="3" t="inlineStr"/>
      <c r="Y748" s="3" t="inlineStr">
        <is>
          <t>91% of this dish's available carbohydrate comes from ingredients with a published, measured GI; the rest uses conventional placeholders (see Ingredients sheet)</t>
        </is>
      </c>
      <c r="Z748" s="2" t="n">
        <v>91</v>
      </c>
      <c r="AA748" s="3" t="inlineStr">
        <is>
          <t>vegan, dairy-free, nut-free</t>
        </is>
      </c>
      <c r="AB748" s="3" t="inlineStr">
        <is>
          <t>1. Sauté mushrooms, onion, garlic, thyme in oil 8 minutes.
2. Stir in cooked barley; heat through.
3. Parsley, salt.</t>
        </is>
      </c>
      <c r="AC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0% of this dish's available carbohydrate comes from ingredients with a published, measured GI; the rest uses conventional placeholders (see Ingredients sheet)</t>
        </is>
      </c>
      <c r="Z749" s="2" t="n">
        <v>0</v>
      </c>
      <c r="AA749" s="3" t="inlineStr">
        <is>
          <t>vegan, gluten-free, dairy-free, nut-free, low-carb, quick</t>
        </is>
      </c>
      <c r="AB749" s="3" t="inlineStr">
        <is>
          <t>1. Steam broccolini 4–5 minutes.
2. Toss with sesame oil, tamari, garlic.
3. Sesame seeds.</t>
        </is>
      </c>
      <c r="AC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0% of this dish's available carbohydrate comes from ingredients with a published, measured GI; the rest uses conventional placeholders (see Ingredients sheet)</t>
        </is>
      </c>
      <c r="Z750" s="2" t="n">
        <v>0</v>
      </c>
      <c r="AA750" s="3" t="inlineStr">
        <is>
          <t>vegan, gluten-free, dairy-free, nut-free, low-carb, make-ahead</t>
        </is>
      </c>
      <c r="AB750" s="3" t="inlineStr">
        <is>
          <t>1. Sauté eggplant in oil until golden; remove.
2. Sauté onion, celery; add tomatoes, olives, capers, vinegar, sweetener; simmer 10 minutes.
3. Return eggplant; simmer 10 minutes; basil.</t>
        </is>
      </c>
      <c r="AC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99% of this dish's available carbohydrate comes from ingredients with a published, measured GI; the rest uses conventional placeholders (see Ingredients sheet)</t>
        </is>
      </c>
      <c r="Z751" s="2" t="n">
        <v>99</v>
      </c>
      <c r="AA751" s="3" t="inlineStr">
        <is>
          <t>vegan, gluten-free, dairy-free, nut-free, low-carb</t>
        </is>
      </c>
      <c r="AB751" s="3" t="inlineStr">
        <is>
          <t>1. Cube squash; toss with oil, spices, salt.
2. Roast at 425°F 28–30 minutes.
3. Sage.</t>
        </is>
      </c>
      <c r="AC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0% of this dish's available carbohydrate comes from ingredients with a published, measured GI; the rest uses conventional placeholders (see Ingredients sheet)</t>
        </is>
      </c>
      <c r="Z752" s="2" t="n">
        <v>0</v>
      </c>
      <c r="AA752" s="3" t="inlineStr">
        <is>
          <t>vegetarian, gluten-free, low-carb, no-cook</t>
        </is>
      </c>
      <c r="AB752" s="3" t="inlineStr">
        <is>
          <t>1. Massage chopped kale with oil, lemon, garlic, salt 1 minute.
2. Rest 10 minutes.
3. Parmesan, pine nuts.</t>
        </is>
      </c>
      <c r="AC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0% of this dish's available carbohydrate comes from ingredients with a published, measured GI; the rest uses conventional placeholders (see Ingredients sheet)</t>
        </is>
      </c>
      <c r="Z753" s="2" t="n">
        <v>0</v>
      </c>
      <c r="AA753" s="3" t="inlineStr">
        <is>
          <t>vegan, gluten-free, dairy-free, nut-free, low-carb, no-cook</t>
        </is>
      </c>
      <c r="AB753" s="3" t="inlineStr">
        <is>
          <t>1. Pulse raw cauliflower rice fine.
2. Mix with chopped parsley, mint, tomato, cucumber, green onion.
3. Lemon, oil, salt.</t>
        </is>
      </c>
      <c r="AC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0% of this dish's available carbohydrate comes from ingredients with a published, measured GI; the rest uses conventional placeholders (see Ingredients sheet)</t>
        </is>
      </c>
      <c r="Z754" s="2" t="n">
        <v>0</v>
      </c>
      <c r="AA754" s="3" t="inlineStr">
        <is>
          <t>vegan, gluten-free, dairy-free, nut-free, low-carb</t>
        </is>
      </c>
      <c r="AB754" s="3" t="inlineStr">
        <is>
          <t>1. Toss mushrooms and onion with oil, garlic, rosemary, salt.
2. Roast at 425°F 22 minutes.
3. Balsamic.</t>
        </is>
      </c>
      <c r="AC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0% of this dish's available carbohydrate comes from ingredients with a published, measured GI; the rest uses conventional placeholders (see Ingredients sheet)</t>
        </is>
      </c>
      <c r="Z755" s="2" t="n">
        <v>0</v>
      </c>
      <c r="AA755" s="3" t="inlineStr">
        <is>
          <t>gluten-free, dairy-free, nut-free, low-carb, make-ahead</t>
        </is>
      </c>
      <c r="AB755" s="3" t="inlineStr">
        <is>
          <t>1. Sauté bacon, onion, garlic in oil.
2. Add collards, broth, vinegar, pepper flakes; cover.
3. Simmer 40 minutes; salt.</t>
        </is>
      </c>
      <c r="AC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0% of this dish's available carbohydrate comes from ingredients with a published, measured GI; the rest uses conventional placeholders (see Ingredients sheet)</t>
        </is>
      </c>
      <c r="Z756" s="2" t="n">
        <v>0</v>
      </c>
      <c r="AA756" s="3" t="inlineStr">
        <is>
          <t>vegan, gluten-free, dairy-free</t>
        </is>
      </c>
      <c r="AB756" s="3" t="inlineStr">
        <is>
          <t>1. Sauté mushrooms, onion, thyme in oil.
2. Stir in cooked wild rice.
3. Pecans, parsley, salt.</t>
        </is>
      </c>
      <c r="AC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0% of this dish's available carbohydrate comes from ingredients with a published, measured GI; the rest uses conventional placeholders (see Ingredients sheet)</t>
        </is>
      </c>
      <c r="Z757" s="2" t="n">
        <v>0</v>
      </c>
      <c r="AA757" s="3" t="inlineStr">
        <is>
          <t>vegetarian, gluten-free, nut-free, low-carb, no-cook</t>
        </is>
      </c>
      <c r="AB757" s="3" t="inlineStr">
        <is>
          <t>1. Shave fennel thin.
2. Toss with arugula, lemon, oil, salt.
3. Parmesan, pepper.</t>
        </is>
      </c>
      <c r="AC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0% of this dish's available carbohydrate comes from ingredients with a published, measured GI; the rest uses conventional placeholders (see Ingredients sheet)</t>
        </is>
      </c>
      <c r="Z758" s="2" t="n">
        <v>0</v>
      </c>
      <c r="AA758" s="3" t="inlineStr">
        <is>
          <t>vegan, gluten-free, dairy-free, nut-free, low-carb</t>
        </is>
      </c>
      <c r="AB758" s="3" t="inlineStr">
        <is>
          <t>1. Halve okra; toss with oil and spices.
2. Roast at 450°F 18–20 minutes.
3. Lemon.</t>
        </is>
      </c>
      <c r="AC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0% of this dish's available carbohydrate comes from ingredients with a published, measured GI; the rest uses conventional placeholders (see Ingredients sheet)</t>
        </is>
      </c>
      <c r="Z759" s="2" t="n">
        <v>0</v>
      </c>
      <c r="AA759" s="3" t="inlineStr">
        <is>
          <t>vegetarian, gluten-free, nut-free, low-carb</t>
        </is>
      </c>
      <c r="AB759" s="3" t="inlineStr">
        <is>
          <t>1. Slice cabbage into 1-inch rounds; brush with oil, garlic, paprika, salt.
2. Roast at 400°F 25–30 minutes, flipping once.
3. Parmesan.</t>
        </is>
      </c>
      <c r="AC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36</v>
      </c>
      <c r="U760" s="2" t="inlineStr">
        <is>
          <t>low</t>
        </is>
      </c>
      <c r="V760" s="5" t="n">
        <v>3.2</v>
      </c>
      <c r="W760" s="2" t="inlineStr">
        <is>
          <t>low</t>
        </is>
      </c>
      <c r="X760" s="3" t="inlineStr"/>
      <c r="Y760" s="3" t="inlineStr">
        <is>
          <t>97% of this dish's available carbohydrate comes from ingredients with a published, measured GI; the rest uses conventional placeholders (see Ingredients sheet)</t>
        </is>
      </c>
      <c r="Z760" s="2" t="n">
        <v>97</v>
      </c>
      <c r="AA760" s="3" t="inlineStr">
        <is>
          <t>vegetarian, gluten-free, nut-free, low-carb, quick</t>
        </is>
      </c>
      <c r="AB760" s="3" t="inlineStr">
        <is>
          <t>1. Boil peas 4 minutes; drain.
2. Mash with butter, mint, yogurt, lemon.
3. Salt.</t>
        </is>
      </c>
      <c r="AC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0% of this dish's available carbohydrate comes from ingredients with a published, measured GI; the rest uses conventional placeholders (see Ingredients sheet)</t>
        </is>
      </c>
      <c r="Z761" s="2" t="n">
        <v>0</v>
      </c>
      <c r="AA761" s="3" t="inlineStr">
        <is>
          <t>vegetarian, gluten-free, nut-free</t>
        </is>
      </c>
      <c r="AB761" s="3" t="inlineStr">
        <is>
          <t>1. Roast halved squash at 400°F 40 minutes; scrape strands.
2. Toss with butter, oil, garlic.
3. Parmesan, parsley, salt.</t>
        </is>
      </c>
      <c r="AC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0% of this dish's available carbohydrate comes from ingredients with a published, measured GI; the rest uses conventional placeholders (see Ingredients sheet)</t>
        </is>
      </c>
      <c r="Z762" s="2" t="n">
        <v>0</v>
      </c>
      <c r="AA762" s="3" t="inlineStr">
        <is>
          <t>vegan, gluten-free, dairy-free, nut-free, low-carb, no-cook</t>
        </is>
      </c>
      <c r="AB762" s="3" t="inlineStr">
        <is>
          <t>1. Slice tomato and onion.
2. Toss with oil, vinegar, oregano, salt.
3. Rest 15 minutes; basil.</t>
        </is>
      </c>
      <c r="AC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88% of this dish's available carbohydrate comes from ingredients with a published, measured GI; the rest uses conventional placeholders (see Ingredients sheet)</t>
        </is>
      </c>
      <c r="Z763" s="2" t="n">
        <v>88</v>
      </c>
      <c r="AA763" s="3" t="inlineStr">
        <is>
          <t>vegetarian, nut-free</t>
        </is>
      </c>
      <c r="AB763" s="3" t="inlineStr">
        <is>
          <t>1. Roast vegetables with oil at 425°F 20 minutes.
2. Toss with cooked farro, lemon, basil.
3. Parmesan, salt.</t>
        </is>
      </c>
      <c r="AC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0% of this dish's available carbohydrate comes from ingredients with a published, measured GI; the rest uses conventional placeholders (see Ingredients sheet)</t>
        </is>
      </c>
      <c r="Z764" s="2" t="n">
        <v>0</v>
      </c>
      <c r="AA764" s="3" t="inlineStr">
        <is>
          <t>vegan, gluten-free, dairy-free, nut-free, low-carb, quick</t>
        </is>
      </c>
      <c r="AB764" s="3" t="inlineStr">
        <is>
          <t>1. Heat oil until smoking; add peppers; blister 5–6 minutes.
2. Toss with tamari and lemon.
3. Sesame, salt.</t>
        </is>
      </c>
      <c r="AC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95% of this dish's available carbohydrate comes from ingredients with a published, measured GI; the rest uses conventional placeholders (see Ingredients sheet)</t>
        </is>
      </c>
      <c r="Z765" s="2" t="n">
        <v>95</v>
      </c>
      <c r="AA765" s="3" t="inlineStr">
        <is>
          <t>vegetarian, gluten-free, nut-free, low-carb</t>
        </is>
      </c>
      <c r="AB765" s="3" t="inlineStr">
        <is>
          <t>1. Toss carrots with oil, cumin, salt.
2. Roast at 425°F 22 minutes.
3. Serve over yogurt with lemon and cilantro.</t>
        </is>
      </c>
      <c r="AC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16% of this dish's available carbohydrate comes from ingredients with a published, measured GI; the rest uses conventional placeholders (see Ingredients sheet)</t>
        </is>
      </c>
      <c r="Z766" s="2" t="n">
        <v>16</v>
      </c>
      <c r="AA766" s="3" t="inlineStr">
        <is>
          <t>vegan, gluten-free, dairy-free, nut-free, low-carb, no-cook</t>
        </is>
      </c>
      <c r="AB766" s="3" t="inlineStr">
        <is>
          <t>1. Whisk tahini, lemon, garlic, water, salt.
2. Toss with shredded broccoli, carrot, cabbage.
3. Sunflower seeds.</t>
        </is>
      </c>
      <c r="AC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0% of this dish's available carbohydrate comes from ingredients with a published, measured GI; the rest uses conventional placeholders (see Ingredients sheet)</t>
        </is>
      </c>
      <c r="Z767" s="2" t="n">
        <v>0</v>
      </c>
      <c r="AA767" s="3" t="inlineStr">
        <is>
          <t>vegan, gluten-free, dairy-free, nut-free, low-carb</t>
        </is>
      </c>
      <c r="AB767" s="3" t="inlineStr">
        <is>
          <t>1. Cube eggplant; toss with oil, garlic, oregano, salt.
2. Roast at 425°F 22–25 minutes.
3. Parsley, lemon.</t>
        </is>
      </c>
      <c r="AC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61</v>
      </c>
      <c r="U768" s="2" t="inlineStr">
        <is>
          <t>medium</t>
        </is>
      </c>
      <c r="V768" s="5" t="n">
        <v>10.4</v>
      </c>
      <c r="W768" s="2" t="inlineStr">
        <is>
          <t>medium</t>
        </is>
      </c>
      <c r="X768" s="3" t="inlineStr">
        <is>
          <t>Medium-GI dish: keep to the stated portion and pair with the protein/fat in the recipe; GL per serving is the better guide.</t>
        </is>
      </c>
      <c r="Y768" s="3" t="inlineStr">
        <is>
          <t>86% of this dish's available carbohydrate comes from ingredients with a published, measured GI; the rest uses conventional placeholders (see Ingredients sheet)</t>
        </is>
      </c>
      <c r="Z768" s="2" t="n">
        <v>86</v>
      </c>
      <c r="AA768" s="3" t="inlineStr">
        <is>
          <t>vegan, gluten-free, dairy-free, nut-free</t>
        </is>
      </c>
      <c r="AB768" s="3" t="inlineStr">
        <is>
          <t>1. Sauté garlic in oil; add cauliflower rice 4 minutes.
2. Stir in cooked brown rice; heat through.
3. Green onion, salt.</t>
        </is>
      </c>
      <c r="AC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0% of this dish's available carbohydrate comes from ingredients with a published, measured GI; the rest uses conventional placeholders (see Ingredients sheet)</t>
        </is>
      </c>
      <c r="Z769" s="2" t="n">
        <v>0</v>
      </c>
      <c r="AA769" s="3" t="inlineStr">
        <is>
          <t>vegan, gluten-free, dairy-free, nut-free, low-carb, no-cook</t>
        </is>
      </c>
      <c r="AB769" s="3" t="inlineStr">
        <is>
          <t>1. Smash and chop cucumber; salt 10 minutes; drain.
2. Toss with vinegar, tamari, sesame oil, garlic, pepper flakes.
3. Sesame.</t>
        </is>
      </c>
      <c r="AC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89% of this dish's available carbohydrate comes from ingredients with a published, measured GI; the rest uses conventional placeholders (see Ingredients sheet)</t>
        </is>
      </c>
      <c r="Z770" s="2" t="n">
        <v>89</v>
      </c>
      <c r="AA770" s="3" t="inlineStr">
        <is>
          <t>vegan, gluten-free, dairy-free, nut-free, high-fiber, quick</t>
        </is>
      </c>
      <c r="AB770" s="3" t="inlineStr">
        <is>
          <t>1. Sauté onion and garlic in oil; add cumin.
2. Add beans with a splash of water; simmer 5 minutes.
3. Lime, cilantro, salt.</t>
        </is>
      </c>
      <c r="AC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0% of this dish's available carbohydrate comes from ingredients with a published, measured GI; the rest uses conventional placeholders (see Ingredients sheet)</t>
        </is>
      </c>
      <c r="Z771" s="2" t="n">
        <v>0</v>
      </c>
      <c r="AA771" s="3" t="inlineStr">
        <is>
          <t>vegan, gluten-free, dairy-free, nut-free, low-carb, quick</t>
        </is>
      </c>
      <c r="AB771" s="3" t="inlineStr">
        <is>
          <t>1. Stir-fry garlic and ginger in oil 30 seconds.
2. Add bok choy; stir-fry 4 minutes.
3. Tamari, sesame oil.</t>
        </is>
      </c>
      <c r="AC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92% of this dish's available carbohydrate comes from ingredients with a published, measured GI; the rest uses conventional placeholders (see Ingredients sheet)</t>
        </is>
      </c>
      <c r="Z772" s="2" t="n">
        <v>92</v>
      </c>
      <c r="AA772" s="3" t="inlineStr">
        <is>
          <t>vegetarian, gluten-free, low-carb</t>
        </is>
      </c>
      <c r="AB772" s="3" t="inlineStr">
        <is>
          <t>1. Wrap beets in foil; roast at 400°F 45 minutes; peel, slice.
2. Toss with oil, balsamic, thyme, salt.
3. Goat cheese, walnuts.</t>
        </is>
      </c>
      <c r="AC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94% of this dish's available carbohydrate comes from ingredients with a published, measured GI; the rest uses conventional placeholders (see Ingredients sheet)</t>
        </is>
      </c>
      <c r="Z773" s="2" t="n">
        <v>94</v>
      </c>
      <c r="AA773" s="3" t="inlineStr">
        <is>
          <t>vegan, gluten-free, dairy-free, nut-free, low-carb</t>
        </is>
      </c>
      <c r="AB773" s="3" t="inlineStr">
        <is>
          <t>1. Cut turnips into fries; toss with oil and spices.
2. Roast at 425°F 28–30 minutes, flipping once.
3. Parsley.</t>
        </is>
      </c>
      <c r="AC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0% of this dish's available carbohydrate comes from ingredients with a published, measured GI; the rest uses conventional placeholders (see Ingredients sheet)</t>
        </is>
      </c>
      <c r="Z774" s="2" t="n">
        <v>0</v>
      </c>
      <c r="AA774" s="3" t="inlineStr">
        <is>
          <t>vegan, gluten-free, dairy-free, nut-free, low-carb, quick</t>
        </is>
      </c>
      <c r="AB774" s="3" t="inlineStr">
        <is>
          <t>1. Blister beans in avocado oil 5 minutes.
2. Add garlic, tamari, sesame oil.
3. Sesame seeds.</t>
        </is>
      </c>
      <c r="AC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96% of this dish's available carbohydrate comes from ingredients with a published, measured GI; the rest uses conventional placeholders (see Ingredients sheet)</t>
        </is>
      </c>
      <c r="Z775" s="2" t="n">
        <v>96</v>
      </c>
      <c r="AA775" s="3" t="inlineStr">
        <is>
          <t>vegan, dairy-free, nut-free, low-carb, quick</t>
        </is>
      </c>
      <c r="AB775" s="3" t="inlineStr">
        <is>
          <t>1. Fluff cooked bulgur.
2. Toss with herbs, green onion, lemon, oil.
3. Salt.</t>
        </is>
      </c>
      <c r="AC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74% of this dish's available carbohydrate comes from ingredients with a published, measured GI; the rest uses conventional placeholders (see Ingredients sheet)</t>
        </is>
      </c>
      <c r="Z776" s="2" t="n">
        <v>74</v>
      </c>
      <c r="AA776" s="3" t="inlineStr">
        <is>
          <t>vegetarian, gluten-free, nut-free, low-carb</t>
        </is>
      </c>
      <c r="AB776" s="3" t="inlineStr">
        <is>
          <t>1. Sauté zucchini and corn in oil over high heat 8 minutes until charred.
2. Lime, chili powder, salt.
3. Cotija, cilantro.</t>
        </is>
      </c>
      <c r="AC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0% of this dish's available carbohydrate comes from ingredients with a published, measured GI; the rest uses conventional placeholders (see Ingredients sheet)</t>
        </is>
      </c>
      <c r="Z777" s="2" t="n">
        <v>0</v>
      </c>
      <c r="AA777" s="3" t="inlineStr">
        <is>
          <t>vegetarian, gluten-free, nut-free, low-carb, no-cook, quick</t>
        </is>
      </c>
      <c r="AB777" s="3" t="inlineStr">
        <is>
          <t>1. Chop cucumber and tomato; slice onion.
2. Toss with oil, vinegar, oregano, salt.
3. Feta.</t>
        </is>
      </c>
      <c r="AC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0% of this dish's available carbohydrate comes from ingredients with a published, measured GI; the rest uses conventional placeholders (see Ingredients sheet)</t>
        </is>
      </c>
      <c r="Z778" s="2" t="n">
        <v>0</v>
      </c>
      <c r="AA778" s="3" t="inlineStr">
        <is>
          <t>vegan, gluten-free, dairy-free, low-carb, high-fiber, no-cook</t>
        </is>
      </c>
      <c r="AB778" s="3" t="inlineStr">
        <is>
          <t>1. Blend avocado, cocoa, almond milk, sweetener, vanilla, salt until silky.
2. Chill 1 hour.
3. Top raspberries.</t>
        </is>
      </c>
      <c r="AC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37% of this dish's available carbohydrate comes from ingredients with a published, measured GI; the rest uses conventional placeholders (see Ingredients sheet)</t>
        </is>
      </c>
      <c r="Z779" s="2" t="n">
        <v>37</v>
      </c>
      <c r="AA779" s="3" t="inlineStr">
        <is>
          <t>vegetarian, gluten-free, low-carb, high-fiber</t>
        </is>
      </c>
      <c r="AB779" s="3" t="inlineStr">
        <is>
          <t>1. Simmer berries 5 minutes; mash; stir in chia and sweetener; cool 15 minutes.
2. Layer yogurt with vanilla and chia jam in glasses.
3. Almonds.</t>
        </is>
      </c>
      <c r="AC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23% of this dish's available carbohydrate comes from ingredients with a published, measured GI; the rest uses conventional placeholders (see Ingredients sheet)</t>
        </is>
      </c>
      <c r="Z780" s="2" t="n">
        <v>23</v>
      </c>
      <c r="AA780" s="3" t="inlineStr">
        <is>
          <t>vegetarian, gluten-free, low-carb, make-ahead</t>
        </is>
      </c>
      <c r="AB780" s="3" t="inlineStr">
        <is>
          <t>1. Cream butter and sweetener; beat in egg and vanilla.
2. Stir in almond flour, baking soda, salt, chocolate chips.
3. Scoop 12 cookies; bake at 350°F 10–12 minutes; cool.</t>
        </is>
      </c>
      <c r="AC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95% of this dish's available carbohydrate comes from ingredients with a published, measured GI; the rest uses conventional placeholders (see Ingredients sheet)</t>
        </is>
      </c>
      <c r="Z781" s="2" t="n">
        <v>95</v>
      </c>
      <c r="AA781" s="3" t="inlineStr">
        <is>
          <t>vegetarian, gluten-free</t>
        </is>
      </c>
      <c r="AB781" s="3" t="inlineStr">
        <is>
          <t>1. Core apples; fill with walnuts, cinnamon, sweetener, butter.
2. Bake at 375°F 30 minutes.
3. Serve with yogurt.</t>
        </is>
      </c>
      <c r="AC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13% of this dish's available carbohydrate comes from ingredients with a published, measured GI; the rest uses conventional placeholders (see Ingredients sheet)</t>
        </is>
      </c>
      <c r="Z782" s="2" t="n">
        <v>13</v>
      </c>
      <c r="AA782" s="3" t="inlineStr">
        <is>
          <t>vegetarian, gluten-free, low-carb, make-ahead</t>
        </is>
      </c>
      <c r="AB782" s="3" t="inlineStr">
        <is>
          <t>1. Melt coconut oil; mix with peanut butter, protein, cocoa, sweetener, vanilla, salt.
2. Press into a lined loaf pan.
3. Freeze 1 hour; cut into 10 squares; keep frozen.</t>
        </is>
      </c>
      <c r="AC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25</v>
      </c>
      <c r="U783" s="2" t="inlineStr">
        <is>
          <t>low</t>
        </is>
      </c>
      <c r="V783" s="5" t="n">
        <v>2.1</v>
      </c>
      <c r="W783" s="2" t="inlineStr">
        <is>
          <t>low</t>
        </is>
      </c>
      <c r="X783" s="3" t="inlineStr"/>
      <c r="Y783" s="3" t="inlineStr">
        <is>
          <t>52% of this dish's available carbohydrate comes from ingredients with a published, measured GI; the rest uses conventional placeholders (see Ingredients sheet)</t>
        </is>
      </c>
      <c r="Z783" s="2" t="n">
        <v>52</v>
      </c>
      <c r="AA783" s="3" t="inlineStr">
        <is>
          <t>vegetarian, gluten-free, low-carb, no-cook, quick</t>
        </is>
      </c>
      <c r="AB783" s="3" t="inlineStr">
        <is>
          <t>1. Whip ricotta with sweetener, vanilla, lemon zest.
2. Layer with sliced strawberries.
3. Pistachios and shaved dark chocolate.</t>
        </is>
      </c>
      <c r="AC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0% of this dish's available carbohydrate comes from ingredients with a published, measured GI; the rest uses conventional placeholders (see Ingredients sheet)</t>
        </is>
      </c>
      <c r="Z784" s="2" t="n">
        <v>0</v>
      </c>
      <c r="AA784" s="3" t="inlineStr">
        <is>
          <t>vegan, gluten-free, dairy-free, low-carb, high-fiber, make-ahead</t>
        </is>
      </c>
      <c r="AB784" s="3" t="inlineStr">
        <is>
          <t>1. Whisk cocoa, sweetener, vanilla into almond milk; stir in chia.
2. Refrigerate 4+ hours, stirring once.
3. Raspberries.</t>
        </is>
      </c>
      <c r="AC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78% of this dish's available carbohydrate comes from ingredients with a published, measured GI; the rest uses conventional placeholders (see Ingredients sheet)</t>
        </is>
      </c>
      <c r="Z785" s="2" t="n">
        <v>78</v>
      </c>
      <c r="AA785" s="3" t="inlineStr">
        <is>
          <t>vegetarian, gluten-free, nut-free, low-carb, make-ahead</t>
        </is>
      </c>
      <c r="AB785" s="3" t="inlineStr">
        <is>
          <t>1. Beat cream cheese, yogurt, eggs, sweetener, vanilla, zest until smooth.
2. Divide into 6 ramekins; bake in a water bath at 325°F 22–25 minutes.
3. Chill 3 hours; blueberries.</t>
        </is>
      </c>
      <c r="AC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51% of this dish's available carbohydrate comes from ingredients with a published, measured GI; the rest uses conventional placeholders (see Ingredients sheet)</t>
        </is>
      </c>
      <c r="Z786" s="2" t="n">
        <v>51</v>
      </c>
      <c r="AA786" s="3" t="inlineStr">
        <is>
          <t>vegetarian, gluten-free, nut-free, low-carb, make-ahead</t>
        </is>
      </c>
      <c r="AB786" s="3" t="inlineStr">
        <is>
          <t>1. Mix yogurt, vanilla, sweetener.
2. Fold in berries; spoon into mini muffin liners; coconut.
3. Freeze 3 hours.</t>
        </is>
      </c>
      <c r="AC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97% of this dish's available carbohydrate comes from ingredients with a published, measured GI; the rest uses conventional placeholders (see Ingredients sheet)</t>
        </is>
      </c>
      <c r="Z787" s="2" t="n">
        <v>97</v>
      </c>
      <c r="AA787" s="3" t="inlineStr">
        <is>
          <t>vegan, gluten-free, dairy-free, low-carb, quick</t>
        </is>
      </c>
      <c r="AB787" s="3" t="inlineStr">
        <is>
          <t>1. Melt chocolate with coconut oil.
2. Dip strawberries; sprinkle almonds.
3. Set on parchment; chill 20 minutes.</t>
        </is>
      </c>
      <c r="AC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36</v>
      </c>
      <c r="U788" s="2" t="inlineStr">
        <is>
          <t>low</t>
        </is>
      </c>
      <c r="V788" s="5" t="n">
        <v>3.2</v>
      </c>
      <c r="W788" s="2" t="inlineStr">
        <is>
          <t>low</t>
        </is>
      </c>
      <c r="X788" s="3" t="inlineStr"/>
      <c r="Y788" s="3" t="inlineStr">
        <is>
          <t>63% of this dish's available carbohydrate comes from ingredients with a published, measured GI; the rest uses conventional placeholders (see Ingredients sheet)</t>
        </is>
      </c>
      <c r="Z788" s="2" t="n">
        <v>63</v>
      </c>
      <c r="AA788" s="3" t="inlineStr">
        <is>
          <t>vegetarian, gluten-free, low-carb, high-protein, quick</t>
        </is>
      </c>
      <c r="AB788" s="3" t="inlineStr">
        <is>
          <t>1. Mix pumpkin, egg, protein, almond flour, spice, baking powder, sweetener in a mug.
2. Microwave 90 seconds–2 minutes.
3. Top with yogurt.</t>
        </is>
      </c>
      <c r="AC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24% of this dish's available carbohydrate comes from ingredients with a published, measured GI; the rest uses conventional placeholders (see Ingredients sheet)</t>
        </is>
      </c>
      <c r="Z789" s="2" t="n">
        <v>24</v>
      </c>
      <c r="AA789" s="3" t="inlineStr">
        <is>
          <t>vegetarian, gluten-free, dairy-free, nut-free, low-carb, make-ahead</t>
        </is>
      </c>
      <c r="AB789" s="3" t="inlineStr">
        <is>
          <t>1. Whisk egg whites with sweetener, vanilla, salt until foamy; fold in coconut.
2. Scoop 12 mounds; bake at 325°F 16–18 minutes until golden.
3. Drizzle melted chocolate.</t>
        </is>
      </c>
      <c r="AC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40% of this dish's available carbohydrate comes from ingredients with a published, measured GI; the rest uses conventional placeholders (see Ingredients sheet)</t>
        </is>
      </c>
      <c r="Z790" s="2" t="n">
        <v>40</v>
      </c>
      <c r="AA790" s="3" t="inlineStr">
        <is>
          <t>vegetarian, gluten-free, low-carb, make-ahead</t>
        </is>
      </c>
      <c r="AB790" s="3" t="inlineStr">
        <is>
          <t>1. Beat eggs, melted butter, yogurt, sweetener, lemon, vanilla.
2. Stir in almond flour, baking powder, salt; fold blueberries.
3. Bake in an 8-inch pan at 350°F 32–35 minutes; cool.</t>
        </is>
      </c>
      <c r="AC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83% of this dish's available carbohydrate comes from ingredients with a published, measured GI; the rest uses conventional placeholders (see Ingredients sheet)</t>
        </is>
      </c>
      <c r="Z791" s="2" t="n">
        <v>83</v>
      </c>
      <c r="AA791" s="3" t="inlineStr">
        <is>
          <t>vegetarian, gluten-free, no-cook, quick</t>
        </is>
      </c>
      <c r="AB791" s="3" t="inlineStr">
        <is>
          <t>1. Blend frozen banana, yogurt, cocoa, peanut butter, almond milk, stevia until creamy.
2. Serve immediately, or freeze 30 minutes for firmer texture.</t>
        </is>
      </c>
      <c r="AC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26</v>
      </c>
      <c r="U792" s="2" t="inlineStr">
        <is>
          <t>low</t>
        </is>
      </c>
      <c r="V792" s="5" t="n">
        <v>4.5</v>
      </c>
      <c r="W792" s="2" t="inlineStr">
        <is>
          <t>low</t>
        </is>
      </c>
      <c r="X792" s="3" t="inlineStr"/>
      <c r="Y792" s="3" t="inlineStr">
        <is>
          <t>85% of this dish's available carbohydrate comes from ingredients with a published, measured GI; the rest uses conventional placeholders (see Ingredients sheet)</t>
        </is>
      </c>
      <c r="Z792" s="2" t="n">
        <v>85</v>
      </c>
      <c r="AA792" s="3" t="inlineStr">
        <is>
          <t>vegetarian, gluten-free</t>
        </is>
      </c>
      <c r="AB792" s="3" t="inlineStr">
        <is>
          <t>1. Halve and core pears; brush with butter, cinnamon; bake at 375°F 25 minutes.
2. Whisk ricotta with vanilla and sweetener.
3. Top pears with ricotta and walnuts.</t>
        </is>
      </c>
      <c r="AC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86% of this dish's available carbohydrate comes from ingredients with a published, measured GI; the rest uses conventional placeholders (see Ingredients sheet)</t>
        </is>
      </c>
      <c r="Z793" s="2" t="n">
        <v>86</v>
      </c>
      <c r="AA793" s="3" t="inlineStr">
        <is>
          <t>vegan, dairy-free, low-carb, make-ahead, no-cook</t>
        </is>
      </c>
      <c r="AB793" s="3" t="inlineStr">
        <is>
          <t>1. Mix oats, almond butter, flax, sweetener, vanilla, salt, almond milk; fold in chips.
2. Press firmly into a lined 8x8 pan.
3. Chill 2 hours; cut into 10 bars.</t>
        </is>
      </c>
      <c r="AC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52% of this dish's available carbohydrate comes from ingredients with a published, measured GI; the rest uses conventional placeholders (see Ingredients sheet)</t>
        </is>
      </c>
      <c r="Z794" s="2" t="n">
        <v>52</v>
      </c>
      <c r="AA794" s="3" t="inlineStr">
        <is>
          <t>vegan, gluten-free, dairy-free, low-carb, make-ahead</t>
        </is>
      </c>
      <c r="AB794" s="3" t="inlineStr">
        <is>
          <t>1. Whisk matcha, sweetener, vanilla into almond milk; stir chia.
2. Refrigerate 4 hours.
3. Strawberries.</t>
        </is>
      </c>
      <c r="AC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0% of this dish's available carbohydrate comes from ingredients with a published, measured GI; the rest uses conventional placeholders (see Ingredients sheet)</t>
        </is>
      </c>
      <c r="Z795" s="2" t="n">
        <v>0</v>
      </c>
      <c r="AA795" s="3" t="inlineStr">
        <is>
          <t>vegetarian, gluten-free, dairy-free, low-carb, quick</t>
        </is>
      </c>
      <c r="AB795" s="3" t="inlineStr">
        <is>
          <t>1. Mix peanut butter, egg, sweetener, vanilla.
2. Roll 12 balls; press with a fork.
3. Bake at 350°F 10–12 minutes; cool fully.</t>
        </is>
      </c>
      <c r="AC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43% of this dish's available carbohydrate comes from ingredients with a published, measured GI; the rest uses conventional placeholders (see Ingredients sheet)</t>
        </is>
      </c>
      <c r="Z796" s="2" t="n">
        <v>43</v>
      </c>
      <c r="AA796" s="3" t="inlineStr">
        <is>
          <t>vegetarian, low-carb, high-fiber</t>
        </is>
      </c>
      <c r="AB796" s="3" t="inlineStr">
        <is>
          <t>1. Toss raspberries with chia and half the sweetener; divide into ramekins.
2. Rub almond flour, oats, butter, cinnamon, remaining sweetener into crumbs; top.
3. Bake at 375°F 18–20 minutes.</t>
        </is>
      </c>
      <c r="AC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78% of this dish's available carbohydrate comes from ingredients with a published, measured GI; the rest uses conventional placeholders (see Ingredients sheet)</t>
        </is>
      </c>
      <c r="Z797" s="2" t="n">
        <v>78</v>
      </c>
      <c r="AA797" s="3" t="inlineStr">
        <is>
          <t>vegetarian, gluten-free, nut-free, low-carb, make-ahead</t>
        </is>
      </c>
      <c r="AB797" s="3" t="inlineStr">
        <is>
          <t>1. Bloom gelatin in espresso; warm cream with sweetener; dissolve gelatin.
2. Whisk into yogurt and vanilla; pour into 4 cups.
3. Chill 4 hours; shave chocolate.</t>
        </is>
      </c>
      <c r="AC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23% of this dish's available carbohydrate comes from ingredients with a published, measured GI; the rest uses conventional placeholders (see Ingredients sheet)</t>
        </is>
      </c>
      <c r="Z798" s="2" t="n">
        <v>23</v>
      </c>
      <c r="AA798" s="3" t="inlineStr">
        <is>
          <t>vegetarian, gluten-free, low-carb, no-cook</t>
        </is>
      </c>
      <c r="AB798" s="3" t="inlineStr">
        <is>
          <t>1. Blend cottage cheese, cocoa, sweetener, vanilla, almond milk until silky.
2. Chill 30 minutes.
3. Strawberries.</t>
        </is>
      </c>
      <c r="AC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96% of this dish's available carbohydrate comes from ingredients with a published, measured GI; the rest uses conventional placeholders (see Ingredients sheet)</t>
        </is>
      </c>
      <c r="Z799" s="2" t="n">
        <v>96</v>
      </c>
      <c r="AA799" s="3" t="inlineStr">
        <is>
          <t>vegetarian, gluten-free, quick</t>
        </is>
      </c>
      <c r="AB799" s="3" t="inlineStr">
        <is>
          <t>1. Sauté diced apple in butter with cinnamon 4 minutes.
2. Stir vanilla into yogurt.
3. Top with apple and pecans.</t>
        </is>
      </c>
      <c r="AC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14% of this dish's available carbohydrate comes from ingredients with a published, measured GI; the rest uses conventional placeholders (see Ingredients sheet)</t>
        </is>
      </c>
      <c r="Z800" s="2" t="n">
        <v>14</v>
      </c>
      <c r="AA800" s="3" t="inlineStr">
        <is>
          <t>vegetarian, gluten-free, low-carb, make-ahead</t>
        </is>
      </c>
      <c r="AB800" s="3" t="inlineStr">
        <is>
          <t>1. Melt butter; whisk with sweetener, eggs, vanilla.
2. Stir in cocoa, almond flour, baking powder, salt, chips.
3. Bake in an 8x8 pan at 350°F 20–22 minutes; cool fully.</t>
        </is>
      </c>
      <c r="AC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48</v>
      </c>
      <c r="U801" s="2" t="inlineStr">
        <is>
          <t>low</t>
        </is>
      </c>
      <c r="V801" s="5" t="n">
        <v>6.1</v>
      </c>
      <c r="W801" s="2" t="inlineStr">
        <is>
          <t>low</t>
        </is>
      </c>
      <c r="X801" s="3" t="inlineStr"/>
      <c r="Y801" s="3" t="inlineStr">
        <is>
          <t>99% of this dish's available carbohydrate comes from ingredients with a published, measured GI; the rest uses conventional placeholders (see Ingredients sheet)</t>
        </is>
      </c>
      <c r="Z801" s="2" t="n">
        <v>99</v>
      </c>
      <c r="AA801" s="3" t="inlineStr">
        <is>
          <t>vegetarian, gluten-free, low-carb, quick</t>
        </is>
      </c>
      <c r="AB801" s="3" t="inlineStr">
        <is>
          <t>1. Brush peach halves with oil; grill 3–4 minutes per side.
2. Top with yogurt.
3. Pistachios, cinnamon, mint.</t>
        </is>
      </c>
      <c r="AC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82% of this dish's available carbohydrate comes from ingredients with a published, measured GI; the rest uses conventional placeholders (see Ingredients sheet)</t>
        </is>
      </c>
      <c r="Z802" s="2" t="n">
        <v>82</v>
      </c>
      <c r="AA802" s="3" t="inlineStr">
        <is>
          <t>vegetarian, gluten-free, low-carb, make-ahead</t>
        </is>
      </c>
      <c r="AB802" s="3" t="inlineStr">
        <is>
          <t>1. Blend all ingredients until smooth.
2. Freeze in a container 6 hours; process in an ice cream maker or blend briefly with a splash of milk.
3. Serve.</t>
        </is>
      </c>
      <c r="AC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28% of this dish's available carbohydrate comes from ingredients with a published, measured GI; the rest uses conventional placeholders (see Ingredients sheet)</t>
        </is>
      </c>
      <c r="Z803" s="2" t="n">
        <v>28</v>
      </c>
      <c r="AA803" s="3" t="inlineStr">
        <is>
          <t>vegetarian, gluten-free, nut-free, low-carb, no-cook, quick</t>
        </is>
      </c>
      <c r="AB803" s="3" t="inlineStr">
        <is>
          <t>1. Blend frozen blackberries, yogurt, lime juice and zest, sweetener.
2. Serve immediately as soft-serve or freeze 1 hour.</t>
        </is>
      </c>
      <c r="AC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13% of this dish's available carbohydrate comes from ingredients with a published, measured GI; the rest uses conventional placeholders (see Ingredients sheet)</t>
        </is>
      </c>
      <c r="Z804" s="2" t="n">
        <v>13</v>
      </c>
      <c r="AA804" s="3" t="inlineStr">
        <is>
          <t>vegetarian, gluten-free, low-carb, make-ahead</t>
        </is>
      </c>
      <c r="AB804" s="3" t="inlineStr">
        <is>
          <t>1. Whisk eggs, yogurt, melted butter, sweetener, vanilla.
2. Stir in almond flour, cinnamon, baking powder; fold walnuts.
3. Bake in 10 lined cups at 350°F 18–20 minutes.</t>
        </is>
      </c>
      <c r="AC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23</v>
      </c>
      <c r="U805" s="2" t="inlineStr">
        <is>
          <t>low</t>
        </is>
      </c>
      <c r="V805" s="5" t="n">
        <v>1.6</v>
      </c>
      <c r="W805" s="2" t="inlineStr">
        <is>
          <t>low</t>
        </is>
      </c>
      <c r="X805" s="3" t="inlineStr"/>
      <c r="Y805" s="3" t="inlineStr">
        <is>
          <t>93% of this dish's available carbohydrate comes from ingredients with a published, measured GI; the rest uses conventional placeholders (see Ingredients sheet)</t>
        </is>
      </c>
      <c r="Z805" s="2" t="n">
        <v>93</v>
      </c>
      <c r="AA805" s="3" t="inlineStr">
        <is>
          <t>vegetarian, gluten-free, low-carb, make-ahead</t>
        </is>
      </c>
      <c r="AB805" s="3" t="inlineStr">
        <is>
          <t>1. Blend cherries with half the yogurt.
2. Layer with remaining yogurt mixed with almond milk, sweetener, vanilla in molds; add chopped almonds.
3. Freeze 6 hours.</t>
        </is>
      </c>
      <c r="AC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52% of this dish's available carbohydrate comes from ingredients with a published, measured GI; the rest uses conventional placeholders (see Ingredients sheet)</t>
        </is>
      </c>
      <c r="Z806" s="2" t="n">
        <v>52</v>
      </c>
      <c r="AA806" s="3" t="inlineStr">
        <is>
          <t>vegan, gluten-free, dairy-free, low-carb, make-ahead</t>
        </is>
      </c>
      <c r="AB806" s="3" t="inlineStr">
        <is>
          <t>1. Roast hazelnuts at 350°F 10 minutes; rub off skins.
2. Blend to butter; add cocoa, sweetener, coconut oil, vanilla, salt.
3. Serve 2 tbsp per person with strawberries.</t>
        </is>
      </c>
      <c r="AC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42% of this dish's available carbohydrate comes from ingredients with a published, measured GI; the rest uses conventional placeholders (see Ingredients sheet)</t>
        </is>
      </c>
      <c r="Z807" s="2" t="n">
        <v>42</v>
      </c>
      <c r="AA807" s="3" t="inlineStr">
        <is>
          <t>vegetarian, gluten-free, low-carb, make-ahead</t>
        </is>
      </c>
      <c r="AB807" s="3" t="inlineStr">
        <is>
          <t>1. Mix almond flour, eggs, half the sweetener, baking powder; bake thin at 350°F 12 minutes; cube.
2. Whip yogurt, cream cheese, remaining sweetener, vanilla.
3. Layer cake soaked in espresso with cream in cups; dust cocoa; chill 2 hours.</t>
        </is>
      </c>
      <c r="AC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97% of this dish's available carbohydrate comes from ingredients with a published, measured GI; the rest uses conventional placeholders (see Ingredients sheet)</t>
        </is>
      </c>
      <c r="Z808" s="2" t="n">
        <v>97</v>
      </c>
      <c r="AA808" s="3" t="inlineStr">
        <is>
          <t>vegetarian, gluten-free, nut-free, low-carb, no-cook, quick</t>
        </is>
      </c>
      <c r="AB808" s="3" t="inlineStr">
        <is>
          <t>1. Dice fruit.
2. Toss with lime juice and mint.
3. Serve with a spoonful of yogurt.</t>
        </is>
      </c>
      <c r="AC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69% of this dish's available carbohydrate comes from ingredients with a published, measured GI; the rest uses conventional placeholders (see Ingredients sheet)</t>
        </is>
      </c>
      <c r="Z809" s="2" t="n">
        <v>69</v>
      </c>
      <c r="AA809" s="3" t="inlineStr">
        <is>
          <t>vegetarian, gluten-free, nut-free, low-carb, make-ahead</t>
        </is>
      </c>
      <c r="AB809" s="3" t="inlineStr">
        <is>
          <t>1. Melt chocolate and butter; whisk in sweetener, eggs, cocoa, vanilla, salt.
2. Bake in a lined 8-inch pan at 350°F 25–30 minutes.
3. Cool; serve thin slices with raspberries.</t>
        </is>
      </c>
      <c r="AC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42</v>
      </c>
      <c r="U810" s="2" t="inlineStr">
        <is>
          <t>low</t>
        </is>
      </c>
      <c r="V810" s="5" t="n">
        <v>2</v>
      </c>
      <c r="W810" s="2" t="inlineStr">
        <is>
          <t>low</t>
        </is>
      </c>
      <c r="X810" s="3" t="inlineStr">
        <is>
          <t>Negligible carbohydrate (&lt;5 g net/serving): GI has little practical meaning, glycemic load is what matters.</t>
        </is>
      </c>
      <c r="Y810" s="3" t="inlineStr">
        <is>
          <t>43% of this dish's available carbohydrate comes from ingredients with a published, measured GI; the rest uses conventional placeholders (see Ingredients sheet)</t>
        </is>
      </c>
      <c r="Z810" s="2" t="n">
        <v>43</v>
      </c>
      <c r="AA810" s="3" t="inlineStr">
        <is>
          <t>vegan, gluten-free, dairy-free, low-carb, high-fiber, make-ahead</t>
        </is>
      </c>
      <c r="AB810" s="3" t="inlineStr">
        <is>
          <t>1. Whisk pumpkin, spice, sweetener, vanilla into almond milk; stir chia.
2. Refrigerate 4 hours.
3. Pecans.</t>
        </is>
      </c>
      <c r="AC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70% of this dish's available carbohydrate comes from ingredients with a published, measured GI; the rest uses conventional placeholders (see Ingredients sheet)</t>
        </is>
      </c>
      <c r="Z811" s="2" t="n">
        <v>70</v>
      </c>
      <c r="AA811" s="3" t="inlineStr">
        <is>
          <t>vegetarian, gluten-free, low-carb, quick</t>
        </is>
      </c>
      <c r="AB811" s="3" t="inlineStr">
        <is>
          <t>1. Toast coconut in a dry pan 2 minutes.
2. Mix yogurt with lime zest and juice, sweetener, vanilla.
3. Top coconut, macadamia.</t>
        </is>
      </c>
      <c r="AC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86% of this dish's available carbohydrate comes from ingredients with a published, measured GI; the rest uses conventional placeholders (see Ingredients sheet)</t>
        </is>
      </c>
      <c r="Z812" s="2" t="n">
        <v>86</v>
      </c>
      <c r="AA812" s="3" t="inlineStr">
        <is>
          <t>vegetarian, low-carb, make-ahead</t>
        </is>
      </c>
      <c r="AB812" s="3" t="inlineStr">
        <is>
          <t>1. Cream butter and sweetener; add egg, vanilla.
2. Stir in oats, almond flour, cinnamon, baking soda, salt, walnuts.
3. Bake 12 cookies at 350°F 12–13 minutes.</t>
        </is>
      </c>
      <c r="AC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45% of this dish's available carbohydrate comes from ingredients with a published, measured GI; the rest uses conventional placeholders (see Ingredients sheet)</t>
        </is>
      </c>
      <c r="Z813" s="2" t="n">
        <v>45</v>
      </c>
      <c r="AA813" s="3" t="inlineStr">
        <is>
          <t>vegetarian, gluten-free, nut-free, low-carb, no-cook</t>
        </is>
      </c>
      <c r="AB813" s="3" t="inlineStr">
        <is>
          <t>1. Blend cottage cheese, cream cheese, protein, sweetener, vanilla until fluffy.
2. Fold in diced strawberries.
3. Chill 20 minutes.</t>
        </is>
      </c>
      <c r="AC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60% of this dish's available carbohydrate comes from ingredients with a published, measured GI; the rest uses conventional placeholders (see Ingredients sheet)</t>
        </is>
      </c>
      <c r="Z814" s="2" t="n">
        <v>60</v>
      </c>
      <c r="AA814" s="3" t="inlineStr">
        <is>
          <t>vegan, gluten-free, dairy-free, low-carb, make-ahead</t>
        </is>
      </c>
      <c r="AB814" s="3" t="inlineStr">
        <is>
          <t>1. Melt chocolate; stir in almonds.
2. Spoon 8 clusters on parchment; sprinkle coconut and salt.
3. Chill 20 minutes.</t>
        </is>
      </c>
      <c r="AC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35% of this dish's available carbohydrate comes from ingredients with a published, measured GI; the rest uses conventional placeholders (see Ingredients sheet)</t>
        </is>
      </c>
      <c r="Z815" s="2" t="n">
        <v>35</v>
      </c>
      <c r="AA815" s="3" t="inlineStr">
        <is>
          <t>vegetarian, gluten-free, nut-free, low-carb, no-cook</t>
        </is>
      </c>
      <c r="AB815" s="3" t="inlineStr">
        <is>
          <t>1. Whip cream to soft peaks.
2. Whisk ricotta with lemon, sweetener, vanilla; fold in cream.
3. Chill 1 hour; blueberries.</t>
        </is>
      </c>
      <c r="AC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26</v>
      </c>
      <c r="U816" s="2" t="inlineStr">
        <is>
          <t>low</t>
        </is>
      </c>
      <c r="V816" s="5" t="n">
        <v>4</v>
      </c>
      <c r="W816" s="2" t="inlineStr">
        <is>
          <t>low</t>
        </is>
      </c>
      <c r="X816" s="3" t="inlineStr"/>
      <c r="Y816" s="3" t="inlineStr">
        <is>
          <t>95% of this dish's available carbohydrate comes from ingredients with a published, measured GI; the rest uses conventional placeholders (see Ingredients sheet)</t>
        </is>
      </c>
      <c r="Z816" s="2" t="n">
        <v>95</v>
      </c>
      <c r="AA816" s="3" t="inlineStr">
        <is>
          <t>vegetarian, gluten-free</t>
        </is>
      </c>
      <c r="AB816" s="3" t="inlineStr">
        <is>
          <t>1. Slice pears; toss with coconut oil and cinnamon.
2. Roast at 400°F 18–20 minutes.
3. Serve with yogurt and walnuts.</t>
        </is>
      </c>
      <c r="AC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79% of this dish's available carbohydrate comes from ingredients with a published, measured GI; the rest uses conventional placeholders (see Ingredients sheet)</t>
        </is>
      </c>
      <c r="Z817" s="2" t="n">
        <v>79</v>
      </c>
      <c r="AA817" s="3" t="inlineStr">
        <is>
          <t>vegetarian, gluten-free, low-carb, no-cook, quick</t>
        </is>
      </c>
      <c r="AB817" s="3" t="inlineStr">
        <is>
          <t>1. Whisk yogurt, protein, cocoa, sweetener, almond milk until smooth.
2. Chill 20 minutes.
3. Chocolate chips.</t>
        </is>
      </c>
      <c r="AC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44% of this dish's available carbohydrate comes from ingredients with a published, measured GI; the rest uses conventional placeholders (see Ingredients sheet)</t>
        </is>
      </c>
      <c r="Z818" s="2" t="n">
        <v>44</v>
      </c>
      <c r="AA818" s="3" t="inlineStr">
        <is>
          <t>vegan, gluten-free, dairy-free, low-carb, make-ahead</t>
        </is>
      </c>
      <c r="AB818" s="3" t="inlineStr">
        <is>
          <t>1. Mix coconut, melted coconut oil, sweetener, vanilla; press into 12 mini cups; top each with an almond.
2. Freeze 20 minutes.
3. Drizzle melted chocolate; keep frozen.</t>
        </is>
      </c>
      <c r="AC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91% of this dish's available carbohydrate comes from ingredients with a published, measured GI; the rest uses conventional placeholders (see Ingredients sheet)</t>
        </is>
      </c>
      <c r="Z819" s="2" t="n">
        <v>91</v>
      </c>
      <c r="AA819" s="3" t="inlineStr">
        <is>
          <t>vegetarian, gluten-free, nut-free, low-carb, make-ahead</t>
        </is>
      </c>
      <c r="AB819" s="3" t="inlineStr">
        <is>
          <t>1. Whisk eggs, warm milk, sweetener, vanilla.
2. Pour into 4 ramekins; nutmeg; bake in a water bath at 325°F 35–40 minutes.
3. Chill.</t>
        </is>
      </c>
      <c r="AC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87% of this dish's available carbohydrate comes from ingredients with a published, measured GI; the rest uses conventional placeholders (see Ingredients sheet)</t>
        </is>
      </c>
      <c r="Z820" s="2" t="n">
        <v>87</v>
      </c>
      <c r="AA820" s="3" t="inlineStr">
        <is>
          <t>vegan, gluten-free, dairy-free, low-carb, make-ahead</t>
        </is>
      </c>
      <c r="AB820" s="3" t="inlineStr">
        <is>
          <t>1. Slice banana; sandwich peanut butter between slices.
2. Freeze 1 hour; dip halfway in melted chocolate.
3. Freeze 20 minutes.</t>
        </is>
      </c>
      <c r="AC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77% of this dish's available carbohydrate comes from ingredients with a published, measured GI; the rest uses conventional placeholders (see Ingredients sheet)</t>
        </is>
      </c>
      <c r="Z821" s="2" t="n">
        <v>77</v>
      </c>
      <c r="AA821" s="3" t="inlineStr">
        <is>
          <t>vegan, gluten-free, dairy-free, low-carb, make-ahead</t>
        </is>
      </c>
      <c r="AB821" s="3" t="inlineStr">
        <is>
          <t>1. Whisk almond milk, vanilla, sweetener; stir chia.
2. Refrigerate 4 hours.
3. Kiwi.</t>
        </is>
      </c>
      <c r="AC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0% of this dish's available carbohydrate comes from ingredients with a published, measured GI; the rest uses conventional placeholders (see Ingredients sheet)</t>
        </is>
      </c>
      <c r="Z822" s="2" t="n">
        <v>0</v>
      </c>
      <c r="AA822" s="3" t="inlineStr">
        <is>
          <t>vegan, gluten-free, dairy-free, nut-free, low-carb, quick</t>
        </is>
      </c>
      <c r="AB822" s="3" t="inlineStr">
        <is>
          <t>1. Brew green tea; cool.
2. Add mint, lemon slices, stevia.
3. Serve over ice.</t>
        </is>
      </c>
      <c r="AC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0% of this dish's available carbohydrate comes from ingredients with a published, measured GI; the rest uses conventional placeholders (see Ingredients sheet)</t>
        </is>
      </c>
      <c r="Z823" s="2" t="n">
        <v>0</v>
      </c>
      <c r="AA823" s="3" t="inlineStr">
        <is>
          <t>vegan, gluten-free, dairy-free, nut-free, low-carb, quick, no-cook</t>
        </is>
      </c>
      <c r="AB823" s="3" t="inlineStr">
        <is>
          <t>1. Slice cucumber and lime.
2. Add to glasses with mint.
3. Top sparkling water.</t>
        </is>
      </c>
      <c r="AC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0% of this dish's available carbohydrate comes from ingredients with a published, measured GI; the rest uses conventional placeholders (see Ingredients sheet)</t>
        </is>
      </c>
      <c r="Z824" s="2" t="n">
        <v>0</v>
      </c>
      <c r="AA824" s="3" t="inlineStr">
        <is>
          <t>vegan, gluten-free, dairy-free, low-carb, quick</t>
        </is>
      </c>
      <c r="AB824" s="3" t="inlineStr">
        <is>
          <t>1. Warm almond milk with turmeric, ginger, cinnamon, pepper, coconut oil.
2. Whisk until frothy.
3. Stevia.</t>
        </is>
      </c>
      <c r="AC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70% of this dish's available carbohydrate comes from ingredients with a published, measured GI; the rest uses conventional placeholders (see Ingredients sheet)</t>
        </is>
      </c>
      <c r="Z825" s="2" t="n">
        <v>70</v>
      </c>
      <c r="AA825" s="3" t="inlineStr">
        <is>
          <t>vegetarian, gluten-free, low-carb, quick</t>
        </is>
      </c>
      <c r="AB825" s="3" t="inlineStr">
        <is>
          <t>1. Shake protein with almond milk until smooth.
2. Pour over ice with coffee.
3. Cinnamon.</t>
        </is>
      </c>
      <c r="AC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37</v>
      </c>
      <c r="U826" s="2" t="inlineStr">
        <is>
          <t>low</t>
        </is>
      </c>
      <c r="V826" s="5" t="n">
        <v>6.5</v>
      </c>
      <c r="W826" s="2" t="inlineStr">
        <is>
          <t>low</t>
        </is>
      </c>
      <c r="X826" s="3" t="inlineStr"/>
      <c r="Y826" s="3" t="inlineStr">
        <is>
          <t>96% of this dish's available carbohydrate comes from ingredients with a published, measured GI; the rest uses conventional placeholders (see Ingredients sheet)</t>
        </is>
      </c>
      <c r="Z826" s="2" t="n">
        <v>96</v>
      </c>
      <c r="AA826" s="3" t="inlineStr">
        <is>
          <t>vegetarian, gluten-free, nut-free, probiotic, quick, no-cook</t>
        </is>
      </c>
      <c r="AB826" s="3" t="inlineStr">
        <is>
          <t>1. Blend everything until smooth.
2. Serve.</t>
        </is>
      </c>
      <c r="AC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0% of this dish's available carbohydrate comes from ingredients with a published, measured GI; the rest uses conventional placeholders (see Ingredients sheet)</t>
        </is>
      </c>
      <c r="Z827" s="2" t="n">
        <v>0</v>
      </c>
      <c r="AA827" s="3" t="inlineStr">
        <is>
          <t>vegan, gluten-free, dairy-free, nut-free, low-carb, quick, no-cook</t>
        </is>
      </c>
      <c r="AB827" s="3" t="inlineStr">
        <is>
          <t>1. Blend all ingredients until smooth.
2. Add ice; serve.</t>
        </is>
      </c>
      <c r="AC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29% of this dish's available carbohydrate comes from ingredients with a published, measured GI; the rest uses conventional placeholders (see Ingredients sheet)</t>
        </is>
      </c>
      <c r="Z828" s="2" t="n">
        <v>29</v>
      </c>
      <c r="AA828" s="3" t="inlineStr">
        <is>
          <t>vegetarian, gluten-free, low-carb, high-protein, quick</t>
        </is>
      </c>
      <c r="AB828" s="3" t="inlineStr">
        <is>
          <t>1. Blend until smooth.
2. Serve.</t>
        </is>
      </c>
      <c r="AC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87% of this dish's available carbohydrate comes from ingredients with a published, measured GI; the rest uses conventional placeholders (see Ingredients sheet)</t>
        </is>
      </c>
      <c r="Z829" s="2" t="n">
        <v>87</v>
      </c>
      <c r="AA829" s="3" t="inlineStr">
        <is>
          <t>vegetarian, gluten-free, high-fiber, quick, no-cook</t>
        </is>
      </c>
      <c r="AB829" s="3" t="inlineStr">
        <is>
          <t>1. Blend until creamy.
2. Serve.</t>
        </is>
      </c>
      <c r="AC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0% of this dish's available carbohydrate comes from ingredients with a published, measured GI; the rest uses conventional placeholders (see Ingredients sheet)</t>
        </is>
      </c>
      <c r="Z830" s="2" t="n">
        <v>0</v>
      </c>
      <c r="AA830" s="3" t="inlineStr">
        <is>
          <t>vegan, gluten-free, dairy-free, nut-free, low-carb, no-cook</t>
        </is>
      </c>
      <c r="AB830" s="3" t="inlineStr">
        <is>
          <t>1. Muddle raspberries; add lemon, water, sweetener.
2. Stir in chia; rest 10 minutes.
3. Serve over ice with mint.</t>
        </is>
      </c>
      <c r="AC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49% of this dish's available carbohydrate comes from ingredients with a published, measured GI; the rest uses conventional placeholders (see Ingredients sheet)</t>
        </is>
      </c>
      <c r="Z831" s="2" t="n">
        <v>49</v>
      </c>
      <c r="AA831" s="3" t="inlineStr">
        <is>
          <t>vegetarian, gluten-free, low-carb, high-protein, quick</t>
        </is>
      </c>
      <c r="AB831" s="3" t="inlineStr">
        <is>
          <t>1. Blend yogurt, milk, peanut butter, cocoa, protein, ice until thick.
2. Bowl; top hemp seeds and raspberries.</t>
        </is>
      </c>
      <c r="AC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0% of this dish's available carbohydrate comes from ingredients with a published, measured GI; the rest uses conventional placeholders (see Ingredients sheet)</t>
        </is>
      </c>
      <c r="Z832" s="2" t="n">
        <v>0</v>
      </c>
      <c r="AA832" s="3" t="inlineStr">
        <is>
          <t>vegan, gluten-free, dairy-free, nut-free, low-carb</t>
        </is>
      </c>
      <c r="AB832" s="3" t="inlineStr">
        <is>
          <t>1. Simmer water with ginger and turmeric 8 minutes.
2. Strain; add lemon, pepper, stevia.
3. Serve hot.</t>
        </is>
      </c>
      <c r="AC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0% of this dish's available carbohydrate comes from ingredients with a published, measured GI; the rest uses conventional placeholders (see Ingredients sheet)</t>
        </is>
      </c>
      <c r="Z833" s="2" t="n">
        <v>0</v>
      </c>
      <c r="AA833" s="3" t="inlineStr">
        <is>
          <t>vegan, gluten-free, dairy-free, low-carb, quick</t>
        </is>
      </c>
      <c r="AB833" s="3" t="inlineStr">
        <is>
          <t>1. Steam or warm almond milk with cinnamon and vanilla; froth.
2. Pour over espresso.
3. Stevia.</t>
        </is>
      </c>
      <c r="AC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29</v>
      </c>
      <c r="U834" s="2" t="inlineStr">
        <is>
          <t>low</t>
        </is>
      </c>
      <c r="V834" s="5" t="n">
        <v>5.2</v>
      </c>
      <c r="W834" s="2" t="inlineStr">
        <is>
          <t>low</t>
        </is>
      </c>
      <c r="X834" s="3" t="inlineStr"/>
      <c r="Y834" s="3" t="inlineStr">
        <is>
          <t>79% of this dish's available carbohydrate comes from ingredients with a published, measured GI; the rest uses conventional placeholders (see Ingredients sheet)</t>
        </is>
      </c>
      <c r="Z834" s="2" t="n">
        <v>79</v>
      </c>
      <c r="AA834" s="3" t="inlineStr">
        <is>
          <t>vegetarian, gluten-free, quick, no-cook</t>
        </is>
      </c>
      <c r="AB834" s="3" t="inlineStr">
        <is>
          <t>1. Blend all until smooth.
2. Serve over ice.</t>
        </is>
      </c>
      <c r="AC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28</v>
      </c>
      <c r="U835" s="2" t="inlineStr">
        <is>
          <t>low</t>
        </is>
      </c>
      <c r="V835" s="5" t="n">
        <v>4.3</v>
      </c>
      <c r="W835" s="2" t="inlineStr">
        <is>
          <t>low</t>
        </is>
      </c>
      <c r="X835" s="3" t="inlineStr"/>
      <c r="Y835" s="3" t="inlineStr">
        <is>
          <t>86% of this dish's available carbohydrate comes from ingredients with a published, measured GI; the rest uses conventional placeholders (see Ingredients sheet)</t>
        </is>
      </c>
      <c r="Z835" s="2" t="n">
        <v>86</v>
      </c>
      <c r="AA835" s="3" t="inlineStr">
        <is>
          <t>vegetarian, gluten-free, high-protein, quick</t>
        </is>
      </c>
      <c r="AB835" s="3" t="inlineStr">
        <is>
          <t>1. Blend until smooth.
2. Serve.</t>
        </is>
      </c>
      <c r="AC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60% of this dish's available carbohydrate comes from ingredients with a published, measured GI; the rest uses conventional placeholders (see Ingredients sheet)</t>
        </is>
      </c>
      <c r="Z836" s="2" t="n">
        <v>60</v>
      </c>
      <c r="AA836" s="3" t="inlineStr">
        <is>
          <t>vegan, gluten-free, dairy-free, nut-free, low-carb, no-cook</t>
        </is>
      </c>
      <c r="AB836" s="3" t="inlineStr">
        <is>
          <t>1. Blend cucumber, kiwi, lime, mint, water, stevia.
2. Strain if desired; serve over ice.</t>
        </is>
      </c>
      <c r="AC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0% of this dish's available carbohydrate comes from ingredients with a published, measured GI; the rest uses conventional placeholders (see Ingredients sheet)</t>
        </is>
      </c>
      <c r="Z837" s="2" t="n">
        <v>0</v>
      </c>
      <c r="AA837" s="3" t="inlineStr">
        <is>
          <t>vegan, gluten-free, dairy-free, low-carb, quick</t>
        </is>
      </c>
      <c r="AB837" s="3" t="inlineStr">
        <is>
          <t>1. Warm almond milk; whisk in cocoa, cinnamon, cayenne, vanilla, sweetener.
2. Froth; serve.</t>
        </is>
      </c>
      <c r="AC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36</v>
      </c>
      <c r="U838" s="2" t="inlineStr">
        <is>
          <t>low</t>
        </is>
      </c>
      <c r="V838" s="5" t="n">
        <v>6.2</v>
      </c>
      <c r="W838" s="2" t="inlineStr">
        <is>
          <t>low</t>
        </is>
      </c>
      <c r="X838" s="3" t="inlineStr"/>
      <c r="Y838" s="3" t="inlineStr">
        <is>
          <t>55% of this dish's available carbohydrate comes from ingredients with a published, measured GI; the rest uses conventional placeholders (see Ingredients sheet)</t>
        </is>
      </c>
      <c r="Z838" s="2" t="n">
        <v>55</v>
      </c>
      <c r="AA838" s="3" t="inlineStr">
        <is>
          <t>vegetarian, gluten-free, nut-free, high-protein, probiotic, quick</t>
        </is>
      </c>
      <c r="AB838" s="3" t="inlineStr">
        <is>
          <t>1. Blend until smooth.
2. Serve.</t>
        </is>
      </c>
      <c r="AC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0% of this dish's available carbohydrate comes from ingredients with a published, measured GI; the rest uses conventional placeholders (see Ingredients sheet)</t>
        </is>
      </c>
      <c r="Z839" s="2" t="n">
        <v>0</v>
      </c>
      <c r="AA839" s="3" t="inlineStr">
        <is>
          <t>vegan, gluten-free, dairy-free, low-carb, quick</t>
        </is>
      </c>
      <c r="AB839" s="3" t="inlineStr">
        <is>
          <t>1. Whisk matcha with hot water until frothy.
2. Pour over ice; add almond milk, stevia.
3. Stir.</t>
        </is>
      </c>
      <c r="AC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0% of this dish's available carbohydrate comes from ingredients with a published, measured GI; the rest uses conventional placeholders (see Ingredients sheet)</t>
        </is>
      </c>
      <c r="Z840" s="2" t="n">
        <v>0</v>
      </c>
      <c r="AA840" s="3" t="inlineStr">
        <is>
          <t>vegan, gluten-free, dairy-free, low-carb, high-fiber, quick</t>
        </is>
      </c>
      <c r="AB840" s="3" t="inlineStr">
        <is>
          <t>1. Blend until creamy.
2. Serve.</t>
        </is>
      </c>
      <c r="AC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0% of this dish's available carbohydrate comes from ingredients with a published, measured GI; the rest uses conventional placeholders (see Ingredients sheet)</t>
        </is>
      </c>
      <c r="Z841" s="2" t="n">
        <v>0</v>
      </c>
      <c r="AA841" s="3" t="inlineStr">
        <is>
          <t>vegan, gluten-free, dairy-free, nut-free, low-carb, high-protein, quick</t>
        </is>
      </c>
      <c r="AB841" s="3" t="inlineStr">
        <is>
          <t>1. Simmer broth with ginger and turmeric 5 minutes.
2. Strain; lemon, pepper.
3. Sip warm.</t>
        </is>
      </c>
      <c r="AC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88% of this dish's available carbohydrate comes from ingredients with a published, measured GI; the rest uses conventional placeholders (see Ingredients sheet)</t>
        </is>
      </c>
      <c r="Z842" s="2" t="n">
        <v>88</v>
      </c>
      <c r="AA842" s="3" t="inlineStr">
        <is>
          <t>vegetarian, gluten-free, quick, no-cook</t>
        </is>
      </c>
      <c r="AB842" s="3" t="inlineStr">
        <is>
          <t>1. Blend until smooth.
2. Serve over ice.</t>
        </is>
      </c>
      <c r="AC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100% of this dish's available carbohydrate comes from ingredients with a published, measured GI; the rest uses conventional placeholders (see Ingredients sheet)</t>
        </is>
      </c>
      <c r="Z843" s="2" t="n">
        <v>100</v>
      </c>
      <c r="AA843" s="3" t="inlineStr">
        <is>
          <t>vegan, gluten-free, dairy-free, low-carb, quick</t>
        </is>
      </c>
      <c r="AB843" s="3" t="inlineStr">
        <is>
          <t>1. Stir collagen into cold brew until dissolved.
2. Add almond milk, cinnamon, ice.</t>
        </is>
      </c>
      <c r="AC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81% of this dish's available carbohydrate comes from ingredients with a published, measured GI; the rest uses conventional placeholders (see Ingredients sheet)</t>
        </is>
      </c>
      <c r="Z844" s="2" t="n">
        <v>81</v>
      </c>
      <c r="AA844" s="3" t="inlineStr">
        <is>
          <t>vegan, gluten-free, dairy-free, nut-free, low-carb, no-cook</t>
        </is>
      </c>
      <c r="AB844" s="3" t="inlineStr">
        <is>
          <t>1. Muddle strawberries with basil, lime, stevia.
2. Divide into glasses; top sparkling water.
3. Ice.</t>
        </is>
      </c>
      <c r="AC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37% of this dish's available carbohydrate comes from ingredients with a published, measured GI; the rest uses conventional placeholders (see Ingredients sheet)</t>
        </is>
      </c>
      <c r="Z845" s="2" t="n">
        <v>37</v>
      </c>
      <c r="AA845" s="3" t="inlineStr">
        <is>
          <t>vegetarian, gluten-free, low-carb, high-protein, quick</t>
        </is>
      </c>
      <c r="AB845" s="3" t="inlineStr">
        <is>
          <t>1. Blend until smooth.
2. Serve.</t>
        </is>
      </c>
      <c r="AC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0% of this dish's available carbohydrate comes from ingredients with a published, measured GI; the rest uses conventional placeholders (see Ingredients sheet)</t>
        </is>
      </c>
      <c r="Z846" s="2" t="n">
        <v>0</v>
      </c>
      <c r="AA846" s="3" t="inlineStr">
        <is>
          <t>vegan, gluten-free, dairy-free, nut-free, low-carb</t>
        </is>
      </c>
      <c r="AB846" s="3" t="inlineStr">
        <is>
          <t>1. Brew tea; steep with crushed berries 10 minutes; strain.
2. Cool; add lemon, mint, stevia.
3. Serve over ice.</t>
        </is>
      </c>
      <c r="AC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0% of this dish's available carbohydrate comes from ingredients with a published, measured GI; the rest uses conventional placeholders (see Ingredients sheet)</t>
        </is>
      </c>
      <c r="Z847" s="2" t="n">
        <v>0</v>
      </c>
      <c r="AA847" s="3" t="inlineStr">
        <is>
          <t>gluten-free, nut-free, low-carb, no-cook, quick</t>
        </is>
      </c>
      <c r="AB847" s="3" t="inlineStr">
        <is>
          <t>1. Lay romaine leaves; spread Dijon.
2. Layer turkey, cheese, avocado, tomato, onion.
3. Roll and secure.</t>
        </is>
      </c>
      <c r="AC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11% of this dish's available carbohydrate comes from ingredients with a published, measured GI; the rest uses conventional placeholders (see Ingredients sheet)</t>
        </is>
      </c>
      <c r="Z848" s="2" t="n">
        <v>11</v>
      </c>
      <c r="AA848" s="3" t="inlineStr">
        <is>
          <t>nut-free, low-carb, high-protein, high-fiber, no-cook, quick</t>
        </is>
      </c>
      <c r="AB848" s="3" t="inlineStr">
        <is>
          <t>1. Whisk yogurt, lemon, Dijon, mashed anchovy.
2. Toss chicken, romaine, parmesan with dressing.
3. Roll in tortillas.</t>
        </is>
      </c>
      <c r="AC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58</v>
      </c>
      <c r="U849" s="2" t="inlineStr">
        <is>
          <t>medium</t>
        </is>
      </c>
      <c r="V849" s="5" t="n">
        <v>15</v>
      </c>
      <c r="W849" s="2" t="inlineStr">
        <is>
          <t>medium</t>
        </is>
      </c>
      <c r="X849" s="3" t="inlineStr">
        <is>
          <t>Medium-GI dish: keep to the stated portion and pair with the protein/fat in the recipe; GL per serving is the better guide.</t>
        </is>
      </c>
      <c r="Y849" s="3" t="inlineStr">
        <is>
          <t>95% of this dish's available carbohydrate comes from ingredients with a published, measured GI; the rest uses conventional placeholders (see Ingredients sheet)</t>
        </is>
      </c>
      <c r="Z849" s="2" t="n">
        <v>95</v>
      </c>
      <c r="AA849" s="3" t="inlineStr">
        <is>
          <t>vegetarian, gluten-free, nut-free</t>
        </is>
      </c>
      <c r="AB849" s="3" t="inlineStr">
        <is>
          <t>1. Chop eggs; mix with yogurt, mayo, Dijon, celery, chives, salt.
2. Toast bread.
3. Assemble with lettuce.</t>
        </is>
      </c>
      <c r="AC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0% of this dish's available carbohydrate comes from ingredients with a published, measured GI; the rest uses conventional placeholders (see Ingredients sheet)</t>
        </is>
      </c>
      <c r="Z850" s="2" t="n">
        <v>0</v>
      </c>
      <c r="AA850" s="3" t="inlineStr">
        <is>
          <t>pescatarian, gluten-free, dairy-free, nut-free, low-carb, no-cook, quick</t>
        </is>
      </c>
      <c r="AB850" s="3" t="inlineStr">
        <is>
          <t>1. Mash avocado with lemon; fold in tuna, onion, celery.
2. Spoon into lettuce.
3. Hot sauce.</t>
        </is>
      </c>
      <c r="AC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81% of this dish's available carbohydrate comes from ingredients with a published, measured GI; the rest uses conventional placeholders (see Ingredients sheet)</t>
        </is>
      </c>
      <c r="Z851" s="2" t="n">
        <v>81</v>
      </c>
      <c r="AA851" s="3" t="inlineStr">
        <is>
          <t>high-protein</t>
        </is>
      </c>
      <c r="AB851" s="3" t="inlineStr">
        <is>
          <t>1. Grill chicken; slice.
2. Toast bread; spread pesto; layer chicken, tomato, mozzarella.
3. Broil 2 minutes; arugula.</t>
        </is>
      </c>
      <c r="AC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0% of this dish's available carbohydrate comes from ingredients with a published, measured GI; the rest uses conventional placeholders (see Ingredients sheet)</t>
        </is>
      </c>
      <c r="Z852" s="2" t="n">
        <v>0</v>
      </c>
      <c r="AA852" s="3" t="inlineStr">
        <is>
          <t>pescatarian, gluten-free, nut-free, low-carb, no-cook, quick, omega-3</t>
        </is>
      </c>
      <c r="AB852" s="3" t="inlineStr">
        <is>
          <t>1. Slice cucumber into thick rounds.
2. Sandwich cream cheese, salmon, onion, capers between two rounds.
3. Dill.</t>
        </is>
      </c>
      <c r="AC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0% of this dish's available carbohydrate comes from ingredients with a published, measured GI; the rest uses conventional placeholders (see Ingredients sheet)</t>
        </is>
      </c>
      <c r="Z853" s="2" t="n">
        <v>0</v>
      </c>
      <c r="AA853" s="3" t="inlineStr">
        <is>
          <t>dairy-free, nut-free, low-carb, high-fiber</t>
        </is>
      </c>
      <c r="AB853" s="3" t="inlineStr">
        <is>
          <t>1. Crisp turkey bacon.
2. Spread mayo on tortillas; layer turkey, bacon, tomato, romaine, avocado.
3. Roll; slice.</t>
        </is>
      </c>
      <c r="AC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86% of this dish's available carbohydrate comes from ingredients with a published, measured GI; the rest uses conventional placeholders (see Ingredients sheet)</t>
        </is>
      </c>
      <c r="Z854" s="2" t="n">
        <v>86</v>
      </c>
      <c r="AA854" s="3" t="inlineStr">
        <is>
          <t>vegetarian, nut-free, high-fiber, no-cook, quick</t>
        </is>
      </c>
      <c r="AB854" s="3" t="inlineStr">
        <is>
          <t>1. Halve pitas; spread hummus inside.
2. Stuff with greens, cucumber, tomato, onion, olives.
3. Feta.</t>
        </is>
      </c>
      <c r="AC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74% of this dish's available carbohydrate comes from ingredients with a published, measured GI; the rest uses conventional placeholders (see Ingredients sheet)</t>
        </is>
      </c>
      <c r="Z855" s="2" t="n">
        <v>74</v>
      </c>
      <c r="AA855" s="3" t="inlineStr">
        <is>
          <t>gluten-free, low-carb, high-protein, no-cook, quick</t>
        </is>
      </c>
      <c r="AB855" s="3" t="inlineStr">
        <is>
          <t>1. Mix chicken, yogurt, Dijon, celery, diced apple, walnuts, salt.
2. Spoon into lettuce cups.</t>
        </is>
      </c>
      <c r="AC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0% of this dish's available carbohydrate comes from ingredients with a published, measured GI; the rest uses conventional placeholders (see Ingredients sheet)</t>
        </is>
      </c>
      <c r="Z856" s="2" t="n">
        <v>0</v>
      </c>
      <c r="AA856" s="3" t="inlineStr">
        <is>
          <t>gluten-free, nut-free, low-carb, high-protein, no-cook, quick</t>
        </is>
      </c>
      <c r="AB856" s="3" t="inlineStr">
        <is>
          <t>1. Spread Dijon on romaine leaves.
2. Layer beef, cheese, pickle, onion.
3. Roll.</t>
        </is>
      </c>
      <c r="AC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85% of this dish's available carbohydrate comes from ingredients with a published, measured GI; the rest uses conventional placeholders (see Ingredients sheet)</t>
        </is>
      </c>
      <c r="Z857" s="2" t="n">
        <v>85</v>
      </c>
      <c r="AA857" s="3" t="inlineStr">
        <is>
          <t>vegetarian</t>
        </is>
      </c>
      <c r="AB857" s="3" t="inlineStr">
        <is>
          <t>1. Toast bread; spread pesto.
2. Layer mozzarella, tomato, basil.
3. Drizzle balsamic; close.</t>
        </is>
      </c>
      <c r="AC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19% of this dish's available carbohydrate comes from ingredients with a published, measured GI; the rest uses conventional placeholders (see Ingredients sheet)</t>
        </is>
      </c>
      <c r="Z858" s="2" t="n">
        <v>19</v>
      </c>
      <c r="AA858" s="3" t="inlineStr">
        <is>
          <t>pescatarian, gluten-free, nut-free, low-carb, high-protein, quick</t>
        </is>
      </c>
      <c r="AB858" s="3" t="inlineStr">
        <is>
          <t>1. Sauté shrimp with chili powder in oil.
2. Blend avocado, yogurt, lime, cilantro.
3. Fill romaine with shrimp, pico, crema.</t>
        </is>
      </c>
      <c r="AC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43</v>
      </c>
      <c r="U859" s="2" t="inlineStr">
        <is>
          <t>low</t>
        </is>
      </c>
      <c r="V859" s="5" t="n">
        <v>9.9</v>
      </c>
      <c r="W859" s="2" t="inlineStr">
        <is>
          <t>low</t>
        </is>
      </c>
      <c r="X859" s="3" t="inlineStr"/>
      <c r="Y859" s="3" t="inlineStr">
        <is>
          <t>94% of this dish's available carbohydrate comes from ingredients with a published, measured GI; the rest uses conventional placeholders (see Ingredients sheet)</t>
        </is>
      </c>
      <c r="Z859" s="2" t="n">
        <v>94</v>
      </c>
      <c r="AA859" s="3" t="inlineStr">
        <is>
          <t>nut-free, quick</t>
        </is>
      </c>
      <c r="AB859" s="3" t="inlineStr">
        <is>
          <t>1. Fry egg in oil; warm Canadian bacon.
2. Toast muffin.
3. Assemble with cheddar and spinach.</t>
        </is>
      </c>
      <c r="AC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19% of this dish's available carbohydrate comes from ingredients with a published, measured GI; the rest uses conventional placeholders (see Ingredients sheet)</t>
        </is>
      </c>
      <c r="Z860" s="2" t="n">
        <v>19</v>
      </c>
      <c r="AA860" s="3" t="inlineStr">
        <is>
          <t>gluten-free, nut-free, low-carb, high-protein</t>
        </is>
      </c>
      <c r="AB860" s="3" t="inlineStr">
        <is>
          <t>1. Season chicken with oregano and lemon; sear in oil; slice.
2. Mix yogurt, grated cucumber, dill.
3. Fill romaine with chicken, tomato, onion, feta, tzatziki.</t>
        </is>
      </c>
      <c r="AC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36% of this dish's available carbohydrate comes from ingredients with a published, measured GI; the rest uses conventional placeholders (see Ingredients sheet)</t>
        </is>
      </c>
      <c r="Z861" s="2" t="n">
        <v>36</v>
      </c>
      <c r="AA861" s="3" t="inlineStr">
        <is>
          <t>vegetarian, nut-free, high-fiber, no-cook, quick</t>
        </is>
      </c>
      <c r="AB861" s="3" t="inlineStr">
        <is>
          <t>1. Spread hummus on tortillas.
2. Layer vegetables, feta, olives.
3. Roll tightly; slice.</t>
        </is>
      </c>
      <c r="AC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97% of this dish's available carbohydrate comes from ingredients with a published, measured GI; the rest uses conventional placeholders (see Ingredients sheet)</t>
        </is>
      </c>
      <c r="Z862" s="2" t="n">
        <v>97</v>
      </c>
      <c r="AA862" s="3" t="inlineStr">
        <is>
          <t>pescatarian, nut-free, high-protein, omega-3, no-cook, quick</t>
        </is>
      </c>
      <c r="AB862" s="3" t="inlineStr">
        <is>
          <t>1. Mix salmon, yogurt, Dijon, celery, dill, lemon.
2. Assemble on rye with romaine.</t>
        </is>
      </c>
      <c r="AC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12% of this dish's available carbohydrate comes from ingredients with a published, measured GI; the rest uses conventional placeholders (see Ingredients sheet)</t>
        </is>
      </c>
      <c r="Z863" s="2" t="n">
        <v>12</v>
      </c>
      <c r="AA863" s="3" t="inlineStr">
        <is>
          <t>nut-free, low-carb, high-protein, high-fiber, no-cook, quick</t>
        </is>
      </c>
      <c r="AB863" s="3" t="inlineStr">
        <is>
          <t>1. Toss chicken with hot sauce.
2. Mix yogurt and blue cheese.
3. Roll chicken, celery, romaine, dressing in tortillas.</t>
        </is>
      </c>
      <c r="AC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0% of this dish's available carbohydrate comes from ingredients with a published, measured GI; the rest uses conventional placeholders (see Ingredients sheet)</t>
        </is>
      </c>
      <c r="Z864" s="2" t="n">
        <v>0</v>
      </c>
      <c r="AA864" s="3" t="inlineStr">
        <is>
          <t>vegetarian, nut-free, low-carb, high-protein, high-fiber, quick</t>
        </is>
      </c>
      <c r="AB864" s="3" t="inlineStr">
        <is>
          <t>1. Sauté pepper and spinach in oil; add egg whites; scramble.
2. Fill tortilla with eggs, cheese, salsa.
3. Roll.</t>
        </is>
      </c>
      <c r="AC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0% of this dish's available carbohydrate comes from ingredients with a published, measured GI; the rest uses conventional placeholders (see Ingredients sheet)</t>
        </is>
      </c>
      <c r="Z865" s="2" t="n">
        <v>0</v>
      </c>
      <c r="AA865" s="3" t="inlineStr">
        <is>
          <t>gluten-free, nut-free, low-carb, high-protein</t>
        </is>
      </c>
      <c r="AB865" s="3" t="inlineStr">
        <is>
          <t>1. Form 2 turkey patties; grill 6 minutes per side; top cheddar.
2. Brush caps with oil; grill 4 minutes per side.
3. Assemble with tomato, onion, arugula, Dijon.</t>
        </is>
      </c>
      <c r="AC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6% of this dish's available carbohydrate comes from ingredients with a published, measured GI; the rest uses conventional placeholders (see Ingredients sheet)</t>
        </is>
      </c>
      <c r="Z866" s="2" t="n">
        <v>6</v>
      </c>
      <c r="AA866" s="3" t="inlineStr">
        <is>
          <t>nut-free, low-carb, high-protein, high-fiber</t>
        </is>
      </c>
      <c r="AB866" s="3" t="inlineStr">
        <is>
          <t>1. Season chicken; sear; slice.
2. Whisk tahini, yogurt, lemon, water.
3. Fill tortillas with chicken, cucumber, tomato, jalapeño, sauce.</t>
        </is>
      </c>
      <c r="AC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55</v>
      </c>
      <c r="U867" s="2" t="inlineStr">
        <is>
          <t>low</t>
        </is>
      </c>
      <c r="V867" s="5" t="n">
        <v>7.5</v>
      </c>
      <c r="W867" s="2" t="inlineStr">
        <is>
          <t>low</t>
        </is>
      </c>
      <c r="X867" s="3" t="inlineStr"/>
      <c r="Y867" s="3" t="inlineStr">
        <is>
          <t>87% of this dish's available carbohydrate comes from ingredients with a published, measured GI; the rest uses conventional placeholders (see Ingredients sheet)</t>
        </is>
      </c>
      <c r="Z867" s="2" t="n">
        <v>87</v>
      </c>
      <c r="AA867" s="3" t="inlineStr">
        <is>
          <t>vegetarian, gluten-free, dairy-free, nut-free, low-carb</t>
        </is>
      </c>
      <c r="AB867" s="3" t="inlineStr">
        <is>
          <t>1. Mash avocado with lemon and salt; fold in chopped eggs, chives.
2. Toast bread.
3. Top with egg salad and radish slices.</t>
        </is>
      </c>
      <c r="AC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87% of this dish's available carbohydrate comes from ingredients with a published, measured GI; the rest uses conventional placeholders (see Ingredients sheet)</t>
        </is>
      </c>
      <c r="Z868" s="2" t="n">
        <v>87</v>
      </c>
      <c r="AA868" s="3" t="inlineStr">
        <is>
          <t>high-protein</t>
        </is>
      </c>
      <c r="AB868" s="3" t="inlineStr">
        <is>
          <t>1. Mix turkey, egg, parmesan, almond flour, seasoning; form meatballs; bake at 400°F 15 minutes.
2. Simmer in marinara 5 minutes.
3. Top toast with meatballs, mozzarella; broil 2 minutes; basil.</t>
        </is>
      </c>
      <c r="AC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0% of this dish's available carbohydrate comes from ingredients with a published, measured GI; the rest uses conventional placeholders (see Ingredients sheet)</t>
        </is>
      </c>
      <c r="Z869" s="2" t="n">
        <v>0</v>
      </c>
      <c r="AA869" s="3" t="inlineStr">
        <is>
          <t>gluten-free, nut-free, low-carb, no-cook, quick</t>
        </is>
      </c>
      <c r="AB869" s="3" t="inlineStr">
        <is>
          <t>1. Peel cucumber into long ribbons.
2. Lay ribbons overlapping; spread cream cheese; add turkey, avocado, pepper.
3. Roll; slice; seasoning.</t>
        </is>
      </c>
      <c r="AC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54% of this dish's available carbohydrate comes from ingredients with a published, measured GI; the rest uses conventional placeholders (see Ingredients sheet)</t>
        </is>
      </c>
      <c r="Z870" s="2" t="n">
        <v>54</v>
      </c>
      <c r="AA870" s="3" t="inlineStr">
        <is>
          <t>vegetarian, nut-free, high-fiber</t>
        </is>
      </c>
      <c r="AB870" s="3" t="inlineStr">
        <is>
          <t>1. Sauté pepper and cauliflower rice in oil with cumin; add beans.
2. Fill tortillas with mixture, salsa, cheddar, avocado.
3. Roll; sear seam-side down 2 minutes.</t>
        </is>
      </c>
      <c r="AC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0% of this dish's available carbohydrate comes from ingredients with a published, measured GI; the rest uses conventional placeholders (see Ingredients sheet)</t>
        </is>
      </c>
      <c r="Z871" s="2" t="n">
        <v>0</v>
      </c>
      <c r="AA871" s="3" t="inlineStr">
        <is>
          <t>pescatarian, nut-free, low-carb, high-fiber, no-cook, quick, omega-3</t>
        </is>
      </c>
      <c r="AB871" s="3" t="inlineStr">
        <is>
          <t>1. Spread cream cheese on tortilla.
2. Layer salmon, cucumber, onion, capers, dill.
3. Roll.</t>
        </is>
      </c>
      <c r="AC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0% of this dish's available carbohydrate comes from ingredients with a published, measured GI; the rest uses conventional placeholders (see Ingredients sheet)</t>
        </is>
      </c>
      <c r="Z872" s="2" t="n">
        <v>0</v>
      </c>
      <c r="AA872" s="3" t="inlineStr">
        <is>
          <t>gluten-free, dairy-free, nut-free, low-carb, high-protein</t>
        </is>
      </c>
      <c r="AB872" s="3" t="inlineStr">
        <is>
          <t>1. Sear chicken in oil; slice. Crisp bacon.
2. Spread mayo on romaine.
3. Layer chicken, bacon, avocado, tomato; roll.</t>
        </is>
      </c>
      <c r="AC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34</v>
      </c>
      <c r="U873" s="2" t="inlineStr">
        <is>
          <t>low</t>
        </is>
      </c>
      <c r="V873" s="5" t="n">
        <v>11.4</v>
      </c>
      <c r="W873" s="2" t="inlineStr">
        <is>
          <t>medium</t>
        </is>
      </c>
      <c r="X873" s="3" t="inlineStr"/>
      <c r="Y873" s="3" t="inlineStr">
        <is>
          <t>77% of this dish's available carbohydrate comes from ingredients with a published, measured GI; the rest uses conventional placeholders (see Ingredients sheet)</t>
        </is>
      </c>
      <c r="Z873" s="2" t="n">
        <v>77</v>
      </c>
      <c r="AA873" s="3" t="inlineStr">
        <is>
          <t>vegan, gluten-free, dairy-free, high-fiber</t>
        </is>
      </c>
      <c r="AB873" s="3" t="inlineStr">
        <is>
          <t>1. Pulse chickpeas, onion, garlic, parsley, spices, almond flour, baking powder, salt; form balls; brush oil; bake at 425°F 22 minutes.
2. Whisk tahini, lemon, water.
3. Fill romaine with falafel, tomato, cucumber, tahini.</t>
        </is>
      </c>
      <c r="AC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87% of this dish's available carbohydrate comes from ingredients with a published, measured GI; the rest uses conventional placeholders (see Ingredients sheet)</t>
        </is>
      </c>
      <c r="Z874" s="2" t="n">
        <v>87</v>
      </c>
      <c r="AA874" s="3" t="inlineStr">
        <is>
          <t>pescatarian, dairy-free, nut-free, high-protein</t>
        </is>
      </c>
      <c r="AB874" s="3" t="inlineStr">
        <is>
          <t>1. Mix tuna with Dijon, oil, capers.
2. Toast rye; top with arugula, tuna, sliced egg, tomato, olives.</t>
        </is>
      </c>
      <c r="AC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0% of this dish's available carbohydrate comes from ingredients with a published, measured GI; the rest uses conventional placeholders (see Ingredients sheet)</t>
        </is>
      </c>
      <c r="Z875" s="2" t="n">
        <v>0</v>
      </c>
      <c r="AA875" s="3" t="inlineStr">
        <is>
          <t>gluten-free, low-carb, quick</t>
        </is>
      </c>
      <c r="AB875" s="3" t="inlineStr">
        <is>
          <t>1. Grill zucchini planks 2–3 minutes per side.
2. Spread pesto; layer turkey, mozzarella, pepper.
3. Roll and secure.</t>
        </is>
      </c>
      <c r="AC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0% of this dish's available carbohydrate comes from ingredients with a published, measured GI; the rest uses conventional placeholders (see Ingredients sheet)</t>
        </is>
      </c>
      <c r="Z876" s="2" t="n">
        <v>0</v>
      </c>
      <c r="AA876" s="3" t="inlineStr">
        <is>
          <t>vegetarian, nut-free, low-carb, high-fiber, quick</t>
        </is>
      </c>
      <c r="AB876" s="3" t="inlineStr">
        <is>
          <t>1. Sauté zucchini, pepper, mushrooms in oil; add spinach and balsamic.
2. Spread goat cheese on tortillas; add vegetables.
3. Roll.</t>
        </is>
      </c>
      <c r="AC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0% of this dish's available carbohydrate comes from ingredients with a published, measured GI; the rest uses conventional placeholders (see Ingredients sheet)</t>
        </is>
      </c>
      <c r="Z877" s="2" t="n">
        <v>0</v>
      </c>
      <c r="AA877" s="3" t="inlineStr">
        <is>
          <t>gluten-free, dairy-free, nut-free, low-carb, high-protein, one-pan</t>
        </is>
      </c>
      <c r="AB877" s="3" t="inlineStr">
        <is>
          <t>1. Sear chicken in oil; remove. Sauté garlic; deglaze with wine.
2. Add broth, artichokes, lemon slices, thyme; return chicken.
3. Roast at 400°F 20 minutes; parsley.</t>
        </is>
      </c>
      <c r="AC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25% of this dish's available carbohydrate comes from ingredients with a published, measured GI; the rest uses conventional placeholders (see Ingredients sheet)</t>
        </is>
      </c>
      <c r="Z878" s="2" t="n">
        <v>25</v>
      </c>
      <c r="AA878" s="3" t="inlineStr">
        <is>
          <t>gluten-free, nut-free, low-carb, high-protein, make-ahead</t>
        </is>
      </c>
      <c r="AB878" s="3" t="inlineStr">
        <is>
          <t>1. Cook and dice chicken; steam broccoli.
2. Mix yogurt, milk, Dijon, spices, half the cheddar; fold in chicken, cauliflower rice, broccoli.
3. Top cheddar; bake at 375°F 25 minutes.</t>
        </is>
      </c>
      <c r="AC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16% of this dish's available carbohydrate comes from ingredients with a published, measured GI; the rest uses conventional placeholders (see Ingredients sheet)</t>
        </is>
      </c>
      <c r="Z879" s="2" t="n">
        <v>16</v>
      </c>
      <c r="AA879" s="3" t="inlineStr">
        <is>
          <t>gluten-free, low-carb, high-protein</t>
        </is>
      </c>
      <c r="AB879" s="3" t="inlineStr">
        <is>
          <t>1. Grate and squeeze zucchini; mix with turkey, feta, garlic, oregano, egg, almond flour, salt.
2. Form 4 patties; pan-fry in oil 6–7 minutes per side.
3. Serve in lettuce with tomato and yogurt.</t>
        </is>
      </c>
      <c r="AC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0% of this dish's available carbohydrate comes from ingredients with a published, measured GI; the rest uses conventional placeholders (see Ingredients sheet)</t>
        </is>
      </c>
      <c r="Z880" s="2" t="n">
        <v>0</v>
      </c>
      <c r="AA880" s="3" t="inlineStr">
        <is>
          <t>gluten-free, dairy-free, nut-free, low-carb, high-protein, quick</t>
        </is>
      </c>
      <c r="AB880" s="3" t="inlineStr">
        <is>
          <t>1. Stir-fry chicken in oil with garlic and jalapeño.
2. Add zucchini 3 minutes; add fish sauce, tamari, sweetener.
3. Toss with basil off heat.</t>
        </is>
      </c>
      <c r="AC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13% of this dish's available carbohydrate comes from ingredients with a published, measured GI; the rest uses conventional placeholders (see Ingredients sheet)</t>
        </is>
      </c>
      <c r="Z881" s="2" t="n">
        <v>13</v>
      </c>
      <c r="AA881" s="3" t="inlineStr">
        <is>
          <t>gluten-free, nut-free, low-carb, high-protein</t>
        </is>
      </c>
      <c r="AB881" s="3" t="inlineStr">
        <is>
          <t>1. Steam half the cauliflower; blend with milk, parmesan, cream cheese, garlic, nutmeg for sauce.
2. Roast remaining florets; sear diced chicken; wilt spinach.
3. Combine with sauce in a dish; top mozzarella; bake at 375°F 20 minutes.</t>
        </is>
      </c>
      <c r="AC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0% of this dish's available carbohydrate comes from ingredients with a published, measured GI; the rest uses conventional placeholders (see Ingredients sheet)</t>
        </is>
      </c>
      <c r="Z882" s="2" t="n">
        <v>0</v>
      </c>
      <c r="AA882" s="3" t="inlineStr">
        <is>
          <t>gluten-free, dairy-free, nut-free, low-carb, high-protein, one-pan</t>
        </is>
      </c>
      <c r="AB882" s="3" t="inlineStr">
        <is>
          <t>1. Toss chicken and beans with oil, lemon zest, pepper, garlic, salt.
2. Roast at 425°F 22 minutes.
3. Lemon juice.</t>
        </is>
      </c>
      <c r="AC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11% of this dish's available carbohydrate comes from ingredients with a published, measured GI; the rest uses conventional placeholders (see Ingredients sheet)</t>
        </is>
      </c>
      <c r="Z883" s="2" t="n">
        <v>11</v>
      </c>
      <c r="AA883" s="3" t="inlineStr">
        <is>
          <t>gluten-free, nut-free, low-carb, high-protein, quick</t>
        </is>
      </c>
      <c r="AB883" s="3" t="inlineStr">
        <is>
          <t>1. Brown turkey with onion and seasoning in oil.
2. Spoon into lettuce.
3. Top pico, avocado, cheddar, yogurt.</t>
        </is>
      </c>
      <c r="AC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4% of this dish's available carbohydrate comes from ingredients with a published, measured GI; the rest uses conventional placeholders (see Ingredients sheet)</t>
        </is>
      </c>
      <c r="Z884" s="2" t="n">
        <v>4</v>
      </c>
      <c r="AA884" s="3" t="inlineStr">
        <is>
          <t>gluten-free, dairy-free, low-carb, high-protein</t>
        </is>
      </c>
      <c r="AB884" s="3" t="inlineStr">
        <is>
          <t>1. Marinate chicken in half the tamari, lime, garlic; skewer; grill 12 minutes.
2. Whisk peanut butter, remaining tamari, lime, vinegar, sriracha, water; toss with slaw.
3. Serve with cilantro and peanuts.</t>
        </is>
      </c>
      <c r="AC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24% of this dish's available carbohydrate comes from ingredients with a published, measured GI; the rest uses conventional placeholders (see Ingredients sheet)</t>
        </is>
      </c>
      <c r="Z885" s="2" t="n">
        <v>24</v>
      </c>
      <c r="AA885" s="3" t="inlineStr">
        <is>
          <t>gluten-free, nut-free, low-carb, high-protein</t>
        </is>
      </c>
      <c r="AB885" s="3" t="inlineStr">
        <is>
          <t>1. Sear chicken; remove. Sauté garlic and sun-dried tomatoes.
2. Add broth; reduce; stir in yogurt and parmesan off heat; wilt spinach.
3. Return chicken; simmer 5 minutes.</t>
        </is>
      </c>
      <c r="AC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18% of this dish's available carbohydrate comes from ingredients with a published, measured GI; the rest uses conventional placeholders (see Ingredients sheet)</t>
        </is>
      </c>
      <c r="Z886" s="2" t="n">
        <v>18</v>
      </c>
      <c r="AA886" s="3" t="inlineStr">
        <is>
          <t>gluten-free, dairy-free, nut-free, low-carb, high-protein, quick</t>
        </is>
      </c>
      <c r="AB886" s="3" t="inlineStr">
        <is>
          <t>1. Stir-fry chicken strips in oil; remove.
2. Stir-fry cabbage, carrot, garlic, ginger 5 minutes.
3. Return chicken with tamari, vinegar, sesame oil; green onion.</t>
        </is>
      </c>
      <c r="AC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48% of this dish's available carbohydrate comes from ingredients with a published, measured GI; the rest uses conventional placeholders (see Ingredients sheet)</t>
        </is>
      </c>
      <c r="Z887" s="2" t="n">
        <v>48</v>
      </c>
      <c r="AA887" s="3" t="inlineStr">
        <is>
          <t>gluten-free, nut-free, low-carb, high-protein</t>
        </is>
      </c>
      <c r="AB887" s="3" t="inlineStr">
        <is>
          <t>1. Halve zucchini; scoop.
2. Mix chicken, beans, half the sauce, half the cheese; fill.
3. Top remaining sauce and cheese; bake at 400°F 25 minutes; green onion, cilantro, yogurt.</t>
        </is>
      </c>
      <c r="AC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64% of this dish's available carbohydrate comes from ingredients with a published, measured GI; the rest uses conventional placeholders (see Ingredients sheet)</t>
        </is>
      </c>
      <c r="Z888" s="2" t="n">
        <v>64</v>
      </c>
      <c r="AA888" s="3" t="inlineStr">
        <is>
          <t>gluten-free, nut-free, high-protein, one-pan</t>
        </is>
      </c>
      <c r="AB888" s="3" t="inlineStr">
        <is>
          <t>1. Brown turkey with onion, garlic in oil.
2. Add zucchini, pepper, tomatoes, seasoning; simmer 8 minutes.
3. Stir in quinoa; parmesan.</t>
        </is>
      </c>
      <c r="AC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0% of this dish's available carbohydrate comes from ingredients with a published, measured GI; the rest uses conventional placeholders (see Ingredients sheet)</t>
        </is>
      </c>
      <c r="Z889" s="2" t="n">
        <v>0</v>
      </c>
      <c r="AA889" s="3" t="inlineStr">
        <is>
          <t>gluten-free, low-carb, high-protein, quick</t>
        </is>
      </c>
      <c r="AB889" s="3" t="inlineStr">
        <is>
          <t>1. Pound chicken thin; dip in egg then almond flour-parmesan; pan-fry in oil 3–4 minutes per side.
2. Toss arugula and tomatoes with lemon and a little oil.
3. Pile salad on cutlets.</t>
        </is>
      </c>
      <c r="AC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73% of this dish's available carbohydrate comes from ingredients with a published, measured GI; the rest uses conventional placeholders (see Ingredients sheet)</t>
        </is>
      </c>
      <c r="Z890" s="2" t="n">
        <v>73</v>
      </c>
      <c r="AA890" s="3" t="inlineStr">
        <is>
          <t>gluten-free, dairy-free, nut-free, high-protein, one-pan</t>
        </is>
      </c>
      <c r="AB890" s="3" t="inlineStr">
        <is>
          <t>1. Brown chicken pieces in oil; remove.
2. Sauté sweet potato and onion covered 8 minutes; add garlic, paprika.
3. Return chicken with kale and broth; cook 6 minutes.</t>
        </is>
      </c>
      <c r="AC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12% of this dish's available carbohydrate comes from ingredients with a published, measured GI; the rest uses conventional placeholders (see Ingredients sheet)</t>
        </is>
      </c>
      <c r="Z891" s="2" t="n">
        <v>12</v>
      </c>
      <c r="AA891" s="3" t="inlineStr">
        <is>
          <t>gluten-free, dairy-free, nut-free, low-carb, high-protein, quick</t>
        </is>
      </c>
      <c r="AB891" s="3" t="inlineStr">
        <is>
          <t>1. Toss chicken with arrowroot; stir-fry in oil; remove.
2. Stir-fry snap peas, pepper, ginger, garlic 3 minutes.
3. Return chicken with tamari, vinegar, sesame oil.</t>
        </is>
      </c>
      <c r="AC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0% of this dish's available carbohydrate comes from ingredients with a published, measured GI; the rest uses conventional placeholders (see Ingredients sheet)</t>
        </is>
      </c>
      <c r="Z892" s="2" t="n">
        <v>0</v>
      </c>
      <c r="AA892" s="3" t="inlineStr">
        <is>
          <t>gluten-free, low-carb, high-protein, meal-prep</t>
        </is>
      </c>
      <c r="AB892" s="3" t="inlineStr">
        <is>
          <t>1. Mix all ingredients.
2. Divide into 12 muffin cups.
3. Bake at 375°F 22–25 minutes.</t>
        </is>
      </c>
      <c r="AC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46% of this dish's available carbohydrate comes from ingredients with a published, measured GI; the rest uses conventional placeholders (see Ingredients sheet)</t>
        </is>
      </c>
      <c r="Z893" s="2" t="n">
        <v>46</v>
      </c>
      <c r="AA893" s="3" t="inlineStr">
        <is>
          <t>gluten-free, nut-free, high-protein, high-fiber</t>
        </is>
      </c>
      <c r="AB893" s="3" t="inlineStr">
        <is>
          <t>1. Char poblano and onion in oil; add chicken pieces and cumin; cook through.
2. Sauté cauliflower rice; warm beans.
3. Bowl; lime, cotija, cilantro.</t>
        </is>
      </c>
      <c r="AC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0% of this dish's available carbohydrate comes from ingredients with a published, measured GI; the rest uses conventional placeholders (see Ingredients sheet)</t>
        </is>
      </c>
      <c r="Z894" s="2" t="n">
        <v>0</v>
      </c>
      <c r="AA894" s="3" t="inlineStr">
        <is>
          <t>gluten-free, dairy-free, nut-free, low-carb, high-protein, one-pan</t>
        </is>
      </c>
      <c r="AB894" s="3" t="inlineStr">
        <is>
          <t>1. Toss chicken and broccoli with tamari, oils, garlic, ginger, vinegar.
2. Roast at 425°F 20–22 minutes.
3. Sesame, green onion.</t>
        </is>
      </c>
      <c r="AC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26% of this dish's available carbohydrate comes from ingredients with a published, measured GI; the rest uses conventional placeholders (see Ingredients sheet)</t>
        </is>
      </c>
      <c r="Z895" s="2" t="n">
        <v>26</v>
      </c>
      <c r="AA895" s="3" t="inlineStr">
        <is>
          <t>gluten-free, nut-free, low-carb, high-protein, high-fiber, no-cook, quick</t>
        </is>
      </c>
      <c r="AB895" s="3" t="inlineStr">
        <is>
          <t>1. Mix chicken, yogurt, Dijon, celery, herbs, lemon, salt.
2. Halve avocados.
3. Fill.</t>
        </is>
      </c>
      <c r="AC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14% of this dish's available carbohydrate comes from ingredients with a published, measured GI; the rest uses conventional placeholders (see Ingredients sheet)</t>
        </is>
      </c>
      <c r="Z896" s="2" t="n">
        <v>14</v>
      </c>
      <c r="AA896" s="3" t="inlineStr">
        <is>
          <t>gluten-free, nut-free, low-carb, high-protein, one-pan</t>
        </is>
      </c>
      <c r="AB896" s="3" t="inlineStr">
        <is>
          <t>1. Toss chicken and cauliflower with spices, garlic, lemon, oil, salt.
2. Roast at 425°F 25 minutes.
3. Serve with yogurt-tahini sauce and parsley.</t>
        </is>
      </c>
      <c r="AC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13% of this dish's available carbohydrate comes from ingredients with a published, measured GI; the rest uses conventional placeholders (see Ingredients sheet)</t>
        </is>
      </c>
      <c r="Z897" s="2" t="n">
        <v>13</v>
      </c>
      <c r="AA897" s="3" t="inlineStr">
        <is>
          <t>gluten-free, nut-free, low-carb, high-protein</t>
        </is>
      </c>
      <c r="AB897" s="3" t="inlineStr">
        <is>
          <t>1. Sear chicken; remove. Sauté mushrooms, garlic, thyme.
2. Add broth; reduce; yogurt and parmesan off heat.
3. Toss with zoodles and chicken 2 minutes.</t>
        </is>
      </c>
      <c r="AC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63% of this dish's available carbohydrate comes from ingredients with a published, measured GI; the rest uses conventional placeholders (see Ingredients sheet)</t>
        </is>
      </c>
      <c r="Z898" s="2" t="n">
        <v>63</v>
      </c>
      <c r="AA898" s="3" t="inlineStr">
        <is>
          <t>gluten-free, low-carb, high-protein</t>
        </is>
      </c>
      <c r="AB898" s="3" t="inlineStr">
        <is>
          <t>1. Mix turkey, egg, almond flour, minced celery, garlic powder, salt; form meatballs; bake at 400°F 18 minutes.
2. Toss with hot sauce melted with butter.
3. Serve with yogurt-blue cheese and carrot sticks.</t>
        </is>
      </c>
      <c r="AC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24</v>
      </c>
      <c r="U899" s="2" t="inlineStr">
        <is>
          <t>low</t>
        </is>
      </c>
      <c r="V899" s="5" t="n">
        <v>1.5</v>
      </c>
      <c r="W899" s="2" t="inlineStr">
        <is>
          <t>low</t>
        </is>
      </c>
      <c r="X899" s="3" t="inlineStr"/>
      <c r="Y899" s="3" t="inlineStr">
        <is>
          <t>48% of this dish's available carbohydrate comes from ingredients with a published, measured GI; the rest uses conventional placeholders (see Ingredients sheet)</t>
        </is>
      </c>
      <c r="Z899" s="2" t="n">
        <v>48</v>
      </c>
      <c r="AA899" s="3" t="inlineStr">
        <is>
          <t>gluten-free, nut-free, low-carb, high-protein, quick</t>
        </is>
      </c>
      <c r="AB899" s="3" t="inlineStr">
        <is>
          <t>1. Brown chicken with onion, garlic, ginger, curry powder in oil.
2. Add peas and a splash of water; cook 3 minutes.
3. Fill lettuce; top yogurt, cilantro, lime.</t>
        </is>
      </c>
      <c r="AC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0% of this dish's available carbohydrate comes from ingredients with a published, measured GI; the rest uses conventional placeholders (see Ingredients sheet)</t>
        </is>
      </c>
      <c r="Z900" s="2" t="n">
        <v>0</v>
      </c>
      <c r="AA900" s="3" t="inlineStr">
        <is>
          <t>gluten-free, dairy-free, nut-free, low-carb, high-protein, one-pan</t>
        </is>
      </c>
      <c r="AB900" s="3" t="inlineStr">
        <is>
          <t>1. Rub chicken with half the Dijon, garlic, thyme, oil, salt.
2. Brush cabbage wedges with remaining oil and Dijon.
3. Roast everything at 425°F 30–35 minutes; drizzle vinegar.</t>
        </is>
      </c>
      <c r="AC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22% of this dish's available carbohydrate comes from ingredients with a published, measured GI; the rest uses conventional placeholders (see Ingredients sheet)</t>
        </is>
      </c>
      <c r="Z901" s="2" t="n">
        <v>22</v>
      </c>
      <c r="AA901" s="3" t="inlineStr">
        <is>
          <t>gluten-free, low-carb, high-protein, no-cook, quick</t>
        </is>
      </c>
      <c r="AB901" s="3" t="inlineStr">
        <is>
          <t>1. Mix chicken, pesto, yogurt.
2. Fold in tomato and mozzarella.
3. Fill romaine leaves; pine nuts.</t>
        </is>
      </c>
      <c r="AC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68% of this dish's available carbohydrate comes from ingredients with a published, measured GI; the rest uses conventional placeholders (see Ingredients sheet)</t>
        </is>
      </c>
      <c r="Z902" s="2" t="n">
        <v>68</v>
      </c>
      <c r="AA902" s="3" t="inlineStr">
        <is>
          <t>gluten-free, dairy-free, nut-free, high-protein, high-fiber</t>
        </is>
      </c>
      <c r="AB902" s="3" t="inlineStr">
        <is>
          <t>1. Brown turkey with paprika, cumin, garlic (quick chorizo); add kale, beans, broth; simmer 5 minutes.
2. Sear cod in oil 4 minutes per side.
3. Serve cod over the kale-bean mix with lemon.</t>
        </is>
      </c>
      <c r="AC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0% of this dish's available carbohydrate comes from ingredients with a published, measured GI; the rest uses conventional placeholders (see Ingredients sheet)</t>
        </is>
      </c>
      <c r="Z903" s="2" t="n">
        <v>0</v>
      </c>
      <c r="AA903" s="3" t="inlineStr">
        <is>
          <t>pescatarian, gluten-free, nut-free, low-carb, high-protein, quick, one-pan</t>
        </is>
      </c>
      <c r="AB903" s="3" t="inlineStr">
        <is>
          <t>1. Sauté asparagus in oil 4 minutes.
2. Add garlic, shrimp, butter; cook 3 minutes.
3. Lemon, parsley, pepper flakes.</t>
        </is>
      </c>
      <c r="AC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0% of this dish's available carbohydrate comes from ingredients with a published, measured GI; the rest uses conventional placeholders (see Ingredients sheet)</t>
        </is>
      </c>
      <c r="Z904" s="2" t="n">
        <v>0</v>
      </c>
      <c r="AA904" s="3" t="inlineStr">
        <is>
          <t>pescatarian, gluten-free, dairy-free, low-carb, high-protein, omega-3, one-pan</t>
        </is>
      </c>
      <c r="AB904" s="3" t="inlineStr">
        <is>
          <t>1. Spread pesto on salmon; surround with zucchini and tomatoes tossed in oil.
2. Bake at 400°F 14 minutes.
3. Lemon.</t>
        </is>
      </c>
      <c r="AC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84% of this dish's available carbohydrate comes from ingredients with a published, measured GI; the rest uses conventional placeholders (see Ingredients sheet)</t>
        </is>
      </c>
      <c r="Z905" s="2" t="n">
        <v>84</v>
      </c>
      <c r="AA905" s="3" t="inlineStr">
        <is>
          <t>pescatarian, gluten-free, nut-free, high-protein, high-fiber</t>
        </is>
      </c>
      <c r="AB905" s="3" t="inlineStr">
        <is>
          <t>1. Season tilapia; sear in oil; flake.
2. Blend avocado, yogurt, lime.
3. Fill tortillas with cabbage, fish, crema, cilantro.</t>
        </is>
      </c>
      <c r="AC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0% of this dish's available carbohydrate comes from ingredients with a published, measured GI; the rest uses conventional placeholders (see Ingredients sheet)</t>
        </is>
      </c>
      <c r="Z906" s="2" t="n">
        <v>0</v>
      </c>
      <c r="AA906" s="3" t="inlineStr">
        <is>
          <t>pescatarian, gluten-free, dairy-free, nut-free, low-carb, high-protein, quick</t>
        </is>
      </c>
      <c r="AB906" s="3" t="inlineStr">
        <is>
          <t>1. Stir-fry shiitake, garlic, ginger in oil; add bok choy 3 minutes.
2. Add shrimp 3 minutes.
3. Tamari, vinegar, sesame oil.</t>
        </is>
      </c>
      <c r="AC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30% of this dish's available carbohydrate comes from ingredients with a published, measured GI; the rest uses conventional placeholders (see Ingredients sheet)</t>
        </is>
      </c>
      <c r="Z907" s="2" t="n">
        <v>30</v>
      </c>
      <c r="AA907" s="3" t="inlineStr">
        <is>
          <t>pescatarian, gluten-free, low-carb, high-protein, omega-3, quick</t>
        </is>
      </c>
      <c r="AB907" s="3" t="inlineStr">
        <is>
          <t>1. Mix salmon, eggs, almond flour, green onion, dill, lemon zest; form 8 patties.
2. Pan-fry in oil 4 minutes per side.
3. Mix yogurt with lemon juice; serve over greens.</t>
        </is>
      </c>
      <c r="AC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0% of this dish's available carbohydrate comes from ingredients with a published, measured GI; the rest uses conventional placeholders (see Ingredients sheet)</t>
        </is>
      </c>
      <c r="Z908" s="2" t="n">
        <v>0</v>
      </c>
      <c r="AA908" s="3" t="inlineStr">
        <is>
          <t>pescatarian, gluten-free, nut-free, low-carb, high-protein, one-pan</t>
        </is>
      </c>
      <c r="AB908" s="3" t="inlineStr">
        <is>
          <t>1. Sauté onion and garlic in oil; add tomatoes, oregano, olives; simmer 10 minutes.
2. Stir in shrimp; top feta.
3. Bake at 400°F 12 minutes; parsley, pepper flakes.</t>
        </is>
      </c>
      <c r="AC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0% of this dish's available carbohydrate comes from ingredients with a published, measured GI; the rest uses conventional placeholders (see Ingredients sheet)</t>
        </is>
      </c>
      <c r="Z909" s="2" t="n">
        <v>0</v>
      </c>
      <c r="AA909" s="3" t="inlineStr">
        <is>
          <t>pescatarian, gluten-free, dairy-free, nut-free, low-carb, high-protein</t>
        </is>
      </c>
      <c r="AB909" s="3" t="inlineStr">
        <is>
          <t>1. Rub fish with spices; sear in oil 4 minutes per side.
2. Sauté cauliflower rice; lime, cilantro.
3. Serve with avocado.</t>
        </is>
      </c>
      <c r="AC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18% of this dish's available carbohydrate comes from ingredients with a published, measured GI; the rest uses conventional placeholders (see Ingredients sheet)</t>
        </is>
      </c>
      <c r="Z910" s="2" t="n">
        <v>18</v>
      </c>
      <c r="AA910" s="3" t="inlineStr">
        <is>
          <t>pescatarian, gluten-free, low-carb, high-protein</t>
        </is>
      </c>
      <c r="AB910" s="3" t="inlineStr">
        <is>
          <t>1. Grate and squeeze zucchini; mix with tuna, eggs, almond flour, parmesan, green onion, dill.
2. Pan-fry spoonfuls in oil 3–4 minutes per side.
3. Serve with lemon yogurt.</t>
        </is>
      </c>
      <c r="AC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0% of this dish's available carbohydrate comes from ingredients with a published, measured GI; the rest uses conventional placeholders (see Ingredients sheet)</t>
        </is>
      </c>
      <c r="Z911" s="2" t="n">
        <v>0</v>
      </c>
      <c r="AA911" s="3" t="inlineStr">
        <is>
          <t>pescatarian, gluten-free, nut-free, low-carb, high-protein</t>
        </is>
      </c>
      <c r="AB911" s="3" t="inlineStr">
        <is>
          <t>1. Sauté garlic in oil; add cauliflower rice, wine, broth; simmer 8 minutes.
2. Stir in parmesan and cream cheese until creamy.
3. Sauté shrimp separately; fold in; lemon, parsley.</t>
        </is>
      </c>
      <c r="AC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0% of this dish's available carbohydrate comes from ingredients with a published, measured GI; the rest uses conventional placeholders (see Ingredients sheet)</t>
        </is>
      </c>
      <c r="Z912" s="2" t="n">
        <v>0</v>
      </c>
      <c r="AA912" s="3" t="inlineStr">
        <is>
          <t>pescatarian, gluten-free, dairy-free, nut-free, low-carb, high-protein, high-fiber, omega-3</t>
        </is>
      </c>
      <c r="AB912" s="3" t="inlineStr">
        <is>
          <t>1. Roast salmon 12 minutes; flake.
2. Sauté cauliflower rice with tamari.
3. Bowl with edamame, cucumber, avocado, salmon; sriracha mayo, sesame, green onion.</t>
        </is>
      </c>
      <c r="AC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0% of this dish's available carbohydrate comes from ingredients with a published, measured GI; the rest uses conventional placeholders (see Ingredients sheet)</t>
        </is>
      </c>
      <c r="Z913" s="2" t="n">
        <v>0</v>
      </c>
      <c r="AA913" s="3" t="inlineStr">
        <is>
          <t>pescatarian, gluten-free, nut-free, low-carb, high-protein, quick</t>
        </is>
      </c>
      <c r="AB913" s="3" t="inlineStr">
        <is>
          <t>1. Sear cod in oil 4 minutes per side; remove.
2. Melt butter with garlic, lemon, capers.
3. Wilt spinach; serve cod over spinach with sauce.</t>
        </is>
      </c>
      <c r="AC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0% of this dish's available carbohydrate comes from ingredients with a published, measured GI; the rest uses conventional placeholders (see Ingredients sheet)</t>
        </is>
      </c>
      <c r="Z914" s="2" t="n">
        <v>0</v>
      </c>
      <c r="AA914" s="3" t="inlineStr">
        <is>
          <t>pescatarian, gluten-free, dairy-free, nut-free, low-carb, high-protein, quick</t>
        </is>
      </c>
      <c r="AB914" s="3" t="inlineStr">
        <is>
          <t>1. Sauté shrimp with garlic in oil 3 minutes; lime.
2. Fill lettuce cups.
3. Avocado, cilantro, pepper flakes.</t>
        </is>
      </c>
      <c r="AC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0% of this dish's available carbohydrate comes from ingredients with a published, measured GI; the rest uses conventional placeholders (see Ingredients sheet)</t>
        </is>
      </c>
      <c r="Z915" s="2" t="n">
        <v>0</v>
      </c>
      <c r="AA915" s="3" t="inlineStr">
        <is>
          <t>pescatarian, gluten-free, low-carb, high-protein, omega-3</t>
        </is>
      </c>
      <c r="AB915" s="3" t="inlineStr">
        <is>
          <t>1. Roast trout with oil and salt 12 minutes.
2. Sauté green beans with garlic; add butter and almonds.
3. Lemon.</t>
        </is>
      </c>
      <c r="AC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13% of this dish's available carbohydrate comes from ingredients with a published, measured GI; the rest uses conventional placeholders (see Ingredients sheet)</t>
        </is>
      </c>
      <c r="Z916" s="2" t="n">
        <v>13</v>
      </c>
      <c r="AA916" s="3" t="inlineStr">
        <is>
          <t>pescatarian, gluten-free, nut-free, low-carb, high-protein</t>
        </is>
      </c>
      <c r="AB916" s="3" t="inlineStr">
        <is>
          <t>1. Simmer cauliflower and garlic in milk; blend with parmesan, cream cheese, nutmeg, salt.
2. Sauté shrimp in oil; add zoodles 2 minutes.
3. Toss with sauce.</t>
        </is>
      </c>
      <c r="AC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0% of this dish's available carbohydrate comes from ingredients with a published, measured GI; the rest uses conventional placeholders (see Ingredients sheet)</t>
        </is>
      </c>
      <c r="Z917" s="2" t="n">
        <v>0</v>
      </c>
      <c r="AA917" s="3" t="inlineStr">
        <is>
          <t>pescatarian, gluten-free, dairy-free, nut-free, low-carb, high-protein</t>
        </is>
      </c>
      <c r="AB917" s="3" t="inlineStr">
        <is>
          <t>1. Sear tuna in avocado oil 1–2 minutes per side; slice. Boil eggs; blanch beans.
2. Whisk olive oil, Dijon, vinegar.
3. Arrange lettuce, tuna, eggs, beans, tomato, olives; dressing.</t>
        </is>
      </c>
      <c r="AC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7% of this dish's available carbohydrate comes from ingredients with a published, measured GI; the rest uses conventional placeholders (see Ingredients sheet)</t>
        </is>
      </c>
      <c r="Z918" s="2" t="n">
        <v>7</v>
      </c>
      <c r="AA918" s="3" t="inlineStr">
        <is>
          <t>pescatarian, gluten-free, nut-free, low-carb</t>
        </is>
      </c>
      <c r="AB918" s="3" t="inlineStr">
        <is>
          <t>1. Brush caps with oil; roast 8 minutes.
2. Mix crab, cream cheese, yogurt, green onion, Old Bay, lemon.
3. Fill; top parmesan; bake at 400°F 12 minutes.</t>
        </is>
      </c>
      <c r="AC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33</v>
      </c>
      <c r="U919" s="2" t="inlineStr">
        <is>
          <t>low</t>
        </is>
      </c>
      <c r="V919" s="5" t="n">
        <v>2</v>
      </c>
      <c r="W919" s="2" t="inlineStr">
        <is>
          <t>low</t>
        </is>
      </c>
      <c r="X919" s="3" t="inlineStr"/>
      <c r="Y919" s="3" t="inlineStr">
        <is>
          <t>67% of this dish's available carbohydrate comes from ingredients with a published, measured GI; the rest uses conventional placeholders (see Ingredients sheet)</t>
        </is>
      </c>
      <c r="Z919" s="2" t="n">
        <v>67</v>
      </c>
      <c r="AA919" s="3" t="inlineStr">
        <is>
          <t>pescatarian, gluten-free, dairy-free, nut-free, low-carb, high-protein, omega-3</t>
        </is>
      </c>
      <c r="AB919" s="3" t="inlineStr">
        <is>
          <t>1. Rub salmon with oil, cumin, salt; roast at 400°F 12 minutes.
2. Dice mango, avocado, onion, jalapeño; toss with cilantro, lime.
3. Top salmon with salsa.</t>
        </is>
      </c>
      <c r="AC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0% of this dish's available carbohydrate comes from ingredients with a published, measured GI; the rest uses conventional placeholders (see Ingredients sheet)</t>
        </is>
      </c>
      <c r="Z920" s="2" t="n">
        <v>0</v>
      </c>
      <c r="AA920" s="3" t="inlineStr">
        <is>
          <t>gluten-free, dairy-free, nut-free, low-carb, high-protein, one-pan</t>
        </is>
      </c>
      <c r="AB920" s="3" t="inlineStr">
        <is>
          <t>1. Brown sausage; sauté onion, pepper, celery, garlic 6 minutes.
2. Add tomatoes, broth, seasoning, cauliflower rice; simmer 10 minutes.
3. Add shrimp 4 minutes; green onion.</t>
        </is>
      </c>
      <c r="AC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78% of this dish's available carbohydrate comes from ingredients with a published, measured GI; the rest uses conventional placeholders (see Ingredients sheet)</t>
        </is>
      </c>
      <c r="Z921" s="2" t="n">
        <v>78</v>
      </c>
      <c r="AA921" s="3" t="inlineStr">
        <is>
          <t>pescatarian, gluten-free, dairy-free, nut-free, high-protein</t>
        </is>
      </c>
      <c r="AB921" s="3" t="inlineStr">
        <is>
          <t>1. Roast tomatoes with garlic and half the oil at 425°F 15 minutes; stir in beans.
2. Sear halibut in remaining oil 4 minutes per side.
3. Serve fish over tomato-beans; basil, lemon.</t>
        </is>
      </c>
      <c r="AC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0% of this dish's available carbohydrate comes from ingredients with a published, measured GI; the rest uses conventional placeholders (see Ingredients sheet)</t>
        </is>
      </c>
      <c r="Z922" s="2" t="n">
        <v>0</v>
      </c>
      <c r="AA922" s="3" t="inlineStr">
        <is>
          <t>gluten-free, dairy-free, nut-free, low-carb, high-protein</t>
        </is>
      </c>
      <c r="AB922" s="3" t="inlineStr">
        <is>
          <t>1. Crisp bacon; sauté shredded sprouts in the fat with garlic 8 minutes.
2. Sear scallops in oil 90 seconds per side.
3. Serve over sprouts with bacon and lemon.</t>
        </is>
      </c>
      <c r="AC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13% of this dish's available carbohydrate comes from ingredients with a published, measured GI; the rest uses conventional placeholders (see Ingredients sheet)</t>
        </is>
      </c>
      <c r="Z923" s="2" t="n">
        <v>13</v>
      </c>
      <c r="AA923" s="3" t="inlineStr">
        <is>
          <t>pescatarian, gluten-free, nut-free, low-carb, high-protein, quick</t>
        </is>
      </c>
      <c r="AB923" s="3" t="inlineStr">
        <is>
          <t>1. Hard-boil eggs; chop.
2. Mix with tuna, yogurt, Dijon, celery, dill, salt.
3. Fill halved peppers.</t>
        </is>
      </c>
      <c r="AC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0% of this dish's available carbohydrate comes from ingredients with a published, measured GI; the rest uses conventional placeholders (see Ingredients sheet)</t>
        </is>
      </c>
      <c r="Z924" s="2" t="n">
        <v>0</v>
      </c>
      <c r="AA924" s="3" t="inlineStr">
        <is>
          <t>pescatarian, gluten-free, dairy-free, nut-free, high-protein, quick</t>
        </is>
      </c>
      <c r="AB924" s="3" t="inlineStr">
        <is>
          <t>1. Fry curry paste, garlic, ginger in oil; add coconut milk and bok choy; simmer 3 minutes.
2. Add mussels; cover 5–6 minutes until open.
3. Lime, fish sauce, cilantro.</t>
        </is>
      </c>
      <c r="AC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0% of this dish's available carbohydrate comes from ingredients with a published, measured GI; the rest uses conventional placeholders (see Ingredients sheet)</t>
        </is>
      </c>
      <c r="Z925" s="2" t="n">
        <v>0</v>
      </c>
      <c r="AA925" s="3" t="inlineStr">
        <is>
          <t>gluten-free, nut-free, low-carb, high-protein, one-pan, quick</t>
        </is>
      </c>
      <c r="AB925" s="3" t="inlineStr">
        <is>
          <t>1. Brown beef with onion and garlic in oil.
2. Add zucchini, tomatoes, seasoning; simmer 10 minutes.
3. Parmesan.</t>
        </is>
      </c>
      <c r="AC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55% of this dish's available carbohydrate comes from ingredients with a published, measured GI; the rest uses conventional placeholders (see Ingredients sheet)</t>
        </is>
      </c>
      <c r="Z926" s="2" t="n">
        <v>55</v>
      </c>
      <c r="AA926" s="3" t="inlineStr">
        <is>
          <t>gluten-free, nut-free, low-carb, high-protein</t>
        </is>
      </c>
      <c r="AB926" s="3" t="inlineStr">
        <is>
          <t>1. Season chops with thyme; sear in oil 4–5 minutes per side.
2. Toss shredded cabbage and apple with yogurt, Dijon, vinegar.
3. Serve chops with slaw.</t>
        </is>
      </c>
      <c r="AC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0% of this dish's available carbohydrate comes from ingredients with a published, measured GI; the rest uses conventional placeholders (see Ingredients sheet)</t>
        </is>
      </c>
      <c r="Z927" s="2" t="n">
        <v>0</v>
      </c>
      <c r="AA927" s="3" t="inlineStr">
        <is>
          <t>dairy-free, nut-free, low-carb, high-protein, quick</t>
        </is>
      </c>
      <c r="AB927" s="3" t="inlineStr">
        <is>
          <t>1. Brown beef with garlic and ginger in oil; add tamari, gochujang, sesame oil.
2. Fill lettuce with beef and kimchi.
3. Green onion, sesame.</t>
        </is>
      </c>
      <c r="AC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0% of this dish's available carbohydrate comes from ingredients with a published, measured GI; the rest uses conventional placeholders (see Ingredients sheet)</t>
        </is>
      </c>
      <c r="Z928" s="2" t="n">
        <v>0</v>
      </c>
      <c r="AA928" s="3" t="inlineStr">
        <is>
          <t>gluten-free, dairy-free, low-carb, high-protein</t>
        </is>
      </c>
      <c r="AB928" s="3" t="inlineStr">
        <is>
          <t>1. Rub pork with Dijon, garlic, rosemary, salt; roast at 425°F 18 minutes; rest.
2. Sauté green beans with garlic; add almonds and lemon.
3. Slice pork; serve.</t>
        </is>
      </c>
      <c r="AC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25</v>
      </c>
      <c r="U929" s="2" t="inlineStr">
        <is>
          <t>low</t>
        </is>
      </c>
      <c r="V929" s="5" t="n">
        <v>4.9</v>
      </c>
      <c r="W929" s="2" t="inlineStr">
        <is>
          <t>low</t>
        </is>
      </c>
      <c r="X929" s="3" t="inlineStr"/>
      <c r="Y929" s="3" t="inlineStr">
        <is>
          <t>45% of this dish's available carbohydrate comes from ingredients with a published, measured GI; the rest uses conventional placeholders (see Ingredients sheet)</t>
        </is>
      </c>
      <c r="Z929" s="2" t="n">
        <v>45</v>
      </c>
      <c r="AA929" s="3" t="inlineStr">
        <is>
          <t>gluten-free, nut-free, high-protein, high-fiber</t>
        </is>
      </c>
      <c r="AB929" s="3" t="inlineStr">
        <is>
          <t>1. Halve peppers; roast 10 minutes.
2. Brown beef with onion and spices; add beans, tomatoes; simmer 8 minutes.
3. Fill; top cheddar; bake at 400°F 18 minutes; yogurt.</t>
        </is>
      </c>
      <c r="AC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0% of this dish's available carbohydrate comes from ingredients with a published, measured GI; the rest uses conventional placeholders (see Ingredients sheet)</t>
        </is>
      </c>
      <c r="Z930" s="2" t="n">
        <v>0</v>
      </c>
      <c r="AA930" s="3" t="inlineStr">
        <is>
          <t>gluten-free, dairy-free, nut-free, low-carb, high-protein, quick</t>
        </is>
      </c>
      <c r="AB930" s="3" t="inlineStr">
        <is>
          <t>1. Brown pork with garlic and jalapeño.
2. Add zucchini 3 minutes; fish sauce, tamari, sweetener.
3. Basil off heat.</t>
        </is>
      </c>
      <c r="AC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56% of this dish's available carbohydrate comes from ingredients with a published, measured GI; the rest uses conventional placeholders (see Ingredients sheet)</t>
        </is>
      </c>
      <c r="Z931" s="2" t="n">
        <v>56</v>
      </c>
      <c r="AA931" s="3" t="inlineStr">
        <is>
          <t>gluten-free, nut-free, high-protein, high-fiber, meal-prep</t>
        </is>
      </c>
      <c r="AB931" s="3" t="inlineStr">
        <is>
          <t>1. Brown beef with seasoning in oil.
2. Sauté cauliflower rice with lime.
3. Bowl with beans, pico, avocado, cheddar, romaine, yogurt.</t>
        </is>
      </c>
      <c r="AC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22% of this dish's available carbohydrate comes from ingredients with a published, measured GI; the rest uses conventional placeholders (see Ingredients sheet)</t>
        </is>
      </c>
      <c r="Z932" s="2" t="n">
        <v>22</v>
      </c>
      <c r="AA932" s="3" t="inlineStr">
        <is>
          <t>gluten-free, low-carb, high-protein</t>
        </is>
      </c>
      <c r="AB932" s="3" t="inlineStr">
        <is>
          <t>1. Mix lamb, garlic, oregano, mint, egg, almond flour, salt; form meatballs; bake at 400°F 18 minutes.
2. Sauté zoodles in oil.
3. Serve with cucumber-dill yogurt and lemon.</t>
        </is>
      </c>
      <c r="AC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10% of this dish's available carbohydrate comes from ingredients with a published, measured GI; the rest uses conventional placeholders (see Ingredients sheet)</t>
        </is>
      </c>
      <c r="Z933" s="2" t="n">
        <v>10</v>
      </c>
      <c r="AA933" s="3" t="inlineStr">
        <is>
          <t>gluten-free, nut-free, low-carb, high-protein</t>
        </is>
      </c>
      <c r="AB933" s="3" t="inlineStr">
        <is>
          <t>1. Sear chops; remove. Sauté mushrooms, onion, garlic, thyme; add broth; reduce; stir in yogurt and Dijon off heat.
2. Steam and mash cauliflower.
3. Serve chops with gravy over mash.</t>
        </is>
      </c>
      <c r="AC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20% of this dish's available carbohydrate comes from ingredients with a published, measured GI; the rest uses conventional placeholders (see Ingredients sheet)</t>
        </is>
      </c>
      <c r="Z934" s="2" t="n">
        <v>20</v>
      </c>
      <c r="AA934" s="3" t="inlineStr">
        <is>
          <t>gluten-free, nut-free, low-carb, high-protein</t>
        </is>
      </c>
      <c r="AB934" s="3" t="inlineStr">
        <is>
          <t>1. Mix beef, onion, parsley, garlic, spices, salt; form kofta; grill 12 minutes.
2. Whisk yogurt, tahini, lemon.
3. Serve in lettuce with tomato and sauce.</t>
        </is>
      </c>
      <c r="AC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24</v>
      </c>
      <c r="U935" s="2" t="inlineStr">
        <is>
          <t>low</t>
        </is>
      </c>
      <c r="V935" s="5" t="n">
        <v>2.2</v>
      </c>
      <c r="W935" s="2" t="inlineStr">
        <is>
          <t>low</t>
        </is>
      </c>
      <c r="X935" s="3" t="inlineStr"/>
      <c r="Y935" s="3" t="inlineStr">
        <is>
          <t>33% of this dish's available carbohydrate comes from ingredients with a published, measured GI; the rest uses conventional placeholders (see Ingredients sheet)</t>
        </is>
      </c>
      <c r="Z935" s="2" t="n">
        <v>33</v>
      </c>
      <c r="AA935" s="3" t="inlineStr">
        <is>
          <t>gluten-free, dairy-free, nut-free, low-carb, high-protein, quick</t>
        </is>
      </c>
      <c r="AB935" s="3" t="inlineStr">
        <is>
          <t>1. Brown pork with garlic and ginger; remove.
2. Scramble eggs; add carrot, cauliflower rice 5 minutes.
3. Return pork with peas, tamari, sesame oil, green onion.</t>
        </is>
      </c>
      <c r="AC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0% of this dish's available carbohydrate comes from ingredients with a published, measured GI; the rest uses conventional placeholders (see Ingredients sheet)</t>
        </is>
      </c>
      <c r="Z936" s="2" t="n">
        <v>0</v>
      </c>
      <c r="AA936" s="3" t="inlineStr">
        <is>
          <t>gluten-free, dairy-free, nut-free, low-carb, high-protein, one-pan, quick</t>
        </is>
      </c>
      <c r="AB936" s="3" t="inlineStr">
        <is>
          <t>1. Toss broccoli with half the oil, garlic, salt; roast at 450°F 10 minutes.
2. Add steak cubes tossed with remaining oil, paprika, tamari; roast 6–8 minutes.
3. Lemon.</t>
        </is>
      </c>
      <c r="AC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22% of this dish's available carbohydrate comes from ingredients with a published, measured GI; the rest uses conventional placeholders (see Ingredients sheet)</t>
        </is>
      </c>
      <c r="Z937" s="2" t="n">
        <v>22</v>
      </c>
      <c r="AA937" s="3" t="inlineStr">
        <is>
          <t>gluten-free, nut-free, low-carb, high-protein</t>
        </is>
      </c>
      <c r="AB937" s="3" t="inlineStr">
        <is>
          <t>1. Halve zucchini; scoop.
2. Brown beef with onion, garlic, seasoning; add spinach and marinara.
3. Fill; top mozzarella; bake at 400°F 22 minutes.</t>
        </is>
      </c>
      <c r="AC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12% of this dish's available carbohydrate comes from ingredients with a published, measured GI; the rest uses conventional placeholders (see Ingredients sheet)</t>
        </is>
      </c>
      <c r="Z938" s="2" t="n">
        <v>12</v>
      </c>
      <c r="AA938" s="3" t="inlineStr">
        <is>
          <t>gluten-free, nut-free, low-carb, high-protein</t>
        </is>
      </c>
      <c r="AB938" s="3" t="inlineStr">
        <is>
          <t>1. Marinate pork cubes; skewer; grill 12 minutes.
2. Sauté cauliflower rice with lemon and oregano.
3. Bowl with cucumber, tomato, onion, feta, yogurt-dill.</t>
        </is>
      </c>
      <c r="AC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32</v>
      </c>
      <c r="U939" s="2" t="inlineStr">
        <is>
          <t>low</t>
        </is>
      </c>
      <c r="V939" s="5" t="n">
        <v>10.9</v>
      </c>
      <c r="W939" s="2" t="inlineStr">
        <is>
          <t>medium</t>
        </is>
      </c>
      <c r="X939" s="3" t="inlineStr"/>
      <c r="Y939" s="3" t="inlineStr">
        <is>
          <t>57% of this dish's available carbohydrate comes from ingredients with a published, measured GI; the rest uses conventional placeholders (see Ingredients sheet)</t>
        </is>
      </c>
      <c r="Z939" s="2" t="n">
        <v>57</v>
      </c>
      <c r="AA939" s="3" t="inlineStr">
        <is>
          <t>vegan, gluten-free, dairy-free, nut-free, high-fiber, make-ahead</t>
        </is>
      </c>
      <c r="AB939" s="3" t="inlineStr">
        <is>
          <t>1. Sauté onion, garlic, ginger, curry powder in oil.
2. Add cauliflower, chickpeas, tomatoes, coconut milk; simmer 15 minutes.
3. Spinach, lime, cilantro.</t>
        </is>
      </c>
      <c r="AC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6% of this dish's available carbohydrate comes from ingredients with a published, measured GI; the rest uses conventional placeholders (see Ingredients sheet)</t>
        </is>
      </c>
      <c r="Z940" s="2" t="n">
        <v>6</v>
      </c>
      <c r="AA940" s="3" t="inlineStr">
        <is>
          <t>vegetarian, gluten-free, dairy-free, low-carb, quick</t>
        </is>
      </c>
      <c r="AB940" s="3" t="inlineStr">
        <is>
          <t>1. Scramble eggs in oil; push aside.
2. Add zoodles, garlic, tamari, lime, sweetener, sriracha; toss 2 minutes.
3. Edamame, sprouts, green onion, peanuts.</t>
        </is>
      </c>
      <c r="AC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0% of this dish's available carbohydrate comes from ingredients with a published, measured GI; the rest uses conventional placeholders (see Ingredients sheet)</t>
        </is>
      </c>
      <c r="Z941" s="2" t="n">
        <v>0</v>
      </c>
      <c r="AA941" s="3" t="inlineStr">
        <is>
          <t>vegan, gluten-free, dairy-free, nut-free, low-carb, high-protein, high-fiber</t>
        </is>
      </c>
      <c r="AB941" s="3" t="inlineStr">
        <is>
          <t>1. Sauté mushrooms and garlic in oil.
2. Crumble tofu in with turmeric, nutritional yeast, salt; cook 6 minutes; wilt spinach.
3. Bowl with avocado and tomato.</t>
        </is>
      </c>
      <c r="AC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28</v>
      </c>
      <c r="U942" s="2" t="inlineStr">
        <is>
          <t>low</t>
        </is>
      </c>
      <c r="V942" s="5" t="n">
        <v>6.8</v>
      </c>
      <c r="W942" s="2" t="inlineStr">
        <is>
          <t>low</t>
        </is>
      </c>
      <c r="X942" s="3" t="inlineStr"/>
      <c r="Y942" s="3" t="inlineStr">
        <is>
          <t>50% of this dish's available carbohydrate comes from ingredients with a published, measured GI; the rest uses conventional placeholders (see Ingredients sheet)</t>
        </is>
      </c>
      <c r="Z942" s="2" t="n">
        <v>50</v>
      </c>
      <c r="AA942" s="3" t="inlineStr">
        <is>
          <t>vegetarian, gluten-free, nut-free, high-fiber, meal-prep</t>
        </is>
      </c>
      <c r="AB942" s="3" t="inlineStr">
        <is>
          <t>1. Halve peppers; roast 10 minutes.
2. Sauté onion, garlic, zucchini; add lentils, tomatoes, cumin.
3. Fill; top feta; bake at 400°F 20 minutes; parsley.</t>
        </is>
      </c>
      <c r="AC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32</v>
      </c>
      <c r="U943" s="2" t="inlineStr">
        <is>
          <t>low</t>
        </is>
      </c>
      <c r="V943" s="5" t="n">
        <v>11.1</v>
      </c>
      <c r="W943" s="2" t="inlineStr">
        <is>
          <t>medium</t>
        </is>
      </c>
      <c r="X943" s="3" t="inlineStr"/>
      <c r="Y943" s="3" t="inlineStr">
        <is>
          <t>70% of this dish's available carbohydrate comes from ingredients with a published, measured GI; the rest uses conventional placeholders (see Ingredients sheet)</t>
        </is>
      </c>
      <c r="Z943" s="2" t="n">
        <v>70</v>
      </c>
      <c r="AA943" s="3" t="inlineStr">
        <is>
          <t>vegan, gluten-free, dairy-free, nut-free, high-fiber</t>
        </is>
      </c>
      <c r="AB943" s="3" t="inlineStr">
        <is>
          <t>1. Toss chickpeas with spices, garlic, half the oil; roast at 425°F 22 minutes.
2. Sauté cauliflower rice.
3. Bowl with cucumber, tomato, onion; tahini-lemon sauce; parsley.</t>
        </is>
      </c>
      <c r="AC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32</v>
      </c>
      <c r="U944" s="2" t="inlineStr">
        <is>
          <t>low</t>
        </is>
      </c>
      <c r="V944" s="5" t="n">
        <v>10</v>
      </c>
      <c r="W944" s="2" t="inlineStr">
        <is>
          <t>low</t>
        </is>
      </c>
      <c r="X944" s="3" t="inlineStr"/>
      <c r="Y944" s="3" t="inlineStr">
        <is>
          <t>62% of this dish's available carbohydrate comes from ingredients with a published, measured GI; the rest uses conventional placeholders (see Ingredients sheet)</t>
        </is>
      </c>
      <c r="Z944" s="2" t="n">
        <v>62</v>
      </c>
      <c r="AA944" s="3" t="inlineStr">
        <is>
          <t>vegan, gluten-free, dairy-free, nut-free, high-fiber, make-ahead</t>
        </is>
      </c>
      <c r="AB944" s="3" t="inlineStr">
        <is>
          <t>1. Sauté eggplant cubes in oil until golden; remove.
2. Sauté onion, garlic, spices; add tomatoes, chickpeas, eggplant.
3. Simmer 20 minutes; parsley, lemon.</t>
        </is>
      </c>
      <c r="AC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0% of this dish's available carbohydrate comes from ingredients with a published, measured GI; the rest uses conventional placeholders (see Ingredients sheet)</t>
        </is>
      </c>
      <c r="Z945" s="2" t="n">
        <v>0</v>
      </c>
      <c r="AA945" s="3" t="inlineStr">
        <is>
          <t>vegan, gluten-free, dairy-free, nut-free, low-carb, high-protein, high-fiber</t>
        </is>
      </c>
      <c r="AB945" s="3" t="inlineStr">
        <is>
          <t>1. Roast tofu and broccoli with oil at 425°F 20 minutes.
2. Sauté cauliflower rice.
3. Whisk tahini, lemon, tamari, garlic, water; bowl; sesame.</t>
        </is>
      </c>
      <c r="AC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0% of this dish's available carbohydrate comes from ingredients with a published, measured GI; the rest uses conventional placeholders (see Ingredients sheet)</t>
        </is>
      </c>
      <c r="Z946" s="2" t="n">
        <v>0</v>
      </c>
      <c r="AA946" s="3" t="inlineStr">
        <is>
          <t>vegetarian, gluten-free, nut-free, low-carb</t>
        </is>
      </c>
      <c r="AB946" s="3" t="inlineStr">
        <is>
          <t>1. Halve zucchini; scoop; roast 10 minutes.
2. Whisk eggs, feta, chopped tomato, dill, green onion, salt.
3. Fill; bake at 375°F 18 minutes until set.</t>
        </is>
      </c>
      <c r="AC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61% of this dish's available carbohydrate comes from ingredients with a published, measured GI; the rest uses conventional placeholders (see Ingredients sheet)</t>
        </is>
      </c>
      <c r="Z947" s="2" t="n">
        <v>61</v>
      </c>
      <c r="AA947" s="3" t="inlineStr">
        <is>
          <t>vegetarian, gluten-free, nut-free, high-fiber, one-pan, quick</t>
        </is>
      </c>
      <c r="AB947" s="3" t="inlineStr">
        <is>
          <t>1. Sauté onion, pepper, garlic, spices in oil.
2. Add cauliflower rice, beans, tomatoes; simmer 8 minutes.
3. Cheddar, avocado, cilantro, lime.</t>
        </is>
      </c>
      <c r="AC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0% of this dish's available carbohydrate comes from ingredients with a published, measured GI; the rest uses conventional placeholders (see Ingredients sheet)</t>
        </is>
      </c>
      <c r="Z948" s="2" t="n">
        <v>0</v>
      </c>
      <c r="AA948" s="3" t="inlineStr">
        <is>
          <t>vegan, gluten-free, dairy-free, nut-free, low-carb, high-protein, high-fiber, quick</t>
        </is>
      </c>
      <c r="AB948" s="3" t="inlineStr">
        <is>
          <t>1. Crumble tempeh; brown in oil with ginger and garlic.
2. Add water chestnuts, tamari, vinegar, sesame oil.
3. Fill lettuce; green onion, sriracha.</t>
        </is>
      </c>
      <c r="AC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40% of this dish's available carbohydrate comes from ingredients with a published, measured GI; the rest uses conventional placeholders (see Ingredients sheet)</t>
        </is>
      </c>
      <c r="Z949" s="2" t="n">
        <v>40</v>
      </c>
      <c r="AA949" s="3" t="inlineStr">
        <is>
          <t>vegetarian, gluten-free, nut-free, high-fiber</t>
        </is>
      </c>
      <c r="AB949" s="3" t="inlineStr">
        <is>
          <t>1. Roast halved squash 40 minutes.
2. Sear mushrooms in oil; add onion, garlic, wine, tomatoes, beans, rosemary; simmer 15 minutes.
3. Serve over squash with parmesan.</t>
        </is>
      </c>
      <c r="AC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0% of this dish's available carbohydrate comes from ingredients with a published, measured GI; the rest uses conventional placeholders (see Ingredients sheet)</t>
        </is>
      </c>
      <c r="Z950" s="2" t="n">
        <v>0</v>
      </c>
      <c r="AA950" s="3" t="inlineStr">
        <is>
          <t>vegetarian, gluten-free, dairy-free, nut-free, low-carb, quick, probiotic</t>
        </is>
      </c>
      <c r="AB950" s="3" t="inlineStr">
        <is>
          <t>1. Stir-fry cauliflower rice and kimchi in oil 5 minutes.
2. Scramble eggs in; tamari, sesame oil.
3. Green onion, nori.</t>
        </is>
      </c>
      <c r="AC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0% of this dish's available carbohydrate comes from ingredients with a published, measured GI; the rest uses conventional placeholders (see Ingredients sheet)</t>
        </is>
      </c>
      <c r="Z951" s="2" t="n">
        <v>0</v>
      </c>
      <c r="AA951" s="3" t="inlineStr">
        <is>
          <t>vegetarian, gluten-free, nut-free, low-carb</t>
        </is>
      </c>
      <c r="AB951" s="3" t="inlineStr">
        <is>
          <t>1. Sauté onion and chopped broccoli in oil in an ovenproof skillet 5 minutes.
2. Pour in egg whites and eggs whisked with Dijon and salt; top cheddar.
3. Bake at 375°F 15–18 minutes.</t>
        </is>
      </c>
      <c r="AC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0% of this dish's available carbohydrate comes from ingredients with a published, measured GI; the rest uses conventional placeholders (see Ingredients sheet)</t>
        </is>
      </c>
      <c r="Z952" s="2" t="n">
        <v>0</v>
      </c>
      <c r="AA952" s="3" t="inlineStr">
        <is>
          <t>vegetarian, gluten-free, dairy-free, low-carb, high-protein, high-fiber</t>
        </is>
      </c>
      <c r="AB952" s="3" t="inlineStr">
        <is>
          <t>1. Press tofu; slice slabs; dip in egg then almond flour-sesame; pan-fry in oil 3 minutes per side.
2. Toss shredded cabbage with vinegar.
3. Serve with tamari-sweetener dipping sauce; green onion.</t>
        </is>
      </c>
      <c r="AC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31</v>
      </c>
      <c r="U953" s="2" t="inlineStr">
        <is>
          <t>low</t>
        </is>
      </c>
      <c r="V953" s="5" t="n">
        <v>5.9</v>
      </c>
      <c r="W953" s="2" t="inlineStr">
        <is>
          <t>low</t>
        </is>
      </c>
      <c r="X953" s="3" t="inlineStr"/>
      <c r="Y953" s="3" t="inlineStr">
        <is>
          <t>64% of this dish's available carbohydrate comes from ingredients with a published, measured GI; the rest uses conventional placeholders (see Ingredients sheet)</t>
        </is>
      </c>
      <c r="Z953" s="2" t="n">
        <v>64</v>
      </c>
      <c r="AA953" s="3" t="inlineStr">
        <is>
          <t>vegan, gluten-free, dairy-free, high-fiber</t>
        </is>
      </c>
      <c r="AB953" s="3" t="inlineStr">
        <is>
          <t>1. Pulse lentils and walnuts coarsely.
2. Sauté onion, garlic; add lentil mix, seasoning, tomato paste, splash of water; cook 6 minutes.
3. Fill romaine; avocado, salsa, cilantro.</t>
        </is>
      </c>
      <c r="AC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16% of this dish's available carbohydrate comes from ingredients with a published, measured GI; the rest uses conventional placeholders (see Ingredients sheet)</t>
        </is>
      </c>
      <c r="Z954" s="2" t="n">
        <v>16</v>
      </c>
      <c r="AA954" s="3" t="inlineStr">
        <is>
          <t>vegetarian, gluten-free, nut-free, low-carb</t>
        </is>
      </c>
      <c r="AB954" s="3" t="inlineStr">
        <is>
          <t>1. Hard-boil eggs; chop; mix with yogurt, Dijon, chives, celery, salt.
2. Hollow tomatoes.
3. Fill.</t>
        </is>
      </c>
      <c r="AC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31</v>
      </c>
      <c r="U955" s="2" t="inlineStr">
        <is>
          <t>low</t>
        </is>
      </c>
      <c r="V955" s="5" t="n">
        <v>9.1</v>
      </c>
      <c r="W955" s="2" t="inlineStr">
        <is>
          <t>low</t>
        </is>
      </c>
      <c r="X955" s="3" t="inlineStr"/>
      <c r="Y955" s="3" t="inlineStr">
        <is>
          <t>49% of this dish's available carbohydrate comes from ingredients with a published, measured GI; the rest uses conventional placeholders (see Ingredients sheet)</t>
        </is>
      </c>
      <c r="Z955" s="2" t="n">
        <v>49</v>
      </c>
      <c r="AA955" s="3" t="inlineStr">
        <is>
          <t>vegan, dairy-free, nut-free, high-fiber</t>
        </is>
      </c>
      <c r="AB955" s="3" t="inlineStr">
        <is>
          <t>1. Roast cauliflower and chickpeas with spices, garlic, oil at 425°F 22 minutes.
2. Whisk tahini, lemon, water.
3. Fill tortillas; cucumber, tomato, parsley.</t>
        </is>
      </c>
      <c r="AC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0% of this dish's available carbohydrate comes from ingredients with a published, measured GI; the rest uses conventional placeholders (see Ingredients sheet)</t>
        </is>
      </c>
      <c r="Z956" s="2" t="n">
        <v>0</v>
      </c>
      <c r="AA956" s="3" t="inlineStr">
        <is>
          <t>vegetarian, dairy-free, nut-free, high-protein, quick</t>
        </is>
      </c>
      <c r="AB956" s="3" t="inlineStr">
        <is>
          <t>1. Simmer broth with ginger and shiitake 5 minutes; add bok choy, tofu 3 minutes.
2. Poach eggs in the broth 3 minutes.
3. Whisk in miso off heat; green onion, sesame oil.</t>
        </is>
      </c>
      <c r="AC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0% of this dish's available carbohydrate comes from ingredients with a published, measured GI; the rest uses conventional placeholders (see Ingredients sheet)</t>
        </is>
      </c>
      <c r="Z957" s="2" t="n">
        <v>0</v>
      </c>
      <c r="AA957" s="3" t="inlineStr">
        <is>
          <t>vegetarian, nut-free, low-carb, high-protein, high-fiber, quick</t>
        </is>
      </c>
      <c r="AB957" s="3" t="inlineStr">
        <is>
          <t>1. Wilt spinach in oil; add egg whites; scramble.
2. Add feta and tomato.
3. Roll in tortilla.</t>
        </is>
      </c>
      <c r="AC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50</v>
      </c>
      <c r="U958" s="2" t="inlineStr">
        <is>
          <t>low</t>
        </is>
      </c>
      <c r="V958" s="5" t="n">
        <v>9.5</v>
      </c>
      <c r="W958" s="2" t="inlineStr">
        <is>
          <t>low</t>
        </is>
      </c>
      <c r="X958" s="3" t="inlineStr"/>
      <c r="Y958" s="3" t="inlineStr">
        <is>
          <t>90% of this dish's available carbohydrate comes from ingredients with a published, measured GI; the rest uses conventional placeholders (see Ingredients sheet)</t>
        </is>
      </c>
      <c r="Z958" s="2" t="n">
        <v>90</v>
      </c>
      <c r="AA958" s="3" t="inlineStr">
        <is>
          <t>vegetarian, high-protein</t>
        </is>
      </c>
      <c r="AB958" s="3" t="inlineStr">
        <is>
          <t>1. Blend pumpkin, eggs, protein, oats, spice, baking powder.
2. Cook small pancakes in oil 2–3 minutes per side.
3. Yogurt, pecans.</t>
        </is>
      </c>
      <c r="AC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0% of this dish's available carbohydrate comes from ingredients with a published, measured GI; the rest uses conventional placeholders (see Ingredients sheet)</t>
        </is>
      </c>
      <c r="Z959" s="2" t="n">
        <v>0</v>
      </c>
      <c r="AA959" s="3" t="inlineStr">
        <is>
          <t>gluten-free, nut-free, low-carb, high-protein, quick</t>
        </is>
      </c>
      <c r="AB959" s="3" t="inlineStr">
        <is>
          <t>1. Brown sausage with pepper; add cauliflower rice 4 minutes.
2. Scramble eggs in; cheddar.
3. Green onion, hot sauce.</t>
        </is>
      </c>
      <c r="AC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91% of this dish's available carbohydrate comes from ingredients with a published, measured GI; the rest uses conventional placeholders (see Ingredients sheet)</t>
        </is>
      </c>
      <c r="Z960" s="2" t="n">
        <v>91</v>
      </c>
      <c r="AA960" s="3" t="inlineStr">
        <is>
          <t>vegetarian, high-fiber, make-ahead, no-cook</t>
        </is>
      </c>
      <c r="AB960" s="3" t="inlineStr">
        <is>
          <t>1. Stir oats, chia, milk, yogurt, vanilla.
2. Refrigerate overnight.
3. Blueberries, almonds.</t>
        </is>
      </c>
      <c r="AC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0% of this dish's available carbohydrate comes from ingredients with a published, measured GI; the rest uses conventional placeholders (see Ingredients sheet)</t>
        </is>
      </c>
      <c r="Z961" s="2" t="n">
        <v>0</v>
      </c>
      <c r="AA961" s="3" t="inlineStr">
        <is>
          <t>vegetarian, nut-free, high-protein, high-fiber, quick</t>
        </is>
      </c>
      <c r="AB961" s="3" t="inlineStr">
        <is>
          <t>1. Scramble eggs in oil.
2. Warm tortillas; fill with eggs, avocado, salsa.
3. Cotija, cilantro.</t>
        </is>
      </c>
      <c r="AC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0% of this dish's available carbohydrate comes from ingredients with a published, measured GI; the rest uses conventional placeholders (see Ingredients sheet)</t>
        </is>
      </c>
      <c r="Z962" s="2" t="n">
        <v>0</v>
      </c>
      <c r="AA962" s="3" t="inlineStr">
        <is>
          <t>vegetarian, gluten-free, nut-free, low-carb, quick</t>
        </is>
      </c>
      <c r="AB962" s="3" t="inlineStr">
        <is>
          <t>1. Whisk eggs with cottage cheese and pepper.
2. Cook in butter over low heat, stirring, for soft curds.
3. Chives; tomato on the side.</t>
        </is>
      </c>
      <c r="AC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20</v>
      </c>
      <c r="U963" s="2" t="inlineStr">
        <is>
          <t>low</t>
        </is>
      </c>
      <c r="V963" s="5" t="n">
        <v>4.4</v>
      </c>
      <c r="W963" s="2" t="inlineStr">
        <is>
          <t>low</t>
        </is>
      </c>
      <c r="X963" s="3" t="inlineStr"/>
      <c r="Y963" s="3" t="inlineStr">
        <is>
          <t>91% of this dish's available carbohydrate comes from ingredients with a published, measured GI; the rest uses conventional placeholders (see Ingredients sheet)</t>
        </is>
      </c>
      <c r="Z963" s="2" t="n">
        <v>91</v>
      </c>
      <c r="AA963" s="3" t="inlineStr">
        <is>
          <t>vegetarian, gluten-free, no-cook, quick</t>
        </is>
      </c>
      <c r="AB963" s="3" t="inlineStr">
        <is>
          <t>1. Bowl yogurt.
2. Top diced pear, walnuts, chia.
3. Cinnamon.</t>
        </is>
      </c>
      <c r="AC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0% of this dish's available carbohydrate comes from ingredients with a published, measured GI; the rest uses conventional placeholders (see Ingredients sheet)</t>
        </is>
      </c>
      <c r="Z964" s="2" t="n">
        <v>0</v>
      </c>
      <c r="AA964" s="3" t="inlineStr">
        <is>
          <t>pescatarian, gluten-free, nut-free, low-carb, high-protein, omega-3, quick</t>
        </is>
      </c>
      <c r="AB964" s="3" t="inlineStr">
        <is>
          <t>1. Whisk eggs; cook in butter low and slow.
2. Fold in cream cheese and salmon at the end.
3. Chives, pepper.</t>
        </is>
      </c>
      <c r="AC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41% of this dish's available carbohydrate comes from ingredients with a published, measured GI; the rest uses conventional placeholders (see Ingredients sheet)</t>
        </is>
      </c>
      <c r="Z965" s="2" t="n">
        <v>41</v>
      </c>
      <c r="AA965" s="3" t="inlineStr">
        <is>
          <t>vegetarian, gluten-free, dairy-free, nut-free, low-carb, high-protein</t>
        </is>
      </c>
      <c r="AB965" s="3" t="inlineStr">
        <is>
          <t>1. Sauté mushrooms and spinach in oil.
2. Pour egg whites; cook until set; fold with tomato.
3. Serve with hummus and za'atar.</t>
        </is>
      </c>
      <c r="AC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80% of this dish's available carbohydrate comes from ingredients with a published, measured GI; the rest uses conventional placeholders (see Ingredients sheet)</t>
        </is>
      </c>
      <c r="Z966" s="2" t="n">
        <v>80</v>
      </c>
      <c r="AA966" s="3" t="inlineStr">
        <is>
          <t>vegetarian, high-protein, high-fiber, make-ahead, no-cook</t>
        </is>
      </c>
      <c r="AB966" s="3" t="inlineStr">
        <is>
          <t>1. Whisk protein, cocoa, sweetener into milk; stir oats and chia.
2. Refrigerate overnight.
3. Raspberries.</t>
        </is>
      </c>
      <c r="AC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16% of this dish's available carbohydrate comes from ingredients with a published, measured GI; the rest uses conventional placeholders (see Ingredients sheet)</t>
        </is>
      </c>
      <c r="Z967" s="2" t="n">
        <v>16</v>
      </c>
      <c r="AA967" s="3" t="inlineStr">
        <is>
          <t>gluten-free, nut-free, low-carb, meal-prep</t>
        </is>
      </c>
      <c r="AB967" s="3" t="inlineStr">
        <is>
          <t>1. Brown crumbled sausage.
2. Divide sausage, spinach, pepper, cheddar into 12 oiled cups; pour whisked eggs with milk and salt.
3. Bake at 350°F 20 minutes.</t>
        </is>
      </c>
      <c r="AC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47</v>
      </c>
      <c r="U968" s="2" t="inlineStr">
        <is>
          <t>low</t>
        </is>
      </c>
      <c r="V968" s="5" t="n">
        <v>7.9</v>
      </c>
      <c r="W968" s="2" t="inlineStr">
        <is>
          <t>low</t>
        </is>
      </c>
      <c r="X968" s="3" t="inlineStr"/>
      <c r="Y968" s="3" t="inlineStr">
        <is>
          <t>71% of this dish's available carbohydrate comes from ingredients with a published, measured GI; the rest uses conventional placeholders (see Ingredients sheet)</t>
        </is>
      </c>
      <c r="Z968" s="2" t="n">
        <v>71</v>
      </c>
      <c r="AA968" s="3" t="inlineStr">
        <is>
          <t>vegetarian, gluten-free, nut-free, quick</t>
        </is>
      </c>
      <c r="AB968" s="3" t="inlineStr">
        <is>
          <t>1. Toast bread.
2. Spread cottage cheese; top sliced avocado.
3. Seasoning, pepper flakes.</t>
        </is>
      </c>
      <c r="AC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87% of this dish's available carbohydrate comes from ingredients with a published, measured GI; the rest uses conventional placeholders (see Ingredients sheet)</t>
        </is>
      </c>
      <c r="Z969" s="2" t="n">
        <v>87</v>
      </c>
      <c r="AA969" s="3" t="inlineStr">
        <is>
          <t>vegetarian, gluten-free, high-protein, quick, no-cook</t>
        </is>
      </c>
      <c r="AB969" s="3" t="inlineStr">
        <is>
          <t>1. Blend strawberries, yogurt, protein, milk until thick.
2. Bowl; top chia, almonds, coconut.</t>
        </is>
      </c>
      <c r="AC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0% of this dish's available carbohydrate comes from ingredients with a published, measured GI; the rest uses conventional placeholders (see Ingredients sheet)</t>
        </is>
      </c>
      <c r="Z970" s="2" t="n">
        <v>0</v>
      </c>
      <c r="AA970" s="3" t="inlineStr">
        <is>
          <t>vegetarian, gluten-free, nut-free, low-carb, meal-prep</t>
        </is>
      </c>
      <c r="AB970" s="3" t="inlineStr">
        <is>
          <t>1. Sauté mushrooms in oil; add spinach.
2. Divide into 8 oiled cups; pour egg whites with parmesan, garlic powder, salt.
3. Bake at 350°F 18 minutes.</t>
        </is>
      </c>
      <c r="AC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32% of this dish's available carbohydrate comes from ingredients with a published, measured GI; the rest uses conventional placeholders (see Ingredients sheet)</t>
        </is>
      </c>
      <c r="Z971" s="2" t="n">
        <v>32</v>
      </c>
      <c r="AA971" s="3" t="inlineStr">
        <is>
          <t>vegan, gluten-free, dairy-free, low-carb, high-fiber, make-ahead</t>
        </is>
      </c>
      <c r="AB971" s="3" t="inlineStr">
        <is>
          <t>1. Whisk peanut butter, sweetener, vanilla into milk; stir chia.
2. Refrigerate 4+ hours.
3. Strawberries.</t>
        </is>
      </c>
      <c r="AC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50% of this dish's available carbohydrate comes from ingredients with a published, measured GI; the rest uses conventional placeholders (see Ingredients sheet)</t>
        </is>
      </c>
      <c r="Z972" s="2" t="n">
        <v>50</v>
      </c>
      <c r="AA972" s="3" t="inlineStr">
        <is>
          <t>vegetarian, gluten-free, nut-free, low-carb, quick</t>
        </is>
      </c>
      <c r="AB972" s="3" t="inlineStr">
        <is>
          <t>1. Sauté onion, pepper, jalapeño with cumin in oil; add beans.
2. Add whisked eggs; scramble; cheddar.
3. Salsa, cilantro.</t>
        </is>
      </c>
      <c r="AC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78% of this dish's available carbohydrate comes from ingredients with a published, measured GI; the rest uses conventional placeholders (see Ingredients sheet)</t>
        </is>
      </c>
      <c r="Z973" s="2" t="n">
        <v>78</v>
      </c>
      <c r="AA973" s="3" t="inlineStr">
        <is>
          <t>vegetarian, nut-free</t>
        </is>
      </c>
      <c r="AB973" s="3" t="inlineStr">
        <is>
          <t>1. Blend cottage cheese, eggs, oats, cinnamon, vanilla, baking powder.
2. Cook small pancakes in oil 2–3 minutes per side.
3. Yogurt, blueberries.</t>
        </is>
      </c>
      <c r="AC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0% of this dish's available carbohydrate comes from ingredients with a published, measured GI; the rest uses conventional placeholders (see Ingredients sheet)</t>
        </is>
      </c>
      <c r="Z974" s="2" t="n">
        <v>0</v>
      </c>
      <c r="AA974" s="3" t="inlineStr">
        <is>
          <t>gluten-free, nut-free, low-carb, quick</t>
        </is>
      </c>
      <c r="AB974" s="3" t="inlineStr">
        <is>
          <t>1. Line 6 muffin cups with ham slices.
2. Add spinach and cheese; crack an egg into each; pepper.
3. Bake at 375°F 13–15 minutes.</t>
        </is>
      </c>
      <c r="AC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0% of this dish's available carbohydrate comes from ingredients with a published, measured GI; the rest uses conventional placeholders (see Ingredients sheet)</t>
        </is>
      </c>
      <c r="Z975" s="2" t="n">
        <v>0</v>
      </c>
      <c r="AA975" s="3" t="inlineStr">
        <is>
          <t>vegan, dairy-free, nut-free, low-carb, high-protein, high-fiber</t>
        </is>
      </c>
      <c r="AB975" s="3" t="inlineStr">
        <is>
          <t>1. Crumble tofu; sauté with pepper, turmeric, cumin, nutritional yeast; wilt spinach.
2. Fill tortillas with tofu, salsa, avocado.
3. Roll.</t>
        </is>
      </c>
      <c r="AC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0% of this dish's available carbohydrate comes from ingredients with a published, measured GI; the rest uses conventional placeholders (see Ingredients sheet)</t>
        </is>
      </c>
      <c r="Z976" s="2" t="n">
        <v>0</v>
      </c>
      <c r="AA976" s="3" t="inlineStr">
        <is>
          <t>pescatarian, gluten-free, dairy-free, nut-free, low-carb, high-protein, high-fiber, omega-3</t>
        </is>
      </c>
      <c r="AB976" s="3" t="inlineStr">
        <is>
          <t>1. Roast salmon 12 minutes.
2. Whisk tahini, lemon, garlic, water, salt; massage into kale.
3. Top cucumber, radish, avocado, salmon, hemp.</t>
        </is>
      </c>
      <c r="AC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0% of this dish's available carbohydrate comes from ingredients with a published, measured GI; the rest uses conventional placeholders (see Ingredients sheet)</t>
        </is>
      </c>
      <c r="Z977" s="2" t="n">
        <v>0</v>
      </c>
      <c r="AA977" s="3" t="inlineStr">
        <is>
          <t>gluten-free, dairy-free, nut-free, low-carb, high-protein, no-cook, quick</t>
        </is>
      </c>
      <c r="AB977" s="3" t="inlineStr">
        <is>
          <t>1. Chop chicken, cucumber, avocado, tomato, onion.
2. Toss with cilantro, lime, oil, salt.</t>
        </is>
      </c>
      <c r="AC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16% of this dish's available carbohydrate comes from ingredients with a published, measured GI; the rest uses conventional placeholders (see Ingredients sheet)</t>
        </is>
      </c>
      <c r="Z978" s="2" t="n">
        <v>16</v>
      </c>
      <c r="AA978" s="3" t="inlineStr">
        <is>
          <t>pescatarian, gluten-free, nut-free, low-carb, high-protein, no-cook</t>
        </is>
      </c>
      <c r="AB978" s="3" t="inlineStr">
        <is>
          <t>1. Whisk yogurt, lemon, Dijon, anchovy, garlic, oil.
2. Massage into kale.
3. Top tuna, parmesan, pumpkin seeds.</t>
        </is>
      </c>
      <c r="AC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80% of this dish's available carbohydrate comes from ingredients with a published, measured GI; the rest uses conventional placeholders (see Ingredients sheet)</t>
        </is>
      </c>
      <c r="Z979" s="2" t="n">
        <v>80</v>
      </c>
      <c r="AA979" s="3" t="inlineStr">
        <is>
          <t>pescatarian, gluten-free, nut-free, high-protein</t>
        </is>
      </c>
      <c r="AB979" s="3" t="inlineStr">
        <is>
          <t>1. Sauté shrimp 3 minutes; cool.
2. Toss quinoa, cucumber, tomato, olives, parsley with lemon, oil, oregano.
3. Add shrimp and feta.</t>
        </is>
      </c>
      <c r="AC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0% of this dish's available carbohydrate comes from ingredients with a published, measured GI; the rest uses conventional placeholders (see Ingredients sheet)</t>
        </is>
      </c>
      <c r="Z980" s="2" t="n">
        <v>0</v>
      </c>
      <c r="AA980" s="3" t="inlineStr">
        <is>
          <t>vegetarian, gluten-free, nut-free, low-carb</t>
        </is>
      </c>
      <c r="AB980" s="3" t="inlineStr">
        <is>
          <t>1. Soft-boil eggs 7 minutes; blanch asparagus 3 minutes.
2. Whisk oil, Dijon, lemon.
3. Toss greens, asparagus, radish; top halved eggs, parmesan, chives.</t>
        </is>
      </c>
      <c r="AC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0% of this dish's available carbohydrate comes from ingredients with a published, measured GI; the rest uses conventional placeholders (see Ingredients sheet)</t>
        </is>
      </c>
      <c r="Z981" s="2" t="n">
        <v>0</v>
      </c>
      <c r="AA981" s="3" t="inlineStr">
        <is>
          <t>gluten-free, nut-free, low-carb, high-protein</t>
        </is>
      </c>
      <c r="AB981" s="3" t="inlineStr">
        <is>
          <t>1. Sear steak; rest; slice. Boil eggs; crisp bacon.
2. Whisk oil, vinegar, Dijon.
3. Arrange over romaine; dressing.</t>
        </is>
      </c>
      <c r="AC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34</v>
      </c>
      <c r="U982" s="2" t="inlineStr">
        <is>
          <t>low</t>
        </is>
      </c>
      <c r="V982" s="5" t="n">
        <v>10.5</v>
      </c>
      <c r="W982" s="2" t="inlineStr">
        <is>
          <t>medium</t>
        </is>
      </c>
      <c r="X982" s="3" t="inlineStr"/>
      <c r="Y982" s="3" t="inlineStr">
        <is>
          <t>84% of this dish's available carbohydrate comes from ingredients with a published, measured GI; the rest uses conventional placeholders (see Ingredients sheet)</t>
        </is>
      </c>
      <c r="Z982" s="2" t="n">
        <v>84</v>
      </c>
      <c r="AA982" s="3" t="inlineStr">
        <is>
          <t>vegetarian, gluten-free, nut-free, high-fiber, no-cook, quick</t>
        </is>
      </c>
      <c r="AB982" s="3" t="inlineStr">
        <is>
          <t>1. Combine chickpeas, cucumber, onion, dill.
2. Dress with lemon, oil, salt.
3. Feta.</t>
        </is>
      </c>
      <c r="AC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20% of this dish's available carbohydrate comes from ingredients with a published, measured GI; the rest uses conventional placeholders (see Ingredients sheet)</t>
        </is>
      </c>
      <c r="Z983" s="2" t="n">
        <v>20</v>
      </c>
      <c r="AA983" s="3" t="inlineStr">
        <is>
          <t>gluten-free, dairy-free, low-carb, high-protein, no-cook</t>
        </is>
      </c>
      <c r="AB983" s="3" t="inlineStr">
        <is>
          <t>1. Whisk peanut butter, lime, tamari, ginger, sriracha, water.
2. Toss zoodles, carrot, cabbage, chicken, cilantro with dressing.
3. Peanuts.</t>
        </is>
      </c>
      <c r="AC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0% of this dish's available carbohydrate comes from ingredients with a published, measured GI; the rest uses conventional placeholders (see Ingredients sheet)</t>
        </is>
      </c>
      <c r="Z984" s="2" t="n">
        <v>0</v>
      </c>
      <c r="AA984" s="3" t="inlineStr">
        <is>
          <t>pescatarian, gluten-free, dairy-free, nut-free, low-carb, high-protein, quick</t>
        </is>
      </c>
      <c r="AB984" s="3" t="inlineStr">
        <is>
          <t>1. Sauté shrimp; cool.
2. Chop vegetables.
3. Toss with lemon, oil, dill, salt; add shrimp.</t>
        </is>
      </c>
      <c r="AC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39</v>
      </c>
      <c r="U985" s="2" t="inlineStr">
        <is>
          <t>low</t>
        </is>
      </c>
      <c r="V985" s="5" t="n">
        <v>7.6</v>
      </c>
      <c r="W985" s="2" t="inlineStr">
        <is>
          <t>low</t>
        </is>
      </c>
      <c r="X985" s="3" t="inlineStr"/>
      <c r="Y985" s="3" t="inlineStr">
        <is>
          <t>90% of this dish's available carbohydrate comes from ingredients with a published, measured GI; the rest uses conventional placeholders (see Ingredients sheet)</t>
        </is>
      </c>
      <c r="Z985" s="2" t="n">
        <v>90</v>
      </c>
      <c r="AA985" s="3" t="inlineStr">
        <is>
          <t>vegetarian, gluten-free, high-fiber, no-cook</t>
        </is>
      </c>
      <c r="AB985" s="3" t="inlineStr">
        <is>
          <t>1. Whisk oil, balsamic, Dijon.
2. Toss lentils, diced beet, arugula with dressing.
3. Goat cheese, walnuts.</t>
        </is>
      </c>
      <c r="AC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10% of this dish's available carbohydrate comes from ingredients with a published, measured GI; the rest uses conventional placeholders (see Ingredients sheet)</t>
        </is>
      </c>
      <c r="Z986" s="2" t="n">
        <v>10</v>
      </c>
      <c r="AA986" s="3" t="inlineStr">
        <is>
          <t>gluten-free, nut-free, low-carb, high-protein</t>
        </is>
      </c>
      <c r="AB986" s="3" t="inlineStr">
        <is>
          <t>1. Boil eggs; crisp bacon.
2. Mix yogurt, ranch seasoning, lemon.
3. Arrange over romaine; dressing.</t>
        </is>
      </c>
      <c r="AC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0% of this dish's available carbohydrate comes from ingredients with a published, measured GI; the rest uses conventional placeholders (see Ingredients sheet)</t>
        </is>
      </c>
      <c r="Z987" s="2" t="n">
        <v>0</v>
      </c>
      <c r="AA987" s="3" t="inlineStr">
        <is>
          <t>vegan, gluten-free, dairy-free, nut-free, low-carb, high-fiber, no-cook, quick</t>
        </is>
      </c>
      <c r="AB987" s="3" t="inlineStr">
        <is>
          <t>1. Combine edamame, avocado, cucumber, tomato, cilantro.
2. Dress with lime, sesame oil, tamari.
3. Sesame seeds.</t>
        </is>
      </c>
      <c r="AC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45</v>
      </c>
      <c r="U988" s="2" t="inlineStr">
        <is>
          <t>low</t>
        </is>
      </c>
      <c r="V988" s="5" t="n">
        <v>4.1</v>
      </c>
      <c r="W988" s="2" t="inlineStr">
        <is>
          <t>low</t>
        </is>
      </c>
      <c r="X988" s="3" t="inlineStr"/>
      <c r="Y988" s="3" t="inlineStr">
        <is>
          <t>66% of this dish's available carbohydrate comes from ingredients with a published, measured GI; the rest uses conventional placeholders (see Ingredients sheet)</t>
        </is>
      </c>
      <c r="Z988" s="2" t="n">
        <v>66</v>
      </c>
      <c r="AA988" s="3" t="inlineStr">
        <is>
          <t>gluten-free, low-carb, high-protein</t>
        </is>
      </c>
      <c r="AB988" s="3" t="inlineStr">
        <is>
          <t>1. Grill chicken; slice. Grill peach halves 2 minutes.
2. Toss arugula with oil and balsamic.
3. Top chicken, peach, goat cheese, almonds, basil.</t>
        </is>
      </c>
      <c r="AC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71% of this dish's available carbohydrate comes from ingredients with a published, measured GI; the rest uses conventional placeholders (see Ingredients sheet)</t>
        </is>
      </c>
      <c r="Z989" s="2" t="n">
        <v>71</v>
      </c>
      <c r="AA989" s="3" t="inlineStr">
        <is>
          <t>gluten-free, dairy-free, nut-free, high-protein</t>
        </is>
      </c>
      <c r="AB989" s="3" t="inlineStr">
        <is>
          <t>1. Sauté onion, carrot, celery, garlic in oil.
2. Add broth and chicken; simmer 20 minutes; shred chicken.
3. Add zucchini and cooked quinoa 5 minutes; parsley.</t>
        </is>
      </c>
      <c r="AC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46% of this dish's available carbohydrate comes from ingredients with a published, measured GI; the rest uses conventional placeholders (see Ingredients sheet)</t>
        </is>
      </c>
      <c r="Z990" s="2" t="n">
        <v>46</v>
      </c>
      <c r="AA990" s="3" t="inlineStr">
        <is>
          <t>vegetarian, gluten-free, nut-free, high-fiber, make-ahead</t>
        </is>
      </c>
      <c r="AB990" s="3" t="inlineStr">
        <is>
          <t>1. Sauté onion and garlic in oil.
2. Add tomatoes, beans, broth; simmer 15 minutes.
3. Blend with basil; stir in yogurt; salt.</t>
        </is>
      </c>
      <c r="AC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18% of this dish's available carbohydrate comes from ingredients with a published, measured GI; the rest uses conventional placeholders (see Ingredients sheet)</t>
        </is>
      </c>
      <c r="Z991" s="2" t="n">
        <v>18</v>
      </c>
      <c r="AA991" s="3" t="inlineStr">
        <is>
          <t>gluten-free, dairy-free, nut-free, low-carb, high-protein, make-ahead</t>
        </is>
      </c>
      <c r="AB991" s="3" t="inlineStr">
        <is>
          <t>1. Brown beef cubes in oil; add onion, carrot, celery, garlic.
2. Add broth, tomatoes, thyme, bay; simmer 60 minutes.
3. Add green beans and zucchini 8 minutes.</t>
        </is>
      </c>
      <c r="AC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18% of this dish's available carbohydrate comes from ingredients with a published, measured GI; the rest uses conventional placeholders (see Ingredients sheet)</t>
        </is>
      </c>
      <c r="Z992" s="2" t="n">
        <v>18</v>
      </c>
      <c r="AA992" s="3" t="inlineStr">
        <is>
          <t>gluten-free, low-carb, high-protein</t>
        </is>
      </c>
      <c r="AB992" s="3" t="inlineStr">
        <is>
          <t>1. Mix chicken, egg, parmesan, almond flour, garlic; form small meatballs.
2. Sauté onion and carrot; add broth and seasoning; simmer; drop in meatballs 12 minutes.
3. Add zucchini and spinach 4 minutes.</t>
        </is>
      </c>
      <c r="AC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0% of this dish's available carbohydrate comes from ingredients with a published, measured GI; the rest uses conventional placeholders (see Ingredients sheet)</t>
        </is>
      </c>
      <c r="Z993" s="2" t="n">
        <v>0</v>
      </c>
      <c r="AA993" s="3" t="inlineStr">
        <is>
          <t>pescatarian, dairy-free, nut-free, low-carb, high-protein, quick</t>
        </is>
      </c>
      <c r="AB993" s="3" t="inlineStr">
        <is>
          <t>1. Simmer broth with ginger and mushrooms 5 minutes; add bok choy and tofu.
2. Add shrimp 3 minutes.
3. Whisk in miso off heat; green onion, sesame oil.</t>
        </is>
      </c>
      <c r="AC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27</v>
      </c>
      <c r="U994" s="2" t="inlineStr">
        <is>
          <t>low</t>
        </is>
      </c>
      <c r="V994" s="5" t="n">
        <v>6.7</v>
      </c>
      <c r="W994" s="2" t="inlineStr">
        <is>
          <t>low</t>
        </is>
      </c>
      <c r="X994" s="3" t="inlineStr"/>
      <c r="Y994" s="3" t="inlineStr">
        <is>
          <t>65% of this dish's available carbohydrate comes from ingredients with a published, measured GI; the rest uses conventional placeholders (see Ingredients sheet)</t>
        </is>
      </c>
      <c r="Z994" s="2" t="n">
        <v>65</v>
      </c>
      <c r="AA994" s="3" t="inlineStr">
        <is>
          <t>vegan, gluten-free, dairy-free, nut-free, high-fiber, make-ahead</t>
        </is>
      </c>
      <c r="AB994" s="3" t="inlineStr">
        <is>
          <t>1. Sauté onion, carrot, garlic, cumin in oil.
2. Add lentils and broth; simmer 20 minutes.
3. Add kale 5 minutes; lemon, salt.</t>
        </is>
      </c>
      <c r="AC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61% of this dish's available carbohydrate comes from ingredients with a published, measured GI; the rest uses conventional placeholders (see Ingredients sheet)</t>
        </is>
      </c>
      <c r="Z995" s="2" t="n">
        <v>61</v>
      </c>
      <c r="AA995" s="3" t="inlineStr">
        <is>
          <t>gluten-free, nut-free, high-protein, high-fiber, make-ahead</t>
        </is>
      </c>
      <c r="AB995" s="3" t="inlineStr">
        <is>
          <t>1. Brown turkey with onion and pepper in oil; add seasoning.
2. Add beans, tomatoes, broth, corn, chiles; simmer 20 minutes.
3. Cheddar, yogurt, cilantro.</t>
        </is>
      </c>
      <c r="AC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24</v>
      </c>
      <c r="U996" s="2" t="inlineStr">
        <is>
          <t>low</t>
        </is>
      </c>
      <c r="V996" s="5" t="n">
        <v>5.6</v>
      </c>
      <c r="W996" s="2" t="inlineStr">
        <is>
          <t>low</t>
        </is>
      </c>
      <c r="X996" s="3" t="inlineStr"/>
      <c r="Y996" s="3" t="inlineStr">
        <is>
          <t>41% of this dish's available carbohydrate comes from ingredients with a published, measured GI; the rest uses conventional placeholders (see Ingredients sheet)</t>
        </is>
      </c>
      <c r="Z996" s="2" t="n">
        <v>41</v>
      </c>
      <c r="AA996" s="3" t="inlineStr">
        <is>
          <t>vegan, gluten-free, dairy-free, nut-free, high-fiber</t>
        </is>
      </c>
      <c r="AB996" s="3" t="inlineStr">
        <is>
          <t>1. Sauté onion, garlic, ginger, curry powder in oil.
2. Add cauliflower and broth; simmer 15 minutes; blend.
3. Stir in coconut milk and chickpeas; lime, cilantro.</t>
        </is>
      </c>
      <c r="AC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67% of this dish's available carbohydrate comes from ingredients with a published, measured GI; the rest uses conventional placeholders (see Ingredients sheet)</t>
        </is>
      </c>
      <c r="Z997" s="2" t="n">
        <v>67</v>
      </c>
      <c r="AA997" s="3" t="inlineStr">
        <is>
          <t>gluten-free, nut-free, high-protein, high-fiber</t>
        </is>
      </c>
      <c r="AB997" s="3" t="inlineStr">
        <is>
          <t>1. Sauté onion and garlic in oil; add broth and chicken; simmer 15 minutes; shred.
2. Add beans and kale 5 minutes.
3. Parmesan, pepper flakes, lemon.</t>
        </is>
      </c>
      <c r="AC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0% of this dish's available carbohydrate comes from ingredients with a published, measured GI; the rest uses conventional placeholders (see Ingredients sheet)</t>
        </is>
      </c>
      <c r="Z998" s="2" t="n">
        <v>0</v>
      </c>
      <c r="AA998" s="3" t="inlineStr">
        <is>
          <t>pescatarian, dairy-free, nut-free, low-carb, high-protein, omega-3</t>
        </is>
      </c>
      <c r="AB998" s="3" t="inlineStr">
        <is>
          <t>1. Simmer broth with ginger and shiitake 5 minutes; add bok choy and rinsed shirataki.
2. Add salmon chunks 4 minutes.
3. Miso off heat; green onion.</t>
        </is>
      </c>
      <c r="AC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0% of this dish's available carbohydrate comes from ingredients with a published, measured GI; the rest uses conventional placeholders (see Ingredients sheet)</t>
        </is>
      </c>
      <c r="Z999" s="2" t="n">
        <v>0</v>
      </c>
      <c r="AA999" s="3" t="inlineStr">
        <is>
          <t>gluten-free, dairy-free, nut-free, low-carb, high-protein</t>
        </is>
      </c>
      <c r="AB999" s="3" t="inlineStr">
        <is>
          <t>1. Sauté onion, garlic, jalapeño, cumin in oil.
2. Add broth, tomato, chicken; simmer 18 minutes; shred.
3. Lime juice, cilantro, avocado.</t>
        </is>
      </c>
      <c r="AC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81% of this dish's available carbohydrate comes from ingredients with a published, measured GI; the rest uses conventional placeholders (see Ingredients sheet)</t>
        </is>
      </c>
      <c r="Z1000" s="2" t="n">
        <v>81</v>
      </c>
      <c r="AA1000" s="3" t="inlineStr">
        <is>
          <t>vegetarian, gluten-free, nut-free, high-fiber, make-ahead</t>
        </is>
      </c>
      <c r="AB1000" s="3" t="inlineStr">
        <is>
          <t>1. Sauté onion, garlic, rosemary in oil.
2. Add beans and broth; simmer 15 minutes; blend half.
3. Lemon, parmesan, salt.</t>
        </is>
      </c>
      <c r="AC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0% of this dish's available carbohydrate comes from ingredients with a published, measured GI; the rest uses conventional placeholders (see Ingredients sheet)</t>
        </is>
      </c>
      <c r="Z1001" s="2" t="n">
        <v>0</v>
      </c>
      <c r="AA1001" s="3" t="inlineStr">
        <is>
          <t>gluten-free, dairy-free, nut-free, low-carb, high-protein, one-pan</t>
        </is>
      </c>
      <c r="AB1001" s="3" t="inlineStr">
        <is>
          <t>1. Rub chicken with oil, garlic, rosemary, salt; roast at 425°F 20 minutes.
2. Add broccolini tossed in oil and pepper flakes; roast 10 minutes more.
3. Squeeze lemon over everything.</t>
        </is>
      </c>
      <c r="AC1001" s="4" t="inlineStr">
        <is>
          <t>["Rub chicken with oil, garlic, rosemary, salt; roast at 425°F 20 minutes.", "Add broccolini tossed in oil and pepper flakes; roast 10 minutes more.", "Squeeze lemon over everything."]</t>
        </is>
      </c>
    </row>
    <row r="1002" ht="96" customHeight="1">
      <c r="A1002" s="2" t="inlineStr">
        <is>
          <t>DB-1001</t>
        </is>
      </c>
      <c r="B1002" s="3" t="inlineStr">
        <is>
          <t>Diner Veggie Omelet with Cheddar</t>
        </is>
      </c>
      <c r="C1002" s="4" t="inlineStr">
        <is>
          <t>Breakfast</t>
        </is>
      </c>
      <c r="D1002" s="4" t="inlineStr">
        <is>
          <t>American</t>
        </is>
      </c>
      <c r="E1002" s="2" t="n">
        <v>2</v>
      </c>
      <c r="F1002" s="2" t="n">
        <v>10</v>
      </c>
      <c r="G1002" s="2" t="n">
        <v>8</v>
      </c>
      <c r="H1002" s="2" t="n">
        <v>18</v>
      </c>
      <c r="I1002" s="4" t="inlineStr">
        <is>
          <t>diner-veggie-omelet-with-cheddar.jpg</t>
        </is>
      </c>
      <c r="J1002" s="3" t="inlineStr">
        <is>
          <t>Diner Veggie Omelet with Cheddar, healthy food photography, plated, natural light</t>
        </is>
      </c>
      <c r="K1002" s="4" t="inlineStr"/>
      <c r="L1002" s="3" t="inlineStr">
        <is>
          <t>Egg, large (50 g each) — 300 g (10.6 oz)
Bell pepper — 100 g (3.5 oz)
Mushrooms (cremini/white) — 100 g (3.5 oz)
Yellow onion — 40 g (1.4 oz)
Cheddar cheese — 40 g (1.4 oz)
Extra-virgin olive oil — 10 g (0.4 oz)
Salt — 2 g (0.1 oz)
Black pepper — 1 g (0.0 oz)</t>
        </is>
      </c>
      <c r="M1002" s="4" t="inlineStr">
        <is>
          <t>[{"ingredient_id": "egg", "name": "Egg, large (50 g each)", "grams": 300.0, "note": ""}, {"ingredient_id": "bell_pepper", "name": "Bell pepper", "grams": 100.0, "note": ""}, {"ingredient_id": "mushrooms", "name": "Mushrooms (cremini/white)", "grams": 100.0, "note": ""}, {"ingredient_id": "onion", "name": "Yellow onion", "grams": 40.0, "note": ""}, {"ingredient_id": "cheddar", "name": "Cheddar cheese", "grams": 40.0, "note": ""}, {"ingredient_id": "olive_oil", "name": "Extra-virgin olive oil", "grams": 10.0, "note": ""}, {"ingredient_id": "salt", "name": "Salt", "grams": 2.0, "note": ""}, {"ingredient_id": "black_pepper", "name": "Black pepper", "grams": 1.0, "note": ""}]</t>
        </is>
      </c>
      <c r="N1002" s="2" t="n">
        <v>375</v>
      </c>
      <c r="O1002" s="5" t="n">
        <v>25.8</v>
      </c>
      <c r="P1002" s="5" t="n">
        <v>26.2</v>
      </c>
      <c r="Q1002" s="5" t="n">
        <v>8.1</v>
      </c>
      <c r="R1002" s="5" t="n">
        <v>2</v>
      </c>
      <c r="S1002" s="5" t="n">
        <v>6.1</v>
      </c>
      <c r="T1002" s="2" t="n">
        <v>12</v>
      </c>
      <c r="U1002" s="2" t="inlineStr">
        <is>
          <t>low</t>
        </is>
      </c>
      <c r="V1002" s="5" t="n">
        <v>0.7</v>
      </c>
      <c r="W1002" s="2" t="inlineStr">
        <is>
          <t>low</t>
        </is>
      </c>
      <c r="X1002" s="3" t="inlineStr"/>
      <c r="Y1002" s="3" t="inlineStr">
        <is>
          <t>0% of this dish's available carbohydrate comes from ingredients with a published, measured GI; the rest uses conventional placeholders (see Ingredients sheet)</t>
        </is>
      </c>
      <c r="Z1002" s="2" t="n">
        <v>0</v>
      </c>
      <c r="AA1002" s="3" t="inlineStr">
        <is>
          <t>vegetarian, gluten-free, nut-free, low-carb, high-protein</t>
        </is>
      </c>
      <c r="AB1002" s="3" t="inlineStr">
        <is>
          <t>1. Sauté the pepper, mushrooms and onion in half the oil until soft; set aside.
2. Beat the eggs with salt and pepper and cook in the rest of the oil over medium heat.
3. When nearly set, add the vegetables and cheddar to one half and fold.
4. Slide onto a plate and serve hot.</t>
        </is>
      </c>
      <c r="AC1002" s="4" t="inlineStr">
        <is>
          <t>["Sauté the pepper, mushrooms and onion in half the oil until soft; set aside.", "Beat the eggs with salt and pepper and cook in the rest of the oil over medium heat.", "When nearly set, add the vegetables and cheddar to one half and fold.", "Slide onto a plate and serve hot."]</t>
        </is>
      </c>
    </row>
    <row r="1003" ht="96" customHeight="1">
      <c r="A1003" s="2" t="inlineStr">
        <is>
          <t>DB-1002</t>
        </is>
      </c>
      <c r="B1003" s="3" t="inlineStr">
        <is>
          <t>Denver Scramble</t>
        </is>
      </c>
      <c r="C1003" s="4" t="inlineStr">
        <is>
          <t>Breakfast</t>
        </is>
      </c>
      <c r="D1003" s="4" t="inlineStr">
        <is>
          <t>American</t>
        </is>
      </c>
      <c r="E1003" s="2" t="n">
        <v>2</v>
      </c>
      <c r="F1003" s="2" t="n">
        <v>10</v>
      </c>
      <c r="G1003" s="2" t="n">
        <v>10</v>
      </c>
      <c r="H1003" s="2" t="n">
        <v>20</v>
      </c>
      <c r="I1003" s="4" t="inlineStr">
        <is>
          <t>denver-scramble.jpg</t>
        </is>
      </c>
      <c r="J1003" s="3" t="inlineStr">
        <is>
          <t>Denver Scramble, healthy food photography, plated, natural light</t>
        </is>
      </c>
      <c r="K1003" s="4" t="inlineStr"/>
      <c r="L1003" s="3" t="inlineStr">
        <is>
          <t>Egg, large (50 g each) — 300 g (10.6 oz)
Ham, lean — 80 g (2.8 oz)
Bell pepper — 100 g (3.5 oz)
Yellow onion — 50 g (1.8 oz)
Extra-virgin olive oil — 10 g (0.4 oz)
Black pepper — 1 g (0.0 oz)
Fresh chives — 3 g (0.1 oz)</t>
        </is>
      </c>
      <c r="M1003" s="4" t="inlineStr">
        <is>
          <t>[{"ingredient_id": "egg", "name": "Egg, large (50 g each)", "grams": 300.0, "note": ""}, {"ingredient_id": "ham", "name": "Ham, lean", "grams": 80.0, "note": ""}, {"ingredient_id": "bell_pepper", "name": "Bell pepper", "grams": 100.0, "note": ""}, {"ingredient_id": "onion", "name": "Yellow onion", "grams": 50.0, "note": ""}, {"ingredient_id": "olive_oil", "name": "Extra-virgin olive oil", "grams": 10.0, "note": ""}, {"ingredient_id": "black_pepper", "name": "Black pepper", "grams": 1.0, "note": ""}, {"ingredient_id": "chives", "name": "Fresh chives", "grams": 3.0, "note": ""}]</t>
        </is>
      </c>
      <c r="N1003" s="2" t="n">
        <v>344</v>
      </c>
      <c r="O1003" s="5" t="n">
        <v>28.2</v>
      </c>
      <c r="P1003" s="5" t="n">
        <v>21.9</v>
      </c>
      <c r="Q1003" s="5" t="n">
        <v>7.4</v>
      </c>
      <c r="R1003" s="5" t="n">
        <v>1.6</v>
      </c>
      <c r="S1003" s="5" t="n">
        <v>5.7</v>
      </c>
      <c r="T1003" s="2" t="n">
        <v>11</v>
      </c>
      <c r="U1003" s="2" t="inlineStr">
        <is>
          <t>low</t>
        </is>
      </c>
      <c r="V1003" s="5" t="n">
        <v>0.6</v>
      </c>
      <c r="W1003" s="2" t="inlineStr">
        <is>
          <t>low</t>
        </is>
      </c>
      <c r="X1003" s="3" t="inlineStr"/>
      <c r="Y1003" s="3" t="inlineStr">
        <is>
          <t>0% of this dish's available carbohydrate comes from ingredients with a published, measured GI; the rest uses conventional placeholders (see Ingredients sheet)</t>
        </is>
      </c>
      <c r="Z1003" s="2" t="n">
        <v>0</v>
      </c>
      <c r="AA1003" s="3" t="inlineStr">
        <is>
          <t>gluten-free, dairy-free, nut-free, low-carb, high-protein</t>
        </is>
      </c>
      <c r="AB1003" s="3" t="inlineStr">
        <is>
          <t>1. Dice the ham, pepper and onion.
2. Sauté them in oil for 4 minutes.
3. Pour in the beaten eggs and stir gently until just set.
4. Finish with pepper and chives.</t>
        </is>
      </c>
      <c r="AC1003" s="4" t="inlineStr">
        <is>
          <t>["Dice the ham, pepper and onion.", "Sauté them in oil for 4 minutes.", "Pour in the beaten eggs and stir gently until just set.", "Finish with pepper and chives."]</t>
        </is>
      </c>
    </row>
    <row r="1004" ht="96" customHeight="1">
      <c r="A1004" s="2" t="inlineStr">
        <is>
          <t>DB-1003</t>
        </is>
      </c>
      <c r="B1004" s="3" t="inlineStr">
        <is>
          <t>Egg and Turkey Sausage Breakfast Sandwich</t>
        </is>
      </c>
      <c r="C1004" s="4" t="inlineStr">
        <is>
          <t>Breakfast</t>
        </is>
      </c>
      <c r="D1004" s="4" t="inlineStr">
        <is>
          <t>American</t>
        </is>
      </c>
      <c r="E1004" s="2" t="n">
        <v>2</v>
      </c>
      <c r="F1004" s="2" t="n">
        <v>5</v>
      </c>
      <c r="G1004" s="2" t="n">
        <v>10</v>
      </c>
      <c r="H1004" s="2" t="n">
        <v>15</v>
      </c>
      <c r="I1004" s="4" t="inlineStr">
        <is>
          <t>egg-and-turkey-sausage-breakfast-sandwich.jpg</t>
        </is>
      </c>
      <c r="J1004" s="3" t="inlineStr">
        <is>
          <t>Egg and Turkey Sausage Breakfast Sandwich, healthy food photography, plated, natural light</t>
        </is>
      </c>
      <c r="K1004" s="4" t="inlineStr"/>
      <c r="L1004" s="3" t="inlineStr">
        <is>
          <t>Whole wheat English muffin — 114 g (4.0 oz)
Egg, large (50 g each) — 100 g (3.5 oz)
Turkey sausage — 100 g (3.5 oz)
Cheddar cheese — 30 g (1.1 oz)
Spinach — 30 g (1.1 oz)
Extra-virgin olive oil — 5 g (0.2 oz)</t>
        </is>
      </c>
      <c r="M1004" s="4" t="inlineStr">
        <is>
          <t>[{"ingredient_id": "whole_wheat_english_muffin", "name": "Whole wheat English muffin", "grams": 114.0, "note": ""}, {"ingredient_id": "egg", "name": "Egg, large (50 g each)", "grams": 100.0, "note": ""}, {"ingredient_id": "turkey_sausage", "name": "Turkey sausage", "grams": 100.0, "note": ""}, {"ingredient_id": "cheddar", "name": "Cheddar cheese", "grams": 30.0, "note": ""}, {"ingredient_id": "spinach", "name": "Spinach", "grams": 30.0, "note": ""}, {"ingredient_id": "olive_oil", "name": "Extra-virgin olive oil", "grams": 5.0, "note": ""}]</t>
        </is>
      </c>
      <c r="N1004" s="2" t="n">
        <v>360</v>
      </c>
      <c r="O1004" s="5" t="n">
        <v>22.8</v>
      </c>
      <c r="P1004" s="5" t="n">
        <v>18.4</v>
      </c>
      <c r="Q1004" s="5" t="n">
        <v>27.7</v>
      </c>
      <c r="R1004" s="5" t="n">
        <v>4.3</v>
      </c>
      <c r="S1004" s="5" t="n">
        <v>23.4</v>
      </c>
      <c r="T1004" s="2" t="n">
        <v>42</v>
      </c>
      <c r="U1004" s="2" t="inlineStr">
        <is>
          <t>low</t>
        </is>
      </c>
      <c r="V1004" s="5" t="n">
        <v>9.800000000000001</v>
      </c>
      <c r="W1004" s="2" t="inlineStr">
        <is>
          <t>low</t>
        </is>
      </c>
      <c r="X1004" s="3" t="inlineStr"/>
      <c r="Y1004" s="3" t="inlineStr">
        <is>
          <t>93% of this dish's available carbohydrate comes from ingredients with a published, measured GI; the rest uses conventional placeholders (see Ingredients sheet)</t>
        </is>
      </c>
      <c r="Z1004" s="2" t="n">
        <v>93</v>
      </c>
      <c r="AA1004" s="3" t="inlineStr">
        <is>
          <t>nut-free</t>
        </is>
      </c>
      <c r="AB1004" s="3" t="inlineStr">
        <is>
          <t>1. Shape the sausage into two thin patties and brown 3 minutes a side.
2. Fry the eggs in the oil.
3. Toast the muffins.
4. Layer sausage, egg, cheddar and spinach in each muffin.</t>
        </is>
      </c>
      <c r="AC1004" s="4" t="inlineStr">
        <is>
          <t>["Shape the sausage into two thin patties and brown 3 minutes a side.", "Fry the eggs in the oil.", "Toast the muffins.", "Layer sausage, egg, cheddar and spinach in each muffin."]</t>
        </is>
      </c>
    </row>
    <row r="1005" ht="96" customHeight="1">
      <c r="A1005" s="2" t="inlineStr">
        <is>
          <t>DB-1004</t>
        </is>
      </c>
      <c r="B1005" s="3" t="inlineStr">
        <is>
          <t>Huevos Rancheros Bowl</t>
        </is>
      </c>
      <c r="C1005" s="4" t="inlineStr">
        <is>
          <t>Breakfast</t>
        </is>
      </c>
      <c r="D1005" s="4" t="inlineStr">
        <is>
          <t>Tex-Mex</t>
        </is>
      </c>
      <c r="E1005" s="2" t="n">
        <v>2</v>
      </c>
      <c r="F1005" s="2" t="n">
        <v>10</v>
      </c>
      <c r="G1005" s="2" t="n">
        <v>12</v>
      </c>
      <c r="H1005" s="2" t="n">
        <v>22</v>
      </c>
      <c r="I1005" s="4" t="inlineStr">
        <is>
          <t>huevos-rancheros-bowl.jpg</t>
        </is>
      </c>
      <c r="J1005" s="3" t="inlineStr">
        <is>
          <t>Huevos Rancheros Bowl, healthy food photography, plated, natural light</t>
        </is>
      </c>
      <c r="K1005" s="4" t="inlineStr"/>
      <c r="L1005" s="3" t="inlineStr">
        <is>
          <t>Egg, large (50 g each) — 200 g (7.1 oz)
Pinto beans, cooked — 200 g (7.1 oz)
Salsa, no sugar added — 120 g (4.2 oz)
Avocado — 70 g (2.5 oz)
Cotija cheese — 20 g (0.7 oz)
Fresh cilantro — 5 g (0.2 oz)
Extra-virgin olive oil — 5 g (0.2 oz)</t>
        </is>
      </c>
      <c r="M1005" s="4" t="inlineStr">
        <is>
          <t>[{"ingredient_id": "egg", "name": "Egg, large (50 g each)", "grams": 200.0, "note": ""}, {"ingredient_id": "pinto_beans", "name": "Pinto beans, cooked", "grams": 200.0, "note": ""}, {"ingredient_id": "salsa", "name": "Salsa, no sugar added", "grams": 120.0, "note": ""}, {"ingredient_id": "avocado", "name": "Avocado", "grams": 70.0, "note": ""}, {"ingredient_id": "cotija", "name": "Cotija cheese", "grams": 20.0, "note": ""}, {"ingredient_id": "cilantro", "name": "Fresh cilantro", "grams": 5.0, "note": ""}, {"ingredient_id": "olive_oil", "name": "Extra-virgin olive oil", "grams": 5.0, "note": ""}]</t>
        </is>
      </c>
      <c r="N1005" s="2" t="n">
        <v>423</v>
      </c>
      <c r="O1005" s="5" t="n">
        <v>25.3</v>
      </c>
      <c r="P1005" s="5" t="n">
        <v>21</v>
      </c>
      <c r="Q1005" s="5" t="n">
        <v>34.4</v>
      </c>
      <c r="R1005" s="5" t="n">
        <v>12.3</v>
      </c>
      <c r="S1005" s="5" t="n">
        <v>22.1</v>
      </c>
      <c r="T1005" s="2" t="n">
        <v>30</v>
      </c>
      <c r="U1005" s="2" t="inlineStr">
        <is>
          <t>low</t>
        </is>
      </c>
      <c r="V1005" s="5" t="n">
        <v>6.6</v>
      </c>
      <c r="W1005" s="2" t="inlineStr">
        <is>
          <t>low</t>
        </is>
      </c>
      <c r="X1005" s="3" t="inlineStr"/>
      <c r="Y1005" s="3" t="inlineStr">
        <is>
          <t>77% of this dish's available carbohydrate comes from ingredients with a published, measured GI; the rest uses conventional placeholders (see Ingredients sheet)</t>
        </is>
      </c>
      <c r="Z1005" s="2" t="n">
        <v>77</v>
      </c>
      <c r="AA1005" s="3" t="inlineStr">
        <is>
          <t>vegetarian, gluten-free, nut-free, high-protein, high-fiber</t>
        </is>
      </c>
      <c r="AB1005" s="3" t="inlineStr">
        <is>
          <t>1. Warm the beans with a third of the salsa.
2. Fry the eggs in the oil until the whites are set.
3. Spoon the beans into bowls and top with eggs.
4. Finish with the rest of the salsa, avocado, cotija and cilantro.</t>
        </is>
      </c>
      <c r="AC1005" s="4" t="inlineStr">
        <is>
          <t>["Warm the beans with a third of the salsa.", "Fry the eggs in the oil until the whites are set.", "Spoon the beans into bowls and top with eggs.", "Finish with the rest of the salsa, avocado, cotija and cilantro."]</t>
        </is>
      </c>
    </row>
    <row r="1006" ht="96" customHeight="1">
      <c r="A1006" s="2" t="inlineStr">
        <is>
          <t>DB-1005</t>
        </is>
      </c>
      <c r="B1006" s="3" t="inlineStr">
        <is>
          <t>Greek Yogurt Parfait with Berries and Pecans</t>
        </is>
      </c>
      <c r="C1006" s="4" t="inlineStr">
        <is>
          <t>Breakfast</t>
        </is>
      </c>
      <c r="D1006" s="4" t="inlineStr">
        <is>
          <t>American</t>
        </is>
      </c>
      <c r="E1006" s="2" t="n">
        <v>2</v>
      </c>
      <c r="F1006" s="2" t="n">
        <v>5</v>
      </c>
      <c r="G1006" s="2" t="n">
        <v>0</v>
      </c>
      <c r="H1006" s="2" t="n">
        <v>5</v>
      </c>
      <c r="I1006" s="4" t="inlineStr">
        <is>
          <t>greek-yogurt-parfait-with-berries-and-pecans.jpg</t>
        </is>
      </c>
      <c r="J1006" s="3" t="inlineStr">
        <is>
          <t>Greek Yogurt Parfait with Berries and Pecans, healthy food photography, plated, natural light</t>
        </is>
      </c>
      <c r="K1006" s="4" t="inlineStr"/>
      <c r="L1006" s="3" t="inlineStr">
        <is>
          <t>Greek yogurt, plain 2% — 400 g (14.1 oz)
Mixed berries, frozen — 150 g (5.3 oz)
Pecans — 25 g (0.9 oz)
Ground cinnamon — 1 g (0.0 oz)
Vanilla extract — 3 g (0.1 oz)</t>
        </is>
      </c>
      <c r="M1006" s="4" t="inlineStr">
        <is>
          <t>[{"ingredient_id": "greek_yogurt", "name": "Greek yogurt, plain 2%", "grams": 400.0, "note": ""}, {"ingredient_id": "mixed_berries", "name": "Mixed berries, frozen", "grams": 150.0, "note": ""}, {"ingredient_id": "pecans", "name": "Pecans", "grams": 25.0, "note": ""}, {"ingredient_id": "cinnamon", "name": "Ground cinnamon", "grams": 1.0, "note": ""}, {"ingredient_id": "vanilla_extract", "name": "Vanilla extract", "grams": 3.0, "note": ""}]</t>
        </is>
      </c>
      <c r="N1006" s="2" t="n">
        <v>272</v>
      </c>
      <c r="O1006" s="5" t="n">
        <v>21.7</v>
      </c>
      <c r="P1006" s="5" t="n">
        <v>13.3</v>
      </c>
      <c r="Q1006" s="5" t="n">
        <v>18.6</v>
      </c>
      <c r="R1006" s="5" t="n">
        <v>4.5</v>
      </c>
      <c r="S1006" s="5" t="n">
        <v>14.1</v>
      </c>
      <c r="T1006" s="2" t="n">
        <v>22</v>
      </c>
      <c r="U1006" s="2" t="inlineStr">
        <is>
          <t>low</t>
        </is>
      </c>
      <c r="V1006" s="5" t="n">
        <v>3.1</v>
      </c>
      <c r="W1006" s="2" t="inlineStr">
        <is>
          <t>low</t>
        </is>
      </c>
      <c r="X1006" s="3" t="inlineStr"/>
      <c r="Y1006" s="3" t="inlineStr">
        <is>
          <t>57% of this dish's available carbohydrate comes from ingredients with a published, measured GI; the rest uses conventional placeholders (see Ingredients sheet)</t>
        </is>
      </c>
      <c r="Z1006" s="2" t="n">
        <v>57</v>
      </c>
      <c r="AA1006" s="3" t="inlineStr">
        <is>
          <t>vegetarian, gluten-free, low-carb, no-cook</t>
        </is>
      </c>
      <c r="AB1006" s="3" t="inlineStr">
        <is>
          <t>1. Stir the vanilla and cinnamon into the yogurt.
2. Layer yogurt and berries in two glasses.
3. Top with chopped pecans.</t>
        </is>
      </c>
      <c r="AC1006" s="4" t="inlineStr">
        <is>
          <t>["Stir the vanilla and cinnamon into the yogurt.", "Layer yogurt and berries in two glasses.", "Top with chopped pecans."]</t>
        </is>
      </c>
    </row>
    <row r="1007" ht="96" customHeight="1">
      <c r="A1007" s="2" t="inlineStr">
        <is>
          <t>DB-1006</t>
        </is>
      </c>
      <c r="B1007" s="3" t="inlineStr">
        <is>
          <t>Blueberry Protein Pancakes</t>
        </is>
      </c>
      <c r="C1007" s="4" t="inlineStr">
        <is>
          <t>Breakfast</t>
        </is>
      </c>
      <c r="D1007" s="4" t="inlineStr">
        <is>
          <t>American</t>
        </is>
      </c>
      <c r="E1007" s="2" t="n">
        <v>3</v>
      </c>
      <c r="F1007" s="2" t="n">
        <v>10</v>
      </c>
      <c r="G1007" s="2" t="n">
        <v>12</v>
      </c>
      <c r="H1007" s="2" t="n">
        <v>22</v>
      </c>
      <c r="I1007" s="4" t="inlineStr">
        <is>
          <t>blueberry-protein-pancakes.jpg</t>
        </is>
      </c>
      <c r="J1007" s="3" t="inlineStr">
        <is>
          <t>Blueberry Protein Pancakes, healthy food photography, plated, natural light</t>
        </is>
      </c>
      <c r="K1007" s="4" t="inlineStr"/>
      <c r="L1007" s="3" t="inlineStr">
        <is>
          <t>Oat flour — 90 g (3.2 oz)
Egg, large (50 g each) — 150 g (5.3 oz)
Greek yogurt, plain 2% — 150 g (5.3 oz)
Blueberries — 100 g (3.5 oz)
Baking powder — 4 g (0.1 oz)
Vanilla extract — 3 g (0.1 oz)
Butter — 10 g (0.4 oz)</t>
        </is>
      </c>
      <c r="M1007" s="4" t="inlineStr">
        <is>
          <t>[{"ingredient_id": "oat_flour", "name": "Oat flour", "grams": 90.0, "note": ""}, {"ingredient_id": "egg", "name": "Egg, large (50 g each)", "grams": 150.0, "note": ""}, {"ingredient_id": "greek_yogurt", "name": "Greek yogurt, plain 2%", "grams": 150.0, "note": ""}, {"ingredient_id": "blueberries", "name": "Blueberries", "grams": 100.0, "note": ""}, {"ingredient_id": "baking_powder", "name": "Baking powder", "grams": 4.0, "note": ""}, {"ingredient_id": "vanilla_extract", "name": "Vanilla extract", "grams": 3.0, "note": ""}, {"ingredient_id": "butter", "name": "Butter", "grams": 10.0, "note": ""}]</t>
        </is>
      </c>
      <c r="N1007" s="2" t="n">
        <v>276</v>
      </c>
      <c r="O1007" s="5" t="n">
        <v>16.1</v>
      </c>
      <c r="P1007" s="5" t="n">
        <v>11.2</v>
      </c>
      <c r="Q1007" s="5" t="n">
        <v>27.5</v>
      </c>
      <c r="R1007" s="5" t="n">
        <v>2.8</v>
      </c>
      <c r="S1007" s="5" t="n">
        <v>24.7</v>
      </c>
      <c r="T1007" s="2" t="n">
        <v>49</v>
      </c>
      <c r="U1007" s="2" t="inlineStr">
        <is>
          <t>low</t>
        </is>
      </c>
      <c r="V1007" s="5" t="n">
        <v>12.1</v>
      </c>
      <c r="W1007" s="2" t="inlineStr">
        <is>
          <t>medium</t>
        </is>
      </c>
      <c r="X1007" s="3" t="inlineStr"/>
      <c r="Y1007" s="3" t="inlineStr">
        <is>
          <t>24% of this dish's available carbohydrate comes from ingredients with a published, measured GI; the rest uses conventional placeholders (see Ingredients sheet)</t>
        </is>
      </c>
      <c r="Z1007" s="2" t="n">
        <v>24</v>
      </c>
      <c r="AA1007" s="3" t="inlineStr">
        <is>
          <t>vegetarian, nut-free</t>
        </is>
      </c>
      <c r="AB1007" s="3" t="inlineStr">
        <is>
          <t>1. Whisk the oat flour, baking powder, eggs, yogurt and vanilla into a thick batter.
2. Fold in the blueberries.
3. Cook small pancakes in a buttered pan, 2 minutes a side.
4. Serve warm.</t>
        </is>
      </c>
      <c r="AC1007" s="4" t="inlineStr">
        <is>
          <t>["Whisk the oat flour, baking powder, eggs, yogurt and vanilla into a thick batter.", "Fold in the blueberries.", "Cook small pancakes in a buttered pan, 2 minutes a side.", "Serve warm."]</t>
        </is>
      </c>
    </row>
    <row r="1008" ht="96" customHeight="1">
      <c r="A1008" s="2" t="inlineStr">
        <is>
          <t>DB-1007</t>
        </is>
      </c>
      <c r="B1008" s="3" t="inlineStr">
        <is>
          <t>Almond Flour Waffles with Strawberries</t>
        </is>
      </c>
      <c r="C1008" s="4" t="inlineStr">
        <is>
          <t>Breakfast</t>
        </is>
      </c>
      <c r="D1008" s="4" t="inlineStr">
        <is>
          <t>American</t>
        </is>
      </c>
      <c r="E1008" s="2" t="n">
        <v>3</v>
      </c>
      <c r="F1008" s="2" t="n">
        <v>10</v>
      </c>
      <c r="G1008" s="2" t="n">
        <v>10</v>
      </c>
      <c r="H1008" s="2" t="n">
        <v>20</v>
      </c>
      <c r="I1008" s="4" t="inlineStr">
        <is>
          <t>almond-flour-waffles-with-strawberries.jpg</t>
        </is>
      </c>
      <c r="J1008" s="3" t="inlineStr">
        <is>
          <t>Almond Flour Waffles with Strawberries, healthy food photography, plated, natural light</t>
        </is>
      </c>
      <c r="K1008" s="4" t="inlineStr"/>
      <c r="L1008" s="3" t="inlineStr">
        <is>
          <t>Almond flour — 90 g (3.2 oz)
Egg, large (50 g each) — 150 g (5.3 oz)
Greek yogurt, plain 2% — 90 g (3.2 oz)
Baking powder — 4 g (0.1 oz)
Vanilla extract — 3 g (0.1 oz)
Strawberries — 150 g (5.3 oz)
Butter — 10 g (0.4 oz)</t>
        </is>
      </c>
      <c r="M1008" s="4" t="inlineStr">
        <is>
          <t>[{"ingredient_id": "almond_flour", "name": "Almond flour", "grams": 90.0, "note": ""}, {"ingredient_id": "egg", "name": "Egg, large (50 g each)", "grams": 150.0, "note": ""}, {"ingredient_id": "greek_yogurt", "name": "Greek yogurt, plain 2%", "grams": 90.0, "note": ""}, {"ingredient_id": "baking_powder", "name": "Baking powder", "grams": 4.0, "note": ""}, {"ingredient_id": "vanilla_extract", "name": "Vanilla extract", "grams": 3.0, "note": ""}, {"ingredient_id": "strawberries", "name": "Strawberries", "grams": 150.0, "note": ""}, {"ingredient_id": "butter", "name": "Butter", "grams": 10.0, "note": ""}]</t>
        </is>
      </c>
      <c r="N1008" s="2" t="n">
        <v>314</v>
      </c>
      <c r="O1008" s="5" t="n">
        <v>16</v>
      </c>
      <c r="P1008" s="5" t="n">
        <v>23.2</v>
      </c>
      <c r="Q1008" s="5" t="n">
        <v>12.2</v>
      </c>
      <c r="R1008" s="5" t="n">
        <v>4.6</v>
      </c>
      <c r="S1008" s="5" t="n">
        <v>7.6</v>
      </c>
      <c r="T1008" s="2" t="n">
        <v>22</v>
      </c>
      <c r="U1008" s="2" t="inlineStr">
        <is>
          <t>low</t>
        </is>
      </c>
      <c r="V1008" s="5" t="n">
        <v>1.7</v>
      </c>
      <c r="W1008" s="2" t="inlineStr">
        <is>
          <t>low</t>
        </is>
      </c>
      <c r="X1008" s="3" t="inlineStr"/>
      <c r="Y1008" s="3" t="inlineStr">
        <is>
          <t>53% of this dish's available carbohydrate comes from ingredients with a published, measured GI; the rest uses conventional placeholders (see Ingredients sheet)</t>
        </is>
      </c>
      <c r="Z1008" s="2" t="n">
        <v>53</v>
      </c>
      <c r="AA1008" s="3" t="inlineStr">
        <is>
          <t>vegetarian, gluten-free, low-carb</t>
        </is>
      </c>
      <c r="AB1008" s="3" t="inlineStr">
        <is>
          <t>1. Whisk the almond flour, baking powder, eggs, yogurt and vanilla.
2. Cook in a greased waffle iron until golden.
3. Slice the strawberries.
4. Serve the waffles topped with berries.</t>
        </is>
      </c>
      <c r="AC1008" s="4" t="inlineStr">
        <is>
          <t>["Whisk the almond flour, baking powder, eggs, yogurt and vanilla.", "Cook in a greased waffle iron until golden.", "Slice the strawberries.", "Serve the waffles topped with berries."]</t>
        </is>
      </c>
    </row>
    <row r="1009" ht="96" customHeight="1">
      <c r="A1009" s="2" t="inlineStr">
        <is>
          <t>DB-1008</t>
        </is>
      </c>
      <c r="B1009" s="3" t="inlineStr">
        <is>
          <t>Cottage Cheese Bowl with Peaches</t>
        </is>
      </c>
      <c r="C1009" s="4" t="inlineStr">
        <is>
          <t>Breakfast</t>
        </is>
      </c>
      <c r="D1009" s="4" t="inlineStr">
        <is>
          <t>American</t>
        </is>
      </c>
      <c r="E1009" s="2" t="n">
        <v>2</v>
      </c>
      <c r="F1009" s="2" t="n">
        <v>5</v>
      </c>
      <c r="G1009" s="2" t="n">
        <v>0</v>
      </c>
      <c r="H1009" s="2" t="n">
        <v>5</v>
      </c>
      <c r="I1009" s="4" t="inlineStr">
        <is>
          <t>cottage-cheese-bowl-with-peaches.jpg</t>
        </is>
      </c>
      <c r="J1009" s="3" t="inlineStr">
        <is>
          <t>Cottage Cheese Bowl with Peaches, healthy food photography, plated, natural light</t>
        </is>
      </c>
      <c r="K1009" s="4" t="inlineStr"/>
      <c r="L1009" s="3" t="inlineStr">
        <is>
          <t>Cottage cheese, low-fat — 400 g (14.1 oz)
Peach — 200 g (7.1 oz)
Almonds — 20 g (0.7 oz)
Ground cinnamon — 1 g (0.0 oz)
Hemp seeds — 10 g (0.4 oz)</t>
        </is>
      </c>
      <c r="M1009" s="4" t="inlineStr">
        <is>
          <t>[{"ingredient_id": "cottage_cheese", "name": "Cottage cheese, low-fat", "grams": 400.0, "note": ""}, {"ingredient_id": "peach", "name": "Peach", "grams": 200.0, "note": ""}, {"ingredient_id": "almonds", "name": "Almonds", "grams": 20.0, "note": ""}, {"ingredient_id": "cinnamon", "name": "Ground cinnamon", "grams": 1.0, "note": ""}, {"ingredient_id": "hemp_seeds", "name": "Hemp seeds", "grams": 10.0, "note": ""}]</t>
        </is>
      </c>
      <c r="N1009" s="2" t="n">
        <v>294</v>
      </c>
      <c r="O1009" s="5" t="n">
        <v>26.6</v>
      </c>
      <c r="P1009" s="5" t="n">
        <v>12.4</v>
      </c>
      <c r="Q1009" s="5" t="n">
        <v>21.1</v>
      </c>
      <c r="R1009" s="5" t="n">
        <v>3.2</v>
      </c>
      <c r="S1009" s="5" t="n">
        <v>17.9</v>
      </c>
      <c r="T1009" s="2" t="n">
        <v>31</v>
      </c>
      <c r="U1009" s="2" t="inlineStr">
        <is>
          <t>low</t>
        </is>
      </c>
      <c r="V1009" s="5" t="n">
        <v>5.6</v>
      </c>
      <c r="W1009" s="2" t="inlineStr">
        <is>
          <t>low</t>
        </is>
      </c>
      <c r="X1009" s="3" t="inlineStr"/>
      <c r="Y1009" s="3" t="inlineStr">
        <is>
          <t>45% of this dish's available carbohydrate comes from ingredients with a published, measured GI; the rest uses conventional placeholders (see Ingredients sheet)</t>
        </is>
      </c>
      <c r="Z1009" s="2" t="n">
        <v>45</v>
      </c>
      <c r="AA1009" s="3" t="inlineStr">
        <is>
          <t>vegetarian, gluten-free, high-protein, no-cook</t>
        </is>
      </c>
      <c r="AB1009" s="3" t="inlineStr">
        <is>
          <t>1. Divide the cottage cheese between two bowls.
2. Top with sliced peach, almonds and hemp seeds.
3. Dust with cinnamon.</t>
        </is>
      </c>
      <c r="AC1009" s="4" t="inlineStr">
        <is>
          <t>["Divide the cottage cheese between two bowls.", "Top with sliced peach, almonds and hemp seeds.", "Dust with cinnamon."]</t>
        </is>
      </c>
    </row>
    <row r="1010" ht="96" customHeight="1">
      <c r="A1010" s="2" t="inlineStr">
        <is>
          <t>DB-1009</t>
        </is>
      </c>
      <c r="B1010" s="3" t="inlineStr">
        <is>
          <t>Sweet Potato and Sausage Breakfast Hash</t>
        </is>
      </c>
      <c r="C1010" s="4" t="inlineStr">
        <is>
          <t>Breakfast</t>
        </is>
      </c>
      <c r="D1010" s="4" t="inlineStr">
        <is>
          <t>American</t>
        </is>
      </c>
      <c r="E1010" s="2" t="n">
        <v>3</v>
      </c>
      <c r="F1010" s="2" t="n">
        <v>15</v>
      </c>
      <c r="G1010" s="2" t="n">
        <v>20</v>
      </c>
      <c r="H1010" s="2" t="n">
        <v>35</v>
      </c>
      <c r="I1010" s="4" t="inlineStr">
        <is>
          <t>sweet-potato-and-sausage-breakfast-hash.jpg</t>
        </is>
      </c>
      <c r="J1010" s="3" t="inlineStr">
        <is>
          <t>Sweet Potato and Sausage Breakfast Hash, healthy food photography, plated, natural light</t>
        </is>
      </c>
      <c r="K1010" s="4" t="inlineStr"/>
      <c r="L1010" s="3" t="inlineStr">
        <is>
          <t>Sweet potato, boiled/simmered — 300 g (10.6 oz)
Turkey sausage — 200 g (7.1 oz)
Bell pepper — 120 g (4.2 oz)
Yellow onion — 80 g (2.8 oz)
Egg, large (50 g each) — 150 g (5.3 oz)
Extra-virgin olive oil — 15 g (0.5 oz)
Smoked paprika — 2 g (0.1 oz)
Salt — 2 g (0.1 oz)</t>
        </is>
      </c>
      <c r="M1010" s="4" t="inlineStr">
        <is>
          <t>[{"ingredient_id": "sweet_potato", "name": "Sweet potato, boiled/simmered", "grams": 300.0, "note": ""}, {"ingredient_id": "turkey_sausage", "name": "Turkey sausage", "grams": 200.0, "note": ""}, {"ingredient_id": "bell_pepper", "name": "Bell pepper", "grams": 120.0,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t>
        </is>
      </c>
      <c r="N1010" s="2" t="n">
        <v>330</v>
      </c>
      <c r="O1010" s="5" t="n">
        <v>18.7</v>
      </c>
      <c r="P1010" s="5" t="n">
        <v>16.7</v>
      </c>
      <c r="Q1010" s="5" t="n">
        <v>26.9</v>
      </c>
      <c r="R1010" s="5" t="n">
        <v>4.5</v>
      </c>
      <c r="S1010" s="5" t="n">
        <v>22.4</v>
      </c>
      <c r="T1010" s="2" t="n">
        <v>37</v>
      </c>
      <c r="U1010" s="2" t="inlineStr">
        <is>
          <t>low</t>
        </is>
      </c>
      <c r="V1010" s="5" t="n">
        <v>8.300000000000001</v>
      </c>
      <c r="W1010" s="2" t="inlineStr">
        <is>
          <t>low</t>
        </is>
      </c>
      <c r="X1010" s="3" t="inlineStr"/>
      <c r="Y1010" s="3" t="inlineStr">
        <is>
          <t>76% of this dish's available carbohydrate comes from ingredients with a published, measured GI; the rest uses conventional placeholders (see Ingredients sheet)</t>
        </is>
      </c>
      <c r="Z1010" s="2" t="n">
        <v>76</v>
      </c>
      <c r="AA1010" s="3" t="inlineStr">
        <is>
          <t>gluten-free, dairy-free, nut-free, one-pan</t>
        </is>
      </c>
      <c r="AB1010" s="3" t="inlineStr">
        <is>
          <t>1. Dice the sweet potato small and sauté in oil for 10 minutes.
2. Add the sausage, pepper and onion and cook 8 minutes.
3. Season with paprika and salt.
4. Make wells, crack in the eggs and cover until set.</t>
        </is>
      </c>
      <c r="AC1010" s="4" t="inlineStr">
        <is>
          <t>["Dice the sweet potato small and sauté in oil for 10 minutes.", "Add the sausage, pepper and onion and cook 8 minutes.", "Season with paprika and salt.", "Make wells, crack in the eggs and cover until set."]</t>
        </is>
      </c>
    </row>
    <row r="1011" ht="96" customHeight="1">
      <c r="A1011" s="2" t="inlineStr">
        <is>
          <t>DB-1010</t>
        </is>
      </c>
      <c r="B1011" s="3" t="inlineStr">
        <is>
          <t>Avocado Toast with Egg</t>
        </is>
      </c>
      <c r="C1011" s="4" t="inlineStr">
        <is>
          <t>Breakfast</t>
        </is>
      </c>
      <c r="D1011" s="4" t="inlineStr">
        <is>
          <t>American</t>
        </is>
      </c>
      <c r="E1011" s="2" t="n">
        <v>2</v>
      </c>
      <c r="F1011" s="2" t="n">
        <v>5</v>
      </c>
      <c r="G1011" s="2" t="n">
        <v>5</v>
      </c>
      <c r="H1011" s="2" t="n">
        <v>10</v>
      </c>
      <c r="I1011" s="4" t="inlineStr">
        <is>
          <t>avocado-toast-with-egg.jpg</t>
        </is>
      </c>
      <c r="J1011" s="3" t="inlineStr">
        <is>
          <t>Avocado Toast with Egg, healthy food photography, plated, natural light</t>
        </is>
      </c>
      <c r="K1011" s="4" t="inlineStr"/>
      <c r="L1011" s="3" t="inlineStr">
        <is>
          <t>Sprouted grain bread (Ezekiel-style) — 70 g (2.5 oz)
Avocado — 140 g (4.9 oz)
Egg, large (50 g each) — 100 g (3.5 oz)
Red pepper flakes — 1 g (0.0 oz)
Lemon juice — 5 g (0.2 oz)
Salt — 1 g (0.0 oz)</t>
        </is>
      </c>
      <c r="M1011" s="4" t="inlineStr">
        <is>
          <t>[{"ingredient_id": "ezekiel_bread", "name": "Sprouted grain bread (Ezekiel-style)", "grams": 70.0, "note": ""}, {"ingredient_id": "avocado", "name": "Avocado", "grams": 140.0, "note": ""}, {"ingredient_id": "egg", "name": "Egg, large (50 g each)", "grams": 100.0, "note": ""}, {"ingredient_id": "red_pepper_flakes", "name": "Red pepper flakes", "grams": 1.0, "note": ""}, {"ingredient_id": "lemon_juice", "name": "Lemon juice", "grams": 5.0, "note": ""}, {"ingredient_id": "salt", "name": "Salt", "grams": 1.0, "note": ""}]</t>
        </is>
      </c>
      <c r="N1011" s="2" t="n">
        <v>268</v>
      </c>
      <c r="O1011" s="5" t="n">
        <v>12</v>
      </c>
      <c r="P1011" s="5" t="n">
        <v>15.9</v>
      </c>
      <c r="Q1011" s="5" t="n">
        <v>22.2</v>
      </c>
      <c r="R1011" s="5" t="n">
        <v>8</v>
      </c>
      <c r="S1011" s="5" t="n">
        <v>14.2</v>
      </c>
      <c r="T1011" s="2" t="n">
        <v>55</v>
      </c>
      <c r="U1011" s="2" t="inlineStr">
        <is>
          <t>low</t>
        </is>
      </c>
      <c r="V1011" s="5" t="n">
        <v>7.8</v>
      </c>
      <c r="W1011" s="2" t="inlineStr">
        <is>
          <t>low</t>
        </is>
      </c>
      <c r="X1011" s="3" t="inlineStr"/>
      <c r="Y1011" s="3" t="inlineStr">
        <is>
          <t>86% of this dish's available carbohydrate comes from ingredients with a published, measured GI; the rest uses conventional placeholders (see Ingredients sheet)</t>
        </is>
      </c>
      <c r="Z1011" s="2" t="n">
        <v>86</v>
      </c>
      <c r="AA1011" s="3" t="inlineStr">
        <is>
          <t>vegetarian, gluten-free, dairy-free, nut-free, low-carb, high-fiber</t>
        </is>
      </c>
      <c r="AB1011" s="3" t="inlineStr">
        <is>
          <t>1. Toast the bread.
2. Mash the avocado with lemon juice and salt.
3. Fry or poach the eggs.
4. Spread, top with egg and a pinch of pepper flakes.</t>
        </is>
      </c>
      <c r="AC1011" s="4" t="inlineStr">
        <is>
          <t>["Toast the bread.", "Mash the avocado with lemon juice and salt.", "Fry or poach the eggs.", "Spread, top with egg and a pinch of pepper flakes."]</t>
        </is>
      </c>
    </row>
    <row r="1012" ht="96" customHeight="1">
      <c r="A1012" s="2" t="inlineStr">
        <is>
          <t>DB-1011</t>
        </is>
      </c>
      <c r="B1012" s="3" t="inlineStr">
        <is>
          <t>Spinach and Feta Egg Muffins</t>
        </is>
      </c>
      <c r="C1012" s="4" t="inlineStr">
        <is>
          <t>Breakfast</t>
        </is>
      </c>
      <c r="D1012" s="4" t="inlineStr">
        <is>
          <t>American</t>
        </is>
      </c>
      <c r="E1012" s="2" t="n">
        <v>4</v>
      </c>
      <c r="F1012" s="2" t="n">
        <v>10</v>
      </c>
      <c r="G1012" s="2" t="n">
        <v>20</v>
      </c>
      <c r="H1012" s="2" t="n">
        <v>30</v>
      </c>
      <c r="I1012" s="4" t="inlineStr">
        <is>
          <t>spinach-and-feta-egg-muffins.jpg</t>
        </is>
      </c>
      <c r="J1012" s="3" t="inlineStr">
        <is>
          <t>Spinach and Feta Egg Muffins, healthy food photography, plated, natural light</t>
        </is>
      </c>
      <c r="K1012" s="4" t="inlineStr"/>
      <c r="L1012" s="3" t="inlineStr">
        <is>
          <t>Egg, large (50 g each) — 300 g (10.6 oz)
Spinach — 100 g (3.5 oz)
Feta cheese — 60 g (2.1 oz)
Roasted red peppers, jarred — 60 g (2.1 oz)
Black pepper — 1 g (0.0 oz)
Extra-virgin olive oil — 5 g (0.2 oz)</t>
        </is>
      </c>
      <c r="M1012" s="4" t="inlineStr">
        <is>
          <t>[{"ingredient_id": "egg", "name": "Egg, large (50 g each)", "grams": 300.0, "note": ""}, {"ingredient_id": "spinach", "name": "Spinach", "grams": 100.0, "note": ""}, {"ingredient_id": "feta", "name": "Feta cheese", "grams": 60.0, "note": ""}, {"ingredient_id": "roasted_red_pepper", "name": "Roasted red peppers, jarred", "grams": 60.0, "note": ""}, {"ingredient_id": "black_pepper", "name": "Black pepper", "grams": 1.0, "note": ""}, {"ingredient_id": "olive_oil", "name": "Extra-virgin olive oil", "grams": 5.0, "note": ""}]</t>
        </is>
      </c>
      <c r="N1012" s="2" t="n">
        <v>169</v>
      </c>
      <c r="O1012" s="5" t="n">
        <v>12.4</v>
      </c>
      <c r="P1012" s="5" t="n">
        <v>11.7</v>
      </c>
      <c r="Q1012" s="5" t="n">
        <v>3.1</v>
      </c>
      <c r="R1012" s="5" t="n">
        <v>0.9</v>
      </c>
      <c r="S1012" s="5" t="n">
        <v>2.2</v>
      </c>
      <c r="T1012" s="2" t="n">
        <v>7</v>
      </c>
      <c r="U1012" s="2" t="inlineStr">
        <is>
          <t>low</t>
        </is>
      </c>
      <c r="V1012" s="5" t="n">
        <v>0.2</v>
      </c>
      <c r="W1012" s="2" t="inlineStr">
        <is>
          <t>low</t>
        </is>
      </c>
      <c r="X1012" s="3" t="inlineStr">
        <is>
          <t>Negligible carbohydrate (&lt;5 g net/serving): GI has little practical meaning, glycemic load is what matters.</t>
        </is>
      </c>
      <c r="Y1012" s="3" t="inlineStr">
        <is>
          <t>0% of this dish's available carbohydrate comes from ingredients with a published, measured GI; the rest uses conventional placeholders (see Ingredients sheet)</t>
        </is>
      </c>
      <c r="Z1012" s="2" t="n">
        <v>0</v>
      </c>
      <c r="AA1012" s="3" t="inlineStr">
        <is>
          <t>vegetarian, gluten-free, nut-free, low-carb, meal-prep</t>
        </is>
      </c>
      <c r="AB1012" s="3" t="inlineStr">
        <is>
          <t>1. Heat the oven to 350°F and oil a 6-cup muffin tin.
2. Chop the spinach and pepper and divide among the cups.
3. Pour in the beaten eggs and add the feta.
4. Bake 18 to 20 minutes.</t>
        </is>
      </c>
      <c r="AC1012" s="4" t="inlineStr">
        <is>
          <t>["Heat the oven to 350°F and oil a 6-cup muffin tin.", "Chop the spinach and pepper and divide among the cups.", "Pour in the beaten eggs and add the feta.", "Bake 18 to 20 minutes."]</t>
        </is>
      </c>
    </row>
    <row r="1013" ht="96" customHeight="1">
      <c r="A1013" s="2" t="inlineStr">
        <is>
          <t>DB-1012</t>
        </is>
      </c>
      <c r="B1013" s="3" t="inlineStr">
        <is>
          <t>Southwest Tofu Scramble</t>
        </is>
      </c>
      <c r="C1013" s="4" t="inlineStr">
        <is>
          <t>Breakfast</t>
        </is>
      </c>
      <c r="D1013" s="4" t="inlineStr">
        <is>
          <t>Tex-Mex</t>
        </is>
      </c>
      <c r="E1013" s="2" t="n">
        <v>2</v>
      </c>
      <c r="F1013" s="2" t="n">
        <v>10</v>
      </c>
      <c r="G1013" s="2" t="n">
        <v>10</v>
      </c>
      <c r="H1013" s="2" t="n">
        <v>20</v>
      </c>
      <c r="I1013" s="4" t="inlineStr">
        <is>
          <t>southwest-tofu-scramble.jpg</t>
        </is>
      </c>
      <c r="J1013" s="3" t="inlineStr">
        <is>
          <t>Southwest Tofu Scramble, healthy food photography, plated, natural light</t>
        </is>
      </c>
      <c r="K1013" s="4" t="inlineStr"/>
      <c r="L1013" s="3" t="inlineStr">
        <is>
          <t>Tofu, extra-firm — 300 g (10.6 oz)
Black beans, cooked — 100 g (3.5 oz)
Bell pepper — 100 g (3.5 oz)
Yellow onion — 50 g (1.8 oz)
Ground turmeric — 1 g (0.0 oz)
Ground cumin — 1 g (0.0 oz)
Salsa, no sugar added — 60 g (2.1 oz)
Extra-virgin olive oil — 10 g (0.4 oz)</t>
        </is>
      </c>
      <c r="M1013" s="4" t="inlineStr">
        <is>
          <t>[{"ingredient_id": "tofu", "name": "Tofu, extra-firm", "grams": 300.0, "note": ""}, {"ingredient_id": "black_beans", "name": "Black beans, cooked", "grams": 100.0, "note": ""}, {"ingredient_id": "bell_pepper", "name": "Bell pepper", "grams": 100.0, "note": ""}, {"ingredient_id": "onion", "name": "Yellow onion", "grams": 50.0, "note": ""}, {"ingredient_id": "turmeric", "name": "Ground turmeric", "grams": 1.0, "note": ""}, {"ingredient_id": "cumin", "name": "Ground cumin", "grams": 1.0, "note": ""}, {"ingredient_id": "salsa", "name": "Salsa, no sugar added", "grams": 60.0, "note": ""}, {"ingredient_id": "olive_oil", "name": "Extra-virgin olive oil", "grams": 10.0, "note": ""}]</t>
        </is>
      </c>
      <c r="N1013" s="2" t="n">
        <v>366</v>
      </c>
      <c r="O1013" s="5" t="n">
        <v>31.3</v>
      </c>
      <c r="P1013" s="5" t="n">
        <v>19.1</v>
      </c>
      <c r="Q1013" s="5" t="n">
        <v>24.3</v>
      </c>
      <c r="R1013" s="5" t="n">
        <v>9.4</v>
      </c>
      <c r="S1013" s="5" t="n">
        <v>14.9</v>
      </c>
      <c r="T1013" s="2" t="n">
        <v>24</v>
      </c>
      <c r="U1013" s="2" t="inlineStr">
        <is>
          <t>low</t>
        </is>
      </c>
      <c r="V1013" s="5" t="n">
        <v>3.6</v>
      </c>
      <c r="W1013" s="2" t="inlineStr">
        <is>
          <t>low</t>
        </is>
      </c>
      <c r="X1013" s="3" t="inlineStr"/>
      <c r="Y1013" s="3" t="inlineStr">
        <is>
          <t>50% of this dish's available carbohydrate comes from ingredients with a published, measured GI; the rest uses conventional placeholders (see Ingredients sheet)</t>
        </is>
      </c>
      <c r="Z1013" s="2" t="n">
        <v>50</v>
      </c>
      <c r="AA1013" s="3" t="inlineStr">
        <is>
          <t>vegan, gluten-free, dairy-free, nut-free, low-carb, high-protein, high-fiber</t>
        </is>
      </c>
      <c r="AB1013" s="3" t="inlineStr">
        <is>
          <t>1. Crumble the tofu and sauté with the onion and pepper in oil.
2. Stir in turmeric and cumin.
3. Add the beans and heat through.
4. Serve with salsa.</t>
        </is>
      </c>
      <c r="AC1013" s="4" t="inlineStr">
        <is>
          <t>["Crumble the tofu and sauté with the onion and pepper in oil.", "Stir in turmeric and cumin.", "Add the beans and heat through.", "Serve with salsa."]</t>
        </is>
      </c>
    </row>
    <row r="1014" ht="96" customHeight="1">
      <c r="A1014" s="2" t="inlineStr">
        <is>
          <t>DB-1013</t>
        </is>
      </c>
      <c r="B1014" s="3" t="inlineStr">
        <is>
          <t>Steel-Cut Oatmeal with Walnuts and Cinnamon Apples</t>
        </is>
      </c>
      <c r="C1014" s="4" t="inlineStr">
        <is>
          <t>Breakfast</t>
        </is>
      </c>
      <c r="D1014" s="4" t="inlineStr">
        <is>
          <t>American</t>
        </is>
      </c>
      <c r="E1014" s="2" t="n">
        <v>3</v>
      </c>
      <c r="F1014" s="2" t="n">
        <v>5</v>
      </c>
      <c r="G1014" s="2" t="n">
        <v>25</v>
      </c>
      <c r="H1014" s="2" t="n">
        <v>30</v>
      </c>
      <c r="I1014" s="4" t="inlineStr">
        <is>
          <t>steel-cut-oatmeal-with-walnuts-and-cinnamon-apples.jpg</t>
        </is>
      </c>
      <c r="J1014" s="3" t="inlineStr">
        <is>
          <t>Steel-Cut Oatmeal with Walnuts and Cinnamon Apples, healthy food photography, plated, natural light</t>
        </is>
      </c>
      <c r="K1014" s="4" t="inlineStr"/>
      <c r="L1014" s="3" t="inlineStr">
        <is>
          <t>Steel-cut oats, dry — 90 g (3.2 oz)
Water / ice — 600 g (21.2 oz)
Apple — 180 g (6.3 oz)
Ground cinnamon — 3 g (0.1 oz)
Walnuts — 30 g (1.1 oz)
Salt — 1 g (0.0 oz)</t>
        </is>
      </c>
      <c r="M1014" s="4" t="inlineStr">
        <is>
          <t>[{"ingredient_id": "steel_cut_oats", "name": "Steel-cut oats, dry", "grams": 90.0, "note": ""}, {"ingredient_id": "water", "name": "Water / ice", "grams": 600.0, "note": ""}, {"ingredient_id": "apple", "name": "Apple", "grams": 180.0, "note": ""}, {"ingredient_id": "cinnamon", "name": "Ground cinnamon", "grams": 3.0, "note": ""}, {"ingredient_id": "walnuts", "name": "Walnuts", "grams": 30.0, "note": ""}, {"ingredient_id": "salt", "name": "Salt", "grams": 1.0, "note": ""}]</t>
        </is>
      </c>
      <c r="N1014" s="2" t="n">
        <v>212</v>
      </c>
      <c r="O1014" s="5" t="n">
        <v>5.6</v>
      </c>
      <c r="P1014" s="5" t="n">
        <v>8.6</v>
      </c>
      <c r="Q1014" s="5" t="n">
        <v>30.7</v>
      </c>
      <c r="R1014" s="5" t="n">
        <v>5.6</v>
      </c>
      <c r="S1014" s="5" t="n">
        <v>25.1</v>
      </c>
      <c r="T1014" s="2" t="n">
        <v>46</v>
      </c>
      <c r="U1014" s="2" t="inlineStr">
        <is>
          <t>low</t>
        </is>
      </c>
      <c r="V1014" s="5" t="n">
        <v>11.5</v>
      </c>
      <c r="W1014" s="2" t="inlineStr">
        <is>
          <t>medium</t>
        </is>
      </c>
      <c r="X1014" s="3" t="inlineStr"/>
      <c r="Y1014" s="3" t="inlineStr">
        <is>
          <t>96% of this dish's available carbohydrate comes from ingredients with a published, measured GI; the rest uses conventional placeholders (see Ingredients sheet)</t>
        </is>
      </c>
      <c r="Z1014" s="2" t="n">
        <v>96</v>
      </c>
      <c r="AA1014" s="3" t="inlineStr">
        <is>
          <t>vegan, dairy-free</t>
        </is>
      </c>
      <c r="AB1014" s="3" t="inlineStr">
        <is>
          <t>1. Simmer the oats in water with salt for 20 minutes.
2. Cook the diced apple with cinnamon in a splash of water until tender.
3. Spoon the oats into bowls and top with apples and walnuts.</t>
        </is>
      </c>
      <c r="AC1014" s="4" t="inlineStr">
        <is>
          <t>["Simmer the oats in water with salt for 20 minutes.", "Cook the diced apple with cinnamon in a splash of water until tender.", "Spoon the oats into bowls and top with apples and walnuts."]</t>
        </is>
      </c>
    </row>
    <row r="1015" ht="96" customHeight="1">
      <c r="A1015" s="2" t="inlineStr">
        <is>
          <t>DB-1014</t>
        </is>
      </c>
      <c r="B1015" s="3" t="inlineStr">
        <is>
          <t>Smoked Salmon and Cream Cheese Cucumber Bites</t>
        </is>
      </c>
      <c r="C1015" s="4" t="inlineStr">
        <is>
          <t>Breakfast</t>
        </is>
      </c>
      <c r="D1015" s="4" t="inlineStr">
        <is>
          <t>American</t>
        </is>
      </c>
      <c r="E1015" s="2" t="n">
        <v>2</v>
      </c>
      <c r="F1015" s="2" t="n">
        <v>10</v>
      </c>
      <c r="G1015" s="2" t="n">
        <v>0</v>
      </c>
      <c r="H1015" s="2" t="n">
        <v>10</v>
      </c>
      <c r="I1015" s="4" t="inlineStr">
        <is>
          <t>smoked-salmon-and-cream-cheese-cucumber-bites.jpg</t>
        </is>
      </c>
      <c r="J1015" s="3" t="inlineStr">
        <is>
          <t>Smoked Salmon and Cream Cheese Cucumber Bites, healthy food photography, plated, natural light</t>
        </is>
      </c>
      <c r="K1015" s="4" t="inlineStr"/>
      <c r="L1015" s="3" t="inlineStr">
        <is>
          <t>Cucumber — 200 g (7.1 oz)
Cream cheese — 60 g (2.1 oz)
Smoked salmon — 80 g (2.8 oz)
Fresh dill — 3 g (0.1 oz)
Capers — 10 g (0.4 oz)
Black pepper — 1 g (0.0 oz)</t>
        </is>
      </c>
      <c r="M1015" s="4" t="inlineStr">
        <is>
          <t>[{"ingredient_id": "cucumber", "name": "Cucumber", "grams": 200.0, "note": ""}, {"ingredient_id": "cream_cheese", "name": "Cream cheese", "grams": 60.0, "note": ""}, {"ingredient_id": "smoked_salmon", "name": "Smoked salmon", "grams": 80.0, "note": ""}, {"ingredient_id": "dill", "name": "Fresh dill", "grams": 3.0, "note": ""}, {"ingredient_id": "capers", "name": "Capers", "grams": 10.0, "note": ""}, {"ingredient_id": "black_pepper", "name": "Black pepper", "grams": 1.0, "note": ""}]</t>
        </is>
      </c>
      <c r="N1015" s="2" t="n">
        <v>167</v>
      </c>
      <c r="O1015" s="5" t="n">
        <v>9.9</v>
      </c>
      <c r="P1015" s="5" t="n">
        <v>12.1</v>
      </c>
      <c r="Q1015" s="5" t="n">
        <v>5.5</v>
      </c>
      <c r="R1015" s="5" t="n">
        <v>0.8</v>
      </c>
      <c r="S1015" s="5" t="n">
        <v>4.7</v>
      </c>
      <c r="T1015" s="2" t="n">
        <v>11</v>
      </c>
      <c r="U1015" s="2" t="inlineStr">
        <is>
          <t>low</t>
        </is>
      </c>
      <c r="V1015" s="5" t="n">
        <v>0.5</v>
      </c>
      <c r="W1015" s="2" t="inlineStr">
        <is>
          <t>low</t>
        </is>
      </c>
      <c r="X1015" s="3" t="inlineStr">
        <is>
          <t>Negligible carbohydrate (&lt;5 g net/serving): GI has little practical meaning, glycemic load is what matters.</t>
        </is>
      </c>
      <c r="Y1015" s="3" t="inlineStr">
        <is>
          <t>0% of this dish's available carbohydrate comes from ingredients with a published, measured GI; the rest uses conventional placeholders (see Ingredients sheet)</t>
        </is>
      </c>
      <c r="Z1015" s="2" t="n">
        <v>0</v>
      </c>
      <c r="AA1015" s="3" t="inlineStr">
        <is>
          <t>pescatarian, gluten-free, nut-free, low-carb, no-cook</t>
        </is>
      </c>
      <c r="AB1015" s="3" t="inlineStr">
        <is>
          <t>1. Slice the cucumber into thick rounds.
2. Spread each with cream cheese.
3. Top with salmon, capers and dill.</t>
        </is>
      </c>
      <c r="AC1015" s="4" t="inlineStr">
        <is>
          <t>["Slice the cucumber into thick rounds.", "Spread each with cream cheese.", "Top with salmon, capers and dill."]</t>
        </is>
      </c>
    </row>
    <row r="1016" ht="96" customHeight="1">
      <c r="A1016" s="2" t="inlineStr">
        <is>
          <t>DB-1015</t>
        </is>
      </c>
      <c r="B1016" s="3" t="inlineStr">
        <is>
          <t>Turkey Bacon and Egg Cups</t>
        </is>
      </c>
      <c r="C1016" s="4" t="inlineStr">
        <is>
          <t>Breakfast</t>
        </is>
      </c>
      <c r="D1016" s="4" t="inlineStr">
        <is>
          <t>American</t>
        </is>
      </c>
      <c r="E1016" s="2" t="n">
        <v>3</v>
      </c>
      <c r="F1016" s="2" t="n">
        <v>10</v>
      </c>
      <c r="G1016" s="2" t="n">
        <v>18</v>
      </c>
      <c r="H1016" s="2" t="n">
        <v>28</v>
      </c>
      <c r="I1016" s="4" t="inlineStr">
        <is>
          <t>turkey-bacon-and-egg-cups.jpg</t>
        </is>
      </c>
      <c r="J1016" s="3" t="inlineStr">
        <is>
          <t>Turkey Bacon and Egg Cups, healthy food photography, plated, natural light</t>
        </is>
      </c>
      <c r="K1016" s="4" t="inlineStr"/>
      <c r="L1016" s="3" t="inlineStr">
        <is>
          <t>Turkey bacon — 90 g (3.2 oz)
Egg, large (50 g each) — 150 g (5.3 oz)
Cheddar cheese — 30 g (1.1 oz)
Fresh chives — 3 g (0.1 oz)
Black pepper — 1 g (0.0 oz)</t>
        </is>
      </c>
      <c r="M1016" s="4" t="inlineStr">
        <is>
          <t>[{"ingredient_id": "turkey_bacon", "name": "Turkey bacon", "grams": 90.0, "note": ""}, {"ingredient_id": "egg", "name": "Egg, large (50 g each)", "grams": 150.0, "note": ""}, {"ingredient_id": "cheddar", "name": "Cheddar cheese", "grams": 30.0, "note": ""}, {"ingredient_id": "chives", "name": "Fresh chives", "grams": 3.0, "note": ""}, {"ingredient_id": "black_pepper", "name": "Black pepper", "grams": 1.0, "note": ""}]</t>
        </is>
      </c>
      <c r="N1016" s="2" t="n">
        <v>178</v>
      </c>
      <c r="O1016" s="5" t="n">
        <v>14.1</v>
      </c>
      <c r="P1016" s="5" t="n">
        <v>12.6</v>
      </c>
      <c r="Q1016" s="5" t="n">
        <v>1.3</v>
      </c>
      <c r="R1016" s="5" t="n">
        <v>0.1</v>
      </c>
      <c r="S1016" s="5" t="n">
        <v>1.2</v>
      </c>
      <c r="T1016" s="2" t="n">
        <v>2</v>
      </c>
      <c r="U1016" s="2" t="inlineStr">
        <is>
          <t>low</t>
        </is>
      </c>
      <c r="V1016" s="5" t="n">
        <v>0</v>
      </c>
      <c r="W1016" s="2" t="inlineStr">
        <is>
          <t>low</t>
        </is>
      </c>
      <c r="X1016" s="3" t="inlineStr">
        <is>
          <t>Negligible carbohydrate (&lt;5 g net/serving): GI has little practical meaning, glycemic load is what matters.</t>
        </is>
      </c>
      <c r="Y1016" s="3" t="inlineStr">
        <is>
          <t>0% of this dish's available carbohydrate comes from ingredients with a published, measured GI; the rest uses conventional placeholders (see Ingredients sheet)</t>
        </is>
      </c>
      <c r="Z1016" s="2" t="n">
        <v>0</v>
      </c>
      <c r="AA1016" s="3" t="inlineStr">
        <is>
          <t>gluten-free, nut-free, low-carb</t>
        </is>
      </c>
      <c r="AB1016" s="3" t="inlineStr">
        <is>
          <t>1. Heat the oven to 375°F.
2. Line three muffin cups with turkey bacon.
3. Crack an egg into each and scatter with cheddar.
4. Bake 15 to 18 minutes and finish with chives.</t>
        </is>
      </c>
      <c r="AC1016" s="4" t="inlineStr">
        <is>
          <t>["Heat the oven to 375°F.", "Line three muffin cups with turkey bacon.", "Crack an egg into each and scatter with cheddar.", "Bake 15 to 18 minutes and finish with chives."]</t>
        </is>
      </c>
    </row>
    <row r="1017" ht="96" customHeight="1">
      <c r="A1017" s="2" t="inlineStr">
        <is>
          <t>DB-1016</t>
        </is>
      </c>
      <c r="B1017" s="3" t="inlineStr">
        <is>
          <t>Chia Pudding with Raspberries</t>
        </is>
      </c>
      <c r="C1017" s="4" t="inlineStr">
        <is>
          <t>Breakfast</t>
        </is>
      </c>
      <c r="D1017" s="4" t="inlineStr">
        <is>
          <t>American</t>
        </is>
      </c>
      <c r="E1017" s="2" t="n">
        <v>2</v>
      </c>
      <c r="F1017" s="2" t="n">
        <v>5</v>
      </c>
      <c r="G1017" s="2" t="n">
        <v>0</v>
      </c>
      <c r="H1017" s="2" t="n">
        <v>5</v>
      </c>
      <c r="I1017" s="4" t="inlineStr">
        <is>
          <t>chia-pudding-with-raspberries.jpg</t>
        </is>
      </c>
      <c r="J1017" s="3" t="inlineStr">
        <is>
          <t>Chia Pudding with Raspberries, healthy food photography, plated, natural light</t>
        </is>
      </c>
      <c r="K1017" s="4" t="inlineStr"/>
      <c r="L1017" s="3" t="inlineStr">
        <is>
          <t>Chia seeds — 40 g (1.4 oz)
Almond milk, unsweetened — 300 g (10.6 oz)
Raspberries — 120 g (4.2 oz)
Vanilla extract — 3 g (0.1 oz)
Monk fruit/erythritol sweetener — 2 g (0.1 oz)</t>
        </is>
      </c>
      <c r="M1017" s="4" t="inlineStr">
        <is>
          <t>[{"ingredient_id": "chia_seeds", "name": "Chia seeds", "grams": 40.0, "note": ""}, {"ingredient_id": "almond_milk", "name": "Almond milk, unsweetened", "grams": 300.0, "note": ""}, {"ingredient_id": "raspberries", "name": "Raspberries", "grams": 120.0, "note": ""}, {"ingredient_id": "vanilla_extract", "name": "Vanilla extract", "grams": 3.0, "note": ""}, {"ingredient_id": "monk_fruit_sweetener", "name": "Monk fruit/erythritol sweetener", "grams": 2.0, "note": ""}]</t>
        </is>
      </c>
      <c r="N1017" s="2" t="n">
        <v>155</v>
      </c>
      <c r="O1017" s="5" t="n">
        <v>5</v>
      </c>
      <c r="P1017" s="5" t="n">
        <v>8.4</v>
      </c>
      <c r="Q1017" s="5" t="n">
        <v>16.7</v>
      </c>
      <c r="R1017" s="5" t="n">
        <v>10.7</v>
      </c>
      <c r="S1017" s="5" t="n">
        <v>6</v>
      </c>
      <c r="T1017" s="2" t="n">
        <v>25</v>
      </c>
      <c r="U1017" s="2" t="inlineStr">
        <is>
          <t>low</t>
        </is>
      </c>
      <c r="V1017" s="5" t="n">
        <v>1.5</v>
      </c>
      <c r="W1017" s="2" t="inlineStr">
        <is>
          <t>low</t>
        </is>
      </c>
      <c r="X1017" s="3" t="inlineStr"/>
      <c r="Y1017" s="3" t="inlineStr">
        <is>
          <t>0% of this dish's available carbohydrate comes from ingredients with a published, measured GI; the rest uses conventional placeholders (see Ingredients sheet)</t>
        </is>
      </c>
      <c r="Z1017" s="2" t="n">
        <v>0</v>
      </c>
      <c r="AA1017" s="3" t="inlineStr">
        <is>
          <t>vegan, gluten-free, dairy-free, low-carb, high-fiber, no-cook, meal-prep</t>
        </is>
      </c>
      <c r="AB1017" s="3" t="inlineStr">
        <is>
          <t>1. Stir the chia, almond milk, vanilla and sweetener.
2. Refrigerate at least 4 hours, stirring once.
3. Top with raspberries.</t>
        </is>
      </c>
      <c r="AC1017" s="4" t="inlineStr">
        <is>
          <t>["Stir the chia, almond milk, vanilla and sweetener.", "Refrigerate at least 4 hours, stirring once.", "Top with raspberries."]</t>
        </is>
      </c>
    </row>
    <row r="1018" ht="96" customHeight="1">
      <c r="A1018" s="2" t="inlineStr">
        <is>
          <t>DB-1017</t>
        </is>
      </c>
      <c r="B1018" s="3" t="inlineStr">
        <is>
          <t>Peanut Butter Banana Oat Bowl</t>
        </is>
      </c>
      <c r="C1018" s="4" t="inlineStr">
        <is>
          <t>Breakfast</t>
        </is>
      </c>
      <c r="D1018" s="4" t="inlineStr">
        <is>
          <t>American</t>
        </is>
      </c>
      <c r="E1018" s="2" t="n">
        <v>2</v>
      </c>
      <c r="F1018" s="2" t="n">
        <v>5</v>
      </c>
      <c r="G1018" s="2" t="n">
        <v>5</v>
      </c>
      <c r="H1018" s="2" t="n">
        <v>10</v>
      </c>
      <c r="I1018" s="4" t="inlineStr">
        <is>
          <t>peanut-butter-banana-oat-bowl.jpg</t>
        </is>
      </c>
      <c r="J1018" s="3" t="inlineStr">
        <is>
          <t>Peanut Butter Banana Oat Bowl, healthy food photography, plated, natural light</t>
        </is>
      </c>
      <c r="K1018" s="4" t="inlineStr"/>
      <c r="L1018" s="3" t="inlineStr">
        <is>
          <t>Rolled oats, dry — 50 g (1.8 oz)
Milk, 2% — 300 g (10.6 oz)
Banana (small amount) — 70 g (2.5 oz)
Peanut butter, natural — 30 g (1.1 oz)
Ground cinnamon — 1 g (0.0 oz)</t>
        </is>
      </c>
      <c r="M1018" s="4" t="inlineStr">
        <is>
          <t>[{"ingredient_id": "rolled_oats", "name": "Rolled oats, dry", "grams": 50.0, "note": ""}, {"ingredient_id": "milk", "name": "Milk, 2%", "grams": 300.0, "note": ""}, {"ingredient_id": "banana", "name": "Banana (small amount)", "grams": 70.0, "note": ""}, {"ingredient_id": "peanut_butter", "name": "Peanut butter, natural", "grams": 30.0, "note": ""}, {"ingredient_id": "cinnamon", "name": "Ground cinnamon", "grams": 1.0, "note": ""}]</t>
        </is>
      </c>
      <c r="N1018" s="2" t="n">
        <v>290</v>
      </c>
      <c r="O1018" s="5" t="n">
        <v>12.4</v>
      </c>
      <c r="P1018" s="5" t="n">
        <v>12.2</v>
      </c>
      <c r="Q1018" s="5" t="n">
        <v>35.7</v>
      </c>
      <c r="R1018" s="5" t="n">
        <v>4.6</v>
      </c>
      <c r="S1018" s="5" t="n">
        <v>31.1</v>
      </c>
      <c r="T1018" s="2" t="n">
        <v>46</v>
      </c>
      <c r="U1018" s="2" t="inlineStr">
        <is>
          <t>low</t>
        </is>
      </c>
      <c r="V1018" s="5" t="n">
        <v>14.3</v>
      </c>
      <c r="W1018" s="2" t="inlineStr">
        <is>
          <t>medium</t>
        </is>
      </c>
      <c r="X1018" s="3" t="inlineStr"/>
      <c r="Y1018" s="3" t="inlineStr">
        <is>
          <t>93% of this dish's available carbohydrate comes from ingredients with a published, measured GI; the rest uses conventional placeholders (see Ingredients sheet)</t>
        </is>
      </c>
      <c r="Z1018" s="2" t="n">
        <v>93</v>
      </c>
      <c r="AA1018" s="3" t="inlineStr">
        <is>
          <t>vegetarian</t>
        </is>
      </c>
      <c r="AB1018" s="3" t="inlineStr">
        <is>
          <t>1. Simmer the oats in the milk for 5 minutes.
2. Stir in half the banana, mashed.
3. Top with sliced banana and a spoon of peanut butter each.</t>
        </is>
      </c>
      <c r="AC1018" s="4" t="inlineStr">
        <is>
          <t>["Simmer the oats in the milk for 5 minutes.", "Stir in half the banana, mashed.", "Top with sliced banana and a spoon of peanut butter each."]</t>
        </is>
      </c>
    </row>
    <row r="1019" ht="96" customHeight="1">
      <c r="A1019" s="2" t="inlineStr">
        <is>
          <t>DB-1018</t>
        </is>
      </c>
      <c r="B1019" s="3" t="inlineStr">
        <is>
          <t>Chicken Caesar Wrap</t>
        </is>
      </c>
      <c r="C1019" s="4" t="inlineStr">
        <is>
          <t>Sandwiches &amp; Wraps</t>
        </is>
      </c>
      <c r="D1019" s="4" t="inlineStr">
        <is>
          <t>American</t>
        </is>
      </c>
      <c r="E1019" s="2" t="n">
        <v>2</v>
      </c>
      <c r="F1019" s="2" t="n">
        <v>10</v>
      </c>
      <c r="G1019" s="2" t="n">
        <v>0</v>
      </c>
      <c r="H1019" s="2" t="n">
        <v>10</v>
      </c>
      <c r="I1019" s="4" t="inlineStr">
        <is>
          <t>chicken-caesar-wrap.jpg</t>
        </is>
      </c>
      <c r="J1019" s="3" t="inlineStr">
        <is>
          <t>Chicken Caesar Wrap, healthy food photography, plated, natural light</t>
        </is>
      </c>
      <c r="K1019" s="4" t="inlineStr"/>
      <c r="L1019" s="3" t="inlineStr">
        <is>
          <t>Low-carb high-fiber tortilla — 100 g (3.5 oz)
Rotisserie chicken, skin removed — 160 g (5.6 oz)
Romaine lettuce — 80 g (2.8 oz)
Parmesan, grated — 20 g (0.7 oz)
Greek yogurt, plain 2% — 40 g (1.4 oz)
Lemon juice — 10 g (0.4 oz)
Garlic — 3 g (0.1 oz)
Dijon mustard — 5 g (0.2 oz)</t>
        </is>
      </c>
      <c r="M1019" s="4" t="inlineStr">
        <is>
          <t>[{"ingredient_id": "low_carb_tortilla", "name": "Low-carb high-fiber tortilla", "grams": 100.0, "note": ""}, {"ingredient_id": "rotisserie_chicken", "name": "Rotisserie chicken, skin removed", "grams": 160.0, "note": ""}, {"ingredient_id": "romaine", "name": "Romaine lettuce", "grams": 80.0, "note": ""}, {"ingredient_id": "parmesan", "name": "Parmesan, grated", "grams": 20.0, "note": ""}, {"ingredient_id": "greek_yogurt", "name": "Greek yogurt, plain 2%", "grams": 40.0, "note": ""}, {"ingredient_id": "lemon_juice", "name": "Lemon juice", "grams": 10.0, "note": ""}, {"ingredient_id": "garlic", "name": "Garlic", "grams": 3.0, "note": ""}, {"ingredient_id": "dijon", "name": "Dijon mustard", "grams": 5.0, "note": ""}]</t>
        </is>
      </c>
      <c r="N1019" s="2" t="n">
        <v>322</v>
      </c>
      <c r="O1019" s="5" t="n">
        <v>30.9</v>
      </c>
      <c r="P1019" s="5" t="n">
        <v>13.1</v>
      </c>
      <c r="Q1019" s="5" t="n">
        <v>23.5</v>
      </c>
      <c r="R1019" s="5" t="n">
        <v>13.5</v>
      </c>
      <c r="S1019" s="5" t="n">
        <v>10</v>
      </c>
      <c r="T1019" s="2" t="n">
        <v>26</v>
      </c>
      <c r="U1019" s="2" t="inlineStr">
        <is>
          <t>low</t>
        </is>
      </c>
      <c r="V1019" s="5" t="n">
        <v>2.6</v>
      </c>
      <c r="W1019" s="2" t="inlineStr">
        <is>
          <t>low</t>
        </is>
      </c>
      <c r="X1019" s="3" t="inlineStr"/>
      <c r="Y1019" s="3" t="inlineStr">
        <is>
          <t>8% of this dish's available carbohydrate comes from ingredients with a published, measured GI; the rest uses conventional placeholders (see Ingredients sheet)</t>
        </is>
      </c>
      <c r="Z1019" s="2" t="n">
        <v>8</v>
      </c>
      <c r="AA1019" s="3" t="inlineStr">
        <is>
          <t>nut-free, low-carb, high-protein, high-fiber, no-cook</t>
        </is>
      </c>
      <c r="AB1019" s="3" t="inlineStr">
        <is>
          <t>1. Whisk the yogurt, lemon, garlic and mustard into a quick dressing.
2. Toss the shredded chicken and romaine with the dressing.
3. Spoon onto the tortillas, add parmesan and roll.</t>
        </is>
      </c>
      <c r="AC1019" s="4" t="inlineStr">
        <is>
          <t>["Whisk the yogurt, lemon, garlic and mustard into a quick dressing.", "Toss the shredded chicken and romaine with the dressing.", "Spoon onto the tortillas, add parmesan and roll."]</t>
        </is>
      </c>
    </row>
    <row r="1020" ht="96" customHeight="1">
      <c r="A1020" s="2" t="inlineStr">
        <is>
          <t>DB-1019</t>
        </is>
      </c>
      <c r="B1020" s="3" t="inlineStr">
        <is>
          <t>Tuna Salad Melt on Rye</t>
        </is>
      </c>
      <c r="C1020" s="4" t="inlineStr">
        <is>
          <t>Sandwiches &amp; Wraps</t>
        </is>
      </c>
      <c r="D1020" s="4" t="inlineStr">
        <is>
          <t>American</t>
        </is>
      </c>
      <c r="E1020" s="2" t="n">
        <v>2</v>
      </c>
      <c r="F1020" s="2" t="n">
        <v>10</v>
      </c>
      <c r="G1020" s="2" t="n">
        <v>5</v>
      </c>
      <c r="H1020" s="2" t="n">
        <v>15</v>
      </c>
      <c r="I1020" s="4" t="inlineStr">
        <is>
          <t>tuna-salad-melt-on-rye.jpg</t>
        </is>
      </c>
      <c r="J1020" s="3" t="inlineStr">
        <is>
          <t>Tuna Salad Melt on Rye, healthy food photography, plated, natural light</t>
        </is>
      </c>
      <c r="K1020" s="4" t="inlineStr"/>
      <c r="L1020" s="3" t="inlineStr">
        <is>
          <t>Tuna, canned in water — 240 g (8.5 oz)
Pumpernickel / whole rye bread — 80 g (2.8 oz)
Celery — 40 g (1.4 oz)
Greek yogurt, plain 2% — 50 g (1.8 oz)
Dijon mustard — 5 g (0.2 oz)
Cheddar cheese — 40 g (1.4 oz)
Dill pickles — 30 g (1.1 oz)</t>
        </is>
      </c>
      <c r="M1020" s="4" t="inlineStr">
        <is>
          <t>[{"ingredient_id": "tuna_canned", "name": "Tuna, canned in water", "grams": 240.0, "note": ""}, {"ingredient_id": "rye_bread", "name": "Pumpernickel / whole rye bread", "grams": 80.0, "note": ""}, {"ingredient_id": "celery", "name": "Celery", "grams": 40.0, "note": ""}, {"ingredient_id": "greek_yogurt", "name": "Greek yogurt, plain 2%", "grams": 50.0, "note": ""}, {"ingredient_id": "dijon", "name": "Dijon mustard", "grams": 5.0, "note": ""}, {"ingredient_id": "cheddar", "name": "Cheddar cheese", "grams": 40.0, "note": ""}, {"ingredient_id": "dill_pickle", "name": "Dill pickles", "grams": 30.0, "note": ""}]</t>
        </is>
      </c>
      <c r="N1020" s="2" t="n">
        <v>345</v>
      </c>
      <c r="O1020" s="5" t="n">
        <v>42.1</v>
      </c>
      <c r="P1020" s="5" t="n">
        <v>9.699999999999999</v>
      </c>
      <c r="Q1020" s="5" t="n">
        <v>21.1</v>
      </c>
      <c r="R1020" s="5" t="n">
        <v>3.2</v>
      </c>
      <c r="S1020" s="5" t="n">
        <v>18</v>
      </c>
      <c r="T1020" s="2" t="n">
        <v>46</v>
      </c>
      <c r="U1020" s="2" t="inlineStr">
        <is>
          <t>low</t>
        </is>
      </c>
      <c r="V1020" s="5" t="n">
        <v>8.300000000000001</v>
      </c>
      <c r="W1020" s="2" t="inlineStr">
        <is>
          <t>low</t>
        </is>
      </c>
      <c r="X1020" s="3" t="inlineStr"/>
      <c r="Y1020" s="3" t="inlineStr">
        <is>
          <t>96% of this dish's available carbohydrate comes from ingredients with a published, measured GI; the rest uses conventional placeholders (see Ingredients sheet)</t>
        </is>
      </c>
      <c r="Z1020" s="2" t="n">
        <v>96</v>
      </c>
      <c r="AA1020" s="3" t="inlineStr">
        <is>
          <t>pescatarian, nut-free, high-protein</t>
        </is>
      </c>
      <c r="AB1020" s="3" t="inlineStr">
        <is>
          <t>1. Mix the tuna, celery, chopped pickle, yogurt and mustard.
2. Pile onto the bread and top with cheddar.
3. Broil 3 minutes until the cheese melts.</t>
        </is>
      </c>
      <c r="AC1020" s="4" t="inlineStr">
        <is>
          <t>["Mix the tuna, celery, chopped pickle, yogurt and mustard.", "Pile onto the bread and top with cheddar.", "Broil 3 minutes until the cheese melts."]</t>
        </is>
      </c>
    </row>
    <row r="1021" ht="96" customHeight="1">
      <c r="A1021" s="2" t="inlineStr">
        <is>
          <t>DB-1020</t>
        </is>
      </c>
      <c r="B1021" s="3" t="inlineStr">
        <is>
          <t>Grilled Chicken Avocado Sandwich</t>
        </is>
      </c>
      <c r="C1021" s="4" t="inlineStr">
        <is>
          <t>Sandwiches &amp; Wraps</t>
        </is>
      </c>
      <c r="D1021" s="4" t="inlineStr">
        <is>
          <t>American</t>
        </is>
      </c>
      <c r="E1021" s="2" t="n">
        <v>2</v>
      </c>
      <c r="F1021" s="2" t="n">
        <v>10</v>
      </c>
      <c r="G1021" s="2" t="n">
        <v>10</v>
      </c>
      <c r="H1021" s="2" t="n">
        <v>20</v>
      </c>
      <c r="I1021" s="4" t="inlineStr">
        <is>
          <t>grilled-chicken-avocado-sandwich.jpg</t>
        </is>
      </c>
      <c r="J1021" s="3" t="inlineStr">
        <is>
          <t>Grilled Chicken Avocado Sandwich, healthy food photography, plated, natural light</t>
        </is>
      </c>
      <c r="K1021" s="4" t="inlineStr"/>
      <c r="L1021" s="3" t="inlineStr">
        <is>
          <t>Chicken breast, skinless — 240 g (8.5 oz)
Whole wheat bread (100% whole wheat) — 90 g (3.2 oz)
Avocado — 100 g (3.5 oz)
Tomato — 100 g (3.5 oz)
Arugula — 20 g (0.7 oz)
Dijon mustard — 5 g (0.2 oz)
Extra-virgin olive oil — 5 g (0.2 oz)</t>
        </is>
      </c>
      <c r="M1021" s="4" t="inlineStr">
        <is>
          <t>[{"ingredient_id": "chicken_breast", "name": "Chicken breast, skinless", "grams": 240.0, "note": ""}, {"ingredient_id": "whole_grain_bread", "name": "Whole wheat bread (100% whole wheat)", "grams": 90.0, "note": ""}, {"ingredient_id": "avocado", "name": "Avocado", "grams": 100.0, "note": ""}, {"ingredient_id": "tomato", "name": "Tomato", "grams": 100.0, "note": ""}, {"ingredient_id": "arugula", "name": "Arugula", "grams": 20.0, "note": ""}, {"ingredient_id": "dijon", "name": "Dijon mustard", "grams": 5.0, "note": ""}, {"ingredient_id": "olive_oil", "name": "Extra-virgin olive oil", "grams": 5.0, "note": ""}]</t>
        </is>
      </c>
      <c r="N1021" s="2" t="n">
        <v>372</v>
      </c>
      <c r="O1021" s="5" t="n">
        <v>34.2</v>
      </c>
      <c r="P1021" s="5" t="n">
        <v>14.9</v>
      </c>
      <c r="Q1021" s="5" t="n">
        <v>26</v>
      </c>
      <c r="R1021" s="5" t="n">
        <v>7.1</v>
      </c>
      <c r="S1021" s="5" t="n">
        <v>18.9</v>
      </c>
      <c r="T1021" s="2" t="n">
        <v>64</v>
      </c>
      <c r="U1021" s="2" t="inlineStr">
        <is>
          <t>medium</t>
        </is>
      </c>
      <c r="V1021" s="5" t="n">
        <v>12.1</v>
      </c>
      <c r="W1021" s="2" t="inlineStr">
        <is>
          <t>medium</t>
        </is>
      </c>
      <c r="X1021" s="3" t="inlineStr">
        <is>
          <t>Medium-GI dish: keep to the stated portion and pair with the protein/fat in the recipe; GL per serving is the better guide.</t>
        </is>
      </c>
      <c r="Y1021" s="3" t="inlineStr">
        <is>
          <t>87% of this dish's available carbohydrate comes from ingredients with a published, measured GI; the rest uses conventional placeholders (see Ingredients sheet)</t>
        </is>
      </c>
      <c r="Z1021" s="2" t="n">
        <v>87</v>
      </c>
      <c r="AA1021" s="3" t="inlineStr">
        <is>
          <t>dairy-free, nut-free, high-protein, high-fiber</t>
        </is>
      </c>
      <c r="AB1021" s="3" t="inlineStr">
        <is>
          <t>1. Pound the chicken thin, brush with oil and grill 4 minutes a side.
2. Toast the bread and spread with mashed avocado and mustard.
3. Layer chicken, tomato and arugula.</t>
        </is>
      </c>
      <c r="AC1021" s="4" t="inlineStr">
        <is>
          <t>["Pound the chicken thin, brush with oil and grill 4 minutes a side.", "Toast the bread and spread with mashed avocado and mustard.", "Layer chicken, tomato and arugula."]</t>
        </is>
      </c>
    </row>
    <row r="1022" ht="96" customHeight="1">
      <c r="A1022" s="2" t="inlineStr">
        <is>
          <t>DB-1021</t>
        </is>
      </c>
      <c r="B1022" s="3" t="inlineStr">
        <is>
          <t>Turkey Burger Lettuce Wrap</t>
        </is>
      </c>
      <c r="C1022" s="4" t="inlineStr">
        <is>
          <t>Sandwiches &amp; Wraps</t>
        </is>
      </c>
      <c r="D1022" s="4" t="inlineStr">
        <is>
          <t>American</t>
        </is>
      </c>
      <c r="E1022" s="2" t="n">
        <v>3</v>
      </c>
      <c r="F1022" s="2" t="n">
        <v>10</v>
      </c>
      <c r="G1022" s="2" t="n">
        <v>12</v>
      </c>
      <c r="H1022" s="2" t="n">
        <v>22</v>
      </c>
      <c r="I1022" s="4" t="inlineStr">
        <is>
          <t>turkey-burger-lettuce-wrap.jpg</t>
        </is>
      </c>
      <c r="J1022" s="3" t="inlineStr">
        <is>
          <t>Turkey Burger Lettuce Wrap, healthy food photography, plated, natural light</t>
        </is>
      </c>
      <c r="K1022" s="4" t="inlineStr"/>
      <c r="L1022" s="3" t="inlineStr">
        <is>
          <t>Ground turkey 93% lean — 450 g (15.9 oz)
Butter lettuce — 120 g (4.2 oz)
Tomato — 120 g (4.2 oz)
Red onion — 40 g (1.4 oz)
Dill pickles — 40 g (1.4 oz)
Yellow mustard — 10 g (0.4 oz)
Egg, large (50 g each) — 50 g (1.8 oz)
Smoked paprika — 2 g (0.1 oz)
Salt — 2 g (0.1 oz)</t>
        </is>
      </c>
      <c r="M1022" s="4" t="inlineStr">
        <is>
          <t>[{"ingredient_id": "ground_turkey", "name": "Ground turkey 93% lean", "grams": 450.0, "note": ""}, {"ingredient_id": "butter_lettuce", "name": "Butter lettuce", "grams": 120.0, "note": ""}, {"ingredient_id": "tomato", "name": "Tomato", "grams": 120.0, "note": ""}, {"ingredient_id": "red_onion", "name": "Red onion", "grams": 40.0, "note": ""}, {"ingredient_id": "dill_pickle", "name": "Dill pickles", "grams": 40.0, "note": ""}, {"ingredient_id": "yellow_mustard", "name": "Yellow mustard", "grams": 10.0, "note": ""}, {"ingredient_id": "egg", "name": "Egg, large (50 g each)", "grams": 50.0, "note": ""}, {"ingredient_id": "smoked_paprika", "name": "Smoked paprika", "grams": 2.0, "note": ""}, {"ingredient_id": "salt", "name": "Salt", "grams": 2.0, "note": ""}]</t>
        </is>
      </c>
      <c r="N1022" s="2" t="n">
        <v>272</v>
      </c>
      <c r="O1022" s="5" t="n">
        <v>31.5</v>
      </c>
      <c r="P1022" s="5" t="n">
        <v>14</v>
      </c>
      <c r="Q1022" s="5" t="n">
        <v>4.6</v>
      </c>
      <c r="R1022" s="5" t="n">
        <v>1.6</v>
      </c>
      <c r="S1022" s="5" t="n">
        <v>3</v>
      </c>
      <c r="T1022" s="2" t="n">
        <v>14</v>
      </c>
      <c r="U1022" s="2" t="inlineStr">
        <is>
          <t>low</t>
        </is>
      </c>
      <c r="V1022" s="5" t="n">
        <v>0.4</v>
      </c>
      <c r="W1022" s="2" t="inlineStr">
        <is>
          <t>low</t>
        </is>
      </c>
      <c r="X1022" s="3" t="inlineStr">
        <is>
          <t>Negligible carbohydrate (&lt;5 g net/serving): GI has little practical meaning, glycemic load is what matters.</t>
        </is>
      </c>
      <c r="Y1022" s="3" t="inlineStr">
        <is>
          <t>0% of this dish's available carbohydrate comes from ingredients with a published, measured GI; the rest uses conventional placeholders (see Ingredients sheet)</t>
        </is>
      </c>
      <c r="Z1022" s="2" t="n">
        <v>0</v>
      </c>
      <c r="AA1022" s="3" t="inlineStr">
        <is>
          <t>gluten-free, dairy-free, nut-free, low-carb, high-protein</t>
        </is>
      </c>
      <c r="AB1022" s="3" t="inlineStr">
        <is>
          <t>1. Mix the turkey, egg, paprika and salt and shape three patties.
2. Grill or pan-sear 5 to 6 minutes a side.
3. Wrap each patty in lettuce with tomato, onion, pickle and mustard.</t>
        </is>
      </c>
      <c r="AC1022" s="4" t="inlineStr">
        <is>
          <t>["Mix the turkey, egg, paprika and salt and shape three patties.", "Grill or pan-sear 5 to 6 minutes a side.", "Wrap each patty in lettuce with tomato, onion, pickle and mustard."]</t>
        </is>
      </c>
    </row>
    <row r="1023" ht="96" customHeight="1">
      <c r="A1023" s="2" t="inlineStr">
        <is>
          <t>DB-1022</t>
        </is>
      </c>
      <c r="B1023" s="3" t="inlineStr">
        <is>
          <t>Philly Cheesesteak Stuffed Peppers</t>
        </is>
      </c>
      <c r="C1023" s="4" t="inlineStr">
        <is>
          <t>Sandwiches &amp; Wraps</t>
        </is>
      </c>
      <c r="D1023" s="4" t="inlineStr">
        <is>
          <t>American</t>
        </is>
      </c>
      <c r="E1023" s="2" t="n">
        <v>4</v>
      </c>
      <c r="F1023" s="2" t="n">
        <v>15</v>
      </c>
      <c r="G1023" s="2" t="n">
        <v>25</v>
      </c>
      <c r="H1023" s="2" t="n">
        <v>40</v>
      </c>
      <c r="I1023" s="4" t="inlineStr">
        <is>
          <t>philly-cheesesteak-stuffed-peppers.jpg</t>
        </is>
      </c>
      <c r="J1023" s="3" t="inlineStr">
        <is>
          <t>Philly Cheesesteak Stuffed Peppers, healthy food photography, plated, natural light</t>
        </is>
      </c>
      <c r="K1023" s="4" t="inlineStr"/>
      <c r="L1023" s="3" t="inlineStr">
        <is>
          <t>Bell pepper — 500 g (17.6 oz)
Flank steak — 400 g (14.1 oz)
Yellow onion — 120 g (4.2 oz)
Mushrooms (cremini/white) — 120 g (4.2 oz)
Swiss cheese — 80 g (2.8 oz)
Extra-virgin olive oil — 15 g (0.5 oz)
Black pepper — 1 g (0.0 oz)
Salt — 2 g (0.1 oz)</t>
        </is>
      </c>
      <c r="M1023" s="4" t="inlineStr">
        <is>
          <t>[{"ingredient_id": "bell_pepper", "name": "Bell pepper", "grams": 500.0, "note": ""}, {"ingredient_id": "flank_steak", "name": "Flank steak", "grams": 400.0, "note": ""}, {"ingredient_id": "onion", "name": "Yellow onion", "grams": 120.0, "note": ""}, {"ingredient_id": "mushrooms", "name": "Mushrooms (cremini/white)", "grams": 120.0, "note": ""}, {"ingredient_id": "swiss_cheese", "name": "Swiss cheese", "grams": 80.0, "note": ""}, {"ingredient_id": "olive_oil", "name": "Extra-virgin olive oil", "grams": 15.0, "note": ""}, {"ingredient_id": "black_pepper", "name": "Black pepper", "grams": 1.0, "note": ""}, {"ingredient_id": "salt", "name": "Salt", "grams": 2.0, "note": ""}]</t>
        </is>
      </c>
      <c r="N1023" s="2" t="n">
        <v>317</v>
      </c>
      <c r="O1023" s="5" t="n">
        <v>28.9</v>
      </c>
      <c r="P1023" s="5" t="n">
        <v>16.9</v>
      </c>
      <c r="Q1023" s="5" t="n">
        <v>11.7</v>
      </c>
      <c r="R1023" s="5" t="n">
        <v>3.5</v>
      </c>
      <c r="S1023" s="5" t="n">
        <v>8.199999999999999</v>
      </c>
      <c r="T1023" s="2" t="n">
        <v>14</v>
      </c>
      <c r="U1023" s="2" t="inlineStr">
        <is>
          <t>low</t>
        </is>
      </c>
      <c r="V1023" s="5" t="n">
        <v>1.2</v>
      </c>
      <c r="W1023" s="2" t="inlineStr">
        <is>
          <t>low</t>
        </is>
      </c>
      <c r="X1023" s="3" t="inlineStr"/>
      <c r="Y1023" s="3" t="inlineStr">
        <is>
          <t>0% of this dish's available carbohydrate comes from ingredients with a published, measured GI; the rest uses conventional placeholders (see Ingredients sheet)</t>
        </is>
      </c>
      <c r="Z1023" s="2" t="n">
        <v>0</v>
      </c>
      <c r="AA1023" s="3" t="inlineStr">
        <is>
          <t>gluten-free, nut-free, low-carb, high-protein</t>
        </is>
      </c>
      <c r="AB1023" s="3" t="inlineStr">
        <is>
          <t>1. Halve the peppers and roast them cut-side up for 10 minutes at 400°F.
2. Slice the steak thin and sear with the onion and mushrooms in oil.
3. Fill the peppers, top with Swiss and bake 8 minutes.</t>
        </is>
      </c>
      <c r="AC1023" s="4" t="inlineStr">
        <is>
          <t>["Halve the peppers and roast them cut-side up for 10 minutes at 400°F.", "Slice the steak thin and sear with the onion and mushrooms in oil.", "Fill the peppers, top with Swiss and bake 8 minutes."]</t>
        </is>
      </c>
    </row>
    <row r="1024" ht="96" customHeight="1">
      <c r="A1024" s="2" t="inlineStr">
        <is>
          <t>DB-1023</t>
        </is>
      </c>
      <c r="B1024" s="3" t="inlineStr">
        <is>
          <t>Egg Salad on Ezekiel Toast</t>
        </is>
      </c>
      <c r="C1024" s="4" t="inlineStr">
        <is>
          <t>Sandwiches &amp; Wraps</t>
        </is>
      </c>
      <c r="D1024" s="4" t="inlineStr">
        <is>
          <t>American</t>
        </is>
      </c>
      <c r="E1024" s="2" t="n">
        <v>2</v>
      </c>
      <c r="F1024" s="2" t="n">
        <v>15</v>
      </c>
      <c r="G1024" s="2" t="n">
        <v>10</v>
      </c>
      <c r="H1024" s="2" t="n">
        <v>25</v>
      </c>
      <c r="I1024" s="4" t="inlineStr">
        <is>
          <t>egg-salad-on-ezekiel-toast.jpg</t>
        </is>
      </c>
      <c r="J1024" s="3" t="inlineStr">
        <is>
          <t>Egg Salad on Ezekiel Toast, healthy food photography, plated, natural light</t>
        </is>
      </c>
      <c r="K1024" s="4" t="inlineStr"/>
      <c r="L1024" s="3" t="inlineStr">
        <is>
          <t>Egg, large (50 g each) — 250 g (8.8 oz)
Sprouted grain bread (Ezekiel-style) — 70 g (2.5 oz)
Greek yogurt, plain 2% — 40 g (1.4 oz)
Dijon mustard — 5 g (0.2 oz)
Celery — 30 g (1.1 oz)
Fresh chives — 3 g (0.1 oz)
Paprika — 1 g (0.0 oz)</t>
        </is>
      </c>
      <c r="M1024" s="4" t="inlineStr">
        <is>
          <t>[{"ingredient_id": "egg", "name": "Egg, large (50 g each)", "grams": 250.0, "note": ""}, {"ingredient_id": "ezekiel_bread", "name": "Sprouted grain bread (Ezekiel-style)", "grams": 70.0, "note": ""}, {"ingredient_id": "greek_yogurt", "name": "Greek yogurt, plain 2%", "grams": 40.0, "note": ""}, {"ingredient_id": "dijon", "name": "Dijon mustard", "grams": 5.0, "note": ""}, {"ingredient_id": "celery", "name": "Celery", "grams": 30.0, "note": ""}, {"ingredient_id": "chives", "name": "Fresh chives", "grams": 3.0, "note": ""}, {"ingredient_id": "paprika", "name": "Paprika", "grams": 1.0, "note": ""}]</t>
        </is>
      </c>
      <c r="N1024" s="2" t="n">
        <v>282</v>
      </c>
      <c r="O1024" s="5" t="n">
        <v>22.3</v>
      </c>
      <c r="P1024" s="5" t="n">
        <v>13</v>
      </c>
      <c r="Q1024" s="5" t="n">
        <v>18</v>
      </c>
      <c r="R1024" s="5" t="n">
        <v>3.7</v>
      </c>
      <c r="S1024" s="5" t="n">
        <v>14.3</v>
      </c>
      <c r="T1024" s="2" t="n">
        <v>54</v>
      </c>
      <c r="U1024" s="2" t="inlineStr">
        <is>
          <t>low</t>
        </is>
      </c>
      <c r="V1024" s="5" t="n">
        <v>7.7</v>
      </c>
      <c r="W1024" s="2" t="inlineStr">
        <is>
          <t>low</t>
        </is>
      </c>
      <c r="X1024" s="3" t="inlineStr"/>
      <c r="Y1024" s="3" t="inlineStr">
        <is>
          <t>91% of this dish's available carbohydrate comes from ingredients with a published, measured GI; the rest uses conventional placeholders (see Ingredients sheet)</t>
        </is>
      </c>
      <c r="Z1024" s="2" t="n">
        <v>91</v>
      </c>
      <c r="AA1024" s="3" t="inlineStr">
        <is>
          <t>vegetarian, gluten-free, nut-free, low-carb</t>
        </is>
      </c>
      <c r="AB1024" s="3" t="inlineStr">
        <is>
          <t>1. Hard-boil the eggs for 10 minutes, cool and chop.
2. Fold in the yogurt, mustard, celery and chives.
3. Pile onto the toast and dust with paprika.</t>
        </is>
      </c>
      <c r="AC1024" s="4" t="inlineStr">
        <is>
          <t>["Hard-boil the eggs for 10 minutes, cool and chop.", "Fold in the yogurt, mustard, celery and chives.", "Pile onto the toast and dust with paprika."]</t>
        </is>
      </c>
    </row>
    <row r="1025" ht="96" customHeight="1">
      <c r="A1025" s="2" t="inlineStr">
        <is>
          <t>DB-1024</t>
        </is>
      </c>
      <c r="B1025" s="3" t="inlineStr">
        <is>
          <t>Pulled Chicken BBQ Sandwich</t>
        </is>
      </c>
      <c r="C1025" s="4" t="inlineStr">
        <is>
          <t>Sandwiches &amp; Wraps</t>
        </is>
      </c>
      <c r="D1025" s="4" t="inlineStr">
        <is>
          <t>American</t>
        </is>
      </c>
      <c r="E1025" s="2" t="n">
        <v>4</v>
      </c>
      <c r="F1025" s="2" t="n">
        <v>15</v>
      </c>
      <c r="G1025" s="2" t="n">
        <v>25</v>
      </c>
      <c r="H1025" s="2" t="n">
        <v>40</v>
      </c>
      <c r="I1025" s="4" t="inlineStr">
        <is>
          <t>pulled-chicken-bbq-sandwich.jpg</t>
        </is>
      </c>
      <c r="J1025" s="3" t="inlineStr">
        <is>
          <t>Pulled Chicken BBQ Sandwich, healthy food photography, plated, natural light</t>
        </is>
      </c>
      <c r="K1025" s="4" t="inlineStr"/>
      <c r="L1025" s="3" t="inlineStr">
        <is>
          <t>Chicken breast, skinless — 560 g (19.8 oz)
Tomato paste — 60 g (2.1 oz)
Apple cider vinegar — 30 g (1.1 oz)
Smoked paprika — 4 g (0.1 oz)
Garlic powder — 3 g (0.1 oz)
Monk fruit/erythritol sweetener — 5 g (0.2 oz)
Whole wheat English muffin — 228 g (8.0 oz)
Coleslaw mix (cabbage &amp; carrot) — 120 g (4.2 oz)</t>
        </is>
      </c>
      <c r="M1025" s="4" t="inlineStr">
        <is>
          <t>[{"ingredient_id": "chicken_breast", "name": "Chicken breast, skinless", "grams": 560.0, "note": ""}, {"ingredient_id": "tomato_paste", "name": "Tomato paste", "grams": 60.0, "note": ""}, {"ingredient_id": "apple_cider_vinegar", "name": "Apple cider vinegar", "grams": 30.0, "note": ""}, {"ingredient_id": "smoked_paprika", "name": "Smoked paprika", "grams": 4.0, "note": ""}, {"ingredient_id": "garlic_powder", "name": "Garlic powder", "grams": 3.0, "note": ""}, {"ingredient_id": "monk_fruit_sweetener", "name": "Monk fruit/erythritol sweetener", "grams": 5.0, "note": ""}, {"ingredient_id": "whole_wheat_english_muffin", "name": "Whole wheat English muffin", "grams": 228.0, "note": ""}, {"ingredient_id": "coleslaw_mix", "name": "Coleslaw mix (cabbage &amp; carrot)", "grams": 120.0, "note": ""}]</t>
        </is>
      </c>
      <c r="N1025" s="2" t="n">
        <v>321</v>
      </c>
      <c r="O1025" s="5" t="n">
        <v>37.9</v>
      </c>
      <c r="P1025" s="5" t="n">
        <v>5</v>
      </c>
      <c r="Q1025" s="5" t="n">
        <v>31.5</v>
      </c>
      <c r="R1025" s="5" t="n">
        <v>5.7</v>
      </c>
      <c r="S1025" s="5" t="n">
        <v>25.7</v>
      </c>
      <c r="T1025" s="2" t="n">
        <v>42</v>
      </c>
      <c r="U1025" s="2" t="inlineStr">
        <is>
          <t>low</t>
        </is>
      </c>
      <c r="V1025" s="5" t="n">
        <v>10.8</v>
      </c>
      <c r="W1025" s="2" t="inlineStr">
        <is>
          <t>medium</t>
        </is>
      </c>
      <c r="X1025" s="3" t="inlineStr"/>
      <c r="Y1025" s="3" t="inlineStr">
        <is>
          <t>84% of this dish's available carbohydrate comes from ingredients with a published, measured GI; the rest uses conventional placeholders (see Ingredients sheet)</t>
        </is>
      </c>
      <c r="Z1025" s="2" t="n">
        <v>84</v>
      </c>
      <c r="AA1025" s="3" t="inlineStr">
        <is>
          <t>dairy-free, nut-free, high-protein</t>
        </is>
      </c>
      <c r="AB1025" s="3" t="inlineStr">
        <is>
          <t>1. Simmer the chicken in broth-free water until cooked, then shred.
2. Whisk the tomato paste, vinegar, paprika, garlic and sweetener into a sauce.
3. Toss the chicken in the sauce and warm through.
4. Pile onto toasted muffins with coleslaw mix.</t>
        </is>
      </c>
      <c r="AC1025" s="4" t="inlineStr">
        <is>
          <t>["Simmer the chicken in broth-free water until cooked, then shred.", "Whisk the tomato paste, vinegar, paprika, garlic and sweetener into a sauce.", "Toss the chicken in the sauce and warm through.", "Pile onto toasted muffins with coleslaw mix."]</t>
        </is>
      </c>
    </row>
    <row r="1026" ht="96" customHeight="1">
      <c r="A1026" s="2" t="inlineStr">
        <is>
          <t>DB-1025</t>
        </is>
      </c>
      <c r="B1026" s="3" t="inlineStr">
        <is>
          <t>Reuben Roll-Ups</t>
        </is>
      </c>
      <c r="C1026" s="4" t="inlineStr">
        <is>
          <t>Sandwiches &amp; Wraps</t>
        </is>
      </c>
      <c r="D1026" s="4" t="inlineStr">
        <is>
          <t>American</t>
        </is>
      </c>
      <c r="E1026" s="2" t="n">
        <v>2</v>
      </c>
      <c r="F1026" s="2" t="n">
        <v>10</v>
      </c>
      <c r="G1026" s="2" t="n">
        <v>5</v>
      </c>
      <c r="H1026" s="2" t="n">
        <v>15</v>
      </c>
      <c r="I1026" s="4" t="inlineStr">
        <is>
          <t>reuben-roll-ups.jpg</t>
        </is>
      </c>
      <c r="J1026" s="3" t="inlineStr">
        <is>
          <t>Reuben Roll-Ups, healthy food photography, plated, natural light</t>
        </is>
      </c>
      <c r="K1026" s="4" t="inlineStr"/>
      <c r="L1026" s="3" t="inlineStr">
        <is>
          <t>Deli turkey breast, low sodium — 180 g (6.3 oz)
Swiss cheese — 60 g (2.1 oz)
Sauerkraut — 90 g (3.2 oz)
Dijon mustard — 10 g (0.4 oz)
Dill pickles — 40 g (1.4 oz)</t>
        </is>
      </c>
      <c r="M1026" s="4" t="inlineStr">
        <is>
          <t>[{"ingredient_id": "deli_turkey", "name": "Deli turkey breast, low sodium", "grams": 180.0, "note": ""}, {"ingredient_id": "swiss_cheese", "name": "Swiss cheese", "grams": 60.0, "note": ""}, {"ingredient_id": "sauerkraut", "name": "Sauerkraut", "grams": 90.0, "note": ""}, {"ingredient_id": "dijon", "name": "Dijon mustard", "grams": 10.0, "note": ""}, {"ingredient_id": "dill_pickle", "name": "Dill pickles", "grams": 40.0, "note": ""}]</t>
        </is>
      </c>
      <c r="N1026" s="2" t="n">
        <v>222</v>
      </c>
      <c r="O1026" s="5" t="n">
        <v>24.1</v>
      </c>
      <c r="P1026" s="5" t="n">
        <v>10</v>
      </c>
      <c r="Q1026" s="5" t="n">
        <v>6.7</v>
      </c>
      <c r="R1026" s="5" t="n">
        <v>1.7</v>
      </c>
      <c r="S1026" s="5" t="n">
        <v>5</v>
      </c>
      <c r="T1026" s="2" t="n">
        <v>3</v>
      </c>
      <c r="U1026" s="2" t="inlineStr">
        <is>
          <t>low</t>
        </is>
      </c>
      <c r="V1026" s="5" t="n">
        <v>0.2</v>
      </c>
      <c r="W1026" s="2" t="inlineStr">
        <is>
          <t>low</t>
        </is>
      </c>
      <c r="X1026" s="3" t="inlineStr"/>
      <c r="Y1026" s="3" t="inlineStr">
        <is>
          <t>0% of this dish's available carbohydrate comes from ingredients with a published, measured GI; the rest uses conventional placeholders (see Ingredients sheet)</t>
        </is>
      </c>
      <c r="Z1026" s="2" t="n">
        <v>0</v>
      </c>
      <c r="AA1026" s="3" t="inlineStr">
        <is>
          <t>gluten-free, nut-free, low-carb</t>
        </is>
      </c>
      <c r="AB1026" s="3" t="inlineStr">
        <is>
          <t>1. Lay out the turkey slices and spread with mustard.
2. Add Swiss, sauerkraut and a pickle spear.
3. Roll tight and sear seam-side down for 2 minutes.</t>
        </is>
      </c>
      <c r="AC1026" s="4" t="inlineStr">
        <is>
          <t>["Lay out the turkey slices and spread with mustard.", "Add Swiss, sauerkraut and a pickle spear.", "Roll tight and sear seam-side down for 2 minutes."]</t>
        </is>
      </c>
    </row>
    <row r="1027" ht="96" customHeight="1">
      <c r="A1027" s="2" t="inlineStr">
        <is>
          <t>DB-1026</t>
        </is>
      </c>
      <c r="B1027" s="3" t="inlineStr">
        <is>
          <t>Hummus and Veggie Pita Pocket</t>
        </is>
      </c>
      <c r="C1027" s="4" t="inlineStr">
        <is>
          <t>Sandwiches &amp; Wraps</t>
        </is>
      </c>
      <c r="D1027" s="4" t="inlineStr">
        <is>
          <t>American</t>
        </is>
      </c>
      <c r="E1027" s="2" t="n">
        <v>2</v>
      </c>
      <c r="F1027" s="2" t="n">
        <v>10</v>
      </c>
      <c r="G1027" s="2" t="n">
        <v>0</v>
      </c>
      <c r="H1027" s="2" t="n">
        <v>10</v>
      </c>
      <c r="I1027" s="4" t="inlineStr">
        <is>
          <t>hummus-and-veggie-pita-pocket.jpg</t>
        </is>
      </c>
      <c r="J1027" s="3" t="inlineStr">
        <is>
          <t>Hummus and Veggie Pita Pocket, healthy food photography, plated, natural light</t>
        </is>
      </c>
      <c r="K1027" s="4" t="inlineStr"/>
      <c r="L1027" s="3" t="inlineStr">
        <is>
          <t>Whole wheat pita — 120 g (4.2 oz)
Hummus — 100 g (3.5 oz)
Cucumber — 100 g (3.5 oz)
Tomato — 80 g (2.8 oz)
Mixed salad greens — 40 g (1.4 oz)
Red onion — 20 g (0.7 oz)
Feta cheese — 30 g (1.1 oz)</t>
        </is>
      </c>
      <c r="M1027" s="4" t="inlineStr">
        <is>
          <t>[{"ingredient_id": "whole_wheat_pita", "name": "Whole wheat pita", "grams": 120.0, "note": ""}, {"ingredient_id": "hummus", "name": "Hummus", "grams": 100.0, "note": ""}, {"ingredient_id": "cucumber", "name": "Cucumber", "grams": 100.0, "note": ""}, {"ingredient_id": "tomato", "name": "Tomato", "grams": 80.0, "note": ""}, {"ingredient_id": "mixed_greens", "name": "Mixed salad greens", "grams": 40.0, "note": ""}, {"ingredient_id": "red_onion", "name": "Red onion", "grams": 20.0, "note": ""}, {"ingredient_id": "feta", "name": "Feta cheese", "grams": 30.0, "note": ""}]</t>
        </is>
      </c>
      <c r="N1027" s="2" t="n">
        <v>305</v>
      </c>
      <c r="O1027" s="5" t="n">
        <v>13.3</v>
      </c>
      <c r="P1027" s="5" t="n">
        <v>9.699999999999999</v>
      </c>
      <c r="Q1027" s="5" t="n">
        <v>45.6</v>
      </c>
      <c r="R1027" s="5" t="n">
        <v>8.699999999999999</v>
      </c>
      <c r="S1027" s="5" t="n">
        <v>36.9</v>
      </c>
      <c r="T1027" s="2" t="n">
        <v>47</v>
      </c>
      <c r="U1027" s="2" t="inlineStr">
        <is>
          <t>low</t>
        </is>
      </c>
      <c r="V1027" s="5" t="n">
        <v>17.3</v>
      </c>
      <c r="W1027" s="2" t="inlineStr">
        <is>
          <t>medium</t>
        </is>
      </c>
      <c r="X1027" s="3" t="inlineStr"/>
      <c r="Y1027" s="3" t="inlineStr">
        <is>
          <t>88% of this dish's available carbohydrate comes from ingredients with a published, measured GI; the rest uses conventional placeholders (see Ingredients sheet)</t>
        </is>
      </c>
      <c r="Z1027" s="2" t="n">
        <v>88</v>
      </c>
      <c r="AA1027" s="3" t="inlineStr">
        <is>
          <t>vegetarian, nut-free, high-fiber, no-cook</t>
        </is>
      </c>
      <c r="AB1027" s="3" t="inlineStr">
        <is>
          <t>1. Halve the pitas and open the pockets.
2. Spread with hummus.
3. Stuff with cucumber, tomato, greens, onion and feta.</t>
        </is>
      </c>
      <c r="AC1027" s="4" t="inlineStr">
        <is>
          <t>["Halve the pitas and open the pockets.", "Spread with hummus.", "Stuff with cucumber, tomato, greens, onion and feta."]</t>
        </is>
      </c>
    </row>
    <row r="1028" ht="96" customHeight="1">
      <c r="A1028" s="2" t="inlineStr">
        <is>
          <t>DB-1027</t>
        </is>
      </c>
      <c r="B1028" s="3" t="inlineStr">
        <is>
          <t>California Turkey Wrap</t>
        </is>
      </c>
      <c r="C1028" s="4" t="inlineStr">
        <is>
          <t>Sandwiches &amp; Wraps</t>
        </is>
      </c>
      <c r="D1028" s="4" t="inlineStr">
        <is>
          <t>American</t>
        </is>
      </c>
      <c r="E1028" s="2" t="n">
        <v>2</v>
      </c>
      <c r="F1028" s="2" t="n">
        <v>10</v>
      </c>
      <c r="G1028" s="2" t="n">
        <v>0</v>
      </c>
      <c r="H1028" s="2" t="n">
        <v>10</v>
      </c>
      <c r="I1028" s="4" t="inlineStr">
        <is>
          <t>california-turkey-wrap.jpg</t>
        </is>
      </c>
      <c r="J1028" s="3" t="inlineStr">
        <is>
          <t>California Turkey Wrap, healthy food photography, plated, natural light</t>
        </is>
      </c>
      <c r="K1028" s="4" t="inlineStr"/>
      <c r="L1028" s="3" t="inlineStr">
        <is>
          <t>Low-carb high-fiber tortilla — 100 g (3.5 oz)
Deli turkey breast, low sodium — 120 g (4.2 oz)
Avocado — 100 g (3.5 oz)
Spinach — 40 g (1.4 oz)
Tomato — 80 g (2.8 oz)
Sunflower seeds — 10 g (0.4 oz)
Dijon mustard — 5 g (0.2 oz)</t>
        </is>
      </c>
      <c r="M1028" s="4" t="inlineStr">
        <is>
          <t>[{"ingredient_id": "low_carb_tortilla", "name": "Low-carb high-fiber tortilla", "grams": 100.0, "note": ""}, {"ingredient_id": "deli_turkey", "name": "Deli turkey breast, low sodium", "grams": 120.0, "note": ""}, {"ingredient_id": "avocado", "name": "Avocado", "grams": 100.0, "note": ""}, {"ingredient_id": "spinach", "name": "Spinach", "grams": 40.0, "note": ""}, {"ingredient_id": "tomato", "name": "Tomato", "grams": 80.0, "note": ""}, {"ingredient_id": "sunflower_seeds", "name": "Sunflower seeds", "grams": 10.0, "note": ""}, {"ingredient_id": "dijon", "name": "Dijon mustard", "grams": 5.0, "note": ""}]</t>
        </is>
      </c>
      <c r="N1028" s="2" t="n">
        <v>310</v>
      </c>
      <c r="O1028" s="5" t="n">
        <v>19.3</v>
      </c>
      <c r="P1028" s="5" t="n">
        <v>15.2</v>
      </c>
      <c r="Q1028" s="5" t="n">
        <v>30.1</v>
      </c>
      <c r="R1028" s="5" t="n">
        <v>17.3</v>
      </c>
      <c r="S1028" s="5" t="n">
        <v>12.8</v>
      </c>
      <c r="T1028" s="2" t="n">
        <v>21</v>
      </c>
      <c r="U1028" s="2" t="inlineStr">
        <is>
          <t>low</t>
        </is>
      </c>
      <c r="V1028" s="5" t="n">
        <v>2.7</v>
      </c>
      <c r="W1028" s="2" t="inlineStr">
        <is>
          <t>low</t>
        </is>
      </c>
      <c r="X1028" s="3" t="inlineStr"/>
      <c r="Y1028" s="3" t="inlineStr">
        <is>
          <t>0% of this dish's available carbohydrate comes from ingredients with a published, measured GI; the rest uses conventional placeholders (see Ingredients sheet)</t>
        </is>
      </c>
      <c r="Z1028" s="2" t="n">
        <v>0</v>
      </c>
      <c r="AA1028" s="3" t="inlineStr">
        <is>
          <t>dairy-free, nut-free, low-carb, high-fiber, no-cook</t>
        </is>
      </c>
      <c r="AB1028" s="3" t="inlineStr">
        <is>
          <t>1. Spread the tortillas with mashed avocado and mustard.
2. Layer turkey, spinach and tomato.
3. Sprinkle with seeds, roll and halve.</t>
        </is>
      </c>
      <c r="AC1028" s="4" t="inlineStr">
        <is>
          <t>["Spread the tortillas with mashed avocado and mustard.", "Layer turkey, spinach and tomato.", "Sprinkle with seeds, roll and halve."]</t>
        </is>
      </c>
    </row>
    <row r="1029" ht="96" customHeight="1">
      <c r="A1029" s="2" t="inlineStr">
        <is>
          <t>DB-1028</t>
        </is>
      </c>
      <c r="B1029" s="3" t="inlineStr">
        <is>
          <t>Sloppy Joe Stuffed Sweet Potato</t>
        </is>
      </c>
      <c r="C1029" s="4" t="inlineStr">
        <is>
          <t>Sandwiches &amp; Wraps</t>
        </is>
      </c>
      <c r="D1029" s="4" t="inlineStr">
        <is>
          <t>American</t>
        </is>
      </c>
      <c r="E1029" s="2" t="n">
        <v>4</v>
      </c>
      <c r="F1029" s="2" t="n">
        <v>15</v>
      </c>
      <c r="G1029" s="2" t="n">
        <v>35</v>
      </c>
      <c r="H1029" s="2" t="n">
        <v>50</v>
      </c>
      <c r="I1029" s="4" t="inlineStr">
        <is>
          <t>sloppy-joe-stuffed-sweet-potato.jpg</t>
        </is>
      </c>
      <c r="J1029" s="3" t="inlineStr">
        <is>
          <t>Sloppy Joe Stuffed Sweet Potato, healthy food photography, plated, natural light</t>
        </is>
      </c>
      <c r="K1029" s="4" t="inlineStr"/>
      <c r="L1029" s="3" t="inlineStr">
        <is>
          <t>Sweet potato, boiled/simmered — 600 g (21.2 oz)
Ground turkey 93% lean — 400 g (14.1 oz)
Tomato sauce, canned, no sugar added — 200 g (7.1 oz)
Yellow onion — 100 g (3.5 oz)
Bell pepper — 100 g (3.5 oz)
Yellow mustard — 10 g (0.4 oz)
Apple cider vinegar — 15 g (0.5 oz)
Chili powder — 3 g (0.1 oz)</t>
        </is>
      </c>
      <c r="M1029" s="4" t="inlineStr">
        <is>
          <t>[{"ingredient_id": "sweet_potato", "name": "Sweet potato, boiled/simmered", "grams": 600.0,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"yellow_mustard", "name": "Yellow mustard", "grams": 10.0, "note": ""}, {"ingredient_id": "apple_cider_vinegar", "name": "Apple cider vinegar", "grams": 15.0, "note": ""}, {"ingredient_id": "chili_powder", "name": "Chili powder", "grams": 3.0, "note": ""}]</t>
        </is>
      </c>
      <c r="N1029" s="2" t="n">
        <v>313</v>
      </c>
      <c r="O1029" s="5" t="n">
        <v>22.5</v>
      </c>
      <c r="P1029" s="5" t="n">
        <v>8.5</v>
      </c>
      <c r="Q1029" s="5" t="n">
        <v>37</v>
      </c>
      <c r="R1029" s="5" t="n">
        <v>6.5</v>
      </c>
      <c r="S1029" s="5" t="n">
        <v>30.5</v>
      </c>
      <c r="T1029" s="2" t="n">
        <v>42</v>
      </c>
      <c r="U1029" s="2" t="inlineStr">
        <is>
          <t>low</t>
        </is>
      </c>
      <c r="V1029" s="5" t="n">
        <v>12.8</v>
      </c>
      <c r="W1029" s="2" t="inlineStr">
        <is>
          <t>medium</t>
        </is>
      </c>
      <c r="X1029" s="3" t="inlineStr"/>
      <c r="Y1029" s="3" t="inlineStr">
        <is>
          <t>84% of this dish's available carbohydrate comes from ingredients with a published, measured GI; the rest uses conventional placeholders (see Ingredients sheet)</t>
        </is>
      </c>
      <c r="Z1029" s="2" t="n">
        <v>84</v>
      </c>
      <c r="AA1029" s="3" t="inlineStr">
        <is>
          <t>gluten-free, dairy-free, nut-free</t>
        </is>
      </c>
      <c r="AB1029" s="3" t="inlineStr">
        <is>
          <t>1. Bake the sweet potatoes at 400°F until tender, about 35 minutes.
2. Brown the turkey with onion and pepper.
3. Add tomato sauce, mustard, vinegar and chili powder and simmer 10 minutes.
4. Split the potatoes and spoon the filling over.</t>
        </is>
      </c>
      <c r="AC1029" s="4" t="inlineStr">
        <is>
          <t>["Bake the sweet potatoes at 400°F until tender, about 35 minutes.", "Brown the turkey with onion and pepper.", "Add tomato sauce, mustard, vinegar and chili powder and simmer 10 minutes.", "Split the potatoes and spoon the filling over."]</t>
        </is>
      </c>
    </row>
    <row r="1030" ht="96" customHeight="1">
      <c r="A1030" s="2" t="inlineStr">
        <is>
          <t>DB-1029</t>
        </is>
      </c>
      <c r="B1030" s="3" t="inlineStr">
        <is>
          <t>Lemon Herb Roast Chicken with Green Beans</t>
        </is>
      </c>
      <c r="C1030" s="4" t="inlineStr">
        <is>
          <t>Poultry</t>
        </is>
      </c>
      <c r="D1030" s="4" t="inlineStr">
        <is>
          <t>American</t>
        </is>
      </c>
      <c r="E1030" s="2" t="n">
        <v>4</v>
      </c>
      <c r="F1030" s="2" t="n">
        <v>15</v>
      </c>
      <c r="G1030" s="2" t="n">
        <v>45</v>
      </c>
      <c r="H1030" s="2" t="n">
        <v>60</v>
      </c>
      <c r="I1030" s="4" t="inlineStr">
        <is>
          <t>lemon-herb-roast-chicken-with-green-beans.jpg</t>
        </is>
      </c>
      <c r="J1030" s="3" t="inlineStr">
        <is>
          <t>Lemon Herb Roast Chicken with Green Beans, healthy food photography, plated, natural light</t>
        </is>
      </c>
      <c r="K1030" s="4" t="inlineStr"/>
      <c r="L1030" s="3" t="inlineStr">
        <is>
          <t>Chicken thigh, skinless boneless — 700 g (24.7 oz)
Green beans — 300 g (10.6 oz)
Lemon (with juice &amp; zest) — 60 g (2.1 oz)
Garlic — 10 g (0.4 oz)
Fresh thyme — 3 g (0.1 oz)
Extra-virgin olive oil — 20 g (0.7 oz)
Salt — 3 g (0.1 oz)
Black pepper — 1 g (0.0 oz)</t>
        </is>
      </c>
      <c r="M1030" s="4" t="inlineStr">
        <is>
          <t>[{"ingredient_id": "chicken_thigh", "name": "Chicken thigh, skinless boneless", "grams": 700.0, "note": ""}, {"ingredient_id": "green_beans", "name": "Green beans", "grams": 300.0, "note": ""}, {"ingredient_id": "lemon", "name": "Lemon (with juice &amp; zest)", "grams": 60.0, "note": ""}, {"ingredient_id": "garlic", "name": "Garlic", "grams": 10.0, "note": ""}, {"ingredient_id": "thyme", "name": "Fresh thyme", "grams": 3.0, "note": ""}, {"ingredient_id": "olive_oil", "name": "Extra-virgin olive oil", "grams": 20.0, "note": ""}, {"ingredient_id": "salt", "name": "Salt", "grams": 3.0, "note": ""}, {"ingredient_id": "black_pepper", "name": "Black pepper", "grams": 1.0, "note": ""}]</t>
        </is>
      </c>
      <c r="N1030" s="2" t="n">
        <v>289</v>
      </c>
      <c r="O1030" s="5" t="n">
        <v>36.2</v>
      </c>
      <c r="P1030" s="5" t="n">
        <v>12.4</v>
      </c>
      <c r="Q1030" s="5" t="n">
        <v>7.8</v>
      </c>
      <c r="R1030" s="5" t="n">
        <v>2.7</v>
      </c>
      <c r="S1030" s="5" t="n">
        <v>5.1</v>
      </c>
      <c r="T1030" s="2" t="n">
        <v>18</v>
      </c>
      <c r="U1030" s="2" t="inlineStr">
        <is>
          <t>low</t>
        </is>
      </c>
      <c r="V1030" s="5" t="n">
        <v>0.9</v>
      </c>
      <c r="W1030" s="2" t="inlineStr">
        <is>
          <t>low</t>
        </is>
      </c>
      <c r="X1030" s="3" t="inlineStr"/>
      <c r="Y1030" s="3" t="inlineStr">
        <is>
          <t>0% of this dish's available carbohydrate comes from ingredients with a published, measured GI; the rest uses conventional placeholders (see Ingredients sheet)</t>
        </is>
      </c>
      <c r="Z1030" s="2" t="n">
        <v>0</v>
      </c>
      <c r="AA1030" s="3" t="inlineStr">
        <is>
          <t>gluten-free, dairy-free, nut-free, low-carb, high-protein, one-pan</t>
        </is>
      </c>
      <c r="AB1030" s="3" t="inlineStr">
        <is>
          <t>1. Heat the oven to 425°F.
2. Toss the chicken with oil, lemon, garlic, thyme, salt and pepper.
3. Roast on a tray with the green beans for 40 to 45 minutes.</t>
        </is>
      </c>
      <c r="AC1030" s="4" t="inlineStr">
        <is>
          <t>["Heat the oven to 425°F.", "Toss the chicken with oil, lemon, garlic, thyme, salt and pepper.", "Roast on a tray with the green beans for 40 to 45 minutes."]</t>
        </is>
      </c>
    </row>
    <row r="1031" ht="96" customHeight="1">
      <c r="A1031" s="2" t="inlineStr">
        <is>
          <t>DB-1030</t>
        </is>
      </c>
      <c r="B1031" s="3" t="inlineStr">
        <is>
          <t>Slow Cooker Chicken Chili</t>
        </is>
      </c>
      <c r="C1031" s="4" t="inlineStr">
        <is>
          <t>Soup &amp; Stew</t>
        </is>
      </c>
      <c r="D1031" s="4" t="inlineStr">
        <is>
          <t>American</t>
        </is>
      </c>
      <c r="E1031" s="2" t="n">
        <v>6</v>
      </c>
      <c r="F1031" s="2" t="n">
        <v>15</v>
      </c>
      <c r="G1031" s="2" t="n">
        <v>240</v>
      </c>
      <c r="H1031" s="2" t="n">
        <v>255</v>
      </c>
      <c r="I1031" s="4" t="inlineStr">
        <is>
          <t>slow-cooker-chicken-chili.jpg</t>
        </is>
      </c>
      <c r="J1031" s="3" t="inlineStr">
        <is>
          <t>Slow Cooker Chicken Chili, healthy food photography, plated, natural light</t>
        </is>
      </c>
      <c r="K1031" s="4" t="inlineStr"/>
      <c r="L1031" s="3" t="inlineStr">
        <is>
          <t>Chicken breast, skinless — 600 g (21.2 oz)
Cannellini beans, cooked — 300 g (10.6 oz)
Diced green chiles, canned — 120 g (4.2 oz)
Yellow onion — 120 g (4.2 oz)
Chicken broth, low sodium — 500 g (17.6 oz)
Ground cumin — 3 g (0.1 oz)
Dried oregano — 2 g (0.1 oz)
Garlic — 10 g (0.4 oz)
Lime juice — 15 g (0.5 oz)</t>
        </is>
      </c>
      <c r="M1031" s="4" t="inlineStr">
        <is>
          <t>[{"ingredient_id": "chicken_breast", "name": "Chicken breast, skinless", "grams": 600.0, "note": ""}, {"ingredient_id": "white_beans", "name": "Cannellini beans, cooked", "grams": 300.0, "note": ""}, {"ingredient_id": "green_chiles", "name": "Diced green chiles, canned", "grams": 120.0, "note": ""}, {"ingredient_id": "onion", "name": "Yellow onion", "grams": 120.0, "note": ""}, {"ingredient_id": "chicken_broth", "name": "Chicken broth, low sodium", "grams": 500.0, "note": ""}, {"ingredient_id": "cumin", "name": "Ground cumin", "grams": 3.0, "note": ""}, {"ingredient_id": "oregano", "name": "Dried oregano", "grams": 2.0, "note": ""}, {"ingredient_id": "garlic", "name": "Garlic", "grams": 10.0, "note": ""}, {"ingredient_id": "lime_juice", "name": "Lime juice", "grams": 15.0, "note": ""}]</t>
        </is>
      </c>
      <c r="N1031" s="2" t="n">
        <v>213</v>
      </c>
      <c r="O1031" s="5" t="n">
        <v>28.8</v>
      </c>
      <c r="P1031" s="5" t="n">
        <v>3.1</v>
      </c>
      <c r="Q1031" s="5" t="n">
        <v>16.9</v>
      </c>
      <c r="R1031" s="5" t="n">
        <v>4</v>
      </c>
      <c r="S1031" s="5" t="n">
        <v>12.9</v>
      </c>
      <c r="T1031" s="2" t="n">
        <v>27</v>
      </c>
      <c r="U1031" s="2" t="inlineStr">
        <is>
          <t>low</t>
        </is>
      </c>
      <c r="V1031" s="5" t="n">
        <v>3.5</v>
      </c>
      <c r="W1031" s="2" t="inlineStr">
        <is>
          <t>low</t>
        </is>
      </c>
      <c r="X1031" s="3" t="inlineStr"/>
      <c r="Y1031" s="3" t="inlineStr">
        <is>
          <t>73% of this dish's available carbohydrate comes from ingredients with a published, measured GI; the rest uses conventional placeholders (see Ingredients sheet)</t>
        </is>
      </c>
      <c r="Z1031" s="2" t="n">
        <v>73</v>
      </c>
      <c r="AA1031" s="3" t="inlineStr">
        <is>
          <t>gluten-free, dairy-free, nut-free, low-carb, high-protein, slow-cooker</t>
        </is>
      </c>
      <c r="AB1031" s="3" t="inlineStr">
        <is>
          <t>1. Put the chicken, beans, chiles, onion, garlic, spices and broth in the slow cooker.
2. Cook on low for 4 hours.
3. Shred the chicken, stir back in and finish with lime juice.</t>
        </is>
      </c>
      <c r="AC1031" s="4" t="inlineStr">
        <is>
          <t>["Put the chicken, beans, chiles, onion, garlic, spices and broth in the slow cooker.", "Cook on low for 4 hours.", "Shred the chicken, stir back in and finish with lime juice."]</t>
        </is>
      </c>
    </row>
    <row r="1032" ht="96" customHeight="1">
      <c r="A1032" s="2" t="inlineStr">
        <is>
          <t>DB-1031</t>
        </is>
      </c>
      <c r="B1032" s="3" t="inlineStr">
        <is>
          <t>Chicken Pot Pie Soup</t>
        </is>
      </c>
      <c r="C1032" s="4" t="inlineStr">
        <is>
          <t>Soup &amp; Stew</t>
        </is>
      </c>
      <c r="D1032" s="4" t="inlineStr">
        <is>
          <t>American</t>
        </is>
      </c>
      <c r="E1032" s="2" t="n">
        <v>5</v>
      </c>
      <c r="F1032" s="2" t="n">
        <v>15</v>
      </c>
      <c r="G1032" s="2" t="n">
        <v>30</v>
      </c>
      <c r="H1032" s="2" t="n">
        <v>45</v>
      </c>
      <c r="I1032" s="4" t="inlineStr">
        <is>
          <t>chicken-pot-pie-soup.jpg</t>
        </is>
      </c>
      <c r="J1032" s="3" t="inlineStr">
        <is>
          <t>Chicken Pot Pie Soup, healthy food photography, plated, natural light</t>
        </is>
      </c>
      <c r="K1032" s="4" t="inlineStr"/>
      <c r="L1032" s="3" t="inlineStr">
        <is>
          <t>Chicken breast, skinless — 500 g (17.6 oz)
Chicken broth, low sodium — 800 g (28.2 oz)
Carrot — 120 g (4.2 oz)
Celery — 80 g (2.8 oz)
Green peas — 100 g (3.5 oz)
Yellow onion — 100 g (3.5 oz)
Heavy cream — 60 g (2.1 oz)
Fresh thyme — 2 g (0.1 oz)
Extra-virgin olive oil — 10 g (0.4 oz)
Cauliflower — 150 g (5.3 oz)</t>
        </is>
      </c>
      <c r="M1032" s="4" t="inlineStr">
        <is>
          <t>[{"ingredient_id": "chicken_breast", "name": "Chicken breast, skinless", "grams": 500.0, "note": ""}, {"ingredient_id": "chicken_broth", "name": "Chicken broth, low sodium", "grams": 800.0, "note": ""}, {"ingredient_id": "carrot", "name": "Carrot", "grams": 120.0, "note": ""}, {"ingredient_id": "celery", "name": "Celery", "grams": 80.0, "note": ""}, {"ingredient_id": "green_peas", "name": "Green peas", "grams": 100.0, "note": ""}, {"ingredient_id": "onion", "name": "Yellow onion", "grams": 100.0, "note": ""}, {"ingredient_id": "heavy_cream", "name": "Heavy cream", "grams": 60.0, "note": ""}, {"ingredient_id": "thyme", "name": "Fresh thyme", "grams": 2.0, "note": ""}, {"ingredient_id": "olive_oil", "name": "Extra-virgin olive oil", "grams": 10.0, "note": ""}, {"ingredient_id": "cauliflower", "name": "Cauliflower", "grams": 150.0, "note": ""}]</t>
        </is>
      </c>
      <c r="N1032" s="2" t="n">
        <v>234</v>
      </c>
      <c r="O1032" s="5" t="n">
        <v>26.6</v>
      </c>
      <c r="P1032" s="5" t="n">
        <v>9.5</v>
      </c>
      <c r="Q1032" s="5" t="n">
        <v>10.2</v>
      </c>
      <c r="R1032" s="5" t="n">
        <v>3.1</v>
      </c>
      <c r="S1032" s="5" t="n">
        <v>7.1</v>
      </c>
      <c r="T1032" s="2" t="n">
        <v>23</v>
      </c>
      <c r="U1032" s="2" t="inlineStr">
        <is>
          <t>low</t>
        </is>
      </c>
      <c r="V1032" s="5" t="n">
        <v>1.6</v>
      </c>
      <c r="W1032" s="2" t="inlineStr">
        <is>
          <t>low</t>
        </is>
      </c>
      <c r="X1032" s="3" t="inlineStr"/>
      <c r="Y1032" s="3" t="inlineStr">
        <is>
          <t>46% of this dish's available carbohydrate comes from ingredients with a published, measured GI; the rest uses conventional placeholders (see Ingredients sheet)</t>
        </is>
      </c>
      <c r="Z1032" s="2" t="n">
        <v>46</v>
      </c>
      <c r="AA1032" s="3" t="inlineStr">
        <is>
          <t>gluten-free, nut-free, low-carb, high-protein</t>
        </is>
      </c>
      <c r="AB1032" s="3" t="inlineStr">
        <is>
          <t>1. Sauté the onion, carrot and celery in oil.
2. Add the broth, cauliflower and chicken and simmer 20 minutes.
3. Shred the chicken, add peas, cream and thyme and heat through.</t>
        </is>
      </c>
      <c r="AC1032" s="4" t="inlineStr">
        <is>
          <t>["Sauté the onion, carrot and celery in oil.", "Add the broth, cauliflower and chicken and simmer 20 minutes.", "Shred the chicken, add peas, cream and thyme and heat through."]</t>
        </is>
      </c>
    </row>
    <row r="1033" ht="96" customHeight="1">
      <c r="A1033" s="2" t="inlineStr">
        <is>
          <t>DB-1032</t>
        </is>
      </c>
      <c r="B1033" s="3" t="inlineStr">
        <is>
          <t>Chicken Fajita Skillet</t>
        </is>
      </c>
      <c r="C1033" s="4" t="inlineStr">
        <is>
          <t>Poultry</t>
        </is>
      </c>
      <c r="D1033" s="4" t="inlineStr">
        <is>
          <t>Tex-Mex</t>
        </is>
      </c>
      <c r="E1033" s="2" t="n">
        <v>4</v>
      </c>
      <c r="F1033" s="2" t="n">
        <v>15</v>
      </c>
      <c r="G1033" s="2" t="n">
        <v>15</v>
      </c>
      <c r="H1033" s="2" t="n">
        <v>30</v>
      </c>
      <c r="I1033" s="4" t="inlineStr">
        <is>
          <t>chicken-fajita-skillet.jpg</t>
        </is>
      </c>
      <c r="J1033" s="3" t="inlineStr">
        <is>
          <t>Chicken Fajita Skillet, healthy food photography, plated, natural light</t>
        </is>
      </c>
      <c r="K1033" s="4" t="inlineStr"/>
      <c r="L1033" s="3" t="inlineStr">
        <is>
          <t>Chicken breast, skinless — 600 g (21.2 oz)
Bell pepper — 300 g (10.6 oz)
Yellow onion — 150 g (5.3 oz)
Taco seasoning, low sodium — 12 g (0.4 oz)
Lime juice — 20 g (0.7 oz)
Extra-virgin olive oil — 20 g (0.7 oz)
Corn tortilla — 120 g (4.2 oz)
Avocado — 100 g (3.5 oz)</t>
        </is>
      </c>
      <c r="M1033" s="4" t="inlineStr">
        <is>
          <t>[{"ingredient_id": "chicken_breast", "name": "Chicken breast, skinless", "grams": 600.0, "note": ""}, {"ingredient_id": "bell_pepper", "name": "Bell pepper", "grams": 300.0, "note": ""}, {"ingredient_id": "onion", "name": "Yellow onion", "grams": 150.0, "note": ""}, {"ingredient_id": "taco_seasoning", "name": "Taco seasoning, low sodium", "grams": 12.0, "note": ""}, {"ingredient_id": "lime_juice", "name": "Lime juice", "grams": 20.0, "note": ""}, {"ingredient_id": "olive_oil", "name": "Extra-virgin olive oil", "grams": 20.0, "note": ""}, {"ingredient_id": "corn_tortilla", "name": "Corn tortilla", "grams": 120.0, "note": ""}, {"ingredient_id": "avocado", "name": "Avocado", "grams": 100.0, "note": ""}]</t>
        </is>
      </c>
      <c r="N1033" s="2" t="n">
        <v>378</v>
      </c>
      <c r="O1033" s="5" t="n">
        <v>37.4</v>
      </c>
      <c r="P1033" s="5" t="n">
        <v>14</v>
      </c>
      <c r="Q1033" s="5" t="n">
        <v>25.7</v>
      </c>
      <c r="R1033" s="5" t="n">
        <v>6.5</v>
      </c>
      <c r="S1033" s="5" t="n">
        <v>19.1</v>
      </c>
      <c r="T1033" s="2" t="n">
        <v>38</v>
      </c>
      <c r="U1033" s="2" t="inlineStr">
        <is>
          <t>low</t>
        </is>
      </c>
      <c r="V1033" s="5" t="n">
        <v>7.3</v>
      </c>
      <c r="W1033" s="2" t="inlineStr">
        <is>
          <t>low</t>
        </is>
      </c>
      <c r="X1033" s="3" t="inlineStr"/>
      <c r="Y1033" s="3" t="inlineStr">
        <is>
          <t>61% of this dish's available carbohydrate comes from ingredients with a published, measured GI; the rest uses conventional placeholders (see Ingredients sheet)</t>
        </is>
      </c>
      <c r="Z1033" s="2" t="n">
        <v>61</v>
      </c>
      <c r="AA1033" s="3" t="inlineStr">
        <is>
          <t>gluten-free, dairy-free, nut-free, high-protein, one-pan</t>
        </is>
      </c>
      <c r="AB1033" s="3" t="inlineStr">
        <is>
          <t>1. Slice the chicken, peppers and onion into strips.
2. Toss the chicken in taco seasoning and sear in oil for 6 minutes.
3. Add the vegetables and cook until charred at the edges.
4. Finish with lime and serve with warm tortillas and avocado.</t>
        </is>
      </c>
      <c r="AC1033" s="4" t="inlineStr">
        <is>
          <t>["Slice the chicken, peppers and onion into strips.", "Toss the chicken in taco seasoning and sear in oil for 6 minutes.", "Add the vegetables and cook until charred at the edges.", "Finish with lime and serve with warm tortillas and avocado."]</t>
        </is>
      </c>
    </row>
    <row r="1034" ht="96" customHeight="1">
      <c r="A1034" s="2" t="inlineStr">
        <is>
          <t>DB-1033</t>
        </is>
      </c>
      <c r="B1034" s="3" t="inlineStr">
        <is>
          <t>Turkey Meatloaf with Tomato Glaze</t>
        </is>
      </c>
      <c r="C1034" s="4" t="inlineStr">
        <is>
          <t>Poultry</t>
        </is>
      </c>
      <c r="D1034" s="4" t="inlineStr">
        <is>
          <t>American</t>
        </is>
      </c>
      <c r="E1034" s="2" t="n">
        <v>6</v>
      </c>
      <c r="F1034" s="2" t="n">
        <v>15</v>
      </c>
      <c r="G1034" s="2" t="n">
        <v>50</v>
      </c>
      <c r="H1034" s="2" t="n">
        <v>65</v>
      </c>
      <c r="I1034" s="4" t="inlineStr">
        <is>
          <t>turkey-meatloaf-with-tomato-glaze.jpg</t>
        </is>
      </c>
      <c r="J1034" s="3" t="inlineStr">
        <is>
          <t>Turkey Meatloaf with Tomato Glaze, healthy food photography, plated, natural light</t>
        </is>
      </c>
      <c r="K1034" s="4" t="inlineStr"/>
      <c r="L1034" s="3" t="inlineStr">
        <is>
          <t>Ground turkey 93% lean — 700 g (24.7 oz)
Egg, large (50 g each) — 100 g (3.5 oz)
Oat bran, dry — 40 g (1.4 oz)
Yellow onion — 100 g (3.5 oz)
Tomato paste — 50 g (1.8 oz)
Apple cider vinegar — 15 g (0.5 oz)
Garlic — 6 g (0.2 oz)
Salt — 3 g (0.1 oz)
Black pepper — 1 g (0.0 oz)</t>
        </is>
      </c>
      <c r="M1034" s="4" t="inlineStr">
        <is>
          <t>[{"ingredient_id": "ground_turkey", "name": "Ground turkey 93% lean", "grams": 700.0, "note": ""}, {"ingredient_id": "egg", "name": "Egg, large (50 g each)", "grams": 100.0, "note": ""}, {"ingredient_id": "oat_bran", "name": "Oat bran, dry", "grams": 40.0, "note": ""}, {"ingredient_id": "onion", "name": "Yellow onion", "grams": 100.0, "note": ""}, {"ingredient_id": "tomato_paste", "name": "Tomato paste", "grams": 50.0, "note": ""}, {"ingredient_id": "apple_cider_vinegar", "name": "Apple cider vinegar", "grams": 15.0, "note": ""}, {"ingredient_id": "garlic", "name": "Garlic", "grams": 6.0, "note": ""}, {"ingredient_id": "salt", "name": "Salt", "grams": 3.0, "note": ""}, {"ingredient_id": "black_pepper", "name": "Black pepper", "grams": 1.0, "note": ""}]</t>
        </is>
      </c>
      <c r="N1034" s="2" t="n">
        <v>231</v>
      </c>
      <c r="O1034" s="5" t="n">
        <v>25.7</v>
      </c>
      <c r="P1034" s="5" t="n">
        <v>11.5</v>
      </c>
      <c r="Q1034" s="5" t="n">
        <v>8.1</v>
      </c>
      <c r="R1034" s="5" t="n">
        <v>1.7</v>
      </c>
      <c r="S1034" s="5" t="n">
        <v>6.4</v>
      </c>
      <c r="T1034" s="2" t="n">
        <v>40</v>
      </c>
      <c r="U1034" s="2" t="inlineStr">
        <is>
          <t>low</t>
        </is>
      </c>
      <c r="V1034" s="5" t="n">
        <v>2.6</v>
      </c>
      <c r="W1034" s="2" t="inlineStr">
        <is>
          <t>low</t>
        </is>
      </c>
      <c r="X1034" s="3" t="inlineStr"/>
      <c r="Y1034" s="3" t="inlineStr">
        <is>
          <t>53% of this dish's available carbohydrate comes from ingredients with a published, measured GI; the rest uses conventional placeholders (see Ingredients sheet)</t>
        </is>
      </c>
      <c r="Z1034" s="2" t="n">
        <v>53</v>
      </c>
      <c r="AA1034" s="3" t="inlineStr">
        <is>
          <t>dairy-free, nut-free, low-carb, high-protein, meal-prep</t>
        </is>
      </c>
      <c r="AB1034" s="3" t="inlineStr">
        <is>
          <t>1. Heat the oven to 375°F.
2. Mix the turkey, egg, oat bran, onion, garlic, salt and pepper.
3. Press into a loaf pan.
4. Stir the tomato paste with vinegar and spread over the top.
5. Bake 50 minutes.</t>
        </is>
      </c>
      <c r="AC1034" s="4" t="inlineStr">
        <is>
          <t>["Heat the oven to 375°F.", "Mix the turkey, egg, oat bran, onion, garlic, salt and pepper.", "Press into a loaf pan.", "Stir the tomato paste with vinegar and spread over the top.", "Bake 50 minutes."]</t>
        </is>
      </c>
    </row>
    <row r="1035" ht="96" customHeight="1">
      <c r="A1035" s="2" t="inlineStr">
        <is>
          <t>DB-1034</t>
        </is>
      </c>
      <c r="B1035" s="3" t="inlineStr">
        <is>
          <t>Chicken and Broccoli Stir-Fry</t>
        </is>
      </c>
      <c r="C1035" s="4" t="inlineStr">
        <is>
          <t>Poultry</t>
        </is>
      </c>
      <c r="D1035" s="4" t="inlineStr">
        <is>
          <t>American</t>
        </is>
      </c>
      <c r="E1035" s="2" t="n">
        <v>4</v>
      </c>
      <c r="F1035" s="2" t="n">
        <v>15</v>
      </c>
      <c r="G1035" s="2" t="n">
        <v>12</v>
      </c>
      <c r="H1035" s="2" t="n">
        <v>27</v>
      </c>
      <c r="I1035" s="4" t="inlineStr">
        <is>
          <t>chicken-and-broccoli-stir-fry.jpg</t>
        </is>
      </c>
      <c r="J1035" s="3" t="inlineStr">
        <is>
          <t>Chicken and Broccoli Stir-Fry, healthy food photography, plated, natural light</t>
        </is>
      </c>
      <c r="K1035" s="4" t="inlineStr"/>
      <c r="L1035" s="3" t="inlineStr">
        <is>
          <t>Chicken breast, skinless — 500 g (17.6 oz)
Broccoli — 400 g (14.1 oz)
Garlic — 8 g (0.3 oz)
Fresh ginger — 8 g (0.3 oz)
Soy sauce, low sodium — 30 g (1.1 oz)
Toasted sesame oil — 10 g (0.4 oz)
Extra-virgin olive oil — 10 g (0.4 oz)
Red pepper flakes — 1 g (0.0 oz)
Brown rice, cooked — 120 g (4.2 oz)</t>
        </is>
      </c>
      <c r="M1035" s="4" t="inlineStr">
        <is>
          <t>[{"ingredient_id": "chicken_breast", "name": "Chicken breast, skinless", "grams": 500.0, "note": ""}, {"ingredient_id": "broccoli", "name": "Broccoli", "grams": 400.0,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 {"ingredient_id": "red_pepper_flakes", "name": "Red pepper flakes", "grams": 1.0, "note": ""}, {"ingredient_id": "brown_rice", "name": "Brown rice, cooked", "grams": 120.0, "note": ""}]</t>
        </is>
      </c>
      <c r="N1035" s="2" t="n">
        <v>271</v>
      </c>
      <c r="O1035" s="5" t="n">
        <v>32.4</v>
      </c>
      <c r="P1035" s="5" t="n">
        <v>9</v>
      </c>
      <c r="Q1035" s="5" t="n">
        <v>15.3</v>
      </c>
      <c r="R1035" s="5" t="n">
        <v>3.3</v>
      </c>
      <c r="S1035" s="5" t="n">
        <v>12</v>
      </c>
      <c r="T1035" s="2" t="n">
        <v>45</v>
      </c>
      <c r="U1035" s="2" t="inlineStr">
        <is>
          <t>low</t>
        </is>
      </c>
      <c r="V1035" s="5" t="n">
        <v>5.4</v>
      </c>
      <c r="W1035" s="2" t="inlineStr">
        <is>
          <t>low</t>
        </is>
      </c>
      <c r="X1035" s="3" t="inlineStr"/>
      <c r="Y1035" s="3" t="inlineStr">
        <is>
          <t>56% of this dish's available carbohydrate comes from ingredients with a published, measured GI; the rest uses conventional placeholders (see Ingredients sheet)</t>
        </is>
      </c>
      <c r="Z1035" s="2" t="n">
        <v>56</v>
      </c>
      <c r="AA1035" s="3" t="inlineStr">
        <is>
          <t>dairy-free, nut-free, low-carb, high-protein</t>
        </is>
      </c>
      <c r="AB1035" s="3" t="inlineStr">
        <is>
          <t>1. Cook the rice according to the package.
2. Sear the sliced chicken in oil, then set aside.
3. Stir-fry the broccoli, garlic and ginger 4 minutes.
4. Return the chicken with soy sauce and sesame oil and serve over rice.</t>
        </is>
      </c>
      <c r="AC1035" s="4" t="inlineStr">
        <is>
          <t>["Cook the rice according to the package.", "Sear the sliced chicken in oil, then set aside.", "Stir-fry the broccoli, garlic and ginger 4 minutes.", "Return the chicken with soy sauce and sesame oil and serve over rice."]</t>
        </is>
      </c>
    </row>
    <row r="1036" ht="96" customHeight="1">
      <c r="A1036" s="2" t="inlineStr">
        <is>
          <t>DB-1035</t>
        </is>
      </c>
      <c r="B1036" s="3" t="inlineStr">
        <is>
          <t>Buffalo Chicken Stuffed Sweet Potatoes</t>
        </is>
      </c>
      <c r="C1036" s="4" t="inlineStr">
        <is>
          <t>Poultry</t>
        </is>
      </c>
      <c r="D1036" s="4" t="inlineStr">
        <is>
          <t>American</t>
        </is>
      </c>
      <c r="E1036" s="2" t="n">
        <v>4</v>
      </c>
      <c r="F1036" s="2" t="n">
        <v>15</v>
      </c>
      <c r="G1036" s="2" t="n">
        <v>45</v>
      </c>
      <c r="H1036" s="2" t="n">
        <v>60</v>
      </c>
      <c r="I1036" s="4" t="inlineStr">
        <is>
          <t>buffalo-chicken-stuffed-sweet-potatoes.jpg</t>
        </is>
      </c>
      <c r="J1036" s="3" t="inlineStr">
        <is>
          <t>Buffalo Chicken Stuffed Sweet Potatoes, healthy food photography, plated, natural light</t>
        </is>
      </c>
      <c r="K1036" s="4" t="inlineStr"/>
      <c r="L1036" s="3" t="inlineStr">
        <is>
          <t>Sweet potato, boiled/simmered — 560 g (19.8 oz)
Rotisserie chicken, skin removed — 360 g (12.7 oz)
Hot sauce (Tabasco/Frank's) — 50 g (1.8 oz)
Greek yogurt, plain 2% — 100 g (3.5 oz)
Celery — 60 g (2.1 oz)
Green onions (scallions) — 20 g (0.7 oz)
Blue cheese, crumbled — 30 g (1.1 oz)</t>
        </is>
      </c>
      <c r="M1036" s="4" t="inlineStr">
        <is>
          <t>[{"ingredient_id": "sweet_potato", "name": "Sweet potato, boiled/simmered", "grams": 560.0, "note": ""}, {"ingredient_id": "rotisserie_chicken", "name": "Rotisserie chicken, skin removed", "grams": 360.0, "note": ""}, {"ingredient_id": "hot_sauce", "name": "Hot sauce (Tabasco/Frank's)", "grams": 50.0, "note": ""}, {"ingredient_id": "greek_yogurt", "name": "Greek yogurt, plain 2%", "grams": 100.0, "note": ""}, {"ingredient_id": "celery", "name": "Celery", "grams": 60.0, "note": ""}, {"ingredient_id": "green_onion", "name": "Green onions (scallions)", "grams": 20.0, "note": ""}, {"ingredient_id": "blue_cheese", "name": "Blue cheese, crumbled", "grams": 30.0, "note": ""}]</t>
        </is>
      </c>
      <c r="N1036" s="2" t="n">
        <v>315</v>
      </c>
      <c r="O1036" s="5" t="n">
        <v>27.3</v>
      </c>
      <c r="P1036" s="5" t="n">
        <v>9.199999999999999</v>
      </c>
      <c r="Q1036" s="5" t="n">
        <v>30.2</v>
      </c>
      <c r="R1036" s="5" t="n">
        <v>4.6</v>
      </c>
      <c r="S1036" s="5" t="n">
        <v>25.6</v>
      </c>
      <c r="T1036" s="2" t="n">
        <v>44</v>
      </c>
      <c r="U1036" s="2" t="inlineStr">
        <is>
          <t>low</t>
        </is>
      </c>
      <c r="V1036" s="5" t="n">
        <v>11.3</v>
      </c>
      <c r="W1036" s="2" t="inlineStr">
        <is>
          <t>medium</t>
        </is>
      </c>
      <c r="X1036" s="3" t="inlineStr"/>
      <c r="Y1036" s="3" t="inlineStr">
        <is>
          <t>97% of this dish's available carbohydrate comes from ingredients with a published, measured GI; the rest uses conventional placeholders (see Ingredients sheet)</t>
        </is>
      </c>
      <c r="Z1036" s="2" t="n">
        <v>97</v>
      </c>
      <c r="AA1036" s="3" t="inlineStr">
        <is>
          <t>gluten-free, nut-free, high-protein</t>
        </is>
      </c>
      <c r="AB1036" s="3" t="inlineStr">
        <is>
          <t>1. Bake the sweet potatoes until tender, about 45 minutes.
2. Shred the chicken and toss with hot sauce and yogurt.
3. Split the potatoes and fill with the chicken.
4. Top with celery, green onion and blue cheese.</t>
        </is>
      </c>
      <c r="AC1036" s="4" t="inlineStr">
        <is>
          <t>["Bake the sweet potatoes until tender, about 45 minutes.", "Shred the chicken and toss with hot sauce and yogurt.", "Split the potatoes and fill with the chicken.", "Top with celery, green onion and blue cheese."]</t>
        </is>
      </c>
    </row>
    <row r="1037" ht="96" customHeight="1">
      <c r="A1037" s="2" t="inlineStr">
        <is>
          <t>DB-1036</t>
        </is>
      </c>
      <c r="B1037" s="3" t="inlineStr">
        <is>
          <t>Garlic Parmesan Chicken Thighs</t>
        </is>
      </c>
      <c r="C1037" s="4" t="inlineStr">
        <is>
          <t>Poultry</t>
        </is>
      </c>
      <c r="D1037" s="4" t="inlineStr">
        <is>
          <t>American</t>
        </is>
      </c>
      <c r="E1037" s="2" t="n">
        <v>4</v>
      </c>
      <c r="F1037" s="2" t="n">
        <v>10</v>
      </c>
      <c r="G1037" s="2" t="n">
        <v>30</v>
      </c>
      <c r="H1037" s="2" t="n">
        <v>40</v>
      </c>
      <c r="I1037" s="4" t="inlineStr">
        <is>
          <t>garlic-parmesan-chicken-thighs.jpg</t>
        </is>
      </c>
      <c r="J1037" s="3" t="inlineStr">
        <is>
          <t>Garlic Parmesan Chicken Thighs, healthy food photography, plated, natural light</t>
        </is>
      </c>
      <c r="K1037" s="4" t="inlineStr"/>
      <c r="L1037" s="3" t="inlineStr">
        <is>
          <t>Chicken thigh, skinless boneless — 700 g (24.7 oz)
Parmesan, grated — 40 g (1.4 oz)
Garlic — 12 g (0.4 oz)
Extra-virgin olive oil — 15 g (0.5 oz)
Italian seasoning — 3 g (0.1 oz)
Salt — 2 g (0.1 oz)
Broccolini — 300 g (10.6 oz)</t>
        </is>
      </c>
      <c r="M1037" s="4" t="inlineStr">
        <is>
          <t>[{"ingredient_id": "chicken_thigh", "name": "Chicken thigh, skinless boneless", "grams": 700.0, "note": ""}, {"ingredient_id": "parmesan", "name": "Parmesan, grated", "grams": 40.0, "note": ""}, {"ingredient_id": "garlic", "name": "Garlic", "grams": 12.0, "note": ""}, {"ingredient_id": "olive_oil", "name": "Extra-virgin olive oil", "grams": 15.0, "note": ""}, {"ingredient_id": "italian_seasoning", "name": "Italian seasoning", "grams": 3.0, "note": ""}, {"ingredient_id": "salt", "name": "Salt", "grams": 2.0, "note": ""}, {"ingredient_id": "broccolini", "name": "Broccolini", "grams": 300.0, "note": ""}]</t>
        </is>
      </c>
      <c r="N1037" s="2" t="n">
        <v>321</v>
      </c>
      <c r="O1037" s="5" t="n">
        <v>40.8</v>
      </c>
      <c r="P1037" s="5" t="n">
        <v>14.2</v>
      </c>
      <c r="Q1037" s="5" t="n">
        <v>6.8</v>
      </c>
      <c r="R1037" s="5" t="n">
        <v>2.3</v>
      </c>
      <c r="S1037" s="5" t="n">
        <v>4.5</v>
      </c>
      <c r="T1037" s="2" t="n">
        <v>17</v>
      </c>
      <c r="U1037" s="2" t="inlineStr">
        <is>
          <t>low</t>
        </is>
      </c>
      <c r="V1037" s="5" t="n">
        <v>0.8</v>
      </c>
      <c r="W1037" s="2" t="inlineStr">
        <is>
          <t>low</t>
        </is>
      </c>
      <c r="X1037" s="3" t="inlineStr">
        <is>
          <t>Negligible carbohydrate (&lt;5 g net/serving): GI has little practical meaning, glycemic load is what matters.</t>
        </is>
      </c>
      <c r="Y1037" s="3" t="inlineStr">
        <is>
          <t>0% of this dish's available carbohydrate comes from ingredients with a published, measured GI; the rest uses conventional placeholders (see Ingredients sheet)</t>
        </is>
      </c>
      <c r="Z1037" s="2" t="n">
        <v>0</v>
      </c>
      <c r="AA1037" s="3" t="inlineStr">
        <is>
          <t>gluten-free, nut-free, low-carb, high-protein, one-pan</t>
        </is>
      </c>
      <c r="AB1037" s="3" t="inlineStr">
        <is>
          <t>1. Heat the oven to 425°F.
2. Rub the chicken with oil, garlic, seasoning and salt.
3. Roast 25 minutes with the broccolini.
4. Scatter parmesan on top for the last 5 minutes.</t>
        </is>
      </c>
      <c r="AC1037" s="4" t="inlineStr">
        <is>
          <t>["Heat the oven to 425°F.", "Rub the chicken with oil, garlic, seasoning and salt.", "Roast 25 minutes with the broccolini.", "Scatter parmesan on top for the last 5 minutes."]</t>
        </is>
      </c>
    </row>
    <row r="1038" ht="96" customHeight="1">
      <c r="A1038" s="2" t="inlineStr">
        <is>
          <t>DB-1037</t>
        </is>
      </c>
      <c r="B1038" s="3" t="inlineStr">
        <is>
          <t>Ground Turkey Taco Skillet with Beans and Corn</t>
        </is>
      </c>
      <c r="C1038" s="4" t="inlineStr">
        <is>
          <t>Poultry</t>
        </is>
      </c>
      <c r="D1038" s="4" t="inlineStr">
        <is>
          <t>Tex-Mex</t>
        </is>
      </c>
      <c r="E1038" s="2" t="n">
        <v>4</v>
      </c>
      <c r="F1038" s="2" t="n">
        <v>10</v>
      </c>
      <c r="G1038" s="2" t="n">
        <v>20</v>
      </c>
      <c r="H1038" s="2" t="n">
        <v>30</v>
      </c>
      <c r="I1038" s="4" t="inlineStr">
        <is>
          <t>ground-turkey-taco-skillet-with-beans-and-corn.jpg</t>
        </is>
      </c>
      <c r="J1038" s="3" t="inlineStr">
        <is>
          <t>Ground Turkey Taco Skillet with Beans and Corn, healthy food photography, plated, natural light</t>
        </is>
      </c>
      <c r="K1038" s="4" t="inlineStr"/>
      <c r="L1038" s="3" t="inlineStr">
        <is>
          <t>Ground turkey 93% lean — 500 g (17.6 oz)
Black beans, cooked — 200 g (7.1 oz)
Sweet corn kernels — 100 g (3.5 oz)
Diced tomatoes, canned — 200 g (7.1 oz)
Taco seasoning, low sodium — 12 g (0.4 oz)
Yellow onion — 100 g (3.5 oz)
Cheddar cheese — 50 g (1.8 oz)
Fresh cilantro — 5 g (0.2 oz)
Extra-virgin olive oil — 10 g (0.4 oz)</t>
        </is>
      </c>
      <c r="M1038" s="4" t="inlineStr">
        <is>
          <t>[{"ingredient_id": "ground_turkey", "name": "Ground turkey 93% lean", "grams": 500.0, "note": ""}, {"ingredient_id": "black_beans", "name": "Black beans, cooked", "grams": 200.0, "note": ""}, {"ingredient_id": "corn", "name": "Sweet corn kernels", "grams": 100.0, "note": ""}, {"ingredient_id": "diced_tomatoes", "name": "Diced tomatoes, canned", "grams": 200.0, "note": ""}, {"ingredient_id": "taco_seasoning", "name": "Taco seasoning, low sodium", "grams": 12.0, "note": ""}, {"ingredient_id": "onion", "name": "Yellow onion", "grams": 100.0, "note": ""}, {"ingredient_id": "cheddar", "name": "Cheddar cheese", "grams": 50.0, "note": ""}, {"ingredient_id": "cilantro", "name": "Fresh cilantro", "grams": 5.0, "note": ""}, {"ingredient_id": "olive_oil", "name": "Extra-virgin olive oil", "grams": 10.0, "note": ""}]</t>
        </is>
      </c>
      <c r="N1038" s="2" t="n">
        <v>379</v>
      </c>
      <c r="O1038" s="5" t="n">
        <v>32.7</v>
      </c>
      <c r="P1038" s="5" t="n">
        <v>17.6</v>
      </c>
      <c r="Q1038" s="5" t="n">
        <v>23.3</v>
      </c>
      <c r="R1038" s="5" t="n">
        <v>7</v>
      </c>
      <c r="S1038" s="5" t="n">
        <v>16.3</v>
      </c>
      <c r="T1038" s="2" t="n">
        <v>33</v>
      </c>
      <c r="U1038" s="2" t="inlineStr">
        <is>
          <t>low</t>
        </is>
      </c>
      <c r="V1038" s="5" t="n">
        <v>5.4</v>
      </c>
      <c r="W1038" s="2" t="inlineStr">
        <is>
          <t>low</t>
        </is>
      </c>
      <c r="X1038" s="3" t="inlineStr"/>
      <c r="Y1038" s="3" t="inlineStr">
        <is>
          <t>71% of this dish's available carbohydrate comes from ingredients with a published, measured GI; the rest uses conventional placeholders (see Ingredients sheet)</t>
        </is>
      </c>
      <c r="Z1038" s="2" t="n">
        <v>71</v>
      </c>
      <c r="AA1038" s="3" t="inlineStr">
        <is>
          <t>gluten-free, nut-free, high-protein, one-pan</t>
        </is>
      </c>
      <c r="AB1038" s="3" t="inlineStr">
        <is>
          <t>1. Brown the turkey with the onion in oil.
2. Stir in the taco seasoning, beans, corn and tomatoes.
3. Simmer 10 minutes.
4. Top with cheddar and cilantro.</t>
        </is>
      </c>
      <c r="AC1038" s="4" t="inlineStr">
        <is>
          <t>["Brown the turkey with the onion in oil.", "Stir in the taco seasoning, beans, corn and tomatoes.", "Simmer 10 minutes.", "Top with cheddar and cilantro."]</t>
        </is>
      </c>
    </row>
    <row r="1039" ht="96" customHeight="1">
      <c r="A1039" s="2" t="inlineStr">
        <is>
          <t>DB-1038</t>
        </is>
      </c>
      <c r="B1039" s="3" t="inlineStr">
        <is>
          <t>Chicken Parmesan with Zucchini Noodles</t>
        </is>
      </c>
      <c r="C1039" s="4" t="inlineStr">
        <is>
          <t>Poultry</t>
        </is>
      </c>
      <c r="D1039" s="4" t="inlineStr">
        <is>
          <t>Italian</t>
        </is>
      </c>
      <c r="E1039" s="2" t="n">
        <v>4</v>
      </c>
      <c r="F1039" s="2" t="n">
        <v>20</v>
      </c>
      <c r="G1039" s="2" t="n">
        <v>25</v>
      </c>
      <c r="H1039" s="2" t="n">
        <v>45</v>
      </c>
      <c r="I1039" s="4" t="inlineStr">
        <is>
          <t>chicken-parmesan-with-zucchini-noodles.jpg</t>
        </is>
      </c>
      <c r="J1039" s="3" t="inlineStr">
        <is>
          <t>Chicken Parmesan with Zucchini Noodles, healthy food photography, plated, natural light</t>
        </is>
      </c>
      <c r="K1039" s="4" t="inlineStr"/>
      <c r="L1039" s="3" t="inlineStr">
        <is>
          <t>Chicken breast, skinless — 560 g (19.8 oz)
Almond flour — 50 g (1.8 oz)
Parmesan, grated — 30 g (1.1 oz)
Egg, large (50 g each) — 50 g (1.8 oz)
Marinara sauce, no sugar added — 250 g (8.8 oz)
Mozzarella, part-skim — 100 g (3.5 oz)
Zucchini noodles (zoodles) — 400 g (14.1 oz)
Extra-virgin olive oil — 15 g (0.5 oz)</t>
        </is>
      </c>
      <c r="M1039" s="4" t="inlineStr">
        <is>
          <t>[{"ingredient_id": "chicken_breast", "name": "Chicken breast, skinless", "grams": 560.0, "note": ""}, {"ingredient_id": "almond_flour", "name": "Almond flour", "grams": 50.0, "note": ""}, {"ingredient_id": "parmesan", "name": "Parmesan, grated", "grams": 30.0, "note": ""}, {"ingredient_id": "egg", "name": "Egg, large (50 g each)", "grams": 50.0, "note": ""}, {"ingredient_id": "marinara", "name": "Marinara sauce, no sugar added", "grams": 250.0, "note": ""}, {"ingredient_id": "mozzarella", "name": "Mozzarella, part-skim", "grams": 100.0, "note": ""}, {"ingredient_id": "zucchini_noodles", "name": "Zucchini noodles (zoodles)", "grams": 400.0, "note": ""}, {"ingredient_id": "olive_oil", "name": "Extra-virgin olive oil", "grams": 15.0, "note": ""}]</t>
        </is>
      </c>
      <c r="N1039" s="2" t="n">
        <v>434</v>
      </c>
      <c r="O1039" s="5" t="n">
        <v>46.7</v>
      </c>
      <c r="P1039" s="5" t="n">
        <v>22.9</v>
      </c>
      <c r="Q1039" s="5" t="n">
        <v>10</v>
      </c>
      <c r="R1039" s="5" t="n">
        <v>3.4</v>
      </c>
      <c r="S1039" s="5" t="n">
        <v>6.5</v>
      </c>
      <c r="T1039" s="2" t="n">
        <v>19</v>
      </c>
      <c r="U1039" s="2" t="inlineStr">
        <is>
          <t>low</t>
        </is>
      </c>
      <c r="V1039" s="5" t="n">
        <v>1.2</v>
      </c>
      <c r="W1039" s="2" t="inlineStr">
        <is>
          <t>low</t>
        </is>
      </c>
      <c r="X1039" s="3" t="inlineStr"/>
      <c r="Y1039" s="3" t="inlineStr">
        <is>
          <t>33% of this dish's available carbohydrate comes from ingredients with a published, measured GI; the rest uses conventional placeholders (see Ingredients sheet)</t>
        </is>
      </c>
      <c r="Z1039" s="2" t="n">
        <v>33</v>
      </c>
      <c r="AA1039" s="3" t="inlineStr">
        <is>
          <t>gluten-free, low-carb, high-protein</t>
        </is>
      </c>
      <c r="AB1039" s="3" t="inlineStr">
        <is>
          <t>1. Coat the pounded chicken in egg, then almond flour mixed with parmesan.
2. Sear in oil 3 minutes a side.
3. Top with marinara and mozzarella and bake at 400°F for 12 minutes.
4. Warm the zucchini noodles briefly and serve alongside.</t>
        </is>
      </c>
      <c r="AC1039" s="4" t="inlineStr">
        <is>
          <t>["Coat the pounded chicken in egg, then almond flour mixed with parmesan.", "Sear in oil 3 minutes a side.", "Top with marinara and mozzarella and bake at 400°F for 12 minutes.", "Warm the zucchini noodles briefly and serve alongside."]</t>
        </is>
      </c>
    </row>
    <row r="1040" ht="96" customHeight="1">
      <c r="A1040" s="2" t="inlineStr">
        <is>
          <t>DB-1039</t>
        </is>
      </c>
      <c r="B1040" s="3" t="inlineStr">
        <is>
          <t>One-Pan Chicken Sausage and Peppers</t>
        </is>
      </c>
      <c r="C1040" s="4" t="inlineStr">
        <is>
          <t>Poultry</t>
        </is>
      </c>
      <c r="D1040" s="4" t="inlineStr">
        <is>
          <t>American</t>
        </is>
      </c>
      <c r="E1040" s="2" t="n">
        <v>4</v>
      </c>
      <c r="F1040" s="2" t="n">
        <v>10</v>
      </c>
      <c r="G1040" s="2" t="n">
        <v>25</v>
      </c>
      <c r="H1040" s="2" t="n">
        <v>35</v>
      </c>
      <c r="I1040" s="4" t="inlineStr">
        <is>
          <t>one-pan-chicken-sausage-and-peppers.jpg</t>
        </is>
      </c>
      <c r="J1040" s="3" t="inlineStr">
        <is>
          <t>One-Pan Chicken Sausage and Peppers, healthy food photography, plated, natural light</t>
        </is>
      </c>
      <c r="K1040" s="4" t="inlineStr"/>
      <c r="L1040" s="3" t="inlineStr">
        <is>
          <t>Chicken sausage — 450 g (15.9 oz)
Bell pepper — 400 g (14.1 oz)
Yellow onion — 150 g (5.3 oz)
Extra-virgin olive oil — 15 g (0.5 oz)
Italian seasoning — 3 g (0.1 oz)
Garlic — 8 g (0.3 oz)
Balsamic vinegar — 10 g (0.4 oz)</t>
        </is>
      </c>
      <c r="M1040" s="4" t="inlineStr">
        <is>
          <t>[{"ingredient_id": "chicken_sausage", "name": "Chicken sausage", "grams": 450.0, "note": ""}, {"ingredient_id": "bell_pepper", "name": "Bell pepper", "grams": 400.0, "note": ""}, {"ingredient_id": "onion", "name": "Yellow onion", "grams": 150.0, "note": ""}, {"ingredient_id": "olive_oil", "name": "Extra-virgin olive oil", "grams": 15.0, "note": ""}, {"ingredient_id": "italian_seasoning", "name": "Italian seasoning", "grams": 3.0, "note": ""}, {"ingredient_id": "garlic", "name": "Garlic", "grams": 8.0, "note": ""}, {"ingredient_id": "balsamic_vinegar", "name": "Balsamic vinegar", "grams": 10.0, "note": ""}]</t>
        </is>
      </c>
      <c r="N1040" s="2" t="n">
        <v>278</v>
      </c>
      <c r="O1040" s="5" t="n">
        <v>18.5</v>
      </c>
      <c r="P1040" s="5" t="n">
        <v>16.5</v>
      </c>
      <c r="Q1040" s="5" t="n">
        <v>13.3</v>
      </c>
      <c r="R1040" s="5" t="n">
        <v>3.1</v>
      </c>
      <c r="S1040" s="5" t="n">
        <v>10.2</v>
      </c>
      <c r="T1040" s="2" t="n">
        <v>13</v>
      </c>
      <c r="U1040" s="2" t="inlineStr">
        <is>
          <t>low</t>
        </is>
      </c>
      <c r="V1040" s="5" t="n">
        <v>1.3</v>
      </c>
      <c r="W1040" s="2" t="inlineStr">
        <is>
          <t>low</t>
        </is>
      </c>
      <c r="X1040" s="3" t="inlineStr"/>
      <c r="Y1040" s="3" t="inlineStr">
        <is>
          <t>0% of this dish's available carbohydrate comes from ingredients with a published, measured GI; the rest uses conventional placeholders (see Ingredients sheet)</t>
        </is>
      </c>
      <c r="Z1040" s="2" t="n">
        <v>0</v>
      </c>
      <c r="AA1040" s="3" t="inlineStr">
        <is>
          <t>gluten-free, dairy-free, nut-free, low-carb, one-pan</t>
        </is>
      </c>
      <c r="AB1040" s="3" t="inlineStr">
        <is>
          <t>1. Heat the oven to 425°F.
2. Toss everything on a tray.
3. Roast 25 minutes, stirring once.
4. Splash with balsamic to finish.</t>
        </is>
      </c>
      <c r="AC1040" s="4" t="inlineStr">
        <is>
          <t>["Heat the oven to 425°F.", "Toss everything on a tray.", "Roast 25 minutes, stirring once.", "Splash with balsamic to finish."]</t>
        </is>
      </c>
    </row>
    <row r="1041" ht="96" customHeight="1">
      <c r="A1041" s="2" t="inlineStr">
        <is>
          <t>DB-1040</t>
        </is>
      </c>
      <c r="B1041" s="3" t="inlineStr">
        <is>
          <t>Honey Mustard Chicken (No Added Sugar)</t>
        </is>
      </c>
      <c r="C1041" s="4" t="inlineStr">
        <is>
          <t>Poultry</t>
        </is>
      </c>
      <c r="D1041" s="4" t="inlineStr">
        <is>
          <t>American</t>
        </is>
      </c>
      <c r="E1041" s="2" t="n">
        <v>4</v>
      </c>
      <c r="F1041" s="2" t="n">
        <v>10</v>
      </c>
      <c r="G1041" s="2" t="n">
        <v>25</v>
      </c>
      <c r="H1041" s="2" t="n">
        <v>35</v>
      </c>
      <c r="I1041" s="4" t="inlineStr">
        <is>
          <t>honey-mustard-chicken-no-added-sugar.jpg</t>
        </is>
      </c>
      <c r="J1041" s="3" t="inlineStr">
        <is>
          <t>Honey Mustard Chicken (No Added Sugar), healthy food photography, plated, natural light</t>
        </is>
      </c>
      <c r="K1041" s="4" t="inlineStr"/>
      <c r="L1041" s="3" t="inlineStr">
        <is>
          <t>Chicken breast, skinless — 600 g (21.2 oz)
Dijon mustard — 40 g (1.4 oz)
Greek yogurt, plain 2% — 60 g (2.1 oz)
Apple cider vinegar — 10 g (0.4 oz)
Garlic powder — 3 g (0.1 oz)
Paprika — 2 g (0.1 oz)
Asparagus — 300 g (10.6 oz)
Extra-virgin olive oil — 15 g (0.5 oz)</t>
        </is>
      </c>
      <c r="M1041" s="4" t="inlineStr">
        <is>
          <t>[{"ingredient_id": "chicken_breast", "name": "Chicken breast, skinless", "grams": 600.0, "note": ""}, {"ingredient_id": "dijon", "name": "Dijon mustard", "grams": 40.0, "note": ""}, {"ingredient_id": "greek_yogurt", "name": "Greek yogurt, plain 2%", "grams": 60.0, "note": ""}, {"ingredient_id": "apple_cider_vinegar", "name": "Apple cider vinegar", "grams": 10.0, "note": ""}, {"ingredient_id": "garlic_powder", "name": "Garlic powder", "grams": 3.0, "note": ""}, {"ingredient_id": "paprika", "name": "Paprika", "grams": 2.0, "note": ""}, {"ingredient_id": "asparagus", "name": "Asparagus", "grams": 300.0, "note": ""}, {"ingredient_id": "olive_oil", "name": "Extra-virgin olive oil", "grams": 15.0, "note": ""}]</t>
        </is>
      </c>
      <c r="N1041" s="2" t="n">
        <v>250</v>
      </c>
      <c r="O1041" s="5" t="n">
        <v>37.5</v>
      </c>
      <c r="P1041" s="5" t="n">
        <v>8.4</v>
      </c>
      <c r="Q1041" s="5" t="n">
        <v>4.9</v>
      </c>
      <c r="R1041" s="5" t="n">
        <v>2.1</v>
      </c>
      <c r="S1041" s="5" t="n">
        <v>2.7</v>
      </c>
      <c r="T1041" s="2" t="n">
        <v>14</v>
      </c>
      <c r="U1041" s="2" t="inlineStr">
        <is>
          <t>low</t>
        </is>
      </c>
      <c r="V1041" s="5" t="n">
        <v>0.4</v>
      </c>
      <c r="W1041" s="2" t="inlineStr">
        <is>
          <t>low</t>
        </is>
      </c>
      <c r="X1041" s="3" t="inlineStr">
        <is>
          <t>Negligible carbohydrate (&lt;5 g net/serving): GI has little practical meaning, glycemic load is what matters.</t>
        </is>
      </c>
      <c r="Y1041" s="3" t="inlineStr">
        <is>
          <t>22% of this dish's available carbohydrate comes from ingredients with a published, measured GI; the rest uses conventional placeholders (see Ingredients sheet)</t>
        </is>
      </c>
      <c r="Z1041" s="2" t="n">
        <v>22</v>
      </c>
      <c r="AA1041" s="3" t="inlineStr">
        <is>
          <t>gluten-free, nut-free, low-carb, high-protein</t>
        </is>
      </c>
      <c r="AB1041" s="3" t="inlineStr">
        <is>
          <t>1. Stir the mustard, yogurt, vinegar and spices.
2. Coat the chicken and roast at 400°F for 22 minutes.
3. Roast the asparagus in the oil alongside for the last 10 minutes.</t>
        </is>
      </c>
      <c r="AC1041" s="4" t="inlineStr">
        <is>
          <t>["Stir the mustard, yogurt, vinegar and spices.", "Coat the chicken and roast at 400°F for 22 minutes.", "Roast the asparagus in the oil alongside for the last 10 minutes."]</t>
        </is>
      </c>
    </row>
    <row r="1042" ht="96" customHeight="1">
      <c r="A1042" s="2" t="inlineStr">
        <is>
          <t>DB-1041</t>
        </is>
      </c>
      <c r="B1042" s="3" t="inlineStr">
        <is>
          <t>Classic Pot Roast with Root Vegetables</t>
        </is>
      </c>
      <c r="C1042" s="4" t="inlineStr">
        <is>
          <t>Beef, Pork &amp; Lamb</t>
        </is>
      </c>
      <c r="D1042" s="4" t="inlineStr">
        <is>
          <t>American</t>
        </is>
      </c>
      <c r="E1042" s="2" t="n">
        <v>6</v>
      </c>
      <c r="F1042" s="2" t="n">
        <v>20</v>
      </c>
      <c r="G1042" s="2" t="n">
        <v>180</v>
      </c>
      <c r="H1042" s="2" t="n">
        <v>200</v>
      </c>
      <c r="I1042" s="4" t="inlineStr">
        <is>
          <t>classic-pot-roast-with-root-vegetables.jpg</t>
        </is>
      </c>
      <c r="J1042" s="3" t="inlineStr">
        <is>
          <t>Classic Pot Roast with Root Vegetables, healthy food photography, plated, natural light</t>
        </is>
      </c>
      <c r="K1042" s="4" t="inlineStr"/>
      <c r="L1042" s="3" t="inlineStr">
        <is>
          <t>Beef chuck roast, trimmed — 900 g (31.7 oz)
Carrot — 250 g (8.8 oz)
Turnip (GI of swede/rutabaga, closest tested) — 250 g (8.8 oz)
Yellow onion — 150 g (5.3 oz)
Celery — 80 g (2.8 oz)
Beef broth, low sodium — 500 g (17.6 oz)
Tomato paste — 30 g (1.1 oz)
Fresh thyme — 3 g (0.1 oz)
Bay leaves — 1 g (0.0 oz)
Extra-virgin olive oil — 15 g (0.5 oz)</t>
        </is>
      </c>
      <c r="M1042" s="4" t="inlineStr">
        <is>
          <t>[{"ingredient_id": "beef_chuck", "name": "Beef chuck roast, trimmed", "grams": 900.0, "note": ""}, {"ingredient_id": "carrot", "name": "Carrot", "grams": 250.0, "note": ""}, {"ingredient_id": "turnip", "name": "Turnip (GI of swede/rutabaga, closest tested)", "grams": 250.0, "note": ""}, {"ingredient_id": "onion", "name": "Yellow onion", "grams": 150.0, "note": ""}, {"ingredient_id": "celery", "name": "Celery", "grams": 80.0, "note": ""}, {"ingredient_id": "beef_broth", "name": "Beef broth, low sodium", "grams": 500.0, "note": ""}, {"ingredient_id": "tomato_paste", "name": "Tomato paste", "grams": 30.0, "note": ""}, {"ingredient_id": "thyme", "name": "Fresh thyme", "grams": 3.0, "note": ""}, {"ingredient_id": "bay_leaf", "name": "Bay leaves", "grams": 1.0, "note": ""}, {"ingredient_id": "olive_oil", "name": "Extra-virgin olive oil", "grams": 15.0, "note": ""}]</t>
        </is>
      </c>
      <c r="N1042" s="2" t="n">
        <v>344</v>
      </c>
      <c r="O1042" s="5" t="n">
        <v>32.5</v>
      </c>
      <c r="P1042" s="5" t="n">
        <v>19.4</v>
      </c>
      <c r="Q1042" s="5" t="n">
        <v>10.9</v>
      </c>
      <c r="R1042" s="5" t="n">
        <v>2.9</v>
      </c>
      <c r="S1042" s="5" t="n">
        <v>8.1</v>
      </c>
      <c r="T1042" s="2" t="n">
        <v>38</v>
      </c>
      <c r="U1042" s="2" t="inlineStr">
        <is>
          <t>low</t>
        </is>
      </c>
      <c r="V1042" s="5" t="n">
        <v>3.1</v>
      </c>
      <c r="W1042" s="2" t="inlineStr">
        <is>
          <t>low</t>
        </is>
      </c>
      <c r="X1042" s="3" t="inlineStr"/>
      <c r="Y1042" s="3" t="inlineStr">
        <is>
          <t>59% of this dish's available carbohydrate comes from ingredients with a published, measured GI; the rest uses conventional placeholders (see Ingredients sheet)</t>
        </is>
      </c>
      <c r="Z1042" s="2" t="n">
        <v>59</v>
      </c>
      <c r="AA1042" s="3" t="inlineStr">
        <is>
          <t>gluten-free, dairy-free, nut-free, low-carb, high-protein</t>
        </is>
      </c>
      <c r="AB1042" s="3" t="inlineStr">
        <is>
          <t>1. Sear the beef in oil in a heavy pot.
2. Add the onion, tomato paste, broth, thyme and bay leaf.
3. Cover and braise at 300°F for 2 hours.
4. Add the carrot, turnip and celery and cook 1 hour more until tender.</t>
        </is>
      </c>
      <c r="AC1042" s="4" t="inlineStr">
        <is>
          <t>["Sear the beef in oil in a heavy pot.", "Add the onion, tomato paste, broth, thyme and bay leaf.", "Cover and braise at 300°F for 2 hours.", "Add the carrot, turnip and celery and cook 1 hour more until tender."]</t>
        </is>
      </c>
    </row>
    <row r="1043" ht="96" customHeight="1">
      <c r="A1043" s="2" t="inlineStr">
        <is>
          <t>DB-1042</t>
        </is>
      </c>
      <c r="B1043" s="3" t="inlineStr">
        <is>
          <t>Bison Burger with Roasted Vegetables</t>
        </is>
      </c>
      <c r="C1043" s="4" t="inlineStr">
        <is>
          <t>Beef, Pork &amp; Lamb</t>
        </is>
      </c>
      <c r="D1043" s="4" t="inlineStr">
        <is>
          <t>American</t>
        </is>
      </c>
      <c r="E1043" s="2" t="n">
        <v>4</v>
      </c>
      <c r="F1043" s="2" t="n">
        <v>15</v>
      </c>
      <c r="G1043" s="2" t="n">
        <v>20</v>
      </c>
      <c r="H1043" s="2" t="n">
        <v>35</v>
      </c>
      <c r="I1043" s="4" t="inlineStr">
        <is>
          <t>bison-burger-with-roasted-vegetables.jpg</t>
        </is>
      </c>
      <c r="J1043" s="3" t="inlineStr">
        <is>
          <t>Bison Burger with Roasted Vegetables, healthy food photography, plated, natural light</t>
        </is>
      </c>
      <c r="K1043" s="4" t="inlineStr"/>
      <c r="L1043" s="3" t="inlineStr">
        <is>
          <t>Ground bison — 500 g (17.6 oz)
Yellow onion — 50 g (1.8 oz)
Yellow mustard — 10 g (0.4 oz)
Salt — 3 g (0.1 oz)
Zucchini — 250 g (8.8 oz)
Bell pepper — 200 g (7.1 oz)
Extra-virgin olive oil — 20 g (0.7 oz)
Tomato — 120 g (4.2 oz)
Romaine lettuce — 60 g (2.1 oz)</t>
        </is>
      </c>
      <c r="M1043" s="4" t="inlineStr">
        <is>
          <t>[{"ingredient_id": "bison", "name": "Ground bison", "grams": 500.0, "note": ""}, {"ingredient_id": "onion", "name": "Yellow onion", "grams": 50.0, "note": ""}, {"ingredient_id": "yellow_mustard", "name": "Yellow mustard", "grams": 10.0, "note": ""}, {"ingredient_id": "salt", "name": "Salt", "grams": 3.0, "note": ""}, {"ingredient_id": "zucchini", "name": "Zucchini", "grams": 250.0, "note": ""}, {"ingredient_id": "bell_pepper", "name": "Bell pepper", "grams": 200.0, "note": ""}, {"ingredient_id": "olive_oil", "name": "Extra-virgin olive oil", "grams": 20.0, "note": ""}, {"ingredient_id": "tomato", "name": "Tomato", "grams": 120.0, "note": ""}, {"ingredient_id": "romaine", "name": "Romaine lettuce", "grams": 60.0, "note": ""}]</t>
        </is>
      </c>
      <c r="N1043" s="2" t="n">
        <v>266</v>
      </c>
      <c r="O1043" s="5" t="n">
        <v>26.9</v>
      </c>
      <c r="P1043" s="5" t="n">
        <v>14.3</v>
      </c>
      <c r="Q1043" s="5" t="n">
        <v>7.9</v>
      </c>
      <c r="R1043" s="5" t="n">
        <v>2.6</v>
      </c>
      <c r="S1043" s="5" t="n">
        <v>5.3</v>
      </c>
      <c r="T1043" s="2" t="n">
        <v>15</v>
      </c>
      <c r="U1043" s="2" t="inlineStr">
        <is>
          <t>low</t>
        </is>
      </c>
      <c r="V1043" s="5" t="n">
        <v>0.8</v>
      </c>
      <c r="W1043" s="2" t="inlineStr">
        <is>
          <t>low</t>
        </is>
      </c>
      <c r="X1043" s="3" t="inlineStr"/>
      <c r="Y1043" s="3" t="inlineStr">
        <is>
          <t>0% of this dish's available carbohydrate comes from ingredients with a published, measured GI; the rest uses conventional placeholders (see Ingredients sheet)</t>
        </is>
      </c>
      <c r="Z1043" s="2" t="n">
        <v>0</v>
      </c>
      <c r="AA1043" s="3" t="inlineStr">
        <is>
          <t>gluten-free, dairy-free, nut-free, low-carb, high-protein</t>
        </is>
      </c>
      <c r="AB1043" s="3" t="inlineStr">
        <is>
          <t>1. Mix the bison with onion, mustard and salt and shape four patties.
2. Roast the zucchini and pepper in oil at 425°F for 20 minutes.
3. Grill the patties 4 minutes a side.
4. Serve on romaine with tomato and the roasted vegetables.</t>
        </is>
      </c>
      <c r="AC1043" s="4" t="inlineStr">
        <is>
          <t>["Mix the bison with onion, mustard and salt and shape four patties.", "Roast the zucchini and pepper in oil at 425°F for 20 minutes.", "Grill the patties 4 minutes a side.", "Serve on romaine with tomato and the roasted vegetables."]</t>
        </is>
      </c>
    </row>
    <row r="1044" ht="96" customHeight="1">
      <c r="A1044" s="2" t="inlineStr">
        <is>
          <t>DB-1043</t>
        </is>
      </c>
      <c r="B1044" s="3" t="inlineStr">
        <is>
          <t>Beef and Broccoli</t>
        </is>
      </c>
      <c r="C1044" s="4" t="inlineStr">
        <is>
          <t>Beef, Pork &amp; Lamb</t>
        </is>
      </c>
      <c r="D1044" s="4" t="inlineStr">
        <is>
          <t>American</t>
        </is>
      </c>
      <c r="E1044" s="2" t="n">
        <v>4</v>
      </c>
      <c r="F1044" s="2" t="n">
        <v>15</v>
      </c>
      <c r="G1044" s="2" t="n">
        <v>12</v>
      </c>
      <c r="H1044" s="2" t="n">
        <v>27</v>
      </c>
      <c r="I1044" s="4" t="inlineStr">
        <is>
          <t>beef-and-broccoli.jpg</t>
        </is>
      </c>
      <c r="J1044" s="3" t="inlineStr">
        <is>
          <t>Beef and Broccoli, healthy food photography, plated, natural light</t>
        </is>
      </c>
      <c r="K1044" s="4" t="inlineStr"/>
      <c r="L1044" s="3" t="inlineStr">
        <is>
          <t>Flank steak — 500 g (17.6 oz)
Broccoli — 400 g (14.1 oz)
Garlic — 8 g (0.3 oz)
Fresh ginger — 8 g (0.3 oz)
Coconut aminos — 40 g (1.4 oz)
Toasted sesame oil — 10 g (0.4 oz)
Extra-virgin olive oil — 10 g (0.4 oz)
Cauliflower rice — 300 g (10.6 oz)</t>
        </is>
      </c>
      <c r="M1044" s="4" t="inlineStr">
        <is>
          <t>[{"ingredient_id": "flank_steak", "name": "Flank steak", "grams": 500.0, "note": ""}, {"ingredient_id": "broccoli", "name": "Broccoli", "grams": 400.0, "note": ""}, {"ingredient_id": "garlic", "name": "Garlic", "grams": 8.0, "note": ""}, {"ingredient_id": "ginger", "name": "Fresh ginger", "grams": 8.0, "note": ""}, {"ingredient_id": "coconut_aminos", "name": "Coconut aminos", "grams": 40.0, "note": ""}, {"ingredient_id": "sesame_oil", "name": "Toasted sesame oil", "grams": 10.0, "note": ""}, {"ingredient_id": "olive_oil", "name": "Extra-virgin olive oil", "grams": 10.0, "note": ""}, {"ingredient_id": "cauliflower_rice", "name": "Cauliflower rice", "grams": 300.0, "note": ""}]</t>
        </is>
      </c>
      <c r="N1044" s="2" t="n">
        <v>298</v>
      </c>
      <c r="O1044" s="5" t="n">
        <v>30.6</v>
      </c>
      <c r="P1044" s="5" t="n">
        <v>14.4</v>
      </c>
      <c r="Q1044" s="5" t="n">
        <v>13.6</v>
      </c>
      <c r="R1044" s="5" t="n">
        <v>4.2</v>
      </c>
      <c r="S1044" s="5" t="n">
        <v>9.4</v>
      </c>
      <c r="T1044" s="2" t="n">
        <v>21</v>
      </c>
      <c r="U1044" s="2" t="inlineStr">
        <is>
          <t>low</t>
        </is>
      </c>
      <c r="V1044" s="5" t="n">
        <v>2</v>
      </c>
      <c r="W1044" s="2" t="inlineStr">
        <is>
          <t>low</t>
        </is>
      </c>
      <c r="X1044" s="3" t="inlineStr"/>
      <c r="Y1044" s="3" t="inlineStr">
        <is>
          <t>0% of this dish's available carbohydrate comes from ingredients with a published, measured GI; the rest uses conventional placeholders (see Ingredients sheet)</t>
        </is>
      </c>
      <c r="Z1044" s="2" t="n">
        <v>0</v>
      </c>
      <c r="AA1044" s="3" t="inlineStr">
        <is>
          <t>gluten-free, dairy-free, nut-free, low-carb, high-protein</t>
        </is>
      </c>
      <c r="AB1044" s="3" t="inlineStr">
        <is>
          <t>1. Slice the steak thin against the grain.
2. Sear in oil, then set aside.
3. Stir-fry the broccoli, garlic and ginger 4 minutes.
4. Add the steak and coconut aminos and serve over cauliflower rice with sesame oil.</t>
        </is>
      </c>
      <c r="AC1044" s="4" t="inlineStr">
        <is>
          <t>["Slice the steak thin against the grain.", "Sear in oil, then set aside.", "Stir-fry the broccoli, garlic and ginger 4 minutes.", "Add the steak and coconut aminos and serve over cauliflower rice with sesame oil."]</t>
        </is>
      </c>
    </row>
    <row r="1045" ht="96" customHeight="1">
      <c r="A1045" s="2" t="inlineStr">
        <is>
          <t>DB-1044</t>
        </is>
      </c>
      <c r="B1045" s="3" t="inlineStr">
        <is>
          <t>Steak Fajita Bowls</t>
        </is>
      </c>
      <c r="C1045" s="4" t="inlineStr">
        <is>
          <t>Beef, Pork &amp; Lamb</t>
        </is>
      </c>
      <c r="D1045" s="4" t="inlineStr">
        <is>
          <t>Tex-Mex</t>
        </is>
      </c>
      <c r="E1045" s="2" t="n">
        <v>4</v>
      </c>
      <c r="F1045" s="2" t="n">
        <v>15</v>
      </c>
      <c r="G1045" s="2" t="n">
        <v>15</v>
      </c>
      <c r="H1045" s="2" t="n">
        <v>30</v>
      </c>
      <c r="I1045" s="4" t="inlineStr">
        <is>
          <t>steak-fajita-bowls.jpg</t>
        </is>
      </c>
      <c r="J1045" s="3" t="inlineStr">
        <is>
          <t>Steak Fajita Bowls, healthy food photography, plated, natural light</t>
        </is>
      </c>
      <c r="K1045" s="4" t="inlineStr"/>
      <c r="L1045" s="3" t="inlineStr">
        <is>
          <t>Flank steak — 500 g (17.6 oz)
Bell pepper — 300 g (10.6 oz)
Yellow onion — 150 g (5.3 oz)
Black beans, cooked — 200 g (7.1 oz)
Cauliflower rice — 300 g (10.6 oz)
Taco seasoning, low sodium — 12 g (0.4 oz)
Lime juice — 20 g (0.7 oz)
Avocado — 100 g (3.5 oz)
Extra-virgin olive oil — 15 g (0.5 oz)</t>
        </is>
      </c>
      <c r="M1045" s="4" t="inlineStr">
        <is>
          <t>[{"ingredient_id": "flank_steak", "name": "Flank steak", "grams": 500.0, "note": ""}, {"ingredient_id": "bell_pepper", "name": "Bell pepper", "grams": 300.0, "note": ""}, {"ingredient_id": "onion", "name": "Yellow onion", "grams": 150.0, "note": ""}, {"ingredient_id": "black_beans", "name": "Black beans, cooked", "grams": 200.0, "note": ""}, {"ingredient_id": "cauliflower_rice", "name": "Cauliflower rice", "grams": 300.0, "note": ""}, {"ingredient_id": "taco_seasoning", "name": "Taco seasoning, low sodium", "grams": 12.0, "note": ""}, {"ingredient_id": "lime_juice", "name": "Lime juice", "grams": 20.0, "note": ""}, {"ingredient_id": "avocado", "name": "Avocado", "grams": 100.0, "note": ""}, {"ingredient_id": "olive_oil", "name": "Extra-virgin olive oil", "grams": 15.0, "note": ""}]</t>
        </is>
      </c>
      <c r="N1045" s="2" t="n">
        <v>394</v>
      </c>
      <c r="O1045" s="5" t="n">
        <v>34.1</v>
      </c>
      <c r="P1045" s="5" t="n">
        <v>17.2</v>
      </c>
      <c r="Q1045" s="5" t="n">
        <v>27.8</v>
      </c>
      <c r="R1045" s="5" t="n">
        <v>10.5</v>
      </c>
      <c r="S1045" s="5" t="n">
        <v>17.3</v>
      </c>
      <c r="T1045" s="2" t="n">
        <v>22</v>
      </c>
      <c r="U1045" s="2" t="inlineStr">
        <is>
          <t>low</t>
        </is>
      </c>
      <c r="V1045" s="5" t="n">
        <v>3.8</v>
      </c>
      <c r="W1045" s="2" t="inlineStr">
        <is>
          <t>low</t>
        </is>
      </c>
      <c r="X1045" s="3" t="inlineStr"/>
      <c r="Y1045" s="3" t="inlineStr">
        <is>
          <t>43% of this dish's available carbohydrate comes from ingredients with a published, measured GI; the rest uses conventional placeholders (see Ingredients sheet)</t>
        </is>
      </c>
      <c r="Z1045" s="2" t="n">
        <v>43</v>
      </c>
      <c r="AA1045" s="3" t="inlineStr">
        <is>
          <t>gluten-free, dairy-free, nut-free, high-protein, high-fiber</t>
        </is>
      </c>
      <c r="AB1045" s="3" t="inlineStr">
        <is>
          <t>1. Season and sear the steak, rest and slice.
2. Sauté the peppers and onion in oil.
3. Warm the beans and cauliflower rice.
4. Build the bowls and finish with avocado and lime.</t>
        </is>
      </c>
      <c r="AC1045" s="4" t="inlineStr">
        <is>
          <t>["Season and sear the steak, rest and slice.", "Sauté the peppers and onion in oil.", "Warm the beans and cauliflower rice.", "Build the bowls and finish with avocado and lime."]</t>
        </is>
      </c>
    </row>
    <row r="1046" ht="96" customHeight="1">
      <c r="A1046" s="2" t="inlineStr">
        <is>
          <t>DB-1045</t>
        </is>
      </c>
      <c r="B1046" s="3" t="inlineStr">
        <is>
          <t>Pork Chops with Apple and Sauteed Cabbage</t>
        </is>
      </c>
      <c r="C1046" s="4" t="inlineStr">
        <is>
          <t>Beef, Pork &amp; Lamb</t>
        </is>
      </c>
      <c r="D1046" s="4" t="inlineStr">
        <is>
          <t>American</t>
        </is>
      </c>
      <c r="E1046" s="2" t="n">
        <v>4</v>
      </c>
      <c r="F1046" s="2" t="n">
        <v>10</v>
      </c>
      <c r="G1046" s="2" t="n">
        <v>25</v>
      </c>
      <c r="H1046" s="2" t="n">
        <v>35</v>
      </c>
      <c r="I1046" s="4" t="inlineStr">
        <is>
          <t>pork-chops-with-apple-and-sauteed-cabbage.jpg</t>
        </is>
      </c>
      <c r="J1046" s="3" t="inlineStr">
        <is>
          <t>Pork Chops with Apple and Sauteed Cabbage, healthy food photography, plated, natural light</t>
        </is>
      </c>
      <c r="K1046" s="4" t="inlineStr"/>
      <c r="L1046" s="3" t="inlineStr">
        <is>
          <t>Pork loin chop, trimmed — 600 g (21.2 oz)
Apple — 200 g (7.1 oz)
Green cabbage — 400 g (14.1 oz)
Yellow onion — 80 g (2.8 oz)
Apple cider vinegar — 15 g (0.5 oz)
Dijon mustard — 10 g (0.4 oz)
Extra-virgin olive oil — 20 g (0.7 oz)
Fresh thyme — 2 g (0.1 oz)
Salt — 3 g (0.1 oz)</t>
        </is>
      </c>
      <c r="M1046" s="4" t="inlineStr">
        <is>
          <t>[{"ingredient_id": "pork_chop", "name": "Pork loin chop, trimmed", "grams": 600.0, "note": ""}, {"ingredient_id": "apple", "name": "Apple", "grams": 200.0, "note": ""}, {"ingredient_id": "cabbage", "name": "Green cabbage", "grams": 400.0, "note": ""}, {"ingredient_id": "onion", "name": "Yellow onion", "grams": 80.0, "note": ""}, {"ingredient_id": "apple_cider_vinegar", "name": "Apple cider vinegar", "grams": 15.0, "note": ""}, {"ingredient_id": "dijon", "name": "Dijon mustard", "grams": 10.0, "note": ""}, {"ingredient_id": "olive_oil", "name": "Extra-virgin olive oil", "grams": 20.0, "note": ""}, {"ingredient_id": "thyme", "name": "Fresh thyme", "grams": 2.0, "note": ""}, {"ingredient_id": "salt", "name": "Salt", "grams": 3.0, "note": ""}]</t>
        </is>
      </c>
      <c r="N1046" s="2" t="n">
        <v>331</v>
      </c>
      <c r="O1046" s="5" t="n">
        <v>34.8</v>
      </c>
      <c r="P1046" s="5" t="n">
        <v>15.1</v>
      </c>
      <c r="Q1046" s="5" t="n">
        <v>14.9</v>
      </c>
      <c r="R1046" s="5" t="n">
        <v>4.2</v>
      </c>
      <c r="S1046" s="5" t="n">
        <v>10.8</v>
      </c>
      <c r="T1046" s="2" t="n">
        <v>26</v>
      </c>
      <c r="U1046" s="2" t="inlineStr">
        <is>
          <t>low</t>
        </is>
      </c>
      <c r="V1046" s="5" t="n">
        <v>2.8</v>
      </c>
      <c r="W1046" s="2" t="inlineStr">
        <is>
          <t>low</t>
        </is>
      </c>
      <c r="X1046" s="3" t="inlineStr"/>
      <c r="Y1046" s="3" t="inlineStr">
        <is>
          <t>54% of this dish's available carbohydrate comes from ingredients with a published, measured GI; the rest uses conventional placeholders (see Ingredients sheet)</t>
        </is>
      </c>
      <c r="Z1046" s="2" t="n">
        <v>54</v>
      </c>
      <c r="AA1046" s="3" t="inlineStr">
        <is>
          <t>gluten-free, dairy-free, nut-free, low-carb, high-protein</t>
        </is>
      </c>
      <c r="AB1046" s="3" t="inlineStr">
        <is>
          <t>1. Season the chops and sear 4 minutes a side; set aside.
2. Sauté the onion, cabbage and apple in the same pan.
3. Stir in the vinegar, mustard and thyme.
4. Return the chops and finish in a 375°F oven for 8 minutes.</t>
        </is>
      </c>
      <c r="AC1046" s="4" t="inlineStr">
        <is>
          <t>["Season the chops and sear 4 minutes a side; set aside.", "Sauté the onion, cabbage and apple in the same pan.", "Stir in the vinegar, mustard and thyme.", "Return the chops and finish in a 375°F oven for 8 minutes."]</t>
        </is>
      </c>
    </row>
    <row r="1047" ht="96" customHeight="1">
      <c r="A1047" s="2" t="inlineStr">
        <is>
          <t>DB-1046</t>
        </is>
      </c>
      <c r="B1047" s="3" t="inlineStr">
        <is>
          <t>Slow Cooker Pulled Pork (Low Sugar BBQ)</t>
        </is>
      </c>
      <c r="C1047" s="4" t="inlineStr">
        <is>
          <t>Beef, Pork &amp; Lamb</t>
        </is>
      </c>
      <c r="D1047" s="4" t="inlineStr">
        <is>
          <t>American</t>
        </is>
      </c>
      <c r="E1047" s="2" t="n">
        <v>8</v>
      </c>
      <c r="F1047" s="2" t="n">
        <v>15</v>
      </c>
      <c r="G1047" s="2" t="n">
        <v>480</v>
      </c>
      <c r="H1047" s="2" t="n">
        <v>495</v>
      </c>
      <c r="I1047" s="4" t="inlineStr">
        <is>
          <t>slow-cooker-pulled-pork-low-sugar-bbq.jpg</t>
        </is>
      </c>
      <c r="J1047" s="3" t="inlineStr">
        <is>
          <t>Slow Cooker Pulled Pork (Low Sugar BBQ), healthy food photography, plated, natural light</t>
        </is>
      </c>
      <c r="K1047" s="4" t="inlineStr"/>
      <c r="L1047" s="3" t="inlineStr">
        <is>
          <t>Pork shoulder, trimmed — 1200 g (42.3 oz)
Tomato paste — 90 g (3.2 oz)
Apple cider vinegar — 60 g (2.1 oz)
Smoked paprika — 6 g (0.2 oz)
Garlic powder — 4 g (0.1 oz)
Onion powder — 3 g (0.1 oz)
Monk fruit/erythritol sweetener — 8 g (0.3 oz)
Salt — 5 g (0.2 oz)
Water / ice — 200 g (7.1 oz)</t>
        </is>
      </c>
      <c r="M1047" s="4" t="inlineStr">
        <is>
          <t>[{"ingredient_id": "pork_shoulder", "name": "Pork shoulder, trimmed", "grams": 1200.0, "note": ""}, {"ingredient_id": "tomato_paste", "name": "Tomato paste", "grams": 90.0,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8.0, "note": ""}, {"ingredient_id": "salt", "name": "Salt", "grams": 5.0, "note": ""}, {"ingredient_id": "water", "name": "Water / ice", "grams": 200.0, "note": ""}]</t>
        </is>
      </c>
      <c r="N1047" s="2" t="n">
        <v>316</v>
      </c>
      <c r="O1047" s="5" t="n">
        <v>29.2</v>
      </c>
      <c r="P1047" s="5" t="n">
        <v>21.2</v>
      </c>
      <c r="Q1047" s="5" t="n">
        <v>3.3</v>
      </c>
      <c r="R1047" s="5" t="n">
        <v>0.8</v>
      </c>
      <c r="S1047" s="5" t="n">
        <v>2.5</v>
      </c>
      <c r="T1047" s="2" t="n">
        <v>28</v>
      </c>
      <c r="U1047" s="2" t="inlineStr">
        <is>
          <t>low</t>
        </is>
      </c>
      <c r="V1047" s="5" t="n">
        <v>0.7</v>
      </c>
      <c r="W1047" s="2" t="inlineStr">
        <is>
          <t>low</t>
        </is>
      </c>
      <c r="X1047" s="3" t="inlineStr">
        <is>
          <t>Negligible carbohydrate (&lt;5 g net/serving): GI has little practical meaning, glycemic load is what matters.</t>
        </is>
      </c>
      <c r="Y1047" s="3" t="inlineStr">
        <is>
          <t>0% of this dish's available carbohydrate comes from ingredients with a published, measured GI; the rest uses conventional placeholders (see Ingredients sheet)</t>
        </is>
      </c>
      <c r="Z1047" s="2" t="n">
        <v>0</v>
      </c>
      <c r="AA1047" s="3" t="inlineStr">
        <is>
          <t>gluten-free, dairy-free, nut-free, low-carb, high-protein, slow-cooker</t>
        </is>
      </c>
      <c r="AB1047" s="3" t="inlineStr">
        <is>
          <t>1. Rub the pork with paprika, garlic, onion powder and salt.
2. Whisk the tomato paste, vinegar, sweetener and water and pour over.
3. Cook on low 8 hours.
4. Shred and toss in the juices.</t>
        </is>
      </c>
      <c r="AC1047" s="4" t="inlineStr">
        <is>
          <t>["Rub the pork with paprika, garlic, onion powder and salt.", "Whisk the tomato paste, vinegar, sweetener and water and pour over.", "Cook on low 8 hours.", "Shred and toss in the juices."]</t>
        </is>
      </c>
    </row>
    <row r="1048" ht="96" customHeight="1">
      <c r="A1048" s="2" t="inlineStr">
        <is>
          <t>DB-1047</t>
        </is>
      </c>
      <c r="B1048" s="3" t="inlineStr">
        <is>
          <t>Stuffed Cabbage Rolls</t>
        </is>
      </c>
      <c r="C1048" s="4" t="inlineStr">
        <is>
          <t>Beef, Pork &amp; Lamb</t>
        </is>
      </c>
      <c r="D1048" s="4" t="inlineStr">
        <is>
          <t>American</t>
        </is>
      </c>
      <c r="E1048" s="2" t="n">
        <v>6</v>
      </c>
      <c r="F1048" s="2" t="n">
        <v>30</v>
      </c>
      <c r="G1048" s="2" t="n">
        <v>60</v>
      </c>
      <c r="H1048" s="2" t="n">
        <v>90</v>
      </c>
      <c r="I1048" s="4" t="inlineStr">
        <is>
          <t>stuffed-cabbage-rolls.jpg</t>
        </is>
      </c>
      <c r="J1048" s="3" t="inlineStr">
        <is>
          <t>Stuffed Cabbage Rolls, healthy food photography, plated, natural light</t>
        </is>
      </c>
      <c r="K1048" s="4" t="inlineStr"/>
      <c r="L1048" s="3" t="inlineStr">
        <is>
          <t>Green cabbage — 700 g (24.7 oz)
Ground beef 90% lean — 500 g (17.6 oz)
Brown rice, cooked — 150 g (5.3 oz)
Yellow onion — 100 g (3.5 oz)
Tomato sauce, canned, no sugar added — 400 g (14.1 oz)
Garlic — 6 g (0.2 oz)
Fresh parsley — 5 g (0.2 oz)
Salt — 3 g (0.1 oz)</t>
        </is>
      </c>
      <c r="M1048" s="4" t="inlineStr">
        <is>
          <t>[{"ingredient_id": "cabbage", "name": "Green cabbage", "grams": 700.0, "note": ""}, {"ingredient_id": "ground_beef", "name": "Ground beef 90% lean", "grams": 500.0, "note": ""}, {"ingredient_id": "brown_rice", "name": "Brown rice, cooked", "grams": 150.0, "note": ""}, {"ingredient_id": "onion", "name": "Yellow onion", "grams": 100.0, "note": ""}, {"ingredient_id": "tomato_sauce", "name": "Tomato sauce, canned, no sugar added", "grams": 400.0, "note": ""}, {"ingredient_id": "garlic", "name": "Garlic", "grams": 6.0, "note": ""}, {"ingredient_id": "parsley", "name": "Fresh parsley", "grams": 5.0, "note": ""}, {"ingredient_id": "salt", "name": "Salt", "grams": 3.0, "note": ""}]</t>
        </is>
      </c>
      <c r="N1048" s="2" t="n">
        <v>228</v>
      </c>
      <c r="O1048" s="5" t="n">
        <v>19.9</v>
      </c>
      <c r="P1048" s="5" t="n">
        <v>8.800000000000001</v>
      </c>
      <c r="Q1048" s="5" t="n">
        <v>18.2</v>
      </c>
      <c r="R1048" s="5" t="n">
        <v>4.7</v>
      </c>
      <c r="S1048" s="5" t="n">
        <v>13.5</v>
      </c>
      <c r="T1048" s="2" t="n">
        <v>41</v>
      </c>
      <c r="U1048" s="2" t="inlineStr">
        <is>
          <t>low</t>
        </is>
      </c>
      <c r="V1048" s="5" t="n">
        <v>5.5</v>
      </c>
      <c r="W1048" s="2" t="inlineStr">
        <is>
          <t>low</t>
        </is>
      </c>
      <c r="X1048" s="3" t="inlineStr"/>
      <c r="Y1048" s="3" t="inlineStr">
        <is>
          <t>41% of this dish's available carbohydrate comes from ingredients with a published, measured GI; the rest uses conventional placeholders (see Ingredients sheet)</t>
        </is>
      </c>
      <c r="Z1048" s="2" t="n">
        <v>41</v>
      </c>
      <c r="AA1048" s="3" t="inlineStr">
        <is>
          <t>gluten-free, dairy-free, nut-free, low-carb</t>
        </is>
      </c>
      <c r="AB1048" s="3" t="inlineStr">
        <is>
          <t>1. Blanch the cabbage leaves until pliable.
2. Mix the beef, cooked rice, onion, garlic, parsley and salt.
3. Roll the filling in the leaves and pack into a baking dish.
4. Cover with tomato sauce and bake at 350°F for 1 hour.</t>
        </is>
      </c>
      <c r="AC1048" s="4" t="inlineStr">
        <is>
          <t>["Blanch the cabbage leaves until pliable.", "Mix the beef, cooked rice, onion, garlic, parsley and salt.", "Roll the filling in the leaves and pack into a baking dish.", "Cover with tomato sauce and bake at 350°F for 1 hour."]</t>
        </is>
      </c>
    </row>
    <row r="1049" ht="96" customHeight="1">
      <c r="A1049" s="2" t="inlineStr">
        <is>
          <t>DB-1048</t>
        </is>
      </c>
      <c r="B1049" s="3" t="inlineStr">
        <is>
          <t>Sheet Pan Steak and Asparagus</t>
        </is>
      </c>
      <c r="C1049" s="4" t="inlineStr">
        <is>
          <t>Beef, Pork &amp; Lamb</t>
        </is>
      </c>
      <c r="D1049" s="4" t="inlineStr">
        <is>
          <t>American</t>
        </is>
      </c>
      <c r="E1049" s="2" t="n">
        <v>3</v>
      </c>
      <c r="F1049" s="2" t="n">
        <v>10</v>
      </c>
      <c r="G1049" s="2" t="n">
        <v>15</v>
      </c>
      <c r="H1049" s="2" t="n">
        <v>25</v>
      </c>
      <c r="I1049" s="4" t="inlineStr">
        <is>
          <t>sheet-pan-steak-and-asparagus.jpg</t>
        </is>
      </c>
      <c r="J1049" s="3" t="inlineStr">
        <is>
          <t>Sheet Pan Steak and Asparagus, healthy food photography, plated, natural light</t>
        </is>
      </c>
      <c r="K1049" s="4" t="inlineStr"/>
      <c r="L1049" s="3" t="inlineStr">
        <is>
          <t>Beef sirloin, trimmed — 420 g (14.8 oz)
Asparagus — 300 g (10.6 oz)
Cherry tomatoes — 150 g (5.3 oz)
Extra-virgin olive oil — 20 g (0.7 oz)
Garlic — 6 g (0.2 oz)
Salt — 3 g (0.1 oz)
Black pepper — 1 g (0.0 oz)</t>
        </is>
      </c>
      <c r="M1049" s="4" t="inlineStr">
        <is>
          <t>[{"ingredient_id": "beef_sirloin", "name": "Beef sirloin, trimmed", "grams": 420.0, "note": ""}, {"ingredient_id": "asparagus", "name": "Asparagus", "grams": 300.0, "note": ""}, {"ingredient_id": "cherry_tomato", "name": "Cherry tomatoes", "grams": 150.0, "note": ""}, {"ingredient_id": "olive_oil", "name": "Extra-virgin olive oil", "grams": 20.0, "note": ""}, {"ingredient_id": "garlic", "name": "Garlic", "grams": 6.0, "note": ""}, {"ingredient_id": "salt", "name": "Salt", "grams": 3.0, "note": ""}, {"ingredient_id": "black_pepper", "name": "Black pepper", "grams": 1.0, "note": ""}]</t>
        </is>
      </c>
      <c r="N1049" s="2" t="n">
        <v>274</v>
      </c>
      <c r="O1049" s="5" t="n">
        <v>33.6</v>
      </c>
      <c r="P1049" s="5" t="n">
        <v>13.2</v>
      </c>
      <c r="Q1049" s="5" t="n">
        <v>6.7</v>
      </c>
      <c r="R1049" s="5" t="n">
        <v>2.8</v>
      </c>
      <c r="S1049" s="5" t="n">
        <v>3.9</v>
      </c>
      <c r="T1049" s="2" t="n">
        <v>17</v>
      </c>
      <c r="U1049" s="2" t="inlineStr">
        <is>
          <t>low</t>
        </is>
      </c>
      <c r="V1049" s="5" t="n">
        <v>0.7</v>
      </c>
      <c r="W1049" s="2" t="inlineStr">
        <is>
          <t>low</t>
        </is>
      </c>
      <c r="X1049" s="3" t="inlineStr">
        <is>
          <t>Negligible carbohydrate (&lt;5 g net/serving): GI has little practical meaning, glycemic load is what matters.</t>
        </is>
      </c>
      <c r="Y1049" s="3" t="inlineStr">
        <is>
          <t>0% of this dish's available carbohydrate comes from ingredients with a published, measured GI; the rest uses conventional placeholders (see Ingredients sheet)</t>
        </is>
      </c>
      <c r="Z1049" s="2" t="n">
        <v>0</v>
      </c>
      <c r="AA1049" s="3" t="inlineStr">
        <is>
          <t>gluten-free, dairy-free, nut-free, low-carb, high-protein, one-pan</t>
        </is>
      </c>
      <c r="AB1049" s="3" t="inlineStr">
        <is>
          <t>1. Heat the oven to 450°F.
2. Rub the steak with oil, garlic, salt and pepper.
3. Roast on a tray with the asparagus and tomatoes for 12 to 15 minutes.
4. Rest and slice.</t>
        </is>
      </c>
      <c r="AC1049" s="4" t="inlineStr">
        <is>
          <t>["Heat the oven to 450°F.", "Rub the steak with oil, garlic, salt and pepper.", "Roast on a tray with the asparagus and tomatoes for 12 to 15 minutes.", "Rest and slice."]</t>
        </is>
      </c>
    </row>
    <row r="1050" ht="96" customHeight="1">
      <c r="A1050" s="2" t="inlineStr">
        <is>
          <t>DB-1049</t>
        </is>
      </c>
      <c r="B1050" s="3" t="inlineStr">
        <is>
          <t>Beef Chili with Beans</t>
        </is>
      </c>
      <c r="C1050" s="4" t="inlineStr">
        <is>
          <t>Soup &amp; Stew</t>
        </is>
      </c>
      <c r="D1050" s="4" t="inlineStr">
        <is>
          <t>American</t>
        </is>
      </c>
      <c r="E1050" s="2" t="n">
        <v>6</v>
      </c>
      <c r="F1050" s="2" t="n">
        <v>15</v>
      </c>
      <c r="G1050" s="2" t="n">
        <v>50</v>
      </c>
      <c r="H1050" s="2" t="n">
        <v>65</v>
      </c>
      <c r="I1050" s="4" t="inlineStr">
        <is>
          <t>beef-chili-with-beans.jpg</t>
        </is>
      </c>
      <c r="J1050" s="3" t="inlineStr">
        <is>
          <t>Beef Chili with Beans, healthy food photography, plated, natural light</t>
        </is>
      </c>
      <c r="K1050" s="4" t="inlineStr"/>
      <c r="L1050" s="3" t="inlineStr">
        <is>
          <t>Ground beef 90% lean — 500 g (17.6 oz)
Kidney beans, cooked — 300 g (10.6 oz)
Diced tomatoes, canned — 400 g (14.1 oz)
Tomato paste — 40 g (1.4 oz)
Yellow onion — 150 g (5.3 oz)
Bell pepper — 120 g (4.2 oz)
Chili powder — 12 g (0.4 oz)
Ground cumin — 4 g (0.1 oz)
Garlic — 8 g (0.3 oz)
Beef broth, low sodium — 300 g (10.6 oz)</t>
        </is>
      </c>
      <c r="M1050" s="4" t="inlineStr">
        <is>
          <t>[{"ingredient_id": "ground_beef", "name": "Ground beef 90% lean", "grams": 500.0, "note": ""}, {"ingredient_id": "kidney_beans", "name": "Kidney beans, cooked", "grams": 300.0, "note": ""}, {"ingredient_id": "diced_tomatoes", "name": "Diced tomatoes, canned", "grams": 400.0, "note": ""}, {"ingredient_id": "tomato_paste", "name": "Tomato paste", "grams": 40.0, "note": ""}, {"ingredient_id": "onion", "name": "Yellow onion", "grams": 150.0, "note": ""}, {"ingredient_id": "bell_pepper", "name": "Bell pepper", "grams": 120.0, "note": ""}, {"ingredient_id": "chili_powder", "name": "Chili powder", "grams": 12.0, "note": ""}, {"ingredient_id": "cumin", "name": "Ground cumin", "grams": 4.0, "note": ""}, {"ingredient_id": "garlic", "name": "Garlic", "grams": 8.0, "note": ""}, {"ingredient_id": "beef_broth", "name": "Beef broth, low sodium", "grams": 300.0, "note": ""}]</t>
        </is>
      </c>
      <c r="N1050" s="2" t="n">
        <v>261</v>
      </c>
      <c r="O1050" s="5" t="n">
        <v>23.7</v>
      </c>
      <c r="P1050" s="5" t="n">
        <v>9.4</v>
      </c>
      <c r="Q1050" s="5" t="n">
        <v>21.5</v>
      </c>
      <c r="R1050" s="5" t="n">
        <v>6.1</v>
      </c>
      <c r="S1050" s="5" t="n">
        <v>15.3</v>
      </c>
      <c r="T1050" s="2" t="n">
        <v>30</v>
      </c>
      <c r="U1050" s="2" t="inlineStr">
        <is>
          <t>low</t>
        </is>
      </c>
      <c r="V1050" s="5" t="n">
        <v>4.6</v>
      </c>
      <c r="W1050" s="2" t="inlineStr">
        <is>
          <t>low</t>
        </is>
      </c>
      <c r="X1050" s="3" t="inlineStr"/>
      <c r="Y1050" s="3" t="inlineStr">
        <is>
          <t>53% of this dish's available carbohydrate comes from ingredients with a published, measured GI; the rest uses conventional placeholders (see Ingredients sheet)</t>
        </is>
      </c>
      <c r="Z1050" s="2" t="n">
        <v>53</v>
      </c>
      <c r="AA1050" s="3" t="inlineStr">
        <is>
          <t>gluten-free, dairy-free, nut-free</t>
        </is>
      </c>
      <c r="AB1050" s="3" t="inlineStr">
        <is>
          <t>1. Brown the beef with the onion and pepper.
2. Stir in the garlic, chili powder, cumin and tomato paste.
3. Add the tomatoes, beans and broth and simmer 40 minutes.</t>
        </is>
      </c>
      <c r="AC1050" s="4" t="inlineStr">
        <is>
          <t>["Brown the beef with the onion and pepper.", "Stir in the garlic, chili powder, cumin and tomato paste.", "Add the tomatoes, beans and broth and simmer 40 minutes."]</t>
        </is>
      </c>
    </row>
    <row r="1051" ht="96" customHeight="1">
      <c r="A1051" s="2" t="inlineStr">
        <is>
          <t>DB-1050</t>
        </is>
      </c>
      <c r="B1051" s="3" t="inlineStr">
        <is>
          <t>Korean-Style Beef Lettuce Wraps</t>
        </is>
      </c>
      <c r="C1051" s="4" t="inlineStr">
        <is>
          <t>Beef, Pork &amp; Lamb</t>
        </is>
      </c>
      <c r="D1051" s="4" t="inlineStr">
        <is>
          <t>Korean</t>
        </is>
      </c>
      <c r="E1051" s="2" t="n">
        <v>4</v>
      </c>
      <c r="F1051" s="2" t="n">
        <v>15</v>
      </c>
      <c r="G1051" s="2" t="n">
        <v>10</v>
      </c>
      <c r="H1051" s="2" t="n">
        <v>25</v>
      </c>
      <c r="I1051" s="4" t="inlineStr">
        <is>
          <t>korean-style-beef-lettuce-wraps.jpg</t>
        </is>
      </c>
      <c r="J1051" s="3" t="inlineStr">
        <is>
          <t>Korean-Style Beef Lettuce Wraps, healthy food photography, plated, natural light</t>
        </is>
      </c>
      <c r="K1051" s="4" t="inlineStr"/>
      <c r="L1051" s="3" t="inlineStr">
        <is>
          <t>Ground beef 90% lean — 500 g (17.6 oz)
Butter lettuce — 160 g (5.6 oz)
Gochujang (small amount) — 20 g (0.7 oz)
Coconut aminos — 30 g (1.1 oz)
Garlic — 8 g (0.3 oz)
Fresh ginger — 6 g (0.2 oz)
Green onions (scallions) — 30 g (1.1 oz)
Sesame seeds — 6 g (0.2 oz)
Cucumber — 100 g (3.5 oz)</t>
        </is>
      </c>
      <c r="M1051" s="4" t="inlineStr">
        <is>
          <t>[{"ingredient_id": "ground_beef", "name": "Ground beef 90% lean", "grams": 500.0, "note": ""}, {"ingredient_id": "butter_lettuce", "name": "Butter lettuce", "grams": 160.0, "note": ""}, {"ingredient_id": "gochujang", "name": "Gochujang (small amount)", "grams": 20.0, "note": ""}, {"ingredient_id": "coconut_aminos", "name": "Coconut aminos", "grams": 30.0, "note": ""}, {"ingredient_id": "garlic", "name": "Garlic", "grams": 8.0, "note": ""}, {"ingredient_id": "ginger", "name": "Fresh ginger", "grams": 6.0, "note": ""}, {"ingredient_id": "green_onion", "name": "Green onions (scallions)", "grams": 30.0, "note": ""}, {"ingredient_id": "sesame_seeds", "name": "Sesame seeds", "grams": 6.0, "note": ""}, {"ingredient_id": "cucumber", "name": "Cucumber", "grams": 100.0, "note": ""}]</t>
        </is>
      </c>
      <c r="N1051" s="2" t="n">
        <v>261</v>
      </c>
      <c r="O1051" s="5" t="n">
        <v>26.5</v>
      </c>
      <c r="P1051" s="5" t="n">
        <v>13.4</v>
      </c>
      <c r="Q1051" s="5" t="n">
        <v>7.5</v>
      </c>
      <c r="R1051" s="5" t="n">
        <v>1.2</v>
      </c>
      <c r="S1051" s="5" t="n">
        <v>6.3</v>
      </c>
      <c r="T1051" s="2" t="n">
        <v>32</v>
      </c>
      <c r="U1051" s="2" t="inlineStr">
        <is>
          <t>low</t>
        </is>
      </c>
      <c r="V1051" s="5" t="n">
        <v>2</v>
      </c>
      <c r="W1051" s="2" t="inlineStr">
        <is>
          <t>low</t>
        </is>
      </c>
      <c r="X1051" s="3" t="inlineStr"/>
      <c r="Y1051" s="3" t="inlineStr">
        <is>
          <t>0% of this dish's available carbohydrate comes from ingredients with a published, measured GI; the rest uses conventional placeholders (see Ingredients sheet)</t>
        </is>
      </c>
      <c r="Z1051" s="2" t="n">
        <v>0</v>
      </c>
      <c r="AA1051" s="3" t="inlineStr">
        <is>
          <t>dairy-free, nut-free, low-carb, high-protein</t>
        </is>
      </c>
      <c r="AB1051" s="3" t="inlineStr">
        <is>
          <t>1. Brown the beef with garlic and ginger.
2. Stir in gochujang and coconut aminos.
3. Spoon into lettuce leaves and top with green onion, cucumber and sesame.</t>
        </is>
      </c>
      <c r="AC1051" s="4" t="inlineStr">
        <is>
          <t>["Brown the beef with garlic and ginger.", "Stir in gochujang and coconut aminos.", "Spoon into lettuce leaves and top with green onion, cucumber and sesame."]</t>
        </is>
      </c>
    </row>
    <row r="1052" ht="96" customHeight="1">
      <c r="A1052" s="2" t="inlineStr">
        <is>
          <t>DB-1051</t>
        </is>
      </c>
      <c r="B1052" s="3" t="inlineStr">
        <is>
          <t>Sheet-Pan Dill Salmon and Broccoli</t>
        </is>
      </c>
      <c r="C1052" s="4" t="inlineStr">
        <is>
          <t>Seafood</t>
        </is>
      </c>
      <c r="D1052" s="4" t="inlineStr">
        <is>
          <t>American</t>
        </is>
      </c>
      <c r="E1052" s="2" t="n">
        <v>4</v>
      </c>
      <c r="F1052" s="2" t="n">
        <v>10</v>
      </c>
      <c r="G1052" s="2" t="n">
        <v>18</v>
      </c>
      <c r="H1052" s="2" t="n">
        <v>28</v>
      </c>
      <c r="I1052" s="4" t="inlineStr">
        <is>
          <t>sheet-pan-dill-salmon-and-broccoli.jpg</t>
        </is>
      </c>
      <c r="J1052" s="3" t="inlineStr">
        <is>
          <t>Sheet-Pan Dill Salmon and Broccoli, healthy food photography, plated, natural light</t>
        </is>
      </c>
      <c r="K1052" s="4" t="inlineStr"/>
      <c r="L1052" s="3" t="inlineStr">
        <is>
          <t>Salmon fillet — 560 g (19.8 oz)
Broccoli — 400 g (14.1 oz)
Lemon (with juice &amp; zest) — 60 g (2.1 oz)
Fresh dill — 5 g (0.2 oz)
Extra-virgin olive oil — 20 g (0.7 oz)
Garlic — 6 g (0.2 oz)
Salt — 3 g (0.1 oz)</t>
        </is>
      </c>
      <c r="M1052" s="4" t="inlineStr">
        <is>
          <t>[{"ingredient_id": "salmon", "name": "Salmon fillet", "grams": 560.0, "note": ""}, {"ingredient_id": "broccoli", "name": "Broccoli", "grams": 400.0, "note": ""}, {"ingredient_id": "lemon", "name": "Lemon (with juice &amp; zest)", "grams": 60.0, "note": ""}, {"ingredient_id": "dill", "name": "Fresh dill", "grams": 5.0, "note": ""}, {"ingredient_id": "olive_oil", "name": "Extra-virgin olive oil", "grams": 20.0, "note": ""}, {"ingredient_id": "garlic", "name": "Garlic", "grams": 6.0, "note": ""}, {"ingredient_id": "salt", "name": "Salt", "grams": 3.0, "note": ""}]</t>
        </is>
      </c>
      <c r="N1052" s="2" t="n">
        <v>377</v>
      </c>
      <c r="O1052" s="5" t="n">
        <v>31.1</v>
      </c>
      <c r="P1052" s="5" t="n">
        <v>23.7</v>
      </c>
      <c r="Q1052" s="5" t="n">
        <v>8.6</v>
      </c>
      <c r="R1052" s="5" t="n">
        <v>3.1</v>
      </c>
      <c r="S1052" s="5" t="n">
        <v>5.5</v>
      </c>
      <c r="T1052" s="2" t="n">
        <v>17</v>
      </c>
      <c r="U1052" s="2" t="inlineStr">
        <is>
          <t>low</t>
        </is>
      </c>
      <c r="V1052" s="5" t="n">
        <v>0.9</v>
      </c>
      <c r="W1052" s="2" t="inlineStr">
        <is>
          <t>low</t>
        </is>
      </c>
      <c r="X1052" s="3" t="inlineStr"/>
      <c r="Y1052" s="3" t="inlineStr">
        <is>
          <t>0% of this dish's available carbohydrate comes from ingredients with a published, measured GI; the rest uses conventional placeholders (see Ingredients sheet)</t>
        </is>
      </c>
      <c r="Z1052" s="2" t="n">
        <v>0</v>
      </c>
      <c r="AA1052" s="3" t="inlineStr">
        <is>
          <t>pescatarian, gluten-free, dairy-free, nut-free, low-carb, high-protein, one-pan</t>
        </is>
      </c>
      <c r="AB1052" s="3" t="inlineStr">
        <is>
          <t>1. Heat the oven to 400°F.
2. Place the salmon and broccoli on a tray and drizzle with oil.
3. Add garlic, lemon slices and salt.
4. Roast 15 to 18 minutes and finish with dill.</t>
        </is>
      </c>
      <c r="AC1052" s="4" t="inlineStr">
        <is>
          <t>["Heat the oven to 400°F.", "Place the salmon and broccoli on a tray and drizzle with oil.", "Add garlic, lemon slices and salt.", "Roast 15 to 18 minutes and finish with dill."]</t>
        </is>
      </c>
    </row>
    <row r="1053" ht="96" customHeight="1">
      <c r="A1053" s="2" t="inlineStr">
        <is>
          <t>DB-1052</t>
        </is>
      </c>
      <c r="B1053" s="3" t="inlineStr">
        <is>
          <t>Shrimp Scampi with Zucchini Noodles</t>
        </is>
      </c>
      <c r="C1053" s="4" t="inlineStr">
        <is>
          <t>Seafood</t>
        </is>
      </c>
      <c r="D1053" s="4" t="inlineStr">
        <is>
          <t>Italian</t>
        </is>
      </c>
      <c r="E1053" s="2" t="n">
        <v>3</v>
      </c>
      <c r="F1053" s="2" t="n">
        <v>10</v>
      </c>
      <c r="G1053" s="2" t="n">
        <v>10</v>
      </c>
      <c r="H1053" s="2" t="n">
        <v>20</v>
      </c>
      <c r="I1053" s="4" t="inlineStr">
        <is>
          <t>shrimp-scampi-with-zucchini-noodles.jpg</t>
        </is>
      </c>
      <c r="J1053" s="3" t="inlineStr">
        <is>
          <t>Shrimp Scampi with Zucchini Noodles, healthy food photography, plated, natural light</t>
        </is>
      </c>
      <c r="K1053" s="4" t="inlineStr"/>
      <c r="L1053" s="3" t="inlineStr">
        <is>
          <t>Shrimp, peeled — 450 g (15.9 oz)
Zucchini noodles (zoodles) — 450 g (15.9 oz)
Garlic — 12 g (0.4 oz)
Butter — 20 g (0.7 oz)
Extra-virgin olive oil — 10 g (0.4 oz)
Lemon juice — 20 g (0.7 oz)
Dry white wine (cooking) — 50 g (1.8 oz)
Fresh parsley — 5 g (0.2 oz)
Red pepper flakes — 1 g (0.0 oz)</t>
        </is>
      </c>
      <c r="M1053" s="4" t="inlineStr">
        <is>
          <t>[{"ingredient_id": "shrimp", "name": "Shrimp, peeled", "grams": 450.0, "note": ""}, {"ingredient_id": "zucchini_noodles", "name": "Zucchini noodles (zoodles)", "grams": 450.0, "note": ""}, {"ingredient_id": "garlic", "name": "Garlic", "grams": 12.0, "note": ""}, {"ingredient_id": "butter", "name": "Butter", "grams": 20.0, "note": ""}, {"ingredient_id": "olive_oil", "name": "Extra-virgin olive oil", "grams": 10.0, "note": ""}, {"ingredient_id": "lemon_juice", "name": "Lemon juice", "grams": 20.0, "note": ""}, {"ingredient_id": "white_wine", "name": "Dry white wine (cooking)", "grams": 50.0, "note": ""}, {"ingredient_id": "parsley", "name": "Fresh parsley", "grams": 5.0, "note": ""}, {"ingredient_id": "red_pepper_flakes", "name": "Red pepper flakes", "grams": 1.0, "note": ""}]</t>
        </is>
      </c>
      <c r="N1053" s="2" t="n">
        <v>253</v>
      </c>
      <c r="O1053" s="5" t="n">
        <v>32.2</v>
      </c>
      <c r="P1053" s="5" t="n">
        <v>10</v>
      </c>
      <c r="Q1053" s="5" t="n">
        <v>7.2</v>
      </c>
      <c r="R1053" s="5" t="n">
        <v>1.7</v>
      </c>
      <c r="S1053" s="5" t="n">
        <v>5.4</v>
      </c>
      <c r="T1053" s="2" t="n">
        <v>18</v>
      </c>
      <c r="U1053" s="2" t="inlineStr">
        <is>
          <t>low</t>
        </is>
      </c>
      <c r="V1053" s="5" t="n">
        <v>1</v>
      </c>
      <c r="W1053" s="2" t="inlineStr">
        <is>
          <t>low</t>
        </is>
      </c>
      <c r="X1053" s="3" t="inlineStr"/>
      <c r="Y1053" s="3" t="inlineStr">
        <is>
          <t>0% of this dish's available carbohydrate comes from ingredients with a published, measured GI; the rest uses conventional placeholders (see Ingredients sheet)</t>
        </is>
      </c>
      <c r="Z1053" s="2" t="n">
        <v>0</v>
      </c>
      <c r="AA1053" s="3" t="inlineStr">
        <is>
          <t>pescatarian, gluten-free, nut-free, low-carb, high-protein</t>
        </is>
      </c>
      <c r="AB1053" s="3" t="inlineStr">
        <is>
          <t>1. Sauté the garlic in butter and oil.
2. Add the shrimp and cook 2 minutes a side.
3. Add wine and lemon and reduce briefly.
4. Toss with the zucchini noodles and parsley.</t>
        </is>
      </c>
      <c r="AC1053" s="4" t="inlineStr">
        <is>
          <t>["Sauté the garlic in butter and oil.", "Add the shrimp and cook 2 minutes a side.", "Add wine and lemon and reduce briefly.", "Toss with the zucchini noodles and parsley."]</t>
        </is>
      </c>
    </row>
    <row r="1054" ht="96" customHeight="1">
      <c r="A1054" s="2" t="inlineStr">
        <is>
          <t>DB-1053</t>
        </is>
      </c>
      <c r="B1054" s="3" t="inlineStr">
        <is>
          <t>Cajun Shrimp and Cauliflower Grits Bowl</t>
        </is>
      </c>
      <c r="C1054" s="4" t="inlineStr">
        <is>
          <t>Seafood</t>
        </is>
      </c>
      <c r="D1054" s="4" t="inlineStr">
        <is>
          <t>American</t>
        </is>
      </c>
      <c r="E1054" s="2" t="n">
        <v>3</v>
      </c>
      <c r="F1054" s="2" t="n">
        <v>10</v>
      </c>
      <c r="G1054" s="2" t="n">
        <v>20</v>
      </c>
      <c r="H1054" s="2" t="n">
        <v>30</v>
      </c>
      <c r="I1054" s="4" t="inlineStr">
        <is>
          <t>cajun-shrimp-and-cauliflower-grits-bowl.jpg</t>
        </is>
      </c>
      <c r="J1054" s="3" t="inlineStr">
        <is>
          <t>Cajun Shrimp and Cauliflower Grits Bowl, healthy food photography, plated, natural light</t>
        </is>
      </c>
      <c r="K1054" s="4" t="inlineStr"/>
      <c r="L1054" s="3" t="inlineStr">
        <is>
          <t>Shrimp, peeled — 400 g (14.1 oz)
Cajun seasoning — 8 g (0.3 oz)
Cauliflower rice — 400 g (14.1 oz)
Cheddar cheese — 40 g (1.4 oz)
Bell pepper — 100 g (3.5 oz)
Green onions (scallions) — 20 g (0.7 oz)
Extra-virgin olive oil — 15 g (0.5 oz)
Milk, 2% — 60 g (2.1 oz)</t>
        </is>
      </c>
      <c r="M1054" s="4" t="inlineStr">
        <is>
          <t>[{"ingredient_id": "shrimp", "name": "Shrimp, peeled", "grams": 400.0, "note": ""}, {"ingredient_id": "cajun_seasoning", "name": "Cajun seasoning", "grams": 8.0, "note": ""}, {"ingredient_id": "cauliflower_rice", "name": "Cauliflower rice", "grams": 400.0, "note": ""}, {"ingredient_id": "cheddar", "name": "Cheddar cheese", "grams": 40.0, "note": ""}, {"ingredient_id": "bell_pepper", "name": "Bell pepper", "grams": 100.0, "note": ""}, {"ingredient_id": "green_onion", "name": "Green onions (scallions)", "grams": 20.0, "note": ""}, {"ingredient_id": "olive_oil", "name": "Extra-virgin olive oil", "grams": 15.0, "note": ""}, {"ingredient_id": "milk", "name": "Milk, 2%", "grams": 60.0, "note": ""}]</t>
        </is>
      </c>
      <c r="N1054" s="2" t="n">
        <v>275</v>
      </c>
      <c r="O1054" s="5" t="n">
        <v>33.6</v>
      </c>
      <c r="P1054" s="5" t="n">
        <v>11.2</v>
      </c>
      <c r="Q1054" s="5" t="n">
        <v>11.8</v>
      </c>
      <c r="R1054" s="5" t="n">
        <v>4.2</v>
      </c>
      <c r="S1054" s="5" t="n">
        <v>7.5</v>
      </c>
      <c r="T1054" s="2" t="n">
        <v>16</v>
      </c>
      <c r="U1054" s="2" t="inlineStr">
        <is>
          <t>low</t>
        </is>
      </c>
      <c r="V1054" s="5" t="n">
        <v>1.2</v>
      </c>
      <c r="W1054" s="2" t="inlineStr">
        <is>
          <t>low</t>
        </is>
      </c>
      <c r="X1054" s="3" t="inlineStr"/>
      <c r="Y1054" s="3" t="inlineStr">
        <is>
          <t>13% of this dish's available carbohydrate comes from ingredients with a published, measured GI; the rest uses conventional placeholders (see Ingredients sheet)</t>
        </is>
      </c>
      <c r="Z1054" s="2" t="n">
        <v>13</v>
      </c>
      <c r="AA1054" s="3" t="inlineStr">
        <is>
          <t>pescatarian, gluten-free, nut-free, low-carb, high-protein</t>
        </is>
      </c>
      <c r="AB1054" s="3" t="inlineStr">
        <is>
          <t>1. Simmer the cauliflower rice with milk until creamy, then stir in cheddar.
2. Toss the shrimp in Cajun seasoning and sear in oil.
3. Add the pepper and cook 3 minutes.
4. Spoon over the cauliflower base and top with green onion.</t>
        </is>
      </c>
      <c r="AC1054" s="4" t="inlineStr">
        <is>
          <t>["Simmer the cauliflower rice with milk until creamy, then stir in cheddar.", "Toss the shrimp in Cajun seasoning and sear in oil.", "Add the pepper and cook 3 minutes.", "Spoon over the cauliflower base and top with green onion."]</t>
        </is>
      </c>
    </row>
    <row r="1055" ht="96" customHeight="1">
      <c r="A1055" s="2" t="inlineStr">
        <is>
          <t>DB-1054</t>
        </is>
      </c>
      <c r="B1055" s="3" t="inlineStr">
        <is>
          <t>Tuna Patties with Lemon Yogurt Sauce</t>
        </is>
      </c>
      <c r="C1055" s="4" t="inlineStr">
        <is>
          <t>Seafood</t>
        </is>
      </c>
      <c r="D1055" s="4" t="inlineStr">
        <is>
          <t>American</t>
        </is>
      </c>
      <c r="E1055" s="2" t="n">
        <v>4</v>
      </c>
      <c r="F1055" s="2" t="n">
        <v>15</v>
      </c>
      <c r="G1055" s="2" t="n">
        <v>10</v>
      </c>
      <c r="H1055" s="2" t="n">
        <v>25</v>
      </c>
      <c r="I1055" s="4" t="inlineStr">
        <is>
          <t>tuna-patties-with-lemon-yogurt-sauce.jpg</t>
        </is>
      </c>
      <c r="J1055" s="3" t="inlineStr">
        <is>
          <t>Tuna Patties with Lemon Yogurt Sauce, healthy food photography, plated, natural light</t>
        </is>
      </c>
      <c r="K1055" s="4" t="inlineStr"/>
      <c r="L1055" s="3" t="inlineStr">
        <is>
          <t>Tuna, canned in water — 480 g (16.9 oz)
Egg, large (50 g each) — 100 g (3.5 oz)
Almond flour — 40 g (1.4 oz)
Celery — 40 g (1.4 oz)
Green onions (scallions) — 20 g (0.7 oz)
Dijon mustard — 10 g (0.4 oz)
Greek yogurt, plain 2% — 100 g (3.5 oz)
Lemon juice — 15 g (0.5 oz)
Extra-virgin olive oil — 15 g (0.5 oz)</t>
        </is>
      </c>
      <c r="M1055" s="4" t="inlineStr">
        <is>
          <t>[{"ingredient_id": "tuna_canned", "name": "Tuna, canned in water", "grams": 480.0, "note": ""}, {"ingredient_id": "egg", "name": "Egg, large (50 g each)", "grams": 100.0, "note": ""}, {"ingredient_id": "almond_flour", "name": "Almond flour", "grams": 40.0, "note": ""}, {"ingredient_id": "celery", "name": "Celery", "grams": 40.0, "note": ""}, {"ingredient_id": "green_onion", "name": "Green onions (scallions)", "grams": 20.0, "note": ""}, {"ingredient_id": "dijon", "name": "Dijon mustard", "grams": 10.0, "note": ""}, {"ingredient_id": "greek_yogurt", "name": "Greek yogurt, plain 2%", "grams": 100.0, "note": ""}, {"ingredient_id": "lemon_juice", "name": "Lemon juice", "grams": 15.0, "note": ""}, {"ingredient_id": "olive_oil", "name": "Extra-virgin olive oil", "grams": 15.0, "note": ""}]</t>
        </is>
      </c>
      <c r="N1055" s="2" t="n">
        <v>291</v>
      </c>
      <c r="O1055" s="5" t="n">
        <v>39.2</v>
      </c>
      <c r="P1055" s="5" t="n">
        <v>12.9</v>
      </c>
      <c r="Q1055" s="5" t="n">
        <v>4.3</v>
      </c>
      <c r="R1055" s="5" t="n">
        <v>1.6</v>
      </c>
      <c r="S1055" s="5" t="n">
        <v>2.7</v>
      </c>
      <c r="T1055" s="2" t="n">
        <v>13</v>
      </c>
      <c r="U1055" s="2" t="inlineStr">
        <is>
          <t>low</t>
        </is>
      </c>
      <c r="V1055" s="5" t="n">
        <v>0.4</v>
      </c>
      <c r="W1055" s="2" t="inlineStr">
        <is>
          <t>low</t>
        </is>
      </c>
      <c r="X1055" s="3" t="inlineStr">
        <is>
          <t>Negligible carbohydrate (&lt;5 g net/serving): GI has little practical meaning, glycemic load is what matters.</t>
        </is>
      </c>
      <c r="Y1055" s="3" t="inlineStr">
        <is>
          <t>36% of this dish's available carbohydrate comes from ingredients with a published, measured GI; the rest uses conventional placeholders (see Ingredients sheet)</t>
        </is>
      </c>
      <c r="Z1055" s="2" t="n">
        <v>36</v>
      </c>
      <c r="AA1055" s="3" t="inlineStr">
        <is>
          <t>pescatarian, gluten-free, low-carb, high-protein</t>
        </is>
      </c>
      <c r="AB1055" s="3" t="inlineStr">
        <is>
          <t>1. Mix the tuna, egg, almond flour, celery, green onion and mustard and form patties.
2. Pan-fry in oil 3 to 4 minutes a side.
3. Stir the yogurt with lemon juice and serve on the side.</t>
        </is>
      </c>
      <c r="AC1055" s="4" t="inlineStr">
        <is>
          <t>["Mix the tuna, egg, almond flour, celery, green onion and mustard and form patties.", "Pan-fry in oil 3 to 4 minutes a side.", "Stir the yogurt with lemon juice and serve on the side."]</t>
        </is>
      </c>
    </row>
    <row r="1056" ht="96" customHeight="1">
      <c r="A1056" s="2" t="inlineStr">
        <is>
          <t>DB-1055</t>
        </is>
      </c>
      <c r="B1056" s="3" t="inlineStr">
        <is>
          <t>Blackened Catfish with Collard Greens</t>
        </is>
      </c>
      <c r="C1056" s="4" t="inlineStr">
        <is>
          <t>Seafood</t>
        </is>
      </c>
      <c r="D1056" s="4" t="inlineStr">
        <is>
          <t>American</t>
        </is>
      </c>
      <c r="E1056" s="2" t="n">
        <v>4</v>
      </c>
      <c r="F1056" s="2" t="n">
        <v>10</v>
      </c>
      <c r="G1056" s="2" t="n">
        <v>20</v>
      </c>
      <c r="H1056" s="2" t="n">
        <v>30</v>
      </c>
      <c r="I1056" s="4" t="inlineStr">
        <is>
          <t>blackened-catfish-with-collard-greens.jpg</t>
        </is>
      </c>
      <c r="J1056" s="3" t="inlineStr">
        <is>
          <t>Blackened Catfish with Collard Greens, healthy food photography, plated, natural light</t>
        </is>
      </c>
      <c r="K1056" s="4" t="inlineStr"/>
      <c r="L1056" s="3" t="inlineStr">
        <is>
          <t>Catfish fillet — 560 g (19.8 oz)
Cajun seasoning — 10 g (0.4 oz)
Collard greens — 400 g (14.1 oz)
Yellow onion — 80 g (2.8 oz)
Garlic — 6 g (0.2 oz)
Apple cider vinegar — 15 g (0.5 oz)
Extra-virgin olive oil — 25 g (0.9 oz)
Turkey bacon — 40 g (1.4 oz)</t>
        </is>
      </c>
      <c r="M1056" s="4" t="inlineStr">
        <is>
          <t>[{"ingredient_id": "catfish", "name": "Catfish fillet", "grams": 560.0, "note": ""}, {"ingredient_id": "cajun_seasoning", "name": "Cajun seasoning", "grams": 10.0, "note": ""}, {"ingredient_id": "collard_greens", "name": "Collard greens", "grams": 400.0, "note": ""}, {"ingredient_id": "onion", "name": "Yellow onion", "grams": 80.0, "note": ""}, {"ingredient_id": "garlic", "name": "Garlic", "grams": 6.0, "note": ""}, {"ingredient_id": "apple_cider_vinegar", "name": "Apple cider vinegar", "grams": 15.0, "note": ""}, {"ingredient_id": "olive_oil", "name": "Extra-virgin olive oil", "grams": 25.0, "note": ""}, {"ingredient_id": "turkey_bacon", "name": "Turkey bacon", "grams": 40.0, "note": ""}]</t>
        </is>
      </c>
      <c r="N1056" s="2" t="n">
        <v>261</v>
      </c>
      <c r="O1056" s="5" t="n">
        <v>27.8</v>
      </c>
      <c r="P1056" s="5" t="n">
        <v>12.8</v>
      </c>
      <c r="Q1056" s="5" t="n">
        <v>9.4</v>
      </c>
      <c r="R1056" s="5" t="n">
        <v>5</v>
      </c>
      <c r="S1056" s="5" t="n">
        <v>4.4</v>
      </c>
      <c r="T1056" s="2" t="n">
        <v>16</v>
      </c>
      <c r="U1056" s="2" t="inlineStr">
        <is>
          <t>low</t>
        </is>
      </c>
      <c r="V1056" s="5" t="n">
        <v>0.7</v>
      </c>
      <c r="W1056" s="2" t="inlineStr">
        <is>
          <t>low</t>
        </is>
      </c>
      <c r="X1056" s="3" t="inlineStr">
        <is>
          <t>Negligible carbohydrate (&lt;5 g net/serving): GI has little practical meaning, glycemic load is what matters.</t>
        </is>
      </c>
      <c r="Y1056" s="3" t="inlineStr">
        <is>
          <t>0% of this dish's available carbohydrate comes from ingredients with a published, measured GI; the rest uses conventional placeholders (see Ingredients sheet)</t>
        </is>
      </c>
      <c r="Z1056" s="2" t="n">
        <v>0</v>
      </c>
      <c r="AA1056" s="3" t="inlineStr">
        <is>
          <t>gluten-free, dairy-free, nut-free, low-carb, high-protein</t>
        </is>
      </c>
      <c r="AB1056" s="3" t="inlineStr">
        <is>
          <t>1. Sauté the bacon, onion and garlic, then the collards with vinegar and a splash of water until tender.
2. Coat the catfish in Cajun seasoning.
3. Sear in oil 4 minutes a side.
4. Serve on the greens.</t>
        </is>
      </c>
      <c r="AC1056" s="4" t="inlineStr">
        <is>
          <t>["Sauté the bacon, onion and garlic, then the collards with vinegar and a splash of water until tender.", "Coat the catfish in Cajun seasoning.", "Sear in oil 4 minutes a side.", "Serve on the greens."]</t>
        </is>
      </c>
    </row>
    <row r="1057" ht="96" customHeight="1">
      <c r="A1057" s="2" t="inlineStr">
        <is>
          <t>DB-1056</t>
        </is>
      </c>
      <c r="B1057" s="3" t="inlineStr">
        <is>
          <t>Lemon Pepper Tilapia with Green Beans</t>
        </is>
      </c>
      <c r="C1057" s="4" t="inlineStr">
        <is>
          <t>Seafood</t>
        </is>
      </c>
      <c r="D1057" s="4" t="inlineStr">
        <is>
          <t>American</t>
        </is>
      </c>
      <c r="E1057" s="2" t="n">
        <v>4</v>
      </c>
      <c r="F1057" s="2" t="n">
        <v>5</v>
      </c>
      <c r="G1057" s="2" t="n">
        <v>15</v>
      </c>
      <c r="H1057" s="2" t="n">
        <v>20</v>
      </c>
      <c r="I1057" s="4" t="inlineStr">
        <is>
          <t>lemon-pepper-tilapia-with-green-beans.jpg</t>
        </is>
      </c>
      <c r="J1057" s="3" t="inlineStr">
        <is>
          <t>Lemon Pepper Tilapia with Green Beans, healthy food photography, plated, natural light</t>
        </is>
      </c>
      <c r="K1057" s="4" t="inlineStr"/>
      <c r="L1057" s="3" t="inlineStr">
        <is>
          <t>Tilapia fillet — 560 g (19.8 oz)
Green beans — 400 g (14.1 oz)
Lemon juice — 25 g (0.9 oz)
Black pepper — 2 g (0.1 oz)
Garlic powder — 3 g (0.1 oz)
Extra-virgin olive oil — 20 g (0.7 oz)
Salt — 3 g (0.1 oz)</t>
        </is>
      </c>
      <c r="M1057" s="4" t="inlineStr">
        <is>
          <t>[{"ingredient_id": "tilapia", "name": "Tilapia fillet", "grams": 560.0, "note": ""}, {"ingredient_id": "green_beans", "name": "Green beans", "grams": 400.0, "note": ""}, {"ingredient_id": "lemon_juice", "name": "Lemon juice", "grams": 25.0, "note": ""}, {"ingredient_id": "black_pepper", "name": "Black pepper", "grams": 2.0, "note": ""}, {"ingredient_id": "garlic_powder", "name": "Garlic powder", "grams": 3.0, "note": ""}, {"ingredient_id": "olive_oil", "name": "Extra-virgin olive oil", "grams": 20.0, "note": ""}, {"ingredient_id": "salt", "name": "Salt", "grams": 3.0, "note": ""}]</t>
        </is>
      </c>
      <c r="N1057" s="2" t="n">
        <v>215</v>
      </c>
      <c r="O1057" s="5" t="n">
        <v>30</v>
      </c>
      <c r="P1057" s="5" t="n">
        <v>7.6</v>
      </c>
      <c r="Q1057" s="5" t="n">
        <v>8.300000000000001</v>
      </c>
      <c r="R1057" s="5" t="n">
        <v>2.9</v>
      </c>
      <c r="S1057" s="5" t="n">
        <v>5.4</v>
      </c>
      <c r="T1057" s="2" t="n">
        <v>15</v>
      </c>
      <c r="U1057" s="2" t="inlineStr">
        <is>
          <t>low</t>
        </is>
      </c>
      <c r="V1057" s="5" t="n">
        <v>0.8</v>
      </c>
      <c r="W1057" s="2" t="inlineStr">
        <is>
          <t>low</t>
        </is>
      </c>
      <c r="X1057" s="3" t="inlineStr"/>
      <c r="Y1057" s="3" t="inlineStr">
        <is>
          <t>0% of this dish's available carbohydrate comes from ingredients with a published, measured GI; the rest uses conventional placeholders (see Ingredients sheet)</t>
        </is>
      </c>
      <c r="Z1057" s="2" t="n">
        <v>0</v>
      </c>
      <c r="AA1057" s="3" t="inlineStr">
        <is>
          <t>pescatarian, gluten-free, dairy-free, nut-free, low-carb, high-protein</t>
        </is>
      </c>
      <c r="AB1057" s="3" t="inlineStr">
        <is>
          <t>1. Season the tilapia with pepper, garlic powder and salt.
2. Pan-sear in half the oil, 3 minutes a side.
3. Sauté the beans in the remaining oil.
4. Finish both with lemon juice.</t>
        </is>
      </c>
      <c r="AC1057" s="4" t="inlineStr">
        <is>
          <t>["Season the tilapia with pepper, garlic powder and salt.", "Pan-sear in half the oil, 3 minutes a side.", "Sauté the beans in the remaining oil.", "Finish both with lemon juice."]</t>
        </is>
      </c>
    </row>
    <row r="1058" ht="96" customHeight="1">
      <c r="A1058" s="2" t="inlineStr">
        <is>
          <t>DB-1057</t>
        </is>
      </c>
      <c r="B1058" s="3" t="inlineStr">
        <is>
          <t>Crab Cakes with Greek Yogurt Remoulade</t>
        </is>
      </c>
      <c r="C1058" s="4" t="inlineStr">
        <is>
          <t>Seafood</t>
        </is>
      </c>
      <c r="D1058" s="4" t="inlineStr">
        <is>
          <t>American</t>
        </is>
      </c>
      <c r="E1058" s="2" t="n">
        <v>4</v>
      </c>
      <c r="F1058" s="2" t="n">
        <v>15</v>
      </c>
      <c r="G1058" s="2" t="n">
        <v>10</v>
      </c>
      <c r="H1058" s="2" t="n">
        <v>25</v>
      </c>
      <c r="I1058" s="4" t="inlineStr">
        <is>
          <t>crab-cakes-with-greek-yogurt-remoulade.jpg</t>
        </is>
      </c>
      <c r="J1058" s="3" t="inlineStr">
        <is>
          <t>Crab Cakes with Greek Yogurt Remoulade, healthy food photography, plated, natural light</t>
        </is>
      </c>
      <c r="K1058" s="4" t="inlineStr"/>
      <c r="L1058" s="3" t="inlineStr">
        <is>
          <t>Crab meat, lump — 450 g (15.9 oz)
Egg, large (50 g each) — 50 g (1.8 oz)
Almond flour — 40 g (1.4 oz)
Celery — 30 g (1.1 oz)
Old Bay seasoning — 4 g (0.1 oz)
Dijon mustard — 10 g (0.4 oz)
Lemon juice — 15 g (0.5 oz)
Greek yogurt, plain 2% — 100 g (3.5 oz)
Extra-virgin olive oil — 15 g (0.5 oz)
Dill pickles — 20 g (0.7 oz)</t>
        </is>
      </c>
      <c r="M1058" s="4" t="inlineStr">
        <is>
          <t>[{"ingredient_id": "crab", "name": "Crab meat, lump", "grams": 450.0, "note": ""}, {"ingredient_id": "egg", "name": "Egg, large (50 g each)", "grams": 50.0, "note": ""}, {"ingredient_id": "almond_flour", "name": "Almond flour", "grams": 40.0, "note": ""}, {"ingredient_id": "celery", "name": "Celery", "grams": 30.0, "note": ""}, {"ingredient_id": "old_bay", "name": "Old Bay seasoning", "grams": 4.0, "note": ""}, {"ingredient_id": "dijon", "name": "Dijon mustard", "grams": 10.0, "note": ""}, {"ingredient_id": "lemon_juice", "name": "Lemon juice", "grams": 15.0, "note": ""}, {"ingredient_id": "greek_yogurt", "name": "Greek yogurt, plain 2%", "grams": 100.0, "note": ""}, {"ingredient_id": "olive_oil", "name": "Extra-virgin olive oil", "grams": 15.0, "note": ""}, {"ingredient_id": "dill_pickle", "name": "Dill pickles", "grams": 20.0, "note": ""}]</t>
        </is>
      </c>
      <c r="N1058" s="2" t="n">
        <v>230</v>
      </c>
      <c r="O1058" s="5" t="n">
        <v>26.7</v>
      </c>
      <c r="P1058" s="5" t="n">
        <v>11.8</v>
      </c>
      <c r="Q1058" s="5" t="n">
        <v>4.5</v>
      </c>
      <c r="R1058" s="5" t="n">
        <v>1.7</v>
      </c>
      <c r="S1058" s="5" t="n">
        <v>2.8</v>
      </c>
      <c r="T1058" s="2" t="n">
        <v>14</v>
      </c>
      <c r="U1058" s="2" t="inlineStr">
        <is>
          <t>low</t>
        </is>
      </c>
      <c r="V1058" s="5" t="n">
        <v>0.4</v>
      </c>
      <c r="W1058" s="2" t="inlineStr">
        <is>
          <t>low</t>
        </is>
      </c>
      <c r="X1058" s="3" t="inlineStr">
        <is>
          <t>Negligible carbohydrate (&lt;5 g net/serving): GI has little practical meaning, glycemic load is what matters.</t>
        </is>
      </c>
      <c r="Y1058" s="3" t="inlineStr">
        <is>
          <t>36% of this dish's available carbohydrate comes from ingredients with a published, measured GI; the rest uses conventional placeholders (see Ingredients sheet)</t>
        </is>
      </c>
      <c r="Z1058" s="2" t="n">
        <v>36</v>
      </c>
      <c r="AA1058" s="3" t="inlineStr">
        <is>
          <t>pescatarian, gluten-free, low-carb, high-protein</t>
        </is>
      </c>
      <c r="AB1058" s="3" t="inlineStr">
        <is>
          <t>1. Mix the crab, egg, almond flour, celery, Old Bay and mustard gently and form cakes.
2. Chill 15 minutes.
3. Pan-fry in oil 4 minutes a side.
4. Stir the yogurt, lemon and chopped pickle for the sauce.</t>
        </is>
      </c>
      <c r="AC1058" s="4" t="inlineStr">
        <is>
          <t>["Mix the crab, egg, almond flour, celery, Old Bay and mustard gently and form cakes.", "Chill 15 minutes.", "Pan-fry in oil 4 minutes a side.", "Stir the yogurt, lemon and chopped pickle for the sauce."]</t>
        </is>
      </c>
    </row>
    <row r="1059" ht="96" customHeight="1">
      <c r="A1059" s="2" t="inlineStr">
        <is>
          <t>DB-1058</t>
        </is>
      </c>
      <c r="B1059" s="3" t="inlineStr">
        <is>
          <t>Salmon Patty Lettuce Wraps with Avocado</t>
        </is>
      </c>
      <c r="C1059" s="4" t="inlineStr">
        <is>
          <t>Seafood</t>
        </is>
      </c>
      <c r="D1059" s="4" t="inlineStr">
        <is>
          <t>American</t>
        </is>
      </c>
      <c r="E1059" s="2" t="n">
        <v>4</v>
      </c>
      <c r="F1059" s="2" t="n">
        <v>15</v>
      </c>
      <c r="G1059" s="2" t="n">
        <v>10</v>
      </c>
      <c r="H1059" s="2" t="n">
        <v>25</v>
      </c>
      <c r="I1059" s="4" t="inlineStr">
        <is>
          <t>salmon-patty-lettuce-wraps-with-avocado.jpg</t>
        </is>
      </c>
      <c r="J1059" s="3" t="inlineStr">
        <is>
          <t>Salmon Patty Lettuce Wraps with Avocado, healthy food photography, plated, natural light</t>
        </is>
      </c>
      <c r="K1059" s="4" t="inlineStr"/>
      <c r="L1059" s="3" t="inlineStr">
        <is>
          <t>Salmon fillet — 500 g (17.6 oz)
Egg, large (50 g each) — 50 g (1.8 oz)
Oat bran, dry — 30 g (1.1 oz)
Dijon mustard — 10 g (0.4 oz)
Fresh dill — 4 g (0.1 oz)
Lemon juice — 10 g (0.4 oz)
Butter lettuce — 100 g (3.5 oz)
Tomato — 120 g (4.2 oz)
Avocado — 80 g (2.8 oz)</t>
        </is>
      </c>
      <c r="M1059"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"lemon_juice", "name": "Lemon juice", "grams": 10.0, "note": ""}, {"ingredient_id": "butter_lettuce", "name": "Butter lettuce", "grams": 100.0, "note": ""}, {"ingredient_id": "tomato", "name": "Tomato", "grams": 120.0, "note": ""}, {"ingredient_id": "avocado", "name": "Avocado", "grams": 80.0, "note": ""}]</t>
        </is>
      </c>
      <c r="N1059" s="2" t="n">
        <v>340</v>
      </c>
      <c r="O1059" s="5" t="n">
        <v>29</v>
      </c>
      <c r="P1059" s="5" t="n">
        <v>21.2</v>
      </c>
      <c r="Q1059" s="5" t="n">
        <v>8.800000000000001</v>
      </c>
      <c r="R1059" s="5" t="n">
        <v>3.2</v>
      </c>
      <c r="S1059" s="5" t="n">
        <v>5.6</v>
      </c>
      <c r="T1059" s="2" t="n">
        <v>42</v>
      </c>
      <c r="U1059" s="2" t="inlineStr">
        <is>
          <t>low</t>
        </is>
      </c>
      <c r="V1059" s="5" t="n">
        <v>2.4</v>
      </c>
      <c r="W1059" s="2" t="inlineStr">
        <is>
          <t>low</t>
        </is>
      </c>
      <c r="X1059" s="3" t="inlineStr"/>
      <c r="Y1059" s="3" t="inlineStr">
        <is>
          <t>68% of this dish's available carbohydrate comes from ingredients with a published, measured GI; the rest uses conventional placeholders (see Ingredients sheet)</t>
        </is>
      </c>
      <c r="Z1059" s="2" t="n">
        <v>68</v>
      </c>
      <c r="AA1059" s="3" t="inlineStr">
        <is>
          <t>pescatarian, dairy-free, nut-free, low-carb, high-protein</t>
        </is>
      </c>
      <c r="AB1059" s="3" t="inlineStr">
        <is>
          <t>1. Chop the salmon finely and mix with egg, oat bran, mustard, dill and lemon.
2. Shape four patties and chill.
3. Grill 4 minutes a side.
4. Serve in lettuce with tomato and avocado.</t>
        </is>
      </c>
      <c r="AC1059" s="4" t="inlineStr">
        <is>
          <t>["Chop the salmon finely and mix with egg, oat bran, mustard, dill and lemon.", "Shape four patties and chill.", "Grill 4 minutes a side.", "Serve in lettuce with tomato and avocado."]</t>
        </is>
      </c>
    </row>
    <row r="1060" ht="96" customHeight="1">
      <c r="A1060" s="2" t="inlineStr">
        <is>
          <t>DB-1059</t>
        </is>
      </c>
      <c r="B1060" s="3" t="inlineStr">
        <is>
          <t>Homestyle Chicken Noodle Soup (Chickpea Pasta)</t>
        </is>
      </c>
      <c r="C1060" s="4" t="inlineStr">
        <is>
          <t>Soup &amp; Stew</t>
        </is>
      </c>
      <c r="D1060" s="4" t="inlineStr">
        <is>
          <t>American</t>
        </is>
      </c>
      <c r="E1060" s="2" t="n">
        <v>5</v>
      </c>
      <c r="F1060" s="2" t="n">
        <v>15</v>
      </c>
      <c r="G1060" s="2" t="n">
        <v>30</v>
      </c>
      <c r="H1060" s="2" t="n">
        <v>45</v>
      </c>
      <c r="I1060" s="4" t="inlineStr">
        <is>
          <t>homestyle-chicken-noodle-soup-chickpea-pasta.jpg</t>
        </is>
      </c>
      <c r="J1060" s="3" t="inlineStr">
        <is>
          <t>Homestyle Chicken Noodle Soup (Chickpea Pasta), healthy food photography, plated, natural light</t>
        </is>
      </c>
      <c r="K1060" s="4" t="inlineStr"/>
      <c r="L1060" s="3" t="inlineStr">
        <is>
          <t>Chicken breast, skinless — 450 g (15.9 oz)
Chicken broth, low sodium — 1000 g (35.3 oz)
Carrot — 120 g (4.2 oz)
Celery — 100 g (3.5 oz)
Yellow onion — 100 g (3.5 oz)
Chickpea pasta, cooked — 100 g (3.5 oz)
Fresh parsley — 5 g (0.2 oz)
Fresh thyme — 2 g (0.1 oz)
Garlic — 6 g (0.2 oz)</t>
        </is>
      </c>
      <c r="M1060" s="4" t="inlineStr">
        <is>
          <t>[{"ingredient_id": "chicken_breast", "name": "Chicken breast, skinless", "grams": 450.0, "note": ""}, {"ingredient_id": "chicken_broth", "name": "Chicken broth, low sodium", "grams": 1000.0, "note": ""}, {"ingredient_id": "carrot", "name": "Carrot", "grams": 120.0, "note": ""}, {"ingredient_id": "celery", "name": "Celery", "grams": 100.0, "note": ""}, {"ingredient_id": "onion", "name": "Yellow onion", "grams": 100.0, "note": ""}, {"ingredient_id": "chickpea_pasta", "name": "Chickpea pasta, cooked", "grams": 100.0, "note": ""}, {"ingredient_id": "parsley", "name": "Fresh parsley", "grams": 5.0, "note": ""}, {"ingredient_id": "thyme", "name": "Fresh thyme", "grams": 2.0, "note": ""}, {"ingredient_id": "garlic", "name": "Garlic", "grams": 6.0, "note": ""}]</t>
        </is>
      </c>
      <c r="N1060" s="2" t="n">
        <v>179</v>
      </c>
      <c r="O1060" s="5" t="n">
        <v>25.4</v>
      </c>
      <c r="P1060" s="5" t="n">
        <v>3.5</v>
      </c>
      <c r="Q1060" s="5" t="n">
        <v>11.7</v>
      </c>
      <c r="R1060" s="5" t="n">
        <v>2.6</v>
      </c>
      <c r="S1060" s="5" t="n">
        <v>9.1</v>
      </c>
      <c r="T1060" s="2" t="n">
        <v>25</v>
      </c>
      <c r="U1060" s="2" t="inlineStr">
        <is>
          <t>low</t>
        </is>
      </c>
      <c r="V1060" s="5" t="n">
        <v>2.3</v>
      </c>
      <c r="W1060" s="2" t="inlineStr">
        <is>
          <t>low</t>
        </is>
      </c>
      <c r="X1060" s="3" t="inlineStr"/>
      <c r="Y1060" s="3" t="inlineStr">
        <is>
          <t>18% of this dish's available carbohydrate comes from ingredients with a published, measured GI; the rest uses conventional placeholders (see Ingredients sheet)</t>
        </is>
      </c>
      <c r="Z1060" s="2" t="n">
        <v>18</v>
      </c>
      <c r="AA1060" s="3" t="inlineStr">
        <is>
          <t>gluten-free, dairy-free, nut-free, low-carb, high-protein</t>
        </is>
      </c>
      <c r="AB1060" s="3" t="inlineStr">
        <is>
          <t>1. Simmer the chicken, vegetables, garlic and thyme in the broth for 20 minutes.
2. Remove and shred the chicken.
3. Cook the pasta in the soup for 6 to 8 minutes.
4. Return the chicken and finish with parsley.</t>
        </is>
      </c>
      <c r="AC1060" s="4" t="inlineStr">
        <is>
          <t>["Simmer the chicken, vegetables, garlic and thyme in the broth for 20 minutes.", "Remove and shred the chicken.", "Cook the pasta in the soup for 6 to 8 minutes.", "Return the chicken and finish with parsley."]</t>
        </is>
      </c>
    </row>
    <row r="1061" ht="96" customHeight="1">
      <c r="A1061" s="2" t="inlineStr">
        <is>
          <t>DB-1060</t>
        </is>
      </c>
      <c r="B1061" s="3" t="inlineStr">
        <is>
          <t>Broccoli Cheddar Soup</t>
        </is>
      </c>
      <c r="C1061" s="4" t="inlineStr">
        <is>
          <t>Soup &amp; Stew</t>
        </is>
      </c>
      <c r="D1061" s="4" t="inlineStr">
        <is>
          <t>American</t>
        </is>
      </c>
      <c r="E1061" s="2" t="n">
        <v>4</v>
      </c>
      <c r="F1061" s="2" t="n">
        <v>10</v>
      </c>
      <c r="G1061" s="2" t="n">
        <v>25</v>
      </c>
      <c r="H1061" s="2" t="n">
        <v>35</v>
      </c>
      <c r="I1061" s="4" t="inlineStr">
        <is>
          <t>broccoli-cheddar-soup.jpg</t>
        </is>
      </c>
      <c r="J1061" s="3" t="inlineStr">
        <is>
          <t>Broccoli Cheddar Soup, healthy food photography, plated, natural light</t>
        </is>
      </c>
      <c r="K1061" s="4" t="inlineStr"/>
      <c r="L1061" s="3" t="inlineStr">
        <is>
          <t>Broccoli — 500 g (17.6 oz)
Cheddar cheese — 120 g (4.2 oz)
Yellow onion — 100 g (3.5 oz)
Chicken broth, low sodium — 600 g (21.2 oz)
Milk, 2% — 200 g (7.1 oz)
Garlic — 6 g (0.2 oz)
Extra-virgin olive oil — 10 g (0.4 oz)
Dijon mustard — 5 g (0.2 oz)</t>
        </is>
      </c>
      <c r="M1061" s="4" t="inlineStr">
        <is>
          <t>[{"ingredient_id": "broccoli", "name": "Broccoli", "grams": 500.0, "note": ""}, {"ingredient_id": "cheddar", "name": "Cheddar cheese", "grams": 120.0, "note": ""}, {"ingredient_id": "onion", "name": "Yellow onion", "grams": 100.0, "note": ""}, {"ingredient_id": "chicken_broth", "name": "Chicken broth, low sodium", "grams": 600.0, "note": ""}, {"ingredient_id": "milk", "name": "Milk, 2%", "grams": 200.0, "note": ""}, {"ingredient_id": "garlic", "name": "Garlic", "grams": 6.0, "note": ""}, {"ingredient_id": "olive_oil", "name": "Extra-virgin olive oil", "grams": 10.0, "note": ""}, {"ingredient_id": "dijon", "name": "Dijon mustard", "grams": 5.0, "note": ""}]</t>
        </is>
      </c>
      <c r="N1061" s="2" t="n">
        <v>234</v>
      </c>
      <c r="O1061" s="5" t="n">
        <v>14</v>
      </c>
      <c r="P1061" s="5" t="n">
        <v>14.3</v>
      </c>
      <c r="Q1061" s="5" t="n">
        <v>14.7</v>
      </c>
      <c r="R1061" s="5" t="n">
        <v>3.7</v>
      </c>
      <c r="S1061" s="5" t="n">
        <v>10.9</v>
      </c>
      <c r="T1061" s="2" t="n">
        <v>17</v>
      </c>
      <c r="U1061" s="2" t="inlineStr">
        <is>
          <t>low</t>
        </is>
      </c>
      <c r="V1061" s="5" t="n">
        <v>1.9</v>
      </c>
      <c r="W1061" s="2" t="inlineStr">
        <is>
          <t>low</t>
        </is>
      </c>
      <c r="X1061" s="3" t="inlineStr"/>
      <c r="Y1061" s="3" t="inlineStr">
        <is>
          <t>22% of this dish's available carbohydrate comes from ingredients with a published, measured GI; the rest uses conventional placeholders (see Ingredients sheet)</t>
        </is>
      </c>
      <c r="Z1061" s="2" t="n">
        <v>22</v>
      </c>
      <c r="AA1061" s="3" t="inlineStr">
        <is>
          <t>vegetarian, gluten-free, nut-free, low-carb</t>
        </is>
      </c>
      <c r="AB1061" s="3" t="inlineStr">
        <is>
          <t>1. Sauté the onion and garlic in oil.
2. Add the broccoli and broth and simmer 15 minutes.
3. Blend partly smooth, stir in the milk and mustard.
4. Melt in the cheddar off the heat.</t>
        </is>
      </c>
      <c r="AC1061" s="4" t="inlineStr">
        <is>
          <t>["Sauté the onion and garlic in oil.", "Add the broccoli and broth and simmer 15 minutes.", "Blend partly smooth, stir in the milk and mustard.", "Melt in the cheddar off the heat."]</t>
        </is>
      </c>
    </row>
    <row r="1062" ht="96" customHeight="1">
      <c r="A1062" s="2" t="inlineStr">
        <is>
          <t>DB-1061</t>
        </is>
      </c>
      <c r="B1062" s="3" t="inlineStr">
        <is>
          <t>Minestrone with White Beans</t>
        </is>
      </c>
      <c r="C1062" s="4" t="inlineStr">
        <is>
          <t>Soup &amp; Stew</t>
        </is>
      </c>
      <c r="D1062" s="4" t="inlineStr">
        <is>
          <t>Italian</t>
        </is>
      </c>
      <c r="E1062" s="2" t="n">
        <v>6</v>
      </c>
      <c r="F1062" s="2" t="n">
        <v>15</v>
      </c>
      <c r="G1062" s="2" t="n">
        <v>35</v>
      </c>
      <c r="H1062" s="2" t="n">
        <v>50</v>
      </c>
      <c r="I1062" s="4" t="inlineStr">
        <is>
          <t>minestrone-with-white-beans.jpg</t>
        </is>
      </c>
      <c r="J1062" s="3" t="inlineStr">
        <is>
          <t>Minestrone with White Beans, healthy food photography, plated, natural light</t>
        </is>
      </c>
      <c r="K1062" s="4" t="inlineStr"/>
      <c r="L1062" s="3" t="inlineStr">
        <is>
          <t>Cannellini beans, cooked — 300 g (10.6 oz)
Diced tomatoes, canned — 400 g (14.1 oz)
Zucchini — 150 g (5.3 oz)
Carrot — 120 g (4.2 oz)
Celery — 80 g (2.8 oz)
Yellow onion — 100 g (3.5 oz)
Kale — 80 g (2.8 oz)
Vegetable broth, low sodium — 800 g (28.2 oz)
Italian seasoning — 3 g (0.1 oz)
Garlic — 8 g (0.3 oz)
Extra-virgin olive oil — 15 g (0.5 oz)
Parmesan, grated — 30 g (1.1 oz)</t>
        </is>
      </c>
      <c r="M1062" s="4" t="inlineStr">
        <is>
          <t>[{"ingredient_id": "white_beans", "name": "Cannellini beans, cooked", "grams": 300.0, "note": ""}, {"ingredient_id": "diced_tomatoes", "name": "Diced tomatoes, canned", "grams": 400.0, "note": ""}, {"ingredient_id": "zucchini", "name": "Zucchini", "grams": 150.0, "note": ""}, {"ingredient_id": "carrot", "name": "Carrot", "grams": 120.0, "note": ""}, {"ingredient_id": "celery", "name": "Celery", "grams": 80.0, "note": ""}, {"ingredient_id": "onion", "name": "Yellow onion", "grams": 100.0, "note": ""}, {"ingredient_id": "kale", "name": "Kale", "grams": 80.0, "note": ""}, {"ingredient_id": "vegetable_broth", "name": "Vegetable broth, low sodium", "grams": 800.0, "note": ""}, {"ingredient_id": "italian_seasoning", "name": "Italian seasoning", "grams": 3.0, "note": ""}, {"ingredient_id": "garlic", "name": "Garlic", "grams": 8.0, "note": ""}, {"ingredient_id": "olive_oil", "name": "Extra-virgin olive oil", "grams": 15.0, "note": ""}, {"ingredient_id": "parmesan", "name": "Parmesan, grated", "grams": 30.0, "note": ""}]</t>
        </is>
      </c>
      <c r="N1062" s="2" t="n">
        <v>171</v>
      </c>
      <c r="O1062" s="5" t="n">
        <v>9.699999999999999</v>
      </c>
      <c r="P1062" s="5" t="n">
        <v>4.9</v>
      </c>
      <c r="Q1062" s="5" t="n">
        <v>24.6</v>
      </c>
      <c r="R1062" s="5" t="n">
        <v>6.2</v>
      </c>
      <c r="S1062" s="5" t="n">
        <v>18.5</v>
      </c>
      <c r="T1062" s="2" t="n">
        <v>26</v>
      </c>
      <c r="U1062" s="2" t="inlineStr">
        <is>
          <t>low</t>
        </is>
      </c>
      <c r="V1062" s="5" t="n">
        <v>4.8</v>
      </c>
      <c r="W1062" s="2" t="inlineStr">
        <is>
          <t>low</t>
        </is>
      </c>
      <c r="X1062" s="3" t="inlineStr"/>
      <c r="Y1062" s="3" t="inlineStr">
        <is>
          <t>58% of this dish's available carbohydrate comes from ingredients with a published, measured GI; the rest uses conventional placeholders (see Ingredients sheet)</t>
        </is>
      </c>
      <c r="Z1062" s="2" t="n">
        <v>58</v>
      </c>
      <c r="AA1062" s="3" t="inlineStr">
        <is>
          <t>vegetarian, gluten-free, nut-free</t>
        </is>
      </c>
      <c r="AB1062" s="3" t="inlineStr">
        <is>
          <t>1. Sauté the onion, carrot, celery and garlic in oil.
2. Add tomatoes, broth, beans and seasoning and simmer 20 minutes.
3. Add zucchini and kale for the last 8 minutes.
4. Serve with grated parmesan.</t>
        </is>
      </c>
      <c r="AC1062" s="4" t="inlineStr">
        <is>
          <t>["Sauté the onion, carrot, celery and garlic in oil.", "Add tomatoes, broth, beans and seasoning and simmer 20 minutes.", "Add zucchini and kale for the last 8 minutes.", "Serve with grated parmesan."]</t>
        </is>
      </c>
    </row>
    <row r="1063" ht="96" customHeight="1">
      <c r="A1063" s="2" t="inlineStr">
        <is>
          <t>DB-1062</t>
        </is>
      </c>
      <c r="B1063" s="3" t="inlineStr">
        <is>
          <t>Creamy Tomato Soup with Basil</t>
        </is>
      </c>
      <c r="C1063" s="4" t="inlineStr">
        <is>
          <t>Soup &amp; Stew</t>
        </is>
      </c>
      <c r="D1063" s="4" t="inlineStr">
        <is>
          <t>American</t>
        </is>
      </c>
      <c r="E1063" s="2" t="n">
        <v>4</v>
      </c>
      <c r="F1063" s="2" t="n">
        <v>10</v>
      </c>
      <c r="G1063" s="2" t="n">
        <v>25</v>
      </c>
      <c r="H1063" s="2" t="n">
        <v>35</v>
      </c>
      <c r="I1063" s="4" t="inlineStr">
        <is>
          <t>creamy-tomato-soup-with-basil.jpg</t>
        </is>
      </c>
      <c r="J1063" s="3" t="inlineStr">
        <is>
          <t>Creamy Tomato Soup with Basil, healthy food photography, plated, natural light</t>
        </is>
      </c>
      <c r="K1063" s="4" t="inlineStr"/>
      <c r="L1063" s="3" t="inlineStr">
        <is>
          <t>Crushed tomatoes, canned — 700 g (24.7 oz)
Yellow onion — 100 g (3.5 oz)
Garlic — 8 g (0.3 oz)
Vegetable broth, low sodium — 300 g (10.6 oz)
Heavy cream — 60 g (2.1 oz)
Fresh basil — 8 g (0.3 oz)
Extra-virgin olive oil — 15 g (0.5 oz)
Salt — 2 g (0.1 oz)</t>
        </is>
      </c>
      <c r="M1063" s="4" t="inlineStr">
        <is>
          <t>[{"ingredient_id": "crushed_tomatoes", "name": "Crushed tomatoes, canned", "grams": 700.0, "note": ""}, {"ingredient_id": "onion", "name": "Yellow onion", "grams": 100.0, "note": ""}, {"ingredient_id": "garlic", "name": "Garlic", "grams": 8.0, "note": ""}, {"ingredient_id": "vegetable_broth", "name": "Vegetable broth, low sodium", "grams": 300.0, "note": ""}, {"ingredient_id": "heavy_cream", "name": "Heavy cream", "grams": 60.0, "note": ""}, {"ingredient_id": "basil", "name": "Fresh basil", "grams": 8.0, "note": ""}, {"ingredient_id": "olive_oil", "name": "Extra-virgin olive oil", "grams": 15.0, "note": ""}, {"ingredient_id": "salt", "name": "Salt", "grams": 2.0, "note": ""}]</t>
        </is>
      </c>
      <c r="N1063" s="2" t="n">
        <v>160</v>
      </c>
      <c r="O1063" s="5" t="n">
        <v>3.9</v>
      </c>
      <c r="P1063" s="5" t="n">
        <v>9.9</v>
      </c>
      <c r="Q1063" s="5" t="n">
        <v>16.9</v>
      </c>
      <c r="R1063" s="5" t="n">
        <v>3.8</v>
      </c>
      <c r="S1063" s="5" t="n">
        <v>13</v>
      </c>
      <c r="T1063" s="2" t="n">
        <v>28</v>
      </c>
      <c r="U1063" s="2" t="inlineStr">
        <is>
          <t>low</t>
        </is>
      </c>
      <c r="V1063" s="5" t="n">
        <v>3.7</v>
      </c>
      <c r="W1063" s="2" t="inlineStr">
        <is>
          <t>low</t>
        </is>
      </c>
      <c r="X1063" s="3" t="inlineStr"/>
      <c r="Y1063" s="3" t="inlineStr">
        <is>
          <t>0% of this dish's available carbohydrate comes from ingredients with a published, measured GI; the rest uses conventional placeholders (see Ingredients sheet)</t>
        </is>
      </c>
      <c r="Z1063" s="2" t="n">
        <v>0</v>
      </c>
      <c r="AA1063" s="3" t="inlineStr">
        <is>
          <t>vegetarian, gluten-free, nut-free, low-carb</t>
        </is>
      </c>
      <c r="AB1063" s="3" t="inlineStr">
        <is>
          <t>1. Sauté the onion and garlic in oil.
2. Add the tomatoes and broth and simmer 15 minutes.
3. Blend smooth, stir in cream and basil.</t>
        </is>
      </c>
      <c r="AC1063" s="4" t="inlineStr">
        <is>
          <t>["Sauté the onion and garlic in oil.", "Add the tomatoes and broth and simmer 15 minutes.", "Blend smooth, stir in cream and basil."]</t>
        </is>
      </c>
    </row>
    <row r="1064" ht="96" customHeight="1">
      <c r="A1064" s="2" t="inlineStr">
        <is>
          <t>DB-1063</t>
        </is>
      </c>
      <c r="B1064" s="3" t="inlineStr">
        <is>
          <t>Turkey and Vegetable Soup</t>
        </is>
      </c>
      <c r="C1064" s="4" t="inlineStr">
        <is>
          <t>Soup &amp; Stew</t>
        </is>
      </c>
      <c r="D1064" s="4" t="inlineStr">
        <is>
          <t>American</t>
        </is>
      </c>
      <c r="E1064" s="2" t="n">
        <v>6</v>
      </c>
      <c r="F1064" s="2" t="n">
        <v>15</v>
      </c>
      <c r="G1064" s="2" t="n">
        <v>30</v>
      </c>
      <c r="H1064" s="2" t="n">
        <v>45</v>
      </c>
      <c r="I1064" s="4" t="inlineStr">
        <is>
          <t>turkey-and-vegetable-soup.jpg</t>
        </is>
      </c>
      <c r="J1064" s="3" t="inlineStr">
        <is>
          <t>Turkey and Vegetable Soup, healthy food photography, plated, natural light</t>
        </is>
      </c>
      <c r="K1064" s="4" t="inlineStr"/>
      <c r="L1064" s="3" t="inlineStr">
        <is>
          <t>Ground turkey 93% lean — 450 g (15.9 oz)
Chicken broth, low sodium — 1000 g (35.3 oz)
Carrot — 150 g (5.3 oz)
Celery — 100 g (3.5 oz)
Green beans — 150 g (5.3 oz)
Diced tomatoes, canned — 200 g (7.1 oz)
Yellow onion — 100 g (3.5 oz)
Italian seasoning — 3 g (0.1 oz)
Extra-virgin olive oil — 10 g (0.4 oz)</t>
        </is>
      </c>
      <c r="M1064" s="4" t="inlineStr">
        <is>
          <t>[{"ingredient_id": "ground_turkey", "name": "Ground turkey 93% lean", "grams": 450.0, "note": ""}, {"ingredient_id": "chicken_broth", "name": "Chicken broth, low sodium", "grams": 1000.0, "note": ""}, {"ingredient_id": "carrot", "name": "Carrot", "grams": 150.0, "note": ""}, {"ingredient_id": "celery", "name": "Celery", "grams": 100.0, "note": ""}, {"ingredient_id": "green_beans", "name": "Green beans", "grams": 150.0, "note": ""}, {"ingredient_id": "diced_tomatoes", "name": "Diced tomatoes, canned", "grams": 200.0, "note": ""}, {"ingredient_id": "onion", "name": "Yellow onion", "grams": 100.0, "note": ""}, {"ingredient_id": "italian_seasoning", "name": "Italian seasoning", "grams": 3.0, "note": ""}, {"ingredient_id": "olive_oil", "name": "Extra-virgin olive oil", "grams": 10.0, "note": ""}]</t>
        </is>
      </c>
      <c r="N1064" s="2" t="n">
        <v>176</v>
      </c>
      <c r="O1064" s="5" t="n">
        <v>17.1</v>
      </c>
      <c r="P1064" s="5" t="n">
        <v>8.199999999999999</v>
      </c>
      <c r="Q1064" s="5" t="n">
        <v>9</v>
      </c>
      <c r="R1064" s="5" t="n">
        <v>2.6</v>
      </c>
      <c r="S1064" s="5" t="n">
        <v>6.4</v>
      </c>
      <c r="T1064" s="2" t="n">
        <v>23</v>
      </c>
      <c r="U1064" s="2" t="inlineStr">
        <is>
          <t>low</t>
        </is>
      </c>
      <c r="V1064" s="5" t="n">
        <v>1.5</v>
      </c>
      <c r="W1064" s="2" t="inlineStr">
        <is>
          <t>low</t>
        </is>
      </c>
      <c r="X1064" s="3" t="inlineStr"/>
      <c r="Y1064" s="3" t="inlineStr">
        <is>
          <t>27% of this dish's available carbohydrate comes from ingredients with a published, measured GI; the rest uses conventional placeholders (see Ingredients sheet)</t>
        </is>
      </c>
      <c r="Z1064" s="2" t="n">
        <v>27</v>
      </c>
      <c r="AA1064" s="3" t="inlineStr">
        <is>
          <t>gluten-free, dairy-free, nut-free, low-carb</t>
        </is>
      </c>
      <c r="AB1064" s="3" t="inlineStr">
        <is>
          <t>1. Brown the turkey with the onion in oil.
2. Add the broth, vegetables, tomatoes and seasoning.
3. Simmer 25 minutes.</t>
        </is>
      </c>
      <c r="AC1064" s="4" t="inlineStr">
        <is>
          <t>["Brown the turkey with the onion in oil.", "Add the broth, vegetables, tomatoes and seasoning.", "Simmer 25 minutes."]</t>
        </is>
      </c>
    </row>
    <row r="1065" ht="96" customHeight="1">
      <c r="A1065" s="2" t="inlineStr">
        <is>
          <t>DB-1064</t>
        </is>
      </c>
      <c r="B1065" s="3" t="inlineStr">
        <is>
          <t>Smoky Black Bean Soup with Lime Yogurt</t>
        </is>
      </c>
      <c r="C1065" s="4" t="inlineStr">
        <is>
          <t>Soup &amp; Stew</t>
        </is>
      </c>
      <c r="D1065" s="4" t="inlineStr">
        <is>
          <t>Tex-Mex</t>
        </is>
      </c>
      <c r="E1065" s="2" t="n">
        <v>5</v>
      </c>
      <c r="F1065" s="2" t="n">
        <v>10</v>
      </c>
      <c r="G1065" s="2" t="n">
        <v>30</v>
      </c>
      <c r="H1065" s="2" t="n">
        <v>40</v>
      </c>
      <c r="I1065" s="4" t="inlineStr">
        <is>
          <t>smoky-black-bean-soup-with-lime-yogurt.jpg</t>
        </is>
      </c>
      <c r="J1065" s="3" t="inlineStr">
        <is>
          <t>Smoky Black Bean Soup with Lime Yogurt, healthy food photography, plated, natural light</t>
        </is>
      </c>
      <c r="K1065" s="4" t="inlineStr"/>
      <c r="L1065" s="3" t="inlineStr">
        <is>
          <t>Black beans, cooked — 480 g (16.9 oz)
Yellow onion — 120 g (4.2 oz)
Bell pepper — 100 g (3.5 oz)
Garlic — 8 g (0.3 oz)
Ground cumin — 3 g (0.1 oz)
Vegetable broth, low sodium — 600 g (21.2 oz)
Lime juice — 20 g (0.7 oz)
Greek yogurt, plain 2% — 100 g (3.5 oz)
Fresh cilantro — 6 g (0.2 oz)
Extra-virgin olive oil — 10 g (0.4 oz)</t>
        </is>
      </c>
      <c r="M1065" s="4" t="inlineStr">
        <is>
          <t>[{"ingredient_id": "black_beans", "name": "Black beans, cooked", "grams": 480.0, "note": ""}, {"ingredient_id": "onion", "name": "Yellow onion", "grams": 120.0, "note": ""}, {"ingredient_id": "bell_pepper", "name": "Bell pepper", "grams": 100.0, "note": ""}, {"ingredient_id": "garlic", "name": "Garlic", "grams": 8.0, "note": ""}, {"ingredient_id": "cumin", "name": "Ground cumin", "grams": 3.0, "note": ""}, {"ingredient_id": "vegetable_broth", "name": "Vegetable broth, low sodium", "grams": 600.0, "note": ""}, {"ingredient_id": "lime_juice", "name": "Lime juice", "grams": 20.0, "note": ""}, {"ingredient_id": "greek_yogurt", "name": "Greek yogurt, plain 2%", "grams": 100.0, "note": ""}, {"ingredient_id": "cilantro", "name": "Fresh cilantro", "grams": 6.0, "note": ""}, {"ingredient_id": "olive_oil", "name": "Extra-virgin olive oil", "grams": 10.0, "note": ""}]</t>
        </is>
      </c>
      <c r="N1065" s="2" t="n">
        <v>190</v>
      </c>
      <c r="O1065" s="5" t="n">
        <v>11.9</v>
      </c>
      <c r="P1065" s="5" t="n">
        <v>3.4</v>
      </c>
      <c r="Q1065" s="5" t="n">
        <v>30</v>
      </c>
      <c r="R1065" s="5" t="n">
        <v>9.300000000000001</v>
      </c>
      <c r="S1065" s="5" t="n">
        <v>20.6</v>
      </c>
      <c r="T1065" s="2" t="n">
        <v>24</v>
      </c>
      <c r="U1065" s="2" t="inlineStr">
        <is>
          <t>low</t>
        </is>
      </c>
      <c r="V1065" s="5" t="n">
        <v>5</v>
      </c>
      <c r="W1065" s="2" t="inlineStr">
        <is>
          <t>low</t>
        </is>
      </c>
      <c r="X1065" s="3" t="inlineStr"/>
      <c r="Y1065" s="3" t="inlineStr">
        <is>
          <t>74% of this dish's available carbohydrate comes from ingredients with a published, measured GI; the rest uses conventional placeholders (see Ingredients sheet)</t>
        </is>
      </c>
      <c r="Z1065" s="2" t="n">
        <v>74</v>
      </c>
      <c r="AA1065" s="3" t="inlineStr">
        <is>
          <t>vegetarian, gluten-free, nut-free, high-fiber</t>
        </is>
      </c>
      <c r="AB1065" s="3" t="inlineStr">
        <is>
          <t>1. Sauté the onion, pepper and garlic in oil with cumin.
2. Add the beans and broth and simmer 20 minutes.
3. Blend half for body.
4. Serve with a spoon of yogurt, lime and cilantro.</t>
        </is>
      </c>
      <c r="AC1065" s="4" t="inlineStr">
        <is>
          <t>["Sauté the onion, pepper and garlic in oil with cumin.", "Add the beans and broth and simmer 20 minutes.", "Blend half for body.", "Serve with a spoon of yogurt, lime and cilantro."]</t>
        </is>
      </c>
    </row>
    <row r="1066" ht="96" customHeight="1">
      <c r="A1066" s="2" t="inlineStr">
        <is>
          <t>DB-1065</t>
        </is>
      </c>
      <c r="B1066" s="3" t="inlineStr">
        <is>
          <t>Beef and Barley Stew</t>
        </is>
      </c>
      <c r="C1066" s="4" t="inlineStr">
        <is>
          <t>Soup &amp; Stew</t>
        </is>
      </c>
      <c r="D1066" s="4" t="inlineStr">
        <is>
          <t>American</t>
        </is>
      </c>
      <c r="E1066" s="2" t="n">
        <v>6</v>
      </c>
      <c r="F1066" s="2" t="n">
        <v>20</v>
      </c>
      <c r="G1066" s="2" t="n">
        <v>90</v>
      </c>
      <c r="H1066" s="2" t="n">
        <v>110</v>
      </c>
      <c r="I1066" s="4" t="inlineStr">
        <is>
          <t>beef-and-barley-stew.jpg</t>
        </is>
      </c>
      <c r="J1066" s="3" t="inlineStr">
        <is>
          <t>Beef and Barley Stew, healthy food photography, plated, natural light</t>
        </is>
      </c>
      <c r="K1066" s="4" t="inlineStr"/>
      <c r="L1066" s="3" t="inlineStr">
        <is>
          <t>Beef chuck roast, trimmed — 600 g (21.2 oz)
Pearl barley, cooked — 120 g (4.2 oz)
Carrot — 200 g (7.1 oz)
Celery — 100 g (3.5 oz)
Yellow onion — 120 g (4.2 oz)
Beef broth, low sodium — 1000 g (35.3 oz)
Tomato paste — 30 g (1.1 oz)
Fresh thyme — 2 g (0.1 oz)
Extra-virgin olive oil — 15 g (0.5 oz)</t>
        </is>
      </c>
      <c r="M1066" s="4" t="inlineStr">
        <is>
          <t>[{"ingredient_id": "beef_chuck", "name": "Beef chuck roast, trimmed", "grams": 600.0, "note": ""}, {"ingredient_id": "barley", "name": "Pearl barley, cooked", "grams": 120.0, "note": ""}, {"ingredient_id": "carrot", "name": "Carrot", "grams": 200.0, "note": ""}, {"ingredient_id": "celery", "name": "Celery", "grams": 100.0, "note": ""}, {"ingredient_id": "onion", "name": "Yellow onion", "grams": 120.0, "note": ""}, {"ingredient_id": "beef_broth", "name": "Beef broth, low sodium", "grams": 1000.0, "note": ""}, {"ingredient_id": "tomato_paste", "name": "Tomato paste", "grams": 30.0, "note": ""}, {"ingredient_id": "thyme", "name": "Fresh thyme", "grams": 2.0, "note": ""}, {"ingredient_id": "olive_oil", "name": "Extra-virgin olive oil", "grams": 15.0, "note": ""}]</t>
        </is>
      </c>
      <c r="N1066" s="2" t="n">
        <v>267</v>
      </c>
      <c r="O1066" s="5" t="n">
        <v>23.5</v>
      </c>
      <c r="P1066" s="5" t="n">
        <v>14.1</v>
      </c>
      <c r="Q1066" s="5" t="n">
        <v>12.9</v>
      </c>
      <c r="R1066" s="5" t="n">
        <v>2.5</v>
      </c>
      <c r="S1066" s="5" t="n">
        <v>10.3</v>
      </c>
      <c r="T1066" s="2" t="n">
        <v>34</v>
      </c>
      <c r="U1066" s="2" t="inlineStr">
        <is>
          <t>low</t>
        </is>
      </c>
      <c r="V1066" s="5" t="n">
        <v>3.5</v>
      </c>
      <c r="W1066" s="2" t="inlineStr">
        <is>
          <t>low</t>
        </is>
      </c>
      <c r="X1066" s="3" t="inlineStr"/>
      <c r="Y1066" s="3" t="inlineStr">
        <is>
          <t>69% of this dish's available carbohydrate comes from ingredients with a published, measured GI; the rest uses conventional placeholders (see Ingredients sheet)</t>
        </is>
      </c>
      <c r="Z1066" s="2" t="n">
        <v>69</v>
      </c>
      <c r="AA1066" s="3" t="inlineStr">
        <is>
          <t>dairy-free, nut-free, low-carb</t>
        </is>
      </c>
      <c r="AB1066" s="3" t="inlineStr">
        <is>
          <t>1. Brown the cubed beef in oil.
2. Add the onion, tomato paste, broth and thyme and simmer 1 hour.
3. Add the barley, carrot and celery and cook 30 minutes more.</t>
        </is>
      </c>
      <c r="AC1066" s="4" t="inlineStr">
        <is>
          <t>["Brown the cubed beef in oil.", "Add the onion, tomato paste, broth and thyme and simmer 1 hour.", "Add the barley, carrot and celery and cook 30 minutes more."]</t>
        </is>
      </c>
    </row>
    <row r="1067" ht="96" customHeight="1">
      <c r="A1067" s="2" t="inlineStr">
        <is>
          <t>DB-1066</t>
        </is>
      </c>
      <c r="B1067" s="3" t="inlineStr">
        <is>
          <t>Old-Fashioned Split Pea and Ham Soup</t>
        </is>
      </c>
      <c r="C1067" s="4" t="inlineStr">
        <is>
          <t>Soup &amp; Stew</t>
        </is>
      </c>
      <c r="D1067" s="4" t="inlineStr">
        <is>
          <t>American</t>
        </is>
      </c>
      <c r="E1067" s="2" t="n">
        <v>6</v>
      </c>
      <c r="F1067" s="2" t="n">
        <v>10</v>
      </c>
      <c r="G1067" s="2" t="n">
        <v>75</v>
      </c>
      <c r="H1067" s="2" t="n">
        <v>85</v>
      </c>
      <c r="I1067" s="4" t="inlineStr">
        <is>
          <t>old-fashioned-split-pea-and-ham-soup.jpg</t>
        </is>
      </c>
      <c r="J1067" s="3" t="inlineStr">
        <is>
          <t>Old-Fashioned Split Pea and Ham Soup, healthy food photography, plated, natural light</t>
        </is>
      </c>
      <c r="K1067" s="4" t="inlineStr"/>
      <c r="L1067" s="3" t="inlineStr">
        <is>
          <t>Split peas, cooked — 300 g (10.6 oz)
Ham, lean — 150 g (5.3 oz)
Carrot — 150 g (5.3 oz)
Celery — 100 g (3.5 oz)
Yellow onion — 120 g (4.2 oz)
Chicken broth, low sodium — 1200 g (42.3 oz)
Bay leaves — 1 g (0.0 oz)
Black pepper — 1 g (0.0 oz)</t>
        </is>
      </c>
      <c r="M1067" s="4" t="inlineStr">
        <is>
          <t>[{"ingredient_id": "split_peas", "name": "Split peas, cooked", "grams": 300.0, "note": ""}, {"ingredient_id": "ham", "name": "Ham, lean", "grams": 150.0, "note": ""}, {"ingredient_id": "carrot", "name": "Carrot", "grams": 150.0, "note": ""}, {"ingredient_id": "celery", "name": "Celery", "grams": 100.0, "note": ""}, {"ingredient_id": "onion", "name": "Yellow onion", "grams": 120.0, "note": ""}, {"ingredient_id": "chicken_broth", "name": "Chicken broth, low sodium", "grams": 1200.0, "note": ""}, {"ingredient_id": "bay_leaf", "name": "Bay leaves", "grams": 1.0, "note": ""}, {"ingredient_id": "black_pepper", "name": "Black pepper", "grams": 1.0, "note": ""}]</t>
        </is>
      </c>
      <c r="N1067" s="2" t="n">
        <v>131</v>
      </c>
      <c r="O1067" s="5" t="n">
        <v>12</v>
      </c>
      <c r="P1067" s="5" t="n">
        <v>2.2</v>
      </c>
      <c r="Q1067" s="5" t="n">
        <v>16.9</v>
      </c>
      <c r="R1067" s="5" t="n">
        <v>5.5</v>
      </c>
      <c r="S1067" s="5" t="n">
        <v>11.3</v>
      </c>
      <c r="T1067" s="2" t="n">
        <v>26</v>
      </c>
      <c r="U1067" s="2" t="inlineStr">
        <is>
          <t>low</t>
        </is>
      </c>
      <c r="V1067" s="5" t="n">
        <v>2.9</v>
      </c>
      <c r="W1067" s="2" t="inlineStr">
        <is>
          <t>low</t>
        </is>
      </c>
      <c r="X1067" s="3" t="inlineStr"/>
      <c r="Y1067" s="3" t="inlineStr">
        <is>
          <t>71% of this dish's available carbohydrate comes from ingredients with a published, measured GI; the rest uses conventional placeholders (see Ingredients sheet)</t>
        </is>
      </c>
      <c r="Z1067" s="2" t="n">
        <v>71</v>
      </c>
      <c r="AA1067" s="3" t="inlineStr">
        <is>
          <t>gluten-free, dairy-free, nut-free, low-carb</t>
        </is>
      </c>
      <c r="AB1067" s="3" t="inlineStr">
        <is>
          <t>1. Combine everything in a pot.
2. Simmer 70 minutes, stirring, until the peas collapse.
3. Remove the bay leaf and season with pepper.</t>
        </is>
      </c>
      <c r="AC1067" s="4" t="inlineStr">
        <is>
          <t>["Combine everything in a pot.", "Simmer 70 minutes, stirring, until the peas collapse.", "Remove the bay leaf and season with pepper."]</t>
        </is>
      </c>
    </row>
    <row r="1068" ht="96" customHeight="1">
      <c r="A1068" s="2" t="inlineStr">
        <is>
          <t>DB-1067</t>
        </is>
      </c>
      <c r="B1068" s="3" t="inlineStr">
        <is>
          <t>Loaded Cauliflower Mash</t>
        </is>
      </c>
      <c r="C1068" s="4" t="inlineStr">
        <is>
          <t>Side Dish</t>
        </is>
      </c>
      <c r="D1068" s="4" t="inlineStr">
        <is>
          <t>American</t>
        </is>
      </c>
      <c r="E1068" s="2" t="n">
        <v>4</v>
      </c>
      <c r="F1068" s="2" t="n">
        <v>10</v>
      </c>
      <c r="G1068" s="2" t="n">
        <v>15</v>
      </c>
      <c r="H1068" s="2" t="n">
        <v>25</v>
      </c>
      <c r="I1068" s="4" t="inlineStr">
        <is>
          <t>loaded-cauliflower-mash.jpg</t>
        </is>
      </c>
      <c r="J1068" s="3" t="inlineStr">
        <is>
          <t>Loaded Cauliflower Mash, healthy food photography, plated, natural light</t>
        </is>
      </c>
      <c r="K1068" s="4" t="inlineStr"/>
      <c r="L1068" s="3" t="inlineStr">
        <is>
          <t>Cauliflower — 600 g (21.2 oz)
Butter — 20 g (0.7 oz)
Greek yogurt, plain 2% — 60 g (2.1 oz)
Garlic — 6 g (0.2 oz)
Cheddar cheese — 40 g (1.4 oz)
Fresh chives — 5 g (0.2 oz)
Salt — 2 g (0.1 oz)</t>
        </is>
      </c>
      <c r="M1068" s="4" t="inlineStr">
        <is>
          <t>[{"ingredient_id": "cauliflower", "name": "Cauliflower", "grams": 600.0, "note": ""}, {"ingredient_id": "butter", "name": "Butter", "grams": 20.0, "note": ""}, {"ingredient_id": "greek_yogurt", "name": "Greek yogurt, plain 2%", "grams": 60.0, "note": ""}, {"ingredient_id": "garlic", "name": "Garlic", "grams": 6.0, "note": ""}, {"ingredient_id": "cheddar", "name": "Cheddar cheese", "grams": 40.0, "note": ""}, {"ingredient_id": "chives", "name": "Fresh chives", "grams": 5.0, "note": ""}, {"ingredient_id": "salt", "name": "Salt", "grams": 2.0, "note": ""}]</t>
        </is>
      </c>
      <c r="N1068" s="2" t="n">
        <v>127</v>
      </c>
      <c r="O1068" s="5" t="n">
        <v>6.8</v>
      </c>
      <c r="P1068" s="5" t="n">
        <v>8.1</v>
      </c>
      <c r="Q1068" s="5" t="n">
        <v>8.800000000000001</v>
      </c>
      <c r="R1068" s="5" t="n">
        <v>3.1</v>
      </c>
      <c r="S1068" s="5" t="n">
        <v>5.7</v>
      </c>
      <c r="T1068" s="2" t="n">
        <v>15</v>
      </c>
      <c r="U1068" s="2" t="inlineStr">
        <is>
          <t>low</t>
        </is>
      </c>
      <c r="V1068" s="5" t="n">
        <v>0.9</v>
      </c>
      <c r="W1068" s="2" t="inlineStr">
        <is>
          <t>low</t>
        </is>
      </c>
      <c r="X1068" s="3" t="inlineStr"/>
      <c r="Y1068" s="3" t="inlineStr">
        <is>
          <t>10% of this dish's available carbohydrate comes from ingredients with a published, measured GI; the rest uses conventional placeholders (see Ingredients sheet)</t>
        </is>
      </c>
      <c r="Z1068" s="2" t="n">
        <v>10</v>
      </c>
      <c r="AA1068" s="3" t="inlineStr">
        <is>
          <t>vegetarian, gluten-free, nut-free, low-carb</t>
        </is>
      </c>
      <c r="AB1068" s="3" t="inlineStr">
        <is>
          <t>1. Steam the cauliflower with the garlic until very tender.
2. Blend with butter, yogurt and salt.
3. Top with cheddar and chives.</t>
        </is>
      </c>
      <c r="AC1068" s="4" t="inlineStr">
        <is>
          <t>["Steam the cauliflower with the garlic until very tender.", "Blend with butter, yogurt and salt.", "Top with cheddar and chives."]</t>
        </is>
      </c>
    </row>
    <row r="1069" ht="96" customHeight="1">
      <c r="A1069" s="2" t="inlineStr">
        <is>
          <t>DB-1068</t>
        </is>
      </c>
      <c r="B1069" s="3" t="inlineStr">
        <is>
          <t>Roasted Brussels Sprouts with Bacon</t>
        </is>
      </c>
      <c r="C1069" s="4" t="inlineStr">
        <is>
          <t>Side Dish</t>
        </is>
      </c>
      <c r="D1069" s="4" t="inlineStr">
        <is>
          <t>American</t>
        </is>
      </c>
      <c r="E1069" s="2" t="n">
        <v>4</v>
      </c>
      <c r="F1069" s="2" t="n">
        <v>10</v>
      </c>
      <c r="G1069" s="2" t="n">
        <v>25</v>
      </c>
      <c r="H1069" s="2" t="n">
        <v>35</v>
      </c>
      <c r="I1069" s="4" t="inlineStr">
        <is>
          <t>roasted-brussels-sprouts-with-bacon.jpg</t>
        </is>
      </c>
      <c r="J1069" s="3" t="inlineStr">
        <is>
          <t>Roasted Brussels Sprouts with Bacon, healthy food photography, plated, natural light</t>
        </is>
      </c>
      <c r="K1069" s="4" t="inlineStr"/>
      <c r="L1069" s="3" t="inlineStr">
        <is>
          <t>Brussels sprouts — 500 g (17.6 oz)
Bacon — 50 g (1.8 oz)
Extra-virgin olive oil — 15 g (0.5 oz)
Balsamic vinegar — 10 g (0.4 oz)
Salt — 2 g (0.1 oz)
Black pepper — 1 g (0.0 oz)</t>
        </is>
      </c>
      <c r="M1069" s="4" t="inlineStr">
        <is>
          <t>[{"ingredient_id": "brussels_sprouts", "name": "Brussels sprouts", "grams": 500.0, "note": ""}, {"ingredient_id": "bacon", "name": "Bacon", "grams": 50.0, "note": ""}, {"ingredient_id": "olive_oil", "name": "Extra-virgin olive oil", "grams": 15.0, "note": ""}, {"ingredient_id": "balsamic_vinegar", "name": "Balsamic vinegar", "grams": 10.0, "note": ""}, {"ingredient_id": "salt", "name": "Salt", "grams": 2.0, "note": ""}, {"ingredient_id": "black_pepper", "name": "Black pepper", "grams": 1.0, "note": ""}]</t>
        </is>
      </c>
      <c r="N1069" s="2" t="n">
        <v>157</v>
      </c>
      <c r="O1069" s="5" t="n">
        <v>8.9</v>
      </c>
      <c r="P1069" s="5" t="n">
        <v>9.4</v>
      </c>
      <c r="Q1069" s="5" t="n">
        <v>12</v>
      </c>
      <c r="R1069" s="5" t="n">
        <v>4.8</v>
      </c>
      <c r="S1069" s="5" t="n">
        <v>7.2</v>
      </c>
      <c r="T1069" s="2" t="n">
        <v>16</v>
      </c>
      <c r="U1069" s="2" t="inlineStr">
        <is>
          <t>low</t>
        </is>
      </c>
      <c r="V1069" s="5" t="n">
        <v>1.2</v>
      </c>
      <c r="W1069" s="2" t="inlineStr">
        <is>
          <t>low</t>
        </is>
      </c>
      <c r="X1069" s="3" t="inlineStr"/>
      <c r="Y1069" s="3" t="inlineStr">
        <is>
          <t>0% of this dish's available carbohydrate comes from ingredients with a published, measured GI; the rest uses conventional placeholders (see Ingredients sheet)</t>
        </is>
      </c>
      <c r="Z1069" s="2" t="n">
        <v>0</v>
      </c>
      <c r="AA1069" s="3" t="inlineStr">
        <is>
          <t>gluten-free, dairy-free, nut-free, low-carb</t>
        </is>
      </c>
      <c r="AB1069" s="3" t="inlineStr">
        <is>
          <t>1. Heat the oven to 425°F.
2. Halve the sprouts and toss with oil, salt and pepper.
3. Roast with the chopped bacon for 25 minutes.
4. Finish with balsamic.</t>
        </is>
      </c>
      <c r="AC1069" s="4" t="inlineStr">
        <is>
          <t>["Heat the oven to 425°F.", "Halve the sprouts and toss with oil, salt and pepper.", "Roast with the chopped bacon for 25 minutes.", "Finish with balsamic."]</t>
        </is>
      </c>
    </row>
    <row r="1070" ht="96" customHeight="1">
      <c r="A1070" s="2" t="inlineStr">
        <is>
          <t>DB-1069</t>
        </is>
      </c>
      <c r="B1070" s="3" t="inlineStr">
        <is>
          <t>Southern-Style Green Beans</t>
        </is>
      </c>
      <c r="C1070" s="4" t="inlineStr">
        <is>
          <t>Side Dish</t>
        </is>
      </c>
      <c r="D1070" s="4" t="inlineStr">
        <is>
          <t>American</t>
        </is>
      </c>
      <c r="E1070" s="2" t="n">
        <v>4</v>
      </c>
      <c r="F1070" s="2" t="n">
        <v>10</v>
      </c>
      <c r="G1070" s="2" t="n">
        <v>30</v>
      </c>
      <c r="H1070" s="2" t="n">
        <v>40</v>
      </c>
      <c r="I1070" s="4" t="inlineStr">
        <is>
          <t>southern-style-green-beans.jpg</t>
        </is>
      </c>
      <c r="J1070" s="3" t="inlineStr">
        <is>
          <t>Southern-Style Green Beans, healthy food photography, plated, natural light</t>
        </is>
      </c>
      <c r="K1070" s="4" t="inlineStr"/>
      <c r="L1070" s="3" t="inlineStr">
        <is>
          <t>Green beans — 500 g (17.6 oz)
Turkey bacon — 50 g (1.8 oz)
Yellow onion — 80 g (2.8 oz)
Garlic — 4 g (0.1 oz)
Chicken broth, low sodium — 200 g (7.1 oz)
Apple cider vinegar — 10 g (0.4 oz)
Black pepper — 1 g (0.0 oz)</t>
        </is>
      </c>
      <c r="M1070" s="4" t="inlineStr">
        <is>
          <t>[{"ingredient_id": "green_beans", "name": "Green beans", "grams": 500.0, "note": ""}, {"ingredient_id": "turkey_bacon", "name": "Turkey bacon", "grams": 50.0, "note": ""}, {"ingredient_id": "onion", "name": "Yellow onion", "grams": 80.0, "note": ""}, {"ingredient_id": "garlic", "name": "Garlic", "grams": 4.0, "note": ""}, {"ingredient_id": "chicken_broth", "name": "Chicken broth, low sodium", "grams": 200.0, "note": ""}, {"ingredient_id": "apple_cider_vinegar", "name": "Apple cider vinegar", "grams": 10.0, "note": ""}, {"ingredient_id": "black_pepper", "name": "Black pepper", "grams": 1.0, "note": ""}]</t>
        </is>
      </c>
      <c r="N1070" s="2" t="n">
        <v>80</v>
      </c>
      <c r="O1070" s="5" t="n">
        <v>5.3</v>
      </c>
      <c r="P1070" s="5" t="n">
        <v>2.3</v>
      </c>
      <c r="Q1070" s="5" t="n">
        <v>11.6</v>
      </c>
      <c r="R1070" s="5" t="n">
        <v>3.8</v>
      </c>
      <c r="S1070" s="5" t="n">
        <v>7.8</v>
      </c>
      <c r="T1070" s="2" t="n">
        <v>15</v>
      </c>
      <c r="U1070" s="2" t="inlineStr">
        <is>
          <t>low</t>
        </is>
      </c>
      <c r="V1070" s="5" t="n">
        <v>1.2</v>
      </c>
      <c r="W1070" s="2" t="inlineStr">
        <is>
          <t>low</t>
        </is>
      </c>
      <c r="X1070" s="3" t="inlineStr"/>
      <c r="Y1070" s="3" t="inlineStr">
        <is>
          <t>0% of this dish's available carbohydrate comes from ingredients with a published, measured GI; the rest uses conventional placeholders (see Ingredients sheet)</t>
        </is>
      </c>
      <c r="Z1070" s="2" t="n">
        <v>0</v>
      </c>
      <c r="AA1070" s="3" t="inlineStr">
        <is>
          <t>gluten-free, dairy-free, nut-free, low-carb</t>
        </is>
      </c>
      <c r="AB1070" s="3" t="inlineStr">
        <is>
          <t>1. Crisp the turkey bacon and set aside.
2. Cook the onion and garlic in the pan.
3. Add the beans, broth and vinegar and simmer 20 minutes.
4. Top with the bacon.</t>
        </is>
      </c>
      <c r="AC1070" s="4" t="inlineStr">
        <is>
          <t>["Crisp the turkey bacon and set aside.", "Cook the onion and garlic in the pan.", "Add the beans, broth and vinegar and simmer 20 minutes.", "Top with the bacon."]</t>
        </is>
      </c>
    </row>
    <row r="1071" ht="96" customHeight="1">
      <c r="A1071" s="2" t="inlineStr">
        <is>
          <t>DB-1070</t>
        </is>
      </c>
      <c r="B1071" s="3" t="inlineStr">
        <is>
          <t>Collard Greens with Smoked Turkey</t>
        </is>
      </c>
      <c r="C1071" s="4" t="inlineStr">
        <is>
          <t>Side Dish</t>
        </is>
      </c>
      <c r="D1071" s="4" t="inlineStr">
        <is>
          <t>American</t>
        </is>
      </c>
      <c r="E1071" s="2" t="n">
        <v>5</v>
      </c>
      <c r="F1071" s="2" t="n">
        <v>15</v>
      </c>
      <c r="G1071" s="2" t="n">
        <v>45</v>
      </c>
      <c r="H1071" s="2" t="n">
        <v>60</v>
      </c>
      <c r="I1071" s="4" t="inlineStr">
        <is>
          <t>collard-greens-with-smoked-turkey.jpg</t>
        </is>
      </c>
      <c r="J1071" s="3" t="inlineStr">
        <is>
          <t>Collard Greens with Smoked Turkey, healthy food photography, plated, natural light</t>
        </is>
      </c>
      <c r="K1071" s="4" t="inlineStr"/>
      <c r="L1071" s="3" t="inlineStr">
        <is>
          <t>Collard greens — 600 g (21.2 oz)
Deli turkey breast, low sodium — 100 g (3.5 oz)
Yellow onion — 100 g (3.5 oz)
Garlic — 8 g (0.3 oz)
Chicken broth, low sodium — 400 g (14.1 oz)
Apple cider vinegar — 20 g (0.7 oz)
Red pepper flakes — 1 g (0.0 oz)
Extra-virgin olive oil — 10 g (0.4 oz)</t>
        </is>
      </c>
      <c r="M1071" s="4" t="inlineStr">
        <is>
          <t>[{"ingredient_id": "collard_greens", "name": "Collard greens", "grams": 600.0, "note": ""}, {"ingredient_id": "deli_turkey", "name": "Deli turkey breast, low sodium", "grams": 100.0,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t>
        </is>
      </c>
      <c r="N1071" s="2" t="n">
        <v>94</v>
      </c>
      <c r="O1071" s="5" t="n">
        <v>8.1</v>
      </c>
      <c r="P1071" s="5" t="n">
        <v>3.2</v>
      </c>
      <c r="Q1071" s="5" t="n">
        <v>10.2</v>
      </c>
      <c r="R1071" s="5" t="n">
        <v>5.2</v>
      </c>
      <c r="S1071" s="5" t="n">
        <v>5</v>
      </c>
      <c r="T1071" s="2" t="n">
        <v>13</v>
      </c>
      <c r="U1071" s="2" t="inlineStr">
        <is>
          <t>low</t>
        </is>
      </c>
      <c r="V1071" s="5" t="n">
        <v>0.6</v>
      </c>
      <c r="W1071" s="2" t="inlineStr">
        <is>
          <t>low</t>
        </is>
      </c>
      <c r="X1071" s="3" t="inlineStr">
        <is>
          <t>Negligible carbohydrate (&lt;5 g net/serving): GI has little practical meaning, glycemic load is what matters.</t>
        </is>
      </c>
      <c r="Y1071" s="3" t="inlineStr">
        <is>
          <t>0% of this dish's available carbohydrate comes from ingredients with a published, measured GI; the rest uses conventional placeholders (see Ingredients sheet)</t>
        </is>
      </c>
      <c r="Z1071" s="2" t="n">
        <v>0</v>
      </c>
      <c r="AA1071" s="3" t="inlineStr">
        <is>
          <t>gluten-free, dairy-free, nut-free, low-carb</t>
        </is>
      </c>
      <c r="AB1071" s="3" t="inlineStr">
        <is>
          <t>1. Sauté the onion and garlic in oil.
2. Add the chopped collards, turkey, broth and pepper flakes.
3. Simmer 40 minutes until tender.
4. Brighten with vinegar.</t>
        </is>
      </c>
      <c r="AC1071" s="4" t="inlineStr">
        <is>
          <t>["Sauté the onion and garlic in oil.", "Add the chopped collards, turkey, broth and pepper flakes.", "Simmer 40 minutes until tender.", "Brighten with vinegar."]</t>
        </is>
      </c>
    </row>
    <row r="1072" ht="96" customHeight="1">
      <c r="A1072" s="2" t="inlineStr">
        <is>
          <t>DB-1071</t>
        </is>
      </c>
      <c r="B1072" s="3" t="inlineStr">
        <is>
          <t>Oven-Baked Sweet Potato Fries</t>
        </is>
      </c>
      <c r="C1072" s="4" t="inlineStr">
        <is>
          <t>Side Dish</t>
        </is>
      </c>
      <c r="D1072" s="4" t="inlineStr">
        <is>
          <t>American</t>
        </is>
      </c>
      <c r="E1072" s="2" t="n">
        <v>4</v>
      </c>
      <c r="F1072" s="2" t="n">
        <v>10</v>
      </c>
      <c r="G1072" s="2" t="n">
        <v>30</v>
      </c>
      <c r="H1072" s="2" t="n">
        <v>40</v>
      </c>
      <c r="I1072" s="4" t="inlineStr">
        <is>
          <t>oven-baked-sweet-potato-fries.jpg</t>
        </is>
      </c>
      <c r="J1072" s="3" t="inlineStr">
        <is>
          <t>Oven-Baked Sweet Potato Fries, healthy food photography, plated, natural light</t>
        </is>
      </c>
      <c r="K1072" s="4" t="inlineStr"/>
      <c r="L1072" s="3" t="inlineStr">
        <is>
          <t>Sweet potato, baked/roasted — 400 g (14.1 oz)
Extra-virgin olive oil — 20 g (0.7 oz)
Smoked paprika — 3 g (0.1 oz)
Garlic powder — 2 g (0.1 oz)
Salt — 2 g (0.1 oz)</t>
        </is>
      </c>
      <c r="M1072" s="4" t="inlineStr">
        <is>
          <t>[{"ingredient_id": "sweet_potato_roasted", "name": "Sweet potato, baked/roasted", "grams": 400.0, "note": ""}, {"ingredient_id": "olive_oil", "name": "Extra-virgin olive oil", "grams": 20.0, "note": ""}, {"ingredient_id": "smoked_paprika", "name": "Smoked paprika", "grams": 3.0, "note": ""}, {"ingredient_id": "garlic_powder", "name": "Garlic powder", "grams": 2.0, "note": ""}, {"ingredient_id": "salt", "name": "Salt", "grams": 2.0, "note": ""}]</t>
        </is>
      </c>
      <c r="N1072" s="2" t="n">
        <v>134</v>
      </c>
      <c r="O1072" s="5" t="n">
        <v>1.8</v>
      </c>
      <c r="P1072" s="5" t="n">
        <v>5.2</v>
      </c>
      <c r="Q1072" s="5" t="n">
        <v>20.8</v>
      </c>
      <c r="R1072" s="5" t="n">
        <v>3.3</v>
      </c>
      <c r="S1072" s="5" t="n">
        <v>17.5</v>
      </c>
      <c r="T1072" s="2" t="n">
        <v>83</v>
      </c>
      <c r="U1072" s="2" t="inlineStr">
        <is>
          <t>high</t>
        </is>
      </c>
      <c r="V1072" s="5" t="n">
        <v>14.5</v>
      </c>
      <c r="W1072" s="2" t="inlineStr">
        <is>
          <t>medium</t>
        </is>
      </c>
      <c r="X1072" s="3" t="inlineStr">
        <is>
          <t>Medium-GI dish: keep to the stated portion and pair with the protein/fat in the recipe; GL per serving is the better guide.</t>
        </is>
      </c>
      <c r="Y1072" s="3" t="inlineStr">
        <is>
          <t>97% of this dish's available carbohydrate comes from ingredients with a published, measured GI; the rest uses conventional placeholders (see Ingredients sheet)</t>
        </is>
      </c>
      <c r="Z1072" s="2" t="n">
        <v>97</v>
      </c>
      <c r="AA1072" s="3" t="inlineStr">
        <is>
          <t>vegan, gluten-free, dairy-free, nut-free</t>
        </is>
      </c>
      <c r="AB1072" s="3" t="inlineStr">
        <is>
          <t>1. Heat the oven to 425°F.
2. Cut the sweet potato into thin sticks and toss with oil and spices.
3. Roast 25 to 30 minutes, turning once.</t>
        </is>
      </c>
      <c r="AC1072" s="4" t="inlineStr">
        <is>
          <t>["Heat the oven to 425°F.", "Cut the sweet potato into thin sticks and toss with oil and spices.", "Roast 25 to 30 minutes, turning once."]</t>
        </is>
      </c>
    </row>
    <row r="1073" ht="96" customHeight="1">
      <c r="A1073" s="2" t="inlineStr">
        <is>
          <t>DB-1072</t>
        </is>
      </c>
      <c r="B1073" s="3" t="inlineStr">
        <is>
          <t>Taqueria-Style Cilantro Lime Cauliflower Rice</t>
        </is>
      </c>
      <c r="C1073" s="4" t="inlineStr">
        <is>
          <t>Side Dish</t>
        </is>
      </c>
      <c r="D1073" s="4" t="inlineStr">
        <is>
          <t>Tex-Mex</t>
        </is>
      </c>
      <c r="E1073" s="2" t="n">
        <v>4</v>
      </c>
      <c r="F1073" s="2" t="n">
        <v>5</v>
      </c>
      <c r="G1073" s="2" t="n">
        <v>8</v>
      </c>
      <c r="H1073" s="2" t="n">
        <v>13</v>
      </c>
      <c r="I1073" s="4" t="inlineStr">
        <is>
          <t>taqueria-style-cilantro-lime-cauliflower-rice.jpg</t>
        </is>
      </c>
      <c r="J1073" s="3" t="inlineStr">
        <is>
          <t>Taqueria-Style Cilantro Lime Cauliflower Rice, healthy food photography, plated, natural light</t>
        </is>
      </c>
      <c r="K1073" s="4" t="inlineStr"/>
      <c r="L1073" s="3" t="inlineStr">
        <is>
          <t>Cauliflower rice — 500 g (17.6 oz)
Lime juice — 25 g (0.9 oz)
Fresh cilantro — 10 g (0.4 oz)
Garlic — 4 g (0.1 oz)
Extra-virgin olive oil — 10 g (0.4 oz)
Salt — 2 g (0.1 oz)</t>
        </is>
      </c>
      <c r="M1073" s="4" t="inlineStr">
        <is>
          <t>[{"ingredient_id": "cauliflower_rice", "name": "Cauliflower rice", "grams": 500.0, "note": ""}, {"ingredient_id": "lime_juice", "name": "Lime juice", "grams": 25.0, "note": ""}, {"ingredient_id": "cilantro", "name": "Fresh cilantro", "grams": 10.0, "note": ""}, {"ingredient_id": "garlic", "name": "Garlic", "grams": 4.0, "note": ""}, {"ingredient_id": "olive_oil", "name": "Extra-virgin olive oil", "grams": 10.0, "note": ""}, {"ingredient_id": "salt", "name": "Salt", "grams": 2.0, "note": ""}]</t>
        </is>
      </c>
      <c r="N1073" s="2" t="n">
        <v>57</v>
      </c>
      <c r="O1073" s="5" t="n">
        <v>2.5</v>
      </c>
      <c r="P1073" s="5" t="n">
        <v>2.9</v>
      </c>
      <c r="Q1073" s="5" t="n">
        <v>7.2</v>
      </c>
      <c r="R1073" s="5" t="n">
        <v>2.6</v>
      </c>
      <c r="S1073" s="5" t="n">
        <v>4.6</v>
      </c>
      <c r="T1073" s="2" t="n">
        <v>17</v>
      </c>
      <c r="U1073" s="2" t="inlineStr">
        <is>
          <t>low</t>
        </is>
      </c>
      <c r="V1073" s="5" t="n">
        <v>0.8</v>
      </c>
      <c r="W1073" s="2" t="inlineStr">
        <is>
          <t>low</t>
        </is>
      </c>
      <c r="X1073" s="3" t="inlineStr">
        <is>
          <t>Negligible carbohydrate (&lt;5 g net/serving): GI has little practical meaning, glycemic load is what matters.</t>
        </is>
      </c>
      <c r="Y1073" s="3" t="inlineStr">
        <is>
          <t>0% of this dish's available carbohydrate comes from ingredients with a published, measured GI; the rest uses conventional placeholders (see Ingredients sheet)</t>
        </is>
      </c>
      <c r="Z1073" s="2" t="n">
        <v>0</v>
      </c>
      <c r="AA1073" s="3" t="inlineStr">
        <is>
          <t>vegan, gluten-free, dairy-free, nut-free, low-carb</t>
        </is>
      </c>
      <c r="AB1073" s="3" t="inlineStr">
        <is>
          <t>1. Sauté the garlic in oil.
2. Add the cauliflower rice and cook 5 minutes.
3. Stir in lime juice, cilantro and salt.</t>
        </is>
      </c>
      <c r="AC1073" s="4" t="inlineStr">
        <is>
          <t>["Sauté the garlic in oil.", "Add the cauliflower rice and cook 5 minutes.", "Stir in lime juice, cilantro and salt."]</t>
        </is>
      </c>
    </row>
    <row r="1074" ht="96" customHeight="1">
      <c r="A1074" s="2" t="inlineStr">
        <is>
          <t>DB-1073</t>
        </is>
      </c>
      <c r="B1074" s="3" t="inlineStr">
        <is>
          <t>Corn and Black Bean Salsa Salad</t>
        </is>
      </c>
      <c r="C1074" s="4" t="inlineStr">
        <is>
          <t>Side Dish</t>
        </is>
      </c>
      <c r="D1074" s="4" t="inlineStr">
        <is>
          <t>Tex-Mex</t>
        </is>
      </c>
      <c r="E1074" s="2" t="n">
        <v>5</v>
      </c>
      <c r="F1074" s="2" t="n">
        <v>15</v>
      </c>
      <c r="G1074" s="2" t="n">
        <v>0</v>
      </c>
      <c r="H1074" s="2" t="n">
        <v>15</v>
      </c>
      <c r="I1074" s="4" t="inlineStr">
        <is>
          <t>corn-and-black-bean-salsa-salad.jpg</t>
        </is>
      </c>
      <c r="J1074" s="3" t="inlineStr">
        <is>
          <t>Corn and Black Bean Salsa Salad, healthy food photography, plated, natural light</t>
        </is>
      </c>
      <c r="K1074" s="4" t="inlineStr"/>
      <c r="L1074" s="3" t="inlineStr">
        <is>
          <t>Sweet corn kernels — 150 g (5.3 oz)
Black beans, cooked — 200 g (7.1 oz)
Tomato — 150 g (5.3 oz)
Red onion — 50 g (1.8 oz)
Jalapeño — 10 g (0.4 oz)
Lime juice — 30 g (1.1 oz)
Fresh cilantro — 8 g (0.3 oz)
Extra-virgin olive oil — 15 g (0.5 oz)</t>
        </is>
      </c>
      <c r="M1074" s="4" t="inlineStr">
        <is>
          <t>[{"ingredient_id": "corn", "name": "Sweet corn kernels", "grams": 150.0, "note": ""}, {"ingredient_id": "black_beans", "name": "Black beans, cooked", "grams": 200.0, "note": ""}, {"ingredient_id": "tomato", "name": "Tomato", "grams": 150.0, "note": ""}, {"ingredient_id": "red_onion", "name": "Red onion", "grams": 50.0, "note": ""}, {"ingredient_id": "jalapeno", "name": "Jalapeño", "grams": 10.0, "note": ""}, {"ingredient_id": "lime_juice", "name": "Lime juice", "grams": 30.0, "note": ""}, {"ingredient_id": "cilantro", "name": "Fresh cilantro", "grams": 8.0, "note": ""}, {"ingredient_id": "olive_oil", "name": "Extra-virgin olive oil", "grams": 15.0, "note": ""}]</t>
        </is>
      </c>
      <c r="N1074" s="2" t="n">
        <v>117</v>
      </c>
      <c r="O1074" s="5" t="n">
        <v>5</v>
      </c>
      <c r="P1074" s="5" t="n">
        <v>3.7</v>
      </c>
      <c r="Q1074" s="5" t="n">
        <v>18</v>
      </c>
      <c r="R1074" s="5" t="n">
        <v>4.9</v>
      </c>
      <c r="S1074" s="5" t="n">
        <v>13</v>
      </c>
      <c r="T1074" s="2" t="n">
        <v>36</v>
      </c>
      <c r="U1074" s="2" t="inlineStr">
        <is>
          <t>low</t>
        </is>
      </c>
      <c r="V1074" s="5" t="n">
        <v>4.7</v>
      </c>
      <c r="W1074" s="2" t="inlineStr">
        <is>
          <t>low</t>
        </is>
      </c>
      <c r="X1074" s="3" t="inlineStr"/>
      <c r="Y1074" s="3" t="inlineStr">
        <is>
          <t>84% of this dish's available carbohydrate comes from ingredients with a published, measured GI; the rest uses conventional placeholders (see Ingredients sheet)</t>
        </is>
      </c>
      <c r="Z1074" s="2" t="n">
        <v>84</v>
      </c>
      <c r="AA1074" s="3" t="inlineStr">
        <is>
          <t>vegan, gluten-free, dairy-free, nut-free, low-carb, no-cook</t>
        </is>
      </c>
      <c r="AB1074" s="3" t="inlineStr">
        <is>
          <t>1. Combine the corn, beans, tomato, onion and jalapeno.
2. Dress with lime juice and oil.
3. Fold in cilantro and chill briefly.</t>
        </is>
      </c>
      <c r="AC1074" s="4" t="inlineStr">
        <is>
          <t>["Combine the corn, beans, tomato, onion and jalapeno.", "Dress with lime juice and oil.", "Fold in cilantro and chill briefly."]</t>
        </is>
      </c>
    </row>
    <row r="1075" ht="96" customHeight="1">
      <c r="A1075" s="2" t="inlineStr">
        <is>
          <t>DB-1074</t>
        </is>
      </c>
      <c r="B1075" s="3" t="inlineStr">
        <is>
          <t>Creamed Spinach</t>
        </is>
      </c>
      <c r="C1075" s="4" t="inlineStr">
        <is>
          <t>Side Dish</t>
        </is>
      </c>
      <c r="D1075" s="4" t="inlineStr">
        <is>
          <t>American</t>
        </is>
      </c>
      <c r="E1075" s="2" t="n">
        <v>4</v>
      </c>
      <c r="F1075" s="2" t="n">
        <v>5</v>
      </c>
      <c r="G1075" s="2" t="n">
        <v>12</v>
      </c>
      <c r="H1075" s="2" t="n">
        <v>17</v>
      </c>
      <c r="I1075" s="4" t="inlineStr">
        <is>
          <t>creamed-spinach.jpg</t>
        </is>
      </c>
      <c r="J1075" s="3" t="inlineStr">
        <is>
          <t>Creamed Spinach, healthy food photography, plated, natural light</t>
        </is>
      </c>
      <c r="K1075" s="4" t="inlineStr"/>
      <c r="L1075" s="3" t="inlineStr">
        <is>
          <t>Spinach — 500 g (17.6 oz)
Cream cheese — 80 g (2.8 oz)
Garlic — 4 g (0.1 oz)
Parmesan, grated — 20 g (0.7 oz)
Milk, 2% — 60 g (2.1 oz)
Ground nutmeg — 1 g (0.0 oz)
Butter — 10 g (0.4 oz)</t>
        </is>
      </c>
      <c r="M1075" s="4" t="inlineStr">
        <is>
          <t>[{"ingredient_id": "spinach", "name": "Spinach", "grams": 500.0, "note": ""}, {"ingredient_id": "cream_cheese", "name": "Cream cheese", "grams": 80.0, "note": ""}, {"ingredient_id": "garlic", "name": "Garlic", "grams": 4.0, "note": ""}, {"ingredient_id": "parmesan", "name": "Parmesan, grated", "grams": 20.0, "note": ""}, {"ingredient_id": "milk", "name": "Milk, 2%", "grams": 60.0, "note": ""}, {"ingredient_id": "nutmeg", "name": "Ground nutmeg", "grams": 1.0, "note": ""}, {"ingredient_id": "butter", "name": "Butter", "grams": 10.0, "note": ""}]</t>
        </is>
      </c>
      <c r="N1075" s="2" t="n">
        <v>147</v>
      </c>
      <c r="O1075" s="5" t="n">
        <v>7.3</v>
      </c>
      <c r="P1075" s="5" t="n">
        <v>11.2</v>
      </c>
      <c r="Q1075" s="5" t="n">
        <v>6.7</v>
      </c>
      <c r="R1075" s="5" t="n">
        <v>2.8</v>
      </c>
      <c r="S1075" s="5" t="n">
        <v>3.8</v>
      </c>
      <c r="T1075" s="2" t="n">
        <v>15</v>
      </c>
      <c r="U1075" s="2" t="inlineStr">
        <is>
          <t>low</t>
        </is>
      </c>
      <c r="V1075" s="5" t="n">
        <v>0.6</v>
      </c>
      <c r="W1075" s="2" t="inlineStr">
        <is>
          <t>low</t>
        </is>
      </c>
      <c r="X1075" s="3" t="inlineStr">
        <is>
          <t>Negligible carbohydrate (&lt;5 g net/serving): GI has little practical meaning, glycemic load is what matters.</t>
        </is>
      </c>
      <c r="Y1075" s="3" t="inlineStr">
        <is>
          <t>19% of this dish's available carbohydrate comes from ingredients with a published, measured GI; the rest uses conventional placeholders (see Ingredients sheet)</t>
        </is>
      </c>
      <c r="Z1075" s="2" t="n">
        <v>19</v>
      </c>
      <c r="AA1075" s="3" t="inlineStr">
        <is>
          <t>vegetarian, gluten-free, nut-free, low-carb</t>
        </is>
      </c>
      <c r="AB1075" s="3" t="inlineStr">
        <is>
          <t>1. Wilt the spinach with butter and garlic.
2. Stir in cream cheese and milk until smooth.
3. Add parmesan and nutmeg.</t>
        </is>
      </c>
      <c r="AC1075" s="4" t="inlineStr">
        <is>
          <t>["Wilt the spinach with butter and garlic.", "Stir in cream cheese and milk until smooth.", "Add parmesan and nutmeg."]</t>
        </is>
      </c>
    </row>
    <row r="1076" ht="96" customHeight="1">
      <c r="A1076" s="2" t="inlineStr">
        <is>
          <t>DB-1075</t>
        </is>
      </c>
      <c r="B1076" s="3" t="inlineStr">
        <is>
          <t>Cheesy Zucchini Boats</t>
        </is>
      </c>
      <c r="C1076" s="4" t="inlineStr">
        <is>
          <t>Side Dish</t>
        </is>
      </c>
      <c r="D1076" s="4" t="inlineStr">
        <is>
          <t>American</t>
        </is>
      </c>
      <c r="E1076" s="2" t="n">
        <v>4</v>
      </c>
      <c r="F1076" s="2" t="n">
        <v>15</v>
      </c>
      <c r="G1076" s="2" t="n">
        <v>25</v>
      </c>
      <c r="H1076" s="2" t="n">
        <v>40</v>
      </c>
      <c r="I1076" s="4" t="inlineStr">
        <is>
          <t>cheesy-zucchini-boats.jpg</t>
        </is>
      </c>
      <c r="J1076" s="3" t="inlineStr">
        <is>
          <t>Cheesy Zucchini Boats, healthy food photography, plated, natural light</t>
        </is>
      </c>
      <c r="K1076" s="4" t="inlineStr"/>
      <c r="L1076" s="3" t="inlineStr">
        <is>
          <t>Zucchini — 600 g (21.2 oz)
Ground turkey 93% lean — 200 g (7.1 oz)
Marinara sauce, no sugar added — 150 g (5.3 oz)
Mozzarella, part-skim — 80 g (2.8 oz)
Parmesan, grated — 20 g (0.7 oz)
Yellow onion — 50 g (1.8 oz)
Extra-virgin olive oil — 10 g (0.4 oz)</t>
        </is>
      </c>
      <c r="M1076" s="4" t="inlineStr">
        <is>
          <t>[{"ingredient_id": "zucchini", "name": "Zucchini", "grams": 600.0, "note": ""}, {"ingredient_id": "ground_turkey", "name": "Ground turkey 93% lean", "grams": 200.0, "note": ""}, {"ingredient_id": "marinara", "name": "Marinara sauce, no sugar added", "grams": 150.0, "note": ""}, {"ingredient_id": "mozzarella", "name": "Mozzarella, part-skim", "grams": 80.0, "note": ""}, {"ingredient_id": "parmesan", "name": "Parmesan, grated", "grams": 20.0, "note": ""}, {"ingredient_id": "onion", "name": "Yellow onion", "grams": 50.0, "note": ""}, {"ingredient_id": "olive_oil", "name": "Extra-virgin olive oil", "grams": 10.0, "note": ""}]</t>
        </is>
      </c>
      <c r="N1076" s="2" t="n">
        <v>217</v>
      </c>
      <c r="O1076" s="5" t="n">
        <v>18.5</v>
      </c>
      <c r="P1076" s="5" t="n">
        <v>12.6</v>
      </c>
      <c r="Q1076" s="5" t="n">
        <v>8.5</v>
      </c>
      <c r="R1076" s="5" t="n">
        <v>2.3</v>
      </c>
      <c r="S1076" s="5" t="n">
        <v>6.2</v>
      </c>
      <c r="T1076" s="2" t="n">
        <v>17</v>
      </c>
      <c r="U1076" s="2" t="inlineStr">
        <is>
          <t>low</t>
        </is>
      </c>
      <c r="V1076" s="5" t="n">
        <v>1.1</v>
      </c>
      <c r="W1076" s="2" t="inlineStr">
        <is>
          <t>low</t>
        </is>
      </c>
      <c r="X1076" s="3" t="inlineStr"/>
      <c r="Y1076" s="3" t="inlineStr">
        <is>
          <t>21% of this dish's available carbohydrate comes from ingredients with a published, measured GI; the rest uses conventional placeholders (see Ingredients sheet)</t>
        </is>
      </c>
      <c r="Z1076" s="2" t="n">
        <v>21</v>
      </c>
      <c r="AA1076" s="3" t="inlineStr">
        <is>
          <t>gluten-free, nut-free, low-carb</t>
        </is>
      </c>
      <c r="AB1076" s="3" t="inlineStr">
        <is>
          <t>1. Halve the zucchini and scoop out the centres.
2. Brown the turkey with the onion and chopped zucchini flesh.
3. Stir in marinara and fill the boats.
4. Top with cheeses and bake at 400°F for 20 minutes.</t>
        </is>
      </c>
      <c r="AC1076" s="4" t="inlineStr">
        <is>
          <t>["Halve the zucchini and scoop out the centres.", "Brown the turkey with the onion and chopped zucchini flesh.", "Stir in marinara and fill the boats.", "Top with cheeses and bake at 400°F for 20 minutes."]</t>
        </is>
      </c>
    </row>
    <row r="1077" ht="96" customHeight="1">
      <c r="A1077" s="2" t="inlineStr">
        <is>
          <t>DB-1076</t>
        </is>
      </c>
      <c r="B1077" s="3" t="inlineStr">
        <is>
          <t>Stuffed Portobello Mushrooms</t>
        </is>
      </c>
      <c r="C1077" s="4" t="inlineStr">
        <is>
          <t>Vegetarian &amp; Vegan</t>
        </is>
      </c>
      <c r="D1077" s="4" t="inlineStr">
        <is>
          <t>American</t>
        </is>
      </c>
      <c r="E1077" s="2" t="n">
        <v>4</v>
      </c>
      <c r="F1077" s="2" t="n">
        <v>15</v>
      </c>
      <c r="G1077" s="2" t="n">
        <v>20</v>
      </c>
      <c r="H1077" s="2" t="n">
        <v>35</v>
      </c>
      <c r="I1077" s="4" t="inlineStr">
        <is>
          <t>stuffed-portobello-mushrooms.jpg</t>
        </is>
      </c>
      <c r="J1077" s="3" t="inlineStr">
        <is>
          <t>Stuffed Portobello Mushrooms, healthy food photography, plated, natural light</t>
        </is>
      </c>
      <c r="K1077" s="4" t="inlineStr"/>
      <c r="L1077" s="3" t="inlineStr">
        <is>
          <t>Portobello mushrooms — 480 g (16.9 oz)
Spinach — 100 g (3.5 oz)
Ricotta, part-skim — 120 g (4.2 oz)
Mozzarella, part-skim — 60 g (2.1 oz)
Garlic — 6 g (0.2 oz)
Sun-dried tomatoes in oil, drained — 30 g (1.1 oz)
Extra-virgin olive oil — 15 g (0.5 oz)</t>
        </is>
      </c>
      <c r="M1077" s="4" t="inlineStr">
        <is>
          <t>[{"ingredient_id": "portobello", "name": "Portobello mushrooms", "grams": 480.0, "note": ""}, {"ingredient_id": "spinach", "name": "Spinach", "grams": 100.0, "note": ""}, {"ingredient_id": "ricotta", "name": "Ricotta, part-skim", "grams": 120.0, "note": ""}, {"ingredient_id": "mozzarella", "name": "Mozzarella, part-skim", "grams": 60.0, "note": ""}, {"ingredient_id": "garlic", "name": "Garlic", "grams": 6.0, "note": ""}, {"ingredient_id": "sun_dried_tomato", "name": "Sun-dried tomatoes in oil, drained", "grams": 30.0, "note": ""}, {"ingredient_id": "olive_oil", "name": "Extra-virgin olive oil", "grams": 15.0, "note": ""}]</t>
        </is>
      </c>
      <c r="N1077" s="2" t="n">
        <v>163</v>
      </c>
      <c r="O1077" s="5" t="n">
        <v>10.6</v>
      </c>
      <c r="P1077" s="5" t="n">
        <v>10.2</v>
      </c>
      <c r="Q1077" s="5" t="n">
        <v>9.800000000000001</v>
      </c>
      <c r="R1077" s="5" t="n">
        <v>2.6</v>
      </c>
      <c r="S1077" s="5" t="n">
        <v>7.2</v>
      </c>
      <c r="T1077" s="2" t="n">
        <v>19</v>
      </c>
      <c r="U1077" s="2" t="inlineStr">
        <is>
          <t>low</t>
        </is>
      </c>
      <c r="V1077" s="5" t="n">
        <v>1.4</v>
      </c>
      <c r="W1077" s="2" t="inlineStr">
        <is>
          <t>low</t>
        </is>
      </c>
      <c r="X1077" s="3" t="inlineStr"/>
      <c r="Y1077" s="3" t="inlineStr">
        <is>
          <t>0% of this dish's available carbohydrate comes from ingredients with a published, measured GI; the rest uses conventional placeholders (see Ingredients sheet)</t>
        </is>
      </c>
      <c r="Z1077" s="2" t="n">
        <v>0</v>
      </c>
      <c r="AA1077" s="3" t="inlineStr">
        <is>
          <t>vegetarian, gluten-free, nut-free, low-carb</t>
        </is>
      </c>
      <c r="AB1077" s="3" t="inlineStr">
        <is>
          <t>1. Heat the oven to 400°F and brush the caps with oil.
2. Mix the wilted spinach, ricotta, garlic and sun-dried tomato.
3. Fill the caps and top with mozzarella.
4. Bake 18 to 20 minutes.</t>
        </is>
      </c>
      <c r="AC1077" s="4" t="inlineStr">
        <is>
          <t>["Heat the oven to 400°F and brush the caps with oil.", "Mix the wilted spinach, ricotta, garlic and sun-dried tomato.", "Fill the caps and top with mozzarella.", "Bake 18 to 20 minutes."]</t>
        </is>
      </c>
    </row>
    <row r="1078" ht="96" customHeight="1">
      <c r="A1078" s="2" t="inlineStr">
        <is>
          <t>DB-1077</t>
        </is>
      </c>
      <c r="B1078" s="3" t="inlineStr">
        <is>
          <t>Vegetarian Black Bean Burgers</t>
        </is>
      </c>
      <c r="C1078" s="4" t="inlineStr">
        <is>
          <t>Vegetarian &amp; Vegan</t>
        </is>
      </c>
      <c r="D1078" s="4" t="inlineStr">
        <is>
          <t>American</t>
        </is>
      </c>
      <c r="E1078" s="2" t="n">
        <v>4</v>
      </c>
      <c r="F1078" s="2" t="n">
        <v>15</v>
      </c>
      <c r="G1078" s="2" t="n">
        <v>15</v>
      </c>
      <c r="H1078" s="2" t="n">
        <v>30</v>
      </c>
      <c r="I1078" s="4" t="inlineStr">
        <is>
          <t>vegetarian-black-bean-burgers.jpg</t>
        </is>
      </c>
      <c r="J1078" s="3" t="inlineStr">
        <is>
          <t>Vegetarian Black Bean Burgers, healthy food photography, plated, natural light</t>
        </is>
      </c>
      <c r="K1078" s="4" t="inlineStr"/>
      <c r="L1078" s="3" t="inlineStr">
        <is>
          <t>Black beans, cooked — 400 g (14.1 oz)
Rolled oats, dry — 50 g (1.8 oz)
Egg, large (50 g each) — 50 g (1.8 oz)
Yellow onion — 60 g (2.1 oz)
Ground cumin — 2 g (0.1 oz)
Smoked paprika — 2 g (0.1 oz)
Extra-virgin olive oil — 15 g (0.5 oz)
Butter lettuce — 100 g (3.5 oz)
Tomato — 120 g (4.2 oz)
Avocado — 80 g (2.8 oz)</t>
        </is>
      </c>
      <c r="M1078" s="4" t="inlineStr">
        <is>
          <t>[{"ingredient_id": "black_beans", "name": "Black beans, cooked", "grams": 400.0, "note": ""}, {"ingredient_id": "rolled_oats", "name": "Rolled oats, dry", "grams": 50.0, "note": ""}, {"ingredient_id": "egg", "name": "Egg, large (50 g each)", "grams": 50.0, "note": ""}, {"ingredient_id": "onion", "name": "Yellow onion", "grams": 60.0, "note": ""}, {"ingredient_id": "cumin", "name": "Ground cumin", "grams": 2.0, "note": ""}, {"ingredient_id": "smoked_paprika", "name": "Smoked paprika", "grams": 2.0, "note": ""}, {"ingredient_id": "olive_oil", "name": "Extra-virgin olive oil", "grams": 15.0, "note": ""}, {"ingredient_id": "butter_lettuce", "name": "Butter lettuce", "grams": 100.0, "note": ""}, {"ingredient_id": "tomato", "name": "Tomato", "grams": 120.0, "note": ""}, {"ingredient_id": "avocado", "name": "Avocado", "grams": 80.0, "note": ""}]</t>
        </is>
      </c>
      <c r="N1078" s="2" t="n">
        <v>280</v>
      </c>
      <c r="O1078" s="5" t="n">
        <v>13.4</v>
      </c>
      <c r="P1078" s="5" t="n">
        <v>9.5</v>
      </c>
      <c r="Q1078" s="5" t="n">
        <v>37.6</v>
      </c>
      <c r="R1078" s="5" t="n">
        <v>12.4</v>
      </c>
      <c r="S1078" s="5" t="n">
        <v>25.2</v>
      </c>
      <c r="T1078" s="2" t="n">
        <v>36</v>
      </c>
      <c r="U1078" s="2" t="inlineStr">
        <is>
          <t>low</t>
        </is>
      </c>
      <c r="V1078" s="5" t="n">
        <v>9.1</v>
      </c>
      <c r="W1078" s="2" t="inlineStr">
        <is>
          <t>low</t>
        </is>
      </c>
      <c r="X1078" s="3" t="inlineStr"/>
      <c r="Y1078" s="3" t="inlineStr">
        <is>
          <t>88% of this dish's available carbohydrate comes from ingredients with a published, measured GI; the rest uses conventional placeholders (see Ingredients sheet)</t>
        </is>
      </c>
      <c r="Z1078" s="2" t="n">
        <v>88</v>
      </c>
      <c r="AA1078" s="3" t="inlineStr">
        <is>
          <t>vegetarian, dairy-free, nut-free, high-fiber</t>
        </is>
      </c>
      <c r="AB1078" s="3" t="inlineStr">
        <is>
          <t>1. Mash the beans with oats, egg, onion and spices and shape four patties.
2. Pan-fry in oil 5 minutes a side.
3. Serve in lettuce with tomato and avocado.</t>
        </is>
      </c>
      <c r="AC1078" s="4" t="inlineStr">
        <is>
          <t>["Mash the beans with oats, egg, onion and spices and shape four patties.", "Pan-fry in oil 5 minutes a side.", "Serve in lettuce with tomato and avocado."]</t>
        </is>
      </c>
    </row>
    <row r="1079" ht="96" customHeight="1">
      <c r="A1079" s="2" t="inlineStr">
        <is>
          <t>DB-1078</t>
        </is>
      </c>
      <c r="B1079" s="3" t="inlineStr">
        <is>
          <t>Eggplant Parmesan Stacks</t>
        </is>
      </c>
      <c r="C1079" s="4" t="inlineStr">
        <is>
          <t>Vegetarian &amp; Vegan</t>
        </is>
      </c>
      <c r="D1079" s="4" t="inlineStr">
        <is>
          <t>Italian</t>
        </is>
      </c>
      <c r="E1079" s="2" t="n">
        <v>4</v>
      </c>
      <c r="F1079" s="2" t="n">
        <v>20</v>
      </c>
      <c r="G1079" s="2" t="n">
        <v>35</v>
      </c>
      <c r="H1079" s="2" t="n">
        <v>55</v>
      </c>
      <c r="I1079" s="4" t="inlineStr">
        <is>
          <t>eggplant-parmesan-stacks.jpg</t>
        </is>
      </c>
      <c r="J1079" s="3" t="inlineStr">
        <is>
          <t>Eggplant Parmesan Stacks, healthy food photography, plated, natural light</t>
        </is>
      </c>
      <c r="K1079" s="4" t="inlineStr"/>
      <c r="L1079" s="3" t="inlineStr">
        <is>
          <t>Eggplant — 600 g (21.2 oz)
Marinara sauce, no sugar added — 300 g (10.6 oz)
Mozzarella, part-skim — 120 g (4.2 oz)
Parmesan, grated — 30 g (1.1 oz)
Egg, large (50 g each) — 50 g (1.8 oz)
Almond flour — 50 g (1.8 oz)
Fresh basil — 5 g (0.2 oz)
Extra-virgin olive oil — 20 g (0.7 oz)</t>
        </is>
      </c>
      <c r="M1079" s="4" t="inlineStr">
        <is>
          <t>[{"ingredient_id": "eggplant", "name": "Eggplant", "grams": 600.0, "note": ""}, {"ingredient_id": "marinara", "name": "Marinara sauce, no sugar added", "grams": 300.0, "note": ""}, {"ingredient_id": "mozzarella", "name": "Mozzarella, part-skim", "grams": 120.0, "note": ""}, {"ingredient_id": "parmesan", "name": "Parmesan, grated", "grams": 30.0, "note": ""}, {"ingredient_id": "egg", "name": "Egg, large (50 g each)", "grams": 50.0, "note": ""}, {"ingredient_id": "almond_flour", "name": "Almond flour", "grams": 50.0, "note": ""}, {"ingredient_id": "basil", "name": "Fresh basil", "grams": 5.0, "note": ""}, {"ingredient_id": "olive_oil", "name": "Extra-virgin olive oil", "grams": 20.0, "note": ""}]</t>
        </is>
      </c>
      <c r="N1079" s="2" t="n">
        <v>316</v>
      </c>
      <c r="O1079" s="5" t="n">
        <v>16.9</v>
      </c>
      <c r="P1079" s="5" t="n">
        <v>21.6</v>
      </c>
      <c r="Q1079" s="5" t="n">
        <v>16.7</v>
      </c>
      <c r="R1079" s="5" t="n">
        <v>7.1</v>
      </c>
      <c r="S1079" s="5" t="n">
        <v>9.6</v>
      </c>
      <c r="T1079" s="2" t="n">
        <v>18</v>
      </c>
      <c r="U1079" s="2" t="inlineStr">
        <is>
          <t>low</t>
        </is>
      </c>
      <c r="V1079" s="5" t="n">
        <v>1.7</v>
      </c>
      <c r="W1079" s="2" t="inlineStr">
        <is>
          <t>low</t>
        </is>
      </c>
      <c r="X1079" s="3" t="inlineStr"/>
      <c r="Y1079" s="3" t="inlineStr">
        <is>
          <t>27% of this dish's available carbohydrate comes from ingredients with a published, measured GI; the rest uses conventional placeholders (see Ingredients sheet)</t>
        </is>
      </c>
      <c r="Z1079" s="2" t="n">
        <v>27</v>
      </c>
      <c r="AA1079" s="3" t="inlineStr">
        <is>
          <t>vegetarian, gluten-free, low-carb, high-fiber</t>
        </is>
      </c>
      <c r="AB1079" s="3" t="inlineStr">
        <is>
          <t>1. Slice the eggplant and dip in egg, then almond flour.
2. Bake on an oiled tray at 425°F until golden, 20 minutes.
3. Stack with marinara and mozzarella.
4. Bake 12 minutes more and finish with basil and parmesan.</t>
        </is>
      </c>
      <c r="AC1079" s="4" t="inlineStr">
        <is>
          <t>["Slice the eggplant and dip in egg, then almond flour.", "Bake on an oiled tray at 425°F until golden, 20 minutes.", "Stack with marinara and mozzarella.", "Bake 12 minutes more and finish with basil and parmesan."]</t>
        </is>
      </c>
    </row>
    <row r="1080" ht="96" customHeight="1">
      <c r="A1080" s="2" t="inlineStr">
        <is>
          <t>DB-1079</t>
        </is>
      </c>
      <c r="B1080" s="3" t="inlineStr">
        <is>
          <t>Cauliflower Mac and Cheese</t>
        </is>
      </c>
      <c r="C1080" s="4" t="inlineStr">
        <is>
          <t>Vegetarian &amp; Vegan</t>
        </is>
      </c>
      <c r="D1080" s="4" t="inlineStr">
        <is>
          <t>American</t>
        </is>
      </c>
      <c r="E1080" s="2" t="n">
        <v>5</v>
      </c>
      <c r="F1080" s="2" t="n">
        <v>10</v>
      </c>
      <c r="G1080" s="2" t="n">
        <v>25</v>
      </c>
      <c r="H1080" s="2" t="n">
        <v>35</v>
      </c>
      <c r="I1080" s="4" t="inlineStr">
        <is>
          <t>cauliflower-mac-and-cheese.jpg</t>
        </is>
      </c>
      <c r="J1080" s="3" t="inlineStr">
        <is>
          <t>Cauliflower Mac and Cheese, healthy food photography, plated, natural light</t>
        </is>
      </c>
      <c r="K1080" s="4" t="inlineStr"/>
      <c r="L1080" s="3" t="inlineStr">
        <is>
          <t>Cauliflower — 600 g (21.2 oz)
Whole wheat pasta, cooked al dente — 100 g (3.5 oz)
Cheddar cheese — 150 g (5.3 oz)
Milk, 2% — 200 g (7.1 oz)
Cream cheese — 40 g (1.4 oz)
Dijon mustard — 5 g (0.2 oz)
Smoked paprika — 2 g (0.1 oz)
Extra-virgin olive oil — 5 g (0.2 oz)</t>
        </is>
      </c>
      <c r="M1080" s="4" t="inlineStr">
        <is>
          <t>[{"ingredient_id": "cauliflower", "name": "Cauliflower", "grams": 600.0, "note": ""}, {"ingredient_id": "whole_wheat_pasta", "name": "Whole wheat pasta, cooked al dente", "grams": 100.0, "note": ""}, {"ingredient_id": "cheddar", "name": "Cheddar cheese", "grams": 150.0, "note": ""}, {"ingredient_id": "milk", "name": "Milk, 2%", "grams": 200.0, "note": ""}, {"ingredient_id": "cream_cheese", "name": "Cream cheese", "grams": 40.0, "note": ""}, {"ingredient_id": "dijon", "name": "Dijon mustard", "grams": 5.0, "note": ""}, {"ingredient_id": "smoked_paprika", "name": "Smoked paprika", "grams": 2.0, "note": ""}, {"ingredient_id": "olive_oil", "name": "Extra-virgin olive oil", "grams": 5.0, "note": ""}]</t>
        </is>
      </c>
      <c r="N1080" s="2" t="n">
        <v>234</v>
      </c>
      <c r="O1080" s="5" t="n">
        <v>12.1</v>
      </c>
      <c r="P1080" s="5" t="n">
        <v>15</v>
      </c>
      <c r="Q1080" s="5" t="n">
        <v>14.2</v>
      </c>
      <c r="R1080" s="5" t="n">
        <v>3.4</v>
      </c>
      <c r="S1080" s="5" t="n">
        <v>10.8</v>
      </c>
      <c r="T1080" s="2" t="n">
        <v>32</v>
      </c>
      <c r="U1080" s="2" t="inlineStr">
        <is>
          <t>low</t>
        </is>
      </c>
      <c r="V1080" s="5" t="n">
        <v>3.5</v>
      </c>
      <c r="W1080" s="2" t="inlineStr">
        <is>
          <t>low</t>
        </is>
      </c>
      <c r="X1080" s="3" t="inlineStr"/>
      <c r="Y1080" s="3" t="inlineStr">
        <is>
          <t>59% of this dish's available carbohydrate comes from ingredients with a published, measured GI; the rest uses conventional placeholders (see Ingredients sheet)</t>
        </is>
      </c>
      <c r="Z1080" s="2" t="n">
        <v>59</v>
      </c>
      <c r="AA1080" s="3" t="inlineStr">
        <is>
          <t>vegetarian, nut-free, low-carb</t>
        </is>
      </c>
      <c r="AB1080" s="3" t="inlineStr">
        <is>
          <t>1. Boil the pasta and cauliflower florets together until tender; drain.
2. Warm the milk, cream cheese, mustard and paprika.
3. Melt in the cheddar.
4. Fold in the pasta and cauliflower and bake 10 minutes at 400°F.</t>
        </is>
      </c>
      <c r="AC1080" s="4" t="inlineStr">
        <is>
          <t>["Boil the pasta and cauliflower florets together until tender; drain.", "Warm the milk, cream cheese, mustard and paprika.", "Melt in the cheddar.", "Fold in the pasta and cauliflower and bake 10 minutes at 400°F."]</t>
        </is>
      </c>
    </row>
    <row r="1081" ht="96" customHeight="1">
      <c r="A1081" s="2" t="inlineStr">
        <is>
          <t>DB-1080</t>
        </is>
      </c>
      <c r="B1081" s="3" t="inlineStr">
        <is>
          <t>Lentil Sloppy Joes</t>
        </is>
      </c>
      <c r="C1081" s="4" t="inlineStr">
        <is>
          <t>Vegetarian &amp; Vegan</t>
        </is>
      </c>
      <c r="D1081" s="4" t="inlineStr">
        <is>
          <t>American</t>
        </is>
      </c>
      <c r="E1081" s="2" t="n">
        <v>5</v>
      </c>
      <c r="F1081" s="2" t="n">
        <v>10</v>
      </c>
      <c r="G1081" s="2" t="n">
        <v>35</v>
      </c>
      <c r="H1081" s="2" t="n">
        <v>45</v>
      </c>
      <c r="I1081" s="4" t="inlineStr">
        <is>
          <t>lentil-sloppy-joes.jpg</t>
        </is>
      </c>
      <c r="J1081" s="3" t="inlineStr">
        <is>
          <t>Lentil Sloppy Joes, healthy food photography, plated, natural light</t>
        </is>
      </c>
      <c r="K1081" s="4" t="inlineStr"/>
      <c r="L1081" s="3" t="inlineStr">
        <is>
          <t>Lentils, cooked — 250 g (8.8 oz)
Tomato sauce, canned, no sugar added — 300 g (10.6 oz)
Yellow onion — 120 g (4.2 oz)
Bell pepper — 100 g (3.5 oz)
Tomato paste — 30 g (1.1 oz)
Yellow mustard — 10 g (0.4 oz)
Apple cider vinegar — 15 g (0.5 oz)
Chili powder — 3 g (0.1 oz)
Vegetable broth, low sodium — 400 g (14.1 oz)
Whole wheat English muffin — 285 g (10.1 oz)</t>
        </is>
      </c>
      <c r="M1081" s="4" t="inlineStr">
        <is>
          <t>[{"ingredient_id": "lentils", "name": "Lentils, cooked", "grams": 250.0, "note": ""}, {"ingredient_id": "tomato_sauce", "name": "Tomato sauce, canned, no sugar added", "grams": 300.0, "note": ""}, {"ingredient_id": "onion", "name": "Yellow onion", "grams": 120.0, "note": ""}, {"ingredient_id": "bell_pepper", "name": "Bell pepper", "grams": 100.0, "note": ""}, {"ingredient_id": "tomato_paste", "name": "Tomato paste", "grams": 30.0, "note": ""}, {"ingredient_id": "yellow_mustard", "name": "Yellow mustard", "grams": 10.0, "note": ""}, {"ingredient_id": "apple_cider_vinegar", "name": "Apple cider vinegar", "grams": 15.0, "note": ""}, {"ingredient_id": "chili_powder", "name": "Chili powder", "grams": 3.0, "note": ""}, {"ingredient_id": "vegetable_broth", "name": "Vegetable broth, low sodium", "grams": 400.0, "note": ""}, {"ingredient_id": "whole_wheat_english_muffin", "name": "Whole wheat English muffin", "grams": 285.0, "note": ""}]</t>
        </is>
      </c>
      <c r="N1081" s="2" t="n">
        <v>228</v>
      </c>
      <c r="O1081" s="5" t="n">
        <v>11.7</v>
      </c>
      <c r="P1081" s="5" t="n">
        <v>1.9</v>
      </c>
      <c r="Q1081" s="5" t="n">
        <v>45</v>
      </c>
      <c r="R1081" s="5" t="n">
        <v>10.2</v>
      </c>
      <c r="S1081" s="5" t="n">
        <v>34.9</v>
      </c>
      <c r="T1081" s="2" t="n">
        <v>39</v>
      </c>
      <c r="U1081" s="2" t="inlineStr">
        <is>
          <t>low</t>
        </is>
      </c>
      <c r="V1081" s="5" t="n">
        <v>13.6</v>
      </c>
      <c r="W1081" s="2" t="inlineStr">
        <is>
          <t>medium</t>
        </is>
      </c>
      <c r="X1081" s="3" t="inlineStr"/>
      <c r="Y1081" s="3" t="inlineStr">
        <is>
          <t>80% of this dish's available carbohydrate comes from ingredients with a published, measured GI; the rest uses conventional placeholders (see Ingredients sheet)</t>
        </is>
      </c>
      <c r="Z1081" s="2" t="n">
        <v>80</v>
      </c>
      <c r="AA1081" s="3" t="inlineStr">
        <is>
          <t>vegan, dairy-free, nut-free, high-fiber</t>
        </is>
      </c>
      <c r="AB1081" s="3" t="inlineStr">
        <is>
          <t>1. Simmer the lentils in the broth until tender, 20 minutes.
2. Sauté the onion and pepper and add the sauce, paste, mustard, vinegar and chili.
3. Combine and simmer 10 minutes.
4. Spoon over toasted muffins.</t>
        </is>
      </c>
      <c r="AC1081" s="4" t="inlineStr">
        <is>
          <t>["Simmer the lentils in the broth until tender, 20 minutes.", "Sauté the onion and pepper and add the sauce, paste, mustard, vinegar and chili.", "Combine and simmer 10 minutes.", "Spoon over toasted muffins."]</t>
        </is>
      </c>
    </row>
    <row r="1082" ht="96" customHeight="1">
      <c r="A1082" s="2" t="inlineStr">
        <is>
          <t>DB-1081</t>
        </is>
      </c>
      <c r="B1082" s="3" t="inlineStr">
        <is>
          <t>Chopped Italian-Style Salad with Chickpeas</t>
        </is>
      </c>
      <c r="C1082" s="4" t="inlineStr">
        <is>
          <t>Salad</t>
        </is>
      </c>
      <c r="D1082" s="4" t="inlineStr">
        <is>
          <t>American</t>
        </is>
      </c>
      <c r="E1082" s="2" t="n">
        <v>4</v>
      </c>
      <c r="F1082" s="2" t="n">
        <v>15</v>
      </c>
      <c r="G1082" s="2" t="n">
        <v>0</v>
      </c>
      <c r="H1082" s="2" t="n">
        <v>15</v>
      </c>
      <c r="I1082" s="4" t="inlineStr">
        <is>
          <t>chopped-italian-style-salad-with-chickpeas.jpg</t>
        </is>
      </c>
      <c r="J1082" s="3" t="inlineStr">
        <is>
          <t>Chopped Italian-Style Salad with Chickpeas, healthy food photography, plated, natural light</t>
        </is>
      </c>
      <c r="K1082" s="4" t="inlineStr"/>
      <c r="L1082" s="3" t="inlineStr">
        <is>
          <t>Romaine lettuce — 200 g (7.1 oz)
Chickpeas, cooked — 200 g (7.1 oz)
Cucumber — 120 g (4.2 oz)
Cherry tomatoes — 150 g (5.3 oz)
Red onion — 40 g (1.4 oz)
Mozzarella, part-skim — 60 g (2.1 oz)
Olives (kalamata/green) — 40 g (1.4 oz)
Red wine vinegar — 20 g (0.7 oz)
Extra-virgin olive oil — 25 g (0.9 oz)
Italian seasoning — 2 g (0.1 oz)</t>
        </is>
      </c>
      <c r="M1082" s="4" t="inlineStr">
        <is>
          <t>[{"ingredient_id": "romaine", "name": "Romaine lettuce", "grams": 200.0, "note": ""}, {"ingredient_id": "chickpeas", "name": "Chickpeas, cooked", "grams": 200.0, "note": ""}, {"ingredient_id": "cucumber", "name": "Cucumber", "grams": 120.0, "note": ""}, {"ingredient_id": "cherry_tomato", "name": "Cherry tomatoes", "grams": 150.0, "note": ""}, {"ingredient_id": "red_onion", "name": "Red onion", "grams": 40.0, "note": ""}, {"ingredient_id": "mozzarella", "name": "Mozzarella, part-skim", "grams": 60.0, "note": ""}, {"ingredient_id": "olives", "name": "Olives (kalamata/green)", "grams": 40.0, "note": ""}, {"ingredient_id": "red_wine_vinegar", "name": "Red wine vinegar", "grams": 20.0, "note": ""}, {"ingredient_id": "olive_oil", "name": "Extra-virgin olive oil", "grams": 25.0, "note": ""}, {"ingredient_id": "italian_seasoning", "name": "Italian seasoning", "grams": 2.0, "note": ""}]</t>
        </is>
      </c>
      <c r="N1082" s="2" t="n">
        <v>213</v>
      </c>
      <c r="O1082" s="5" t="n">
        <v>9.4</v>
      </c>
      <c r="P1082" s="5" t="n">
        <v>11.3</v>
      </c>
      <c r="Q1082" s="5" t="n">
        <v>20</v>
      </c>
      <c r="R1082" s="5" t="n">
        <v>6.2</v>
      </c>
      <c r="S1082" s="5" t="n">
        <v>13.9</v>
      </c>
      <c r="T1082" s="2" t="n">
        <v>31</v>
      </c>
      <c r="U1082" s="2" t="inlineStr">
        <is>
          <t>low</t>
        </is>
      </c>
      <c r="V1082" s="5" t="n">
        <v>4.3</v>
      </c>
      <c r="W1082" s="2" t="inlineStr">
        <is>
          <t>low</t>
        </is>
      </c>
      <c r="X1082" s="3" t="inlineStr"/>
      <c r="Y1082" s="3" t="inlineStr">
        <is>
          <t>70% of this dish's available carbohydrate comes from ingredients with a published, measured GI; the rest uses conventional placeholders (see Ingredients sheet)</t>
        </is>
      </c>
      <c r="Z1082" s="2" t="n">
        <v>70</v>
      </c>
      <c r="AA1082" s="3" t="inlineStr">
        <is>
          <t>vegetarian, gluten-free, nut-free, low-carb, no-cook</t>
        </is>
      </c>
      <c r="AB1082" s="3" t="inlineStr">
        <is>
          <t>1. Chop the romaine, cucumber, tomatoes and onion.
2. Add the chickpeas, mozzarella and olives.
3. Whisk the vinegar, oil and seasoning and toss through.</t>
        </is>
      </c>
      <c r="AC1082" s="4" t="inlineStr">
        <is>
          <t>["Chop the romaine, cucumber, tomatoes and onion.", "Add the chickpeas, mozzarella and olives.", "Whisk the vinegar, oil and seasoning and toss through."]</t>
        </is>
      </c>
    </row>
    <row r="1083" ht="96" customHeight="1">
      <c r="A1083" s="2" t="inlineStr">
        <is>
          <t>DB-1082</t>
        </is>
      </c>
      <c r="B1083" s="3" t="inlineStr">
        <is>
          <t>Cobb Salad</t>
        </is>
      </c>
      <c r="C1083" s="4" t="inlineStr">
        <is>
          <t>Salad</t>
        </is>
      </c>
      <c r="D1083" s="4" t="inlineStr">
        <is>
          <t>American</t>
        </is>
      </c>
      <c r="E1083" s="2" t="n">
        <v>3</v>
      </c>
      <c r="F1083" s="2" t="n">
        <v>15</v>
      </c>
      <c r="G1083" s="2" t="n">
        <v>10</v>
      </c>
      <c r="H1083" s="2" t="n">
        <v>25</v>
      </c>
      <c r="I1083" s="4" t="inlineStr">
        <is>
          <t>cobb-salad.jpg</t>
        </is>
      </c>
      <c r="J1083" s="3" t="inlineStr">
        <is>
          <t>Cobb Salad, healthy food photography, plated, natural light</t>
        </is>
      </c>
      <c r="K1083" s="4" t="inlineStr"/>
      <c r="L1083" s="3" t="inlineStr">
        <is>
          <t>Romaine lettuce — 200 g (7.1 oz)
Chicken breast, skinless — 300 g (10.6 oz)
Egg, large (50 g each) — 150 g (5.3 oz)
Bacon — 30 g (1.1 oz)
Avocado — 120 g (4.2 oz)
Tomato — 150 g (5.3 oz)
Blue cheese, crumbled — 40 g (1.4 oz)
Extra-virgin olive oil — 20 g (0.7 oz)
Red wine vinegar — 15 g (0.5 oz)
Dijon mustard — 5 g (0.2 oz)</t>
        </is>
      </c>
      <c r="M1083" s="4" t="inlineStr">
        <is>
          <t>[{"ingredient_id": "romaine", "name": "Romaine lettuce", "grams": 200.0, "note": ""}, {"ingredient_id": "chicken_breast", "name": "Chicken breast, skinless", "grams": 300.0, "note": ""}, {"ingredient_id": "egg", "name": "Egg, large (50 g each)", "grams": 150.0, "note": ""}, {"ingredient_id": "bacon", "name": "Bacon", "grams": 30.0, "note": ""}, {"ingredient_id": "avocado", "name": "Avocado", "grams": 120.0, "note": ""}, {"ingredient_id": "tomato", "name": "Tomato", "grams": 150.0, "note": ""}, {"ingredient_id": "blue_cheese", "name": "Blue cheese, crumbled", "grams": 40.0, "note": ""}, {"ingredient_id": "olive_oil", "name": "Extra-virgin olive oil", "grams": 20.0, "note": ""}, {"ingredient_id": "red_wine_vinegar", "name": "Red wine vinegar", "grams": 15.0, "note": ""}, {"ingredient_id": "dijon", "name": "Dijon mustard", "grams": 5.0, "note": ""}]</t>
        </is>
      </c>
      <c r="N1083" s="2" t="n">
        <v>438</v>
      </c>
      <c r="O1083" s="5" t="n">
        <v>37.4</v>
      </c>
      <c r="P1083" s="5" t="n">
        <v>28.4</v>
      </c>
      <c r="Q1083" s="5" t="n">
        <v>8.4</v>
      </c>
      <c r="R1083" s="5" t="n">
        <v>4.7</v>
      </c>
      <c r="S1083" s="5" t="n">
        <v>3.7</v>
      </c>
      <c r="T1083" s="2" t="n">
        <v>12</v>
      </c>
      <c r="U1083" s="2" t="inlineStr">
        <is>
          <t>low</t>
        </is>
      </c>
      <c r="V1083" s="5" t="n">
        <v>0.4</v>
      </c>
      <c r="W1083" s="2" t="inlineStr">
        <is>
          <t>low</t>
        </is>
      </c>
      <c r="X1083" s="3" t="inlineStr">
        <is>
          <t>Negligible carbohydrate (&lt;5 g net/serving): GI has little practical meaning, glycemic load is what matters.</t>
        </is>
      </c>
      <c r="Y1083" s="3" t="inlineStr">
        <is>
          <t>0% of this dish's available carbohydrate comes from ingredients with a published, measured GI; the rest uses conventional placeholders (see Ingredients sheet)</t>
        </is>
      </c>
      <c r="Z1083" s="2" t="n">
        <v>0</v>
      </c>
      <c r="AA1083" s="3" t="inlineStr">
        <is>
          <t>gluten-free, nut-free, low-carb, high-protein</t>
        </is>
      </c>
      <c r="AB1083" s="3" t="inlineStr">
        <is>
          <t>1. Grill and slice the chicken; hard-boil and slice the eggs; crisp the bacon.
2. Arrange the romaine on a platter with rows of each topping.
3. Whisk the oil, vinegar and mustard and drizzle.</t>
        </is>
      </c>
      <c r="AC1083" s="4" t="inlineStr">
        <is>
          <t>["Grill and slice the chicken; hard-boil and slice the eggs; crisp the bacon.", "Arrange the romaine on a platter with rows of each topping.", "Whisk the oil, vinegar and mustard and drizzle."]</t>
        </is>
      </c>
    </row>
    <row r="1084" ht="96" customHeight="1">
      <c r="A1084" s="2" t="inlineStr">
        <is>
          <t>DB-1083</t>
        </is>
      </c>
      <c r="B1084" s="3" t="inlineStr">
        <is>
          <t>Wedge Salad with Yogurt Blue Cheese Dressing</t>
        </is>
      </c>
      <c r="C1084" s="4" t="inlineStr">
        <is>
          <t>Salad</t>
        </is>
      </c>
      <c r="D1084" s="4" t="inlineStr">
        <is>
          <t>American</t>
        </is>
      </c>
      <c r="E1084" s="2" t="n">
        <v>4</v>
      </c>
      <c r="F1084" s="2" t="n">
        <v>10</v>
      </c>
      <c r="G1084" s="2" t="n">
        <v>0</v>
      </c>
      <c r="H1084" s="2" t="n">
        <v>10</v>
      </c>
      <c r="I1084" s="4" t="inlineStr">
        <is>
          <t>wedge-salad-with-yogurt-blue-cheese-dressing.jpg</t>
        </is>
      </c>
      <c r="J1084" s="3" t="inlineStr">
        <is>
          <t>Wedge Salad with Yogurt Blue Cheese Dressing, healthy food photography, plated, natural light</t>
        </is>
      </c>
      <c r="K1084" s="4" t="inlineStr"/>
      <c r="L1084" s="3" t="inlineStr">
        <is>
          <t>Iceberg lettuce — 400 g (14.1 oz)
Greek yogurt, plain 2% — 100 g (3.5 oz)
Blue cheese, crumbled — 40 g (1.4 oz)
Cherry tomatoes — 100 g (3.5 oz)
Turkey bacon — 40 g (1.4 oz)
Red onion — 30 g (1.1 oz)
Lemon juice — 10 g (0.4 oz)</t>
        </is>
      </c>
      <c r="M1084" s="4" t="inlineStr">
        <is>
          <t>[{"ingredient_id": "iceberg", "name": "Iceberg lettuce", "grams": 400.0, "note": ""}, {"ingredient_id": "greek_yogurt", "name": "Greek yogurt, plain 2%", "grams": 100.0, "note": ""}, {"ingredient_id": "blue_cheese", "name": "Blue cheese, crumbled", "grams": 40.0, "note": ""}, {"ingredient_id": "cherry_tomato", "name": "Cherry tomatoes", "grams": 100.0, "note": ""}, {"ingredient_id": "turkey_bacon", "name": "Turkey bacon", "grams": 40.0, "note": ""}, {"ingredient_id": "red_onion", "name": "Red onion", "grams": 30.0, "note": ""}, {"ingredient_id": "lemon_juice", "name": "Lemon juice", "grams": 10.0, "note": ""}]</t>
        </is>
      </c>
      <c r="N1084" s="2" t="n">
        <v>97</v>
      </c>
      <c r="O1084" s="5" t="n">
        <v>7.6</v>
      </c>
      <c r="P1084" s="5" t="n">
        <v>5.1</v>
      </c>
      <c r="Q1084" s="5" t="n">
        <v>6.3</v>
      </c>
      <c r="R1084" s="5" t="n">
        <v>1.6</v>
      </c>
      <c r="S1084" s="5" t="n">
        <v>4.6</v>
      </c>
      <c r="T1084" s="2" t="n">
        <v>13</v>
      </c>
      <c r="U1084" s="2" t="inlineStr">
        <is>
          <t>low</t>
        </is>
      </c>
      <c r="V1084" s="5" t="n">
        <v>0.6</v>
      </c>
      <c r="W1084" s="2" t="inlineStr">
        <is>
          <t>low</t>
        </is>
      </c>
      <c r="X1084" s="3" t="inlineStr">
        <is>
          <t>Negligible carbohydrate (&lt;5 g net/serving): GI has little practical meaning, glycemic load is what matters.</t>
        </is>
      </c>
      <c r="Y1084" s="3" t="inlineStr">
        <is>
          <t>22% of this dish's available carbohydrate comes from ingredients with a published, measured GI; the rest uses conventional placeholders (see Ingredients sheet)</t>
        </is>
      </c>
      <c r="Z1084" s="2" t="n">
        <v>22</v>
      </c>
      <c r="AA1084" s="3" t="inlineStr">
        <is>
          <t>gluten-free, nut-free, low-carb</t>
        </is>
      </c>
      <c r="AB1084" s="3" t="inlineStr">
        <is>
          <t>1. Cut the iceberg into wedges.
2. Blend the yogurt, blue cheese and lemon into a dressing.
3. Top with tomatoes, crisp bacon and onion.</t>
        </is>
      </c>
      <c r="AC1084" s="4" t="inlineStr">
        <is>
          <t>["Cut the iceberg into wedges.", "Blend the yogurt, blue cheese and lemon into a dressing.", "Top with tomatoes, crisp bacon and onion."]</t>
        </is>
      </c>
    </row>
    <row r="1085" ht="96" customHeight="1">
      <c r="A1085" s="2" t="inlineStr">
        <is>
          <t>DB-1084</t>
        </is>
      </c>
      <c r="B1085" s="3" t="inlineStr">
        <is>
          <t>Apple Walnut Chicken Salad</t>
        </is>
      </c>
      <c r="C1085" s="4" t="inlineStr">
        <is>
          <t>Salad</t>
        </is>
      </c>
      <c r="D1085" s="4" t="inlineStr">
        <is>
          <t>American</t>
        </is>
      </c>
      <c r="E1085" s="2" t="n">
        <v>3</v>
      </c>
      <c r="F1085" s="2" t="n">
        <v>15</v>
      </c>
      <c r="G1085" s="2" t="n">
        <v>0</v>
      </c>
      <c r="H1085" s="2" t="n">
        <v>15</v>
      </c>
      <c r="I1085" s="4" t="inlineStr">
        <is>
          <t>apple-walnut-chicken-salad.jpg</t>
        </is>
      </c>
      <c r="J1085" s="3" t="inlineStr">
        <is>
          <t>Apple Walnut Chicken Salad, healthy food photography, plated, natural light</t>
        </is>
      </c>
      <c r="K1085" s="4" t="inlineStr"/>
      <c r="L1085" s="3" t="inlineStr">
        <is>
          <t>Rotisserie chicken, skin removed — 300 g (10.6 oz)
Apple — 120 g (4.2 oz)
Celery — 60 g (2.1 oz)
Walnuts — 30 g (1.1 oz)
Greek yogurt, plain 2% — 90 g (3.2 oz)
Lemon juice — 10 g (0.4 oz)
Mixed salad greens — 100 g (3.5 oz)
Dijon mustard — 5 g (0.2 oz)</t>
        </is>
      </c>
      <c r="M1085" s="4" t="inlineStr">
        <is>
          <t>[{"ingredient_id": "rotisserie_chicken", "name": "Rotisserie chicken, skin removed", "grams": 300.0, "note": ""}, {"ingredient_id": "apple", "name": "Apple", "grams": 120.0, "note": ""}, {"ingredient_id": "celery", "name": "Celery", "grams": 60.0, "note": ""}, {"ingredient_id": "walnuts", "name": "Walnuts", "grams": 30.0, "note": ""}, {"ingredient_id": "greek_yogurt", "name": "Greek yogurt, plain 2%", "grams": 90.0, "note": ""}, {"ingredient_id": "lemon_juice", "name": "Lemon juice", "grams": 10.0, "note": ""}, {"ingredient_id": "mixed_greens", "name": "Mixed salad greens", "grams": 100.0, "note": ""}, {"ingredient_id": "dijon", "name": "Dijon mustard", "grams": 5.0, "note": ""}]</t>
        </is>
      </c>
      <c r="N1085" s="2" t="n">
        <v>280</v>
      </c>
      <c r="O1085" s="5" t="n">
        <v>28.5</v>
      </c>
      <c r="P1085" s="5" t="n">
        <v>14.4</v>
      </c>
      <c r="Q1085" s="5" t="n">
        <v>10.3</v>
      </c>
      <c r="R1085" s="5" t="n">
        <v>2.7</v>
      </c>
      <c r="S1085" s="5" t="n">
        <v>7.6</v>
      </c>
      <c r="T1085" s="2" t="n">
        <v>27</v>
      </c>
      <c r="U1085" s="2" t="inlineStr">
        <is>
          <t>low</t>
        </is>
      </c>
      <c r="V1085" s="5" t="n">
        <v>2.1</v>
      </c>
      <c r="W1085" s="2" t="inlineStr">
        <is>
          <t>low</t>
        </is>
      </c>
      <c r="X1085" s="3" t="inlineStr"/>
      <c r="Y1085" s="3" t="inlineStr">
        <is>
          <t>77% of this dish's available carbohydrate comes from ingredients with a published, measured GI; the rest uses conventional placeholders (see Ingredients sheet)</t>
        </is>
      </c>
      <c r="Z1085" s="2" t="n">
        <v>77</v>
      </c>
      <c r="AA1085" s="3" t="inlineStr">
        <is>
          <t>gluten-free, low-carb, high-protein, no-cook</t>
        </is>
      </c>
      <c r="AB1085" s="3" t="inlineStr">
        <is>
          <t>1. Shred the chicken and dice the apple and celery.
2. Mix with yogurt, lemon and mustard.
3. Fold in the walnuts and serve on the greens.</t>
        </is>
      </c>
      <c r="AC1085" s="4" t="inlineStr">
        <is>
          <t>["Shred the chicken and dice the apple and celery.", "Mix with yogurt, lemon and mustard.", "Fold in the walnuts and serve on the greens."]</t>
        </is>
      </c>
    </row>
    <row r="1086" ht="96" customHeight="1">
      <c r="A1086" s="2" t="inlineStr">
        <is>
          <t>DB-1085</t>
        </is>
      </c>
      <c r="B1086" s="3" t="inlineStr">
        <is>
          <t>Taco Salad with Ground Turkey</t>
        </is>
      </c>
      <c r="C1086" s="4" t="inlineStr">
        <is>
          <t>Salad</t>
        </is>
      </c>
      <c r="D1086" s="4" t="inlineStr">
        <is>
          <t>Tex-Mex</t>
        </is>
      </c>
      <c r="E1086" s="2" t="n">
        <v>4</v>
      </c>
      <c r="F1086" s="2" t="n">
        <v>15</v>
      </c>
      <c r="G1086" s="2" t="n">
        <v>12</v>
      </c>
      <c r="H1086" s="2" t="n">
        <v>27</v>
      </c>
      <c r="I1086" s="4" t="inlineStr">
        <is>
          <t>taco-salad-with-ground-turkey.jpg</t>
        </is>
      </c>
      <c r="J1086" s="3" t="inlineStr">
        <is>
          <t>Taco Salad with Ground Turkey, healthy food photography, plated, natural light</t>
        </is>
      </c>
      <c r="K1086" s="4" t="inlineStr"/>
      <c r="L1086" s="3" t="inlineStr">
        <is>
          <t>Ground turkey 93% lean — 450 g (15.9 oz)
Taco seasoning, low sodium — 12 g (0.4 oz)
Romaine lettuce — 250 g (8.8 oz)
Black beans, cooked — 150 g (5.3 oz)
Tomato — 150 g (5.3 oz)
Avocado — 100 g (3.5 oz)
Cheddar cheese — 50 g (1.8 oz)
Salsa, no sugar added — 100 g (3.5 oz)
Greek yogurt, plain 2% — 60 g (2.1 oz)
Extra-virgin olive oil — 10 g (0.4 oz)</t>
        </is>
      </c>
      <c r="M1086" s="4" t="inlineStr">
        <is>
          <t>[{"ingredient_id": "ground_turkey", "name": "Ground turkey 93% lean", "grams": 450.0, "note": ""}, {"ingredient_id": "taco_seasoning", "name": "Taco seasoning, low sodium", "grams": 12.0, "note": ""}, {"ingredient_id": "romaine", "name": "Romaine lettuce", "grams": 250.0, "note": ""}, {"ingredient_id": "black_beans", "name": "Black beans, cooked", "grams": 150.0, "note": ""}, {"ingredient_id": "tomato", "name": "Tomato", "grams": 150.0, "note": ""}, {"ingredient_id": "avocado", "name": "Avocado", "grams": 100.0, "note": ""}, {"ingredient_id": "cheddar", "name": "Cheddar cheese", "grams": 50.0, "note": ""}, {"ingredient_id": "salsa", "name": "Salsa, no sugar added", "grams": 100.0, "note": ""}, {"ingredient_id": "greek_yogurt", "name": "Greek yogurt, plain 2%", "grams": 60.0, "note": ""}, {"ingredient_id": "olive_oil", "name": "Extra-virgin olive oil", "grams": 10.0, "note": ""}]</t>
        </is>
      </c>
      <c r="N1086" s="2" t="n">
        <v>377</v>
      </c>
      <c r="O1086" s="5" t="n">
        <v>31</v>
      </c>
      <c r="P1086" s="5" t="n">
        <v>20.4</v>
      </c>
      <c r="Q1086" s="5" t="n">
        <v>18.7</v>
      </c>
      <c r="R1086" s="5" t="n">
        <v>7.8</v>
      </c>
      <c r="S1086" s="5" t="n">
        <v>10.9</v>
      </c>
      <c r="T1086" s="2" t="n">
        <v>24</v>
      </c>
      <c r="U1086" s="2" t="inlineStr">
        <is>
          <t>low</t>
        </is>
      </c>
      <c r="V1086" s="5" t="n">
        <v>2.6</v>
      </c>
      <c r="W1086" s="2" t="inlineStr">
        <is>
          <t>low</t>
        </is>
      </c>
      <c r="X1086" s="3" t="inlineStr"/>
      <c r="Y1086" s="3" t="inlineStr">
        <is>
          <t>57% of this dish's available carbohydrate comes from ingredients with a published, measured GI; the rest uses conventional placeholders (see Ingredients sheet)</t>
        </is>
      </c>
      <c r="Z1086" s="2" t="n">
        <v>57</v>
      </c>
      <c r="AA1086" s="3" t="inlineStr">
        <is>
          <t>gluten-free, nut-free, low-carb, high-protein, high-fiber</t>
        </is>
      </c>
      <c r="AB1086" s="3" t="inlineStr">
        <is>
          <t>1. Brown the turkey in oil with taco seasoning.
2. Arrange the romaine, beans and tomato in bowls.
3. Add the turkey, cheddar and avocado.
4. Top with salsa mixed with yogurt.</t>
        </is>
      </c>
      <c r="AC1086" s="4" t="inlineStr">
        <is>
          <t>["Brown the turkey in oil with taco seasoning.", "Arrange the romaine, beans and tomato in bowls.", "Add the turkey, cheddar and avocado.", "Top with salsa mixed with yogurt."]</t>
        </is>
      </c>
    </row>
    <row r="1087" ht="96" customHeight="1">
      <c r="A1087" s="2" t="inlineStr">
        <is>
          <t>DB-1086</t>
        </is>
      </c>
      <c r="B1087" s="3" t="inlineStr">
        <is>
          <t>Spinach Salad with Warm Bacon Dressing</t>
        </is>
      </c>
      <c r="C1087" s="4" t="inlineStr">
        <is>
          <t>Salad</t>
        </is>
      </c>
      <c r="D1087" s="4" t="inlineStr">
        <is>
          <t>American</t>
        </is>
      </c>
      <c r="E1087" s="2" t="n">
        <v>3</v>
      </c>
      <c r="F1087" s="2" t="n">
        <v>10</v>
      </c>
      <c r="G1087" s="2" t="n">
        <v>8</v>
      </c>
      <c r="H1087" s="2" t="n">
        <v>18</v>
      </c>
      <c r="I1087" s="4" t="inlineStr">
        <is>
          <t>spinach-salad-with-warm-bacon-dressing.jpg</t>
        </is>
      </c>
      <c r="J1087" s="3" t="inlineStr">
        <is>
          <t>Spinach Salad with Warm Bacon Dressing, healthy food photography, plated, natural light</t>
        </is>
      </c>
      <c r="K1087" s="4" t="inlineStr"/>
      <c r="L1087" s="3" t="inlineStr">
        <is>
          <t>Spinach — 200 g (7.1 oz)
Egg, large (50 g each) — 100 g (3.5 oz)
Bacon — 40 g (1.4 oz)
Red onion — 30 g (1.1 oz)
Mushrooms (cremini/white) — 100 g (3.5 oz)
Red wine vinegar — 20 g (0.7 oz)
Dijon mustard — 5 g (0.2 oz)
Extra-virgin olive oil — 10 g (0.4 oz)</t>
        </is>
      </c>
      <c r="M1087" s="4" t="inlineStr">
        <is>
          <t>[{"ingredient_id": "spinach", "name": "Spinach", "grams": 200.0, "note": ""}, {"ingredient_id": "egg", "name": "Egg, large (50 g each)", "grams": 100.0, "note": ""}, {"ingredient_id": "bacon", "name": "Bacon", "grams": 40.0, "note": ""}, {"ingredient_id": "red_onion", "name": "Red onion", "grams": 30.0, "note": ""}, {"ingredient_id": "mushrooms", "name": "Mushrooms (cremini/white)", "grams": 100.0, "note": ""}, {"ingredient_id": "red_wine_vinegar", "name": "Red wine vinegar", "grams": 20.0, "note": ""}, {"ingredient_id": "dijon", "name": "Dijon mustard", "grams": 5.0, "note": ""}, {"ingredient_id": "olive_oil", "name": "Extra-virgin olive oil", "grams": 10.0, "note": ""}]</t>
        </is>
      </c>
      <c r="N1087" s="2" t="n">
        <v>178</v>
      </c>
      <c r="O1087" s="5" t="n">
        <v>12.3</v>
      </c>
      <c r="P1087" s="5" t="n">
        <v>12.5</v>
      </c>
      <c r="Q1087" s="5" t="n">
        <v>5</v>
      </c>
      <c r="R1087" s="5" t="n">
        <v>2</v>
      </c>
      <c r="S1087" s="5" t="n">
        <v>2.9</v>
      </c>
      <c r="T1087" s="2" t="n">
        <v>13</v>
      </c>
      <c r="U1087" s="2" t="inlineStr">
        <is>
          <t>low</t>
        </is>
      </c>
      <c r="V1087" s="5" t="n">
        <v>0.4</v>
      </c>
      <c r="W1087" s="2" t="inlineStr">
        <is>
          <t>low</t>
        </is>
      </c>
      <c r="X1087" s="3" t="inlineStr">
        <is>
          <t>Negligible carbohydrate (&lt;5 g net/serving): GI has little practical meaning, glycemic load is what matters.</t>
        </is>
      </c>
      <c r="Y1087" s="3" t="inlineStr">
        <is>
          <t>0% of this dish's available carbohydrate comes from ingredients with a published, measured GI; the rest uses conventional placeholders (see Ingredients sheet)</t>
        </is>
      </c>
      <c r="Z1087" s="2" t="n">
        <v>0</v>
      </c>
      <c r="AA1087" s="3" t="inlineStr">
        <is>
          <t>gluten-free, dairy-free, nut-free, low-carb</t>
        </is>
      </c>
      <c r="AB1087" s="3" t="inlineStr">
        <is>
          <t>1. Crisp the bacon and keep a spoonful of fat.
2. Whisk in vinegar, mustard and oil for a warm dressing.
3. Toss with the spinach, mushrooms and onion.
4. Top with sliced boiled egg and bacon.</t>
        </is>
      </c>
      <c r="AC1087" s="4" t="inlineStr">
        <is>
          <t>["Crisp the bacon and keep a spoonful of fat.", "Whisk in vinegar, mustard and oil for a warm dressing.", "Toss with the spinach, mushrooms and onion.", "Top with sliced boiled egg and bacon."]</t>
        </is>
      </c>
    </row>
    <row r="1088" ht="96" customHeight="1">
      <c r="A1088" s="2" t="inlineStr">
        <is>
          <t>DB-1087</t>
        </is>
      </c>
      <c r="B1088" s="3" t="inlineStr">
        <is>
          <t>West Coast Shrimp Louie Salad</t>
        </is>
      </c>
      <c r="C1088" s="4" t="inlineStr">
        <is>
          <t>Salad</t>
        </is>
      </c>
      <c r="D1088" s="4" t="inlineStr">
        <is>
          <t>American</t>
        </is>
      </c>
      <c r="E1088" s="2" t="n">
        <v>3</v>
      </c>
      <c r="F1088" s="2" t="n">
        <v>15</v>
      </c>
      <c r="G1088" s="2" t="n">
        <v>4</v>
      </c>
      <c r="H1088" s="2" t="n">
        <v>19</v>
      </c>
      <c r="I1088" s="4" t="inlineStr">
        <is>
          <t>west-coast-shrimp-louie-salad.jpg</t>
        </is>
      </c>
      <c r="J1088" s="3" t="inlineStr">
        <is>
          <t>West Coast Shrimp Louie Salad, healthy food photography, plated, natural light</t>
        </is>
      </c>
      <c r="K1088" s="4" t="inlineStr"/>
      <c r="L1088" s="3" t="inlineStr">
        <is>
          <t>Shrimp, peeled — 300 g (10.6 oz)
Romaine lettuce — 200 g (7.1 oz)
Avocado — 100 g (3.5 oz)
Cherry tomatoes — 120 g (4.2 oz)
Egg, large (50 g each) — 100 g (3.5 oz)
Greek yogurt, plain 2% — 60 g (2.1 oz)
Tomato paste — 10 g (0.4 oz)
Lemon juice — 10 g (0.4 oz)</t>
        </is>
      </c>
      <c r="M1088" s="4" t="inlineStr">
        <is>
          <t>[{"ingredient_id": "shrimp", "name": "Shrimp, peeled", "grams": 300.0, "note": ""}, {"ingredient_id": "romaine", "name": "Romaine lettuce", "grams": 200.0, "note": ""}, {"ingredient_id": "avocado", "name": "Avocado", "grams": 100.0, "note": ""}, {"ingredient_id": "cherry_tomato", "name": "Cherry tomatoes", "grams": 120.0, "note": ""}, {"ingredient_id": "egg", "name": "Egg, large (50 g each)", "grams": 100.0, "note": ""}, {"ingredient_id": "greek_yogurt", "name": "Greek yogurt, plain 2%", "grams": 60.0, "note": ""}, {"ingredient_id": "tomato_paste", "name": "Tomato paste", "grams": 10.0, "note": ""}, {"ingredient_id": "lemon_juice", "name": "Lemon juice", "grams": 10.0, "note": ""}]</t>
        </is>
      </c>
      <c r="N1088" s="2" t="n">
        <v>223</v>
      </c>
      <c r="O1088" s="5" t="n">
        <v>28.2</v>
      </c>
      <c r="P1088" s="5" t="n">
        <v>9.4</v>
      </c>
      <c r="Q1088" s="5" t="n">
        <v>8.5</v>
      </c>
      <c r="R1088" s="5" t="n">
        <v>4.3</v>
      </c>
      <c r="S1088" s="5" t="n">
        <v>4.2</v>
      </c>
      <c r="T1088" s="2" t="n">
        <v>16</v>
      </c>
      <c r="U1088" s="2" t="inlineStr">
        <is>
          <t>low</t>
        </is>
      </c>
      <c r="V1088" s="5" t="n">
        <v>0.7</v>
      </c>
      <c r="W1088" s="2" t="inlineStr">
        <is>
          <t>low</t>
        </is>
      </c>
      <c r="X1088" s="3" t="inlineStr">
        <is>
          <t>Negligible carbohydrate (&lt;5 g net/serving): GI has little practical meaning, glycemic load is what matters.</t>
        </is>
      </c>
      <c r="Y1088" s="3" t="inlineStr">
        <is>
          <t>19% of this dish's available carbohydrate comes from ingredients with a published, measured GI; the rest uses conventional placeholders (see Ingredients sheet)</t>
        </is>
      </c>
      <c r="Z1088" s="2" t="n">
        <v>19</v>
      </c>
      <c r="AA1088" s="3" t="inlineStr">
        <is>
          <t>pescatarian, gluten-free, nut-free, low-carb, high-protein</t>
        </is>
      </c>
      <c r="AB1088" s="3" t="inlineStr">
        <is>
          <t>1. Poach the shrimp 3 minutes and cool.
2. Arrange the romaine, avocado, tomatoes and sliced eggs.
3. Stir the yogurt, tomato paste and lemon for a pink dressing.
4. Top with shrimp.</t>
        </is>
      </c>
      <c r="AC1088" s="4" t="inlineStr">
        <is>
          <t>["Poach the shrimp 3 minutes and cool.", "Arrange the romaine, avocado, tomatoes and sliced eggs.", "Stir the yogurt, tomato paste and lemon for a pink dressing.", "Top with shrimp."]</t>
        </is>
      </c>
    </row>
    <row r="1089" ht="96" customHeight="1">
      <c r="A1089" s="2" t="inlineStr">
        <is>
          <t>DB-1088</t>
        </is>
      </c>
      <c r="B1089" s="3" t="inlineStr">
        <is>
          <t>Southwest Chicken Chopped Salad</t>
        </is>
      </c>
      <c r="C1089" s="4" t="inlineStr">
        <is>
          <t>Salad</t>
        </is>
      </c>
      <c r="D1089" s="4" t="inlineStr">
        <is>
          <t>Tex-Mex</t>
        </is>
      </c>
      <c r="E1089" s="2" t="n">
        <v>4</v>
      </c>
      <c r="F1089" s="2" t="n">
        <v>15</v>
      </c>
      <c r="G1089" s="2" t="n">
        <v>10</v>
      </c>
      <c r="H1089" s="2" t="n">
        <v>25</v>
      </c>
      <c r="I1089" s="4" t="inlineStr">
        <is>
          <t>southwest-chicken-chopped-salad.jpg</t>
        </is>
      </c>
      <c r="J1089" s="3" t="inlineStr">
        <is>
          <t>Southwest Chicken Chopped Salad, healthy food photography, plated, natural light</t>
        </is>
      </c>
      <c r="K1089" s="4" t="inlineStr"/>
      <c r="L1089" s="3" t="inlineStr">
        <is>
          <t>Chicken breast, skinless — 450 g (15.9 oz)
Romaine lettuce — 200 g (7.1 oz)
Sweet corn kernels — 80 g (2.8 oz)
Black beans, cooked — 120 g (4.2 oz)
Cherry tomatoes — 120 g (4.2 oz)
Avocado — 100 g (3.5 oz)
Lime juice — 25 g (0.9 oz)
Chili powder — 3 g (0.1 oz)
Ground cumin — 2 g (0.1 oz)
Extra-virgin olive oil — 25 g (0.9 oz)
Fresh cilantro — 6 g (0.2 oz)</t>
        </is>
      </c>
      <c r="M1089" s="4" t="inlineStr">
        <is>
          <t>[{"ingredient_id": "chicken_breast", "name": "Chicken breast, skinless", "grams": 450.0, "note": ""}, {"ingredient_id": "romaine", "name": "Romaine lettuce", "grams": 200.0, "note": ""}, {"ingredient_id": "corn", "name": "Sweet corn kernels", "grams": 80.0, "note": ""}, {"ingredient_id": "black_beans", "name": "Black beans, cooked", "grams": 120.0, "note": ""}, {"ingredient_id": "cherry_tomato", "name": "Cherry tomatoes", "grams": 120.0, "note": ""}, {"ingredient_id": "avocado", "name": "Avocado", "grams": 100.0, "note": ""}, {"ingredient_id": "lime_juice", "name": "Lime juice", "grams": 25.0, "note": ""}, {"ingredient_id": "chili_powder", "name": "Chili powder", "grams": 3.0, "note": ""}, {"ingredient_id": "cumin", "name": "Ground cumin", "grams": 2.0, "note": ""}, {"ingredient_id": "olive_oil", "name": "Extra-virgin olive oil", "grams": 25.0, "note": ""}, {"ingredient_id": "cilantro", "name": "Fresh cilantro", "grams": 6.0, "note": ""}]</t>
        </is>
      </c>
      <c r="N1089" s="2" t="n">
        <v>307</v>
      </c>
      <c r="O1089" s="5" t="n">
        <v>30.3</v>
      </c>
      <c r="P1089" s="5" t="n">
        <v>13.8</v>
      </c>
      <c r="Q1089" s="5" t="n">
        <v>17</v>
      </c>
      <c r="R1089" s="5" t="n">
        <v>6.6</v>
      </c>
      <c r="S1089" s="5" t="n">
        <v>10.4</v>
      </c>
      <c r="T1089" s="2" t="n">
        <v>33</v>
      </c>
      <c r="U1089" s="2" t="inlineStr">
        <is>
          <t>low</t>
        </is>
      </c>
      <c r="V1089" s="5" t="n">
        <v>3.4</v>
      </c>
      <c r="W1089" s="2" t="inlineStr">
        <is>
          <t>low</t>
        </is>
      </c>
      <c r="X1089" s="3" t="inlineStr"/>
      <c r="Y1089" s="3" t="inlineStr">
        <is>
          <t>75% of this dish's available carbohydrate comes from ingredients with a published, measured GI; the rest uses conventional placeholders (see Ingredients sheet)</t>
        </is>
      </c>
      <c r="Z1089" s="2" t="n">
        <v>75</v>
      </c>
      <c r="AA1089" s="3" t="inlineStr">
        <is>
          <t>gluten-free, dairy-free, nut-free, low-carb, high-protein</t>
        </is>
      </c>
      <c r="AB1089" s="3" t="inlineStr">
        <is>
          <t>1. Season the chicken with chili powder and cumin and grill; slice.
2. Chop the romaine and combine with corn, beans, tomatoes and avocado.
3. Whisk the lime juice and oil and toss with the chicken and cilantro.</t>
        </is>
      </c>
      <c r="AC1089" s="4" t="inlineStr">
        <is>
          <t>["Season the chicken with chili powder and cumin and grill; slice.", "Chop the romaine and combine with corn, beans, tomatoes and avocado.", "Whisk the lime juice and oil and toss with the chicken and cilantro."]</t>
        </is>
      </c>
    </row>
    <row r="1090" ht="96" customHeight="1">
      <c r="A1090" s="2" t="inlineStr">
        <is>
          <t>DB-1089</t>
        </is>
      </c>
      <c r="B1090" s="3" t="inlineStr">
        <is>
          <t>Buffalo Cauliflower Bites with Yogurt Dill Dip</t>
        </is>
      </c>
      <c r="C1090" s="4" t="inlineStr">
        <is>
          <t>Snack &amp; Appetizer</t>
        </is>
      </c>
      <c r="D1090" s="4" t="inlineStr">
        <is>
          <t>American</t>
        </is>
      </c>
      <c r="E1090" s="2" t="n">
        <v>4</v>
      </c>
      <c r="F1090" s="2" t="n">
        <v>10</v>
      </c>
      <c r="G1090" s="2" t="n">
        <v>25</v>
      </c>
      <c r="H1090" s="2" t="n">
        <v>35</v>
      </c>
      <c r="I1090" s="4" t="inlineStr">
        <is>
          <t>buffalo-cauliflower-bites-with-yogurt-dill-dip.jpg</t>
        </is>
      </c>
      <c r="J1090" s="3" t="inlineStr">
        <is>
          <t>Buffalo Cauliflower Bites with Yogurt Dill Dip, healthy food photography, plated, natural light</t>
        </is>
      </c>
      <c r="K1090" s="4" t="inlineStr"/>
      <c r="L1090" s="3" t="inlineStr">
        <is>
          <t>Cauliflower — 500 g (17.6 oz)
Almond flour — 40 g (1.4 oz)
Hot sauce (Tabasco/Frank's) — 40 g (1.4 oz)
Extra-virgin olive oil — 20 g (0.7 oz)
Garlic powder — 3 g (0.1 oz)
Greek yogurt, plain 2% — 80 g (2.8 oz)
Fresh dill — 3 g (0.1 oz)
Celery — 60 g (2.1 oz)</t>
        </is>
      </c>
      <c r="M1090" s="4" t="inlineStr">
        <is>
          <t>[{"ingredient_id": "cauliflower", "name": "Cauliflower", "grams": 500.0, "note": ""}, {"ingredient_id": "almond_flour", "name": "Almond flour", "grams": 40.0, "note": ""}, {"ingredient_id": "hot_sauce", "name": "Hot sauce (Tabasco/Frank's)", "grams": 40.0, "note": ""}, {"ingredient_id": "olive_oil", "name": "Extra-virgin olive oil", "grams": 20.0, "note": ""}, {"ingredient_id": "garlic_powder", "name": "Garlic powder", "grams": 3.0, "note": ""}, {"ingredient_id": "greek_yogurt", "name": "Greek yogurt, plain 2%", "grams": 80.0, "note": ""}, {"ingredient_id": "dill", "name": "Fresh dill", "grams": 3.0, "note": ""}, {"ingredient_id": "celery", "name": "Celery", "grams": 60.0, "note": ""}]</t>
        </is>
      </c>
      <c r="N1090" s="2" t="n">
        <v>155</v>
      </c>
      <c r="O1090" s="5" t="n">
        <v>6.8</v>
      </c>
      <c r="P1090" s="5" t="n">
        <v>10.9</v>
      </c>
      <c r="Q1090" s="5" t="n">
        <v>10.4</v>
      </c>
      <c r="R1090" s="5" t="n">
        <v>4.1</v>
      </c>
      <c r="S1090" s="5" t="n">
        <v>6.3</v>
      </c>
      <c r="T1090" s="2" t="n">
        <v>14</v>
      </c>
      <c r="U1090" s="2" t="inlineStr">
        <is>
          <t>low</t>
        </is>
      </c>
      <c r="V1090" s="5" t="n">
        <v>0.9</v>
      </c>
      <c r="W1090" s="2" t="inlineStr">
        <is>
          <t>low</t>
        </is>
      </c>
      <c r="X1090" s="3" t="inlineStr"/>
      <c r="Y1090" s="3" t="inlineStr">
        <is>
          <t>13% of this dish's available carbohydrate comes from ingredients with a published, measured GI; the rest uses conventional placeholders (see Ingredients sheet)</t>
        </is>
      </c>
      <c r="Z1090" s="2" t="n">
        <v>13</v>
      </c>
      <c r="AA1090" s="3" t="inlineStr">
        <is>
          <t>vegetarian, gluten-free, low-carb</t>
        </is>
      </c>
      <c r="AB1090" s="3" t="inlineStr">
        <is>
          <t>1. Toss the florets with almond flour, oil and garlic powder and roast at 450°F for 20 minutes.
2. Toss with hot sauce.
3. Stir the yogurt with dill and serve with celery sticks.</t>
        </is>
      </c>
      <c r="AC1090" s="4" t="inlineStr">
        <is>
          <t>["Toss the florets with almond flour, oil and garlic powder and roast at 450°F for 20 minutes.", "Toss with hot sauce.", "Stir the yogurt with dill and serve with celery sticks."]</t>
        </is>
      </c>
    </row>
    <row r="1091" ht="96" customHeight="1">
      <c r="A1091" s="2" t="inlineStr">
        <is>
          <t>DB-1090</t>
        </is>
      </c>
      <c r="B1091" s="3" t="inlineStr">
        <is>
          <t>Deviled Eggs with Paprika</t>
        </is>
      </c>
      <c r="C1091" s="4" t="inlineStr">
        <is>
          <t>Snack &amp; Appetizer</t>
        </is>
      </c>
      <c r="D1091" s="4" t="inlineStr">
        <is>
          <t>American</t>
        </is>
      </c>
      <c r="E1091" s="2" t="n">
        <v>6</v>
      </c>
      <c r="F1091" s="2" t="n">
        <v>15</v>
      </c>
      <c r="G1091" s="2" t="n">
        <v>12</v>
      </c>
      <c r="H1091" s="2" t="n">
        <v>27</v>
      </c>
      <c r="I1091" s="4" t="inlineStr">
        <is>
          <t>deviled-eggs-with-paprika.jpg</t>
        </is>
      </c>
      <c r="J1091" s="3" t="inlineStr">
        <is>
          <t>Deviled Eggs with Paprika, healthy food photography, plated, natural light</t>
        </is>
      </c>
      <c r="K1091" s="4" t="inlineStr"/>
      <c r="L1091" s="3" t="inlineStr">
        <is>
          <t>Egg, large (50 g each) — 360 g (12.7 oz)
Greek yogurt, plain 2% — 50 g (1.8 oz)
Dijon mustard — 10 g (0.4 oz)
Paprika — 1 g (0.0 oz)
Fresh chives — 4 g (0.1 oz)
Salt — 1 g (0.0 oz)</t>
        </is>
      </c>
      <c r="M1091" s="4" t="inlineStr">
        <is>
          <t>[{"ingredient_id": "egg", "name": "Egg, large (50 g each)", "grams": 360.0, "note": ""}, {"ingredient_id": "greek_yogurt", "name": "Greek yogurt, plain 2%", "grams": 50.0, "note": ""}, {"ingredient_id": "dijon", "name": "Dijon mustard", "grams": 10.0, "note": ""}, {"ingredient_id": "paprika", "name": "Paprika", "grams": 1.0, "note": ""}, {"ingredient_id": "chives", "name": "Fresh chives", "grams": 4.0, "note": ""}, {"ingredient_id": "salt", "name": "Salt", "grams": 1.0, "note": ""}]</t>
        </is>
      </c>
      <c r="N1091" s="2" t="n">
        <v>94</v>
      </c>
      <c r="O1091" s="5" t="n">
        <v>8.5</v>
      </c>
      <c r="P1091" s="5" t="n">
        <v>5.9</v>
      </c>
      <c r="Q1091" s="5" t="n">
        <v>1</v>
      </c>
      <c r="R1091" s="5" t="n">
        <v>0.1</v>
      </c>
      <c r="S1091" s="5" t="n">
        <v>0.8</v>
      </c>
      <c r="T1091" s="2" t="n">
        <v>6</v>
      </c>
      <c r="U1091" s="2" t="inlineStr">
        <is>
          <t>low</t>
        </is>
      </c>
      <c r="V1091" s="5" t="n">
        <v>0</v>
      </c>
      <c r="W1091" s="2" t="inlineStr">
        <is>
          <t>low</t>
        </is>
      </c>
      <c r="X1091" s="3" t="inlineStr">
        <is>
          <t>Negligible carbohydrate (&lt;5 g net/serving): GI has little practical meaning, glycemic load is what matters.</t>
        </is>
      </c>
      <c r="Y1091" s="3" t="inlineStr">
        <is>
          <t>40% of this dish's available carbohydrate comes from ingredients with a published, measured GI; the rest uses conventional placeholders (see Ingredients sheet)</t>
        </is>
      </c>
      <c r="Z1091" s="2" t="n">
        <v>40</v>
      </c>
      <c r="AA1091" s="3" t="inlineStr">
        <is>
          <t>vegetarian, gluten-free, nut-free, low-carb</t>
        </is>
      </c>
      <c r="AB1091" s="3" t="inlineStr">
        <is>
          <t>1. Hard-boil the eggs, cool and halve.
2. Mash the yolks with yogurt, mustard and salt.
3. Pipe or spoon back into the whites.
4. Dust with paprika and chives.</t>
        </is>
      </c>
      <c r="AC1091" s="4" t="inlineStr">
        <is>
          <t>["Hard-boil the eggs, cool and halve.", "Mash the yolks with yogurt, mustard and salt.", "Pipe or spoon back into the whites.", "Dust with paprika and chives."]</t>
        </is>
      </c>
    </row>
    <row r="1092" ht="96" customHeight="1">
      <c r="A1092" s="2" t="inlineStr">
        <is>
          <t>DB-1091</t>
        </is>
      </c>
      <c r="B1092" s="3" t="inlineStr">
        <is>
          <t>Guacamole with Veggie Dippers</t>
        </is>
      </c>
      <c r="C1092" s="4" t="inlineStr">
        <is>
          <t>Snack &amp; Appetizer</t>
        </is>
      </c>
      <c r="D1092" s="4" t="inlineStr">
        <is>
          <t>Tex-Mex</t>
        </is>
      </c>
      <c r="E1092" s="2" t="n">
        <v>4</v>
      </c>
      <c r="F1092" s="2" t="n">
        <v>10</v>
      </c>
      <c r="G1092" s="2" t="n">
        <v>0</v>
      </c>
      <c r="H1092" s="2" t="n">
        <v>10</v>
      </c>
      <c r="I1092" s="4" t="inlineStr">
        <is>
          <t>guacamole-with-veggie-dippers.jpg</t>
        </is>
      </c>
      <c r="J1092" s="3" t="inlineStr">
        <is>
          <t>Guacamole with Veggie Dippers, healthy food photography, plated, natural light</t>
        </is>
      </c>
      <c r="K1092" s="4" t="inlineStr"/>
      <c r="L1092" s="3" t="inlineStr">
        <is>
          <t>Avocado — 300 g (10.6 oz)
Lime juice — 20 g (0.7 oz)
Red onion — 30 g (1.1 oz)
Tomato — 60 g (2.1 oz)
Fresh cilantro — 8 g (0.3 oz)
Jalapeño — 8 g (0.3 oz)
Cucumber — 150 g (5.3 oz)
Bell pepper — 150 g (5.3 oz)
Salt — 2 g (0.1 oz)</t>
        </is>
      </c>
      <c r="M1092" s="4" t="inlineStr">
        <is>
          <t>[{"ingredient_id": "avocado", "name": "Avocado", "grams": 300.0, "note": ""}, {"ingredient_id": "lime_juice", "name": "Lime juice", "grams": 20.0, "note": ""}, {"ingredient_id": "red_onion", "name": "Red onion", "grams": 30.0, "note": ""}, {"ingredient_id": "tomato", "name": "Tomato", "grams": 60.0, "note": ""}, {"ingredient_id": "cilantro", "name": "Fresh cilantro", "grams": 8.0, "note": ""}, {"ingredient_id": "jalapeno", "name": "Jalapeño", "grams": 8.0, "note": ""}, {"ingredient_id": "cucumber", "name": "Cucumber", "grams": 150.0, "note": ""}, {"ingredient_id": "bell_pepper", "name": "Bell pepper", "grams": 150.0, "note": ""}, {"ingredient_id": "salt", "name": "Salt", "grams": 2.0, "note": ""}]</t>
        </is>
      </c>
      <c r="N1092" s="2" t="n">
        <v>145</v>
      </c>
      <c r="O1092" s="5" t="n">
        <v>2.4</v>
      </c>
      <c r="P1092" s="5" t="n">
        <v>11.5</v>
      </c>
      <c r="Q1092" s="5" t="n">
        <v>11.9</v>
      </c>
      <c r="R1092" s="5" t="n">
        <v>6.4</v>
      </c>
      <c r="S1092" s="5" t="n">
        <v>5.4</v>
      </c>
      <c r="T1092" s="2" t="n">
        <v>15</v>
      </c>
      <c r="U1092" s="2" t="inlineStr">
        <is>
          <t>low</t>
        </is>
      </c>
      <c r="V1092" s="5" t="n">
        <v>0.8</v>
      </c>
      <c r="W1092" s="2" t="inlineStr">
        <is>
          <t>low</t>
        </is>
      </c>
      <c r="X1092" s="3" t="inlineStr"/>
      <c r="Y1092" s="3" t="inlineStr">
        <is>
          <t>0% of this dish's available carbohydrate comes from ingredients with a published, measured GI; the rest uses conventional placeholders (see Ingredients sheet)</t>
        </is>
      </c>
      <c r="Z1092" s="2" t="n">
        <v>0</v>
      </c>
      <c r="AA1092" s="3" t="inlineStr">
        <is>
          <t>vegan, gluten-free, dairy-free, nut-free, low-carb, no-cook</t>
        </is>
      </c>
      <c r="AB1092" s="3" t="inlineStr">
        <is>
          <t>1. Mash the avocado with lime juice and salt.
2. Fold in the onion, tomato, cilantro and jalapeno.
3. Serve with cucumber and pepper strips.</t>
        </is>
      </c>
      <c r="AC1092" s="4" t="inlineStr">
        <is>
          <t>["Mash the avocado with lime juice and salt.", "Fold in the onion, tomato, cilantro and jalapeno.", "Serve with cucumber and pepper strips."]</t>
        </is>
      </c>
    </row>
    <row r="1093" ht="96" customHeight="1">
      <c r="A1093" s="2" t="inlineStr">
        <is>
          <t>DB-1092</t>
        </is>
      </c>
      <c r="B1093" s="3" t="inlineStr">
        <is>
          <t>Baked Zucchini Chips</t>
        </is>
      </c>
      <c r="C1093" s="4" t="inlineStr">
        <is>
          <t>Snack &amp; Appetizer</t>
        </is>
      </c>
      <c r="D1093" s="4" t="inlineStr">
        <is>
          <t>American</t>
        </is>
      </c>
      <c r="E1093" s="2" t="n">
        <v>4</v>
      </c>
      <c r="F1093" s="2" t="n">
        <v>10</v>
      </c>
      <c r="G1093" s="2" t="n">
        <v>30</v>
      </c>
      <c r="H1093" s="2" t="n">
        <v>40</v>
      </c>
      <c r="I1093" s="4" t="inlineStr">
        <is>
          <t>baked-zucchini-chips.jpg</t>
        </is>
      </c>
      <c r="J1093" s="3" t="inlineStr">
        <is>
          <t>Baked Zucchini Chips, healthy food photography, plated, natural light</t>
        </is>
      </c>
      <c r="K1093" s="4" t="inlineStr"/>
      <c r="L1093" s="3" t="inlineStr">
        <is>
          <t>Zucchini — 450 g (15.9 oz)
Parmesan, grated — 40 g (1.4 oz)
Almond flour — 30 g (1.1 oz)
Egg, large (50 g each) — 50 g (1.8 oz)
Garlic powder — 2 g (0.1 oz)
Extra-virgin olive oil — 10 g (0.4 oz)</t>
        </is>
      </c>
      <c r="M1093" s="4" t="inlineStr">
        <is>
          <t>[{"ingredient_id": "zucchini", "name": "Zucchini", "grams": 450.0, "note": ""}, {"ingredient_id": "parmesan", "name": "Parmesan, grated", "grams": 40.0, "note": ""}, {"ingredient_id": "almond_flour", "name": "Almond flour", "grams": 30.0, "note": ""}, {"ingredient_id": "egg", "name": "Egg, large (50 g each)", "grams": 50.0, "note": ""}, {"ingredient_id": "garlic_powder", "name": "Garlic powder", "grams": 2.0, "note": ""}, {"ingredient_id": "olive_oil", "name": "Extra-virgin olive oil", "grams": 10.0, "note": ""}]</t>
        </is>
      </c>
      <c r="N1093" s="2" t="n">
        <v>148</v>
      </c>
      <c r="O1093" s="5" t="n">
        <v>8.4</v>
      </c>
      <c r="P1093" s="5" t="n">
        <v>10.7</v>
      </c>
      <c r="Q1093" s="5" t="n">
        <v>5.9</v>
      </c>
      <c r="R1093" s="5" t="n">
        <v>2.1</v>
      </c>
      <c r="S1093" s="5" t="n">
        <v>3.8</v>
      </c>
      <c r="T1093" s="2" t="n">
        <v>13</v>
      </c>
      <c r="U1093" s="2" t="inlineStr">
        <is>
          <t>low</t>
        </is>
      </c>
      <c r="V1093" s="5" t="n">
        <v>0.5</v>
      </c>
      <c r="W1093" s="2" t="inlineStr">
        <is>
          <t>low</t>
        </is>
      </c>
      <c r="X1093" s="3" t="inlineStr">
        <is>
          <t>Negligible carbohydrate (&lt;5 g net/serving): GI has little practical meaning, glycemic load is what matters.</t>
        </is>
      </c>
      <c r="Y1093" s="3" t="inlineStr">
        <is>
          <t>0% of this dish's available carbohydrate comes from ingredients with a published, measured GI; the rest uses conventional placeholders (see Ingredients sheet)</t>
        </is>
      </c>
      <c r="Z1093" s="2" t="n">
        <v>0</v>
      </c>
      <c r="AA1093" s="3" t="inlineStr">
        <is>
          <t>vegetarian, gluten-free, low-carb</t>
        </is>
      </c>
      <c r="AB1093" s="3" t="inlineStr">
        <is>
          <t>1. Slice the zucchini thin.
2. Dip in egg, then a mix of parmesan, almond flour and garlic powder.
3. Bake on an oiled tray at 425°F for 25 to 30 minutes.</t>
        </is>
      </c>
      <c r="AC1093" s="4" t="inlineStr">
        <is>
          <t>["Slice the zucchini thin.", "Dip in egg, then a mix of parmesan, almond flour and garlic powder.", "Bake on an oiled tray at 425°F for 25 to 30 minutes."]</t>
        </is>
      </c>
    </row>
    <row r="1094" ht="96" customHeight="1">
      <c r="A1094" s="2" t="inlineStr">
        <is>
          <t>DB-1093</t>
        </is>
      </c>
      <c r="B1094" s="3" t="inlineStr">
        <is>
          <t>Chicken Salad Cucumber Cups</t>
        </is>
      </c>
      <c r="C1094" s="4" t="inlineStr">
        <is>
          <t>Snack &amp; Appetizer</t>
        </is>
      </c>
      <c r="D1094" s="4" t="inlineStr">
        <is>
          <t>American</t>
        </is>
      </c>
      <c r="E1094" s="2" t="n">
        <v>4</v>
      </c>
      <c r="F1094" s="2" t="n">
        <v>15</v>
      </c>
      <c r="G1094" s="2" t="n">
        <v>0</v>
      </c>
      <c r="H1094" s="2" t="n">
        <v>15</v>
      </c>
      <c r="I1094" s="4" t="inlineStr">
        <is>
          <t>chicken-salad-cucumber-cups.jpg</t>
        </is>
      </c>
      <c r="J1094" s="3" t="inlineStr">
        <is>
          <t>Chicken Salad Cucumber Cups, healthy food photography, plated, natural light</t>
        </is>
      </c>
      <c r="K1094" s="4" t="inlineStr"/>
      <c r="L1094" s="3" t="inlineStr">
        <is>
          <t>Rotisserie chicken, skin removed — 200 g (7.1 oz)
Cucumber — 300 g (10.6 oz)
Greek yogurt, plain 2% — 60 g (2.1 oz)
Celery — 30 g (1.1 oz)
Dijon mustard — 5 g (0.2 oz)
Fresh dill — 3 g (0.1 oz)</t>
        </is>
      </c>
      <c r="M1094" s="4" t="inlineStr">
        <is>
          <t>[{"ingredient_id": "rotisserie_chicken", "name": "Rotisserie chicken, skin removed", "grams": 200.0, "note": ""}, {"ingredient_id": "cucumber", "name": "Cucumber", "grams": 300.0, "note": ""}, {"ingredient_id": "greek_yogurt", "name": "Greek yogurt, plain 2%", "grams": 60.0, "note": ""}, {"ingredient_id": "celery", "name": "Celery", "grams": 30.0, "note": ""}, {"ingredient_id": "dijon", "name": "Dijon mustard", "grams": 5.0, "note": ""}, {"ingredient_id": "dill", "name": "Fresh dill", "grams": 3.0, "note": ""}]</t>
        </is>
      </c>
      <c r="N1094" s="2" t="n">
        <v>105</v>
      </c>
      <c r="O1094" s="5" t="n">
        <v>13.7</v>
      </c>
      <c r="P1094" s="5" t="n">
        <v>3.9</v>
      </c>
      <c r="Q1094" s="5" t="n">
        <v>3.6</v>
      </c>
      <c r="R1094" s="5" t="n">
        <v>0.5</v>
      </c>
      <c r="S1094" s="5" t="n">
        <v>3.1</v>
      </c>
      <c r="T1094" s="2" t="n">
        <v>14</v>
      </c>
      <c r="U1094" s="2" t="inlineStr">
        <is>
          <t>low</t>
        </is>
      </c>
      <c r="V1094" s="5" t="n">
        <v>0.4</v>
      </c>
      <c r="W1094" s="2" t="inlineStr">
        <is>
          <t>low</t>
        </is>
      </c>
      <c r="X1094" s="3" t="inlineStr">
        <is>
          <t>Negligible carbohydrate (&lt;5 g net/serving): GI has little practical meaning, glycemic load is what matters.</t>
        </is>
      </c>
      <c r="Y1094" s="3" t="inlineStr">
        <is>
          <t>19% of this dish's available carbohydrate comes from ingredients with a published, measured GI; the rest uses conventional placeholders (see Ingredients sheet)</t>
        </is>
      </c>
      <c r="Z1094" s="2" t="n">
        <v>19</v>
      </c>
      <c r="AA1094" s="3" t="inlineStr">
        <is>
          <t>gluten-free, nut-free, low-carb, no-cook</t>
        </is>
      </c>
      <c r="AB1094" s="3" t="inlineStr">
        <is>
          <t>1. Cut the cucumbers into thick rounds and scoop a shallow well.
2. Mix the chicken, yogurt, celery, mustard and dill.
3. Fill the cups.</t>
        </is>
      </c>
      <c r="AC1094" s="4" t="inlineStr">
        <is>
          <t>["Cut the cucumbers into thick rounds and scoop a shallow well.", "Mix the chicken, yogurt, celery, mustard and dill.", "Fill the cups."]</t>
        </is>
      </c>
    </row>
    <row r="1095" ht="96" customHeight="1">
      <c r="A1095" s="2" t="inlineStr">
        <is>
          <t>DB-1094</t>
        </is>
      </c>
      <c r="B1095" s="3" t="inlineStr">
        <is>
          <t>Spinach Artichoke Dip with Veggies</t>
        </is>
      </c>
      <c r="C1095" s="4" t="inlineStr">
        <is>
          <t>Snack &amp; Appetizer</t>
        </is>
      </c>
      <c r="D1095" s="4" t="inlineStr">
        <is>
          <t>American</t>
        </is>
      </c>
      <c r="E1095" s="2" t="n">
        <v>6</v>
      </c>
      <c r="F1095" s="2" t="n">
        <v>10</v>
      </c>
      <c r="G1095" s="2" t="n">
        <v>20</v>
      </c>
      <c r="H1095" s="2" t="n">
        <v>30</v>
      </c>
      <c r="I1095" s="4" t="inlineStr">
        <is>
          <t>spinach-artichoke-dip-with-veggies.jpg</t>
        </is>
      </c>
      <c r="J1095" s="3" t="inlineStr">
        <is>
          <t>Spinach Artichoke Dip with Veggies, healthy food photography, plated, natural light</t>
        </is>
      </c>
      <c r="K1095" s="4" t="inlineStr"/>
      <c r="L1095" s="3" t="inlineStr">
        <is>
          <t>Artichoke hearts, canned in water — 200 g (7.1 oz)
Spinach — 150 g (5.3 oz)
Greek yogurt, plain 2% — 150 g (5.3 oz)
Cream cheese — 80 g (2.8 oz)
Parmesan, grated — 30 g (1.1 oz)
Garlic — 6 g (0.2 oz)
Carrot — 150 g (5.3 oz)
Celery — 150 g (5.3 oz)</t>
        </is>
      </c>
      <c r="M1095" s="4" t="inlineStr">
        <is>
          <t>[{"ingredient_id": "artichoke_hearts", "name": "Artichoke hearts, canned in water", "grams": 200.0, "note": ""}, {"ingredient_id": "spinach", "name": "Spinach", "grams": 150.0, "note": ""}, {"ingredient_id": "greek_yogurt", "name": "Greek yogurt, plain 2%", "grams": 150.0, "note": ""}, {"ingredient_id": "cream_cheese", "name": "Cream cheese", "grams": 80.0, "note": ""}, {"ingredient_id": "parmesan", "name": "Parmesan, grated", "grams": 30.0, "note": ""}, {"ingredient_id": "garlic", "name": "Garlic", "grams": 6.0, "note": ""}, {"ingredient_id": "carrot", "name": "Carrot", "grams": 150.0, "note": ""}, {"ingredient_id": "celery", "name": "Celery", "grams": 150.0, "note": ""}]</t>
        </is>
      </c>
      <c r="N1095" s="2" t="n">
        <v>123</v>
      </c>
      <c r="O1095" s="5" t="n">
        <v>7.5</v>
      </c>
      <c r="P1095" s="5" t="n">
        <v>6.8</v>
      </c>
      <c r="Q1095" s="5" t="n">
        <v>9.6</v>
      </c>
      <c r="R1095" s="5" t="n">
        <v>3.5</v>
      </c>
      <c r="S1095" s="5" t="n">
        <v>6.1</v>
      </c>
      <c r="T1095" s="2" t="n">
        <v>20</v>
      </c>
      <c r="U1095" s="2" t="inlineStr">
        <is>
          <t>low</t>
        </is>
      </c>
      <c r="V1095" s="5" t="n">
        <v>1.2</v>
      </c>
      <c r="W1095" s="2" t="inlineStr">
        <is>
          <t>low</t>
        </is>
      </c>
      <c r="X1095" s="3" t="inlineStr"/>
      <c r="Y1095" s="3" t="inlineStr">
        <is>
          <t>44% of this dish's available carbohydrate comes from ingredients with a published, measured GI; the rest uses conventional placeholders (see Ingredients sheet)</t>
        </is>
      </c>
      <c r="Z1095" s="2" t="n">
        <v>44</v>
      </c>
      <c r="AA1095" s="3" t="inlineStr">
        <is>
          <t>vegetarian, gluten-free, nut-free, low-carb</t>
        </is>
      </c>
      <c r="AB1095" s="3" t="inlineStr">
        <is>
          <t>1. Chop the artichokes and wilt the spinach.
2. Stir with yogurt, cream cheese, parmesan and garlic.
3. Bake at 375°F for 18 minutes.
4. Serve with carrot and celery sticks.</t>
        </is>
      </c>
      <c r="AC1095" s="4" t="inlineStr">
        <is>
          <t>["Chop the artichokes and wilt the spinach.", "Stir with yogurt, cream cheese, parmesan and garlic.", "Bake at 375°F for 18 minutes.", "Serve with carrot and celery sticks."]</t>
        </is>
      </c>
    </row>
    <row r="1096" ht="96" customHeight="1">
      <c r="A1096" s="2" t="inlineStr">
        <is>
          <t>DB-1095</t>
        </is>
      </c>
      <c r="B1096" s="3" t="inlineStr">
        <is>
          <t>Turkey Pepperoni Pizza Bites</t>
        </is>
      </c>
      <c r="C1096" s="4" t="inlineStr">
        <is>
          <t>Snack &amp; Appetizer</t>
        </is>
      </c>
      <c r="D1096" s="4" t="inlineStr">
        <is>
          <t>Italian</t>
        </is>
      </c>
      <c r="E1096" s="2" t="n">
        <v>4</v>
      </c>
      <c r="F1096" s="2" t="n">
        <v>10</v>
      </c>
      <c r="G1096" s="2" t="n">
        <v>15</v>
      </c>
      <c r="H1096" s="2" t="n">
        <v>25</v>
      </c>
      <c r="I1096" s="4" t="inlineStr">
        <is>
          <t>turkey-pepperoni-pizza-bites.jpg</t>
        </is>
      </c>
      <c r="J1096" s="3" t="inlineStr">
        <is>
          <t>Turkey Pepperoni Pizza Bites, healthy food photography, plated, natural light</t>
        </is>
      </c>
      <c r="K1096" s="4" t="inlineStr"/>
      <c r="L1096" s="3" t="inlineStr">
        <is>
          <t>Portobello mushrooms — 360 g (12.7 oz)
Marinara sauce, no sugar added — 100 g (3.5 oz)
Mozzarella, part-skim — 80 g (2.8 oz)
Turkey sausage — 60 g (2.1 oz)
Italian seasoning — 2 g (0.1 oz)</t>
        </is>
      </c>
      <c r="M1096" s="4" t="inlineStr">
        <is>
          <t>[{"ingredient_id": "portobello", "name": "Portobello mushrooms", "grams": 360.0, "note": ""}, {"ingredient_id": "marinara", "name": "Marinara sauce, no sugar added", "grams": 100.0, "note": ""}, {"ingredient_id": "mozzarella", "name": "Mozzarella, part-skim", "grams": 80.0, "note": ""}, {"ingredient_id": "turkey_sausage", "name": "Turkey sausage", "grams": 60.0, "note": ""}, {"ingredient_id": "italian_seasoning", "name": "Italian seasoning", "grams": 2.0, "note": ""}]</t>
        </is>
      </c>
      <c r="N1096" s="2" t="n">
        <v>106</v>
      </c>
      <c r="O1096" s="5" t="n">
        <v>9.4</v>
      </c>
      <c r="P1096" s="5" t="n">
        <v>5.7</v>
      </c>
      <c r="Q1096" s="5" t="n">
        <v>6</v>
      </c>
      <c r="R1096" s="5" t="n">
        <v>1.8</v>
      </c>
      <c r="S1096" s="5" t="n">
        <v>4.2</v>
      </c>
      <c r="T1096" s="2" t="n">
        <v>16</v>
      </c>
      <c r="U1096" s="2" t="inlineStr">
        <is>
          <t>low</t>
        </is>
      </c>
      <c r="V1096" s="5" t="n">
        <v>0.7</v>
      </c>
      <c r="W1096" s="2" t="inlineStr">
        <is>
          <t>low</t>
        </is>
      </c>
      <c r="X1096" s="3" t="inlineStr">
        <is>
          <t>Negligible carbohydrate (&lt;5 g net/serving): GI has little practical meaning, glycemic load is what matters.</t>
        </is>
      </c>
      <c r="Y1096" s="3" t="inlineStr">
        <is>
          <t>21% of this dish's available carbohydrate comes from ingredients with a published, measured GI; the rest uses conventional placeholders (see Ingredients sheet)</t>
        </is>
      </c>
      <c r="Z1096" s="2" t="n">
        <v>21</v>
      </c>
      <c r="AA1096" s="3" t="inlineStr">
        <is>
          <t>gluten-free, nut-free, low-carb</t>
        </is>
      </c>
      <c r="AB1096" s="3" t="inlineStr">
        <is>
          <t>1. Heat the oven to 400°F and remove the portobello stems.
2. Spoon marinara into each cap.
3. Top with mozzarella and sliced sausage.
4. Bake 15 minutes.</t>
        </is>
      </c>
      <c r="AC1096" s="4" t="inlineStr">
        <is>
          <t>["Heat the oven to 400°F and remove the portobello stems.", "Spoon marinara into each cap.", "Top with mozzarella and sliced sausage.", "Bake 15 minutes."]</t>
        </is>
      </c>
    </row>
    <row r="1097" ht="96" customHeight="1">
      <c r="A1097" s="2" t="inlineStr">
        <is>
          <t>DB-1096</t>
        </is>
      </c>
      <c r="B1097" s="3" t="inlineStr">
        <is>
          <t>Roasted Chickpea Snack Mix</t>
        </is>
      </c>
      <c r="C1097" s="4" t="inlineStr">
        <is>
          <t>Snack &amp; Appetizer</t>
        </is>
      </c>
      <c r="D1097" s="4" t="inlineStr">
        <is>
          <t>American</t>
        </is>
      </c>
      <c r="E1097" s="2" t="n">
        <v>5</v>
      </c>
      <c r="F1097" s="2" t="n">
        <v>5</v>
      </c>
      <c r="G1097" s="2" t="n">
        <v>30</v>
      </c>
      <c r="H1097" s="2" t="n">
        <v>35</v>
      </c>
      <c r="I1097" s="4" t="inlineStr">
        <is>
          <t>roasted-chickpea-snack-mix.jpg</t>
        </is>
      </c>
      <c r="J1097" s="3" t="inlineStr">
        <is>
          <t>Roasted Chickpea Snack Mix, healthy food photography, plated, natural light</t>
        </is>
      </c>
      <c r="K1097" s="4" t="inlineStr"/>
      <c r="L1097" s="3" t="inlineStr">
        <is>
          <t>Chickpeas, cooked — 400 g (14.1 oz)
Almonds — 30 g (1.1 oz)
Pumpkin seeds (pepitas) — 20 g (0.7 oz)
Extra-virgin olive oil — 15 g (0.5 oz)
Smoked paprika — 3 g (0.1 oz)
Garlic powder — 2 g (0.1 oz)
Salt — 2 g (0.1 oz)</t>
        </is>
      </c>
      <c r="M1097" s="4" t="inlineStr">
        <is>
          <t>[{"ingredient_id": "chickpeas", "name": "Chickpeas, cooked", "grams": 400.0, "note": ""}, {"ingredient_id": "almonds", "name": "Almonds", "grams": 30.0, "note": ""}, {"ingredient_id": "pumpkin_seeds", "name": "Pumpkin seeds (pepitas)", "grams": 20.0, "note": ""}, {"ingredient_id": "olive_oil", "name": "Extra-virgin olive oil", "grams": 15.0, "note": ""}, {"ingredient_id": "smoked_paprika", "name": "Smoked paprika", "grams": 3.0, "note": ""}, {"ingredient_id": "garlic_powder", "name": "Garlic powder", "grams": 2.0, "note": ""}, {"ingredient_id": "salt", "name": "Salt", "grams": 2.0, "note": ""}]</t>
        </is>
      </c>
      <c r="N1097" s="2" t="n">
        <v>218</v>
      </c>
      <c r="O1097" s="5" t="n">
        <v>9.699999999999999</v>
      </c>
      <c r="P1097" s="5" t="n">
        <v>10.1</v>
      </c>
      <c r="Q1097" s="5" t="n">
        <v>24</v>
      </c>
      <c r="R1097" s="5" t="n">
        <v>7.3</v>
      </c>
      <c r="S1097" s="5" t="n">
        <v>16.7</v>
      </c>
      <c r="T1097" s="2" t="n">
        <v>36</v>
      </c>
      <c r="U1097" s="2" t="inlineStr">
        <is>
          <t>low</t>
        </is>
      </c>
      <c r="V1097" s="5" t="n">
        <v>6</v>
      </c>
      <c r="W1097" s="2" t="inlineStr">
        <is>
          <t>low</t>
        </is>
      </c>
      <c r="X1097" s="3" t="inlineStr"/>
      <c r="Y1097" s="3" t="inlineStr">
        <is>
          <t>93% of this dish's available carbohydrate comes from ingredients with a published, measured GI; the rest uses conventional placeholders (see Ingredients sheet)</t>
        </is>
      </c>
      <c r="Z1097" s="2" t="n">
        <v>93</v>
      </c>
      <c r="AA1097" s="3" t="inlineStr">
        <is>
          <t>vegan, gluten-free, dairy-free, high-fiber, meal-prep</t>
        </is>
      </c>
      <c r="AB1097" s="3" t="inlineStr">
        <is>
          <t>1. Pat the chickpeas dry.
2. Toss with the oil and spices.
3. Roast at 400°F for 25 minutes, adding nuts and seeds for the last 5.</t>
        </is>
      </c>
      <c r="AC1097" s="4" t="inlineStr">
        <is>
          <t>["Pat the chickpeas dry.", "Toss with the oil and spices.", "Roast at 400°F for 25 minutes, adding nuts and seeds for the last 5."]</t>
        </is>
      </c>
    </row>
    <row r="1098" ht="96" customHeight="1">
      <c r="A1098" s="2" t="inlineStr">
        <is>
          <t>DB-1097</t>
        </is>
      </c>
      <c r="B1098" s="3" t="inlineStr">
        <is>
          <t>Pepper Jack Stuffed Jalapeno Poppers</t>
        </is>
      </c>
      <c r="C1098" s="4" t="inlineStr">
        <is>
          <t>Snack &amp; Appetizer</t>
        </is>
      </c>
      <c r="D1098" s="4" t="inlineStr">
        <is>
          <t>Tex-Mex</t>
        </is>
      </c>
      <c r="E1098" s="2" t="n">
        <v>5</v>
      </c>
      <c r="F1098" s="2" t="n">
        <v>15</v>
      </c>
      <c r="G1098" s="2" t="n">
        <v>20</v>
      </c>
      <c r="H1098" s="2" t="n">
        <v>35</v>
      </c>
      <c r="I1098" s="4" t="inlineStr">
        <is>
          <t>pepper-jack-stuffed-jalapeno-poppers.jpg</t>
        </is>
      </c>
      <c r="J1098" s="3" t="inlineStr">
        <is>
          <t>Pepper Jack Stuffed Jalapeno Poppers, healthy food photography, plated, natural light</t>
        </is>
      </c>
      <c r="K1098" s="4" t="inlineStr"/>
      <c r="L1098" s="3" t="inlineStr">
        <is>
          <t>Jalapeño — 250 g (8.8 oz)
Cream cheese — 100 g (3.5 oz)
Pepper jack cheese — 60 g (2.1 oz)
Turkey bacon — 40 g (1.4 oz)
Garlic powder — 2 g (0.1 oz)</t>
        </is>
      </c>
      <c r="M1098" s="4" t="inlineStr">
        <is>
          <t>[{"ingredient_id": "jalapeno", "name": "Jalapeño", "grams": 250.0, "note": ""}, {"ingredient_id": "cream_cheese", "name": "Cream cheese", "grams": 100.0, "note": ""}, {"ingredient_id": "pepper_jack", "name": "Pepper jack cheese", "grams": 60.0, "note": ""}, {"ingredient_id": "turkey_bacon", "name": "Turkey bacon", "grams": 40.0, "note": ""}, {"ingredient_id": "garlic_powder", "name": "Garlic powder", "grams": 2.0, "note": ""}]</t>
        </is>
      </c>
      <c r="N1098" s="2" t="n">
        <v>147</v>
      </c>
      <c r="O1098" s="5" t="n">
        <v>6</v>
      </c>
      <c r="P1098" s="5" t="n">
        <v>11.8</v>
      </c>
      <c r="Q1098" s="5" t="n">
        <v>4.7</v>
      </c>
      <c r="R1098" s="5" t="n">
        <v>1.4</v>
      </c>
      <c r="S1098" s="5" t="n">
        <v>3.2</v>
      </c>
      <c r="T1098" s="2" t="n">
        <v>10</v>
      </c>
      <c r="U1098" s="2" t="inlineStr">
        <is>
          <t>low</t>
        </is>
      </c>
      <c r="V1098" s="5" t="n">
        <v>0.3</v>
      </c>
      <c r="W1098" s="2" t="inlineStr">
        <is>
          <t>low</t>
        </is>
      </c>
      <c r="X1098" s="3" t="inlineStr">
        <is>
          <t>Negligible carbohydrate (&lt;5 g net/serving): GI has little practical meaning, glycemic load is what matters.</t>
        </is>
      </c>
      <c r="Y1098" s="3" t="inlineStr">
        <is>
          <t>0% of this dish's available carbohydrate comes from ingredients with a published, measured GI; the rest uses conventional placeholders (see Ingredients sheet)</t>
        </is>
      </c>
      <c r="Z1098" s="2" t="n">
        <v>0</v>
      </c>
      <c r="AA1098" s="3" t="inlineStr">
        <is>
          <t>gluten-free, nut-free, low-carb</t>
        </is>
      </c>
      <c r="AB1098" s="3" t="inlineStr">
        <is>
          <t>1. Halve and seed the jalapenos.
2. Mix the cream cheese, pepper jack and garlic powder and fill.
3. Wrap in a strip of bacon if you like.
4. Bake at 400°F for 20 minutes.</t>
        </is>
      </c>
      <c r="AC1098" s="4" t="inlineStr">
        <is>
          <t>["Halve and seed the jalapenos.", "Mix the cream cheese, pepper jack and garlic powder and fill.", "Wrap in a strip of bacon if you like.", "Bake at 400°F for 20 minutes."]</t>
        </is>
      </c>
    </row>
    <row r="1099" ht="96" customHeight="1">
      <c r="A1099" s="2" t="inlineStr">
        <is>
          <t>DB-1098</t>
        </is>
      </c>
      <c r="B1099" s="3" t="inlineStr">
        <is>
          <t>Apple Slices with Peanut Butter and Cinnamon</t>
        </is>
      </c>
      <c r="C1099" s="4" t="inlineStr">
        <is>
          <t>Snack &amp; Appetizer</t>
        </is>
      </c>
      <c r="D1099" s="4" t="inlineStr">
        <is>
          <t>American</t>
        </is>
      </c>
      <c r="E1099" s="2" t="n">
        <v>2</v>
      </c>
      <c r="F1099" s="2" t="n">
        <v>3</v>
      </c>
      <c r="G1099" s="2" t="n">
        <v>0</v>
      </c>
      <c r="H1099" s="2" t="n">
        <v>3</v>
      </c>
      <c r="I1099" s="4" t="inlineStr">
        <is>
          <t>apple-slices-with-peanut-butter-and-cinnamon.jpg</t>
        </is>
      </c>
      <c r="J1099" s="3" t="inlineStr">
        <is>
          <t>Apple Slices with Peanut Butter and Cinnamon, healthy food photography, plated, natural light</t>
        </is>
      </c>
      <c r="K1099" s="4" t="inlineStr"/>
      <c r="L1099" s="3" t="inlineStr">
        <is>
          <t>Apple — 240 g (8.5 oz)
Peanut butter, natural — 32 g (1.1 oz)
Ground cinnamon — 1 g (0.0 oz)</t>
        </is>
      </c>
      <c r="M1099" s="4" t="inlineStr">
        <is>
          <t>[{"ingredient_id": "apple", "name": "Apple", "grams": 240.0, "note": ""}, {"ingredient_id": "peanut_butter", "name": "Peanut butter, natural", "grams": 32.0, "note": ""}, {"ingredient_id": "cinnamon", "name": "Ground cinnamon", "grams": 1.0, "note": ""}]</t>
        </is>
      </c>
      <c r="N1099" s="2" t="n">
        <v>158</v>
      </c>
      <c r="O1099" s="5" t="n">
        <v>4.4</v>
      </c>
      <c r="P1099" s="5" t="n">
        <v>8.199999999999999</v>
      </c>
      <c r="Q1099" s="5" t="n">
        <v>20.4</v>
      </c>
      <c r="R1099" s="5" t="n">
        <v>4.1</v>
      </c>
      <c r="S1099" s="5" t="n">
        <v>16.3</v>
      </c>
      <c r="T1099" s="2" t="n">
        <v>33</v>
      </c>
      <c r="U1099" s="2" t="inlineStr">
        <is>
          <t>low</t>
        </is>
      </c>
      <c r="V1099" s="5" t="n">
        <v>5.4</v>
      </c>
      <c r="W1099" s="2" t="inlineStr">
        <is>
          <t>low</t>
        </is>
      </c>
      <c r="X1099" s="3" t="inlineStr"/>
      <c r="Y1099" s="3" t="inlineStr">
        <is>
          <t>85% of this dish's available carbohydrate comes from ingredients with a published, measured GI; the rest uses conventional placeholders (see Ingredients sheet)</t>
        </is>
      </c>
      <c r="Z1099" s="2" t="n">
        <v>85</v>
      </c>
      <c r="AA1099" s="3" t="inlineStr">
        <is>
          <t>vegan, gluten-free, dairy-free, no-cook</t>
        </is>
      </c>
      <c r="AB1099" s="3" t="inlineStr">
        <is>
          <t>1. Slice the apple.
2. Serve with peanut butter and a dusting of cinnamon.</t>
        </is>
      </c>
      <c r="AC1099" s="4" t="inlineStr">
        <is>
          <t>["Slice the apple.", "Serve with peanut butter and a dusting of cinnamon."]</t>
        </is>
      </c>
    </row>
    <row r="1100" ht="96" customHeight="1">
      <c r="A1100" s="2" t="inlineStr">
        <is>
          <t>DB-1099</t>
        </is>
      </c>
      <c r="B1100" s="3" t="inlineStr">
        <is>
          <t>Flourless Peanut Butter Cookies</t>
        </is>
      </c>
      <c r="C1100" s="4" t="inlineStr">
        <is>
          <t>Dessert</t>
        </is>
      </c>
      <c r="D1100" s="4" t="inlineStr">
        <is>
          <t>American</t>
        </is>
      </c>
      <c r="E1100" s="2" t="n">
        <v>10</v>
      </c>
      <c r="F1100" s="2" t="n">
        <v>10</v>
      </c>
      <c r="G1100" s="2" t="n">
        <v>12</v>
      </c>
      <c r="H1100" s="2" t="n">
        <v>22</v>
      </c>
      <c r="I1100" s="4" t="inlineStr">
        <is>
          <t>flourless-peanut-butter-cookies.jpg</t>
        </is>
      </c>
      <c r="J1100" s="3" t="inlineStr">
        <is>
          <t>Flourless Peanut Butter Cookies, healthy food photography, plated, natural light</t>
        </is>
      </c>
      <c r="K1100" s="4" t="inlineStr"/>
      <c r="L1100" s="3" t="inlineStr">
        <is>
          <t>Peanut butter, natural — 250 g (8.8 oz)
Egg, large (50 g each) — 50 g (1.8 oz)
Monk fruit/erythritol sweetener — 40 g (1.4 oz)
Vanilla extract — 5 g (0.2 oz)
Baking soda — 2 g (0.1 oz)
Salt — 1 g (0.0 oz)</t>
        </is>
      </c>
      <c r="M1100" s="4" t="inlineStr">
        <is>
          <t>[{"ingredient_id": "peanut_butter", "name": "Peanut butter, natural", "grams": 250.0, "note": ""}, {"ingredient_id": "egg", "name": "Egg, large (50 g each)", "grams": 50.0, "note": ""}, {"ingredient_id": "monk_fruit_sweetener", "name": "Monk fruit/erythritol sweetener", "grams": 40.0, "note": ""}, {"ingredient_id": "vanilla_extract", "name": "Vanilla extract", "grams": 5.0, "note": ""}, {"ingredient_id": "baking_soda", "name": "Baking soda", "grams": 2.0, "note": ""}, {"ingredient_id": "salt", "name": "Salt", "grams": 1.0, "note": ""}]</t>
        </is>
      </c>
      <c r="N1100" s="2" t="n">
        <v>156</v>
      </c>
      <c r="O1100" s="5" t="n">
        <v>6.9</v>
      </c>
      <c r="P1100" s="5" t="n">
        <v>13</v>
      </c>
      <c r="Q1100" s="5" t="n">
        <v>5.1</v>
      </c>
      <c r="R1100" s="5" t="n">
        <v>1.5</v>
      </c>
      <c r="S1100" s="5" t="n">
        <v>3.6</v>
      </c>
      <c r="T1100" s="2" t="n">
        <v>14</v>
      </c>
      <c r="U1100" s="2" t="inlineStr">
        <is>
          <t>low</t>
        </is>
      </c>
      <c r="V1100" s="5" t="n">
        <v>0.5</v>
      </c>
      <c r="W1100" s="2" t="inlineStr">
        <is>
          <t>low</t>
        </is>
      </c>
      <c r="X1100" s="3" t="inlineStr">
        <is>
          <t>Negligible carbohydrate (&lt;5 g net/serving): GI has little practical meaning, glycemic load is what matters.</t>
        </is>
      </c>
      <c r="Y1100" s="3" t="inlineStr">
        <is>
          <t>0% of this dish's available carbohydrate comes from ingredients with a published, measured GI; the rest uses conventional placeholders (see Ingredients sheet)</t>
        </is>
      </c>
      <c r="Z1100" s="2" t="n">
        <v>0</v>
      </c>
      <c r="AA1100" s="3" t="inlineStr">
        <is>
          <t>vegetarian, gluten-free, dairy-free, low-carb</t>
        </is>
      </c>
      <c r="AB1100" s="3" t="inlineStr">
        <is>
          <t>1. Heat the oven to 350°F.
2. Mix everything into a dough.
3. Scoop ten small balls and flatten with a fork.
4. Bake 10 to 12 minutes.</t>
        </is>
      </c>
      <c r="AC1100" s="4" t="inlineStr">
        <is>
          <t>["Heat the oven to 350°F.", "Mix everything into a dough.", "Scoop ten small balls and flatten with a fork.", "Bake 10 to 12 minutes."]</t>
        </is>
      </c>
    </row>
    <row r="1101" ht="96" customHeight="1">
      <c r="A1101" s="2" t="inlineStr">
        <is>
          <t>DB-1100</t>
        </is>
      </c>
      <c r="B1101" s="3" t="inlineStr">
        <is>
          <t>Dark Chocolate Avocado Mousse</t>
        </is>
      </c>
      <c r="C1101" s="4" t="inlineStr">
        <is>
          <t>Dessert</t>
        </is>
      </c>
      <c r="D1101" s="4" t="inlineStr">
        <is>
          <t>American</t>
        </is>
      </c>
      <c r="E1101" s="2" t="n">
        <v>4</v>
      </c>
      <c r="F1101" s="2" t="n">
        <v>10</v>
      </c>
      <c r="G1101" s="2" t="n">
        <v>0</v>
      </c>
      <c r="H1101" s="2" t="n">
        <v>10</v>
      </c>
      <c r="I1101" s="4" t="inlineStr">
        <is>
          <t>dark-chocolate-avocado-mousse.jpg</t>
        </is>
      </c>
      <c r="J1101" s="3" t="inlineStr">
        <is>
          <t>Dark Chocolate Avocado Mousse, healthy food photography, plated, natural light</t>
        </is>
      </c>
      <c r="K1101" s="4" t="inlineStr"/>
      <c r="L1101" s="3" t="inlineStr">
        <is>
          <t>Avocado — 200 g (7.1 oz)
Cocoa powder, unsweetened — 25 g (0.9 oz)
Almond milk, unsweetened — 100 g (3.5 oz)
Vanilla extract — 4 g (0.1 oz)
Monk fruit/erythritol sweetener — 20 g (0.7 oz)
Raspberries — 80 g (2.8 oz)</t>
        </is>
      </c>
      <c r="M1101" s="4" t="inlineStr">
        <is>
          <t>[{"ingredient_id": "avocado", "name": "Avocado", "grams": 200.0, "note": ""}, {"ingredient_id": "cocoa_powder", "name": "Cocoa powder, unsweetened", "grams": 25.0, "note": ""}, {"ingredient_id": "almond_milk", "name": "Almond milk, unsweetened", "grams": 100.0, "note": ""}, {"ingredient_id": "vanilla_extract", "name": "Vanilla extract", "grams": 4.0, "note": ""}, {"ingredient_id": "monk_fruit_sweetener", "name": "Monk fruit/erythritol sweetener", "grams": 20.0, "note": ""}, {"ingredient_id": "raspberries", "name": "Raspberries", "grams": 80.0, "note": ""}]</t>
        </is>
      </c>
      <c r="N1101" s="2" t="n">
        <v>111</v>
      </c>
      <c r="O1101" s="5" t="n">
        <v>2.6</v>
      </c>
      <c r="P1101" s="5" t="n">
        <v>8.800000000000001</v>
      </c>
      <c r="Q1101" s="5" t="n">
        <v>10.6</v>
      </c>
      <c r="R1101" s="5" t="n">
        <v>6.7</v>
      </c>
      <c r="S1101" s="5" t="n">
        <v>3.8</v>
      </c>
      <c r="T1101" s="2" t="n">
        <v>22</v>
      </c>
      <c r="U1101" s="2" t="inlineStr">
        <is>
          <t>low</t>
        </is>
      </c>
      <c r="V1101" s="5" t="n">
        <v>0.8</v>
      </c>
      <c r="W1101" s="2" t="inlineStr">
        <is>
          <t>low</t>
        </is>
      </c>
      <c r="X1101" s="3" t="inlineStr">
        <is>
          <t>Negligible carbohydrate (&lt;5 g net/serving): GI has little practical meaning, glycemic load is what matters.</t>
        </is>
      </c>
      <c r="Y1101" s="3" t="inlineStr">
        <is>
          <t>0% of this dish's available carbohydrate comes from ingredients with a published, measured GI; the rest uses conventional placeholders (see Ingredients sheet)</t>
        </is>
      </c>
      <c r="Z1101" s="2" t="n">
        <v>0</v>
      </c>
      <c r="AA1101" s="3" t="inlineStr">
        <is>
          <t>vegan, gluten-free, dairy-free, low-carb, no-cook</t>
        </is>
      </c>
      <c r="AB1101" s="3" t="inlineStr">
        <is>
          <t>1. Blend the avocado, cocoa, almond milk, vanilla and sweetener until silky.
2. Chill 1 hour.
3. Serve with raspberries.</t>
        </is>
      </c>
      <c r="AC1101" s="4" t="inlineStr">
        <is>
          <t>["Blend the avocado, cocoa, almond milk, vanilla and sweetener until silky.", "Chill 1 hour.", "Serve with raspberries."]</t>
        </is>
      </c>
    </row>
    <row r="1102" ht="96" customHeight="1">
      <c r="A1102" s="2" t="inlineStr">
        <is>
          <t>DB-1101</t>
        </is>
      </c>
      <c r="B1102" s="3" t="inlineStr">
        <is>
          <t>Baked Cinnamon Apples</t>
        </is>
      </c>
      <c r="C1102" s="4" t="inlineStr">
        <is>
          <t>Dessert</t>
        </is>
      </c>
      <c r="D1102" s="4" t="inlineStr">
        <is>
          <t>American</t>
        </is>
      </c>
      <c r="E1102" s="2" t="n">
        <v>4</v>
      </c>
      <c r="F1102" s="2" t="n">
        <v>10</v>
      </c>
      <c r="G1102" s="2" t="n">
        <v>30</v>
      </c>
      <c r="H1102" s="2" t="n">
        <v>40</v>
      </c>
      <c r="I1102" s="4" t="inlineStr">
        <is>
          <t>baked-cinnamon-apples.jpg</t>
        </is>
      </c>
      <c r="J1102" s="3" t="inlineStr">
        <is>
          <t>Baked Cinnamon Apples, healthy food photography, plated, natural light</t>
        </is>
      </c>
      <c r="K1102" s="4" t="inlineStr"/>
      <c r="L1102" s="3" t="inlineStr">
        <is>
          <t>Apple — 600 g (21.2 oz)
Walnuts — 40 g (1.4 oz)
Ground cinnamon — 4 g (0.1 oz)
Butter — 15 g (0.5 oz)
Rolled oats, dry — 30 g (1.1 oz)
Water / ice — 60 g (2.1 oz)</t>
        </is>
      </c>
      <c r="M1102" s="4" t="inlineStr">
        <is>
          <t>[{"ingredient_id": "apple", "name": "Apple", "grams": 600.0, "note": ""}, {"ingredient_id": "walnuts", "name": "Walnuts", "grams": 40.0, "note": ""}, {"ingredient_id": "cinnamon", "name": "Ground cinnamon", "grams": 4.0, "note": ""}, {"ingredient_id": "butter", "name": "Butter", "grams": 15.0, "note": ""}, {"ingredient_id": "rolled_oats", "name": "Rolled oats, dry", "grams": 30.0, "note": ""}, {"ingredient_id": "water", "name": "Water / ice", "grams": 60.0, "note": ""}]</t>
        </is>
      </c>
      <c r="N1102" s="2" t="n">
        <v>201</v>
      </c>
      <c r="O1102" s="5" t="n">
        <v>3</v>
      </c>
      <c r="P1102" s="5" t="n">
        <v>10.3</v>
      </c>
      <c r="Q1102" s="5" t="n">
        <v>28.3</v>
      </c>
      <c r="R1102" s="5" t="n">
        <v>5.5</v>
      </c>
      <c r="S1102" s="5" t="n">
        <v>22.8</v>
      </c>
      <c r="T1102" s="2" t="n">
        <v>39</v>
      </c>
      <c r="U1102" s="2" t="inlineStr">
        <is>
          <t>low</t>
        </is>
      </c>
      <c r="V1102" s="5" t="n">
        <v>8.9</v>
      </c>
      <c r="W1102" s="2" t="inlineStr">
        <is>
          <t>low</t>
        </is>
      </c>
      <c r="X1102" s="3" t="inlineStr"/>
      <c r="Y1102" s="3" t="inlineStr">
        <is>
          <t>96% of this dish's available carbohydrate comes from ingredients with a published, measured GI; the rest uses conventional placeholders (see Ingredients sheet)</t>
        </is>
      </c>
      <c r="Z1102" s="2" t="n">
        <v>96</v>
      </c>
      <c r="AA1102" s="3" t="inlineStr">
        <is>
          <t>vegetarian</t>
        </is>
      </c>
      <c r="AB1102" s="3" t="inlineStr">
        <is>
          <t>1. Heat the oven to 375°F.
2. Core the apples and fill with oats, walnuts, cinnamon and butter.
3. Add water to the dish and bake 30 minutes.</t>
        </is>
      </c>
      <c r="AC1102" s="4" t="inlineStr">
        <is>
          <t>["Heat the oven to 375°F.", "Core the apples and fill with oats, walnuts, cinnamon and butter.", "Add water to the dish and bake 30 minutes."]</t>
        </is>
      </c>
    </row>
    <row r="1103" ht="96" customHeight="1">
      <c r="A1103" s="2" t="inlineStr">
        <is>
          <t>DB-1102</t>
        </is>
      </c>
      <c r="B1103" s="3" t="inlineStr">
        <is>
          <t>Greek Yogurt Berry Bark</t>
        </is>
      </c>
      <c r="C1103" s="4" t="inlineStr">
        <is>
          <t>Dessert</t>
        </is>
      </c>
      <c r="D1103" s="4" t="inlineStr">
        <is>
          <t>American</t>
        </is>
      </c>
      <c r="E1103" s="2" t="n">
        <v>6</v>
      </c>
      <c r="F1103" s="2" t="n">
        <v>10</v>
      </c>
      <c r="G1103" s="2" t="n">
        <v>0</v>
      </c>
      <c r="H1103" s="2" t="n">
        <v>10</v>
      </c>
      <c r="I1103" s="4" t="inlineStr">
        <is>
          <t>greek-yogurt-berry-bark.jpg</t>
        </is>
      </c>
      <c r="J1103" s="3" t="inlineStr">
        <is>
          <t>Greek Yogurt Berry Bark, healthy food photography, plated, natural light</t>
        </is>
      </c>
      <c r="K1103" s="4" t="inlineStr"/>
      <c r="L1103" s="3" t="inlineStr">
        <is>
          <t>Greek yogurt, plain 2% — 450 g (15.9 oz)
Mixed berries, frozen — 100 g (3.5 oz)
Pistachios, shelled — 25 g (0.9 oz)
Stevia-sweetened dark chocolate chips — 20 g (0.7 oz)
Vanilla extract — 3 g (0.1 oz)</t>
        </is>
      </c>
      <c r="M1103" s="4" t="inlineStr">
        <is>
          <t>[{"ingredient_id": "greek_yogurt", "name": "Greek yogurt, plain 2%", "grams": 450.0, "note": ""}, {"ingredient_id": "mixed_berries", "name": "Mixed berries, frozen", "grams": 100.0, "note": ""}, {"ingredient_id": "pistachios", "name": "Pistachios, shelled", "grams": 25.0, "note": ""}, {"ingredient_id": "sugar_free_chocolate_chips", "name": "Stevia-sweetened dark chocolate chips", "grams": 20.0, "note": ""}, {"ingredient_id": "vanilla_extract", "name": "Vanilla extract", "grams": 3.0, "note": ""}]</t>
        </is>
      </c>
      <c r="N1103" s="2" t="n">
        <v>103</v>
      </c>
      <c r="O1103" s="5" t="n">
        <v>8.699999999999999</v>
      </c>
      <c r="P1103" s="5" t="n">
        <v>4.8</v>
      </c>
      <c r="Q1103" s="5" t="n">
        <v>6.7</v>
      </c>
      <c r="R1103" s="5" t="n">
        <v>1.5</v>
      </c>
      <c r="S1103" s="5" t="n">
        <v>5.2</v>
      </c>
      <c r="T1103" s="2" t="n">
        <v>20</v>
      </c>
      <c r="U1103" s="2" t="inlineStr">
        <is>
          <t>low</t>
        </is>
      </c>
      <c r="V1103" s="5" t="n">
        <v>1</v>
      </c>
      <c r="W1103" s="2" t="inlineStr">
        <is>
          <t>low</t>
        </is>
      </c>
      <c r="X1103" s="3" t="inlineStr"/>
      <c r="Y1103" s="3" t="inlineStr">
        <is>
          <t>76% of this dish's available carbohydrate comes from ingredients with a published, measured GI; the rest uses conventional placeholders (see Ingredients sheet)</t>
        </is>
      </c>
      <c r="Z1103" s="2" t="n">
        <v>76</v>
      </c>
      <c r="AA1103" s="3" t="inlineStr">
        <is>
          <t>vegetarian, gluten-free, low-carb, no-cook</t>
        </is>
      </c>
      <c r="AB1103" s="3" t="inlineStr">
        <is>
          <t>1. Spread the vanilla-stirred yogurt on a lined tray.
2. Scatter with berries, pistachios and chocolate.
3. Freeze 3 hours and break into pieces.</t>
        </is>
      </c>
      <c r="AC1103" s="4" t="inlineStr">
        <is>
          <t>["Spread the vanilla-stirred yogurt on a lined tray.", "Scatter with berries, pistachios and chocolate.", "Freeze 3 hours and break into pieces."]</t>
        </is>
      </c>
    </row>
    <row r="1104" ht="96" customHeight="1">
      <c r="A1104" s="2" t="inlineStr">
        <is>
          <t>DB-1103</t>
        </is>
      </c>
      <c r="B1104" s="3" t="inlineStr">
        <is>
          <t>Pumpkin Pie Chia Pudding</t>
        </is>
      </c>
      <c r="C1104" s="4" t="inlineStr">
        <is>
          <t>Dessert</t>
        </is>
      </c>
      <c r="D1104" s="4" t="inlineStr">
        <is>
          <t>American</t>
        </is>
      </c>
      <c r="E1104" s="2" t="n">
        <v>3</v>
      </c>
      <c r="F1104" s="2" t="n">
        <v>5</v>
      </c>
      <c r="G1104" s="2" t="n">
        <v>0</v>
      </c>
      <c r="H1104" s="2" t="n">
        <v>5</v>
      </c>
      <c r="I1104" s="4" t="inlineStr">
        <is>
          <t>pumpkin-pie-chia-pudding.jpg</t>
        </is>
      </c>
      <c r="J1104" s="3" t="inlineStr">
        <is>
          <t>Pumpkin Pie Chia Pudding, healthy food photography, plated, natural light</t>
        </is>
      </c>
      <c r="K1104" s="4" t="inlineStr"/>
      <c r="L1104" s="3" t="inlineStr">
        <is>
          <t>Pumpkin puree, canned — 150 g (5.3 oz)
Chia seeds — 30 g (1.1 oz)
Almond milk, unsweetened — 250 g (8.8 oz)
Pumpkin pie spice — 3 g (0.1 oz)
Vanilla extract — 3 g (0.1 oz)
Monk fruit/erythritol sweetener — 8 g (0.3 oz)</t>
        </is>
      </c>
      <c r="M1104" s="4" t="inlineStr">
        <is>
          <t>[{"ingredient_id": "pumpkin_puree", "name": "Pumpkin puree, canned", "grams": 150.0, "note": ""}, {"ingredient_id": "chia_seeds", "name": "Chia seeds", "grams": 30.0, "note": ""}, {"ingredient_id": "almond_milk", "name": "Almond milk, unsweetened", "grams": 250.0, "note": ""}, {"ingredient_id": "pumpkin_pie_spice", "name": "Pumpkin pie spice", "grams": 3.0, "note": ""}, {"ingredient_id": "vanilla_extract", "name": "Vanilla extract", "grams": 3.0, "note": ""}, {"ingredient_id": "monk_fruit_sweetener", "name": "Monk fruit/erythritol sweetener", "grams": 8.0, "note": ""}]</t>
        </is>
      </c>
      <c r="N1104" s="2" t="n">
        <v>84</v>
      </c>
      <c r="O1104" s="5" t="n">
        <v>2.8</v>
      </c>
      <c r="P1104" s="5" t="n">
        <v>4.2</v>
      </c>
      <c r="Q1104" s="5" t="n">
        <v>9.6</v>
      </c>
      <c r="R1104" s="5" t="n">
        <v>5.1</v>
      </c>
      <c r="S1104" s="5" t="n">
        <v>4.4</v>
      </c>
      <c r="T1104" s="2" t="n">
        <v>50</v>
      </c>
      <c r="U1104" s="2" t="inlineStr">
        <is>
          <t>low</t>
        </is>
      </c>
      <c r="V1104" s="5" t="n">
        <v>2.2</v>
      </c>
      <c r="W1104" s="2" t="inlineStr">
        <is>
          <t>low</t>
        </is>
      </c>
      <c r="X1104" s="3" t="inlineStr">
        <is>
          <t>Negligible carbohydrate (&lt;5 g net/serving): GI has little practical meaning, glycemic load is what matters.</t>
        </is>
      </c>
      <c r="Y1104" s="3" t="inlineStr">
        <is>
          <t>57% of this dish's available carbohydrate comes from ingredients with a published, measured GI; the rest uses conventional placeholders (see Ingredients sheet)</t>
        </is>
      </c>
      <c r="Z1104" s="2" t="n">
        <v>57</v>
      </c>
      <c r="AA1104" s="3" t="inlineStr">
        <is>
          <t>vegan, gluten-free, dairy-free, low-carb, no-cook, meal-prep</t>
        </is>
      </c>
      <c r="AB1104" s="3" t="inlineStr">
        <is>
          <t>1. Whisk everything together.
2. Refrigerate at least 4 hours.
3. Stir and serve cold.</t>
        </is>
      </c>
      <c r="AC1104" s="4" t="inlineStr">
        <is>
          <t>["Whisk everything together.", "Refrigerate at least 4 hours.", "Stir and serve cold."]</t>
        </is>
      </c>
    </row>
    <row r="1105" ht="96" customHeight="1">
      <c r="A1105" s="2" t="inlineStr">
        <is>
          <t>DB-1104</t>
        </is>
      </c>
      <c r="B1105" s="3" t="inlineStr">
        <is>
          <t>Almond Flour Blueberry Muffins</t>
        </is>
      </c>
      <c r="C1105" s="4" t="inlineStr">
        <is>
          <t>Dessert</t>
        </is>
      </c>
      <c r="D1105" s="4" t="inlineStr">
        <is>
          <t>American</t>
        </is>
      </c>
      <c r="E1105" s="2" t="n">
        <v>8</v>
      </c>
      <c r="F1105" s="2" t="n">
        <v>10</v>
      </c>
      <c r="G1105" s="2" t="n">
        <v>22</v>
      </c>
      <c r="H1105" s="2" t="n">
        <v>32</v>
      </c>
      <c r="I1105" s="4" t="inlineStr">
        <is>
          <t>almond-flour-blueberry-muffins.jpg</t>
        </is>
      </c>
      <c r="J1105" s="3" t="inlineStr">
        <is>
          <t>Almond Flour Blueberry Muffins, healthy food photography, plated, natural light</t>
        </is>
      </c>
      <c r="K1105" s="4" t="inlineStr"/>
      <c r="L1105" s="3" t="inlineStr">
        <is>
          <t>Almond flour — 200 g (7.1 oz)
Egg, large (50 g each) — 150 g (5.3 oz)
Blueberries — 120 g (4.2 oz)
Greek yogurt, plain 2% — 100 g (3.5 oz)
Baking powder — 6 g (0.2 oz)
Vanilla extract — 5 g (0.2 oz)
Monk fruit/erythritol sweetener — 30 g (1.1 oz)
Butter — 30 g (1.1 oz)</t>
        </is>
      </c>
      <c r="M1105" s="4" t="inlineStr">
        <is>
          <t>[{"ingredient_id": "almond_flour", "name": "Almond flour", "grams": 200.0, "note": ""}, {"ingredient_id": "egg", "name": "Egg, large (50 g each)", "grams": 150.0, "note": ""}, {"ingredient_id": "blueberries", "name": "Blueberries", "grams": 120.0, "note": ""}, {"ingredient_id": "greek_yogurt", "name": "Greek yogurt, plain 2%", "grams": 100.0, "note": ""}, {"ingredient_id": "baking_powder", "name": "Baking powder", "grams": 6.0, "note": ""}, {"ingredient_id": "vanilla_extract", "name": "Vanilla extract", "grams": 5.0, "note": ""}, {"ingredient_id": "monk_fruit_sweetener", "name": "Monk fruit/erythritol sweetener", "grams": 30.0, "note": ""}, {"ingredient_id": "butter", "name": "Butter", "grams": 30.0, "note": ""}]</t>
        </is>
      </c>
      <c r="N1105" s="2" t="n">
        <v>221</v>
      </c>
      <c r="O1105" s="5" t="n">
        <v>9</v>
      </c>
      <c r="P1105" s="5" t="n">
        <v>17.6</v>
      </c>
      <c r="Q1105" s="5" t="n">
        <v>8.300000000000001</v>
      </c>
      <c r="R1105" s="5" t="n">
        <v>3.4</v>
      </c>
      <c r="S1105" s="5" t="n">
        <v>5</v>
      </c>
      <c r="T1105" s="2" t="n">
        <v>27</v>
      </c>
      <c r="U1105" s="2" t="inlineStr">
        <is>
          <t>low</t>
        </is>
      </c>
      <c r="V1105" s="5" t="n">
        <v>1.3</v>
      </c>
      <c r="W1105" s="2" t="inlineStr">
        <is>
          <t>low</t>
        </is>
      </c>
      <c r="X1105" s="3" t="inlineStr">
        <is>
          <t>Negligible carbohydrate (&lt;5 g net/serving): GI has little practical meaning, glycemic load is what matters.</t>
        </is>
      </c>
      <c r="Y1105" s="3" t="inlineStr">
        <is>
          <t>46% of this dish's available carbohydrate comes from ingredients with a published, measured GI; the rest uses conventional placeholders (see Ingredients sheet)</t>
        </is>
      </c>
      <c r="Z1105" s="2" t="n">
        <v>46</v>
      </c>
      <c r="AA1105" s="3" t="inlineStr">
        <is>
          <t>vegetarian, gluten-free, low-carb</t>
        </is>
      </c>
      <c r="AB1105" s="3" t="inlineStr">
        <is>
          <t>1. Heat the oven to 350°F and line eight muffin cups.
2. Whisk the almond flour, baking powder and sweetener.
3. Mix in eggs, yogurt, melted butter and vanilla, then fold in the blueberries.
4. Bake 20 to 22 minutes.</t>
        </is>
      </c>
      <c r="AC1105" s="4" t="inlineStr">
        <is>
          <t>["Heat the oven to 350°F and line eight muffin cups.", "Whisk the almond flour, baking powder and sweetener.", "Mix in eggs, yogurt, melted butter and vanilla, then fold in the blueberries.", "Bake 20 to 22 minutes."]</t>
        </is>
      </c>
    </row>
    <row r="1106" ht="96" customHeight="1">
      <c r="A1106" s="2" t="inlineStr">
        <is>
          <t>DB-1105</t>
        </is>
      </c>
      <c r="B1106" s="3" t="inlineStr">
        <is>
          <t>Sugar-Free Chocolate Dipped Strawberries</t>
        </is>
      </c>
      <c r="C1106" s="4" t="inlineStr">
        <is>
          <t>Dessert</t>
        </is>
      </c>
      <c r="D1106" s="4" t="inlineStr">
        <is>
          <t>American</t>
        </is>
      </c>
      <c r="E1106" s="2" t="n">
        <v>4</v>
      </c>
      <c r="F1106" s="2" t="n">
        <v>10</v>
      </c>
      <c r="G1106" s="2" t="n">
        <v>3</v>
      </c>
      <c r="H1106" s="2" t="n">
        <v>13</v>
      </c>
      <c r="I1106" s="4" t="inlineStr">
        <is>
          <t>sugar-free-chocolate-dipped-strawberries.jpg</t>
        </is>
      </c>
      <c r="J1106" s="3" t="inlineStr">
        <is>
          <t>Sugar-Free Chocolate Dipped Strawberries, healthy food photography, plated, natural light</t>
        </is>
      </c>
      <c r="K1106" s="4" t="inlineStr"/>
      <c r="L1106" s="3" t="inlineStr">
        <is>
          <t>Strawberries — 300 g (10.6 oz)
Stevia-sweetened dark chocolate chips — 60 g (2.1 oz)
Coconut oil — 5 g (0.2 oz)</t>
        </is>
      </c>
      <c r="M1106" s="4" t="inlineStr">
        <is>
          <t>[{"ingredient_id": "strawberries", "name": "Strawberries", "grams": 300.0, "note": ""}, {"ingredient_id": "sugar_free_chocolate_chips", "name": "Stevia-sweetened dark chocolate chips", "grams": 60.0, "note": ""}, {"ingredient_id": "coconut_oil", "name": "Coconut oil", "grams": 5.0, "note": ""}]</t>
        </is>
      </c>
      <c r="N1106" s="2" t="n">
        <v>105</v>
      </c>
      <c r="O1106" s="5" t="n">
        <v>1.4</v>
      </c>
      <c r="P1106" s="5" t="n">
        <v>7.8</v>
      </c>
      <c r="Q1106" s="5" t="n">
        <v>8.800000000000001</v>
      </c>
      <c r="R1106" s="5" t="n">
        <v>3.3</v>
      </c>
      <c r="S1106" s="5" t="n">
        <v>5.5</v>
      </c>
      <c r="T1106" s="2" t="n">
        <v>36</v>
      </c>
      <c r="U1106" s="2" t="inlineStr">
        <is>
          <t>low</t>
        </is>
      </c>
      <c r="V1106" s="5" t="n">
        <v>2</v>
      </c>
      <c r="W1106" s="2" t="inlineStr">
        <is>
          <t>low</t>
        </is>
      </c>
      <c r="X1106" s="3" t="inlineStr"/>
      <c r="Y1106" s="3" t="inlineStr">
        <is>
          <t>100% of this dish's available carbohydrate comes from ingredients with a published, measured GI; the rest uses conventional placeholders (see Ingredients sheet)</t>
        </is>
      </c>
      <c r="Z1106" s="2" t="n">
        <v>100</v>
      </c>
      <c r="AA1106" s="3" t="inlineStr">
        <is>
          <t>vegan, gluten-free, dairy-free, nut-free, low-carb</t>
        </is>
      </c>
      <c r="AB1106" s="3" t="inlineStr">
        <is>
          <t>1. Melt the chocolate with the coconut oil.
2. Dip the dry strawberries.
3. Set on parchment in the fridge for 15 minutes.</t>
        </is>
      </c>
      <c r="AC1106" s="4" t="inlineStr">
        <is>
          <t>["Melt the chocolate with the coconut oil.", "Dip the dry strawberries.", "Set on parchment in the fridge for 15 minutes."]</t>
        </is>
      </c>
    </row>
    <row r="1107" ht="96" customHeight="1">
      <c r="A1107" s="2" t="inlineStr">
        <is>
          <t>DB-1106</t>
        </is>
      </c>
      <c r="B1107" s="3" t="inlineStr">
        <is>
          <t>Green Smoothie with Spinach and Pineapple</t>
        </is>
      </c>
      <c r="C1107" s="4" t="inlineStr">
        <is>
          <t>Drinks &amp; Smoothies</t>
        </is>
      </c>
      <c r="D1107" s="4" t="inlineStr">
        <is>
          <t>American</t>
        </is>
      </c>
      <c r="E1107" s="2" t="n">
        <v>2</v>
      </c>
      <c r="F1107" s="2" t="n">
        <v>5</v>
      </c>
      <c r="G1107" s="2" t="n">
        <v>0</v>
      </c>
      <c r="H1107" s="2" t="n">
        <v>5</v>
      </c>
      <c r="I1107" s="4" t="inlineStr">
        <is>
          <t>green-smoothie-with-spinach-and-pineapple.jpg</t>
        </is>
      </c>
      <c r="J1107" s="3" t="inlineStr">
        <is>
          <t>Green Smoothie with Spinach and Pineapple, healthy food photography, plated, natural light</t>
        </is>
      </c>
      <c r="K1107" s="4" t="inlineStr"/>
      <c r="L1107" s="3" t="inlineStr">
        <is>
          <t>Spinach — 60 g (2.1 oz)
Pineapple — 100 g (3.5 oz)
Greek yogurt, plain 2% — 200 g (7.1 oz)
Almond milk, unsweetened — 200 g (7.1 oz)
Chia seeds — 10 g (0.4 oz)
Lime juice — 10 g (0.4 oz)</t>
        </is>
      </c>
      <c r="M1107" s="4" t="inlineStr">
        <is>
          <t>[{"ingredient_id": "spinach", "name": "Spinach", "grams": 60.0, "note": ""}, {"ingredient_id": "pineapple", "name": "Pineapple", "grams": 100.0, "note": ""}, {"ingredient_id": "greek_yogurt", "name": "Greek yogurt, plain 2%", "grams": 200.0, "note": ""}, {"ingredient_id": "almond_milk", "name": "Almond milk, unsweetened", "grams": 200.0, "note": ""}, {"ingredient_id": "chia_seeds", "name": "Chia seeds", "grams": 10.0, "note": ""}, {"ingredient_id": "lime_juice", "name": "Lime juice", "grams": 10.0, "note": ""}]</t>
        </is>
      </c>
      <c r="N1107" s="2" t="n">
        <v>145</v>
      </c>
      <c r="O1107" s="5" t="n">
        <v>12.6</v>
      </c>
      <c r="P1107" s="5" t="n">
        <v>4.9</v>
      </c>
      <c r="Q1107" s="5" t="n">
        <v>14.7</v>
      </c>
      <c r="R1107" s="5" t="n">
        <v>3.1</v>
      </c>
      <c r="S1107" s="5" t="n">
        <v>11.6</v>
      </c>
      <c r="T1107" s="2" t="n">
        <v>42</v>
      </c>
      <c r="U1107" s="2" t="inlineStr">
        <is>
          <t>low</t>
        </is>
      </c>
      <c r="V1107" s="5" t="n">
        <v>4.9</v>
      </c>
      <c r="W1107" s="2" t="inlineStr">
        <is>
          <t>low</t>
        </is>
      </c>
      <c r="X1107" s="3" t="inlineStr"/>
      <c r="Y1107" s="3" t="inlineStr">
        <is>
          <t>84% of this dish's available carbohydrate comes from ingredients with a published, measured GI; the rest uses conventional placeholders (see Ingredients sheet)</t>
        </is>
      </c>
      <c r="Z1107" s="2" t="n">
        <v>84</v>
      </c>
      <c r="AA1107" s="3" t="inlineStr">
        <is>
          <t>vegetarian, gluten-free, low-carb, no-cook</t>
        </is>
      </c>
      <c r="AB1107" s="3" t="inlineStr">
        <is>
          <t>1. Blend everything until smooth.
2. Serve cold.</t>
        </is>
      </c>
      <c r="AC1107" s="4" t="inlineStr">
        <is>
          <t>["Blend everything until smooth.", "Serve cold."]</t>
        </is>
      </c>
    </row>
    <row r="1108" ht="96" customHeight="1">
      <c r="A1108" s="2" t="inlineStr">
        <is>
          <t>DB-1107</t>
        </is>
      </c>
      <c r="B1108" s="3" t="inlineStr">
        <is>
          <t>Peanut Butter Chocolate Protein Shake</t>
        </is>
      </c>
      <c r="C1108" s="4" t="inlineStr">
        <is>
          <t>Drinks &amp; Smoothies</t>
        </is>
      </c>
      <c r="D1108" s="4" t="inlineStr">
        <is>
          <t>American</t>
        </is>
      </c>
      <c r="E1108" s="2" t="n">
        <v>1</v>
      </c>
      <c r="F1108" s="2" t="n">
        <v>3</v>
      </c>
      <c r="G1108" s="2" t="n">
        <v>0</v>
      </c>
      <c r="H1108" s="2" t="n">
        <v>3</v>
      </c>
      <c r="I1108" s="4" t="inlineStr">
        <is>
          <t>peanut-butter-chocolate-protein-shake.jpg</t>
        </is>
      </c>
      <c r="J1108" s="3" t="inlineStr">
        <is>
          <t>Peanut Butter Chocolate Protein Shake, healthy food photography, plated, natural light</t>
        </is>
      </c>
      <c r="K1108" s="4" t="inlineStr"/>
      <c r="L1108" s="3" t="inlineStr">
        <is>
          <t>Whey protein powder, unsweetened — 30 g (1.1 oz)
Almond milk, unsweetened — 250 g (8.8 oz)
Peanut butter, natural — 16 g (0.6 oz)
Cocoa powder, unsweetened — 8 g (0.3 oz)
Water / ice — 60 g (2.1 oz)</t>
        </is>
      </c>
      <c r="M1108" s="4" t="inlineStr">
        <is>
          <t>[{"ingredient_id": "whey_protein", "name": "Whey protein powder, unsweetened", "grams": 30.0, "note": ""}, {"ingredient_id": "almond_milk", "name": "Almond milk, unsweetened", "grams": 250.0, "note": ""}, {"ingredient_id": "peanut_butter", "name": "Peanut butter, natural", "grams": 16.0, "note": ""}, {"ingredient_id": "cocoa_powder", "name": "Cocoa powder, unsweetened", "grams": 8.0, "note": ""}, {"ingredient_id": "water", "name": "Water / ice", "grams": 60.0, "note": ""}]</t>
        </is>
      </c>
      <c r="N1108" s="2" t="n">
        <v>264</v>
      </c>
      <c r="O1108" s="5" t="n">
        <v>30.5</v>
      </c>
      <c r="P1108" s="5" t="n">
        <v>13.6</v>
      </c>
      <c r="Q1108" s="5" t="n">
        <v>11.7</v>
      </c>
      <c r="R1108" s="5" t="n">
        <v>3.9</v>
      </c>
      <c r="S1108" s="5" t="n">
        <v>7.8</v>
      </c>
      <c r="T1108" s="2" t="n">
        <v>22</v>
      </c>
      <c r="U1108" s="2" t="inlineStr">
        <is>
          <t>low</t>
        </is>
      </c>
      <c r="V1108" s="5" t="n">
        <v>1.7</v>
      </c>
      <c r="W1108" s="2" t="inlineStr">
        <is>
          <t>low</t>
        </is>
      </c>
      <c r="X1108" s="3" t="inlineStr"/>
      <c r="Y1108" s="3" t="inlineStr">
        <is>
          <t>27% of this dish's available carbohydrate comes from ingredients with a published, measured GI; the rest uses conventional placeholders (see Ingredients sheet)</t>
        </is>
      </c>
      <c r="Z1108" s="2" t="n">
        <v>27</v>
      </c>
      <c r="AA1108" s="3" t="inlineStr">
        <is>
          <t>vegetarian, gluten-free, low-carb, high-protein, no-cook</t>
        </is>
      </c>
      <c r="AB1108" s="3" t="inlineStr">
        <is>
          <t>1. Blend with ice until smooth.</t>
        </is>
      </c>
      <c r="AC1108" s="4" t="inlineStr">
        <is>
          <t>["Blend with ice until smooth."]</t>
        </is>
      </c>
    </row>
    <row r="1109" ht="96" customHeight="1">
      <c r="A1109" s="2" t="inlineStr">
        <is>
          <t>DB-1108</t>
        </is>
      </c>
      <c r="B1109" s="3" t="inlineStr">
        <is>
          <t>Mixed Berry Kefir Smoothie with Flax</t>
        </is>
      </c>
      <c r="C1109" s="4" t="inlineStr">
        <is>
          <t>Drinks &amp; Smoothies</t>
        </is>
      </c>
      <c r="D1109" s="4" t="inlineStr">
        <is>
          <t>American</t>
        </is>
      </c>
      <c r="E1109" s="2" t="n">
        <v>2</v>
      </c>
      <c r="F1109" s="2" t="n">
        <v>5</v>
      </c>
      <c r="G1109" s="2" t="n">
        <v>0</v>
      </c>
      <c r="H1109" s="2" t="n">
        <v>5</v>
      </c>
      <c r="I1109" s="4" t="inlineStr">
        <is>
          <t>mixed-berry-kefir-smoothie-with-flax.jpg</t>
        </is>
      </c>
      <c r="J1109" s="3" t="inlineStr">
        <is>
          <t>Mixed Berry Kefir Smoothie with Flax, healthy food photography, plated, natural light</t>
        </is>
      </c>
      <c r="K1109" s="4" t="inlineStr"/>
      <c r="L1109" s="3" t="inlineStr">
        <is>
          <t>Kefir, plain — 300 g (10.6 oz)
Mixed berries, frozen — 150 g (5.3 oz)
Ground flaxseed — 15 g (0.5 oz)
Vanilla extract — 3 g (0.1 oz)</t>
        </is>
      </c>
      <c r="M1109" s="4" t="inlineStr">
        <is>
          <t>[{"ingredient_id": "kefir", "name": "Kefir, plain", "grams": 300.0, "note": ""}, {"ingredient_id": "mixed_berries", "name": "Mixed berries, frozen", "grams": 150.0, "note": ""}, {"ingredient_id": "flaxseed", "name": "Ground flaxseed", "grams": 15.0, "note": ""}, {"ingredient_id": "vanilla_extract", "name": "Vanilla extract", "grams": 3.0, "note": ""}]</t>
        </is>
      </c>
      <c r="N1109" s="2" t="n">
        <v>140</v>
      </c>
      <c r="O1109" s="5" t="n">
        <v>6.9</v>
      </c>
      <c r="P1109" s="5" t="n">
        <v>5</v>
      </c>
      <c r="Q1109" s="5" t="n">
        <v>16.6</v>
      </c>
      <c r="R1109" s="5" t="n">
        <v>5</v>
      </c>
      <c r="S1109" s="5" t="n">
        <v>11.6</v>
      </c>
      <c r="T1109" s="2" t="n">
        <v>37</v>
      </c>
      <c r="U1109" s="2" t="inlineStr">
        <is>
          <t>low</t>
        </is>
      </c>
      <c r="V1109" s="5" t="n">
        <v>4.3</v>
      </c>
      <c r="W1109" s="2" t="inlineStr">
        <is>
          <t>low</t>
        </is>
      </c>
      <c r="X1109" s="3" t="inlineStr"/>
      <c r="Y1109" s="3" t="inlineStr">
        <is>
          <t>52% of this dish's available carbohydrate comes from ingredients with a published, measured GI; the rest uses conventional placeholders (see Ingredients sheet)</t>
        </is>
      </c>
      <c r="Z1109" s="2" t="n">
        <v>52</v>
      </c>
      <c r="AA1109" s="3" t="inlineStr">
        <is>
          <t>vegetarian, gluten-free, nut-free, low-carb, no-cook</t>
        </is>
      </c>
      <c r="AB1109" s="3" t="inlineStr">
        <is>
          <t>1. Blend everything until smooth.</t>
        </is>
      </c>
      <c r="AC1109" s="4" t="inlineStr">
        <is>
          <t>["Blend everything until smooth."]</t>
        </is>
      </c>
    </row>
    <row r="1110" ht="96" customHeight="1">
      <c r="A1110" s="2" t="inlineStr">
        <is>
          <t>DB-1109</t>
        </is>
      </c>
      <c r="B1110" s="3" t="inlineStr">
        <is>
          <t>Iced Green Tea with Lemon and Mint</t>
        </is>
      </c>
      <c r="C1110" s="4" t="inlineStr">
        <is>
          <t>Drinks &amp; Smoothies</t>
        </is>
      </c>
      <c r="D1110" s="4" t="inlineStr">
        <is>
          <t>American</t>
        </is>
      </c>
      <c r="E1110" s="2" t="n">
        <v>4</v>
      </c>
      <c r="F1110" s="2" t="n">
        <v>5</v>
      </c>
      <c r="G1110" s="2" t="n">
        <v>5</v>
      </c>
      <c r="H1110" s="2" t="n">
        <v>10</v>
      </c>
      <c r="I1110" s="4" t="inlineStr">
        <is>
          <t>iced-green-tea-with-lemon-and-mint.jpg</t>
        </is>
      </c>
      <c r="J1110" s="3" t="inlineStr">
        <is>
          <t>Iced Green Tea with Lemon and Mint, healthy food photography, plated, natural light</t>
        </is>
      </c>
      <c r="K1110" s="4" t="inlineStr"/>
      <c r="L1110" s="3" t="inlineStr">
        <is>
          <t>Brewed green tea — 1000 g (35.3 oz)
Lemon juice — 40 g (1.4 oz)
Fresh mint — 6 g (0.2 oz)
Stevia (liquid) — 1 g (0.0 oz)</t>
        </is>
      </c>
      <c r="M1110" s="4" t="inlineStr">
        <is>
          <t>[{"ingredient_id": "green_tea", "name": "Brewed green tea", "grams": 1000.0, "note": ""}, {"ingredient_id": "lemon_juice", "name": "Lemon juice", "grams": 40.0, "note": ""}, {"ingredient_id": "mint", "name": "Fresh mint", "grams": 6.0, "note": ""}, {"ingredient_id": "stevia", "name": "Stevia (liquid)", "grams": 1.0, "note": ""}]</t>
        </is>
      </c>
      <c r="N1110" s="2" t="n">
        <v>3</v>
      </c>
      <c r="O1110" s="5" t="n">
        <v>0.1</v>
      </c>
      <c r="P1110" s="5" t="n">
        <v>0</v>
      </c>
      <c r="Q1110" s="5" t="n">
        <v>0.8</v>
      </c>
      <c r="R1110" s="5" t="n">
        <v>0.1</v>
      </c>
      <c r="S1110" s="5" t="n">
        <v>0.7</v>
      </c>
      <c r="T1110" s="2" t="n">
        <v>20</v>
      </c>
      <c r="U1110" s="2" t="inlineStr">
        <is>
          <t>low</t>
        </is>
      </c>
      <c r="V1110" s="5" t="n">
        <v>0.1</v>
      </c>
      <c r="W1110" s="2" t="inlineStr">
        <is>
          <t>low</t>
        </is>
      </c>
      <c r="X1110" s="3" t="inlineStr">
        <is>
          <t>Negligible carbohydrate (&lt;5 g net/serving): GI has little practical meaning, glycemic load is what matters.</t>
        </is>
      </c>
      <c r="Y1110" s="3" t="inlineStr">
        <is>
          <t>0% of this dish's available carbohydrate comes from ingredients with a published, measured GI; the rest uses conventional placeholders (see Ingredients sheet)</t>
        </is>
      </c>
      <c r="Z1110" s="2" t="n">
        <v>0</v>
      </c>
      <c r="AA1110" s="3" t="inlineStr">
        <is>
          <t>vegan, gluten-free, dairy-free, nut-free, low-carb, no-cook</t>
        </is>
      </c>
      <c r="AB1110" s="3" t="inlineStr">
        <is>
          <t>1. Steep the tea and chill.
2. Add lemon, mint and a pinch of stevia.
3. Serve over ice.</t>
        </is>
      </c>
      <c r="AC1110" s="4" t="inlineStr">
        <is>
          <t>["Steep the tea and chill.", "Add lemon, mint and a pinch of stevia.", "Serve over ice."]</t>
        </is>
      </c>
    </row>
    <row r="1111" ht="96" customHeight="1">
      <c r="A1111" s="2" t="inlineStr">
        <is>
          <t>DB-1110</t>
        </is>
      </c>
      <c r="B1111" s="3" t="inlineStr">
        <is>
          <t>Golden Turmeric Latte</t>
        </is>
      </c>
      <c r="C1111" s="4" t="inlineStr">
        <is>
          <t>Drinks &amp; Smoothies</t>
        </is>
      </c>
      <c r="D1111" s="4" t="inlineStr">
        <is>
          <t>American</t>
        </is>
      </c>
      <c r="E1111" s="2" t="n">
        <v>2</v>
      </c>
      <c r="F1111" s="2" t="n">
        <v>3</v>
      </c>
      <c r="G1111" s="2" t="n">
        <v>5</v>
      </c>
      <c r="H1111" s="2" t="n">
        <v>8</v>
      </c>
      <c r="I1111" s="4" t="inlineStr">
        <is>
          <t>golden-turmeric-latte.jpg</t>
        </is>
      </c>
      <c r="J1111" s="3" t="inlineStr">
        <is>
          <t>Golden Turmeric Latte, healthy food photography, plated, natural light</t>
        </is>
      </c>
      <c r="K1111" s="4" t="inlineStr"/>
      <c r="L1111" s="3" t="inlineStr">
        <is>
          <t>Almond milk, unsweetened — 400 g (14.1 oz)
Ground turmeric — 2 g (0.1 oz)
Ground cinnamon — 1 g (0.0 oz)
Fresh ginger — 3 g (0.1 oz)
Black pepper — 1 g (0.0 oz)
Vanilla extract — 2 g (0.1 oz)</t>
        </is>
      </c>
      <c r="M1111" s="4" t="inlineStr">
        <is>
          <t>[{"ingredient_id": "almond_milk", "name": "Almond milk, unsweetened", "grams": 400.0, "note": ""}, {"ingredient_id": "turmeric", "name": "Ground turmeric", "grams": 2.0, "note": ""}, {"ingredient_id": "cinnamon", "name": "Ground cinnamon", "grams": 1.0, "note": ""}, {"ingredient_id": "ginger", "name": "Fresh ginger", "grams": 3.0, "note": ""}, {"ingredient_id": "black_pepper", "name": "Black pepper", "grams": 1.0, "note": ""}, {"ingredient_id": "vanilla_extract", "name": "Vanilla extract", "grams": 2.0, "note": ""}]</t>
        </is>
      </c>
      <c r="N1111" s="2" t="n">
        <v>40</v>
      </c>
      <c r="O1111" s="5" t="n">
        <v>1.4</v>
      </c>
      <c r="P1111" s="5" t="n">
        <v>2.5</v>
      </c>
      <c r="Q1111" s="5" t="n">
        <v>3</v>
      </c>
      <c r="R1111" s="5" t="n">
        <v>0.6</v>
      </c>
      <c r="S1111" s="5" t="n">
        <v>2.3</v>
      </c>
      <c r="T1111" s="2" t="n">
        <v>19</v>
      </c>
      <c r="U1111" s="2" t="inlineStr">
        <is>
          <t>low</t>
        </is>
      </c>
      <c r="V1111" s="5" t="n">
        <v>0.4</v>
      </c>
      <c r="W1111" s="2" t="inlineStr">
        <is>
          <t>low</t>
        </is>
      </c>
      <c r="X1111" s="3" t="inlineStr">
        <is>
          <t>Negligible carbohydrate (&lt;5 g net/serving): GI has little practical meaning, glycemic load is what matters.</t>
        </is>
      </c>
      <c r="Y1111" s="3" t="inlineStr">
        <is>
          <t>0% of this dish's available carbohydrate comes from ingredients with a published, measured GI; the rest uses conventional placeholders (see Ingredients sheet)</t>
        </is>
      </c>
      <c r="Z1111" s="2" t="n">
        <v>0</v>
      </c>
      <c r="AA1111" s="3" t="inlineStr">
        <is>
          <t>vegan, gluten-free, dairy-free, low-carb</t>
        </is>
      </c>
      <c r="AB1111" s="3" t="inlineStr">
        <is>
          <t>1. Warm the almond milk with the spices.
2. Whisk until frothy and serve.</t>
        </is>
      </c>
      <c r="AC1111" s="4" t="inlineStr">
        <is>
          <t>["Warm the almond milk with the spices.", "Whisk until frothy and serve."]</t>
        </is>
      </c>
    </row>
    <row r="1112" ht="96" customHeight="1">
      <c r="A1112" s="2" t="inlineStr">
        <is>
          <t>DB-1111</t>
        </is>
      </c>
      <c r="B1112" s="3" t="inlineStr">
        <is>
          <t>Cucumber Mint Sparkling Cooler</t>
        </is>
      </c>
      <c r="C1112" s="4" t="inlineStr">
        <is>
          <t>Drinks &amp; Smoothies</t>
        </is>
      </c>
      <c r="D1112" s="4" t="inlineStr">
        <is>
          <t>American</t>
        </is>
      </c>
      <c r="E1112" s="2" t="n">
        <v>2</v>
      </c>
      <c r="F1112" s="2" t="n">
        <v>5</v>
      </c>
      <c r="G1112" s="2" t="n">
        <v>0</v>
      </c>
      <c r="H1112" s="2" t="n">
        <v>5</v>
      </c>
      <c r="I1112" s="4" t="inlineStr">
        <is>
          <t>cucumber-mint-sparkling-cooler.jpg</t>
        </is>
      </c>
      <c r="J1112" s="3" t="inlineStr">
        <is>
          <t>Cucumber Mint Sparkling Cooler, healthy food photography, plated, natural light</t>
        </is>
      </c>
      <c r="K1112" s="4" t="inlineStr"/>
      <c r="L1112" s="3" t="inlineStr">
        <is>
          <t>Sparkling water — 500 g (17.6 oz)
Cucumber — 100 g (3.5 oz)
Fresh mint — 6 g (0.2 oz)
Lime juice — 20 g (0.7 oz)</t>
        </is>
      </c>
      <c r="M1112" s="4" t="inlineStr">
        <is>
          <t>[{"ingredient_id": "sparkling_water", "name": "Sparkling water", "grams": 500.0, "note": ""}, {"ingredient_id": "cucumber", "name": "Cucumber", "grams": 100.0, "note": ""}, {"ingredient_id": "mint", "name": "Fresh mint", "grams": 6.0, "note": ""}, {"ingredient_id": "lime_juice", "name": "Lime juice", "grams": 20.0, "note": ""}]</t>
        </is>
      </c>
      <c r="N1112" s="2" t="n">
        <v>11</v>
      </c>
      <c r="O1112" s="5" t="n">
        <v>0.5</v>
      </c>
      <c r="P1112" s="5" t="n">
        <v>0.1</v>
      </c>
      <c r="Q1112" s="5" t="n">
        <v>2.9</v>
      </c>
      <c r="R1112" s="5" t="n">
        <v>0.5</v>
      </c>
      <c r="S1112" s="5" t="n">
        <v>2.4</v>
      </c>
      <c r="T1112" s="2" t="n">
        <v>17</v>
      </c>
      <c r="U1112" s="2" t="inlineStr">
        <is>
          <t>low</t>
        </is>
      </c>
      <c r="V1112" s="5" t="n">
        <v>0.4</v>
      </c>
      <c r="W1112" s="2" t="inlineStr">
        <is>
          <t>low</t>
        </is>
      </c>
      <c r="X1112" s="3" t="inlineStr">
        <is>
          <t>Negligible carbohydrate (&lt;5 g net/serving): GI has little practical meaning, glycemic load is what matters.</t>
        </is>
      </c>
      <c r="Y1112" s="3" t="inlineStr">
        <is>
          <t>0% of this dish's available carbohydrate comes from ingredients with a published, measured GI; the rest uses conventional placeholders (see Ingredients sheet)</t>
        </is>
      </c>
      <c r="Z1112" s="2" t="n">
        <v>0</v>
      </c>
      <c r="AA1112" s="3" t="inlineStr">
        <is>
          <t>vegan, gluten-free, dairy-free, nut-free, low-carb, no-cook</t>
        </is>
      </c>
      <c r="AB1112" s="3" t="inlineStr">
        <is>
          <t>1. Muddle the cucumber and mint with the lime juice.
2. Top with sparkling water over ice.</t>
        </is>
      </c>
      <c r="AC1112" s="4" t="inlineStr">
        <is>
          <t>["Muddle the cucumber and mint with the lime juice.", "Top with sparkling water over ice."]</t>
        </is>
      </c>
    </row>
    <row r="1113" ht="96" customHeight="1">
      <c r="A1113" s="2" t="inlineStr">
        <is>
          <t>DB-1112</t>
        </is>
      </c>
      <c r="B1113" s="3" t="inlineStr">
        <is>
          <t>French Toast with Cinnamon and Berries</t>
        </is>
      </c>
      <c r="C1113" s="4" t="inlineStr">
        <is>
          <t>Breakfast</t>
        </is>
      </c>
      <c r="D1113" s="4" t="inlineStr">
        <is>
          <t>American</t>
        </is>
      </c>
      <c r="E1113" s="2" t="n">
        <v>4</v>
      </c>
      <c r="F1113" s="2" t="n">
        <v>10</v>
      </c>
      <c r="G1113" s="2" t="n">
        <v>10</v>
      </c>
      <c r="H1113" s="2" t="n">
        <v>20</v>
      </c>
      <c r="I1113" s="4" t="inlineStr">
        <is>
          <t>french-toast-with-cinnamon-and-berries.jpg</t>
        </is>
      </c>
      <c r="J1113" s="3" t="inlineStr">
        <is>
          <t>French Toast with Cinnamon and Berries, healthy food photography, plated, natural light</t>
        </is>
      </c>
      <c r="K1113" s="4" t="inlineStr"/>
      <c r="L1113" s="3" t="inlineStr">
        <is>
          <t>White bread — 200 g (7.1 oz)
Egg, large (50 g each) — 200 g (7.1 oz)
Milk, 2% — 120 g (4.2 oz)
Ground cinnamon — 2 g (0.1 oz)
Vanilla extract — 5 g (0.2 oz)
Butter — 15 g (0.5 oz)
Mixed berries, frozen — 200 g (7.1 oz)</t>
        </is>
      </c>
      <c r="M1113" s="4" t="inlineStr">
        <is>
          <t>[{"ingredient_id": "white_bread", "name": "White bread", "grams": 200.0, "note": ""}, {"ingredient_id": "egg", "name": "Egg, large (50 g each)", "grams": 200.0, "note": ""}, {"ingredient_id": "milk", "name": "Milk, 2%", "grams": 120.0, "note": ""}, {"ingredient_id": "cinnamon", "name": "Ground cinnamon", "grams": 2.0, "note": ""}, {"ingredient_id": "vanilla_extract", "name": "Vanilla extract", "grams": 5.0, "note": ""}, {"ingredient_id": "butter", "name": "Butter", "grams": 15.0, "note": ""}, {"ingredient_id": "mixed_berries", "name": "Mixed berries, frozen", "grams": 200.0, "note": ""}]</t>
        </is>
      </c>
      <c r="N1113" s="2" t="n">
        <v>274</v>
      </c>
      <c r="O1113" s="5" t="n">
        <v>12.5</v>
      </c>
      <c r="P1113" s="5" t="n">
        <v>10.4</v>
      </c>
      <c r="Q1113" s="5" t="n">
        <v>32.5</v>
      </c>
      <c r="R1113" s="5" t="n">
        <v>3.4</v>
      </c>
      <c r="S1113" s="5" t="n">
        <v>29</v>
      </c>
      <c r="T1113" s="2" t="n">
        <v>64</v>
      </c>
      <c r="U1113" s="2" t="inlineStr">
        <is>
          <t>medium</t>
        </is>
      </c>
      <c r="V1113" s="5" t="n">
        <v>18.6</v>
      </c>
      <c r="W1113" s="2" t="inlineStr">
        <is>
          <t>medium</t>
        </is>
      </c>
      <c r="X1113" s="3" t="inlineStr">
        <is>
          <t>Medium-GI dish: keep to the stated portion and pair with the protein/fat in the recipe; GL per serving is the better guide.</t>
        </is>
      </c>
      <c r="Y1113" s="3" t="inlineStr">
        <is>
          <t>86% of this dish's available carbohydrate comes from ingredients with a published, measured GI; the rest uses conventional placeholders (see Ingredients sheet)</t>
        </is>
      </c>
      <c r="Z1113" s="2" t="n">
        <v>86</v>
      </c>
      <c r="AA1113" s="3" t="inlineStr">
        <is>
          <t>vegetarian, nut-free</t>
        </is>
      </c>
      <c r="AB1113" s="3" t="inlineStr">
        <is>
          <t>1. Whisk the eggs, milk, cinnamon and vanilla in a shallow dish.
2. Dip the bread slices until soaked through.
3. Brown in butter, 2 to 3 minutes a side.
4. Serve topped with berries.</t>
        </is>
      </c>
      <c r="AC1113" s="4" t="inlineStr">
        <is>
          <t>["Whisk the eggs, milk, cinnamon and vanilla in a shallow dish.", "Dip the bread slices until soaked through.", "Brown in butter, 2 to 3 minutes a side.", "Serve topped with berries."]</t>
        </is>
      </c>
    </row>
    <row r="1114" ht="96" customHeight="1">
      <c r="A1114" s="2" t="inlineStr">
        <is>
          <t>DB-1113</t>
        </is>
      </c>
      <c r="B1114" s="3" t="inlineStr">
        <is>
          <t>Egg in a Hole</t>
        </is>
      </c>
      <c r="C1114" s="4" t="inlineStr">
        <is>
          <t>Breakfast</t>
        </is>
      </c>
      <c r="D1114" s="4" t="inlineStr">
        <is>
          <t>American</t>
        </is>
      </c>
      <c r="E1114" s="2" t="n">
        <v>2</v>
      </c>
      <c r="F1114" s="2" t="n">
        <v>3</v>
      </c>
      <c r="G1114" s="2" t="n">
        <v>6</v>
      </c>
      <c r="H1114" s="2" t="n">
        <v>9</v>
      </c>
      <c r="I1114" s="4" t="inlineStr">
        <is>
          <t>egg-in-a-hole.jpg</t>
        </is>
      </c>
      <c r="J1114" s="3" t="inlineStr">
        <is>
          <t>Egg in a Hole, healthy food photography, plated, natural light</t>
        </is>
      </c>
      <c r="K1114" s="4" t="inlineStr"/>
      <c r="L1114" s="3" t="inlineStr">
        <is>
          <t>White bread — 80 g (2.8 oz)
Egg, large (50 g each) — 100 g (3.5 oz)
Butter — 10 g (0.4 oz)
Black pepper — 1 g (0.0 oz)</t>
        </is>
      </c>
      <c r="M1114" s="4" t="inlineStr">
        <is>
          <t>[{"ingredient_id": "white_bread", "name": "White bread", "grams": 80.0, "note": ""}, {"ingredient_id": "egg", "name": "Egg, large (50 g each)", "grams": 100.0, "note": ""}, {"ingredient_id": "butter", "name": "Butter", "grams": 10.0, "note": ""}, {"ingredient_id": "black_pepper", "name": "Black pepper", "grams": 1.0, "note": ""}]</t>
        </is>
      </c>
      <c r="N1114" s="2" t="n">
        <v>215</v>
      </c>
      <c r="O1114" s="5" t="n">
        <v>10.2</v>
      </c>
      <c r="P1114" s="5" t="n">
        <v>10.3</v>
      </c>
      <c r="Q1114" s="5" t="n">
        <v>20.4</v>
      </c>
      <c r="R1114" s="5" t="n">
        <v>1</v>
      </c>
      <c r="S1114" s="5" t="n">
        <v>19.3</v>
      </c>
      <c r="T1114" s="2" t="n">
        <v>70</v>
      </c>
      <c r="U1114" s="2" t="inlineStr">
        <is>
          <t>high</t>
        </is>
      </c>
      <c r="V1114" s="5" t="n">
        <v>13.5</v>
      </c>
      <c r="W1114" s="2" t="inlineStr">
        <is>
          <t>medium</t>
        </is>
      </c>
      <c r="X1114" s="3" t="inlineStr">
        <is>
          <t>Medium-GI dish: keep to the stated portion and pair with the protein/fat in the recipe; GL per serving is the better guide.</t>
        </is>
      </c>
      <c r="Y1114" s="3" t="inlineStr">
        <is>
          <t>97% of this dish's available carbohydrate comes from ingredients with a published, measured GI; the rest uses conventional placeholders (see Ingredients sheet)</t>
        </is>
      </c>
      <c r="Z1114" s="2" t="n">
        <v>97</v>
      </c>
      <c r="AA1114" s="3" t="inlineStr">
        <is>
          <t>vegetarian, nut-free</t>
        </is>
      </c>
      <c r="AB1114" s="3" t="inlineStr">
        <is>
          <t>1. Cut a round hole in each slice of bread.
2. Butter the pan and toast the bread on one side.
3. Flip, crack an egg into each hole and cook until set.
4. Season with pepper.</t>
        </is>
      </c>
      <c r="AC1114" s="4" t="inlineStr">
        <is>
          <t>["Cut a round hole in each slice of bread.", "Butter the pan and toast the bread on one side.", "Flip, crack an egg into each hole and cook until set.", "Season with pepper."]</t>
        </is>
      </c>
    </row>
    <row r="1115" ht="96" customHeight="1">
      <c r="A1115" s="2" t="inlineStr">
        <is>
          <t>DB-1114</t>
        </is>
      </c>
      <c r="B1115" s="3" t="inlineStr">
        <is>
          <t>Bagel with Cream Cheese and Lox</t>
        </is>
      </c>
      <c r="C1115" s="4" t="inlineStr">
        <is>
          <t>Breakfast</t>
        </is>
      </c>
      <c r="D1115" s="4" t="inlineStr">
        <is>
          <t>American</t>
        </is>
      </c>
      <c r="E1115" s="2" t="n">
        <v>2</v>
      </c>
      <c r="F1115" s="2" t="n">
        <v>5</v>
      </c>
      <c r="G1115" s="2" t="n">
        <v>0</v>
      </c>
      <c r="H1115" s="2" t="n">
        <v>5</v>
      </c>
      <c r="I1115" s="4" t="inlineStr">
        <is>
          <t>bagel-with-cream-cheese-and-lox.jpg</t>
        </is>
      </c>
      <c r="J1115" s="3" t="inlineStr">
        <is>
          <t>Bagel with Cream Cheese and Lox, healthy food photography, plated, natural light</t>
        </is>
      </c>
      <c r="K1115" s="4" t="inlineStr"/>
      <c r="L1115" s="3" t="inlineStr">
        <is>
          <t>Bagel, plain — 100 g (3.5 oz)
Cream cheese — 50 g (1.8 oz)
Smoked salmon — 80 g (2.8 oz)
Red onion — 20 g (0.7 oz)
Capers — 10 g (0.4 oz)
Tomato — 80 g (2.8 oz)
Fresh dill — 2 g (0.1 oz)</t>
        </is>
      </c>
      <c r="M1115" s="4" t="inlineStr">
        <is>
          <t>[{"ingredient_id": "bagel", "name": "Bagel, plain", "grams": 100.0, "note": ""}, {"ingredient_id": "cream_cheese", "name": "Cream cheese", "grams": 50.0, "note": ""}, {"ingredient_id": "smoked_salmon", "name": "Smoked salmon", "grams": 80.0, "note": ""}, {"ingredient_id": "red_onion", "name": "Red onion", "grams": 20.0, "note": ""}, {"ingredient_id": "capers", "name": "Capers", "grams": 10.0, "note": ""}, {"ingredient_id": "tomato", "name": "Tomato", "grams": 80.0, "note": ""}, {"ingredient_id": "dill", "name": "Fresh dill", "grams": 2.0, "note": ""}]</t>
        </is>
      </c>
      <c r="N1115" s="2" t="n">
        <v>277</v>
      </c>
      <c r="O1115" s="5" t="n">
        <v>14.6</v>
      </c>
      <c r="P1115" s="5" t="n">
        <v>11</v>
      </c>
      <c r="Q1115" s="5" t="n">
        <v>30</v>
      </c>
      <c r="R1115" s="5" t="n">
        <v>1.6</v>
      </c>
      <c r="S1115" s="5" t="n">
        <v>28.4</v>
      </c>
      <c r="T1115" s="2" t="n">
        <v>68</v>
      </c>
      <c r="U1115" s="2" t="inlineStr">
        <is>
          <t>medium</t>
        </is>
      </c>
      <c r="V1115" s="5" t="n">
        <v>19.3</v>
      </c>
      <c r="W1115" s="2" t="inlineStr">
        <is>
          <t>medium</t>
        </is>
      </c>
      <c r="X1115" s="3" t="inlineStr">
        <is>
          <t>Medium-GI dish: keep to the stated portion and pair with the protein/fat in the recipe; GL per serving is the better guide.</t>
        </is>
      </c>
      <c r="Y1115" s="3" t="inlineStr">
        <is>
          <t>90% of this dish's available carbohydrate comes from ingredients with a published, measured GI; the rest uses conventional placeholders (see Ingredients sheet)</t>
        </is>
      </c>
      <c r="Z1115" s="2" t="n">
        <v>90</v>
      </c>
      <c r="AA1115" s="3" t="inlineStr">
        <is>
          <t>pescatarian, nut-free, no-cook</t>
        </is>
      </c>
      <c r="AB1115" s="3" t="inlineStr">
        <is>
          <t>1. Split and toast the bagel.
2. Spread with cream cheese.
3. Top with salmon, tomato, red onion, capers and dill.</t>
        </is>
      </c>
      <c r="AC1115" s="4" t="inlineStr">
        <is>
          <t>["Split and toast the bagel.", "Spread with cream cheese.", "Top with salmon, tomato, red onion, capers and dill."]</t>
        </is>
      </c>
    </row>
    <row r="1116" ht="96" customHeight="1">
      <c r="A1116" s="2" t="inlineStr">
        <is>
          <t>DB-1115</t>
        </is>
      </c>
      <c r="B1116" s="3" t="inlineStr">
        <is>
          <t>Bacon, Egg and Cheese Bagel Sandwich</t>
        </is>
      </c>
      <c r="C1116" s="4" t="inlineStr">
        <is>
          <t>Breakfast</t>
        </is>
      </c>
      <c r="D1116" s="4" t="inlineStr">
        <is>
          <t>American</t>
        </is>
      </c>
      <c r="E1116" s="2" t="n">
        <v>2</v>
      </c>
      <c r="F1116" s="2" t="n">
        <v>5</v>
      </c>
      <c r="G1116" s="2" t="n">
        <v>10</v>
      </c>
      <c r="H1116" s="2" t="n">
        <v>15</v>
      </c>
      <c r="I1116" s="4" t="inlineStr">
        <is>
          <t>bacon-egg-and-cheese-bagel-sandwich.jpg</t>
        </is>
      </c>
      <c r="J1116" s="3" t="inlineStr">
        <is>
          <t>Bacon, Egg and Cheese Bagel Sandwich, healthy food photography, plated, natural light</t>
        </is>
      </c>
      <c r="K1116" s="4" t="inlineStr"/>
      <c r="L1116" s="3" t="inlineStr">
        <is>
          <t>Bagel, plain — 100 g (3.5 oz)
Egg, large (50 g each) — 100 g (3.5 oz)
Bacon — 30 g (1.1 oz)
Cheddar cheese — 30 g (1.1 oz)
Spinach — 30 g (1.1 oz)</t>
        </is>
      </c>
      <c r="M1116" s="4" t="inlineStr">
        <is>
          <t>[{"ingredient_id": "bagel", "name": "Bagel, plain", "grams": 100.0, "note": ""}, {"ingredient_id": "egg", "name": "Egg, large (50 g each)", "grams": 100.0, "note": ""}, {"ingredient_id": "bacon", "name": "Bacon", "grams": 30.0, "note": ""}, {"ingredient_id": "cheddar", "name": "Cheddar cheese", "grams": 30.0, "note": ""}, {"ingredient_id": "spinach", "name": "Spinach", "grams": 30.0, "note": ""}]</t>
        </is>
      </c>
      <c r="N1116" s="2" t="n">
        <v>349</v>
      </c>
      <c r="O1116" s="5" t="n">
        <v>21</v>
      </c>
      <c r="P1116" s="5" t="n">
        <v>16.7</v>
      </c>
      <c r="Q1116" s="5" t="n">
        <v>27.5</v>
      </c>
      <c r="R1116" s="5" t="n">
        <v>1.1</v>
      </c>
      <c r="S1116" s="5" t="n">
        <v>26.4</v>
      </c>
      <c r="T1116" s="2" t="n">
        <v>72</v>
      </c>
      <c r="U1116" s="2" t="inlineStr">
        <is>
          <t>high</t>
        </is>
      </c>
      <c r="V1116" s="5" t="n">
        <v>19</v>
      </c>
      <c r="W1116" s="2" t="inlineStr">
        <is>
          <t>medium</t>
        </is>
      </c>
      <c r="X1116" s="3" t="inlineStr">
        <is>
          <t>Medium-GI dish: keep to the stated portion and pair with the protein/fat in the recipe; GL per serving is the better guide.</t>
        </is>
      </c>
      <c r="Y1116" s="3" t="inlineStr">
        <is>
          <t>96% of this dish's available carbohydrate comes from ingredients with a published, measured GI; the rest uses conventional placeholders (see Ingredients sheet)</t>
        </is>
      </c>
      <c r="Z1116" s="2" t="n">
        <v>96</v>
      </c>
      <c r="AA1116" s="3" t="inlineStr">
        <is>
          <t>nut-free</t>
        </is>
      </c>
      <c r="AB1116" s="3" t="inlineStr">
        <is>
          <t>1. Crisp the bacon.
2. Fry the eggs.
3. Toast the bagel.
4. Layer bacon, egg, cheddar and spinach and close.</t>
        </is>
      </c>
      <c r="AC1116" s="4" t="inlineStr">
        <is>
          <t>["Crisp the bacon.", "Fry the eggs.", "Toast the bagel.", "Layer bacon, egg, cheddar and spinach and close."]</t>
        </is>
      </c>
    </row>
    <row r="1117" ht="96" customHeight="1">
      <c r="A1117" s="2" t="inlineStr">
        <is>
          <t>DB-1116</t>
        </is>
      </c>
      <c r="B1117" s="3" t="inlineStr">
        <is>
          <t>Shrimp and Grits</t>
        </is>
      </c>
      <c r="C1117" s="4" t="inlineStr">
        <is>
          <t>Breakfast</t>
        </is>
      </c>
      <c r="D1117" s="4" t="inlineStr">
        <is>
          <t>American</t>
        </is>
      </c>
      <c r="E1117" s="2" t="n">
        <v>4</v>
      </c>
      <c r="F1117" s="2" t="n">
        <v>10</v>
      </c>
      <c r="G1117" s="2" t="n">
        <v>25</v>
      </c>
      <c r="H1117" s="2" t="n">
        <v>35</v>
      </c>
      <c r="I1117" s="4" t="inlineStr">
        <is>
          <t>shrimp-and-grits.jpg</t>
        </is>
      </c>
      <c r="J1117" s="3" t="inlineStr">
        <is>
          <t>Shrimp and Grits, healthy food photography, plated, natural light</t>
        </is>
      </c>
      <c r="K1117" s="4" t="inlineStr"/>
      <c r="L1117" s="3" t="inlineStr">
        <is>
          <t>Grits, cooked with water — 500 g (17.6 oz)
Shrimp, peeled — 400 g (14.1 oz)
Cheddar cheese — 50 g (1.8 oz)
Bacon — 40 g (1.4 oz)
Bell pepper — 100 g (3.5 oz)
Green onions (scallions) — 30 g (1.1 oz)
Garlic — 6 g (0.2 oz)
Cajun seasoning — 5 g (0.2 oz)
Lemon juice — 15 g (0.5 oz)</t>
        </is>
      </c>
      <c r="M1117" s="4" t="inlineStr">
        <is>
          <t>[{"ingredient_id": "grits", "name": "Grits, cooked with water", "grams": 500.0, "note": ""}, {"ingredient_id": "shrimp", "name": "Shrimp, peeled", "grams": 400.0, "note": ""}, {"ingredient_id": "cheddar", "name": "Cheddar cheese", "grams": 50.0, "note": ""}, {"ingredient_id": "bacon", "name": "Bacon", "grams": 40.0, "note": ""}, {"ingredient_id": "bell_pepper", "name": "Bell pepper", "grams": 100.0, "note": ""}, {"ingredient_id": "green_onion", "name": "Green onions (scallions)", "grams": 30.0, "note": ""}, {"ingredient_id": "garlic", "name": "Garlic", "grams": 6.0, "note": ""}, {"ingredient_id": "cajun_seasoning", "name": "Cajun seasoning", "grams": 5.0, "note": ""}, {"ingredient_id": "lemon_juice", "name": "Lemon juice", "grams": 15.0, "note": ""}]</t>
        </is>
      </c>
      <c r="N1117" s="2" t="n">
        <v>279</v>
      </c>
      <c r="O1117" s="5" t="n">
        <v>28.7</v>
      </c>
      <c r="P1117" s="5" t="n">
        <v>9.4</v>
      </c>
      <c r="Q1117" s="5" t="n">
        <v>19.3</v>
      </c>
      <c r="R1117" s="5" t="n">
        <v>2</v>
      </c>
      <c r="S1117" s="5" t="n">
        <v>17.3</v>
      </c>
      <c r="T1117" s="2" t="n">
        <v>60</v>
      </c>
      <c r="U1117" s="2" t="inlineStr">
        <is>
          <t>medium</t>
        </is>
      </c>
      <c r="V1117" s="5" t="n">
        <v>10.4</v>
      </c>
      <c r="W1117" s="2" t="inlineStr">
        <is>
          <t>medium</t>
        </is>
      </c>
      <c r="X1117" s="3" t="inlineStr">
        <is>
          <t>Medium-GI dish: keep to the stated portion and pair with the protein/fat in the recipe; GL per serving is the better guide.</t>
        </is>
      </c>
      <c r="Y1117" s="3" t="inlineStr">
        <is>
          <t>84% of this dish's available carbohydrate comes from ingredients with a published, measured GI; the rest uses conventional placeholders (see Ingredients sheet)</t>
        </is>
      </c>
      <c r="Z1117" s="2" t="n">
        <v>84</v>
      </c>
      <c r="AA1117" s="3" t="inlineStr">
        <is>
          <t>gluten-free, nut-free, high-protein</t>
        </is>
      </c>
      <c r="AB1117" s="3" t="inlineStr">
        <is>
          <t>1. Cook the grits in water until creamy and stir in the cheddar.
2. Crisp the chopped bacon and keep a spoonful of fat.
3. Sauté the pepper and garlic in the fat, add the seasoned shrimp and cook 3 minutes.
4. Finish with lemon and green onion over the grits.</t>
        </is>
      </c>
      <c r="AC1117" s="4" t="inlineStr">
        <is>
          <t>["Cook the grits in water until creamy and stir in the cheddar.", "Crisp the chopped bacon and keep a spoonful of fat.", "Sauté the pepper and garlic in the fat, add the seasoned shrimp and cook 3 minutes.", "Finish with lemon and green onion over the grits."]</t>
        </is>
      </c>
    </row>
    <row r="1118" ht="96" customHeight="1">
      <c r="A1118" s="2" t="inlineStr">
        <is>
          <t>DB-1117</t>
        </is>
      </c>
      <c r="B1118" s="3" t="inlineStr">
        <is>
          <t>Cheese Grits with a Fried Egg</t>
        </is>
      </c>
      <c r="C1118" s="4" t="inlineStr">
        <is>
          <t>Breakfast</t>
        </is>
      </c>
      <c r="D1118" s="4" t="inlineStr">
        <is>
          <t>American</t>
        </is>
      </c>
      <c r="E1118" s="2" t="n">
        <v>3</v>
      </c>
      <c r="F1118" s="2" t="n">
        <v>5</v>
      </c>
      <c r="G1118" s="2" t="n">
        <v>20</v>
      </c>
      <c r="H1118" s="2" t="n">
        <v>25</v>
      </c>
      <c r="I1118" s="4" t="inlineStr">
        <is>
          <t>cheese-grits-with-a-fried-egg.jpg</t>
        </is>
      </c>
      <c r="J1118" s="3" t="inlineStr">
        <is>
          <t>Cheese Grits with a Fried Egg, healthy food photography, plated, natural light</t>
        </is>
      </c>
      <c r="K1118" s="4" t="inlineStr"/>
      <c r="L1118" s="3" t="inlineStr">
        <is>
          <t>Grits, cooked with water — 450 g (15.9 oz)
Cheddar cheese — 45 g (1.6 oz)
Egg, large (50 g each) — 150 g (5.3 oz)
Butter — 10 g (0.4 oz)
Black pepper — 1 g (0.0 oz)
Fresh chives — 3 g (0.1 oz)</t>
        </is>
      </c>
      <c r="M1118" s="4" t="inlineStr">
        <is>
          <t>[{"ingredient_id": "grits", "name": "Grits, cooked with water", "grams": 450.0, "note": ""}, {"ingredient_id": "cheddar", "name": "Cheddar cheese", "grams": 45.0, "note": ""}, {"ingredient_id": "egg", "name": "Egg, large (50 g each)", "grams": 150.0, "note": ""}, {"ingredient_id": "butter", "name": "Butter", "grams": 10.0, "note": ""}, {"ingredient_id": "black_pepper", "name": "Black pepper", "grams": 1.0, "note": ""}, {"ingredient_id": "chives", "name": "Fresh chives", "grams": 3.0, "note": ""}]</t>
        </is>
      </c>
      <c r="N1118" s="2" t="n">
        <v>244</v>
      </c>
      <c r="O1118" s="5" t="n">
        <v>11.6</v>
      </c>
      <c r="P1118" s="5" t="n">
        <v>12.8</v>
      </c>
      <c r="Q1118" s="5" t="n">
        <v>19.4</v>
      </c>
      <c r="R1118" s="5" t="n">
        <v>1.2</v>
      </c>
      <c r="S1118" s="5" t="n">
        <v>18.2</v>
      </c>
      <c r="T1118" s="2" t="n">
        <v>66</v>
      </c>
      <c r="U1118" s="2" t="inlineStr">
        <is>
          <t>medium</t>
        </is>
      </c>
      <c r="V1118" s="5" t="n">
        <v>12</v>
      </c>
      <c r="W1118" s="2" t="inlineStr">
        <is>
          <t>medium</t>
        </is>
      </c>
      <c r="X1118" s="3" t="inlineStr">
        <is>
          <t>Medium-GI dish: keep to the stated portion and pair with the protein/fat in the recipe; GL per serving is the better guide.</t>
        </is>
      </c>
      <c r="Y1118" s="3" t="inlineStr">
        <is>
          <t>96% of this dish's available carbohydrate comes from ingredients with a published, measured GI; the rest uses conventional placeholders (see Ingredients sheet)</t>
        </is>
      </c>
      <c r="Z1118" s="2" t="n">
        <v>96</v>
      </c>
      <c r="AA1118" s="3" t="inlineStr">
        <is>
          <t>vegetarian, gluten-free, nut-free</t>
        </is>
      </c>
      <c r="AB1118" s="3" t="inlineStr">
        <is>
          <t>1. Cook the grits in water until thick.
2. Stir in cheddar and pepper.
3. Fry the eggs in butter.
4. Top the grits with an egg and chives.</t>
        </is>
      </c>
      <c r="AC1118" s="4" t="inlineStr">
        <is>
          <t>["Cook the grits in water until thick.", "Stir in cheddar and pepper.", "Fry the eggs in butter.", "Top the grits with an egg and chives."]</t>
        </is>
      </c>
    </row>
    <row r="1119" ht="96" customHeight="1">
      <c r="A1119" s="2" t="inlineStr">
        <is>
          <t>DB-1118</t>
        </is>
      </c>
      <c r="B1119" s="3" t="inlineStr">
        <is>
          <t>Breakfast Hash with Potatoes and Peppers</t>
        </is>
      </c>
      <c r="C1119" s="4" t="inlineStr">
        <is>
          <t>Breakfast</t>
        </is>
      </c>
      <c r="D1119" s="4" t="inlineStr">
        <is>
          <t>American</t>
        </is>
      </c>
      <c r="E1119" s="2" t="n">
        <v>3</v>
      </c>
      <c r="F1119" s="2" t="n">
        <v>15</v>
      </c>
      <c r="G1119" s="2" t="n">
        <v>20</v>
      </c>
      <c r="H1119" s="2" t="n">
        <v>35</v>
      </c>
      <c r="I1119" s="4" t="inlineStr">
        <is>
          <t>breakfast-hash-with-potatoes-and-peppers.jpg</t>
        </is>
      </c>
      <c r="J1119" s="3" t="inlineStr">
        <is>
          <t>Breakfast Hash with Potatoes and Peppers, healthy food photography, plated, natural light</t>
        </is>
      </c>
      <c r="K1119" s="4" t="inlineStr"/>
      <c r="L1119" s="3" t="inlineStr">
        <is>
          <t>Potato, boiled, peeled — 360 g (12.7 oz)
Turkey sausage — 150 g (5.3 oz)
Bell pepper — 120 g (4.2 oz)
Yellow onion — 80 g (2.8 oz)
Egg, large (50 g each) — 150 g (5.3 oz)
Extra-virgin olive oil — 15 g (0.5 oz)
Paprika — 2 g (0.1 oz)
Salt — 2 g (0.1 oz)</t>
        </is>
      </c>
      <c r="M1119" s="4" t="inlineStr">
        <is>
          <t>[{"ingredient_id": "potato_boiled", "name": "Potato, boiled, peeled", "grams": 360.0, "note": ""}, {"ingredient_id": "turkey_sausage", "name": "Turkey sausage", "grams": 150.0, "note": ""}, {"ingredient_id": "bell_pepper", "name": "Bell pepper", "grams": 120.0, "note": ""}, {"ingredient_id": "onion", "name": "Yellow onion", "grams": 80.0, "note": ""}, {"ingredient_id": "egg", "name": "Egg, large (50 g each)", "grams": 150.0, "note": ""}, {"ingredient_id": "olive_oil", "name": "Extra-virgin olive oil", "grams": 15.0, "note": ""}, {"ingredient_id": "paprika", "name": "Paprika", "grams": 2.0, "note": ""}, {"ingredient_id": "salt", "name": "Salt", "grams": 2.0, "note": ""}]</t>
        </is>
      </c>
      <c r="N1119" s="2" t="n">
        <v>330</v>
      </c>
      <c r="O1119" s="5" t="n">
        <v>16.9</v>
      </c>
      <c r="P1119" s="5" t="n">
        <v>15.1</v>
      </c>
      <c r="Q1119" s="5" t="n">
        <v>32.4</v>
      </c>
      <c r="R1119" s="5" t="n">
        <v>3.3</v>
      </c>
      <c r="S1119" s="5" t="n">
        <v>29.1</v>
      </c>
      <c r="T1119" s="2" t="n">
        <v>56</v>
      </c>
      <c r="U1119" s="2" t="inlineStr">
        <is>
          <t>medium</t>
        </is>
      </c>
      <c r="V1119" s="5" t="n">
        <v>16.3</v>
      </c>
      <c r="W1119" s="2" t="inlineStr">
        <is>
          <t>medium</t>
        </is>
      </c>
      <c r="X1119" s="3" t="inlineStr">
        <is>
          <t>Medium-GI dish: keep to the stated portion and pair with the protein/fat in the recipe; GL per serving is the better guide.</t>
        </is>
      </c>
      <c r="Y1119" s="3" t="inlineStr">
        <is>
          <t>83% of this dish's available carbohydrate comes from ingredients with a published, measured GI; the rest uses conventional placeholders (see Ingredients sheet)</t>
        </is>
      </c>
      <c r="Z1119" s="2" t="n">
        <v>83</v>
      </c>
      <c r="AA1119" s="3" t="inlineStr">
        <is>
          <t>gluten-free, dairy-free, nut-free, one-pan</t>
        </is>
      </c>
      <c r="AB1119" s="3" t="inlineStr">
        <is>
          <t>1. Dice the cooked potatoes small.
2. Brown the sausage with the onion and pepper in oil.
3. Add the potatoes and paprika and crisp 8 minutes.
4. Make wells, crack in the eggs and cover until set.</t>
        </is>
      </c>
      <c r="AC1119" s="4" t="inlineStr">
        <is>
          <t>["Dice the cooked potatoes small.", "Brown the sausage with the onion and pepper in oil.", "Add the potatoes and paprika and crisp 8 minutes.", "Make wells, crack in the eggs and cover until set."]</t>
        </is>
      </c>
    </row>
    <row r="1120" ht="96" customHeight="1">
      <c r="A1120" s="2" t="inlineStr">
        <is>
          <t>DB-1119</t>
        </is>
      </c>
      <c r="B1120" s="3" t="inlineStr">
        <is>
          <t>Diner Home Fries with Eggs</t>
        </is>
      </c>
      <c r="C1120" s="4" t="inlineStr">
        <is>
          <t>Breakfast</t>
        </is>
      </c>
      <c r="D1120" s="4" t="inlineStr">
        <is>
          <t>American</t>
        </is>
      </c>
      <c r="E1120" s="2" t="n">
        <v>3</v>
      </c>
      <c r="F1120" s="2" t="n">
        <v>10</v>
      </c>
      <c r="G1120" s="2" t="n">
        <v>20</v>
      </c>
      <c r="H1120" s="2" t="n">
        <v>30</v>
      </c>
      <c r="I1120" s="4" t="inlineStr">
        <is>
          <t>diner-home-fries-with-eggs.jpg</t>
        </is>
      </c>
      <c r="J1120" s="3" t="inlineStr">
        <is>
          <t>Diner Home Fries with Eggs, healthy food photography, plated, natural light</t>
        </is>
      </c>
      <c r="K1120" s="4" t="inlineStr"/>
      <c r="L1120" s="3" t="inlineStr">
        <is>
          <t>Potato, boiled, peeled — 360 g (12.7 oz)
Yellow onion — 80 g (2.8 oz)
Egg, large (50 g each) — 150 g (5.3 oz)
Extra-virgin olive oil — 15 g (0.5 oz)
Smoked paprika — 2 g (0.1 oz)
Salt — 2 g (0.1 oz)
Fresh parsley — 3 g (0.1 oz)</t>
        </is>
      </c>
      <c r="M1120" s="4" t="inlineStr">
        <is>
          <t>[{"ingredient_id": "potato_boiled", "name": "Potato, boiled, peeled", "grams": 360.0,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 {"ingredient_id": "parsley", "name": "Fresh parsley", "grams": 3.0, "note": ""}]</t>
        </is>
      </c>
      <c r="N1120" s="2" t="n">
        <v>240</v>
      </c>
      <c r="O1120" s="5" t="n">
        <v>9.1</v>
      </c>
      <c r="P1120" s="5" t="n">
        <v>10</v>
      </c>
      <c r="Q1120" s="5" t="n">
        <v>29.1</v>
      </c>
      <c r="R1120" s="5" t="n">
        <v>2.5</v>
      </c>
      <c r="S1120" s="5" t="n">
        <v>26.5</v>
      </c>
      <c r="T1120" s="2" t="n">
        <v>61</v>
      </c>
      <c r="U1120" s="2" t="inlineStr">
        <is>
          <t>medium</t>
        </is>
      </c>
      <c r="V1120" s="5" t="n">
        <v>16.2</v>
      </c>
      <c r="W1120" s="2" t="inlineStr">
        <is>
          <t>medium</t>
        </is>
      </c>
      <c r="X1120" s="3" t="inlineStr">
        <is>
          <t>Medium-GI dish: keep to the stated portion and pair with the protein/fat in the recipe; GL per serving is the better guide.</t>
        </is>
      </c>
      <c r="Y1120" s="3" t="inlineStr">
        <is>
          <t>90% of this dish's available carbohydrate comes from ingredients with a published, measured GI; the rest uses conventional placeholders (see Ingredients sheet)</t>
        </is>
      </c>
      <c r="Z1120" s="2" t="n">
        <v>90</v>
      </c>
      <c r="AA1120" s="3" t="inlineStr">
        <is>
          <t>vegetarian, gluten-free, dairy-free, nut-free</t>
        </is>
      </c>
      <c r="AB1120" s="3" t="inlineStr">
        <is>
          <t>1. Dice the potatoes and onion.
2. Pan-fry in oil with paprika and salt until crisp, about 15 minutes.
3. Fry or scramble the eggs.
4. Serve together with parsley.</t>
        </is>
      </c>
      <c r="AC1120" s="4" t="inlineStr">
        <is>
          <t>["Dice the potatoes and onion.", "Pan-fry in oil with paprika and salt until crisp, about 15 minutes.", "Fry or scramble the eggs.", "Serve together with parsley."]</t>
        </is>
      </c>
    </row>
    <row r="1121" ht="96" customHeight="1">
      <c r="A1121" s="2" t="inlineStr">
        <is>
          <t>DB-1120</t>
        </is>
      </c>
      <c r="B1121" s="3" t="inlineStr">
        <is>
          <t>Egg and Cheese Breakfast Quesadilla</t>
        </is>
      </c>
      <c r="C1121" s="4" t="inlineStr">
        <is>
          <t>Breakfast</t>
        </is>
      </c>
      <c r="D1121" s="4" t="inlineStr">
        <is>
          <t>Tex-Mex</t>
        </is>
      </c>
      <c r="E1121" s="2" t="n">
        <v>2</v>
      </c>
      <c r="F1121" s="2" t="n">
        <v>5</v>
      </c>
      <c r="G1121" s="2" t="n">
        <v>8</v>
      </c>
      <c r="H1121" s="2" t="n">
        <v>13</v>
      </c>
      <c r="I1121" s="4" t="inlineStr">
        <is>
          <t>egg-and-cheese-breakfast-quesadilla.jpg</t>
        </is>
      </c>
      <c r="J1121" s="3" t="inlineStr">
        <is>
          <t>Egg and Cheese Breakfast Quesadilla, healthy food photography, plated, natural light</t>
        </is>
      </c>
      <c r="K1121" s="4" t="inlineStr"/>
      <c r="L1121" s="3" t="inlineStr">
        <is>
          <t>Flour tortilla, 8-inch — 80 g (2.8 oz)
Egg, large (50 g each) — 100 g (3.5 oz)
Cheddar cheese — 40 g (1.4 oz)
Salsa, no sugar added — 60 g (2.1 oz)
Spinach — 30 g (1.1 oz)
Extra-virgin olive oil — 5 g (0.2 oz)</t>
        </is>
      </c>
      <c r="M1121" s="4" t="inlineStr">
        <is>
          <t>[{"ingredient_id": "flour_tortilla", "name": "Flour tortilla, 8-inch", "grams": 80.0, "note": ""}, {"ingredient_id": "egg", "name": "Egg, large (50 g each)", "grams": 100.0, "note": ""}, {"ingredient_id": "cheddar", "name": "Cheddar cheese", "grams": 40.0, "note": ""}, {"ingredient_id": "salsa", "name": "Salsa, no sugar added", "grams": 60.0, "note": ""}, {"ingredient_id": "spinach", "name": "Spinach", "grams": 30.0, "note": ""}, {"ingredient_id": "olive_oil", "name": "Extra-virgin olive oil", "grams": 5.0, "note": ""}]</t>
        </is>
      </c>
      <c r="N1121" s="2" t="n">
        <v>311</v>
      </c>
      <c r="O1121" s="5" t="n">
        <v>15.1</v>
      </c>
      <c r="P1121" s="5" t="n">
        <v>17.2</v>
      </c>
      <c r="Q1121" s="5" t="n">
        <v>23</v>
      </c>
      <c r="R1121" s="5" t="n">
        <v>2.2</v>
      </c>
      <c r="S1121" s="5" t="n">
        <v>20.8</v>
      </c>
      <c r="T1121" s="2" t="n">
        <v>32</v>
      </c>
      <c r="U1121" s="2" t="inlineStr">
        <is>
          <t>low</t>
        </is>
      </c>
      <c r="V1121" s="5" t="n">
        <v>6.7</v>
      </c>
      <c r="W1121" s="2" t="inlineStr">
        <is>
          <t>low</t>
        </is>
      </c>
      <c r="X1121" s="3" t="inlineStr"/>
      <c r="Y1121" s="3" t="inlineStr">
        <is>
          <t>88% of this dish's available carbohydrate comes from ingredients with a published, measured GI; the rest uses conventional placeholders (see Ingredients sheet)</t>
        </is>
      </c>
      <c r="Z1121" s="2" t="n">
        <v>88</v>
      </c>
      <c r="AA1121" s="3" t="inlineStr">
        <is>
          <t>vegetarian, nut-free</t>
        </is>
      </c>
      <c r="AB1121" s="3" t="inlineStr">
        <is>
          <t>1. Scramble the eggs with the spinach.
2. Fill half of each tortilla with eggs and cheddar and fold.
3. Crisp in a pan with oil, 2 minutes a side.
4. Serve with salsa.</t>
        </is>
      </c>
      <c r="AC1121" s="4" t="inlineStr">
        <is>
          <t>["Scramble the eggs with the spinach.", "Fill half of each tortilla with eggs and cheddar and fold.", "Crisp in a pan with oil, 2 minutes a side.", "Serve with salsa."]</t>
        </is>
      </c>
    </row>
    <row r="1122" ht="96" customHeight="1">
      <c r="A1122" s="2" t="inlineStr">
        <is>
          <t>DB-1121</t>
        </is>
      </c>
      <c r="B1122" s="3" t="inlineStr">
        <is>
          <t>Ham and Cheese Western Omelet</t>
        </is>
      </c>
      <c r="C1122" s="4" t="inlineStr">
        <is>
          <t>Breakfast</t>
        </is>
      </c>
      <c r="D1122" s="4" t="inlineStr">
        <is>
          <t>American</t>
        </is>
      </c>
      <c r="E1122" s="2" t="n">
        <v>2</v>
      </c>
      <c r="F1122" s="2" t="n">
        <v>10</v>
      </c>
      <c r="G1122" s="2" t="n">
        <v>8</v>
      </c>
      <c r="H1122" s="2" t="n">
        <v>18</v>
      </c>
      <c r="I1122" s="4" t="inlineStr">
        <is>
          <t>ham-and-cheese-western-omelet.jpg</t>
        </is>
      </c>
      <c r="J1122" s="3" t="inlineStr">
        <is>
          <t>Ham and Cheese Western Omelet, healthy food photography, plated, natural light</t>
        </is>
      </c>
      <c r="K1122" s="4" t="inlineStr"/>
      <c r="L1122" s="3" t="inlineStr">
        <is>
          <t>Egg, large (50 g each) — 300 g (10.6 oz)
Ham, lean — 80 g (2.8 oz)
Swiss cheese — 40 g (1.4 oz)
Bell pepper — 80 g (2.8 oz)
Yellow onion — 40 g (1.4 oz)
Butter — 10 g (0.4 oz)</t>
        </is>
      </c>
      <c r="M1122" s="4" t="inlineStr">
        <is>
          <t>[{"ingredient_id": "egg", "name": "Egg, large (50 g each)", "grams": 300.0, "note": ""}, {"ingredient_id": "ham", "name": "Ham, lean", "grams": 80.0, "note": ""}, {"ingredient_id": "swiss_cheese", "name": "Swiss cheese", "grams": 40.0, "note": ""}, {"ingredient_id": "bell_pepper", "name": "Bell pepper", "grams": 80.0, "note": ""}, {"ingredient_id": "onion", "name": "Yellow onion", "grams": 40.0, "note": ""}, {"ingredient_id": "butter", "name": "Butter", "grams": 10.0, "note": ""}]</t>
        </is>
      </c>
      <c r="N1122" s="2" t="n">
        <v>405</v>
      </c>
      <c r="O1122" s="5" t="n">
        <v>33.4</v>
      </c>
      <c r="P1122" s="5" t="n">
        <v>26.4</v>
      </c>
      <c r="Q1122" s="5" t="n">
        <v>6.2</v>
      </c>
      <c r="R1122" s="5" t="n">
        <v>1.2</v>
      </c>
      <c r="S1122" s="5" t="n">
        <v>5</v>
      </c>
      <c r="T1122" s="2" t="n">
        <v>9</v>
      </c>
      <c r="U1122" s="2" t="inlineStr">
        <is>
          <t>low</t>
        </is>
      </c>
      <c r="V1122" s="5" t="n">
        <v>0.5</v>
      </c>
      <c r="W1122" s="2" t="inlineStr">
        <is>
          <t>low</t>
        </is>
      </c>
      <c r="X1122" s="3" t="inlineStr"/>
      <c r="Y1122" s="3" t="inlineStr">
        <is>
          <t>0% of this dish's available carbohydrate comes from ingredients with a published, measured GI; the rest uses conventional placeholders (see Ingredients sheet)</t>
        </is>
      </c>
      <c r="Z1122" s="2" t="n">
        <v>0</v>
      </c>
      <c r="AA1122" s="3" t="inlineStr">
        <is>
          <t>gluten-free, nut-free, low-carb, high-protein</t>
        </is>
      </c>
      <c r="AB1122" s="3" t="inlineStr">
        <is>
          <t>1. Dice the ham, pepper and onion and sauté in half the butter.
2. Cook the beaten eggs in the rest of the butter.
3. Add the filling and Swiss and fold.</t>
        </is>
      </c>
      <c r="AC1122" s="4" t="inlineStr">
        <is>
          <t>["Dice the ham, pepper and onion and sauté in half the butter.", "Cook the beaten eggs in the rest of the butter.", "Add the filling and Swiss and fold."]</t>
        </is>
      </c>
    </row>
    <row r="1123" ht="96" customHeight="1">
      <c r="A1123" s="2" t="inlineStr">
        <is>
          <t>DB-1122</t>
        </is>
      </c>
      <c r="B1123" s="3" t="inlineStr">
        <is>
          <t>Cheesy Potato and Egg Breakfast Skillet</t>
        </is>
      </c>
      <c r="C1123" s="4" t="inlineStr">
        <is>
          <t>Breakfast</t>
        </is>
      </c>
      <c r="D1123" s="4" t="inlineStr">
        <is>
          <t>American</t>
        </is>
      </c>
      <c r="E1123" s="2" t="n">
        <v>4</v>
      </c>
      <c r="F1123" s="2" t="n">
        <v>10</v>
      </c>
      <c r="G1123" s="2" t="n">
        <v>25</v>
      </c>
      <c r="H1123" s="2" t="n">
        <v>35</v>
      </c>
      <c r="I1123" s="4" t="inlineStr">
        <is>
          <t>cheesy-potato-and-egg-breakfast-skillet.jpg</t>
        </is>
      </c>
      <c r="J1123" s="3" t="inlineStr">
        <is>
          <t>Cheesy Potato and Egg Breakfast Skillet, healthy food photography, plated, natural light</t>
        </is>
      </c>
      <c r="K1123" s="4" t="inlineStr"/>
      <c r="L1123" s="3" t="inlineStr">
        <is>
          <t>Potato, boiled, peeled — 480 g (16.9 oz)
Egg, large (50 g each) — 250 g (8.8 oz)
Cheddar cheese — 60 g (2.1 oz)
Green onions (scallions) — 30 g (1.1 oz)
Bacon — 40 g (1.4 oz)
Extra-virgin olive oil — 10 g (0.4 oz)
Black pepper — 1 g (0.0 oz)</t>
        </is>
      </c>
      <c r="M1123" s="4" t="inlineStr">
        <is>
          <t>[{"ingredient_id": "potato_boiled", "name": "Potato, boiled, peeled", "grams": 480.0, "note": ""}, {"ingredient_id": "egg", "name": "Egg, large (50 g each)", "grams": 250.0, "note": ""}, {"ingredient_id": "cheddar", "name": "Cheddar cheese", "grams": 60.0, "note": ""}, {"ingredient_id": "green_onion", "name": "Green onions (scallions)", "grams": 30.0, "note": ""}, {"ingredient_id": "bacon", "name": "Bacon", "grams": 40.0, "note": ""}, {"ingredient_id": "olive_oil", "name": "Extra-virgin olive oil", "grams": 10.0, "note": ""}, {"ingredient_id": "black_pepper", "name": "Black pepper", "grams": 1.0, "note": ""}]</t>
        </is>
      </c>
      <c r="N1123" s="2" t="n">
        <v>341</v>
      </c>
      <c r="O1123" s="5" t="n">
        <v>17.5</v>
      </c>
      <c r="P1123" s="5" t="n">
        <v>17.7</v>
      </c>
      <c r="Q1123" s="5" t="n">
        <v>27.3</v>
      </c>
      <c r="R1123" s="5" t="n">
        <v>2.1</v>
      </c>
      <c r="S1123" s="5" t="n">
        <v>25.2</v>
      </c>
      <c r="T1123" s="2" t="n">
        <v>63</v>
      </c>
      <c r="U1123" s="2" t="inlineStr">
        <is>
          <t>medium</t>
        </is>
      </c>
      <c r="V1123" s="5" t="n">
        <v>15.9</v>
      </c>
      <c r="W1123" s="2" t="inlineStr">
        <is>
          <t>medium</t>
        </is>
      </c>
      <c r="X1123" s="3" t="inlineStr">
        <is>
          <t>Medium-GI dish: keep to the stated portion and pair with the protein/fat in the recipe; GL per serving is the better guide.</t>
        </is>
      </c>
      <c r="Y1123" s="3" t="inlineStr">
        <is>
          <t>95% of this dish's available carbohydrate comes from ingredients with a published, measured GI; the rest uses conventional placeholders (see Ingredients sheet)</t>
        </is>
      </c>
      <c r="Z1123" s="2" t="n">
        <v>95</v>
      </c>
      <c r="AA1123" s="3" t="inlineStr">
        <is>
          <t>gluten-free, nut-free, one-pan</t>
        </is>
      </c>
      <c r="AB1123" s="3" t="inlineStr">
        <is>
          <t>1. Crisp the bacon in a skillet and set aside.
2. Brown the diced potatoes in oil.
3. Pour in the beaten eggs and cook gently.
4. Top with cheddar, bacon and green onion and cover to melt.</t>
        </is>
      </c>
      <c r="AC1123" s="4" t="inlineStr">
        <is>
          <t>["Crisp the bacon in a skillet and set aside.", "Brown the diced potatoes in oil.", "Pour in the beaten eggs and cook gently.", "Top with cheddar, bacon and green onion and cover to melt."]</t>
        </is>
      </c>
    </row>
    <row r="1124" ht="96" customHeight="1">
      <c r="A1124" s="2" t="inlineStr">
        <is>
          <t>DB-1123</t>
        </is>
      </c>
      <c r="B1124" s="3" t="inlineStr">
        <is>
          <t>Peanut Butter and Banana Toast</t>
        </is>
      </c>
      <c r="C1124" s="4" t="inlineStr">
        <is>
          <t>Breakfast</t>
        </is>
      </c>
      <c r="D1124" s="4" t="inlineStr">
        <is>
          <t>American</t>
        </is>
      </c>
      <c r="E1124" s="2" t="n">
        <v>2</v>
      </c>
      <c r="F1124" s="2" t="n">
        <v>3</v>
      </c>
      <c r="G1124" s="2" t="n">
        <v>3</v>
      </c>
      <c r="H1124" s="2" t="n">
        <v>6</v>
      </c>
      <c r="I1124" s="4" t="inlineStr">
        <is>
          <t>peanut-butter-and-banana-toast.jpg</t>
        </is>
      </c>
      <c r="J1124" s="3" t="inlineStr">
        <is>
          <t>Peanut Butter and Banana Toast, healthy food photography, plated, natural light</t>
        </is>
      </c>
      <c r="K1124" s="4" t="inlineStr"/>
      <c r="L1124" s="3" t="inlineStr">
        <is>
          <t>White bread — 80 g (2.8 oz)
Peanut butter, natural — 30 g (1.1 oz)
Banana (small amount) — 100 g (3.5 oz)
Ground cinnamon — 1 g (0.0 oz)</t>
        </is>
      </c>
      <c r="M1124" s="4" t="inlineStr">
        <is>
          <t>[{"ingredient_id": "white_bread", "name": "White bread", "grams": 80.0, "note": ""}, {"ingredient_id": "peanut_butter", "name": "Peanut butter, natural", "grams": 30.0, "note": ""}, {"ingredient_id": "banana", "name": "Banana (small amount)", "grams": 100.0, "note": ""}, {"ingredient_id": "cinnamon", "name": "Ground cinnamon", "grams": 1.0, "note": ""}]</t>
        </is>
      </c>
      <c r="N1124" s="2" t="n">
        <v>241</v>
      </c>
      <c r="O1124" s="5" t="n">
        <v>8.1</v>
      </c>
      <c r="P1124" s="5" t="n">
        <v>9.1</v>
      </c>
      <c r="Q1124" s="5" t="n">
        <v>34.6</v>
      </c>
      <c r="R1124" s="5" t="n">
        <v>3.4</v>
      </c>
      <c r="S1124" s="5" t="n">
        <v>31.2</v>
      </c>
      <c r="T1124" s="2" t="n">
        <v>61</v>
      </c>
      <c r="U1124" s="2" t="inlineStr">
        <is>
          <t>medium</t>
        </is>
      </c>
      <c r="V1124" s="5" t="n">
        <v>19</v>
      </c>
      <c r="W1124" s="2" t="inlineStr">
        <is>
          <t>medium</t>
        </is>
      </c>
      <c r="X1124" s="3" t="inlineStr">
        <is>
          <t>Medium-GI dish: keep to the stated portion and pair with the protein/fat in the recipe; GL per serving is the better guide.</t>
        </is>
      </c>
      <c r="Y1124" s="3" t="inlineStr">
        <is>
          <t>93% of this dish's available carbohydrate comes from ingredients with a published, measured GI; the rest uses conventional placeholders (see Ingredients sheet)</t>
        </is>
      </c>
      <c r="Z1124" s="2" t="n">
        <v>93</v>
      </c>
      <c r="AA1124" s="3" t="inlineStr">
        <is>
          <t>vegan, dairy-free</t>
        </is>
      </c>
      <c r="AB1124" s="3" t="inlineStr">
        <is>
          <t>1. Toast the bread.
2. Spread with peanut butter.
3. Top with sliced banana and cinnamon.</t>
        </is>
      </c>
      <c r="AC1124" s="4" t="inlineStr">
        <is>
          <t>["Toast the bread.", "Spread with peanut butter.", "Top with sliced banana and cinnamon."]</t>
        </is>
      </c>
    </row>
    <row r="1125" ht="96" customHeight="1">
      <c r="A1125" s="2" t="inlineStr">
        <is>
          <t>DB-1124</t>
        </is>
      </c>
      <c r="B1125" s="3" t="inlineStr">
        <is>
          <t>Biscuit-Style Egg Muffin with Sausage</t>
        </is>
      </c>
      <c r="C1125" s="4" t="inlineStr">
        <is>
          <t>Breakfast</t>
        </is>
      </c>
      <c r="D1125" s="4" t="inlineStr">
        <is>
          <t>American</t>
        </is>
      </c>
      <c r="E1125" s="2" t="n">
        <v>4</v>
      </c>
      <c r="F1125" s="2" t="n">
        <v>10</v>
      </c>
      <c r="G1125" s="2" t="n">
        <v>12</v>
      </c>
      <c r="H1125" s="2" t="n">
        <v>22</v>
      </c>
      <c r="I1125" s="4" t="inlineStr">
        <is>
          <t>biscuit-style-egg-muffin-with-sausage.jpg</t>
        </is>
      </c>
      <c r="J1125" s="3" t="inlineStr">
        <is>
          <t>Biscuit-Style Egg Muffin with Sausage, healthy food photography, plated, natural light</t>
        </is>
      </c>
      <c r="K1125" s="4" t="inlineStr"/>
      <c r="L1125" s="3" t="inlineStr">
        <is>
          <t>White bread — 160 g (5.6 oz)
Turkey sausage — 200 g (7.1 oz)
Egg, large (50 g each) — 200 g (7.1 oz)
Cheddar cheese — 40 g (1.4 oz)
Butter — 10 g (0.4 oz)</t>
        </is>
      </c>
      <c r="M1125" s="4" t="inlineStr">
        <is>
          <t>[{"ingredient_id": "white_bread", "name": "White bread", "grams": 160.0, "note": ""}, {"ingredient_id": "turkey_sausage", "name": "Turkey sausage", "grams": 200.0, "note": ""}, {"ingredient_id": "egg", "name": "Egg, large (50 g each)", "grams": 200.0, "note": ""}, {"ingredient_id": "cheddar", "name": "Cheddar cheese", "grams": 40.0, "note": ""}, {"ingredient_id": "butter", "name": "Butter", "grams": 10.0, "note": ""}]</t>
        </is>
      </c>
      <c r="N1125" s="2" t="n">
        <v>314</v>
      </c>
      <c r="O1125" s="5" t="n">
        <v>19.9</v>
      </c>
      <c r="P1125" s="5" t="n">
        <v>16.5</v>
      </c>
      <c r="Q1125" s="5" t="n">
        <v>21.2</v>
      </c>
      <c r="R1125" s="5" t="n">
        <v>0.9</v>
      </c>
      <c r="S1125" s="5" t="n">
        <v>20.2</v>
      </c>
      <c r="T1125" s="2" t="n">
        <v>67</v>
      </c>
      <c r="U1125" s="2" t="inlineStr">
        <is>
          <t>medium</t>
        </is>
      </c>
      <c r="V1125" s="5" t="n">
        <v>13.6</v>
      </c>
      <c r="W1125" s="2" t="inlineStr">
        <is>
          <t>medium</t>
        </is>
      </c>
      <c r="X1125" s="3" t="inlineStr">
        <is>
          <t>Medium-GI dish: keep to the stated portion and pair with the protein/fat in the recipe; GL per serving is the better guide.</t>
        </is>
      </c>
      <c r="Y1125" s="3" t="inlineStr">
        <is>
          <t>93% of this dish's available carbohydrate comes from ingredients with a published, measured GI; the rest uses conventional placeholders (see Ingredients sheet)</t>
        </is>
      </c>
      <c r="Z1125" s="2" t="n">
        <v>93</v>
      </c>
      <c r="AA1125" s="3" t="inlineStr">
        <is>
          <t>nut-free</t>
        </is>
      </c>
      <c r="AB1125" s="3" t="inlineStr">
        <is>
          <t>1. Shape the sausage into four thin patties and brown.
2. Fry the eggs in butter.
3. Toast the bread.
4. Stack sausage, egg and cheddar between slices.</t>
        </is>
      </c>
      <c r="AC1125" s="4" t="inlineStr">
        <is>
          <t>["Shape the sausage into four thin patties and brown.", "Fry the eggs in butter.", "Toast the bread.", "Stack sausage, egg and cheddar between slices."]</t>
        </is>
      </c>
    </row>
    <row r="1126" ht="96" customHeight="1">
      <c r="A1126" s="2" t="inlineStr">
        <is>
          <t>DB-1125</t>
        </is>
      </c>
      <c r="B1126" s="3" t="inlineStr">
        <is>
          <t>Hash Brown-Style Potato Cakes</t>
        </is>
      </c>
      <c r="C1126" s="4" t="inlineStr">
        <is>
          <t>Breakfast</t>
        </is>
      </c>
      <c r="D1126" s="4" t="inlineStr">
        <is>
          <t>American</t>
        </is>
      </c>
      <c r="E1126" s="2" t="n">
        <v>4</v>
      </c>
      <c r="F1126" s="2" t="n">
        <v>15</v>
      </c>
      <c r="G1126" s="2" t="n">
        <v>15</v>
      </c>
      <c r="H1126" s="2" t="n">
        <v>30</v>
      </c>
      <c r="I1126" s="4" t="inlineStr">
        <is>
          <t>hash-brown-style-potato-cakes.jpg</t>
        </is>
      </c>
      <c r="J1126" s="3" t="inlineStr">
        <is>
          <t>Hash Brown-Style Potato Cakes, healthy food photography, plated, natural light</t>
        </is>
      </c>
      <c r="K1126" s="4" t="inlineStr"/>
      <c r="L1126" s="3" t="inlineStr">
        <is>
          <t>Potato, boiled, peeled — 400 g (14.1 oz)
Egg, large (50 g each) — 50 g (1.8 oz)
Yellow onion — 50 g (1.8 oz)
Extra-virgin olive oil — 20 g (0.7 oz)
Salt — 2 g (0.1 oz)
Black pepper — 1 g (0.0 oz)</t>
        </is>
      </c>
      <c r="M1126" s="4" t="inlineStr">
        <is>
          <t>[{"ingredient_id": "potato_boiled", "name": "Potato, boiled, peeled", "grams": 400.0, "note": ""}, {"ingredient_id": "egg", "name": "Egg, large (50 g each)", "grams": 50.0, "note": ""}, {"ingredient_id": "onion", "name": "Yellow onion", "grams": 50.0, "note": ""}, {"ingredient_id": "olive_oil", "name": "Extra-virgin olive oil", "grams": 20.0, "note": ""}, {"ingredient_id": "salt", "name": "Salt", "grams": 2.0, "note": ""}, {"ingredient_id": "black_pepper", "name": "Black pepper", "grams": 1.0, "note": ""}]</t>
        </is>
      </c>
      <c r="N1126" s="2" t="n">
        <v>161</v>
      </c>
      <c r="O1126" s="5" t="n">
        <v>3.7</v>
      </c>
      <c r="P1126" s="5" t="n">
        <v>6.3</v>
      </c>
      <c r="Q1126" s="5" t="n">
        <v>22.9</v>
      </c>
      <c r="R1126" s="5" t="n">
        <v>1.8</v>
      </c>
      <c r="S1126" s="5" t="n">
        <v>21.1</v>
      </c>
      <c r="T1126" s="2" t="n">
        <v>63</v>
      </c>
      <c r="U1126" s="2" t="inlineStr">
        <is>
          <t>medium</t>
        </is>
      </c>
      <c r="V1126" s="5" t="n">
        <v>13.3</v>
      </c>
      <c r="W1126" s="2" t="inlineStr">
        <is>
          <t>medium</t>
        </is>
      </c>
      <c r="X1126" s="3" t="inlineStr">
        <is>
          <t>Medium-GI dish: keep to the stated portion and pair with the protein/fat in the recipe; GL per serving is the better guide.</t>
        </is>
      </c>
      <c r="Y1126" s="3" t="inlineStr">
        <is>
          <t>95% of this dish's available carbohydrate comes from ingredients with a published, measured GI; the rest uses conventional placeholders (see Ingredients sheet)</t>
        </is>
      </c>
      <c r="Z1126" s="2" t="n">
        <v>95</v>
      </c>
      <c r="AA1126" s="3" t="inlineStr">
        <is>
          <t>vegetarian, gluten-free, dairy-free, nut-free</t>
        </is>
      </c>
      <c r="AB1126" s="3" t="inlineStr">
        <is>
          <t>1. Grate the cooked potato and onion.
2. Mix with the egg and seasoning.
3. Shape into patties.
4. Pan-fry in oil until golden, 5 minutes a side.</t>
        </is>
      </c>
      <c r="AC1126" s="4" t="inlineStr">
        <is>
          <t>["Grate the cooked potato and onion.", "Mix with the egg and seasoning.", "Shape into patties.", "Pan-fry in oil until golden, 5 minutes a side."]</t>
        </is>
      </c>
    </row>
    <row r="1127" ht="96" customHeight="1">
      <c r="A1127" s="2" t="inlineStr">
        <is>
          <t>DB-1126</t>
        </is>
      </c>
      <c r="B1127" s="3" t="inlineStr">
        <is>
          <t>Cinnamon Oatmeal with Peanut Butter</t>
        </is>
      </c>
      <c r="C1127" s="4" t="inlineStr">
        <is>
          <t>Breakfast</t>
        </is>
      </c>
      <c r="D1127" s="4" t="inlineStr">
        <is>
          <t>American</t>
        </is>
      </c>
      <c r="E1127" s="2" t="n">
        <v>2</v>
      </c>
      <c r="F1127" s="2" t="n">
        <v>3</v>
      </c>
      <c r="G1127" s="2" t="n">
        <v>5</v>
      </c>
      <c r="H1127" s="2" t="n">
        <v>8</v>
      </c>
      <c r="I1127" s="4" t="inlineStr">
        <is>
          <t>cinnamon-oatmeal-with-peanut-butter.jpg</t>
        </is>
      </c>
      <c r="J1127" s="3" t="inlineStr">
        <is>
          <t>Cinnamon Oatmeal with Peanut Butter, healthy food photography, plated, natural light</t>
        </is>
      </c>
      <c r="K1127" s="4" t="inlineStr"/>
      <c r="L1127" s="3" t="inlineStr">
        <is>
          <t>Rolled oats, dry — 60 g (2.1 oz)
Milk, 2% — 300 g (10.6 oz)
Peanut butter, natural — 24 g (0.8 oz)
Ground cinnamon — 2 g (0.1 oz)
Apple — 100 g (3.5 oz)</t>
        </is>
      </c>
      <c r="M1127" s="4" t="inlineStr">
        <is>
          <t>[{"ingredient_id": "rolled_oats", "name": "Rolled oats, dry", "grams": 60.0, "note": ""}, {"ingredient_id": "milk", "name": "Milk, 2%", "grams": 300.0, "note": ""}, {"ingredient_id": "peanut_butter", "name": "Peanut butter, natural", "grams": 24.0, "note": ""}, {"ingredient_id": "cinnamon", "name": "Ground cinnamon", "grams": 2.0, "note": ""}, {"ingredient_id": "apple", "name": "Apple", "grams": 100.0, "note": ""}]</t>
        </is>
      </c>
      <c r="N1127" s="2" t="n">
        <v>288</v>
      </c>
      <c r="O1127" s="5" t="n">
        <v>12</v>
      </c>
      <c r="P1127" s="5" t="n">
        <v>11.1</v>
      </c>
      <c r="Q1127" s="5" t="n">
        <v>37.8</v>
      </c>
      <c r="R1127" s="5" t="n">
        <v>5.5</v>
      </c>
      <c r="S1127" s="5" t="n">
        <v>32.4</v>
      </c>
      <c r="T1127" s="2" t="n">
        <v>44</v>
      </c>
      <c r="U1127" s="2" t="inlineStr">
        <is>
          <t>low</t>
        </is>
      </c>
      <c r="V1127" s="5" t="n">
        <v>14.2</v>
      </c>
      <c r="W1127" s="2" t="inlineStr">
        <is>
          <t>medium</t>
        </is>
      </c>
      <c r="X1127" s="3" t="inlineStr"/>
      <c r="Y1127" s="3" t="inlineStr">
        <is>
          <t>94% of this dish's available carbohydrate comes from ingredients with a published, measured GI; the rest uses conventional placeholders (see Ingredients sheet)</t>
        </is>
      </c>
      <c r="Z1127" s="2" t="n">
        <v>94</v>
      </c>
      <c r="AA1127" s="3" t="inlineStr">
        <is>
          <t>vegetarian</t>
        </is>
      </c>
      <c r="AB1127" s="3" t="inlineStr">
        <is>
          <t>1. Simmer the oats in the milk for 5 minutes.
2. Stir in peanut butter and cinnamon.
3. Top with diced apple.</t>
        </is>
      </c>
      <c r="AC1127" s="4" t="inlineStr">
        <is>
          <t>["Simmer the oats in the milk for 5 minutes.", "Stir in peanut butter and cinnamon.", "Top with diced apple."]</t>
        </is>
      </c>
    </row>
    <row r="1128" ht="96" customHeight="1">
      <c r="A1128" s="2" t="inlineStr">
        <is>
          <t>DB-1127</t>
        </is>
      </c>
      <c r="B1128" s="3" t="inlineStr">
        <is>
          <t>Greek Yogurt with Walnuts and Honey Drizzle</t>
        </is>
      </c>
      <c r="C1128" s="4" t="inlineStr">
        <is>
          <t>Breakfast</t>
        </is>
      </c>
      <c r="D1128" s="4" t="inlineStr">
        <is>
          <t>American</t>
        </is>
      </c>
      <c r="E1128" s="2" t="n">
        <v>2</v>
      </c>
      <c r="F1128" s="2" t="n">
        <v>3</v>
      </c>
      <c r="G1128" s="2" t="n">
        <v>0</v>
      </c>
      <c r="H1128" s="2" t="n">
        <v>3</v>
      </c>
      <c r="I1128" s="4" t="inlineStr">
        <is>
          <t>greek-yogurt-with-walnuts-and-honey-drizzle.jpg</t>
        </is>
      </c>
      <c r="J1128" s="3" t="inlineStr">
        <is>
          <t>Greek Yogurt with Walnuts and Honey Drizzle, healthy food photography, plated, natural light</t>
        </is>
      </c>
      <c r="K1128" s="4" t="inlineStr"/>
      <c r="L1128" s="3" t="inlineStr">
        <is>
          <t>Greek yogurt, plain 2% — 300 g (10.6 oz)
Walnuts — 24 g (0.8 oz)
Honey (small amount) — 8 g (0.3 oz)
Ground cinnamon — 1 g (0.0 oz)</t>
        </is>
      </c>
      <c r="M1128" s="4" t="inlineStr">
        <is>
          <t>[{"ingredient_id": "greek_yogurt", "name": "Greek yogurt, plain 2%", "grams": 300.0, "note": ""}, {"ingredient_id": "walnuts", "name": "Walnuts", "grams": 24.0, "note": ""}, {"ingredient_id": "honey", "name": "Honey (small amount)", "grams": 8.0, "note": ""}, {"ingredient_id": "cinnamon", "name": "Ground cinnamon", "grams": 1.0, "note": ""}]</t>
        </is>
      </c>
      <c r="N1128" s="2" t="n">
        <v>201</v>
      </c>
      <c r="O1128" s="5" t="n">
        <v>16.8</v>
      </c>
      <c r="P1128" s="5" t="n">
        <v>10.8</v>
      </c>
      <c r="Q1128" s="5" t="n">
        <v>11.4</v>
      </c>
      <c r="R1128" s="5" t="n">
        <v>1.1</v>
      </c>
      <c r="S1128" s="5" t="n">
        <v>10.3</v>
      </c>
      <c r="T1128" s="2" t="n">
        <v>25</v>
      </c>
      <c r="U1128" s="2" t="inlineStr">
        <is>
          <t>low</t>
        </is>
      </c>
      <c r="V1128" s="5" t="n">
        <v>2.6</v>
      </c>
      <c r="W1128" s="2" t="inlineStr">
        <is>
          <t>low</t>
        </is>
      </c>
      <c r="X1128" s="3" t="inlineStr"/>
      <c r="Y1128" s="3" t="inlineStr">
        <is>
          <t>90% of this dish's available carbohydrate comes from ingredients with a published, measured GI; the rest uses conventional placeholders (see Ingredients sheet)</t>
        </is>
      </c>
      <c r="Z1128" s="2" t="n">
        <v>90</v>
      </c>
      <c r="AA1128" s="3" t="inlineStr">
        <is>
          <t>vegetarian, gluten-free, low-carb, no-cook</t>
        </is>
      </c>
      <c r="AB1128" s="3" t="inlineStr">
        <is>
          <t>1. Spoon the yogurt into bowls.
2. Top with walnuts and a thin drizzle of honey.
3. Dust with cinnamon.</t>
        </is>
      </c>
      <c r="AC1128" s="4" t="inlineStr">
        <is>
          <t>["Spoon the yogurt into bowls.", "Top with walnuts and a thin drizzle of honey.", "Dust with cinnamon."]</t>
        </is>
      </c>
    </row>
    <row r="1129" ht="96" customHeight="1">
      <c r="A1129" s="2" t="inlineStr">
        <is>
          <t>DB-1128</t>
        </is>
      </c>
      <c r="B1129" s="3" t="inlineStr">
        <is>
          <t>Turkey Bacon, Egg and Tomato Breakfast Wrap</t>
        </is>
      </c>
      <c r="C1129" s="4" t="inlineStr">
        <is>
          <t>Breakfast</t>
        </is>
      </c>
      <c r="D1129" s="4" t="inlineStr">
        <is>
          <t>American</t>
        </is>
      </c>
      <c r="E1129" s="2" t="n">
        <v>2</v>
      </c>
      <c r="F1129" s="2" t="n">
        <v>5</v>
      </c>
      <c r="G1129" s="2" t="n">
        <v>8</v>
      </c>
      <c r="H1129" s="2" t="n">
        <v>13</v>
      </c>
      <c r="I1129" s="4" t="inlineStr">
        <is>
          <t>turkey-bacon-egg-and-tomato-breakfast-wrap.jpg</t>
        </is>
      </c>
      <c r="J1129" s="3" t="inlineStr">
        <is>
          <t>Turkey Bacon, Egg and Tomato Breakfast Wrap, healthy food photography, plated, natural light</t>
        </is>
      </c>
      <c r="K1129" s="4" t="inlineStr"/>
      <c r="L1129" s="3" t="inlineStr">
        <is>
          <t>Flour tortilla, 8-inch — 80 g (2.8 oz)
Egg, large (50 g each) — 150 g (5.3 oz)
Turkey bacon — 40 g (1.4 oz)
Tomato — 80 g (2.8 oz)
Spinach — 30 g (1.1 oz)
Cheddar cheese — 20 g (0.7 oz)</t>
        </is>
      </c>
      <c r="M1129" s="4" t="inlineStr">
        <is>
          <t>[{"ingredient_id": "flour_tortilla", "name": "Flour tortilla, 8-inch", "grams": 80.0, "note": ""}, {"ingredient_id": "egg", "name": "Egg, large (50 g each)", "grams": 150.0, "note": ""}, {"ingredient_id": "turkey_bacon", "name": "Turkey bacon", "grams": 40.0, "note": ""}, {"ingredient_id": "tomato", "name": "Tomato", "grams": 80.0, "note": ""}, {"ingredient_id": "spinach", "name": "Spinach", "grams": 30.0, "note": ""}, {"ingredient_id": "cheddar", "name": "Cheddar cheese", "grams": 20.0, "note": ""}]</t>
        </is>
      </c>
      <c r="N1129" s="2" t="n">
        <v>324</v>
      </c>
      <c r="O1129" s="5" t="n">
        <v>19.4</v>
      </c>
      <c r="P1129" s="5" t="n">
        <v>16.8</v>
      </c>
      <c r="Q1129" s="5" t="n">
        <v>22.9</v>
      </c>
      <c r="R1129" s="5" t="n">
        <v>2.2</v>
      </c>
      <c r="S1129" s="5" t="n">
        <v>20.7</v>
      </c>
      <c r="T1129" s="2" t="n">
        <v>31</v>
      </c>
      <c r="U1129" s="2" t="inlineStr">
        <is>
          <t>low</t>
        </is>
      </c>
      <c r="V1129" s="5" t="n">
        <v>6.4</v>
      </c>
      <c r="W1129" s="2" t="inlineStr">
        <is>
          <t>low</t>
        </is>
      </c>
      <c r="X1129" s="3" t="inlineStr"/>
      <c r="Y1129" s="3" t="inlineStr">
        <is>
          <t>89% of this dish's available carbohydrate comes from ingredients with a published, measured GI; the rest uses conventional placeholders (see Ingredients sheet)</t>
        </is>
      </c>
      <c r="Z1129" s="2" t="n">
        <v>89</v>
      </c>
      <c r="AA1129" s="3" t="inlineStr">
        <is>
          <t>nut-free</t>
        </is>
      </c>
      <c r="AB1129" s="3" t="inlineStr">
        <is>
          <t>1. Crisp the turkey bacon.
2. Scramble the eggs.
3. Fill the tortillas with eggs, bacon, tomato, spinach and cheddar.
4. Roll and halve.</t>
        </is>
      </c>
      <c r="AC1129" s="4" t="inlineStr">
        <is>
          <t>["Crisp the turkey bacon.", "Scramble the eggs.", "Fill the tortillas with eggs, bacon, tomato, spinach and cheddar.", "Roll and halve."]</t>
        </is>
      </c>
    </row>
    <row r="1130" ht="96" customHeight="1">
      <c r="A1130" s="2" t="inlineStr">
        <is>
          <t>DB-1129</t>
        </is>
      </c>
      <c r="B1130" s="3" t="inlineStr">
        <is>
          <t>Classic Grilled Cheese Sandwich</t>
        </is>
      </c>
      <c r="C1130" s="4" t="inlineStr">
        <is>
          <t>Sandwiches &amp; Wraps</t>
        </is>
      </c>
      <c r="D1130" s="4" t="inlineStr">
        <is>
          <t>American</t>
        </is>
      </c>
      <c r="E1130" s="2" t="n">
        <v>2</v>
      </c>
      <c r="F1130" s="2" t="n">
        <v>3</v>
      </c>
      <c r="G1130" s="2" t="n">
        <v>8</v>
      </c>
      <c r="H1130" s="2" t="n">
        <v>11</v>
      </c>
      <c r="I1130" s="4" t="inlineStr">
        <is>
          <t>classic-grilled-cheese-sandwich.jpg</t>
        </is>
      </c>
      <c r="J1130" s="3" t="inlineStr">
        <is>
          <t>Classic Grilled Cheese Sandwich, healthy food photography, plated, natural light</t>
        </is>
      </c>
      <c r="K1130" s="4" t="inlineStr"/>
      <c r="L1130" s="3" t="inlineStr">
        <is>
          <t>White bread — 100 g (3.5 oz)
Cheddar cheese — 60 g (2.1 oz)
Butter — 10 g (0.4 oz)</t>
        </is>
      </c>
      <c r="M1130" s="4" t="inlineStr">
        <is>
          <t>[{"ingredient_id": "white_bread", "name": "White bread", "grams": 100.0, "note": ""}, {"ingredient_id": "cheddar", "name": "Cheddar cheese", "grams": 60.0, "note": ""}, {"ingredient_id": "butter", "name": "Butter", "grams": 10.0, "note": ""}]</t>
        </is>
      </c>
      <c r="N1130" s="2" t="n">
        <v>290</v>
      </c>
      <c r="O1130" s="5" t="n">
        <v>11.7</v>
      </c>
      <c r="P1130" s="5" t="n">
        <v>15.7</v>
      </c>
      <c r="Q1130" s="5" t="n">
        <v>25</v>
      </c>
      <c r="R1130" s="5" t="n">
        <v>1.1</v>
      </c>
      <c r="S1130" s="5" t="n">
        <v>23.8</v>
      </c>
      <c r="T1130" s="2" t="n">
        <v>71</v>
      </c>
      <c r="U1130" s="2" t="inlineStr">
        <is>
          <t>high</t>
        </is>
      </c>
      <c r="V1130" s="5" t="n">
        <v>16.9</v>
      </c>
      <c r="W1130" s="2" t="inlineStr">
        <is>
          <t>medium</t>
        </is>
      </c>
      <c r="X1130" s="3" t="inlineStr">
        <is>
          <t>Medium-GI dish: keep to the stated portion and pair with the protein/fat in the recipe; GL per serving is the better guide.</t>
        </is>
      </c>
      <c r="Y1130" s="3" t="inlineStr">
        <is>
          <t>98% of this dish's available carbohydrate comes from ingredients with a published, measured GI; the rest uses conventional placeholders (see Ingredients sheet)</t>
        </is>
      </c>
      <c r="Z1130" s="2" t="n">
        <v>98</v>
      </c>
      <c r="AA1130" s="3" t="inlineStr">
        <is>
          <t>vegetarian, nut-free</t>
        </is>
      </c>
      <c r="AB1130" s="3" t="inlineStr">
        <is>
          <t>1. Butter one side of each slice.
2. Assemble with cheddar between, butter sides out.
3. Grill in a pan until golden, 3 to 4 minutes a side.</t>
        </is>
      </c>
      <c r="AC1130" s="4" t="inlineStr">
        <is>
          <t>["Butter one side of each slice.", "Assemble with cheddar between, butter sides out.", "Grill in a pan until golden, 3 to 4 minutes a side."]</t>
        </is>
      </c>
    </row>
    <row r="1131" ht="96" customHeight="1">
      <c r="A1131" s="2" t="inlineStr">
        <is>
          <t>DB-1130</t>
        </is>
      </c>
      <c r="B1131" s="3" t="inlineStr">
        <is>
          <t>Turkey, Bacon and Avocado Club Sandwich</t>
        </is>
      </c>
      <c r="C1131" s="4" t="inlineStr">
        <is>
          <t>Sandwiches &amp; Wraps</t>
        </is>
      </c>
      <c r="D1131" s="4" t="inlineStr">
        <is>
          <t>American</t>
        </is>
      </c>
      <c r="E1131" s="2" t="n">
        <v>2</v>
      </c>
      <c r="F1131" s="2" t="n">
        <v>10</v>
      </c>
      <c r="G1131" s="2" t="n">
        <v>0</v>
      </c>
      <c r="H1131" s="2" t="n">
        <v>10</v>
      </c>
      <c r="I1131" s="4" t="inlineStr">
        <is>
          <t>turkey-bacon-and-avocado-club-sandwich.jpg</t>
        </is>
      </c>
      <c r="J1131" s="3" t="inlineStr">
        <is>
          <t>Turkey, Bacon and Avocado Club Sandwich, healthy food photography, plated, natural light</t>
        </is>
      </c>
      <c r="K1131" s="4" t="inlineStr"/>
      <c r="L1131" s="3" t="inlineStr">
        <is>
          <t>White bread — 120 g (4.2 oz)
Deli turkey breast, low sodium — 100 g (3.5 oz)
Turkey bacon — 40 g (1.4 oz)
Avocado — 70 g (2.5 oz)
Tomato — 80 g (2.8 oz)
Romaine lettuce — 30 g (1.1 oz)
Mayonnaise (avocado oil) — 15 g (0.5 oz)</t>
        </is>
      </c>
      <c r="M1131" s="4" t="inlineStr">
        <is>
          <t>[{"ingredient_id": "white_bread", "name": "White bread", "grams": 120.0, "note": ""}, {"ingredient_id": "deli_turkey", "name": "Deli turkey breast, low sodium", "grams": 100.0, "note": ""}, {"ingredient_id": "turkey_bacon", "name": "Turkey bacon", "grams": 40.0, "note": ""}, {"ingredient_id": "avocado", "name": "Avocado", "grams": 70.0, "note": ""}, {"ingredient_id": "tomato", "name": "Tomato", "grams": 80.0, "note": ""}, {"ingredient_id": "romaine", "name": "Romaine lettuce", "grams": 30.0, "note": ""}, {"ingredient_id": "mayo", "name": "Mayonnaise (avocado oil)", "grams": 15.0, "note": ""}]</t>
        </is>
      </c>
      <c r="N1131" s="2" t="n">
        <v>374</v>
      </c>
      <c r="O1131" s="5" t="n">
        <v>19</v>
      </c>
      <c r="P1131" s="5" t="n">
        <v>17.1</v>
      </c>
      <c r="Q1131" s="5" t="n">
        <v>36.9</v>
      </c>
      <c r="R1131" s="5" t="n">
        <v>4.5</v>
      </c>
      <c r="S1131" s="5" t="n">
        <v>32.4</v>
      </c>
      <c r="T1131" s="2" t="n">
        <v>63</v>
      </c>
      <c r="U1131" s="2" t="inlineStr">
        <is>
          <t>medium</t>
        </is>
      </c>
      <c r="V1131" s="5" t="n">
        <v>20.4</v>
      </c>
      <c r="W1131" s="2" t="inlineStr">
        <is>
          <t>high</t>
        </is>
      </c>
      <c r="X1131" s="3" t="inlineStr">
        <is>
          <t>Medium-GI dish: keep to the stated portion and pair with the protein/fat in the recipe; GL per serving is the better guide.</t>
        </is>
      </c>
      <c r="Y1131" s="3" t="inlineStr">
        <is>
          <t>87% of this dish's available carbohydrate comes from ingredients with a published, measured GI; the rest uses conventional placeholders (see Ingredients sheet)</t>
        </is>
      </c>
      <c r="Z1131" s="2" t="n">
        <v>87</v>
      </c>
      <c r="AA1131" s="3" t="inlineStr">
        <is>
          <t>dairy-free, nut-free</t>
        </is>
      </c>
      <c r="AB1131" s="3" t="inlineStr">
        <is>
          <t>1. Toast the bread.
2. Spread with mayo.
3. Layer turkey, bacon, avocado, tomato and romaine.
4. Cut into triangles.</t>
        </is>
      </c>
      <c r="AC1131" s="4" t="inlineStr">
        <is>
          <t>["Toast the bread.", "Spread with mayo.", "Layer turkey, bacon, avocado, tomato and romaine.", "Cut into triangles."]</t>
        </is>
      </c>
    </row>
    <row r="1132" ht="96" customHeight="1">
      <c r="A1132" s="2" t="inlineStr">
        <is>
          <t>DB-1131</t>
        </is>
      </c>
      <c r="B1132" s="3" t="inlineStr">
        <is>
          <t>BLT Sandwich with Avocado</t>
        </is>
      </c>
      <c r="C1132" s="4" t="inlineStr">
        <is>
          <t>Sandwiches &amp; Wraps</t>
        </is>
      </c>
      <c r="D1132" s="4" t="inlineStr">
        <is>
          <t>American</t>
        </is>
      </c>
      <c r="E1132" s="2" t="n">
        <v>2</v>
      </c>
      <c r="F1132" s="2" t="n">
        <v>5</v>
      </c>
      <c r="G1132" s="2" t="n">
        <v>8</v>
      </c>
      <c r="H1132" s="2" t="n">
        <v>13</v>
      </c>
      <c r="I1132" s="4" t="inlineStr">
        <is>
          <t>blt-sandwich-with-avocado.jpg</t>
        </is>
      </c>
      <c r="J1132" s="3" t="inlineStr">
        <is>
          <t>BLT Sandwich with Avocado, healthy food photography, plated, natural light</t>
        </is>
      </c>
      <c r="K1132" s="4" t="inlineStr"/>
      <c r="L1132" s="3" t="inlineStr">
        <is>
          <t>White bread — 100 g (3.5 oz)
Bacon — 50 g (1.8 oz)
Tomato — 120 g (4.2 oz)
Romaine lettuce — 40 g (1.4 oz)
Avocado — 70 g (2.5 oz)
Mayonnaise (avocado oil) — 10 g (0.4 oz)</t>
        </is>
      </c>
      <c r="M1132" s="4" t="inlineStr">
        <is>
          <t>[{"ingredient_id": "white_bread", "name": "White bread", "grams": 100.0, "note": ""}, {"ingredient_id": "bacon", "name": "Bacon", "grams": 50.0, "note": ""}, {"ingredient_id": "tomato", "name": "Tomato", "grams": 120.0, "note": ""}, {"ingredient_id": "romaine", "name": "Romaine lettuce", "grams": 40.0, "note": ""}, {"ingredient_id": "avocado", "name": "Avocado", "grams": 70.0, "note": ""}, {"ingredient_id": "mayo", "name": "Mayonnaise (avocado oil)", "grams": 10.0, "note": ""}]</t>
        </is>
      </c>
      <c r="N1132" s="2" t="n">
        <v>374</v>
      </c>
      <c r="O1132" s="5" t="n">
        <v>15.4</v>
      </c>
      <c r="P1132" s="5" t="n">
        <v>21.6</v>
      </c>
      <c r="Q1132" s="5" t="n">
        <v>30.9</v>
      </c>
      <c r="R1132" s="5" t="n">
        <v>4.6</v>
      </c>
      <c r="S1132" s="5" t="n">
        <v>26.3</v>
      </c>
      <c r="T1132" s="2" t="n">
        <v>66</v>
      </c>
      <c r="U1132" s="2" t="inlineStr">
        <is>
          <t>medium</t>
        </is>
      </c>
      <c r="V1132" s="5" t="n">
        <v>17.4</v>
      </c>
      <c r="W1132" s="2" t="inlineStr">
        <is>
          <t>medium</t>
        </is>
      </c>
      <c r="X1132" s="3" t="inlineStr">
        <is>
          <t>Medium-GI dish: keep to the stated portion and pair with the protein/fat in the recipe; GL per serving is the better guide.</t>
        </is>
      </c>
      <c r="Y1132" s="3" t="inlineStr">
        <is>
          <t>89% of this dish's available carbohydrate comes from ingredients with a published, measured GI; the rest uses conventional placeholders (see Ingredients sheet)</t>
        </is>
      </c>
      <c r="Z1132" s="2" t="n">
        <v>89</v>
      </c>
      <c r="AA1132" s="3" t="inlineStr">
        <is>
          <t>dairy-free, nut-free</t>
        </is>
      </c>
      <c r="AB1132" s="3" t="inlineStr">
        <is>
          <t>1. Cook the bacon until crisp.
2. Toast the bread and spread with mayo and mashed avocado.
3. Layer bacon, tomato and romaine.</t>
        </is>
      </c>
      <c r="AC1132" s="4" t="inlineStr">
        <is>
          <t>["Cook the bacon until crisp.", "Toast the bread and spread with mayo and mashed avocado.", "Layer bacon, tomato and romaine."]</t>
        </is>
      </c>
    </row>
    <row r="1133" ht="96" customHeight="1">
      <c r="A1133" s="2" t="inlineStr">
        <is>
          <t>DB-1132</t>
        </is>
      </c>
      <c r="B1133" s="3" t="inlineStr">
        <is>
          <t>Cheeseburger on a Bun</t>
        </is>
      </c>
      <c r="C1133" s="4" t="inlineStr">
        <is>
          <t>Sandwiches &amp; Wraps</t>
        </is>
      </c>
      <c r="D1133" s="4" t="inlineStr">
        <is>
          <t>American</t>
        </is>
      </c>
      <c r="E1133" s="2" t="n">
        <v>4</v>
      </c>
      <c r="F1133" s="2" t="n">
        <v>10</v>
      </c>
      <c r="G1133" s="2" t="n">
        <v>12</v>
      </c>
      <c r="H1133" s="2" t="n">
        <v>22</v>
      </c>
      <c r="I1133" s="4" t="inlineStr">
        <is>
          <t>cheeseburger-on-a-bun.jpg</t>
        </is>
      </c>
      <c r="J1133" s="3" t="inlineStr">
        <is>
          <t>Cheeseburger on a Bun, healthy food photography, plated, natural light</t>
        </is>
      </c>
      <c r="K1133" s="4" t="inlineStr"/>
      <c r="L1133" s="3" t="inlineStr">
        <is>
          <t>Ground beef 90% lean — 450 g (15.9 oz)
Hamburger bun, white — 240 g (8.5 oz)
Cheddar cheese — 60 g (2.1 oz)
Tomato — 120 g (4.2 oz)
Romaine lettuce — 60 g (2.1 oz)
Red onion — 40 g (1.4 oz)
Dill pickles — 40 g (1.4 oz)
Yellow mustard — 10 g (0.4 oz)
Salt — 2 g (0.1 oz)</t>
        </is>
      </c>
      <c r="M1133" s="4" t="inlineStr">
        <is>
          <t>[{"ingredient_id": "ground_beef", "name": "Ground beef 90% lean", "grams": 450.0, "note": ""}, {"ingredient_id": "hamburger_bun", "name": "Hamburger bun, white", "grams": 240.0, "note": ""}, {"ingredient_id": "cheddar", "name": "Cheddar cheese", "grams": 60.0, "note": ""}, {"ingredient_id": "tomato", "name": "Tomato", "grams": 120.0, "note": ""}, {"ingredient_id": "romaine", "name": "Romaine lettuce", "grams": 60.0, "note": ""}, {"ingredient_id": "red_onion", "name": "Red onion", "grams": 40.0, "note": ""}, {"ingredient_id": "dill_pickle", "name": "Dill pickles", "grams": 40.0, "note": ""}, {"ingredient_id": "yellow_mustard", "name": "Yellow mustard", "grams": 10.0, "note": ""}, {"ingredient_id": "salt", "name": "Salt", "grams": 2.0, "note": ""}]</t>
        </is>
      </c>
      <c r="N1133" s="2" t="n">
        <v>433</v>
      </c>
      <c r="O1133" s="5" t="n">
        <v>32.3</v>
      </c>
      <c r="P1133" s="5" t="n">
        <v>18.6</v>
      </c>
      <c r="Q1133" s="5" t="n">
        <v>32.7</v>
      </c>
      <c r="R1133" s="5" t="n">
        <v>2.4</v>
      </c>
      <c r="S1133" s="5" t="n">
        <v>30.3</v>
      </c>
      <c r="T1133" s="2" t="n">
        <v>59</v>
      </c>
      <c r="U1133" s="2" t="inlineStr">
        <is>
          <t>medium</t>
        </is>
      </c>
      <c r="V1133" s="5" t="n">
        <v>17.9</v>
      </c>
      <c r="W1133" s="2" t="inlineStr">
        <is>
          <t>medium</t>
        </is>
      </c>
      <c r="X1133" s="3" t="inlineStr">
        <is>
          <t>Medium-GI dish: keep to the stated portion and pair with the protein/fat in the recipe; GL per serving is the better guide.</t>
        </is>
      </c>
      <c r="Y1133" s="3" t="inlineStr">
        <is>
          <t>93% of this dish's available carbohydrate comes from ingredients with a published, measured GI; the rest uses conventional placeholders (see Ingredients sheet)</t>
        </is>
      </c>
      <c r="Z1133" s="2" t="n">
        <v>93</v>
      </c>
      <c r="AA1133" s="3" t="inlineStr">
        <is>
          <t>nut-free, high-protein</t>
        </is>
      </c>
      <c r="AB1133" s="3" t="inlineStr">
        <is>
          <t>1. Shape the beef into four patties and season with salt.
2. Grill or pan-sear 4 minutes a side; add cheddar for the last minute.
3. Toast the buns.
4. Build with lettuce, tomato, onion, pickle and mustard.</t>
        </is>
      </c>
      <c r="AC1133" s="4" t="inlineStr">
        <is>
          <t>["Shape the beef into four patties and season with salt.", "Grill or pan-sear 4 minutes a side; add cheddar for the last minute.", "Toast the buns.", "Build with lettuce, tomato, onion, pickle and mustard."]</t>
        </is>
      </c>
    </row>
    <row r="1134" ht="96" customHeight="1">
      <c r="A1134" s="2" t="inlineStr">
        <is>
          <t>DB-1133</t>
        </is>
      </c>
      <c r="B1134" s="3" t="inlineStr">
        <is>
          <t>Turkey Burger on a Whole Bun with Avocado</t>
        </is>
      </c>
      <c r="C1134" s="4" t="inlineStr">
        <is>
          <t>Sandwiches &amp; Wraps</t>
        </is>
      </c>
      <c r="D1134" s="4" t="inlineStr">
        <is>
          <t>American</t>
        </is>
      </c>
      <c r="E1134" s="2" t="n">
        <v>4</v>
      </c>
      <c r="F1134" s="2" t="n">
        <v>10</v>
      </c>
      <c r="G1134" s="2" t="n">
        <v>12</v>
      </c>
      <c r="H1134" s="2" t="n">
        <v>22</v>
      </c>
      <c r="I1134" s="4" t="inlineStr">
        <is>
          <t>turkey-burger-on-a-whole-bun-with-avocado.jpg</t>
        </is>
      </c>
      <c r="J1134" s="3" t="inlineStr">
        <is>
          <t>Turkey Burger on a Whole Bun with Avocado, healthy food photography, plated, natural light</t>
        </is>
      </c>
      <c r="K1134" s="4" t="inlineStr"/>
      <c r="L1134" s="3" t="inlineStr">
        <is>
          <t>Ground turkey 93% lean — 500 g (17.6 oz)
Hamburger bun, white — 240 g (8.5 oz)
Avocado — 100 g (3.5 oz)
Tomato — 120 g (4.2 oz)
Romaine lettuce — 60 g (2.1 oz)
Red onion — 30 g (1.1 oz)
Smoked paprika — 2 g (0.1 oz)
Salt — 2 g (0.1 oz)</t>
        </is>
      </c>
      <c r="M1134" s="4" t="inlineStr">
        <is>
          <t>[{"ingredient_id": "ground_turkey", "name": "Ground turkey 93% lean", "grams": 500.0, "note": ""}, {"ingredient_id": "hamburger_bun", "name": "Hamburger bun, white", "grams": 240.0, "note": ""}, {"ingredient_id": "avocado", "name": "Avocado", "grams": 100.0, "note": ""}, {"ingredient_id": "tomato", "name": "Tomato", "grams": 120.0, "note": ""}, {"ingredient_id": "romaine", "name": "Romaine lettuce", "grams": 60.0, "note": ""}, {"ingredient_id": "red_onion", "name": "Red onion", "grams": 30.0, "note": ""}, {"ingredient_id": "smoked_paprika", "name": "Smoked paprika", "grams": 2.0, "note": ""}, {"ingredient_id": "salt", "name": "Salt", "grams": 2.0, "note": ""}]</t>
        </is>
      </c>
      <c r="N1134" s="2" t="n">
        <v>400</v>
      </c>
      <c r="O1134" s="5" t="n">
        <v>30.1</v>
      </c>
      <c r="P1134" s="5" t="n">
        <v>16.1</v>
      </c>
      <c r="Q1134" s="5" t="n">
        <v>34.3</v>
      </c>
      <c r="R1134" s="5" t="n">
        <v>4</v>
      </c>
      <c r="S1134" s="5" t="n">
        <v>30.2</v>
      </c>
      <c r="T1134" s="2" t="n">
        <v>59</v>
      </c>
      <c r="U1134" s="2" t="inlineStr">
        <is>
          <t>medium</t>
        </is>
      </c>
      <c r="V1134" s="5" t="n">
        <v>17.8</v>
      </c>
      <c r="W1134" s="2" t="inlineStr">
        <is>
          <t>medium</t>
        </is>
      </c>
      <c r="X1134" s="3" t="inlineStr">
        <is>
          <t>Medium-GI dish: keep to the stated portion and pair with the protein/fat in the recipe; GL per serving is the better guide.</t>
        </is>
      </c>
      <c r="Y1134" s="3" t="inlineStr">
        <is>
          <t>93% of this dish's available carbohydrate comes from ingredients with a published, measured GI; the rest uses conventional placeholders (see Ingredients sheet)</t>
        </is>
      </c>
      <c r="Z1134" s="2" t="n">
        <v>93</v>
      </c>
      <c r="AA1134" s="3" t="inlineStr">
        <is>
          <t>dairy-free, nut-free, high-protein</t>
        </is>
      </c>
      <c r="AB1134" s="3" t="inlineStr">
        <is>
          <t>1. Mix the turkey with paprika and salt and shape four patties.
2. Pan-sear 5 to 6 minutes a side.
3. Toast the buns.
4. Build with avocado, tomato, lettuce and onion.</t>
        </is>
      </c>
      <c r="AC1134" s="4" t="inlineStr">
        <is>
          <t>["Mix the turkey with paprika and salt and shape four patties.", "Pan-sear 5 to 6 minutes a side.", "Toast the buns.", "Build with avocado, tomato, lettuce and onion."]</t>
        </is>
      </c>
    </row>
    <row r="1135" ht="96" customHeight="1">
      <c r="A1135" s="2" t="inlineStr">
        <is>
          <t>DB-1134</t>
        </is>
      </c>
      <c r="B1135" s="3" t="inlineStr">
        <is>
          <t>Patty Melt</t>
        </is>
      </c>
      <c r="C1135" s="4" t="inlineStr">
        <is>
          <t>Sandwiches &amp; Wraps</t>
        </is>
      </c>
      <c r="D1135" s="4" t="inlineStr">
        <is>
          <t>American</t>
        </is>
      </c>
      <c r="E1135" s="2" t="n">
        <v>2</v>
      </c>
      <c r="F1135" s="2" t="n">
        <v>10</v>
      </c>
      <c r="G1135" s="2" t="n">
        <v>15</v>
      </c>
      <c r="H1135" s="2" t="n">
        <v>25</v>
      </c>
      <c r="I1135" s="4" t="inlineStr">
        <is>
          <t>patty-melt.jpg</t>
        </is>
      </c>
      <c r="J1135" s="3" t="inlineStr">
        <is>
          <t>Patty Melt, healthy food photography, plated, natural light</t>
        </is>
      </c>
      <c r="K1135" s="4" t="inlineStr"/>
      <c r="L1135" s="3" t="inlineStr">
        <is>
          <t>Ground beef 90% lean — 250 g (8.8 oz)
White bread — 100 g (3.5 oz)
Swiss cheese — 50 g (1.8 oz)
Yellow onion — 120 g (4.2 oz)
Butter — 10 g (0.4 oz)
Extra-virgin olive oil — 5 g (0.2 oz)</t>
        </is>
      </c>
      <c r="M1135" s="4" t="inlineStr">
        <is>
          <t>[{"ingredient_id": "ground_beef", "name": "Ground beef 90% lean", "grams": 250.0, "note": ""}, {"ingredient_id": "white_bread", "name": "White bread", "grams": 100.0, "note": ""}, {"ingredient_id": "swiss_cheese", "name": "Swiss cheese", "grams": 50.0, "note": ""}, {"ingredient_id": "onion", "name": "Yellow onion", "grams": 120.0, "note": ""}, {"ingredient_id": "butter", "name": "Butter", "grams": 10.0, "note": ""}, {"ingredient_id": "olive_oil", "name": "Extra-virgin olive oil", "grams": 5.0, "note": ""}]</t>
        </is>
      </c>
      <c r="N1135" s="2" t="n">
        <v>530</v>
      </c>
      <c r="O1135" s="5" t="n">
        <v>37.2</v>
      </c>
      <c r="P1135" s="5" t="n">
        <v>27.9</v>
      </c>
      <c r="Q1135" s="5" t="n">
        <v>30.6</v>
      </c>
      <c r="R1135" s="5" t="n">
        <v>2.2</v>
      </c>
      <c r="S1135" s="5" t="n">
        <v>28.4</v>
      </c>
      <c r="T1135" s="2" t="n">
        <v>62</v>
      </c>
      <c r="U1135" s="2" t="inlineStr">
        <is>
          <t>medium</t>
        </is>
      </c>
      <c r="V1135" s="5" t="n">
        <v>17.6</v>
      </c>
      <c r="W1135" s="2" t="inlineStr">
        <is>
          <t>medium</t>
        </is>
      </c>
      <c r="X1135" s="3" t="inlineStr">
        <is>
          <t>Medium-GI dish: keep to the stated portion and pair with the protein/fat in the recipe; GL per serving is the better guide.</t>
        </is>
      </c>
      <c r="Y1135" s="3" t="inlineStr">
        <is>
          <t>83% of this dish's available carbohydrate comes from ingredients with a published, measured GI; the rest uses conventional placeholders (see Ingredients sheet)</t>
        </is>
      </c>
      <c r="Z1135" s="2" t="n">
        <v>83</v>
      </c>
      <c r="AA1135" s="3" t="inlineStr">
        <is>
          <t>nut-free, high-protein</t>
        </is>
      </c>
      <c r="AB1135" s="3" t="inlineStr">
        <is>
          <t>1. Caramelise the onion slowly in oil.
2. Form two oval patties and sear.
3. Layer patty, onion and Swiss between buttered bread.
4. Grill until crisp and melted.</t>
        </is>
      </c>
      <c r="AC1135" s="4" t="inlineStr">
        <is>
          <t>["Caramelise the onion slowly in oil.", "Form two oval patties and sear.", "Layer patty, onion and Swiss between buttered bread.", "Grill until crisp and melted."]</t>
        </is>
      </c>
    </row>
    <row r="1136" ht="96" customHeight="1">
      <c r="A1136" s="2" t="inlineStr">
        <is>
          <t>DB-1135</t>
        </is>
      </c>
      <c r="B1136" s="3" t="inlineStr">
        <is>
          <t>Hot Dog with Sauerkraut and Mustard</t>
        </is>
      </c>
      <c r="C1136" s="4" t="inlineStr">
        <is>
          <t>Sandwiches &amp; Wraps</t>
        </is>
      </c>
      <c r="D1136" s="4" t="inlineStr">
        <is>
          <t>American</t>
        </is>
      </c>
      <c r="E1136" s="2" t="n">
        <v>4</v>
      </c>
      <c r="F1136" s="2" t="n">
        <v>5</v>
      </c>
      <c r="G1136" s="2" t="n">
        <v>8</v>
      </c>
      <c r="H1136" s="2" t="n">
        <v>13</v>
      </c>
      <c r="I1136" s="4" t="inlineStr">
        <is>
          <t>hot-dog-with-sauerkraut-and-mustard.jpg</t>
        </is>
      </c>
      <c r="J1136" s="3" t="inlineStr">
        <is>
          <t>Hot Dog with Sauerkraut and Mustard, healthy food photography, plated, natural light</t>
        </is>
      </c>
      <c r="K1136" s="4" t="inlineStr"/>
      <c r="L1136" s="3" t="inlineStr">
        <is>
          <t>Turkey sausage — 400 g (14.1 oz)
Hamburger bun, white — 160 g (5.6 oz)
Sauerkraut — 120 g (4.2 oz)
Yellow mustard — 20 g (0.7 oz)
Red onion — 30 g (1.1 oz)</t>
        </is>
      </c>
      <c r="M1136" s="4" t="inlineStr">
        <is>
          <t>[{"ingredient_id": "turkey_sausage", "name": "Turkey sausage", "grams": 400.0, "note": ""}, {"ingredient_id": "hamburger_bun", "name": "Hamburger bun, white", "grams": 160.0, "note": ""}, {"ingredient_id": "sauerkraut", "name": "Sauerkraut", "grams": 120.0, "note": ""}, {"ingredient_id": "yellow_mustard", "name": "Yellow mustard", "grams": 20.0, "note": ""}, {"ingredient_id": "red_onion", "name": "Red onion", "grams": 30.0, "note": ""}]</t>
        </is>
      </c>
      <c r="N1136" s="2" t="n">
        <v>274</v>
      </c>
      <c r="O1136" s="5" t="n">
        <v>19.3</v>
      </c>
      <c r="P1136" s="5" t="n">
        <v>11.6</v>
      </c>
      <c r="Q1136" s="5" t="n">
        <v>23.9</v>
      </c>
      <c r="R1136" s="5" t="n">
        <v>2.1</v>
      </c>
      <c r="S1136" s="5" t="n">
        <v>21.9</v>
      </c>
      <c r="T1136" s="2" t="n">
        <v>54</v>
      </c>
      <c r="U1136" s="2" t="inlineStr">
        <is>
          <t>low</t>
        </is>
      </c>
      <c r="V1136" s="5" t="n">
        <v>11.8</v>
      </c>
      <c r="W1136" s="2" t="inlineStr">
        <is>
          <t>medium</t>
        </is>
      </c>
      <c r="X1136" s="3" t="inlineStr"/>
      <c r="Y1136" s="3" t="inlineStr">
        <is>
          <t>86% of this dish's available carbohydrate comes from ingredients with a published, measured GI; the rest uses conventional placeholders (see Ingredients sheet)</t>
        </is>
      </c>
      <c r="Z1136" s="2" t="n">
        <v>86</v>
      </c>
      <c r="AA1136" s="3" t="inlineStr">
        <is>
          <t>dairy-free, nut-free</t>
        </is>
      </c>
      <c r="AB1136" s="3" t="inlineStr">
        <is>
          <t>1. Grill or pan-sear the sausages.
2. Warm the buns.
3. Fill with sausage, sauerkraut, mustard and onion.</t>
        </is>
      </c>
      <c r="AC1136" s="4" t="inlineStr">
        <is>
          <t>["Grill or pan-sear the sausages.", "Warm the buns.", "Fill with sausage, sauerkraut, mustard and onion."]</t>
        </is>
      </c>
    </row>
    <row r="1137" ht="96" customHeight="1">
      <c r="A1137" s="2" t="inlineStr">
        <is>
          <t>DB-1136</t>
        </is>
      </c>
      <c r="B1137" s="3" t="inlineStr">
        <is>
          <t>Chicken Salad Sandwich</t>
        </is>
      </c>
      <c r="C1137" s="4" t="inlineStr">
        <is>
          <t>Sandwiches &amp; Wraps</t>
        </is>
      </c>
      <c r="D1137" s="4" t="inlineStr">
        <is>
          <t>American</t>
        </is>
      </c>
      <c r="E1137" s="2" t="n">
        <v>3</v>
      </c>
      <c r="F1137" s="2" t="n">
        <v>15</v>
      </c>
      <c r="G1137" s="2" t="n">
        <v>0</v>
      </c>
      <c r="H1137" s="2" t="n">
        <v>15</v>
      </c>
      <c r="I1137" s="4" t="inlineStr">
        <is>
          <t>chicken-salad-sandwich.jpg</t>
        </is>
      </c>
      <c r="J1137" s="3" t="inlineStr">
        <is>
          <t>Chicken Salad Sandwich, healthy food photography, plated, natural light</t>
        </is>
      </c>
      <c r="K1137" s="4" t="inlineStr"/>
      <c r="L1137" s="3" t="inlineStr">
        <is>
          <t>Rotisserie chicken, skin removed — 250 g (8.8 oz)
White bread — 150 g (5.3 oz)
Celery — 50 g (1.8 oz)
Greek yogurt, plain 2% — 70 g (2.5 oz)
Mayonnaise (avocado oil) — 15 g (0.5 oz)
Dijon mustard — 5 g (0.2 oz)
Lemon juice — 10 g (0.4 oz)
Romaine lettuce — 40 g (1.4 oz)</t>
        </is>
      </c>
      <c r="M1137" s="4" t="inlineStr">
        <is>
          <t>[{"ingredient_id": "rotisserie_chicken", "name": "Rotisserie chicken, skin removed", "grams": 250.0, "note": ""}, {"ingredient_id": "white_bread", "name": "White bread", "grams": 150.0, "note": ""}, {"ingredient_id": "celery", "name": "Celery", "grams": 50.0, "note": ""}, {"ingredient_id": "greek_yogurt", "name": "Greek yogurt, plain 2%", "grams": 70.0, "note": ""}, {"ingredient_id": "mayo", "name": "Mayonnaise (avocado oil)", "grams": 15.0, "note": ""}, {"ingredient_id": "dijon", "name": "Dijon mustard", "grams": 5.0, "note": ""}, {"ingredient_id": "lemon_juice", "name": "Lemon juice", "grams": 10.0, "note": ""}, {"ingredient_id": "romaine", "name": "Romaine lettuce", "grams": 40.0, "note": ""}]</t>
        </is>
      </c>
      <c r="N1137" s="2" t="n">
        <v>326</v>
      </c>
      <c r="O1137" s="5" t="n">
        <v>26.6</v>
      </c>
      <c r="P1137" s="5" t="n">
        <v>12.1</v>
      </c>
      <c r="Q1137" s="5" t="n">
        <v>26.8</v>
      </c>
      <c r="R1137" s="5" t="n">
        <v>1.8</v>
      </c>
      <c r="S1137" s="5" t="n">
        <v>25</v>
      </c>
      <c r="T1137" s="2" t="n">
        <v>68</v>
      </c>
      <c r="U1137" s="2" t="inlineStr">
        <is>
          <t>medium</t>
        </is>
      </c>
      <c r="V1137" s="5" t="n">
        <v>17</v>
      </c>
      <c r="W1137" s="2" t="inlineStr">
        <is>
          <t>medium</t>
        </is>
      </c>
      <c r="X1137" s="3" t="inlineStr">
        <is>
          <t>Medium-GI dish: keep to the stated portion and pair with the protein/fat in the recipe; GL per serving is the better guide.</t>
        </is>
      </c>
      <c r="Y1137" s="3" t="inlineStr">
        <is>
          <t>97% of this dish's available carbohydrate comes from ingredients with a published, measured GI; the rest uses conventional placeholders (see Ingredients sheet)</t>
        </is>
      </c>
      <c r="Z1137" s="2" t="n">
        <v>97</v>
      </c>
      <c r="AA1137" s="3" t="inlineStr">
        <is>
          <t>nut-free, high-protein, no-cook</t>
        </is>
      </c>
      <c r="AB1137" s="3" t="inlineStr">
        <is>
          <t>1. Shred the chicken and mix with celery, yogurt, mayo, mustard and lemon.
2. Pile onto bread with lettuce.</t>
        </is>
      </c>
      <c r="AC1137" s="4" t="inlineStr">
        <is>
          <t>["Shred the chicken and mix with celery, yogurt, mayo, mustard and lemon.", "Pile onto bread with lettuce."]</t>
        </is>
      </c>
    </row>
    <row r="1138" ht="96" customHeight="1">
      <c r="A1138" s="2" t="inlineStr">
        <is>
          <t>DB-1137</t>
        </is>
      </c>
      <c r="B1138" s="3" t="inlineStr">
        <is>
          <t>Tuna Salad Sandwich on White</t>
        </is>
      </c>
      <c r="C1138" s="4" t="inlineStr">
        <is>
          <t>Sandwiches &amp; Wraps</t>
        </is>
      </c>
      <c r="D1138" s="4" t="inlineStr">
        <is>
          <t>American</t>
        </is>
      </c>
      <c r="E1138" s="2" t="n">
        <v>2</v>
      </c>
      <c r="F1138" s="2" t="n">
        <v>10</v>
      </c>
      <c r="G1138" s="2" t="n">
        <v>0</v>
      </c>
      <c r="H1138" s="2" t="n">
        <v>10</v>
      </c>
      <c r="I1138" s="4" t="inlineStr">
        <is>
          <t>tuna-salad-sandwich-on-white.jpg</t>
        </is>
      </c>
      <c r="J1138" s="3" t="inlineStr">
        <is>
          <t>Tuna Salad Sandwich on White, healthy food photography, plated, natural light</t>
        </is>
      </c>
      <c r="K1138" s="4" t="inlineStr"/>
      <c r="L1138" s="3" t="inlineStr">
        <is>
          <t>Tuna, canned in water — 180 g (6.3 oz)
White bread — 100 g (3.5 oz)
Celery — 40 g (1.4 oz)
Mayonnaise (avocado oil) — 20 g (0.7 oz)
Dill pickles — 30 g (1.1 oz)
Romaine lettuce — 30 g (1.1 oz)</t>
        </is>
      </c>
      <c r="M1138" s="4" t="inlineStr">
        <is>
          <t>[{"ingredient_id": "tuna_canned", "name": "Tuna, canned in water", "grams": 180.0, "note": ""}, {"ingredient_id": "white_bread", "name": "White bread", "grams": 100.0, "note": ""}, {"ingredient_id": "celery", "name": "Celery", "grams": 40.0, "note": ""}, {"ingredient_id": "mayo", "name": "Mayonnaise (avocado oil)", "grams": 20.0, "note": ""}, {"ingredient_id": "dill_pickle", "name": "Dill pickles", "grams": 30.0, "note": ""}, {"ingredient_id": "romaine", "name": "Romaine lettuce", "grams": 30.0, "note": ""}]</t>
        </is>
      </c>
      <c r="N1138" s="2" t="n">
        <v>315</v>
      </c>
      <c r="O1138" s="5" t="n">
        <v>28.5</v>
      </c>
      <c r="P1138" s="5" t="n">
        <v>10.6</v>
      </c>
      <c r="Q1138" s="5" t="n">
        <v>26.1</v>
      </c>
      <c r="R1138" s="5" t="n">
        <v>2</v>
      </c>
      <c r="S1138" s="5" t="n">
        <v>24.1</v>
      </c>
      <c r="T1138" s="2" t="n">
        <v>70</v>
      </c>
      <c r="U1138" s="2" t="inlineStr">
        <is>
          <t>high</t>
        </is>
      </c>
      <c r="V1138" s="5" t="n">
        <v>16.9</v>
      </c>
      <c r="W1138" s="2" t="inlineStr">
        <is>
          <t>medium</t>
        </is>
      </c>
      <c r="X1138" s="3" t="inlineStr">
        <is>
          <t>Medium-GI dish: keep to the stated portion and pair with the protein/fat in the recipe; GL per serving is the better guide.</t>
        </is>
      </c>
      <c r="Y1138" s="3" t="inlineStr">
        <is>
          <t>97% of this dish's available carbohydrate comes from ingredients with a published, measured GI; the rest uses conventional placeholders (see Ingredients sheet)</t>
        </is>
      </c>
      <c r="Z1138" s="2" t="n">
        <v>97</v>
      </c>
      <c r="AA1138" s="3" t="inlineStr">
        <is>
          <t>pescatarian, dairy-free, nut-free, high-protein, no-cook</t>
        </is>
      </c>
      <c r="AB1138" s="3" t="inlineStr">
        <is>
          <t>1. Flake the tuna and mix with celery, chopped pickle and mayo.
2. Spread on bread with lettuce.</t>
        </is>
      </c>
      <c r="AC1138" s="4" t="inlineStr">
        <is>
          <t>["Flake the tuna and mix with celery, chopped pickle and mayo.", "Spread on bread with lettuce."]</t>
        </is>
      </c>
    </row>
    <row r="1139" ht="96" customHeight="1">
      <c r="A1139" s="2" t="inlineStr">
        <is>
          <t>DB-1138</t>
        </is>
      </c>
      <c r="B1139" s="3" t="inlineStr">
        <is>
          <t>Philly Cheesesteak Sandwich</t>
        </is>
      </c>
      <c r="C1139" s="4" t="inlineStr">
        <is>
          <t>Sandwiches &amp; Wraps</t>
        </is>
      </c>
      <c r="D1139" s="4" t="inlineStr">
        <is>
          <t>American</t>
        </is>
      </c>
      <c r="E1139" s="2" t="n">
        <v>3</v>
      </c>
      <c r="F1139" s="2" t="n">
        <v>15</v>
      </c>
      <c r="G1139" s="2" t="n">
        <v>12</v>
      </c>
      <c r="H1139" s="2" t="n">
        <v>27</v>
      </c>
      <c r="I1139" s="4" t="inlineStr">
        <is>
          <t>philly-cheesesteak-sandwich.jpg</t>
        </is>
      </c>
      <c r="J1139" s="3" t="inlineStr">
        <is>
          <t>Philly Cheesesteak Sandwich, healthy food photography, plated, natural light</t>
        </is>
      </c>
      <c r="K1139" s="4" t="inlineStr"/>
      <c r="L1139" s="3" t="inlineStr">
        <is>
          <t>Flank steak — 360 g (12.7 oz)
Hamburger bun, white — 180 g (6.3 oz)
Bell pepper — 120 g (4.2 oz)
Yellow onion — 120 g (4.2 oz)
Mushrooms (cremini/white) — 100 g (3.5 oz)
Swiss cheese — 60 g (2.1 oz)
Extra-virgin olive oil — 15 g (0.5 oz)</t>
        </is>
      </c>
      <c r="M1139" s="4" t="inlineStr">
        <is>
          <t>[{"ingredient_id": "flank_steak", "name": "Flank steak", "grams": 360.0, "note": ""}, {"ingredient_id": "hamburger_bun", "name": "Hamburger bun, white", "grams": 180.0, "note": ""}, {"ingredient_id": "bell_pepper", "name": "Bell pepper", "grams": 120.0, "note": ""}, {"ingredient_id": "onion", "name": "Yellow onion", "grams": 120.0, "note": ""}, {"ingredient_id": "mushrooms", "name": "Mushrooms (cremini/white)", "grams": 100.0, "note": ""}, {"ingredient_id": "swiss_cheese", "name": "Swiss cheese", "grams": 60.0, "note": ""}, {"ingredient_id": "olive_oil", "name": "Extra-virgin olive oil", "grams": 15.0, "note": ""}]</t>
        </is>
      </c>
      <c r="N1139" s="2" t="n">
        <v>496</v>
      </c>
      <c r="O1139" s="5" t="n">
        <v>38.1</v>
      </c>
      <c r="P1139" s="5" t="n">
        <v>21.4</v>
      </c>
      <c r="Q1139" s="5" t="n">
        <v>37</v>
      </c>
      <c r="R1139" s="5" t="n">
        <v>3.2</v>
      </c>
      <c r="S1139" s="5" t="n">
        <v>33.8</v>
      </c>
      <c r="T1139" s="2" t="n">
        <v>54</v>
      </c>
      <c r="U1139" s="2" t="inlineStr">
        <is>
          <t>low</t>
        </is>
      </c>
      <c r="V1139" s="5" t="n">
        <v>18.3</v>
      </c>
      <c r="W1139" s="2" t="inlineStr">
        <is>
          <t>medium</t>
        </is>
      </c>
      <c r="X1139" s="3" t="inlineStr"/>
      <c r="Y1139" s="3" t="inlineStr">
        <is>
          <t>83% of this dish's available carbohydrate comes from ingredients with a published, measured GI; the rest uses conventional placeholders (see Ingredients sheet)</t>
        </is>
      </c>
      <c r="Z1139" s="2" t="n">
        <v>83</v>
      </c>
      <c r="AA1139" s="3" t="inlineStr">
        <is>
          <t>nut-free, high-protein</t>
        </is>
      </c>
      <c r="AB1139" s="3" t="inlineStr">
        <is>
          <t>1. Slice the steak very thin.
2. Sauté the onion, pepper and mushrooms in oil.
3. Sear the steak, combine and top with Swiss to melt.
4. Pile into toasted buns.</t>
        </is>
      </c>
      <c r="AC1139" s="4" t="inlineStr">
        <is>
          <t>["Slice the steak very thin.", "Sauté the onion, pepper and mushrooms in oil.", "Sear the steak, combine and top with Swiss to melt.", "Pile into toasted buns."]</t>
        </is>
      </c>
    </row>
    <row r="1140" ht="96" customHeight="1">
      <c r="A1140" s="2" t="inlineStr">
        <is>
          <t>DB-1139</t>
        </is>
      </c>
      <c r="B1140" s="3" t="inlineStr">
        <is>
          <t>Meatball Sub</t>
        </is>
      </c>
      <c r="C1140" s="4" t="inlineStr">
        <is>
          <t>Sandwiches &amp; Wraps</t>
        </is>
      </c>
      <c r="D1140" s="4" t="inlineStr">
        <is>
          <t>Italian</t>
        </is>
      </c>
      <c r="E1140" s="2" t="n">
        <v>4</v>
      </c>
      <c r="F1140" s="2" t="n">
        <v>15</v>
      </c>
      <c r="G1140" s="2" t="n">
        <v>25</v>
      </c>
      <c r="H1140" s="2" t="n">
        <v>40</v>
      </c>
      <c r="I1140" s="4" t="inlineStr">
        <is>
          <t>meatball-sub.jpg</t>
        </is>
      </c>
      <c r="J1140" s="3" t="inlineStr">
        <is>
          <t>Meatball Sub, healthy food photography, plated, natural light</t>
        </is>
      </c>
      <c r="K1140" s="4" t="inlineStr"/>
      <c r="L1140" s="3" t="inlineStr">
        <is>
          <t>Ground turkey 93% lean — 400 g (14.1 oz)
Egg, large (50 g each) — 50 g (1.8 oz)
Parmesan, grated — 30 g (1.1 oz)
Marinara sauce, no sugar added — 300 g (10.6 oz)
Hamburger bun, white — 240 g (8.5 oz)
Mozzarella, part-skim — 80 g (2.8 oz)
Italian seasoning — 3 g (0.1 oz)
Garlic — 6 g (0.2 oz)</t>
        </is>
      </c>
      <c r="M1140" s="4" t="inlineStr">
        <is>
          <t>[{"ingredient_id": "ground_turkey", "name": "Ground turkey 93% lean", "grams": 400.0, "note": ""}, {"ingredient_id": "egg", "name": "Egg, large (50 g each)", "grams": 50.0, "note": ""}, {"ingredient_id": "parmesan", "name": "Parmesan, grated", "grams": 30.0, "note": ""}, {"ingredient_id": "marinara", "name": "Marinara sauce, no sugar added", "grams": 300.0, "note": ""}, {"ingredient_id": "hamburger_bun", "name": "Hamburger bun, white", "grams": 240.0, "note": ""}, {"ingredient_id": "mozzarella", "name": "Mozzarella, part-skim", "grams": 80.0, "note": ""}, {"ingredient_id": "italian_seasoning", "name": "Italian seasoning", "grams": 3.0, "note": ""}, {"ingredient_id": "garlic", "name": "Garlic", "grams": 6.0, "note": ""}]</t>
        </is>
      </c>
      <c r="N1140" s="2" t="n">
        <v>449</v>
      </c>
      <c r="O1140" s="5" t="n">
        <v>34.9</v>
      </c>
      <c r="P1140" s="5" t="n">
        <v>18.6</v>
      </c>
      <c r="Q1140" s="5" t="n">
        <v>35.3</v>
      </c>
      <c r="R1140" s="5" t="n">
        <v>2.9</v>
      </c>
      <c r="S1140" s="5" t="n">
        <v>32.4</v>
      </c>
      <c r="T1140" s="2" t="n">
        <v>57</v>
      </c>
      <c r="U1140" s="2" t="inlineStr">
        <is>
          <t>medium</t>
        </is>
      </c>
      <c r="V1140" s="5" t="n">
        <v>18.5</v>
      </c>
      <c r="W1140" s="2" t="inlineStr">
        <is>
          <t>medium</t>
        </is>
      </c>
      <c r="X1140" s="3" t="inlineStr">
        <is>
          <t>Medium-GI dish: keep to the stated portion and pair with the protein/fat in the recipe; GL per serving is the better guide.</t>
        </is>
      </c>
      <c r="Y1140" s="3" t="inlineStr">
        <is>
          <t>95% of this dish's available carbohydrate comes from ingredients with a published, measured GI; the rest uses conventional placeholders (see Ingredients sheet)</t>
        </is>
      </c>
      <c r="Z1140" s="2" t="n">
        <v>95</v>
      </c>
      <c r="AA1140" s="3" t="inlineStr">
        <is>
          <t>nut-free, high-protein</t>
        </is>
      </c>
      <c r="AB1140" s="3" t="inlineStr">
        <is>
          <t>1. Mix the turkey, egg, parmesan, seasoning and garlic and shape twelve meatballs.
2. Brown, then simmer in the marinara for 15 minutes.
3. Fill the buns, top with mozzarella and broil briefly.</t>
        </is>
      </c>
      <c r="AC1140" s="4" t="inlineStr">
        <is>
          <t>["Mix the turkey, egg, parmesan, seasoning and garlic and shape twelve meatballs.", "Brown, then simmer in the marinara for 15 minutes.", "Fill the buns, top with mozzarella and broil briefly."]</t>
        </is>
      </c>
    </row>
    <row r="1141" ht="96" customHeight="1">
      <c r="A1141" s="2" t="inlineStr">
        <is>
          <t>DB-1140</t>
        </is>
      </c>
      <c r="B1141" s="3" t="inlineStr">
        <is>
          <t>Pulled Pork Sandwich with Slaw</t>
        </is>
      </c>
      <c r="C1141" s="4" t="inlineStr">
        <is>
          <t>Sandwiches &amp; Wraps</t>
        </is>
      </c>
      <c r="D1141" s="4" t="inlineStr">
        <is>
          <t>American</t>
        </is>
      </c>
      <c r="E1141" s="2" t="n">
        <v>6</v>
      </c>
      <c r="F1141" s="2" t="n">
        <v>10</v>
      </c>
      <c r="G1141" s="2" t="n">
        <v>10</v>
      </c>
      <c r="H1141" s="2" t="n">
        <v>20</v>
      </c>
      <c r="I1141" s="4" t="inlineStr">
        <is>
          <t>pulled-pork-sandwich-with-slaw.jpg</t>
        </is>
      </c>
      <c r="J1141" s="3" t="inlineStr">
        <is>
          <t>Pulled Pork Sandwich with Slaw, healthy food photography, plated, natural light</t>
        </is>
      </c>
      <c r="K1141" s="4" t="inlineStr"/>
      <c r="L1141" s="3" t="inlineStr">
        <is>
          <t>Pork shoulder, trimmed — 600 g (21.2 oz)
Tomato paste — 50 g (1.8 oz)
Apple cider vinegar — 30 g (1.1 oz)
Smoked paprika — 4 g (0.1 oz)
Monk fruit/erythritol sweetener — 5 g (0.2 oz)
Hamburger bun, white — 360 g (12.7 oz)
Coleslaw mix (cabbage &amp; carrot) — 180 g (6.3 oz)
Greek yogurt, plain 2% — 60 g (2.1 oz)</t>
        </is>
      </c>
      <c r="M1141" s="4" t="inlineStr">
        <is>
          <t>[{"ingredient_id": "pork_shoulder", "name": "Pork shoulder, trimmed", "grams": 600.0,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"hamburger_bun", "name": "Hamburger bun, white", "grams": 360.0, "note": ""}, {"ingredient_id": "coleslaw_mix", "name": "Coleslaw mix (cabbage &amp; carrot)", "grams": 180.0, "note": ""}, {"ingredient_id": "greek_yogurt", "name": "Greek yogurt, plain 2%", "grams": 60.0, "note": ""}]</t>
        </is>
      </c>
      <c r="N1141" s="2" t="n">
        <v>385</v>
      </c>
      <c r="O1141" s="5" t="n">
        <v>26.5</v>
      </c>
      <c r="P1141" s="5" t="n">
        <v>16.5</v>
      </c>
      <c r="Q1141" s="5" t="n">
        <v>33.7</v>
      </c>
      <c r="R1141" s="5" t="n">
        <v>2.7</v>
      </c>
      <c r="S1141" s="5" t="n">
        <v>31</v>
      </c>
      <c r="T1141" s="2" t="n">
        <v>58</v>
      </c>
      <c r="U1141" s="2" t="inlineStr">
        <is>
          <t>medium</t>
        </is>
      </c>
      <c r="V1141" s="5" t="n">
        <v>18</v>
      </c>
      <c r="W1141" s="2" t="inlineStr">
        <is>
          <t>medium</t>
        </is>
      </c>
      <c r="X1141" s="3" t="inlineStr">
        <is>
          <t>Medium-GI dish: keep to the stated portion and pair with the protein/fat in the recipe; GL per serving is the better guide.</t>
        </is>
      </c>
      <c r="Y1141" s="3" t="inlineStr">
        <is>
          <t>92% of this dish's available carbohydrate comes from ingredients with a published, measured GI; the rest uses conventional placeholders (see Ingredients sheet)</t>
        </is>
      </c>
      <c r="Z1141" s="2" t="n">
        <v>92</v>
      </c>
      <c r="AA1141" s="3" t="inlineStr">
        <is>
          <t>nut-free, high-protein</t>
        </is>
      </c>
      <c r="AB1141" s="3" t="inlineStr">
        <is>
          <t>1. Use cooked, shredded pork shoulder.
2. Toss with the paste, vinegar, paprika and sweetener and warm.
3. Mix the slaw with the yogurt.
4. Pile pork and slaw into the buns.</t>
        </is>
      </c>
      <c r="AC1141" s="4" t="inlineStr">
        <is>
          <t>["Use cooked, shredded pork shoulder.", "Toss with the paste, vinegar, paprika and sweetener and warm.", "Mix the slaw with the yogurt.", "Pile pork and slaw into the buns."]</t>
        </is>
      </c>
    </row>
    <row r="1142" ht="96" customHeight="1">
      <c r="A1142" s="2" t="inlineStr">
        <is>
          <t>DB-1141</t>
        </is>
      </c>
      <c r="B1142" s="3" t="inlineStr">
        <is>
          <t>Chicken Quesadilla</t>
        </is>
      </c>
      <c r="C1142" s="4" t="inlineStr">
        <is>
          <t>Sandwiches &amp; Wraps</t>
        </is>
      </c>
      <c r="D1142" s="4" t="inlineStr">
        <is>
          <t>Tex-Mex</t>
        </is>
      </c>
      <c r="E1142" s="2" t="n">
        <v>3</v>
      </c>
      <c r="F1142" s="2" t="n">
        <v>10</v>
      </c>
      <c r="G1142" s="2" t="n">
        <v>10</v>
      </c>
      <c r="H1142" s="2" t="n">
        <v>20</v>
      </c>
      <c r="I1142" s="4" t="inlineStr">
        <is>
          <t>chicken-quesadilla.jpg</t>
        </is>
      </c>
      <c r="J1142" s="3" t="inlineStr">
        <is>
          <t>Chicken Quesadilla, healthy food photography, plated, natural light</t>
        </is>
      </c>
      <c r="K1142" s="4" t="inlineStr"/>
      <c r="L1142" s="3" t="inlineStr">
        <is>
          <t>Flour tortilla, 8-inch — 160 g (5.6 oz)
Rotisserie chicken, skin removed — 220 g (7.8 oz)
Pepper jack cheese — 90 g (3.2 oz)
Bell pepper — 80 g (2.8 oz)
Yellow onion — 50 g (1.8 oz)
Extra-virgin olive oil — 10 g (0.4 oz)
Salsa, no sugar added — 90 g (3.2 oz)</t>
        </is>
      </c>
      <c r="M1142" s="4" t="inlineStr">
        <is>
          <t>[{"ingredient_id": "flour_tortilla", "name": "Flour tortilla, 8-inch", "grams": 160.0, "note": ""}, {"ingredient_id": "rotisserie_chicken", "name": "Rotisserie chicken, skin removed", "grams": 220.0, "note": ""}, {"ingredient_id": "pepper_jack", "name": "Pepper jack cheese", "grams": 90.0, "note": ""}, {"ingredient_id": "bell_pepper", "name": "Bell pepper", "grams": 80.0, "note": ""}, {"ingredient_id": "onion", "name": "Yellow onion", "grams": 50.0, "note": ""}, {"ingredient_id": "olive_oil", "name": "Extra-virgin olive oil", "grams": 10.0, "note": ""}, {"ingredient_id": "salsa", "name": "Salsa, no sugar added", "grams": 90.0, "note": ""}]</t>
        </is>
      </c>
      <c r="N1142" s="2" t="n">
        <v>450</v>
      </c>
      <c r="O1142" s="5" t="n">
        <v>29.3</v>
      </c>
      <c r="P1142" s="5" t="n">
        <v>21.9</v>
      </c>
      <c r="Q1142" s="5" t="n">
        <v>32</v>
      </c>
      <c r="R1142" s="5" t="n">
        <v>3.2</v>
      </c>
      <c r="S1142" s="5" t="n">
        <v>28.9</v>
      </c>
      <c r="T1142" s="2" t="n">
        <v>32</v>
      </c>
      <c r="U1142" s="2" t="inlineStr">
        <is>
          <t>low</t>
        </is>
      </c>
      <c r="V1142" s="5" t="n">
        <v>9.199999999999999</v>
      </c>
      <c r="W1142" s="2" t="inlineStr">
        <is>
          <t>low</t>
        </is>
      </c>
      <c r="X1142" s="3" t="inlineStr"/>
      <c r="Y1142" s="3" t="inlineStr">
        <is>
          <t>85% of this dish's available carbohydrate comes from ingredients with a published, measured GI; the rest uses conventional placeholders (see Ingredients sheet)</t>
        </is>
      </c>
      <c r="Z1142" s="2" t="n">
        <v>85</v>
      </c>
      <c r="AA1142" s="3" t="inlineStr">
        <is>
          <t>nut-free, high-protein</t>
        </is>
      </c>
      <c r="AB1142" s="3" t="inlineStr">
        <is>
          <t>1. Sauté the pepper and onion in oil.
2. Fill half of each tortilla with chicken, vegetables and pepper jack and fold.
3. Crisp 2 to 3 minutes a side.
4. Serve with salsa.</t>
        </is>
      </c>
      <c r="AC1142" s="4" t="inlineStr">
        <is>
          <t>["Sauté the pepper and onion in oil.", "Fill half of each tortilla with chicken, vegetables and pepper jack and fold.", "Crisp 2 to 3 minutes a side.", "Serve with salsa."]</t>
        </is>
      </c>
    </row>
    <row r="1143" ht="96" customHeight="1">
      <c r="A1143" s="2" t="inlineStr">
        <is>
          <t>DB-1142</t>
        </is>
      </c>
      <c r="B1143" s="3" t="inlineStr">
        <is>
          <t>Steak and Bean Burrito</t>
        </is>
      </c>
      <c r="C1143" s="4" t="inlineStr">
        <is>
          <t>Sandwiches &amp; Wraps</t>
        </is>
      </c>
      <c r="D1143" s="4" t="inlineStr">
        <is>
          <t>Tex-Mex</t>
        </is>
      </c>
      <c r="E1143" s="2" t="n">
        <v>4</v>
      </c>
      <c r="F1143" s="2" t="n">
        <v>15</v>
      </c>
      <c r="G1143" s="2" t="n">
        <v>12</v>
      </c>
      <c r="H1143" s="2" t="n">
        <v>27</v>
      </c>
      <c r="I1143" s="4" t="inlineStr">
        <is>
          <t>steak-and-bean-burrito.jpg</t>
        </is>
      </c>
      <c r="J1143" s="3" t="inlineStr">
        <is>
          <t>Steak and Bean Burrito, healthy food photography, plated, natural light</t>
        </is>
      </c>
      <c r="K1143" s="4" t="inlineStr"/>
      <c r="L1143" s="3" t="inlineStr">
        <is>
          <t>Flank steak — 320 g (11.3 oz)
Flour tortilla, 8-inch — 240 g (8.5 oz)
Black beans, cooked — 200 g (7.1 oz)
White rice, long-grain, cooked — 200 g (7.1 oz)
Salsa, no sugar added — 100 g (3.5 oz)
Avocado — 100 g (3.5 oz)
Cheddar cheese — 40 g (1.4 oz)
Lime juice — 15 g (0.5 oz)</t>
        </is>
      </c>
      <c r="M1143" s="4" t="inlineStr">
        <is>
          <t>[{"ingredient_id": "flank_steak", "name": "Flank steak", "grams": 320.0, "note": ""}, {"ingredient_id": "flour_tortilla", "name": "Flour tortilla, 8-inch", "grams": 240.0, "note": ""}, {"ingredient_id": "black_beans", "name": "Black beans, cooked", "grams": 200.0, "note": ""}, {"ingredient_id": "white_rice", "name": "White rice, long-grain, cooked", "grams": 200.0, "note": ""}, {"ingredient_id": "salsa", "name": "Salsa, no sugar added", "grams": 100.0, "note": ""}, {"ingredient_id": "avocado", "name": "Avocado", "grams": 100.0, "note": ""}, {"ingredient_id": "cheddar", "name": "Cheddar cheese", "grams": 40.0, "note": ""}, {"ingredient_id": "lime_juice", "name": "Lime juice", "grams": 15.0, "note": ""}]</t>
        </is>
      </c>
      <c r="N1143" s="2" t="n">
        <v>524</v>
      </c>
      <c r="O1143" s="5" t="n">
        <v>30.7</v>
      </c>
      <c r="P1143" s="5" t="n">
        <v>17.9</v>
      </c>
      <c r="Q1143" s="5" t="n">
        <v>59.8</v>
      </c>
      <c r="R1143" s="5" t="n">
        <v>8.699999999999999</v>
      </c>
      <c r="S1143" s="5" t="n">
        <v>51.1</v>
      </c>
      <c r="T1143" s="2" t="n">
        <v>45</v>
      </c>
      <c r="U1143" s="2" t="inlineStr">
        <is>
          <t>low</t>
        </is>
      </c>
      <c r="V1143" s="5" t="n">
        <v>23</v>
      </c>
      <c r="W1143" s="2" t="inlineStr">
        <is>
          <t>high</t>
        </is>
      </c>
      <c r="X1143" s="3" t="inlineStr"/>
      <c r="Y1143" s="3" t="inlineStr">
        <is>
          <t>96% of this dish's available carbohydrate comes from ingredients with a published, measured GI; the rest uses conventional placeholders (see Ingredients sheet)</t>
        </is>
      </c>
      <c r="Z1143" s="2" t="n">
        <v>96</v>
      </c>
      <c r="AA1143" s="3" t="inlineStr">
        <is>
          <t>nut-free, high-protein, high-fiber</t>
        </is>
      </c>
      <c r="AB1143" s="3" t="inlineStr">
        <is>
          <t>1. Season and sear the steak; slice.
2. Warm the beans and rice.
3. Fill each tortilla with steak, rice, beans, cheddar and salsa.
4. Roll tight and serve with avocado and lime.</t>
        </is>
      </c>
      <c r="AC1143" s="4" t="inlineStr">
        <is>
          <t>["Season and sear the steak; slice.", "Warm the beans and rice.", "Fill each tortilla with steak, rice, beans, cheddar and salsa.", "Roll tight and serve with avocado and lime."]</t>
        </is>
      </c>
    </row>
    <row r="1144" ht="96" customHeight="1">
      <c r="A1144" s="2" t="inlineStr">
        <is>
          <t>DB-1143</t>
        </is>
      </c>
      <c r="B1144" s="3" t="inlineStr">
        <is>
          <t>Chicken Burrito Bowl</t>
        </is>
      </c>
      <c r="C1144" s="4" t="inlineStr">
        <is>
          <t>Sandwiches &amp; Wraps</t>
        </is>
      </c>
      <c r="D1144" s="4" t="inlineStr">
        <is>
          <t>Tex-Mex</t>
        </is>
      </c>
      <c r="E1144" s="2" t="n">
        <v>4</v>
      </c>
      <c r="F1144" s="2" t="n">
        <v>15</v>
      </c>
      <c r="G1144" s="2" t="n">
        <v>15</v>
      </c>
      <c r="H1144" s="2" t="n">
        <v>30</v>
      </c>
      <c r="I1144" s="4" t="inlineStr">
        <is>
          <t>chicken-burrito-bowl.jpg</t>
        </is>
      </c>
      <c r="J1144" s="3" t="inlineStr">
        <is>
          <t>Chicken Burrito Bowl, healthy food photography, plated, natural light</t>
        </is>
      </c>
      <c r="K1144" s="4" t="inlineStr"/>
      <c r="L1144" s="3" t="inlineStr">
        <is>
          <t>Chicken breast, skinless — 500 g (17.6 oz)
White rice, long-grain, cooked — 360 g (12.7 oz)
Black beans, cooked — 200 g (7.1 oz)
Sweet corn kernels — 100 g (3.5 oz)
Pico de gallo — 120 g (4.2 oz)
Avocado — 100 g (3.5 oz)
Romaine lettuce — 80 g (2.8 oz)
Taco seasoning, low sodium — 12 g (0.4 oz)
Lime juice — 20 g (0.7 oz)
Extra-virgin olive oil — 10 g (0.4 oz)</t>
        </is>
      </c>
      <c r="M1144" s="4" t="inlineStr">
        <is>
          <t>[{"ingredient_id": "chicken_breast", "name": "Chicken breast, skinless", "grams": 500.0, "note": ""}, {"ingredient_id": "white_rice", "name": "White rice, long-grain, cooked", "grams": 360.0, "note": ""}, {"ingredient_id": "black_beans", "name": "Black beans, cooked", "grams": 200.0, "note": ""}, {"ingredient_id": "corn", "name": "Sweet corn kernels", "grams": 100.0, "note": ""}, {"ingredient_id": "pico_de_gallo", "name": "Pico de gallo", "grams": 120.0, "note": ""}, {"ingredient_id": "avocado", "name": "Avocado", "grams": 100.0, "note": ""}, {"ingredient_id": "romaine", "name": "Romaine lettuce", "grams": 80.0, "note": ""}, {"ingredient_id": "taco_seasoning", "name": "Taco seasoning, low sodium", "grams": 12.0, "note": ""}, {"ingredient_id": "lime_juice", "name": "Lime juice", "grams": 20.0, "note": ""}, {"ingredient_id": "olive_oil", "name": "Extra-virgin olive oil", "grams": 10.0, "note": ""}]</t>
        </is>
      </c>
      <c r="N1144" s="2" t="n">
        <v>435</v>
      </c>
      <c r="O1144" s="5" t="n">
        <v>37.1</v>
      </c>
      <c r="P1144" s="5" t="n">
        <v>10.7</v>
      </c>
      <c r="Q1144" s="5" t="n">
        <v>48</v>
      </c>
      <c r="R1144" s="5" t="n">
        <v>8.6</v>
      </c>
      <c r="S1144" s="5" t="n">
        <v>39.4</v>
      </c>
      <c r="T1144" s="2" t="n">
        <v>61</v>
      </c>
      <c r="U1144" s="2" t="inlineStr">
        <is>
          <t>medium</t>
        </is>
      </c>
      <c r="V1144" s="5" t="n">
        <v>24</v>
      </c>
      <c r="W1144" s="2" t="inlineStr">
        <is>
          <t>high</t>
        </is>
      </c>
      <c r="X1144" s="3" t="inlineStr">
        <is>
          <t>Medium-GI dish: keep to the stated portion and pair with the protein/fat in the recipe; GL per serving is the better guide.</t>
        </is>
      </c>
      <c r="Y1144" s="3" t="inlineStr">
        <is>
          <t>92% of this dish's available carbohydrate comes from ingredients with a published, measured GI; the rest uses conventional placeholders (see Ingredients sheet)</t>
        </is>
      </c>
      <c r="Z1144" s="2" t="n">
        <v>92</v>
      </c>
      <c r="AA1144" s="3" t="inlineStr">
        <is>
          <t>gluten-free, dairy-free, nut-free, high-protein, high-fiber</t>
        </is>
      </c>
      <c r="AB1144" s="3" t="inlineStr">
        <is>
          <t>1. Season the chicken and sear in oil, then slice.
2. Build bowls from rice, beans, corn and romaine.
3. Top with chicken, pico and avocado, with lime.</t>
        </is>
      </c>
      <c r="AC1144" s="4" t="inlineStr">
        <is>
          <t>["Season the chicken and sear in oil, then slice.", "Build bowls from rice, beans, corn and romaine.", "Top with chicken, pico and avocado, with lime."]</t>
        </is>
      </c>
    </row>
    <row r="1145" ht="96" customHeight="1">
      <c r="A1145" s="2" t="inlineStr">
        <is>
          <t>DB-1144</t>
        </is>
      </c>
      <c r="B1145" s="3" t="inlineStr">
        <is>
          <t>Turkey and Swiss on White with Mustard</t>
        </is>
      </c>
      <c r="C1145" s="4" t="inlineStr">
        <is>
          <t>Sandwiches &amp; Wraps</t>
        </is>
      </c>
      <c r="D1145" s="4" t="inlineStr">
        <is>
          <t>American</t>
        </is>
      </c>
      <c r="E1145" s="2" t="n">
        <v>2</v>
      </c>
      <c r="F1145" s="2" t="n">
        <v>5</v>
      </c>
      <c r="G1145" s="2" t="n">
        <v>0</v>
      </c>
      <c r="H1145" s="2" t="n">
        <v>5</v>
      </c>
      <c r="I1145" s="4" t="inlineStr">
        <is>
          <t>turkey-and-swiss-on-white-with-mustard.jpg</t>
        </is>
      </c>
      <c r="J1145" s="3" t="inlineStr">
        <is>
          <t>Turkey and Swiss on White with Mustard, healthy food photography, plated, natural light</t>
        </is>
      </c>
      <c r="K1145" s="4" t="inlineStr"/>
      <c r="L1145" s="3" t="inlineStr">
        <is>
          <t>White bread — 100 g (3.5 oz)
Deli turkey breast, low sodium — 120 g (4.2 oz)
Swiss cheese — 40 g (1.4 oz)
Tomato — 80 g (2.8 oz)
Romaine lettuce — 30 g (1.1 oz)
Yellow mustard — 10 g (0.4 oz)</t>
        </is>
      </c>
      <c r="M1145" s="4" t="inlineStr">
        <is>
          <t>[{"ingredient_id": "white_bread", "name": "White bread", "grams": 100.0, "note": ""}, {"ingredient_id": "deli_turkey", "name": "Deli turkey breast, low sodium", "grams": 120.0, "note": ""}, {"ingredient_id": "swiss_cheese", "name": "Swiss cheese", "grams": 40.0, "note": ""}, {"ingredient_id": "tomato", "name": "Tomato", "grams": 80.0, "note": ""}, {"ingredient_id": "romaine", "name": "Romaine lettuce", "grams": 30.0, "note": ""}, {"ingredient_id": "yellow_mustard", "name": "Yellow mustard", "grams": 10.0, "note": ""}]</t>
        </is>
      </c>
      <c r="N1145" s="2" t="n">
        <v>285</v>
      </c>
      <c r="O1145" s="5" t="n">
        <v>21.1</v>
      </c>
      <c r="P1145" s="5" t="n">
        <v>8.6</v>
      </c>
      <c r="Q1145" s="5" t="n">
        <v>29.6</v>
      </c>
      <c r="R1145" s="5" t="n">
        <v>2.1</v>
      </c>
      <c r="S1145" s="5" t="n">
        <v>27.5</v>
      </c>
      <c r="T1145" s="2" t="n">
        <v>62</v>
      </c>
      <c r="U1145" s="2" t="inlineStr">
        <is>
          <t>medium</t>
        </is>
      </c>
      <c r="V1145" s="5" t="n">
        <v>17.1</v>
      </c>
      <c r="W1145" s="2" t="inlineStr">
        <is>
          <t>medium</t>
        </is>
      </c>
      <c r="X1145" s="3" t="inlineStr">
        <is>
          <t>Medium-GI dish: keep to the stated portion and pair with the protein/fat in the recipe; GL per serving is the better guide.</t>
        </is>
      </c>
      <c r="Y1145" s="3" t="inlineStr">
        <is>
          <t>85% of this dish's available carbohydrate comes from ingredients with a published, measured GI; the rest uses conventional placeholders (see Ingredients sheet)</t>
        </is>
      </c>
      <c r="Z1145" s="2" t="n">
        <v>85</v>
      </c>
      <c r="AA1145" s="3" t="inlineStr">
        <is>
          <t>nut-free, no-cook</t>
        </is>
      </c>
      <c r="AB1145" s="3" t="inlineStr">
        <is>
          <t>1. Spread the bread with mustard.
2. Layer turkey, Swiss, tomato and lettuce.</t>
        </is>
      </c>
      <c r="AC1145" s="4" t="inlineStr">
        <is>
          <t>["Spread the bread with mustard.", "Layer turkey, Swiss, tomato and lettuce."]</t>
        </is>
      </c>
    </row>
    <row r="1146" ht="96" customHeight="1">
      <c r="A1146" s="2" t="inlineStr">
        <is>
          <t>DB-1145</t>
        </is>
      </c>
      <c r="B1146" s="3" t="inlineStr">
        <is>
          <t>Ham and Cheddar Sandwich</t>
        </is>
      </c>
      <c r="C1146" s="4" t="inlineStr">
        <is>
          <t>Sandwiches &amp; Wraps</t>
        </is>
      </c>
      <c r="D1146" s="4" t="inlineStr">
        <is>
          <t>American</t>
        </is>
      </c>
      <c r="E1146" s="2" t="n">
        <v>2</v>
      </c>
      <c r="F1146" s="2" t="n">
        <v>5</v>
      </c>
      <c r="G1146" s="2" t="n">
        <v>0</v>
      </c>
      <c r="H1146" s="2" t="n">
        <v>5</v>
      </c>
      <c r="I1146" s="4" t="inlineStr">
        <is>
          <t>ham-and-cheddar-sandwich.jpg</t>
        </is>
      </c>
      <c r="J1146" s="3" t="inlineStr">
        <is>
          <t>Ham and Cheddar Sandwich, healthy food photography, plated, natural light</t>
        </is>
      </c>
      <c r="K1146" s="4" t="inlineStr"/>
      <c r="L1146" s="3" t="inlineStr">
        <is>
          <t>White bread — 100 g (3.5 oz)
Ham, lean — 100 g (3.5 oz)
Cheddar cheese — 40 g (1.4 oz)
Tomato — 80 g (2.8 oz)
Romaine lettuce — 30 g (1.1 oz)
Dijon mustard — 10 g (0.4 oz)</t>
        </is>
      </c>
      <c r="M1146" s="4" t="inlineStr">
        <is>
          <t>[{"ingredient_id": "white_bread", "name": "White bread", "grams": 100.0, "note": ""}, {"ingredient_id": "ham", "name": "Ham, lean", "grams": 100.0, "note": ""}, {"ingredient_id": "cheddar", "name": "Cheddar cheese", "grams": 40.0, "note": ""}, {"ingredient_id": "tomato", "name": "Tomato", "grams": 80.0, "note": ""}, {"ingredient_id": "romaine", "name": "Romaine lettuce", "grams": 30.0, "note": ""}, {"ingredient_id": "dijon", "name": "Dijon mustard", "grams": 10.0, "note": ""}]</t>
        </is>
      </c>
      <c r="N1146" s="2" t="n">
        <v>300</v>
      </c>
      <c r="O1146" s="5" t="n">
        <v>20.6</v>
      </c>
      <c r="P1146" s="5" t="n">
        <v>11.7</v>
      </c>
      <c r="Q1146" s="5" t="n">
        <v>27.9</v>
      </c>
      <c r="R1146" s="5" t="n">
        <v>2.1</v>
      </c>
      <c r="S1146" s="5" t="n">
        <v>25.8</v>
      </c>
      <c r="T1146" s="2" t="n">
        <v>66</v>
      </c>
      <c r="U1146" s="2" t="inlineStr">
        <is>
          <t>medium</t>
        </is>
      </c>
      <c r="V1146" s="5" t="n">
        <v>17</v>
      </c>
      <c r="W1146" s="2" t="inlineStr">
        <is>
          <t>medium</t>
        </is>
      </c>
      <c r="X1146" s="3" t="inlineStr">
        <is>
          <t>Medium-GI dish: keep to the stated portion and pair with the protein/fat in the recipe; GL per serving is the better guide.</t>
        </is>
      </c>
      <c r="Y1146" s="3" t="inlineStr">
        <is>
          <t>91% of this dish's available carbohydrate comes from ingredients with a published, measured GI; the rest uses conventional placeholders (see Ingredients sheet)</t>
        </is>
      </c>
      <c r="Z1146" s="2" t="n">
        <v>91</v>
      </c>
      <c r="AA1146" s="3" t="inlineStr">
        <is>
          <t>nut-free, no-cook</t>
        </is>
      </c>
      <c r="AB1146" s="3" t="inlineStr">
        <is>
          <t>1. Spread the bread with mustard.
2. Layer ham, cheddar, tomato and lettuce.</t>
        </is>
      </c>
      <c r="AC1146" s="4" t="inlineStr">
        <is>
          <t>["Spread the bread with mustard.", "Layer ham, cheddar, tomato and lettuce."]</t>
        </is>
      </c>
    </row>
    <row r="1147" ht="96" customHeight="1">
      <c r="A1147" s="2" t="inlineStr">
        <is>
          <t>DB-1146</t>
        </is>
      </c>
      <c r="B1147" s="3" t="inlineStr">
        <is>
          <t>Classic Macaroni and Cheese</t>
        </is>
      </c>
      <c r="C1147" s="4" t="inlineStr">
        <is>
          <t>Vegetarian &amp; Vegan</t>
        </is>
      </c>
      <c r="D1147" s="4" t="inlineStr">
        <is>
          <t>American</t>
        </is>
      </c>
      <c r="E1147" s="2" t="n">
        <v>6</v>
      </c>
      <c r="F1147" s="2" t="n">
        <v>10</v>
      </c>
      <c r="G1147" s="2" t="n">
        <v>25</v>
      </c>
      <c r="H1147" s="2" t="n">
        <v>35</v>
      </c>
      <c r="I1147" s="4" t="inlineStr">
        <is>
          <t>classic-macaroni-and-cheese.jpg</t>
        </is>
      </c>
      <c r="J1147" s="3" t="inlineStr">
        <is>
          <t>Classic Macaroni and Cheese, healthy food photography, plated, natural light</t>
        </is>
      </c>
      <c r="K1147" s="4" t="inlineStr"/>
      <c r="L1147" s="3" t="inlineStr">
        <is>
          <t>White pasta, cooked al dente — 600 g (21.2 oz)
Cheddar cheese — 180 g (6.3 oz)
Milk, 2% — 300 g (10.6 oz)
Butter — 20 g (0.7 oz)
Dijon mustard — 5 g (0.2 oz)
Smoked paprika — 2 g (0.1 oz)
Salt — 2 g (0.1 oz)</t>
        </is>
      </c>
      <c r="M1147" s="4" t="inlineStr">
        <is>
          <t>[{"ingredient_id": "white_pasta", "name": "White pasta, cooked al dente", "grams": 600.0, "note": ""}, {"ingredient_id": "cheddar", "name": "Cheddar cheese", "grams": 180.0, "note": ""}, {"ingredient_id": "milk", "name": "Milk, 2%", "grams": 300.0, "note": ""}, {"ingredient_id": "butter", "name": "Butter", "grams": 20.0, "note": ""}, {"ingredient_id": "dijon", "name": "Dijon mustard", "grams": 5.0, "note": ""}, {"ingredient_id": "smoked_paprika", "name": "Smoked paprika", "grams": 2.0, "note": ""}, {"ingredient_id": "salt", "name": "Salt", "grams": 2.0, "note": ""}]</t>
        </is>
      </c>
      <c r="N1147" s="2" t="n">
        <v>328</v>
      </c>
      <c r="O1147" s="5" t="n">
        <v>14.4</v>
      </c>
      <c r="P1147" s="5" t="n">
        <v>14.6</v>
      </c>
      <c r="Q1147" s="5" t="n">
        <v>33.7</v>
      </c>
      <c r="R1147" s="5" t="n">
        <v>1.9</v>
      </c>
      <c r="S1147" s="5" t="n">
        <v>31.8</v>
      </c>
      <c r="T1147" s="2" t="n">
        <v>47</v>
      </c>
      <c r="U1147" s="2" t="inlineStr">
        <is>
          <t>low</t>
        </is>
      </c>
      <c r="V1147" s="5" t="n">
        <v>14.9</v>
      </c>
      <c r="W1147" s="2" t="inlineStr">
        <is>
          <t>medium</t>
        </is>
      </c>
      <c r="X1147" s="3" t="inlineStr"/>
      <c r="Y1147" s="3" t="inlineStr">
        <is>
          <t>99% of this dish's available carbohydrate comes from ingredients with a published, measured GI; the rest uses conventional placeholders (see Ingredients sheet)</t>
        </is>
      </c>
      <c r="Z1147" s="2" t="n">
        <v>99</v>
      </c>
      <c r="AA1147" s="3" t="inlineStr">
        <is>
          <t>vegetarian, nut-free</t>
        </is>
      </c>
      <c r="AB1147" s="3" t="inlineStr">
        <is>
          <t>1. Cook the pasta al dente and drain.
2. Warm the milk with butter and mustard.
3. Melt in the cheddar until smooth.
4. Fold in the pasta and finish with paprika.</t>
        </is>
      </c>
      <c r="AC1147" s="4" t="inlineStr">
        <is>
          <t>["Cook the pasta al dente and drain.", "Warm the milk with butter and mustard.", "Melt in the cheddar until smooth.", "Fold in the pasta and finish with paprika."]</t>
        </is>
      </c>
    </row>
    <row r="1148" ht="96" customHeight="1">
      <c r="A1148" s="2" t="inlineStr">
        <is>
          <t>DB-1147</t>
        </is>
      </c>
      <c r="B1148" s="3" t="inlineStr">
        <is>
          <t>Baked Ziti with Turkey Sausage</t>
        </is>
      </c>
      <c r="C1148" s="4" t="inlineStr">
        <is>
          <t>Beef, Pork &amp; Lamb</t>
        </is>
      </c>
      <c r="D1148" s="4" t="inlineStr">
        <is>
          <t>Italian</t>
        </is>
      </c>
      <c r="E1148" s="2" t="n">
        <v>6</v>
      </c>
      <c r="F1148" s="2" t="n">
        <v>15</v>
      </c>
      <c r="G1148" s="2" t="n">
        <v>35</v>
      </c>
      <c r="H1148" s="2" t="n">
        <v>50</v>
      </c>
      <c r="I1148" s="4" t="inlineStr">
        <is>
          <t>baked-ziti-with-turkey-sausage.jpg</t>
        </is>
      </c>
      <c r="J1148" s="3" t="inlineStr">
        <is>
          <t>Baked Ziti with Turkey Sausage, healthy food photography, plated, natural light</t>
        </is>
      </c>
      <c r="K1148" s="4" t="inlineStr"/>
      <c r="L1148" s="3" t="inlineStr">
        <is>
          <t>White pasta, cooked al dente — 720 g (25.4 oz)
Turkey sausage — 300 g (10.6 oz)
Marinara sauce, no sugar added — 400 g (14.1 oz)
Ricotta, part-skim — 150 g (5.3 oz)
Mozzarella, part-skim — 120 g (4.2 oz)
Parmesan, grated — 30 g (1.1 oz)
Fresh basil — 5 g (0.2 oz)
Garlic — 8 g (0.3 oz)</t>
        </is>
      </c>
      <c r="M1148" s="4" t="inlineStr">
        <is>
          <t>[{"ingredient_id": "white_pasta", "name": "White pasta, cooked al dente", "grams": 720.0, "note": ""}, {"ingredient_id": "turkey_sausage", "name": "Turkey sausage", "grams": 300.0, "note": ""}, {"ingredient_id": "marinara", "name": "Marinara sauce, no sugar added", "grams": 400.0, "note": ""}, {"ingredient_id": "ricotta", "name": "Ricotta, part-skim", "grams": 150.0, "note": ""}, {"ingredient_id": "mozzarella", "name": "Mozzarella, part-skim", "grams": 120.0, "note": ""}, {"ingredient_id": "parmesan", "name": "Parmesan, grated", "grams": 30.0, "note": ""}, {"ingredient_id": "basil", "name": "Fresh basil", "grams": 5.0, "note": ""}, {"ingredient_id": "garlic", "name": "Garlic", "grams": 8.0, "note": ""}]</t>
        </is>
      </c>
      <c r="N1148" s="2" t="n">
        <v>405</v>
      </c>
      <c r="O1148" s="5" t="n">
        <v>25</v>
      </c>
      <c r="P1148" s="5" t="n">
        <v>14.4</v>
      </c>
      <c r="Q1148" s="5" t="n">
        <v>43.7</v>
      </c>
      <c r="R1148" s="5" t="n">
        <v>3.2</v>
      </c>
      <c r="S1148" s="5" t="n">
        <v>40.5</v>
      </c>
      <c r="T1148" s="2" t="n">
        <v>45</v>
      </c>
      <c r="U1148" s="2" t="inlineStr">
        <is>
          <t>low</t>
        </is>
      </c>
      <c r="V1148" s="5" t="n">
        <v>18.2</v>
      </c>
      <c r="W1148" s="2" t="inlineStr">
        <is>
          <t>medium</t>
        </is>
      </c>
      <c r="X1148" s="3" t="inlineStr"/>
      <c r="Y1148" s="3" t="inlineStr">
        <is>
          <t>91% of this dish's available carbohydrate comes from ingredients with a published, measured GI; the rest uses conventional placeholders (see Ingredients sheet)</t>
        </is>
      </c>
      <c r="Z1148" s="2" t="n">
        <v>91</v>
      </c>
      <c r="AA1148" s="3" t="inlineStr">
        <is>
          <t>nut-free</t>
        </is>
      </c>
      <c r="AB1148" s="3" t="inlineStr">
        <is>
          <t>1. Cook the pasta slightly under al dente.
2. Brown the sausage with garlic and stir in the marinara.
3. Mix the pasta, sauce and ricotta in a baking dish.
4. Top with mozzarella and parmesan and bake at 375°F for 25 minutes.</t>
        </is>
      </c>
      <c r="AC1148" s="4" t="inlineStr">
        <is>
          <t>["Cook the pasta slightly under al dente.", "Brown the sausage with garlic and stir in the marinara.", "Mix the pasta, sauce and ricotta in a baking dish.", "Top with mozzarella and parmesan and bake at 375°F for 25 minutes."]</t>
        </is>
      </c>
    </row>
    <row r="1149" ht="96" customHeight="1">
      <c r="A1149" s="2" t="inlineStr">
        <is>
          <t>DB-1148</t>
        </is>
      </c>
      <c r="B1149" s="3" t="inlineStr">
        <is>
          <t>Spaghetti with Meat Sauce</t>
        </is>
      </c>
      <c r="C1149" s="4" t="inlineStr">
        <is>
          <t>Beef, Pork &amp; Lamb</t>
        </is>
      </c>
      <c r="D1149" s="4" t="inlineStr">
        <is>
          <t>Italian</t>
        </is>
      </c>
      <c r="E1149" s="2" t="n">
        <v>5</v>
      </c>
      <c r="F1149" s="2" t="n">
        <v>10</v>
      </c>
      <c r="G1149" s="2" t="n">
        <v>30</v>
      </c>
      <c r="H1149" s="2" t="n">
        <v>40</v>
      </c>
      <c r="I1149" s="4" t="inlineStr">
        <is>
          <t>spaghetti-with-meat-sauce.jpg</t>
        </is>
      </c>
      <c r="J1149" s="3" t="inlineStr">
        <is>
          <t>Spaghetti with Meat Sauce, healthy food photography, plated, natural light</t>
        </is>
      </c>
      <c r="K1149" s="4" t="inlineStr"/>
      <c r="L1149" s="3" t="inlineStr">
        <is>
          <t>White pasta, cooked al dente — 600 g (21.2 oz)
Ground beef 90% lean — 400 g (14.1 oz)
Marinara sauce, no sugar added — 400 g (14.1 oz)
Yellow onion — 100 g (3.5 oz)
Garlic — 8 g (0.3 oz)
Italian seasoning — 3 g (0.1 oz)
Parmesan, grated — 25 g (0.9 oz)
Extra-virgin olive oil — 10 g (0.4 oz)</t>
        </is>
      </c>
      <c r="M1149" s="4" t="inlineStr">
        <is>
          <t>[{"ingredient_id": "white_pasta", "name": "White pasta, cooked al dente", "grams": 600.0, "note": ""}, {"ingredient_id": "ground_beef", "name": "Ground beef 90% lean", "grams": 400.0, "note": ""}, {"ingredient_id": "marinara", "name": "Marinara sauce, no sugar added", "grams": 400.0, "note": ""}, {"ingredient_id": "onion", "name": "Yellow onion", "grams": 100.0, "note": ""}, {"ingredient_id": "garlic", "name": "Garlic", "grams": 8.0, "note": ""}, {"ingredient_id": "italian_seasoning", "name": "Italian seasoning", "grams": 3.0, "note": ""}, {"ingredient_id": "parmesan", "name": "Parmesan, grated", "grams": 25.0, "note": ""}, {"ingredient_id": "olive_oil", "name": "Extra-virgin olive oil", "grams": 10.0, "note": ""}]</t>
        </is>
      </c>
      <c r="N1149" s="2" t="n">
        <v>416</v>
      </c>
      <c r="O1149" s="5" t="n">
        <v>26.4</v>
      </c>
      <c r="P1149" s="5" t="n">
        <v>14.6</v>
      </c>
      <c r="Q1149" s="5" t="n">
        <v>43.8</v>
      </c>
      <c r="R1149" s="5" t="n">
        <v>4</v>
      </c>
      <c r="S1149" s="5" t="n">
        <v>39.9</v>
      </c>
      <c r="T1149" s="2" t="n">
        <v>46</v>
      </c>
      <c r="U1149" s="2" t="inlineStr">
        <is>
          <t>low</t>
        </is>
      </c>
      <c r="V1149" s="5" t="n">
        <v>18.3</v>
      </c>
      <c r="W1149" s="2" t="inlineStr">
        <is>
          <t>medium</t>
        </is>
      </c>
      <c r="X1149" s="3" t="inlineStr"/>
      <c r="Y1149" s="3" t="inlineStr">
        <is>
          <t>94% of this dish's available carbohydrate comes from ingredients with a published, measured GI; the rest uses conventional placeholders (see Ingredients sheet)</t>
        </is>
      </c>
      <c r="Z1149" s="2" t="n">
        <v>94</v>
      </c>
      <c r="AA1149" s="3" t="inlineStr">
        <is>
          <t>nut-free, high-protein</t>
        </is>
      </c>
      <c r="AB1149" s="3" t="inlineStr">
        <is>
          <t>1. Brown the beef with onion and garlic in oil.
2. Add the marinara and seasoning and simmer 20 minutes.
3. Cook the spaghetti and toss with the sauce.
4. Serve with parmesan.</t>
        </is>
      </c>
      <c r="AC1149" s="4" t="inlineStr">
        <is>
          <t>["Brown the beef with onion and garlic in oil.", "Add the marinara and seasoning and simmer 20 minutes.", "Cook the spaghetti and toss with the sauce.", "Serve with parmesan."]</t>
        </is>
      </c>
    </row>
    <row r="1150" ht="96" customHeight="1">
      <c r="A1150" s="2" t="inlineStr">
        <is>
          <t>DB-1149</t>
        </is>
      </c>
      <c r="B1150" s="3" t="inlineStr">
        <is>
          <t>Spaghetti and Turkey Meatballs</t>
        </is>
      </c>
      <c r="C1150" s="4" t="inlineStr">
        <is>
          <t>Poultry</t>
        </is>
      </c>
      <c r="D1150" s="4" t="inlineStr">
        <is>
          <t>Italian</t>
        </is>
      </c>
      <c r="E1150" s="2" t="n">
        <v>5</v>
      </c>
      <c r="F1150" s="2" t="n">
        <v>15</v>
      </c>
      <c r="G1150" s="2" t="n">
        <v>30</v>
      </c>
      <c r="H1150" s="2" t="n">
        <v>45</v>
      </c>
      <c r="I1150" s="4" t="inlineStr">
        <is>
          <t>spaghetti-and-turkey-meatballs.jpg</t>
        </is>
      </c>
      <c r="J1150" s="3" t="inlineStr">
        <is>
          <t>Spaghetti and Turkey Meatballs, healthy food photography, plated, natural light</t>
        </is>
      </c>
      <c r="K1150" s="4" t="inlineStr"/>
      <c r="L1150" s="3" t="inlineStr">
        <is>
          <t>White pasta, cooked al dente — 550 g (19.4 oz)
Ground turkey 93% lean — 450 g (15.9 oz)
Egg, large (50 g each) — 50 g (1.8 oz)
Parmesan, grated — 30 g (1.1 oz)
Marinara sauce, no sugar added — 400 g (14.1 oz)
Italian seasoning — 3 g (0.1 oz)
Garlic — 6 g (0.2 oz)
Fresh parsley — 5 g (0.2 oz)</t>
        </is>
      </c>
      <c r="M1150" s="4" t="inlineStr">
        <is>
          <t>[{"ingredient_id": "white_pasta", "name": "White pasta, cooked al dente", "grams": 550.0, "note": ""}, {"ingredient_id": "ground_turkey", "name": "Ground turkey 93% lean", "grams": 450.0, "note": ""}, {"ingredient_id": "egg", "name": "Egg, large (50 g each)", "grams": 50.0, "note": ""}, {"ingredient_id": "parmesan", "name": "Parmesan, grated", "grams": 30.0, "note": ""}, {"ingredient_id": "marinara", "name": "Marinara sauce, no sugar added", "grams": 400.0, "note": ""}, {"ingredient_id": "italian_seasoning", "name": "Italian seasoning", "grams": 3.0, "note": ""}, {"ingredient_id": "garlic", "name": "Garlic", "grams": 6.0, "note": ""}, {"ingredient_id": "parsley", "name": "Fresh parsley", "grams": 5.0, "note": ""}]</t>
        </is>
      </c>
      <c r="N1150" s="2" t="n">
        <v>388</v>
      </c>
      <c r="O1150" s="5" t="n">
        <v>28.1</v>
      </c>
      <c r="P1150" s="5" t="n">
        <v>12.9</v>
      </c>
      <c r="Q1150" s="5" t="n">
        <v>39</v>
      </c>
      <c r="R1150" s="5" t="n">
        <v>3.5</v>
      </c>
      <c r="S1150" s="5" t="n">
        <v>35.5</v>
      </c>
      <c r="T1150" s="2" t="n">
        <v>47</v>
      </c>
      <c r="U1150" s="2" t="inlineStr">
        <is>
          <t>low</t>
        </is>
      </c>
      <c r="V1150" s="5" t="n">
        <v>16.7</v>
      </c>
      <c r="W1150" s="2" t="inlineStr">
        <is>
          <t>medium</t>
        </is>
      </c>
      <c r="X1150" s="3" t="inlineStr"/>
      <c r="Y1150" s="3" t="inlineStr">
        <is>
          <t>98% of this dish's available carbohydrate comes from ingredients with a published, measured GI; the rest uses conventional placeholders (see Ingredients sheet)</t>
        </is>
      </c>
      <c r="Z1150" s="2" t="n">
        <v>98</v>
      </c>
      <c r="AA1150" s="3" t="inlineStr">
        <is>
          <t>nut-free, high-protein</t>
        </is>
      </c>
      <c r="AB1150" s="3" t="inlineStr">
        <is>
          <t>1. Mix the turkey, egg, parmesan, garlic and seasoning and shape meatballs.
2. Brown them, then simmer in the marinara for 15 minutes.
3. Cook the spaghetti.
4. Serve topped with meatballs, sauce and parsley.</t>
        </is>
      </c>
      <c r="AC1150" s="4" t="inlineStr">
        <is>
          <t>["Mix the turkey, egg, parmesan, garlic and seasoning and shape meatballs.", "Brown them, then simmer in the marinara for 15 minutes.", "Cook the spaghetti.", "Serve topped with meatballs, sauce and parsley."]</t>
        </is>
      </c>
    </row>
    <row r="1151" ht="96" customHeight="1">
      <c r="A1151" s="2" t="inlineStr">
        <is>
          <t>DB-1150</t>
        </is>
      </c>
      <c r="B1151" s="3" t="inlineStr">
        <is>
          <t>Chicken Alfredo with Broccoli</t>
        </is>
      </c>
      <c r="C1151" s="4" t="inlineStr">
        <is>
          <t>Poultry</t>
        </is>
      </c>
      <c r="D1151" s="4" t="inlineStr">
        <is>
          <t>Italian</t>
        </is>
      </c>
      <c r="E1151" s="2" t="n">
        <v>4</v>
      </c>
      <c r="F1151" s="2" t="n">
        <v>10</v>
      </c>
      <c r="G1151" s="2" t="n">
        <v>25</v>
      </c>
      <c r="H1151" s="2" t="n">
        <v>35</v>
      </c>
      <c r="I1151" s="4" t="inlineStr">
        <is>
          <t>chicken-alfredo-with-broccoli.jpg</t>
        </is>
      </c>
      <c r="J1151" s="3" t="inlineStr">
        <is>
          <t>Chicken Alfredo with Broccoli, healthy food photography, plated, natural light</t>
        </is>
      </c>
      <c r="K1151" s="4" t="inlineStr"/>
      <c r="L1151" s="3" t="inlineStr">
        <is>
          <t>White pasta, cooked al dente — 480 g (16.9 oz)
Chicken breast, skinless — 400 g (14.1 oz)
Broccoli — 250 g (8.8 oz)
Heavy cream — 120 g (4.2 oz)
Parmesan, grated — 60 g (2.1 oz)
Garlic — 8 g (0.3 oz)
Butter — 15 g (0.5 oz)
Black pepper — 1 g (0.0 oz)</t>
        </is>
      </c>
      <c r="M1151" s="4" t="inlineStr">
        <is>
          <t>[{"ingredient_id": "white_pasta", "name": "White pasta, cooked al dente", "grams": 480.0, "note": ""}, {"ingredient_id": "chicken_breast", "name": "Chicken breast, skinless", "grams": 400.0, "note": ""}, {"ingredient_id": "broccoli", "name": "Broccoli", "grams": 250.0, "note": ""}, {"ingredient_id": "heavy_cream", "name": "Heavy cream", "grams": 120.0, "note": ""}, {"ingredient_id": "parmesan", "name": "Parmesan, grated", "grams": 60.0, "note": ""}, {"ingredient_id": "garlic", "name": "Garlic", "grams": 8.0, "note": ""}, {"ingredient_id": "butter", "name": "Butter", "grams": 15.0, "note": ""}, {"ingredient_id": "black_pepper", "name": "Black pepper", "grams": 1.0, "note": ""}]</t>
        </is>
      </c>
      <c r="N1151" s="2" t="n">
        <v>527</v>
      </c>
      <c r="O1151" s="5" t="n">
        <v>37.6</v>
      </c>
      <c r="P1151" s="5" t="n">
        <v>22.2</v>
      </c>
      <c r="Q1151" s="5" t="n">
        <v>43.3</v>
      </c>
      <c r="R1151" s="5" t="n">
        <v>3.9</v>
      </c>
      <c r="S1151" s="5" t="n">
        <v>39.4</v>
      </c>
      <c r="T1151" s="2" t="n">
        <v>45</v>
      </c>
      <c r="U1151" s="2" t="inlineStr">
        <is>
          <t>low</t>
        </is>
      </c>
      <c r="V1151" s="5" t="n">
        <v>17.7</v>
      </c>
      <c r="W1151" s="2" t="inlineStr">
        <is>
          <t>medium</t>
        </is>
      </c>
      <c r="X1151" s="3" t="inlineStr"/>
      <c r="Y1151" s="3" t="inlineStr">
        <is>
          <t>88% of this dish's available carbohydrate comes from ingredients with a published, measured GI; the rest uses conventional placeholders (see Ingredients sheet)</t>
        </is>
      </c>
      <c r="Z1151" s="2" t="n">
        <v>88</v>
      </c>
      <c r="AA1151" s="3" t="inlineStr">
        <is>
          <t>nut-free, high-protein</t>
        </is>
      </c>
      <c r="AB1151" s="3" t="inlineStr">
        <is>
          <t>1. Sear the sliced chicken in butter and set aside.
2. Simmer the garlic and cream, then stir in the parmesan.
3. Cook the pasta with the broccoli for the last 3 minutes.
4. Toss everything together with pepper.</t>
        </is>
      </c>
      <c r="AC1151" s="4" t="inlineStr">
        <is>
          <t>["Sear the sliced chicken in butter and set aside.", "Simmer the garlic and cream, then stir in the parmesan.", "Cook the pasta with the broccoli for the last 3 minutes.", "Toss everything together with pepper."]</t>
        </is>
      </c>
    </row>
    <row r="1152" ht="96" customHeight="1">
      <c r="A1152" s="2" t="inlineStr">
        <is>
          <t>DB-1151</t>
        </is>
      </c>
      <c r="B1152" s="3" t="inlineStr">
        <is>
          <t>Tuna Noodle Casserole</t>
        </is>
      </c>
      <c r="C1152" s="4" t="inlineStr">
        <is>
          <t>Seafood</t>
        </is>
      </c>
      <c r="D1152" s="4" t="inlineStr">
        <is>
          <t>American</t>
        </is>
      </c>
      <c r="E1152" s="2" t="n">
        <v>5</v>
      </c>
      <c r="F1152" s="2" t="n">
        <v>15</v>
      </c>
      <c r="G1152" s="2" t="n">
        <v>30</v>
      </c>
      <c r="H1152" s="2" t="n">
        <v>45</v>
      </c>
      <c r="I1152" s="4" t="inlineStr">
        <is>
          <t>tuna-noodle-casserole.jpg</t>
        </is>
      </c>
      <c r="J1152" s="3" t="inlineStr">
        <is>
          <t>Tuna Noodle Casserole, healthy food photography, plated, natural light</t>
        </is>
      </c>
      <c r="K1152" s="4" t="inlineStr"/>
      <c r="L1152" s="3" t="inlineStr">
        <is>
          <t>Egg noodles, cooked — 600 g (21.2 oz)
Tuna, canned in water — 240 g (8.5 oz)
Green peas — 120 g (4.2 oz)
Mushrooms (cremini/white) — 150 g (5.3 oz)
Milk, 2% — 300 g (10.6 oz)
Cheddar cheese — 90 g (3.2 oz)
Yellow onion — 80 g (2.8 oz)
Butter — 15 g (0.5 oz)</t>
        </is>
      </c>
      <c r="M1152" s="4" t="inlineStr">
        <is>
          <t>[{"ingredient_id": "egg_noodles", "name": "Egg noodles, cooked", "grams": 600.0, "note": ""}, {"ingredient_id": "tuna_canned", "name": "Tuna, canned in water", "grams": 240.0, "note": ""}, {"ingredient_id": "green_peas", "name": "Green peas", "grams": 120.0, "note": ""}, {"ingredient_id": "mushrooms", "name": "Mushrooms (cremini/white)", "grams": 150.0, "note": ""}, {"ingredient_id": "milk", "name": "Milk, 2%", "grams": 300.0, "note": ""}, {"ingredient_id": "cheddar", "name": "Cheddar cheese", "grams": 90.0, "note": ""}, {"ingredient_id": "onion", "name": "Yellow onion", "grams": 80.0, "note": ""}, {"ingredient_id": "butter", "name": "Butter", "grams": 15.0, "note": ""}]</t>
        </is>
      </c>
      <c r="N1152" s="2" t="n">
        <v>377</v>
      </c>
      <c r="O1152" s="5" t="n">
        <v>26.4</v>
      </c>
      <c r="P1152" s="5" t="n">
        <v>12.7</v>
      </c>
      <c r="Q1152" s="5" t="n">
        <v>39</v>
      </c>
      <c r="R1152" s="5" t="n">
        <v>3.4</v>
      </c>
      <c r="S1152" s="5" t="n">
        <v>35.6</v>
      </c>
      <c r="T1152" s="2" t="n">
        <v>53</v>
      </c>
      <c r="U1152" s="2" t="inlineStr">
        <is>
          <t>low</t>
        </is>
      </c>
      <c r="V1152" s="5" t="n">
        <v>18.9</v>
      </c>
      <c r="W1152" s="2" t="inlineStr">
        <is>
          <t>medium</t>
        </is>
      </c>
      <c r="X1152" s="3" t="inlineStr"/>
      <c r="Y1152" s="3" t="inlineStr">
        <is>
          <t>94% of this dish's available carbohydrate comes from ingredients with a published, measured GI; the rest uses conventional placeholders (see Ingredients sheet)</t>
        </is>
      </c>
      <c r="Z1152" s="2" t="n">
        <v>94</v>
      </c>
      <c r="AA1152" s="3" t="inlineStr">
        <is>
          <t>pescatarian, nut-free, high-protein</t>
        </is>
      </c>
      <c r="AB1152" s="3" t="inlineStr">
        <is>
          <t>1. Cook the noodles al dente.
2. Sauté the onion and mushrooms in butter, add the milk and cheddar and stir until smooth.
3. Fold in the noodles, tuna and peas.
4. Bake at 375°F for 20 minutes.</t>
        </is>
      </c>
      <c r="AC1152" s="4" t="inlineStr">
        <is>
          <t>["Cook the noodles al dente.", "Sauté the onion and mushrooms in butter, add the milk and cheddar and stir until smooth.", "Fold in the noodles, tuna and peas.", "Bake at 375°F for 20 minutes."]</t>
        </is>
      </c>
    </row>
    <row r="1153" ht="96" customHeight="1">
      <c r="A1153" s="2" t="inlineStr">
        <is>
          <t>DB-1152</t>
        </is>
      </c>
      <c r="B1153" s="3" t="inlineStr">
        <is>
          <t>Beef Stroganoff over Egg Noodles</t>
        </is>
      </c>
      <c r="C1153" s="4" t="inlineStr">
        <is>
          <t>Beef, Pork &amp; Lamb</t>
        </is>
      </c>
      <c r="D1153" s="4" t="inlineStr">
        <is>
          <t>American</t>
        </is>
      </c>
      <c r="E1153" s="2" t="n">
        <v>5</v>
      </c>
      <c r="F1153" s="2" t="n">
        <v>15</v>
      </c>
      <c r="G1153" s="2" t="n">
        <v>25</v>
      </c>
      <c r="H1153" s="2" t="n">
        <v>40</v>
      </c>
      <c r="I1153" s="4" t="inlineStr">
        <is>
          <t>beef-stroganoff-over-egg-noodles.jpg</t>
        </is>
      </c>
      <c r="J1153" s="3" t="inlineStr">
        <is>
          <t>Beef Stroganoff over Egg Noodles, healthy food photography, plated, natural light</t>
        </is>
      </c>
      <c r="K1153" s="4" t="inlineStr"/>
      <c r="L1153" s="3" t="inlineStr">
        <is>
          <t>Flank steak — 450 g (15.9 oz)
Egg noodles, cooked — 500 g (17.6 oz)
Mushrooms (cremini/white) — 250 g (8.8 oz)
Yellow onion — 100 g (3.5 oz)
Sour cream — 120 g (4.2 oz)
Beef broth, low sodium — 200 g (7.1 oz)
Dijon mustard — 10 g (0.4 oz)
Extra-virgin olive oil — 15 g (0.5 oz)</t>
        </is>
      </c>
      <c r="M1153" s="4" t="inlineStr">
        <is>
          <t>[{"ingredient_id": "flank_steak", "name": "Flank steak", "grams": 450.0, "note": ""}, {"ingredient_id": "egg_noodles", "name": "Egg noodles, cooked", "grams": 500.0, "note": ""}, {"ingredient_id": "mushrooms", "name": "Mushrooms (cremini/white)", "grams": 250.0, "note": ""}, {"ingredient_id": "onion", "name": "Yellow onion", "grams": 100.0, "note": ""}, {"ingredient_id": "sour_cream", "name": "Sour cream", "grams": 120.0, "note": ""}, {"ingredient_id": "beef_broth", "name": "Beef broth, low sodium", "grams": 200.0, "note": ""}, {"ingredient_id": "dijon", "name": "Dijon mustard", "grams": 10.0, "note": ""}, {"ingredient_id": "olive_oil", "name": "Extra-virgin olive oil", "grams": 15.0, "note": ""}]</t>
        </is>
      </c>
      <c r="N1153" s="2" t="n">
        <v>369</v>
      </c>
      <c r="O1153" s="5" t="n">
        <v>26.4</v>
      </c>
      <c r="P1153" s="5" t="n">
        <v>16.2</v>
      </c>
      <c r="Q1153" s="5" t="n">
        <v>29.9</v>
      </c>
      <c r="R1153" s="5" t="n">
        <v>2.1</v>
      </c>
      <c r="S1153" s="5" t="n">
        <v>27.8</v>
      </c>
      <c r="T1153" s="2" t="n">
        <v>53</v>
      </c>
      <c r="U1153" s="2" t="inlineStr">
        <is>
          <t>low</t>
        </is>
      </c>
      <c r="V1153" s="5" t="n">
        <v>14.7</v>
      </c>
      <c r="W1153" s="2" t="inlineStr">
        <is>
          <t>medium</t>
        </is>
      </c>
      <c r="X1153" s="3" t="inlineStr"/>
      <c r="Y1153" s="3" t="inlineStr">
        <is>
          <t>86% of this dish's available carbohydrate comes from ingredients with a published, measured GI; the rest uses conventional placeholders (see Ingredients sheet)</t>
        </is>
      </c>
      <c r="Z1153" s="2" t="n">
        <v>86</v>
      </c>
      <c r="AA1153" s="3" t="inlineStr">
        <is>
          <t>nut-free, high-protein</t>
        </is>
      </c>
      <c r="AB1153" s="3" t="inlineStr">
        <is>
          <t>1. Sear the sliced steak in oil and set aside.
2. Sauté the onion and mushrooms, add broth and mustard and reduce.
3. Stir in the sour cream and return the beef.
4. Serve over the noodles.</t>
        </is>
      </c>
      <c r="AC1153" s="4" t="inlineStr">
        <is>
          <t>["Sear the sliced steak in oil and set aside.", "Sauté the onion and mushrooms, add broth and mustard and reduce.", "Stir in the sour cream and return the beef.", "Serve over the noodles."]</t>
        </is>
      </c>
    </row>
    <row r="1154" ht="96" customHeight="1">
      <c r="A1154" s="2" t="inlineStr">
        <is>
          <t>DB-1153</t>
        </is>
      </c>
      <c r="B1154" s="3" t="inlineStr">
        <is>
          <t>Chicken and Noodles</t>
        </is>
      </c>
      <c r="C1154" s="4" t="inlineStr">
        <is>
          <t>Poultry</t>
        </is>
      </c>
      <c r="D1154" s="4" t="inlineStr">
        <is>
          <t>American</t>
        </is>
      </c>
      <c r="E1154" s="2" t="n">
        <v>5</v>
      </c>
      <c r="F1154" s="2" t="n">
        <v>15</v>
      </c>
      <c r="G1154" s="2" t="n">
        <v>30</v>
      </c>
      <c r="H1154" s="2" t="n">
        <v>45</v>
      </c>
      <c r="I1154" s="4" t="inlineStr">
        <is>
          <t>chicken-and-noodles.jpg</t>
        </is>
      </c>
      <c r="J1154" s="3" t="inlineStr">
        <is>
          <t>Chicken and Noodles, healthy food photography, plated, natural light</t>
        </is>
      </c>
      <c r="K1154" s="4" t="inlineStr"/>
      <c r="L1154" s="3" t="inlineStr">
        <is>
          <t>Chicken breast, skinless — 450 g (15.9 oz)
Egg noodles, cooked — 450 g (15.9 oz)
Chicken broth, low sodium — 800 g (28.2 oz)
Carrot — 120 g (4.2 oz)
Celery — 80 g (2.8 oz)
Yellow onion — 80 g (2.8 oz)
Fresh thyme — 2 g (0.1 oz)
Fresh parsley — 5 g (0.2 oz)</t>
        </is>
      </c>
      <c r="M1154" s="4" t="inlineStr">
        <is>
          <t>[{"ingredient_id": "chicken_breast", "name": "Chicken breast, skinless", "grams": 450.0, "note": ""}, {"ingredient_id": "egg_noodles", "name": "Egg noodles, cooked", "grams": 450.0, "note": ""}, {"ingredient_id": "chicken_broth", "name": "Chicken broth, low sodium", "grams": 800.0, "note": ""}, {"ingredient_id": "carrot", "name": "Carrot", "grams": 120.0, "note": ""}, {"ingredient_id": "celery", "name": "Celery", "grams": 80.0, "note": ""}, {"ingredient_id": "onion", "name": "Yellow onion", "grams": 80.0, "note": ""}, {"ingredient_id": "thyme", "name": "Fresh thyme", "grams": 2.0, "note": ""}, {"ingredient_id": "parsley", "name": "Fresh parsley", "grams": 5.0, "note": ""}]</t>
        </is>
      </c>
      <c r="N1154" s="2" t="n">
        <v>262</v>
      </c>
      <c r="O1154" s="5" t="n">
        <v>26.5</v>
      </c>
      <c r="P1154" s="5" t="n">
        <v>4.6</v>
      </c>
      <c r="Q1154" s="5" t="n">
        <v>27.7</v>
      </c>
      <c r="R1154" s="5" t="n">
        <v>2.4</v>
      </c>
      <c r="S1154" s="5" t="n">
        <v>25.4</v>
      </c>
      <c r="T1154" s="2" t="n">
        <v>54</v>
      </c>
      <c r="U1154" s="2" t="inlineStr">
        <is>
          <t>low</t>
        </is>
      </c>
      <c r="V1154" s="5" t="n">
        <v>13.7</v>
      </c>
      <c r="W1154" s="2" t="inlineStr">
        <is>
          <t>medium</t>
        </is>
      </c>
      <c r="X1154" s="3" t="inlineStr"/>
      <c r="Y1154" s="3" t="inlineStr">
        <is>
          <t>91% of this dish's available carbohydrate comes from ingredients with a published, measured GI; the rest uses conventional placeholders (see Ingredients sheet)</t>
        </is>
      </c>
      <c r="Z1154" s="2" t="n">
        <v>91</v>
      </c>
      <c r="AA1154" s="3" t="inlineStr">
        <is>
          <t>dairy-free, nut-free, high-protein</t>
        </is>
      </c>
      <c r="AB1154" s="3" t="inlineStr">
        <is>
          <t>1. Simmer the chicken, vegetables and thyme in the broth for 20 minutes.
2. Shred the chicken.
3. Add the noodles to the broth and cook until tender.
4. Return the chicken and finish with parsley.</t>
        </is>
      </c>
      <c r="AC1154" s="4" t="inlineStr">
        <is>
          <t>["Simmer the chicken, vegetables and thyme in the broth for 20 minutes.", "Shred the chicken.", "Add the noodles to the broth and cook until tender.", "Return the chicken and finish with parsley."]</t>
        </is>
      </c>
    </row>
    <row r="1155" ht="96" customHeight="1">
      <c r="A1155" s="2" t="inlineStr">
        <is>
          <t>DB-1154</t>
        </is>
      </c>
      <c r="B1155" s="3" t="inlineStr">
        <is>
          <t>Chili Mac</t>
        </is>
      </c>
      <c r="C1155" s="4" t="inlineStr">
        <is>
          <t>Beef, Pork &amp; Lamb</t>
        </is>
      </c>
      <c r="D1155" s="4" t="inlineStr">
        <is>
          <t>American</t>
        </is>
      </c>
      <c r="E1155" s="2" t="n">
        <v>6</v>
      </c>
      <c r="F1155" s="2" t="n">
        <v>10</v>
      </c>
      <c r="G1155" s="2" t="n">
        <v>30</v>
      </c>
      <c r="H1155" s="2" t="n">
        <v>40</v>
      </c>
      <c r="I1155" s="4" t="inlineStr">
        <is>
          <t>chili-mac.jpg</t>
        </is>
      </c>
      <c r="J1155" s="3" t="inlineStr">
        <is>
          <t>Chili Mac, healthy food photography, plated, natural light</t>
        </is>
      </c>
      <c r="K1155" s="4" t="inlineStr"/>
      <c r="L1155" s="3" t="inlineStr">
        <is>
          <t>Ground beef 90% lean — 450 g (15.9 oz)
White pasta, cooked al dente — 420 g (14.8 oz)
Kidney beans, cooked — 250 g (8.8 oz)
Diced tomatoes, canned — 400 g (14.1 oz)
Yellow onion — 120 g (4.2 oz)
Chili powder — 10 g (0.4 oz)
Ground cumin — 3 g (0.1 oz)
Cheddar cheese — 70 g (2.5 oz)
Beef broth, low sodium — 200 g (7.1 oz)</t>
        </is>
      </c>
      <c r="M1155" s="4" t="inlineStr">
        <is>
          <t>[{"ingredient_id": "ground_beef", "name": "Ground beef 90% lean", "grams": 450.0, "note": ""}, {"ingredient_id": "white_pasta", "name": "White pasta, cooked al dente", "grams": 420.0, "note": ""}, {"ingredient_id": "kidney_beans", "name": "Kidney beans, cooked", "grams": 250.0, "note": ""}, {"ingredient_id": "diced_tomatoes", "name": "Diced tomatoes, canned", "grams": 400.0, "note": ""}, {"ingredient_id": "onion", "name": "Yellow onion", "grams": 120.0, "note": ""}, {"ingredient_id": "chili_powder", "name": "Chili powder", "grams": 10.0, "note": ""}, {"ingredient_id": "cumin", "name": "Ground cumin", "grams": 3.0, "note": ""}, {"ingredient_id": "cheddar", "name": "Cheddar cheese", "grams": 70.0, "note": ""}, {"ingredient_id": "beef_broth", "name": "Beef broth, low sodium", "grams": 200.0, "note": ""}]</t>
        </is>
      </c>
      <c r="N1155" s="2" t="n">
        <v>375</v>
      </c>
      <c r="O1155" s="5" t="n">
        <v>27.1</v>
      </c>
      <c r="P1155" s="5" t="n">
        <v>12.8</v>
      </c>
      <c r="Q1155" s="5" t="n">
        <v>37.5</v>
      </c>
      <c r="R1155" s="5" t="n">
        <v>5.9</v>
      </c>
      <c r="S1155" s="5" t="n">
        <v>31.6</v>
      </c>
      <c r="T1155" s="2" t="n">
        <v>42</v>
      </c>
      <c r="U1155" s="2" t="inlineStr">
        <is>
          <t>low</t>
        </is>
      </c>
      <c r="V1155" s="5" t="n">
        <v>13.3</v>
      </c>
      <c r="W1155" s="2" t="inlineStr">
        <is>
          <t>medium</t>
        </is>
      </c>
      <c r="X1155" s="3" t="inlineStr"/>
      <c r="Y1155" s="3" t="inlineStr">
        <is>
          <t>86% of this dish's available carbohydrate comes from ingredients with a published, measured GI; the rest uses conventional placeholders (see Ingredients sheet)</t>
        </is>
      </c>
      <c r="Z1155" s="2" t="n">
        <v>86</v>
      </c>
      <c r="AA1155" s="3" t="inlineStr">
        <is>
          <t>nut-free, high-protein</t>
        </is>
      </c>
      <c r="AB1155" s="3" t="inlineStr">
        <is>
          <t>1. Brown the beef with the onion.
2. Add chili powder, cumin, tomatoes, beans and broth and simmer 15 minutes.
3. Stir in the cooked macaroni.
4. Top with cheddar.</t>
        </is>
      </c>
      <c r="AC1155" s="4" t="inlineStr">
        <is>
          <t>["Brown the beef with the onion.", "Add chili powder, cumin, tomatoes, beans and broth and simmer 15 minutes.", "Stir in the cooked macaroni.", "Top with cheddar."]</t>
        </is>
      </c>
    </row>
    <row r="1156" ht="96" customHeight="1">
      <c r="A1156" s="2" t="inlineStr">
        <is>
          <t>DB-1155</t>
        </is>
      </c>
      <c r="B1156" s="3" t="inlineStr">
        <is>
          <t>Chicken Fried Rice</t>
        </is>
      </c>
      <c r="C1156" s="4" t="inlineStr">
        <is>
          <t>Poultry</t>
        </is>
      </c>
      <c r="D1156" s="4" t="inlineStr">
        <is>
          <t>American</t>
        </is>
      </c>
      <c r="E1156" s="2" t="n">
        <v>4</v>
      </c>
      <c r="F1156" s="2" t="n">
        <v>15</v>
      </c>
      <c r="G1156" s="2" t="n">
        <v>12</v>
      </c>
      <c r="H1156" s="2" t="n">
        <v>27</v>
      </c>
      <c r="I1156" s="4" t="inlineStr">
        <is>
          <t>chicken-fried-rice.jpg</t>
        </is>
      </c>
      <c r="J1156" s="3" t="inlineStr">
        <is>
          <t>Chicken Fried Rice, healthy food photography, plated, natural light</t>
        </is>
      </c>
      <c r="K1156" s="4" t="inlineStr"/>
      <c r="L1156" s="3" t="inlineStr">
        <is>
          <t>White rice, long-grain, cooked — 480 g (16.9 oz)
Chicken breast, skinless — 300 g (10.6 oz)
Egg, large (50 g each) — 100 g (3.5 oz)
Green peas — 100 g (3.5 oz)
Carrot — 80 g (2.8 oz)
Green onions (scallions) — 30 g (1.1 oz)
Soy sauce, low sodium — 30 g (1.1 oz)
Toasted sesame oil — 10 g (0.4 oz)
Extra-virgin olive oil — 15 g (0.5 oz)
Garlic — 6 g (0.2 oz)</t>
        </is>
      </c>
      <c r="M1156" s="4" t="inlineStr">
        <is>
          <t>[{"ingredient_id": "white_rice", "name": "White rice, long-grain, cooked", "grams": 480.0, "note": ""}, {"ingredient_id": "chicken_breast", "name": "Chicken breast, skinless",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6" s="2" t="n">
        <v>373</v>
      </c>
      <c r="O1156" s="5" t="n">
        <v>25.6</v>
      </c>
      <c r="P1156" s="5" t="n">
        <v>11.1</v>
      </c>
      <c r="Q1156" s="5" t="n">
        <v>40.6</v>
      </c>
      <c r="R1156" s="5" t="n">
        <v>2.8</v>
      </c>
      <c r="S1156" s="5" t="n">
        <v>37.9</v>
      </c>
      <c r="T1156" s="2" t="n">
        <v>72</v>
      </c>
      <c r="U1156" s="2" t="inlineStr">
        <is>
          <t>high</t>
        </is>
      </c>
      <c r="V1156" s="5" t="n">
        <v>27.3</v>
      </c>
      <c r="W1156" s="2" t="inlineStr">
        <is>
          <t>high</t>
        </is>
      </c>
      <c r="X1156" s="3" t="inlineStr">
        <is>
          <t>Medium-GI dish: keep to the stated portion and pair with the protein/fat in the recipe; GL per serving is the better guide.</t>
        </is>
      </c>
      <c r="Y1156" s="3" t="inlineStr">
        <is>
          <t>97% of this dish's available carbohydrate comes from ingredients with a published, measured GI; the rest uses conventional placeholders (see Ingredients sheet)</t>
        </is>
      </c>
      <c r="Z1156" s="2" t="n">
        <v>97</v>
      </c>
      <c r="AA1156" s="3" t="inlineStr">
        <is>
          <t>dairy-free, nut-free, high-protein</t>
        </is>
      </c>
      <c r="AB1156" s="3" t="inlineStr">
        <is>
          <t>1. Use cold, cooked rice.
2. Sear the diced chicken in oil, add garlic, carrot and peas.
3. Push aside, scramble the eggs, then mix in the rice.
4. Season with soy sauce and sesame oil and finish with green onion.</t>
        </is>
      </c>
      <c r="AC1156" s="4" t="inlineStr">
        <is>
          <t>["Use cold, cooked rice.", "Sear the diced chicken in oil, add garlic, carrot and peas.", "Push aside, scramble the eggs, then mix in the rice.", "Season with soy sauce and sesame oil and finish with green onion."]</t>
        </is>
      </c>
    </row>
    <row r="1157" ht="96" customHeight="1">
      <c r="A1157" s="2" t="inlineStr">
        <is>
          <t>DB-1156</t>
        </is>
      </c>
      <c r="B1157" s="3" t="inlineStr">
        <is>
          <t>Shrimp Fried Rice</t>
        </is>
      </c>
      <c r="C1157" s="4" t="inlineStr">
        <is>
          <t>Seafood</t>
        </is>
      </c>
      <c r="D1157" s="4" t="inlineStr">
        <is>
          <t>American</t>
        </is>
      </c>
      <c r="E1157" s="2" t="n">
        <v>4</v>
      </c>
      <c r="F1157" s="2" t="n">
        <v>15</v>
      </c>
      <c r="G1157" s="2" t="n">
        <v>12</v>
      </c>
      <c r="H1157" s="2" t="n">
        <v>27</v>
      </c>
      <c r="I1157" s="4" t="inlineStr">
        <is>
          <t>shrimp-fried-rice.jpg</t>
        </is>
      </c>
      <c r="J1157" s="3" t="inlineStr">
        <is>
          <t>Shrimp Fried Rice, healthy food photography, plated, natural light</t>
        </is>
      </c>
      <c r="K1157" s="4" t="inlineStr"/>
      <c r="L1157" s="3" t="inlineStr">
        <is>
          <t>White rice, long-grain, cooked — 480 g (16.9 oz)
Shrimp, peeled — 300 g (10.6 oz)
Egg, large (50 g each) — 100 g (3.5 oz)
Green peas — 100 g (3.5 oz)
Carrot — 80 g (2.8 oz)
Green onions (scallions) — 30 g (1.1 oz)
Soy sauce, low sodium — 30 g (1.1 oz)
Toasted sesame oil — 10 g (0.4 oz)
Extra-virgin olive oil — 15 g (0.5 oz)
Garlic — 6 g (0.2 oz)</t>
        </is>
      </c>
      <c r="M1157" s="4" t="inlineStr">
        <is>
          <t>[{"ingredient_id": "white_rice", "name": "White rice, long-grain, cooked", "grams": 480.0, "note": ""}, {"ingredient_id": "shrimp", "name": "Shrimp, peeled",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7" s="2" t="n">
        <v>347</v>
      </c>
      <c r="O1157" s="5" t="n">
        <v>23.7</v>
      </c>
      <c r="P1157" s="5" t="n">
        <v>9.5</v>
      </c>
      <c r="Q1157" s="5" t="n">
        <v>40.6</v>
      </c>
      <c r="R1157" s="5" t="n">
        <v>2.8</v>
      </c>
      <c r="S1157" s="5" t="n">
        <v>37.9</v>
      </c>
      <c r="T1157" s="2" t="n">
        <v>72</v>
      </c>
      <c r="U1157" s="2" t="inlineStr">
        <is>
          <t>high</t>
        </is>
      </c>
      <c r="V1157" s="5" t="n">
        <v>27.3</v>
      </c>
      <c r="W1157" s="2" t="inlineStr">
        <is>
          <t>high</t>
        </is>
      </c>
      <c r="X1157" s="3" t="inlineStr">
        <is>
          <t>Medium-GI dish: keep to the stated portion and pair with the protein/fat in the recipe; GL per serving is the better guide.</t>
        </is>
      </c>
      <c r="Y1157" s="3" t="inlineStr">
        <is>
          <t>97% of this dish's available carbohydrate comes from ingredients with a published, measured GI; the rest uses conventional placeholders (see Ingredients sheet)</t>
        </is>
      </c>
      <c r="Z1157" s="2" t="n">
        <v>97</v>
      </c>
      <c r="AA1157" s="3" t="inlineStr">
        <is>
          <t>pescatarian, dairy-free, nut-free</t>
        </is>
      </c>
      <c r="AB1157" s="3" t="inlineStr">
        <is>
          <t>1. Sear the shrimp in oil, 2 minutes, and set aside.
2. Stir-fry garlic, carrot and peas, scramble in the eggs.
3. Add the cold rice, soy sauce and sesame oil.
4. Fold in the shrimp and green onion.</t>
        </is>
      </c>
      <c r="AC1157" s="4" t="inlineStr">
        <is>
          <t>["Sear the shrimp in oil, 2 minutes, and set aside.", "Stir-fry garlic, carrot and peas, scramble in the eggs.", "Add the cold rice, soy sauce and sesame oil.", "Fold in the shrimp and green onion."]</t>
        </is>
      </c>
    </row>
    <row r="1158" ht="96" customHeight="1">
      <c r="A1158" s="2" t="inlineStr">
        <is>
          <t>DB-1157</t>
        </is>
      </c>
      <c r="B1158" s="3" t="inlineStr">
        <is>
          <t>Jambalaya</t>
        </is>
      </c>
      <c r="C1158" s="4" t="inlineStr">
        <is>
          <t>Seafood</t>
        </is>
      </c>
      <c r="D1158" s="4" t="inlineStr">
        <is>
          <t>American</t>
        </is>
      </c>
      <c r="E1158" s="2" t="n">
        <v>6</v>
      </c>
      <c r="F1158" s="2" t="n">
        <v>20</v>
      </c>
      <c r="G1158" s="2" t="n">
        <v>40</v>
      </c>
      <c r="H1158" s="2" t="n">
        <v>60</v>
      </c>
      <c r="I1158" s="4" t="inlineStr">
        <is>
          <t>jambalaya.jpg</t>
        </is>
      </c>
      <c r="J1158" s="3" t="inlineStr">
        <is>
          <t>Jambalaya, healthy food photography, plated, natural light</t>
        </is>
      </c>
      <c r="K1158" s="4" t="inlineStr"/>
      <c r="L1158" s="3" t="inlineStr">
        <is>
          <t>White rice, long-grain, cooked — 480 g (16.9 oz)
Chicken sausage — 250 g (8.8 oz)
Shrimp, peeled — 300 g (10.6 oz)
Chicken breast, skinless — 250 g (8.8 oz)
Bell pepper — 150 g (5.3 oz)
Celery — 80 g (2.8 oz)
Yellow onion — 150 g (5.3 oz)
Diced tomatoes, canned — 300 g (10.6 oz)
Chicken broth, low sodium — 300 g (10.6 oz)
Cajun seasoning — 10 g (0.4 oz)
Garlic — 8 g (0.3 oz)
Extra-virgin olive oil — 15 g (0.5 oz)</t>
        </is>
      </c>
      <c r="M1158" s="4" t="inlineStr">
        <is>
          <t>[{"ingredient_id": "white_rice", "name": "White rice, long-grain, cooked", "grams": 480.0, "note": ""}, {"ingredient_id": "chicken_sausage", "name": "Chicken sausage", "grams": 250.0, "note": ""}, {"ingredient_id": "shrimp", "name": "Shrimp, peeled", "grams": 300.0, "note": ""}, {"ingredient_id": "chicken_breast", "name": "Chicken breast, skinless", "grams": 250.0, "note": ""}, {"ingredient_id": "bell_pepper", "name": "Bell pepper", "grams": 150.0, "note": ""}, {"ingredient_id": "celery", "name": "Celery", "grams": 80.0, "note": ""}, {"ingredient_id": "onion", "name": "Yellow onion", "grams": 150.0, "note": ""}, {"ingredient_id": "diced_tomatoes", "name": "Diced tomatoes, canned", "grams": 300.0, "note": ""}, {"ingredient_id": "chicken_broth", "name": "Chicken broth, low sodium", "grams": 300.0, "note": ""}, {"ingredient_id": "cajun_seasoning", "name": "Cajun seasoning", "grams": 10.0, "note": ""}, {"ingredient_id": "garlic", "name": "Garlic", "grams": 8.0, "note": ""}, {"ingredient_id": "olive_oil", "name": "Extra-virgin olive oil", "grams": 15.0, "note": ""}]</t>
        </is>
      </c>
      <c r="N1158" s="2" t="n">
        <v>331</v>
      </c>
      <c r="O1158" s="5" t="n">
        <v>29.7</v>
      </c>
      <c r="P1158" s="5" t="n">
        <v>9.1</v>
      </c>
      <c r="Q1158" s="5" t="n">
        <v>31.6</v>
      </c>
      <c r="R1158" s="5" t="n">
        <v>2.7</v>
      </c>
      <c r="S1158" s="5" t="n">
        <v>28.9</v>
      </c>
      <c r="T1158" s="2" t="n">
        <v>63</v>
      </c>
      <c r="U1158" s="2" t="inlineStr">
        <is>
          <t>medium</t>
        </is>
      </c>
      <c r="V1158" s="5" t="n">
        <v>18.2</v>
      </c>
      <c r="W1158" s="2" t="inlineStr">
        <is>
          <t>medium</t>
        </is>
      </c>
      <c r="X1158" s="3" t="inlineStr">
        <is>
          <t>Medium-GI dish: keep to the stated portion and pair with the protein/fat in the recipe; GL per serving is the better guide.</t>
        </is>
      </c>
      <c r="Y1158" s="3" t="inlineStr">
        <is>
          <t>76% of this dish's available carbohydrate comes from ingredients with a published, measured GI; the rest uses conventional placeholders (see Ingredients sheet)</t>
        </is>
      </c>
      <c r="Z1158" s="2" t="n">
        <v>76</v>
      </c>
      <c r="AA1158" s="3" t="inlineStr">
        <is>
          <t>gluten-free, dairy-free, nut-free, high-protein</t>
        </is>
      </c>
      <c r="AB1158" s="3" t="inlineStr">
        <is>
          <t>1. Brown the sausage and chicken in oil.
2. Add the onion, pepper, celery and garlic and cook until soft.
3. Stir in the tomatoes, broth and Cajun seasoning and simmer 15 minutes.
4. Add the rice and shrimp and cook until the rice is tender.</t>
        </is>
      </c>
      <c r="AC1158" s="4" t="inlineStr">
        <is>
          <t>["Brown the sausage and chicken in oil.", "Add the onion, pepper, celery and garlic and cook until soft.", "Stir in the tomatoes, broth and Cajun seasoning and simmer 15 minutes.", "Add the rice and shrimp and cook until the rice is tender."]</t>
        </is>
      </c>
    </row>
    <row r="1159" ht="96" customHeight="1">
      <c r="A1159" s="2" t="inlineStr">
        <is>
          <t>DB-1158</t>
        </is>
      </c>
      <c r="B1159" s="3" t="inlineStr">
        <is>
          <t>Red Beans and Rice</t>
        </is>
      </c>
      <c r="C1159" s="4" t="inlineStr">
        <is>
          <t>Beef, Pork &amp; Lamb</t>
        </is>
      </c>
      <c r="D1159" s="4" t="inlineStr">
        <is>
          <t>American</t>
        </is>
      </c>
      <c r="E1159" s="2" t="n">
        <v>6</v>
      </c>
      <c r="F1159" s="2" t="n">
        <v>15</v>
      </c>
      <c r="G1159" s="2" t="n">
        <v>60</v>
      </c>
      <c r="H1159" s="2" t="n">
        <v>75</v>
      </c>
      <c r="I1159" s="4" t="inlineStr">
        <is>
          <t>red-beans-and-rice.jpg</t>
        </is>
      </c>
      <c r="J1159" s="3" t="inlineStr">
        <is>
          <t>Red Beans and Rice, healthy food photography, plated, natural light</t>
        </is>
      </c>
      <c r="K1159" s="4" t="inlineStr"/>
      <c r="L1159" s="3" t="inlineStr">
        <is>
          <t>Kidney beans, cooked — 600 g (21.2 oz)
White rice, long-grain, cooked — 400 g (14.1 oz)
Turkey sausage — 250 g (8.8 oz)
Yellow onion — 120 g (4.2 oz)
Celery — 80 g (2.8 oz)
Bell pepper — 100 g (3.5 oz)
Garlic — 8 g (0.3 oz)
Cajun seasoning — 8 g (0.3 oz)
Chicken broth, low sodium — 400 g (14.1 oz)</t>
        </is>
      </c>
      <c r="M1159" s="4" t="inlineStr">
        <is>
          <t>[{"ingredient_id": "kidney_beans", "name": "Kidney beans, cooked", "grams": 600.0, "note": ""}, {"ingredient_id": "white_rice", "name": "White rice, long-grain, cooked", "grams": 400.0, "note": ""}, {"ingredient_id": "turkey_sausage", "name": "Turkey sausage", "grams": 250.0, "note": ""}, {"ingredient_id": "onion", "name": "Yellow onion", "grams": 120.0, "note": ""}, {"ingredient_id": "celery", "name": "Celery", "grams": 80.0, "note": ""}, {"ingredient_id": "bell_pepper", "name": "Bell pepper", "grams": 100.0, "note": ""}, {"ingredient_id": "garlic", "name": "Garlic", "grams": 8.0, "note": ""}, {"ingredient_id": "cajun_seasoning", "name": "Cajun seasoning", "grams": 8.0, "note": ""}, {"ingredient_id": "chicken_broth", "name": "Chicken broth, low sodium", "grams": 400.0, "note": ""}]</t>
        </is>
      </c>
      <c r="N1159" s="2" t="n">
        <v>304</v>
      </c>
      <c r="O1159" s="5" t="n">
        <v>18.1</v>
      </c>
      <c r="P1159" s="5" t="n">
        <v>5.2</v>
      </c>
      <c r="Q1159" s="5" t="n">
        <v>47.1</v>
      </c>
      <c r="R1159" s="5" t="n">
        <v>7.9</v>
      </c>
      <c r="S1159" s="5" t="n">
        <v>39.1</v>
      </c>
      <c r="T1159" s="2" t="n">
        <v>52</v>
      </c>
      <c r="U1159" s="2" t="inlineStr">
        <is>
          <t>low</t>
        </is>
      </c>
      <c r="V1159" s="5" t="n">
        <v>20.4</v>
      </c>
      <c r="W1159" s="2" t="inlineStr">
        <is>
          <t>high</t>
        </is>
      </c>
      <c r="X1159" s="3" t="inlineStr"/>
      <c r="Y1159" s="3" t="inlineStr">
        <is>
          <t>89% of this dish's available carbohydrate comes from ingredients with a published, measured GI; the rest uses conventional placeholders (see Ingredients sheet)</t>
        </is>
      </c>
      <c r="Z1159" s="2" t="n">
        <v>89</v>
      </c>
      <c r="AA1159" s="3" t="inlineStr">
        <is>
          <t>gluten-free, dairy-free, nut-free, high-fiber</t>
        </is>
      </c>
      <c r="AB1159" s="3" t="inlineStr">
        <is>
          <t>1. Brown the sausage, then the onion, celery, pepper and garlic.
2. Add the beans, broth and seasoning and simmer 40 minutes, mashing some beans.
3. Serve over the rice.</t>
        </is>
      </c>
      <c r="AC1159" s="4" t="inlineStr">
        <is>
          <t>["Brown the sausage, then the onion, celery, pepper and garlic.", "Add the beans, broth and seasoning and simmer 40 minutes, mashing some beans.", "Serve over the rice."]</t>
        </is>
      </c>
    </row>
    <row r="1160" ht="96" customHeight="1">
      <c r="A1160" s="2" t="inlineStr">
        <is>
          <t>DB-1159</t>
        </is>
      </c>
      <c r="B1160" s="3" t="inlineStr">
        <is>
          <t>Chicken and Rice Casserole</t>
        </is>
      </c>
      <c r="C1160" s="4" t="inlineStr">
        <is>
          <t>Poultry</t>
        </is>
      </c>
      <c r="D1160" s="4" t="inlineStr">
        <is>
          <t>American</t>
        </is>
      </c>
      <c r="E1160" s="2" t="n">
        <v>6</v>
      </c>
      <c r="F1160" s="2" t="n">
        <v>15</v>
      </c>
      <c r="G1160" s="2" t="n">
        <v>40</v>
      </c>
      <c r="H1160" s="2" t="n">
        <v>55</v>
      </c>
      <c r="I1160" s="4" t="inlineStr">
        <is>
          <t>chicken-and-rice-casserole.jpg</t>
        </is>
      </c>
      <c r="J1160" s="3" t="inlineStr">
        <is>
          <t>Chicken and Rice Casserole, healthy food photography, plated, natural light</t>
        </is>
      </c>
      <c r="K1160" s="4" t="inlineStr"/>
      <c r="L1160" s="3" t="inlineStr">
        <is>
          <t>Chicken thigh, skinless boneless — 600 g (21.2 oz)
White rice, long-grain, cooked — 420 g (14.8 oz)
Broccoli — 250 g (8.8 oz)
Chicken broth, low sodium — 300 g (10.6 oz)
Cheddar cheese — 90 g (3.2 oz)
Yellow onion — 100 g (3.5 oz)
Garlic powder — 3 g (0.1 oz)
Extra-virgin olive oil — 10 g (0.4 oz)</t>
        </is>
      </c>
      <c r="M1160" s="4" t="inlineStr">
        <is>
          <t>[{"ingredient_id": "chicken_thigh", "name": "Chicken thigh, skinless boneless", "grams": 600.0, "note": ""}, {"ingredient_id": "white_rice", "name": "White rice, long-grain, cooked", "grams": 420.0, "note": ""}, {"ingredient_id": "broccoli", "name": "Broccoli", "grams": 250.0, "note": ""}, {"ingredient_id": "chicken_broth", "name": "Chicken broth, low sodium", "grams": 300.0, "note": ""}, {"ingredient_id": "cheddar", "name": "Cheddar cheese", "grams": 90.0, "note": ""}, {"ingredient_id": "onion", "name": "Yellow onion", "grams": 100.0, "note": ""}, {"ingredient_id": "garlic_powder", "name": "Garlic powder", "grams": 3.0, "note": ""}, {"ingredient_id": "olive_oil", "name": "Extra-virgin olive oil", "grams": 10.0, "note": ""}]</t>
        </is>
      </c>
      <c r="N1160" s="2" t="n">
        <v>312</v>
      </c>
      <c r="O1160" s="5" t="n">
        <v>27</v>
      </c>
      <c r="P1160" s="5" t="n">
        <v>11.2</v>
      </c>
      <c r="Q1160" s="5" t="n">
        <v>24.7</v>
      </c>
      <c r="R1160" s="5" t="n">
        <v>1.7</v>
      </c>
      <c r="S1160" s="5" t="n">
        <v>23</v>
      </c>
      <c r="T1160" s="2" t="n">
        <v>67</v>
      </c>
      <c r="U1160" s="2" t="inlineStr">
        <is>
          <t>medium</t>
        </is>
      </c>
      <c r="V1160" s="5" t="n">
        <v>15.4</v>
      </c>
      <c r="W1160" s="2" t="inlineStr">
        <is>
          <t>medium</t>
        </is>
      </c>
      <c r="X1160" s="3" t="inlineStr">
        <is>
          <t>Medium-GI dish: keep to the stated portion and pair with the protein/fat in the recipe; GL per serving is the better guide.</t>
        </is>
      </c>
      <c r="Y1160" s="3" t="inlineStr">
        <is>
          <t>84% of this dish's available carbohydrate comes from ingredients with a published, measured GI; the rest uses conventional placeholders (see Ingredients sheet)</t>
        </is>
      </c>
      <c r="Z1160" s="2" t="n">
        <v>84</v>
      </c>
      <c r="AA1160" s="3" t="inlineStr">
        <is>
          <t>gluten-free, nut-free, high-protein</t>
        </is>
      </c>
      <c r="AB1160" s="3" t="inlineStr">
        <is>
          <t>1. Brown the chicken pieces in oil.
2. Mix the cooked rice, broccoli, onion, broth and garlic powder in a dish.
3. Top with the chicken and cheddar.
4. Bake at 375°F for 30 minutes.</t>
        </is>
      </c>
      <c r="AC1160" s="4" t="inlineStr">
        <is>
          <t>["Brown the chicken pieces in oil.", "Mix the cooked rice, broccoli, onion, broth and garlic powder in a dish.", "Top with the chicken and cheddar.", "Bake at 375°F for 30 minutes."]</t>
        </is>
      </c>
    </row>
    <row r="1161" ht="96" customHeight="1">
      <c r="A1161" s="2" t="inlineStr">
        <is>
          <t>DB-1160</t>
        </is>
      </c>
      <c r="B1161" s="3" t="inlineStr">
        <is>
          <t>Spanish Rice with Ground Turkey</t>
        </is>
      </c>
      <c r="C1161" s="4" t="inlineStr">
        <is>
          <t>Poultry</t>
        </is>
      </c>
      <c r="D1161" s="4" t="inlineStr">
        <is>
          <t>Tex-Mex</t>
        </is>
      </c>
      <c r="E1161" s="2" t="n">
        <v>5</v>
      </c>
      <c r="F1161" s="2" t="n">
        <v>10</v>
      </c>
      <c r="G1161" s="2" t="n">
        <v>25</v>
      </c>
      <c r="H1161" s="2" t="n">
        <v>35</v>
      </c>
      <c r="I1161" s="4" t="inlineStr">
        <is>
          <t>spanish-rice-with-ground-turkey.jpg</t>
        </is>
      </c>
      <c r="J1161" s="3" t="inlineStr">
        <is>
          <t>Spanish Rice with Ground Turkey, healthy food photography, plated, natural light</t>
        </is>
      </c>
      <c r="K1161" s="4" t="inlineStr"/>
      <c r="L1161" s="3" t="inlineStr">
        <is>
          <t>White rice, long-grain, cooked — 400 g (14.1 oz)
Ground turkey 93% lean — 400 g (14.1 oz)
Tomato sauce, canned, no sugar added — 200 g (7.1 oz)
Yellow onion — 100 g (3.5 oz)
Bell pepper — 100 g (3.5 oz)
Ground cumin — 3 g (0.1 oz)
Chili powder — 4 g (0.1 oz)
Garlic — 6 g (0.2 oz)
Extra-virgin olive oil — 10 g (0.4 oz)</t>
        </is>
      </c>
      <c r="M1161" s="4" t="inlineStr">
        <is>
          <t>[{"ingredient_id": "white_rice", "name": "White rice, long-grain, cooked", "grams": 400.0,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"cumin", "name": "Ground cumin", "grams": 3.0, "note": ""}, {"ingredient_id": "chili_powder", "name": "Chili powder", "grams": 4.0, "note": ""}, {"ingredient_id": "garlic", "name": "Garlic", "grams": 6.0, "note": ""}, {"ingredient_id": "olive_oil", "name": "Extra-virgin olive oil", "grams": 10.0, "note": ""}]</t>
        </is>
      </c>
      <c r="N1161" s="2" t="n">
        <v>271</v>
      </c>
      <c r="O1161" s="5" t="n">
        <v>18.3</v>
      </c>
      <c r="P1161" s="5" t="n">
        <v>9</v>
      </c>
      <c r="Q1161" s="5" t="n">
        <v>28.6</v>
      </c>
      <c r="R1161" s="5" t="n">
        <v>2</v>
      </c>
      <c r="S1161" s="5" t="n">
        <v>26.6</v>
      </c>
      <c r="T1161" s="2" t="n">
        <v>68</v>
      </c>
      <c r="U1161" s="2" t="inlineStr">
        <is>
          <t>medium</t>
        </is>
      </c>
      <c r="V1161" s="5" t="n">
        <v>18.1</v>
      </c>
      <c r="W1161" s="2" t="inlineStr">
        <is>
          <t>medium</t>
        </is>
      </c>
      <c r="X1161" s="3" t="inlineStr">
        <is>
          <t>Medium-GI dish: keep to the stated portion and pair with the protein/fat in the recipe; GL per serving is the better guide.</t>
        </is>
      </c>
      <c r="Y1161" s="3" t="inlineStr">
        <is>
          <t>83% of this dish's available carbohydrate comes from ingredients with a published, measured GI; the rest uses conventional placeholders (see Ingredients sheet)</t>
        </is>
      </c>
      <c r="Z1161" s="2" t="n">
        <v>83</v>
      </c>
      <c r="AA1161" s="3" t="inlineStr">
        <is>
          <t>gluten-free, dairy-free, nut-free, one-pan</t>
        </is>
      </c>
      <c r="AB1161" s="3" t="inlineStr">
        <is>
          <t>1. Brown the turkey with the onion, pepper and garlic in oil.
2. Stir in the spices and tomato sauce.
3. Fold in the cooked rice and simmer 8 minutes.</t>
        </is>
      </c>
      <c r="AC1161" s="4" t="inlineStr">
        <is>
          <t>["Brown the turkey with the onion, pepper and garlic in oil.", "Stir in the spices and tomato sauce.", "Fold in the cooked rice and simmer 8 minutes."]</t>
        </is>
      </c>
    </row>
    <row r="1162" ht="96" customHeight="1">
      <c r="A1162" s="2" t="inlineStr">
        <is>
          <t>DB-1161</t>
        </is>
      </c>
      <c r="B1162" s="3" t="inlineStr">
        <is>
          <t>Chicken Enchiladas</t>
        </is>
      </c>
      <c r="C1162" s="4" t="inlineStr">
        <is>
          <t>Poultry</t>
        </is>
      </c>
      <c r="D1162" s="4" t="inlineStr">
        <is>
          <t>Tex-Mex</t>
        </is>
      </c>
      <c r="E1162" s="2" t="n">
        <v>5</v>
      </c>
      <c r="F1162" s="2" t="n">
        <v>20</v>
      </c>
      <c r="G1162" s="2" t="n">
        <v>25</v>
      </c>
      <c r="H1162" s="2" t="n">
        <v>45</v>
      </c>
      <c r="I1162" s="4" t="inlineStr">
        <is>
          <t>chicken-enchiladas.jpg</t>
        </is>
      </c>
      <c r="J1162" s="3" t="inlineStr">
        <is>
          <t>Chicken Enchiladas, healthy food photography, plated, natural light</t>
        </is>
      </c>
      <c r="K1162" s="4" t="inlineStr"/>
      <c r="L1162" s="3" t="inlineStr">
        <is>
          <t>Corn tortilla — 300 g (10.6 oz)
Rotisserie chicken, skin removed — 400 g (14.1 oz)
Red enchilada sauce, no sugar added — 300 g (10.6 oz)
Cheddar cheese — 100 g (3.5 oz)
Yellow onion — 80 g (2.8 oz)
Black beans, cooked — 150 g (5.3 oz)
Fresh cilantro — 5 g (0.2 oz)</t>
        </is>
      </c>
      <c r="M1162" s="4" t="inlineStr">
        <is>
          <t>[{"ingredient_id": "corn_tortilla", "name": "Corn tortilla", "grams": 300.0, "note": ""}, {"ingredient_id": "rotisserie_chicken", "name": "Rotisserie chicken, skin removed", "grams": 400.0, "note": ""}, {"ingredient_id": "enchilada_sauce", "name": "Red enchilada sauce, no sugar added", "grams": 300.0, "note": ""}, {"ingredient_id": "cheddar", "name": "Cheddar cheese", "grams": 100.0, "note": ""}, {"ingredient_id": "onion", "name": "Yellow onion", "grams": 80.0, "note": ""}, {"ingredient_id": "black_beans", "name": "Black beans, cooked", "grams": 150.0, "note": ""}, {"ingredient_id": "cilantro", "name": "Fresh cilantro", "grams": 5.0, "note": ""}]</t>
        </is>
      </c>
      <c r="N1162" s="2" t="n">
        <v>410</v>
      </c>
      <c r="O1162" s="5" t="n">
        <v>29.9</v>
      </c>
      <c r="P1162" s="5" t="n">
        <v>15.3</v>
      </c>
      <c r="Q1162" s="5" t="n">
        <v>38.9</v>
      </c>
      <c r="R1162" s="5" t="n">
        <v>7.3</v>
      </c>
      <c r="S1162" s="5" t="n">
        <v>31.6</v>
      </c>
      <c r="T1162" s="2" t="n">
        <v>45</v>
      </c>
      <c r="U1162" s="2" t="inlineStr">
        <is>
          <t>low</t>
        </is>
      </c>
      <c r="V1162" s="5" t="n">
        <v>14.2</v>
      </c>
      <c r="W1162" s="2" t="inlineStr">
        <is>
          <t>medium</t>
        </is>
      </c>
      <c r="X1162" s="3" t="inlineStr"/>
      <c r="Y1162" s="3" t="inlineStr">
        <is>
          <t>88% of this dish's available carbohydrate comes from ingredients with a published, measured GI; the rest uses conventional placeholders (see Ingredients sheet)</t>
        </is>
      </c>
      <c r="Z1162" s="2" t="n">
        <v>88</v>
      </c>
      <c r="AA1162" s="3" t="inlineStr">
        <is>
          <t>gluten-free, nut-free, high-protein, high-fiber</t>
        </is>
      </c>
      <c r="AB1162" s="3" t="inlineStr">
        <is>
          <t>1. Mix the shredded chicken with onion and beans.
2. Dip the tortillas in warm enchilada sauce, fill and roll.
3. Pack seam-down in a dish, cover with sauce and cheddar.
4. Bake at 375°F for 20 minutes and add cilantro.</t>
        </is>
      </c>
      <c r="AC1162" s="4" t="inlineStr">
        <is>
          <t>["Mix the shredded chicken with onion and beans.", "Dip the tortillas in warm enchilada sauce, fill and roll.", "Pack seam-down in a dish, cover with sauce and cheddar.", "Bake at 375°F for 20 minutes and add cilantro."]</t>
        </is>
      </c>
    </row>
    <row r="1163" ht="96" customHeight="1">
      <c r="A1163" s="2" t="inlineStr">
        <is>
          <t>DB-1162</t>
        </is>
      </c>
      <c r="B1163" s="3" t="inlineStr">
        <is>
          <t>Beef Tacos with Corn Tortillas</t>
        </is>
      </c>
      <c r="C1163" s="4" t="inlineStr">
        <is>
          <t>Beef, Pork &amp; Lamb</t>
        </is>
      </c>
      <c r="D1163" s="4" t="inlineStr">
        <is>
          <t>Tex-Mex</t>
        </is>
      </c>
      <c r="E1163" s="2" t="n">
        <v>4</v>
      </c>
      <c r="F1163" s="2" t="n">
        <v>10</v>
      </c>
      <c r="G1163" s="2" t="n">
        <v>15</v>
      </c>
      <c r="H1163" s="2" t="n">
        <v>25</v>
      </c>
      <c r="I1163" s="4" t="inlineStr">
        <is>
          <t>beef-tacos-with-corn-tortillas.jpg</t>
        </is>
      </c>
      <c r="J1163" s="3" t="inlineStr">
        <is>
          <t>Beef Tacos with Corn Tortillas, healthy food photography, plated, natural light</t>
        </is>
      </c>
      <c r="K1163" s="4" t="inlineStr"/>
      <c r="L1163" s="3" t="inlineStr">
        <is>
          <t>Ground beef 90% lean — 400 g (14.1 oz)
Corn tortilla — 240 g (8.5 oz)
Taco seasoning, low sodium — 12 g (0.4 oz)
Romaine lettuce — 80 g (2.8 oz)
Tomato — 120 g (4.2 oz)
Cheddar cheese — 50 g (1.8 oz)
Salsa, no sugar added — 100 g (3.5 oz)
Sour cream — 60 g (2.1 oz)</t>
        </is>
      </c>
      <c r="M1163" s="4" t="inlineStr">
        <is>
          <t>[{"ingredient_id": "ground_beef", "name": "Ground beef 90% lean", "grams": 400.0, "note": ""}, {"ingredient_id": "corn_tortilla", "name": "Corn tortilla", "grams": 240.0, "note": ""}, {"ingredient_id": "taco_seasoning", "name": "Taco seasoning, low sodium", "grams": 12.0, "note": ""}, {"ingredient_id": "romaine", "name": "Romaine lettuce", "grams": 80.0, "note": ""}, {"ingredient_id": "tomato", "name": "Tomato", "grams": 120.0, "note": ""}, {"ingredient_id": "cheddar", "name": "Cheddar cheese", "grams": 50.0, "note": ""}, {"ingredient_id": "salsa", "name": "Salsa, no sugar added", "grams": 100.0, "note": ""}, {"ingredient_id": "sour_cream", "name": "Sour cream", "grams": 60.0, "note": ""}]</t>
        </is>
      </c>
      <c r="N1163" s="2" t="n">
        <v>414</v>
      </c>
      <c r="O1163" s="5" t="n">
        <v>27.8</v>
      </c>
      <c r="P1163" s="5" t="n">
        <v>19.1</v>
      </c>
      <c r="Q1163" s="5" t="n">
        <v>33.1</v>
      </c>
      <c r="R1163" s="5" t="n">
        <v>5.7</v>
      </c>
      <c r="S1163" s="5" t="n">
        <v>27.4</v>
      </c>
      <c r="T1163" s="2" t="n">
        <v>47</v>
      </c>
      <c r="U1163" s="2" t="inlineStr">
        <is>
          <t>low</t>
        </is>
      </c>
      <c r="V1163" s="5" t="n">
        <v>12.9</v>
      </c>
      <c r="W1163" s="2" t="inlineStr">
        <is>
          <t>medium</t>
        </is>
      </c>
      <c r="X1163" s="3" t="inlineStr"/>
      <c r="Y1163" s="3" t="inlineStr">
        <is>
          <t>85% of this dish's available carbohydrate comes from ingredients with a published, measured GI; the rest uses conventional placeholders (see Ingredients sheet)</t>
        </is>
      </c>
      <c r="Z1163" s="2" t="n">
        <v>85</v>
      </c>
      <c r="AA1163" s="3" t="inlineStr">
        <is>
          <t>gluten-free, nut-free, high-protein</t>
        </is>
      </c>
      <c r="AB1163" s="3" t="inlineStr">
        <is>
          <t>1. Brown the beef with the taco seasoning.
2. Warm the tortillas.
3. Fill with beef, lettuce, tomato, cheddar and salsa.
4. Top with sour cream.</t>
        </is>
      </c>
      <c r="AC1163" s="4" t="inlineStr">
        <is>
          <t>["Brown the beef with the taco seasoning.", "Warm the tortillas.", "Fill with beef, lettuce, tomato, cheddar and salsa.", "Top with sour cream."]</t>
        </is>
      </c>
    </row>
    <row r="1164" ht="96" customHeight="1">
      <c r="A1164" s="2" t="inlineStr">
        <is>
          <t>DB-1163</t>
        </is>
      </c>
      <c r="B1164" s="3" t="inlineStr">
        <is>
          <t>Loaded Nachos with Beans and Chicken</t>
        </is>
      </c>
      <c r="C1164" s="4" t="inlineStr">
        <is>
          <t>Snack &amp; Appetizer</t>
        </is>
      </c>
      <c r="D1164" s="4" t="inlineStr">
        <is>
          <t>Tex-Mex</t>
        </is>
      </c>
      <c r="E1164" s="2" t="n">
        <v>4</v>
      </c>
      <c r="F1164" s="2" t="n">
        <v>10</v>
      </c>
      <c r="G1164" s="2" t="n">
        <v>10</v>
      </c>
      <c r="H1164" s="2" t="n">
        <v>20</v>
      </c>
      <c r="I1164" s="4" t="inlineStr">
        <is>
          <t>loaded-nachos-with-beans-and-chicken.jpg</t>
        </is>
      </c>
      <c r="J1164" s="3" t="inlineStr">
        <is>
          <t>Loaded Nachos with Beans and Chicken, healthy food photography, plated, natural light</t>
        </is>
      </c>
      <c r="K1164" s="4" t="inlineStr"/>
      <c r="L1164" s="3" t="inlineStr">
        <is>
          <t>Tortilla chips, plain — 120 g (4.2 oz)
Rotisserie chicken, skin removed — 200 g (7.1 oz)
Black beans, cooked — 150 g (5.3 oz)
Cheddar cheese — 100 g (3.5 oz)
Pico de gallo — 120 g (4.2 oz)
Guacamole — 100 g (3.5 oz)
Jalapeño — 20 g (0.7 oz)
Sour cream — 60 g (2.1 oz)</t>
        </is>
      </c>
      <c r="M1164" s="4" t="inlineStr">
        <is>
          <t>[{"ingredient_id": "tortilla_chips", "name": "Tortilla chips, plain", "grams": 120.0, "note": ""}, {"ingredient_id": "rotisserie_chicken", "name": "Rotisserie chicken, skin removed", "grams": 200.0, "note": ""}, {"ingredient_id": "black_beans", "name": "Black beans, cooked", "grams": 150.0, "note": ""}, {"ingredient_id": "cheddar", "name": "Cheddar cheese", "grams": 100.0, "note": ""}, {"ingredient_id": "pico_de_gallo", "name": "Pico de gallo", "grams": 120.0, "note": ""}, {"ingredient_id": "guacamole", "name": "Guacamole", "grams": 100.0, "note": ""}, {"ingredient_id": "jalapeno", "name": "Jalapeño", "grams": 20.0, "note": ""}, {"ingredient_id": "sour_cream", "name": "Sour cream", "grams": 60.0, "note": ""}]</t>
        </is>
      </c>
      <c r="N1164" s="2" t="n">
        <v>446</v>
      </c>
      <c r="O1164" s="5" t="n">
        <v>23.9</v>
      </c>
      <c r="P1164" s="5" t="n">
        <v>24.3</v>
      </c>
      <c r="Q1164" s="5" t="n">
        <v>34</v>
      </c>
      <c r="R1164" s="5" t="n">
        <v>6.9</v>
      </c>
      <c r="S1164" s="5" t="n">
        <v>27.2</v>
      </c>
      <c r="T1164" s="2" t="n">
        <v>47</v>
      </c>
      <c r="U1164" s="2" t="inlineStr">
        <is>
          <t>low</t>
        </is>
      </c>
      <c r="V1164" s="5" t="n">
        <v>12.8</v>
      </c>
      <c r="W1164" s="2" t="inlineStr">
        <is>
          <t>medium</t>
        </is>
      </c>
      <c r="X1164" s="3" t="inlineStr"/>
      <c r="Y1164" s="3" t="inlineStr">
        <is>
          <t>90% of this dish's available carbohydrate comes from ingredients with a published, measured GI; the rest uses conventional placeholders (see Ingredients sheet)</t>
        </is>
      </c>
      <c r="Z1164" s="2" t="n">
        <v>90</v>
      </c>
      <c r="AA1164" s="3" t="inlineStr">
        <is>
          <t>gluten-free, nut-free</t>
        </is>
      </c>
      <c r="AB1164" s="3" t="inlineStr">
        <is>
          <t>1. Spread the chips on a tray.
2. Top with chicken, beans and cheddar.
3. Bake at 400°F for 8 minutes until melted.
4. Finish with pico, guacamole, jalapeno and sour cream.</t>
        </is>
      </c>
      <c r="AC1164" s="4" t="inlineStr">
        <is>
          <t>["Spread the chips on a tray.", "Top with chicken, beans and cheddar.", "Bake at 400°F for 8 minutes until melted.", "Finish with pico, guacamole, jalapeno and sour cream."]</t>
        </is>
      </c>
    </row>
    <row r="1165" ht="96" customHeight="1">
      <c r="A1165" s="2" t="inlineStr">
        <is>
          <t>DB-1164</t>
        </is>
      </c>
      <c r="B1165" s="3" t="inlineStr">
        <is>
          <t>Shepherd's Pie with Mashed Potato Topping</t>
        </is>
      </c>
      <c r="C1165" s="4" t="inlineStr">
        <is>
          <t>Beef, Pork &amp; Lamb</t>
        </is>
      </c>
      <c r="D1165" s="4" t="inlineStr">
        <is>
          <t>American</t>
        </is>
      </c>
      <c r="E1165" s="2" t="n">
        <v>6</v>
      </c>
      <c r="F1165" s="2" t="n">
        <v>20</v>
      </c>
      <c r="G1165" s="2" t="n">
        <v>40</v>
      </c>
      <c r="H1165" s="2" t="n">
        <v>60</v>
      </c>
      <c r="I1165" s="4" t="inlineStr">
        <is>
          <t>shepherd-s-pie-with-mashed-potato-topping.jpg</t>
        </is>
      </c>
      <c r="J1165" s="3" t="inlineStr">
        <is>
          <t>Shepherd's Pie with Mashed Potato Topping, healthy food photography, plated, natural light</t>
        </is>
      </c>
      <c r="K1165" s="4" t="inlineStr"/>
      <c r="L1165" s="3" t="inlineStr">
        <is>
          <t>Ground beef 90% lean — 500 g (17.6 oz)
Potato, boiled, peeled — 720 g (25.4 oz)
Milk, 2% — 100 g (3.5 oz)
Butter — 20 g (0.7 oz)
Carrot — 150 g (5.3 oz)
Green peas — 120 g (4.2 oz)
Yellow onion — 120 g (4.2 oz)
Tomato paste — 30 g (1.1 oz)
Beef broth, low sodium — 200 g (7.1 oz)
Fresh thyme — 2 g (0.1 oz)</t>
        </is>
      </c>
      <c r="M1165" s="4" t="inlineStr">
        <is>
          <t>[{"ingredient_id": "ground_beef", "name": "Ground beef 90% lean", "grams": 500.0, "note": ""}, {"ingredient_id": "potato_boiled", "name": "Potato, boiled, peeled", "grams": 720.0, "note": ""}, {"ingredient_id": "milk", "name": "Milk, 2%", "grams": 100.0, "note": ""}, {"ingredient_id": "butter", "name": "Butter", "grams": 20.0, "note": ""}, {"ingredient_id": "carrot", "name": "Carrot", "grams": 150.0, "note": ""}, {"ingredient_id": "green_peas", "name": "Green peas", "grams": 120.0, "note": ""}, {"ingredient_id": "onion", "name": "Yellow onion", "grams": 120.0, "note": ""}, {"ingredient_id": "tomato_paste", "name": "Tomato paste", "grams": 30.0, "note": ""}, {"ingredient_id": "beef_broth", "name": "Beef broth, low sodium", "grams": 200.0, "note": ""}, {"ingredient_id": "thyme", "name": "Fresh thyme", "grams": 2.0, "note": ""}]</t>
        </is>
      </c>
      <c r="N1165" s="2" t="n">
        <v>332</v>
      </c>
      <c r="O1165" s="5" t="n">
        <v>21.8</v>
      </c>
      <c r="P1165" s="5" t="n">
        <v>11.7</v>
      </c>
      <c r="Q1165" s="5" t="n">
        <v>34.8</v>
      </c>
      <c r="R1165" s="5" t="n">
        <v>4.2</v>
      </c>
      <c r="S1165" s="5" t="n">
        <v>30.6</v>
      </c>
      <c r="T1165" s="2" t="n">
        <v>58</v>
      </c>
      <c r="U1165" s="2" t="inlineStr">
        <is>
          <t>medium</t>
        </is>
      </c>
      <c r="V1165" s="5" t="n">
        <v>17.7</v>
      </c>
      <c r="W1165" s="2" t="inlineStr">
        <is>
          <t>medium</t>
        </is>
      </c>
      <c r="X1165" s="3" t="inlineStr">
        <is>
          <t>Medium-GI dish: keep to the stated portion and pair with the protein/fat in the recipe; GL per serving is the better guide.</t>
        </is>
      </c>
      <c r="Y1165" s="3" t="inlineStr">
        <is>
          <t>92% of this dish's available carbohydrate comes from ingredients with a published, measured GI; the rest uses conventional placeholders (see Ingredients sheet)</t>
        </is>
      </c>
      <c r="Z1165" s="2" t="n">
        <v>92</v>
      </c>
      <c r="AA1165" s="3" t="inlineStr">
        <is>
          <t>gluten-free, nut-free</t>
        </is>
      </c>
      <c r="AB1165" s="3" t="inlineStr">
        <is>
          <t>1. Brown the beef with the onion and carrot; stir in paste, broth, thyme and peas.
2. Mash the potatoes with milk and butter.
3. Spread the beef in a dish and cover with the mash.
4. Bake at 400°F for 25 minutes.</t>
        </is>
      </c>
      <c r="AC1165" s="4" t="inlineStr">
        <is>
          <t>["Brown the beef with the onion and carrot; stir in paste, broth, thyme and peas.", "Mash the potatoes with milk and butter.", "Spread the beef in a dish and cover with the mash.", "Bake at 400°F for 25 minutes."]</t>
        </is>
      </c>
    </row>
    <row r="1166" ht="96" customHeight="1">
      <c r="A1166" s="2" t="inlineStr">
        <is>
          <t>DB-1165</t>
        </is>
      </c>
      <c r="B1166" s="3" t="inlineStr">
        <is>
          <t>Meatloaf Dinner with Mashed Potatoes and Green Beans</t>
        </is>
      </c>
      <c r="C1166" s="4" t="inlineStr">
        <is>
          <t>Beef, Pork &amp; Lamb</t>
        </is>
      </c>
      <c r="D1166" s="4" t="inlineStr">
        <is>
          <t>American</t>
        </is>
      </c>
      <c r="E1166" s="2" t="n">
        <v>6</v>
      </c>
      <c r="F1166" s="2" t="n">
        <v>20</v>
      </c>
      <c r="G1166" s="2" t="n">
        <v>55</v>
      </c>
      <c r="H1166" s="2" t="n">
        <v>75</v>
      </c>
      <c r="I1166" s="4" t="inlineStr">
        <is>
          <t>meatloaf-dinner-with-mashed-potatoes-and-green-beans.jpg</t>
        </is>
      </c>
      <c r="J1166" s="3" t="inlineStr">
        <is>
          <t>Meatloaf Dinner with Mashed Potatoes and Green Beans, healthy food photography, plated, natural light</t>
        </is>
      </c>
      <c r="K1166" s="4" t="inlineStr"/>
      <c r="L1166" s="3" t="inlineStr">
        <is>
          <t>Ground beef 90% lean — 600 g (21.2 oz)
Egg, large (50 g each) — 50 g (1.8 oz)
Oat bran, dry — 40 g (1.4 oz)
Yellow onion — 100 g (3.5 oz)
Tomato paste — 50 g (1.8 oz)
Potato, boiled, peeled — 720 g (25.4 oz)
Milk, 2% — 100 g (3.5 oz)
Butter — 20 g (0.7 oz)
Green beans — 360 g (12.7 oz)
Salt — 4 g (0.1 oz)</t>
        </is>
      </c>
      <c r="M1166" s="4" t="inlineStr">
        <is>
          <t>[{"ingredient_id": "ground_beef", "name": "Ground beef 90% lean", "grams": 600.0, "note": ""}, {"ingredient_id": "egg", "name": "Egg, large (50 g each)", "grams": 50.0, "note": ""}, {"ingredient_id": "oat_bran", "name": "Oat bran, dry", "grams": 40.0, "note": ""}, {"ingredient_id": "onion", "name": "Yellow onion", "grams": 100.0, "note": ""}, {"ingredient_id": "tomato_paste", "name": "Tomato paste", "grams": 50.0, "note": ""}, {"ingredient_id": "potato_boiled", "name": "Potato, boiled, peeled", "grams": 720.0, "note": ""}, {"ingredient_id": "milk", "name": "Milk, 2%", "grams": 100.0, "note": ""}, {"ingredient_id": "butter", "name": "Butter", "grams": 20.0, "note": ""}, {"ingredient_id": "green_beans", "name": "Green beans", "grams": 360.0, "note": ""}, {"ingredient_id": "salt", "name": "Salt", "grams": 4.0, "note": ""}]</t>
        </is>
      </c>
      <c r="N1166" s="2" t="n">
        <v>380</v>
      </c>
      <c r="O1166" s="5" t="n">
        <v>26.7</v>
      </c>
      <c r="P1166" s="5" t="n">
        <v>14.6</v>
      </c>
      <c r="Q1166" s="5" t="n">
        <v>38.4</v>
      </c>
      <c r="R1166" s="5" t="n">
        <v>5</v>
      </c>
      <c r="S1166" s="5" t="n">
        <v>33.4</v>
      </c>
      <c r="T1166" s="2" t="n">
        <v>57</v>
      </c>
      <c r="U1166" s="2" t="inlineStr">
        <is>
          <t>medium</t>
        </is>
      </c>
      <c r="V1166" s="5" t="n">
        <v>19</v>
      </c>
      <c r="W1166" s="2" t="inlineStr">
        <is>
          <t>medium</t>
        </is>
      </c>
      <c r="X1166" s="3" t="inlineStr">
        <is>
          <t>Medium-GI dish: keep to the stated portion and pair with the protein/fat in the recipe; GL per serving is the better guide.</t>
        </is>
      </c>
      <c r="Y1166" s="3" t="inlineStr">
        <is>
          <t>85% of this dish's available carbohydrate comes from ingredients with a published, measured GI; the rest uses conventional placeholders (see Ingredients sheet)</t>
        </is>
      </c>
      <c r="Z1166" s="2" t="n">
        <v>85</v>
      </c>
      <c r="AA1166" s="3" t="inlineStr">
        <is>
          <t>nut-free, high-protein</t>
        </is>
      </c>
      <c r="AB1166" s="3" t="inlineStr">
        <is>
          <t>1. Mix the beef, egg, oat bran, onion and salt; press into a loaf pan, spread with paste and bake at 375°F for 50 minutes.
2. Boil and mash the potatoes with milk and butter.
3. Steam the beans.
4. Serve slices with the sides.</t>
        </is>
      </c>
      <c r="AC1166" s="4" t="inlineStr">
        <is>
          <t>["Mix the beef, egg, oat bran, onion and salt; press into a loaf pan, spread with paste and bake at 375°F for 50 minutes.", "Boil and mash the potatoes with milk and butter.", "Steam the beans.", "Serve slices with the sides."]</t>
        </is>
      </c>
    </row>
    <row r="1167" ht="96" customHeight="1">
      <c r="A1167" s="2" t="inlineStr">
        <is>
          <t>DB-1166</t>
        </is>
      </c>
      <c r="B1167" s="3" t="inlineStr">
        <is>
          <t>Fish and Chips (Oven-Baked)</t>
        </is>
      </c>
      <c r="C1167" s="4" t="inlineStr">
        <is>
          <t>Seafood</t>
        </is>
      </c>
      <c r="D1167" s="4" t="inlineStr">
        <is>
          <t>American</t>
        </is>
      </c>
      <c r="E1167" s="2" t="n">
        <v>4</v>
      </c>
      <c r="F1167" s="2" t="n">
        <v>15</v>
      </c>
      <c r="G1167" s="2" t="n">
        <v>25</v>
      </c>
      <c r="H1167" s="2" t="n">
        <v>40</v>
      </c>
      <c r="I1167" s="4" t="inlineStr">
        <is>
          <t>fish-and-chips-oven-baked.jpg</t>
        </is>
      </c>
      <c r="J1167" s="3" t="inlineStr">
        <is>
          <t>Fish and Chips (Oven-Baked), healthy food photography, plated, natural light</t>
        </is>
      </c>
      <c r="K1167" s="4" t="inlineStr"/>
      <c r="L1167" s="3" t="inlineStr">
        <is>
          <t>Cod fillet — 600 g (21.2 oz)
Oven fries, frozen shoestring, baked — 480 g (16.9 oz)
Egg, large (50 g each) — 50 g (1.8 oz)
Almond flour — 60 g (2.1 oz)
Old Bay seasoning — 3 g (0.1 oz)
Lemon juice — 20 g (0.7 oz)
Greek yogurt, plain 2% — 80 g (2.8 oz)
Dill pickles — 30 g (1.1 oz)</t>
        </is>
      </c>
      <c r="M1167" s="4" t="inlineStr">
        <is>
          <t>[{"ingredient_id": "cod", "name": "Cod fillet", "grams": 600.0, "note": ""}, {"ingredient_id": "french_fries_baked", "name": "Oven fries, frozen shoestring, baked", "grams": 480.0, "note": ""}, {"ingredient_id": "egg", "name": "Egg, large (50 g each)", "grams": 50.0, "note": ""}, {"ingredient_id": "almond_flour", "name": "Almond flour", "grams": 60.0, "note": ""}, {"ingredient_id": "old_bay", "name": "Old Bay seasoning", "grams": 3.0, "note": ""}, {"ingredient_id": "lemon_juice", "name": "Lemon juice", "grams": 20.0, "note": ""}, {"ingredient_id": "greek_yogurt", "name": "Greek yogurt, plain 2%", "grams": 80.0, "note": ""}, {"ingredient_id": "dill_pickle", "name": "Dill pickles", "grams": 30.0, "note": ""}]</t>
        </is>
      </c>
      <c r="N1167" s="2" t="n">
        <v>438</v>
      </c>
      <c r="O1167" s="5" t="n">
        <v>37.2</v>
      </c>
      <c r="P1167" s="5" t="n">
        <v>16.8</v>
      </c>
      <c r="Q1167" s="5" t="n">
        <v>35.7</v>
      </c>
      <c r="R1167" s="5" t="n">
        <v>4.5</v>
      </c>
      <c r="S1167" s="5" t="n">
        <v>31.2</v>
      </c>
      <c r="T1167" s="2" t="n">
        <v>59</v>
      </c>
      <c r="U1167" s="2" t="inlineStr">
        <is>
          <t>medium</t>
        </is>
      </c>
      <c r="V1167" s="5" t="n">
        <v>18.4</v>
      </c>
      <c r="W1167" s="2" t="inlineStr">
        <is>
          <t>medium</t>
        </is>
      </c>
      <c r="X1167" s="3" t="inlineStr">
        <is>
          <t>Medium-GI dish: keep to the stated portion and pair with the protein/fat in the recipe; GL per serving is the better guide.</t>
        </is>
      </c>
      <c r="Y1167" s="3" t="inlineStr">
        <is>
          <t>93% of this dish's available carbohydrate comes from ingredients with a published, measured GI; the rest uses conventional placeholders (see Ingredients sheet)</t>
        </is>
      </c>
      <c r="Z1167" s="2" t="n">
        <v>93</v>
      </c>
      <c r="AA1167" s="3" t="inlineStr">
        <is>
          <t>pescatarian, gluten-free, high-protein</t>
        </is>
      </c>
      <c r="AB1167" s="3" t="inlineStr">
        <is>
          <t>1. Bake the fries according to the package.
2. Dip the cod in egg, then almond flour mixed with Old Bay.
3. Bake at 425°F for 15 minutes.
4. Stir the yogurt with chopped pickle and lemon for a tartar sauce.</t>
        </is>
      </c>
      <c r="AC1167" s="4" t="inlineStr">
        <is>
          <t>["Bake the fries according to the package.", "Dip the cod in egg, then almond flour mixed with Old Bay.", "Bake at 425°F for 15 minutes.", "Stir the yogurt with chopped pickle and lemon for a tartar sauce."]</t>
        </is>
      </c>
    </row>
    <row r="1168" ht="96" customHeight="1">
      <c r="A1168" s="2" t="inlineStr">
        <is>
          <t>DB-1167</t>
        </is>
      </c>
      <c r="B1168" s="3" t="inlineStr">
        <is>
          <t>Southern Salmon Croquettes with Lemon Dill Yogurt</t>
        </is>
      </c>
      <c r="C1168" s="4" t="inlineStr">
        <is>
          <t>Seafood</t>
        </is>
      </c>
      <c r="D1168" s="4" t="inlineStr">
        <is>
          <t>American</t>
        </is>
      </c>
      <c r="E1168" s="2" t="n">
        <v>4</v>
      </c>
      <c r="F1168" s="2" t="n">
        <v>15</v>
      </c>
      <c r="G1168" s="2" t="n">
        <v>10</v>
      </c>
      <c r="H1168" s="2" t="n">
        <v>25</v>
      </c>
      <c r="I1168" s="4" t="inlineStr">
        <is>
          <t>southern-salmon-croquettes-with-lemon-dill-yogurt.jpg</t>
        </is>
      </c>
      <c r="J1168" s="3" t="inlineStr">
        <is>
          <t>Southern Salmon Croquettes with Lemon Dill Yogurt, healthy food photography, plated, natural light</t>
        </is>
      </c>
      <c r="K1168" s="4" t="inlineStr"/>
      <c r="L1168" s="3" t="inlineStr">
        <is>
          <t>Canned salmon — 400 g (14.1 oz)
Egg, large (50 g each) — 100 g (3.5 oz)
White bread — 40 g (1.4 oz)
Celery — 40 g (1.4 oz)
Yellow onion — 40 g (1.4 oz)
Dijon mustard — 10 g (0.4 oz)
Greek yogurt, plain 2% — 100 g (3.5 oz)
Lemon juice — 20 g (0.7 oz)
Fresh dill — 3 g (0.1 oz)
Extra-virgin olive oil — 15 g (0.5 oz)</t>
        </is>
      </c>
      <c r="M1168" s="4" t="inlineStr">
        <is>
          <t>[{"ingredient_id": "canned_salmon", "name": "Canned salmon", "grams": 400.0, "note": ""}, {"ingredient_id": "egg", "name": "Egg, large (50 g each)", "grams": 100.0, "note": ""}, {"ingredient_id": "white_bread", "name": "White bread", "grams": 40.0, "note": ""}, {"ingredient_id": "celery", "name": "Celery", "grams": 40.0, "note": ""}, {"ingredient_id": "onion", "name": "Yellow onion", "grams": 40.0, "note": ""}, {"ingredient_id": "dijon", "name": "Dijon mustard", "grams": 10.0, "note": ""}, {"ingredient_id": "greek_yogurt", "name": "Greek yogurt, plain 2%", "grams": 100.0, "note": ""}, {"ingredient_id": "lemon_juice", "name": "Lemon juice", "grams": 20.0, "note": ""}, {"ingredient_id": "dill", "name": "Fresh dill", "grams": 3.0, "note": ""}, {"ingredient_id": "olive_oil", "name": "Extra-virgin olive oil", "grams": 15.0, "note": ""}]</t>
        </is>
      </c>
      <c r="N1168" s="2" t="n">
        <v>263</v>
      </c>
      <c r="O1168" s="5" t="n">
        <v>26.9</v>
      </c>
      <c r="P1168" s="5" t="n">
        <v>13.1</v>
      </c>
      <c r="Q1168" s="5" t="n">
        <v>7.8</v>
      </c>
      <c r="R1168" s="5" t="n">
        <v>0.7</v>
      </c>
      <c r="S1168" s="5" t="n">
        <v>7.2</v>
      </c>
      <c r="T1168" s="2" t="n">
        <v>52</v>
      </c>
      <c r="U1168" s="2" t="inlineStr">
        <is>
          <t>low</t>
        </is>
      </c>
      <c r="V1168" s="5" t="n">
        <v>3.7</v>
      </c>
      <c r="W1168" s="2" t="inlineStr">
        <is>
          <t>low</t>
        </is>
      </c>
      <c r="X1168" s="3" t="inlineStr"/>
      <c r="Y1168" s="3" t="inlineStr">
        <is>
          <t>79% of this dish's available carbohydrate comes from ingredients with a published, measured GI; the rest uses conventional placeholders (see Ingredients sheet)</t>
        </is>
      </c>
      <c r="Z1168" s="2" t="n">
        <v>79</v>
      </c>
      <c r="AA1168" s="3" t="inlineStr">
        <is>
          <t>pescatarian, nut-free, low-carb, high-protein</t>
        </is>
      </c>
      <c r="AB1168" s="3" t="inlineStr">
        <is>
          <t>1. Mix the salmon, egg, crumbed bread, celery, onion and mustard.
2. Shape into patties and pan-fry in oil 4 minutes a side.
3. Stir the yogurt with lemon and dill and serve alongside.</t>
        </is>
      </c>
      <c r="AC1168" s="4" t="inlineStr">
        <is>
          <t>["Mix the salmon, egg, crumbed bread, celery, onion and mustard.", "Shape into patties and pan-fry in oil 4 minutes a side.", "Stir the yogurt with lemon and dill and serve alongside."]</t>
        </is>
      </c>
    </row>
    <row r="1169" ht="96" customHeight="1">
      <c r="A1169" s="2" t="inlineStr">
        <is>
          <t>DB-1168</t>
        </is>
      </c>
      <c r="B1169" s="3" t="inlineStr">
        <is>
          <t>Chicken Pot Pie Skillet</t>
        </is>
      </c>
      <c r="C1169" s="4" t="inlineStr">
        <is>
          <t>Poultry</t>
        </is>
      </c>
      <c r="D1169" s="4" t="inlineStr">
        <is>
          <t>American</t>
        </is>
      </c>
      <c r="E1169" s="2" t="n">
        <v>5</v>
      </c>
      <c r="F1169" s="2" t="n">
        <v>15</v>
      </c>
      <c r="G1169" s="2" t="n">
        <v>25</v>
      </c>
      <c r="H1169" s="2" t="n">
        <v>40</v>
      </c>
      <c r="I1169" s="4" t="inlineStr">
        <is>
          <t>chicken-pot-pie-skillet.jpg</t>
        </is>
      </c>
      <c r="J1169" s="3" t="inlineStr">
        <is>
          <t>Chicken Pot Pie Skillet, healthy food photography, plated, natural light</t>
        </is>
      </c>
      <c r="K1169" s="4" t="inlineStr"/>
      <c r="L1169" s="3" t="inlineStr">
        <is>
          <t>Chicken breast, skinless — 500 g (17.6 oz)
Potato, boiled, peeled — 300 g (10.6 oz)
Carrot — 120 g (4.2 oz)
Green peas — 100 g (3.5 oz)
Yellow onion — 100 g (3.5 oz)
Celery — 60 g (2.1 oz)
Milk, 2% — 250 g (8.8 oz)
Chicken broth, low sodium — 250 g (8.8 oz)
Fresh thyme — 2 g (0.1 oz)
Butter — 15 g (0.5 oz)</t>
        </is>
      </c>
      <c r="M1169" s="4" t="inlineStr">
        <is>
          <t>[{"ingredient_id": "chicken_breast", "name": "Chicken breast, skinless", "grams": 500.0, "note": ""}, {"ingredient_id": "potato_boiled", "name": "Potato, boiled, peeled", "grams": 300.0, "note": ""}, {"ingredient_id": "carrot", "name": "Carrot", "grams": 120.0, "note": ""}, {"ingredient_id": "green_peas", "name": "Green peas", "grams": 100.0, "note": ""}, {"ingredient_id": "onion", "name": "Yellow onion", "grams": 100.0, "note": ""}, {"ingredient_id": "celery", "name": "Celery", "grams": 60.0, "note": ""}, {"ingredient_id": "milk", "name": "Milk, 2%", "grams": 250.0, "note": ""}, {"ingredient_id": "chicken_broth", "name": "Chicken broth, low sodium", "grams": 250.0, "note": ""}, {"ingredient_id": "thyme", "name": "Fresh thyme", "grams": 2.0, "note": ""}, {"ingredient_id": "butter", "name": "Butter", "grams": 15.0, "note": ""}]</t>
        </is>
      </c>
      <c r="N1169" s="2" t="n">
        <v>262</v>
      </c>
      <c r="O1169" s="5" t="n">
        <v>27.5</v>
      </c>
      <c r="P1169" s="5" t="n">
        <v>6.4</v>
      </c>
      <c r="Q1169" s="5" t="n">
        <v>23</v>
      </c>
      <c r="R1169" s="5" t="n">
        <v>3.3</v>
      </c>
      <c r="S1169" s="5" t="n">
        <v>19.7</v>
      </c>
      <c r="T1169" s="2" t="n">
        <v>51</v>
      </c>
      <c r="U1169" s="2" t="inlineStr">
        <is>
          <t>low</t>
        </is>
      </c>
      <c r="V1169" s="5" t="n">
        <v>10</v>
      </c>
      <c r="W1169" s="2" t="inlineStr">
        <is>
          <t>low</t>
        </is>
      </c>
      <c r="X1169" s="3" t="inlineStr"/>
      <c r="Y1169" s="3" t="inlineStr">
        <is>
          <t>90% of this dish's available carbohydrate comes from ingredients with a published, measured GI; the rest uses conventional placeholders (see Ingredients sheet)</t>
        </is>
      </c>
      <c r="Z1169" s="2" t="n">
        <v>90</v>
      </c>
      <c r="AA1169" s="3" t="inlineStr">
        <is>
          <t>gluten-free, nut-free, high-protein, one-pan</t>
        </is>
      </c>
      <c r="AB1169" s="3" t="inlineStr">
        <is>
          <t>1. Sauté the onion, carrot and celery in butter.
2. Add the chicken, potatoes, broth and thyme and simmer 12 minutes.
3. Stir in the milk and peas and thicken by simmering.</t>
        </is>
      </c>
      <c r="AC1169" s="4" t="inlineStr">
        <is>
          <t>["Sauté the onion, carrot and celery in butter.", "Add the chicken, potatoes, broth and thyme and simmer 12 minutes.", "Stir in the milk and peas and thicken by simmering."]</t>
        </is>
      </c>
    </row>
    <row r="1170" ht="96" customHeight="1">
      <c r="A1170" s="2" t="inlineStr">
        <is>
          <t>DB-1169</t>
        </is>
      </c>
      <c r="B1170" s="3" t="inlineStr">
        <is>
          <t>Baked Chicken Thighs with Roasted Potatoes</t>
        </is>
      </c>
      <c r="C1170" s="4" t="inlineStr">
        <is>
          <t>Poultry</t>
        </is>
      </c>
      <c r="D1170" s="4" t="inlineStr">
        <is>
          <t>American</t>
        </is>
      </c>
      <c r="E1170" s="2" t="n">
        <v>4</v>
      </c>
      <c r="F1170" s="2" t="n">
        <v>15</v>
      </c>
      <c r="G1170" s="2" t="n">
        <v>45</v>
      </c>
      <c r="H1170" s="2" t="n">
        <v>60</v>
      </c>
      <c r="I1170" s="4" t="inlineStr">
        <is>
          <t>baked-chicken-thighs-with-roasted-potatoes.jpg</t>
        </is>
      </c>
      <c r="J1170" s="3" t="inlineStr">
        <is>
          <t>Baked Chicken Thighs with Roasted Potatoes, healthy food photography, plated, natural light</t>
        </is>
      </c>
      <c r="K1170" s="4" t="inlineStr"/>
      <c r="L1170" s="3" t="inlineStr">
        <is>
          <t>Chicken thigh, skinless boneless — 700 g (24.7 oz)
Potato, boiled, peeled — 600 g (21.2 oz)
Extra-virgin olive oil — 25 g (0.9 oz)
Garlic — 10 g (0.4 oz)
Fresh rosemary — 3 g (0.1 oz)
Paprika — 3 g (0.1 oz)
Salt — 3 g (0.1 oz)
Green beans — 300 g (10.6 oz)</t>
        </is>
      </c>
      <c r="M1170" s="4" t="inlineStr">
        <is>
          <t>[{"ingredient_id": "chicken_thigh", "name": "Chicken thigh, skinless boneless", "grams": 700.0, "note": ""}, {"ingredient_id": "potato_boiled", "name": "Potato, boiled, peeled", "grams": 600.0, "note": ""}, {"ingredient_id": "olive_oil", "name": "Extra-virgin olive oil", "grams": 25.0, "note": ""}, {"ingredient_id": "garlic", "name": "Garlic", "grams": 10.0, "note": ""}, {"ingredient_id": "rosemary", "name": "Fresh rosemary", "grams": 3.0, "note": ""}, {"ingredient_id": "paprika", "name": "Paprika", "grams": 3.0, "note": ""}, {"ingredient_id": "salt", "name": "Salt", "grams": 3.0, "note": ""}, {"ingredient_id": "green_beans", "name": "Green beans", "grams": 300.0, "note": ""}]</t>
        </is>
      </c>
      <c r="N1170" s="2" t="n">
        <v>437</v>
      </c>
      <c r="O1170" s="5" t="n">
        <v>39</v>
      </c>
      <c r="P1170" s="5" t="n">
        <v>13.9</v>
      </c>
      <c r="Q1170" s="5" t="n">
        <v>38.9</v>
      </c>
      <c r="R1170" s="5" t="n">
        <v>4.7</v>
      </c>
      <c r="S1170" s="5" t="n">
        <v>34.2</v>
      </c>
      <c r="T1170" s="2" t="n">
        <v>60</v>
      </c>
      <c r="U1170" s="2" t="inlineStr">
        <is>
          <t>medium</t>
        </is>
      </c>
      <c r="V1170" s="5" t="n">
        <v>20.5</v>
      </c>
      <c r="W1170" s="2" t="inlineStr">
        <is>
          <t>high</t>
        </is>
      </c>
      <c r="X1170" s="3" t="inlineStr">
        <is>
          <t>Medium-GI dish: keep to the stated portion and pair with the protein/fat in the recipe; GL per serving is the better guide.</t>
        </is>
      </c>
      <c r="Y1170" s="3" t="inlineStr">
        <is>
          <t>88% of this dish's available carbohydrate comes from ingredients with a published, measured GI; the rest uses conventional placeholders (see Ingredients sheet)</t>
        </is>
      </c>
      <c r="Z1170" s="2" t="n">
        <v>88</v>
      </c>
      <c r="AA1170" s="3" t="inlineStr">
        <is>
          <t>gluten-free, dairy-free, nut-free, high-protein, one-pan</t>
        </is>
      </c>
      <c r="AB1170" s="3" t="inlineStr">
        <is>
          <t>1. Heat the oven to 425°F.
2. Toss the chicken and potatoes with oil, garlic, rosemary, paprika and salt.
3. Roast 40 minutes, adding the green beans for the last 15.</t>
        </is>
      </c>
      <c r="AC1170" s="4" t="inlineStr">
        <is>
          <t>["Heat the oven to 425°F.", "Toss the chicken and potatoes with oil, garlic, rosemary, paprika and salt.", "Roast 40 minutes, adding the green beans for the last 15."]</t>
        </is>
      </c>
    </row>
    <row r="1171" ht="96" customHeight="1">
      <c r="A1171" s="2" t="inlineStr">
        <is>
          <t>DB-1170</t>
        </is>
      </c>
      <c r="B1171" s="3" t="inlineStr">
        <is>
          <t>Sausage and Peppers over White Rice</t>
        </is>
      </c>
      <c r="C1171" s="4" t="inlineStr">
        <is>
          <t>Poultry</t>
        </is>
      </c>
      <c r="D1171" s="4" t="inlineStr">
        <is>
          <t>American</t>
        </is>
      </c>
      <c r="E1171" s="2" t="n">
        <v>4</v>
      </c>
      <c r="F1171" s="2" t="n">
        <v>10</v>
      </c>
      <c r="G1171" s="2" t="n">
        <v>25</v>
      </c>
      <c r="H1171" s="2" t="n">
        <v>35</v>
      </c>
      <c r="I1171" s="4" t="inlineStr">
        <is>
          <t>sausage-and-peppers-over-white-rice.jpg</t>
        </is>
      </c>
      <c r="J1171" s="3" t="inlineStr">
        <is>
          <t>Sausage and Peppers over White Rice, healthy food photography, plated, natural light</t>
        </is>
      </c>
      <c r="K1171" s="4" t="inlineStr"/>
      <c r="L1171" s="3" t="inlineStr">
        <is>
          <t>Chicken sausage — 400 g (14.1 oz)
Bell pepper — 300 g (10.6 oz)
Yellow onion — 150 g (5.3 oz)
Marinara sauce, no sugar added — 200 g (7.1 oz)
White rice, long-grain, cooked — 320 g (11.3 oz)
Italian seasoning — 3 g (0.1 oz)
Extra-virgin olive oil — 10 g (0.4 oz)</t>
        </is>
      </c>
      <c r="M1171" s="4" t="inlineStr">
        <is>
          <t>[{"ingredient_id": "chicken_sausage", "name": "Chicken sausage", "grams": 400.0, "note": ""}, {"ingredient_id": "bell_pepper", "name": "Bell pepper", "grams": 300.0, "note": ""}, {"ingredient_id": "onion", "name": "Yellow onion", "grams": 150.0, "note": ""}, {"ingredient_id": "marinara", "name": "Marinara sauce, no sugar added", "grams": 200.0, "note": ""}, {"ingredient_id": "white_rice", "name": "White rice, long-grain, cooked", "grams": 320.0, "note": ""}, {"ingredient_id": "italian_seasoning", "name": "Italian seasoning", "grams": 3.0, "note": ""}, {"ingredient_id": "olive_oil", "name": "Extra-virgin olive oil", "grams": 10.0, "note": ""}]</t>
        </is>
      </c>
      <c r="N1171" s="2" t="n">
        <v>358</v>
      </c>
      <c r="O1171" s="5" t="n">
        <v>19.1</v>
      </c>
      <c r="P1171" s="5" t="n">
        <v>15.3</v>
      </c>
      <c r="Q1171" s="5" t="n">
        <v>35.4</v>
      </c>
      <c r="R1171" s="5" t="n">
        <v>3.6</v>
      </c>
      <c r="S1171" s="5" t="n">
        <v>31.8</v>
      </c>
      <c r="T1171" s="2" t="n">
        <v>58</v>
      </c>
      <c r="U1171" s="2" t="inlineStr">
        <is>
          <t>medium</t>
        </is>
      </c>
      <c r="V1171" s="5" t="n">
        <v>18.4</v>
      </c>
      <c r="W1171" s="2" t="inlineStr">
        <is>
          <t>medium</t>
        </is>
      </c>
      <c r="X1171" s="3" t="inlineStr">
        <is>
          <t>Medium-GI dish: keep to the stated portion and pair with the protein/fat in the recipe; GL per serving is the better guide.</t>
        </is>
      </c>
      <c r="Y1171" s="3" t="inlineStr">
        <is>
          <t>75% of this dish's available carbohydrate comes from ingredients with a published, measured GI; the rest uses conventional placeholders (see Ingredients sheet)</t>
        </is>
      </c>
      <c r="Z1171" s="2" t="n">
        <v>75</v>
      </c>
      <c r="AA1171" s="3" t="inlineStr">
        <is>
          <t>gluten-free, dairy-free, nut-free</t>
        </is>
      </c>
      <c r="AB1171" s="3" t="inlineStr">
        <is>
          <t>1. Brown the sausage in oil.
2. Add the pepper and onion and cook until soft.
3. Stir in the marinara and seasoning and simmer 8 minutes.
4. Serve over the rice.</t>
        </is>
      </c>
      <c r="AC1171" s="4" t="inlineStr">
        <is>
          <t>["Brown the sausage in oil.", "Add the pepper and onion and cook until soft.", "Stir in the marinara and seasoning and simmer 8 minutes.", "Serve over the rice."]</t>
        </is>
      </c>
    </row>
    <row r="1172" ht="96" customHeight="1">
      <c r="A1172" s="2" t="inlineStr">
        <is>
          <t>DB-1171</t>
        </is>
      </c>
      <c r="B1172" s="3" t="inlineStr">
        <is>
          <t>Beef and Broccoli over White Rice</t>
        </is>
      </c>
      <c r="C1172" s="4" t="inlineStr">
        <is>
          <t>Beef, Pork &amp; Lamb</t>
        </is>
      </c>
      <c r="D1172" s="4" t="inlineStr">
        <is>
          <t>American</t>
        </is>
      </c>
      <c r="E1172" s="2" t="n">
        <v>4</v>
      </c>
      <c r="F1172" s="2" t="n">
        <v>15</v>
      </c>
      <c r="G1172" s="2" t="n">
        <v>12</v>
      </c>
      <c r="H1172" s="2" t="n">
        <v>27</v>
      </c>
      <c r="I1172" s="4" t="inlineStr">
        <is>
          <t>beef-and-broccoli-over-white-rice.jpg</t>
        </is>
      </c>
      <c r="J1172" s="3" t="inlineStr">
        <is>
          <t>Beef and Broccoli over White Rice, healthy food photography, plated, natural light</t>
        </is>
      </c>
      <c r="K1172" s="4" t="inlineStr"/>
      <c r="L1172" s="3" t="inlineStr">
        <is>
          <t>Flank steak — 450 g (15.9 oz)
Broccoli — 350 g (12.3 oz)
White rice, long-grain, cooked — 360 g (12.7 oz)
Garlic — 8 g (0.3 oz)
Fresh ginger — 8 g (0.3 oz)
Soy sauce, low sodium — 30 g (1.1 oz)
Toasted sesame oil — 10 g (0.4 oz)
Extra-virgin olive oil — 10 g (0.4 oz)</t>
        </is>
      </c>
      <c r="M1172" s="4" t="inlineStr">
        <is>
          <t>[{"ingredient_id": "flank_steak", "name": "Flank steak", "grams": 450.0, "note": ""}, {"ingredient_id": "broccoli", "name": "Broccoli", "grams": 350.0, "note": ""}, {"ingredient_id": "white_rice", "name": "White rice, long-grain, cooked", "grams": 360.0,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t>
        </is>
      </c>
      <c r="N1172" s="2" t="n">
        <v>367</v>
      </c>
      <c r="O1172" s="5" t="n">
        <v>29.2</v>
      </c>
      <c r="P1172" s="5" t="n">
        <v>13.5</v>
      </c>
      <c r="Q1172" s="5" t="n">
        <v>32.4</v>
      </c>
      <c r="R1172" s="5" t="n">
        <v>2.8</v>
      </c>
      <c r="S1172" s="5" t="n">
        <v>29.6</v>
      </c>
      <c r="T1172" s="2" t="n">
        <v>67</v>
      </c>
      <c r="U1172" s="2" t="inlineStr">
        <is>
          <t>medium</t>
        </is>
      </c>
      <c r="V1172" s="5" t="n">
        <v>19.8</v>
      </c>
      <c r="W1172" s="2" t="inlineStr">
        <is>
          <t>medium</t>
        </is>
      </c>
      <c r="X1172" s="3" t="inlineStr">
        <is>
          <t>Medium-GI dish: keep to the stated portion and pair with the protein/fat in the recipe; GL per serving is the better guide.</t>
        </is>
      </c>
      <c r="Y1172" s="3" t="inlineStr">
        <is>
          <t>84% of this dish's available carbohydrate comes from ingredients with a published, measured GI; the rest uses conventional placeholders (see Ingredients sheet)</t>
        </is>
      </c>
      <c r="Z1172" s="2" t="n">
        <v>84</v>
      </c>
      <c r="AA1172" s="3" t="inlineStr">
        <is>
          <t>dairy-free, nut-free, high-protein</t>
        </is>
      </c>
      <c r="AB1172" s="3" t="inlineStr">
        <is>
          <t>1. Sear the sliced steak in oil and set aside.
2. Stir-fry the broccoli, garlic and ginger.
3. Return the steak with soy sauce and sesame oil.
4. Serve over the rice.</t>
        </is>
      </c>
      <c r="AC1172" s="4" t="inlineStr">
        <is>
          <t>["Sear the sliced steak in oil and set aside.", "Stir-fry the broccoli, garlic and ginger.", "Return the steak with soy sauce and sesame oil.", "Serve over the rice."]</t>
        </is>
      </c>
    </row>
    <row r="1173" ht="96" customHeight="1">
      <c r="A1173" s="2" t="inlineStr">
        <is>
          <t>DB-1172</t>
        </is>
      </c>
      <c r="B1173" s="3" t="inlineStr">
        <is>
          <t>Teriyaki-Style Chicken Bowls</t>
        </is>
      </c>
      <c r="C1173" s="4" t="inlineStr">
        <is>
          <t>Poultry</t>
        </is>
      </c>
      <c r="D1173" s="4" t="inlineStr">
        <is>
          <t>American</t>
        </is>
      </c>
      <c r="E1173" s="2" t="n">
        <v>4</v>
      </c>
      <c r="F1173" s="2" t="n">
        <v>15</v>
      </c>
      <c r="G1173" s="2" t="n">
        <v>15</v>
      </c>
      <c r="H1173" s="2" t="n">
        <v>30</v>
      </c>
      <c r="I1173" s="4" t="inlineStr">
        <is>
          <t>teriyaki-style-chicken-bowls.jpg</t>
        </is>
      </c>
      <c r="J1173" s="3" t="inlineStr">
        <is>
          <t>Teriyaki-Style Chicken Bowls, healthy food photography, plated, natural light</t>
        </is>
      </c>
      <c r="K1173" s="4" t="inlineStr"/>
      <c r="L1173" s="3" t="inlineStr">
        <is>
          <t>Chicken thigh, skinless boneless — 500 g (17.6 oz)
White rice, long-grain, cooked — 360 g (12.7 oz)
Broccoli — 250 g (8.8 oz)
Carrot — 100 g (3.5 oz)
Soy sauce, low sodium — 35 g (1.2 oz)
Rice vinegar, unseasoned — 15 g (0.5 oz)
Fresh ginger — 8 g (0.3 oz)
Garlic — 6 g (0.2 oz)
Sesame seeds — 6 g (0.2 oz)
Extra-virgin olive oil — 10 g (0.4 oz)</t>
        </is>
      </c>
      <c r="M1173" s="4" t="inlineStr">
        <is>
          <t>[{"ingredient_id": "chicken_thigh", "name": "Chicken thigh, skinless boneless", "grams": 500.0, "note": ""}, {"ingredient_id": "white_rice", "name": "White rice, long-grain, cooked", "grams": 360.0, "note": ""}, {"ingredient_id": "broccoli", "name": "Broccoli", "grams": 250.0, "note": ""}, {"ingredient_id": "carrot", "name": "Carrot", "grams": 100.0, "note": ""}, {"ingredient_id": "soy_sauce", "name": "Soy sauce, low sodium", "grams": 35.0, "note": ""}, {"ingredient_id": "rice_vinegar", "name": "Rice vinegar, unseasoned", "grams": 15.0, "note": ""}, {"ingredient_id": "ginger", "name": "Fresh ginger", "grams": 8.0, "note": ""}, {"ingredient_id": "garlic", "name": "Garlic", "grams": 6.0, "note": ""}, {"ingredient_id": "sesame_seeds", "name": "Sesame seeds", "grams": 6.0, "note": ""}, {"ingredient_id": "olive_oil", "name": "Extra-virgin olive oil", "grams": 10.0, "note": ""}]</t>
        </is>
      </c>
      <c r="N1173" s="2" t="n">
        <v>339</v>
      </c>
      <c r="O1173" s="5" t="n">
        <v>30.1</v>
      </c>
      <c r="P1173" s="5" t="n">
        <v>9</v>
      </c>
      <c r="Q1173" s="5" t="n">
        <v>33.4</v>
      </c>
      <c r="R1173" s="5" t="n">
        <v>3</v>
      </c>
      <c r="S1173" s="5" t="n">
        <v>30.4</v>
      </c>
      <c r="T1173" s="2" t="n">
        <v>67</v>
      </c>
      <c r="U1173" s="2" t="inlineStr">
        <is>
          <t>medium</t>
        </is>
      </c>
      <c r="V1173" s="5" t="n">
        <v>20.4</v>
      </c>
      <c r="W1173" s="2" t="inlineStr">
        <is>
          <t>high</t>
        </is>
      </c>
      <c r="X1173" s="3" t="inlineStr">
        <is>
          <t>Medium-GI dish: keep to the stated portion and pair with the protein/fat in the recipe; GL per serving is the better guide.</t>
        </is>
      </c>
      <c r="Y1173" s="3" t="inlineStr">
        <is>
          <t>87% of this dish's available carbohydrate comes from ingredients with a published, measured GI; the rest uses conventional placeholders (see Ingredients sheet)</t>
        </is>
      </c>
      <c r="Z1173" s="2" t="n">
        <v>87</v>
      </c>
      <c r="AA1173" s="3" t="inlineStr">
        <is>
          <t>dairy-free, nut-free, high-protein</t>
        </is>
      </c>
      <c r="AB1173" s="3" t="inlineStr">
        <is>
          <t>1. Sear the chicken pieces in oil.
2. Add garlic, ginger, soy sauce and vinegar and cook until glazed.
3. Steam the broccoli and carrot.
4. Serve over rice with sesame seeds.</t>
        </is>
      </c>
      <c r="AC1173" s="4" t="inlineStr">
        <is>
          <t>["Sear the chicken pieces in oil.", "Add garlic, ginger, soy sauce and vinegar and cook until glazed.", "Steam the broccoli and carrot.", "Serve over rice with sesame seeds."]</t>
        </is>
      </c>
    </row>
    <row r="1174" ht="96" customHeight="1">
      <c r="A1174" s="2" t="inlineStr">
        <is>
          <t>DB-1173</t>
        </is>
      </c>
      <c r="B1174" s="3" t="inlineStr">
        <is>
          <t>Southern Baked Chicken Legs with Rice</t>
        </is>
      </c>
      <c r="C1174" s="4" t="inlineStr">
        <is>
          <t>Poultry</t>
        </is>
      </c>
      <c r="D1174" s="4" t="inlineStr">
        <is>
          <t>American</t>
        </is>
      </c>
      <c r="E1174" s="2" t="n">
        <v>4</v>
      </c>
      <c r="F1174" s="2" t="n">
        <v>10</v>
      </c>
      <c r="G1174" s="2" t="n">
        <v>45</v>
      </c>
      <c r="H1174" s="2" t="n">
        <v>55</v>
      </c>
      <c r="I1174" s="4" t="inlineStr">
        <is>
          <t>southern-baked-chicken-legs-with-rice.jpg</t>
        </is>
      </c>
      <c r="J1174" s="3" t="inlineStr">
        <is>
          <t>Southern Baked Chicken Legs with Rice, healthy food photography, plated, natural light</t>
        </is>
      </c>
      <c r="K1174" s="4" t="inlineStr"/>
      <c r="L1174" s="3" t="inlineStr">
        <is>
          <t>Chicken thigh, skinless boneless — 700 g (24.7 oz)
White rice, long-grain, cooked — 360 g (12.7 oz)
Paprika — 4 g (0.1 oz)
Garlic powder — 3 g (0.1 oz)
Onion powder — 3 g (0.1 oz)
Extra-virgin olive oil — 15 g (0.5 oz)
Salt — 3 g (0.1 oz)
Collard greens — 250 g (8.8 oz)</t>
        </is>
      </c>
      <c r="M1174" s="4" t="inlineStr">
        <is>
          <t>[{"ingredient_id": "chicken_thigh", "name": "Chicken thigh, skinless boneless", "grams": 700.0, "note": ""}, {"ingredient_id": "white_rice", "name": "White rice, long-grain, cooked", "grams": 360.0, "note": ""}, {"ingredient_id": "paprika", "name": "Paprika", "grams": 4.0, "note": ""}, {"ingredient_id": "garlic_powder", "name": "Garlic powder", "grams": 3.0, "note": ""}, {"ingredient_id": "onion_powder", "name": "Onion powder", "grams": 3.0, "note": ""}, {"ingredient_id": "olive_oil", "name": "Extra-virgin olive oil", "grams": 15.0, "note": ""}, {"ingredient_id": "salt", "name": "Salt", "grams": 3.0, "note": ""}, {"ingredient_id": "collard_greens", "name": "Collard greens", "grams": 250.0, "note": ""}]</t>
        </is>
      </c>
      <c r="N1174" s="2" t="n">
        <v>389</v>
      </c>
      <c r="O1174" s="5" t="n">
        <v>39.1</v>
      </c>
      <c r="P1174" s="5" t="n">
        <v>11.7</v>
      </c>
      <c r="Q1174" s="5" t="n">
        <v>30.3</v>
      </c>
      <c r="R1174" s="5" t="n">
        <v>3.4</v>
      </c>
      <c r="S1174" s="5" t="n">
        <v>26.9</v>
      </c>
      <c r="T1174" s="2" t="n">
        <v>72</v>
      </c>
      <c r="U1174" s="2" t="inlineStr">
        <is>
          <t>high</t>
        </is>
      </c>
      <c r="V1174" s="5" t="n">
        <v>19.3</v>
      </c>
      <c r="W1174" s="2" t="inlineStr">
        <is>
          <t>medium</t>
        </is>
      </c>
      <c r="X1174" s="3" t="inlineStr">
        <is>
          <t>Medium-GI dish: keep to the stated portion and pair with the protein/fat in the recipe; GL per serving is the better guide.</t>
        </is>
      </c>
      <c r="Y1174" s="3" t="inlineStr">
        <is>
          <t>92% of this dish's available carbohydrate comes from ingredients with a published, measured GI; the rest uses conventional placeholders (see Ingredients sheet)</t>
        </is>
      </c>
      <c r="Z1174" s="2" t="n">
        <v>92</v>
      </c>
      <c r="AA1174" s="3" t="inlineStr">
        <is>
          <t>gluten-free, dairy-free, nut-free, high-protein</t>
        </is>
      </c>
      <c r="AB1174" s="3" t="inlineStr">
        <is>
          <t>1. Rub the chicken with oil and the spices.
2. Roast at 425°F for 40 minutes.
3. Sauté the collards briefly.
4. Serve with the rice.</t>
        </is>
      </c>
      <c r="AC1174" s="4" t="inlineStr">
        <is>
          <t>["Rub the chicken with oil and the spices.", "Roast at 425°F for 40 minutes.", "Sauté the collards briefly.", "Serve with the rice."]</t>
        </is>
      </c>
    </row>
    <row r="1175" ht="96" customHeight="1">
      <c r="A1175" s="2" t="inlineStr">
        <is>
          <t>DB-1174</t>
        </is>
      </c>
      <c r="B1175" s="3" t="inlineStr">
        <is>
          <t>Loaded Baked Potato Soup</t>
        </is>
      </c>
      <c r="C1175" s="4" t="inlineStr">
        <is>
          <t>Soup &amp; Stew</t>
        </is>
      </c>
      <c r="D1175" s="4" t="inlineStr">
        <is>
          <t>American</t>
        </is>
      </c>
      <c r="E1175" s="2" t="n">
        <v>5</v>
      </c>
      <c r="F1175" s="2" t="n">
        <v>15</v>
      </c>
      <c r="G1175" s="2" t="n">
        <v>30</v>
      </c>
      <c r="H1175" s="2" t="n">
        <v>45</v>
      </c>
      <c r="I1175" s="4" t="inlineStr">
        <is>
          <t>loaded-baked-potato-soup.jpg</t>
        </is>
      </c>
      <c r="J1175" s="3" t="inlineStr">
        <is>
          <t>Loaded Baked Potato Soup, healthy food photography, plated, natural light</t>
        </is>
      </c>
      <c r="K1175" s="4" t="inlineStr"/>
      <c r="L1175" s="3" t="inlineStr">
        <is>
          <t>Potato, boiled, peeled — 600 g (21.2 oz)
Chicken broth, low sodium — 700 g (24.7 oz)
Milk, 2% — 250 g (8.8 oz)
Cheddar cheese — 90 g (3.2 oz)
Bacon — 40 g (1.4 oz)
Green onions (scallions) — 30 g (1.1 oz)
Yellow onion — 100 g (3.5 oz)
Garlic — 6 g (0.2 oz)
Sour cream — 60 g (2.1 oz)</t>
        </is>
      </c>
      <c r="M1175" s="4" t="inlineStr">
        <is>
          <t>[{"ingredient_id": "potato_boiled", "name": "Potato, boiled, peeled", "grams": 600.0, "note": ""}, {"ingredient_id": "chicken_broth", "name": "Chicken broth, low sodium", "grams": 700.0, "note": ""}, {"ingredient_id": "milk", "name": "Milk, 2%", "grams": 250.0, "note": ""}, {"ingredient_id": "cheddar", "name": "Cheddar cheese", "grams": 90.0, "note": ""}, {"ingredient_id": "bacon", "name": "Bacon", "grams": 40.0, "note": ""}, {"ingredient_id": "green_onion", "name": "Green onions (scallions)", "grams": 30.0, "note": ""}, {"ingredient_id": "onion", "name": "Yellow onion", "grams": 100.0, "note": ""}, {"ingredient_id": "garlic", "name": "Garlic", "grams": 6.0, "note": ""}, {"ingredient_id": "sour_cream", "name": "Sour cream", "grams": 60.0, "note": ""}]</t>
        </is>
      </c>
      <c r="N1175" s="2" t="n">
        <v>298</v>
      </c>
      <c r="O1175" s="5" t="n">
        <v>13.2</v>
      </c>
      <c r="P1175" s="5" t="n">
        <v>13</v>
      </c>
      <c r="Q1175" s="5" t="n">
        <v>32.5</v>
      </c>
      <c r="R1175" s="5" t="n">
        <v>2.3</v>
      </c>
      <c r="S1175" s="5" t="n">
        <v>30.2</v>
      </c>
      <c r="T1175" s="2" t="n">
        <v>56</v>
      </c>
      <c r="U1175" s="2" t="inlineStr">
        <is>
          <t>medium</t>
        </is>
      </c>
      <c r="V1175" s="5" t="n">
        <v>16.9</v>
      </c>
      <c r="W1175" s="2" t="inlineStr">
        <is>
          <t>medium</t>
        </is>
      </c>
      <c r="X1175" s="3" t="inlineStr">
        <is>
          <t>Medium-GI dish: keep to the stated portion and pair with the protein/fat in the recipe; GL per serving is the better guide.</t>
        </is>
      </c>
      <c r="Y1175" s="3" t="inlineStr">
        <is>
          <t>88% of this dish's available carbohydrate comes from ingredients with a published, measured GI; the rest uses conventional placeholders (see Ingredients sheet)</t>
        </is>
      </c>
      <c r="Z1175" s="2" t="n">
        <v>88</v>
      </c>
      <c r="AA1175" s="3" t="inlineStr">
        <is>
          <t>gluten-free, nut-free</t>
        </is>
      </c>
      <c r="AB1175" s="3" t="inlineStr">
        <is>
          <t>1. Sauté the onion and garlic with the bacon.
2. Add the potatoes and broth and simmer 15 minutes.
3. Mash partly, stir in the milk and half the cheddar.
4. Top with sour cream, green onion and the rest of the cheddar.</t>
        </is>
      </c>
      <c r="AC1175" s="4" t="inlineStr">
        <is>
          <t>["Sauté the onion and garlic with the bacon.", "Add the potatoes and broth and simmer 15 minutes.", "Mash partly, stir in the milk and half the cheddar.", "Top with sour cream, green onion and the rest of the cheddar."]</t>
        </is>
      </c>
    </row>
    <row r="1176" ht="96" customHeight="1">
      <c r="A1176" s="2" t="inlineStr">
        <is>
          <t>DB-1175</t>
        </is>
      </c>
      <c r="B1176" s="3" t="inlineStr">
        <is>
          <t>Corn Chowder</t>
        </is>
      </c>
      <c r="C1176" s="4" t="inlineStr">
        <is>
          <t>Soup &amp; Stew</t>
        </is>
      </c>
      <c r="D1176" s="4" t="inlineStr">
        <is>
          <t>American</t>
        </is>
      </c>
      <c r="E1176" s="2" t="n">
        <v>5</v>
      </c>
      <c r="F1176" s="2" t="n">
        <v>15</v>
      </c>
      <c r="G1176" s="2" t="n">
        <v>30</v>
      </c>
      <c r="H1176" s="2" t="n">
        <v>45</v>
      </c>
      <c r="I1176" s="4" t="inlineStr">
        <is>
          <t>corn-chowder.jpg</t>
        </is>
      </c>
      <c r="J1176" s="3" t="inlineStr">
        <is>
          <t>Corn Chowder, healthy food photography, plated, natural light</t>
        </is>
      </c>
      <c r="K1176" s="4" t="inlineStr"/>
      <c r="L1176" s="3" t="inlineStr">
        <is>
          <t>Sweet corn kernels — 400 g (14.1 oz)
Potato, boiled, peeled — 300 g (10.6 oz)
Chicken broth, low sodium — 600 g (21.2 oz)
Milk, 2% — 250 g (8.8 oz)
Yellow onion — 100 g (3.5 oz)
Celery — 60 g (2.1 oz)
Bacon — 40 g (1.4 oz)
Fresh thyme — 2 g (0.1 oz)</t>
        </is>
      </c>
      <c r="M1176" s="4" t="inlineStr">
        <is>
          <t>[{"ingredient_id": "corn", "name": "Sweet corn kernels", "grams": 400.0, "note": ""}, {"ingredient_id": "potato_boiled", "name": "Potato, boiled, peeled", "grams": 300.0, "note": ""}, {"ingredient_id": "chicken_broth", "name": "Chicken broth, low sodium", "grams": 600.0, "note": ""}, {"ingredient_id": "milk", "name": "Milk, 2%", "grams": 250.0, "note": ""}, {"ingredient_id": "onion", "name": "Yellow onion", "grams": 100.0, "note": ""}, {"ingredient_id": "celery", "name": "Celery", "grams": 60.0, "note": ""}, {"ingredient_id": "bacon", "name": "Bacon", "grams": 40.0, "note": ""}, {"ingredient_id": "thyme", "name": "Fresh thyme", "grams": 2.0, "note": ""}]</t>
        </is>
      </c>
      <c r="N1176" s="2" t="n">
        <v>212</v>
      </c>
      <c r="O1176" s="5" t="n">
        <v>9.9</v>
      </c>
      <c r="P1176" s="5" t="n">
        <v>5.8</v>
      </c>
      <c r="Q1176" s="5" t="n">
        <v>33.5</v>
      </c>
      <c r="R1176" s="5" t="n">
        <v>3.6</v>
      </c>
      <c r="S1176" s="5" t="n">
        <v>29.9</v>
      </c>
      <c r="T1176" s="2" t="n">
        <v>52</v>
      </c>
      <c r="U1176" s="2" t="inlineStr">
        <is>
          <t>low</t>
        </is>
      </c>
      <c r="V1176" s="5" t="n">
        <v>15.5</v>
      </c>
      <c r="W1176" s="2" t="inlineStr">
        <is>
          <t>medium</t>
        </is>
      </c>
      <c r="X1176" s="3" t="inlineStr"/>
      <c r="Y1176" s="3" t="inlineStr">
        <is>
          <t>92% of this dish's available carbohydrate comes from ingredients with a published, measured GI; the rest uses conventional placeholders (see Ingredients sheet)</t>
        </is>
      </c>
      <c r="Z1176" s="2" t="n">
        <v>92</v>
      </c>
      <c r="AA1176" s="3" t="inlineStr">
        <is>
          <t>gluten-free, nut-free</t>
        </is>
      </c>
      <c r="AB1176" s="3" t="inlineStr">
        <is>
          <t>1. Crisp the bacon, then soften the onion and celery.
2. Add the corn, potatoes, broth and thyme and simmer 15 minutes.
3. Blend a third of the soup and stir back in with the milk.</t>
        </is>
      </c>
      <c r="AC1176" s="4" t="inlineStr">
        <is>
          <t>["Crisp the bacon, then soften the onion and celery.", "Add the corn, potatoes, broth and thyme and simmer 15 minutes.", "Blend a third of the soup and stir back in with the milk."]</t>
        </is>
      </c>
    </row>
    <row r="1177" ht="96" customHeight="1">
      <c r="A1177" s="2" t="inlineStr">
        <is>
          <t>DB-1176</t>
        </is>
      </c>
      <c r="B1177" s="3" t="inlineStr">
        <is>
          <t>Chicken and Rice Soup</t>
        </is>
      </c>
      <c r="C1177" s="4" t="inlineStr">
        <is>
          <t>Soup &amp; Stew</t>
        </is>
      </c>
      <c r="D1177" s="4" t="inlineStr">
        <is>
          <t>American</t>
        </is>
      </c>
      <c r="E1177" s="2" t="n">
        <v>5</v>
      </c>
      <c r="F1177" s="2" t="n">
        <v>10</v>
      </c>
      <c r="G1177" s="2" t="n">
        <v>30</v>
      </c>
      <c r="H1177" s="2" t="n">
        <v>40</v>
      </c>
      <c r="I1177" s="4" t="inlineStr">
        <is>
          <t>chicken-and-rice-soup.jpg</t>
        </is>
      </c>
      <c r="J1177" s="3" t="inlineStr">
        <is>
          <t>Chicken and Rice Soup, healthy food photography, plated, natural light</t>
        </is>
      </c>
      <c r="K1177" s="4" t="inlineStr"/>
      <c r="L1177" s="3" t="inlineStr">
        <is>
          <t>Chicken breast, skinless — 400 g (14.1 oz)
White rice, long-grain, cooked — 300 g (10.6 oz)
Chicken broth, low sodium — 1000 g (35.3 oz)
Carrot — 120 g (4.2 oz)
Celery — 80 g (2.8 oz)
Yellow onion — 100 g (3.5 oz)
Fresh thyme — 2 g (0.1 oz)
Fresh parsley — 5 g (0.2 oz)</t>
        </is>
      </c>
      <c r="M1177" s="4" t="inlineStr">
        <is>
          <t>[{"ingredient_id": "chicken_breast", "name": "Chicken breast, skinless", "grams": 400.0, "note": ""}, {"ingredient_id": "white_rice", "name": "White rice, long-grain, cooked", "grams": 300.0, "note": ""}, {"ingredient_id": "chicken_broth", "name": "Chicken broth, low sodium", "grams": 1000.0, "note": ""}, {"ingredient_id": "carrot", "name": "Carrot", "grams": 120.0, "note": ""}, {"ingredient_id": "celery", "name": "Celery", "grams": 80.0, "note": ""}, {"ingredient_id": "onion", "name": "Yellow onion", "grams": 100.0, "note": ""}, {"ingredient_id": "thyme", "name": "Fresh thyme", "grams": 2.0, "note": ""}, {"ingredient_id": "parsley", "name": "Fresh parsley", "grams": 5.0, "note": ""}]</t>
        </is>
      </c>
      <c r="N1177" s="2" t="n">
        <v>209</v>
      </c>
      <c r="O1177" s="5" t="n">
        <v>22.2</v>
      </c>
      <c r="P1177" s="5" t="n">
        <v>2.8</v>
      </c>
      <c r="Q1177" s="5" t="n">
        <v>22.6</v>
      </c>
      <c r="R1177" s="5" t="n">
        <v>1.6</v>
      </c>
      <c r="S1177" s="5" t="n">
        <v>21</v>
      </c>
      <c r="T1177" s="2" t="n">
        <v>65</v>
      </c>
      <c r="U1177" s="2" t="inlineStr">
        <is>
          <t>medium</t>
        </is>
      </c>
      <c r="V1177" s="5" t="n">
        <v>13.7</v>
      </c>
      <c r="W1177" s="2" t="inlineStr">
        <is>
          <t>medium</t>
        </is>
      </c>
      <c r="X1177" s="3" t="inlineStr">
        <is>
          <t>Medium-GI dish: keep to the stated portion and pair with the protein/fat in the recipe; GL per serving is the better guide.</t>
        </is>
      </c>
      <c r="Y1177" s="3" t="inlineStr">
        <is>
          <t>87% of this dish's available carbohydrate comes from ingredients with a published, measured GI; the rest uses conventional placeholders (see Ingredients sheet)</t>
        </is>
      </c>
      <c r="Z1177" s="2" t="n">
        <v>87</v>
      </c>
      <c r="AA1177" s="3" t="inlineStr">
        <is>
          <t>gluten-free, dairy-free, nut-free</t>
        </is>
      </c>
      <c r="AB1177" s="3" t="inlineStr">
        <is>
          <t>1. Simmer the chicken, carrot, celery, onion and thyme in the broth for 20 minutes.
2. Shred the chicken.
3. Add the cooked rice and heat through; finish with parsley.</t>
        </is>
      </c>
      <c r="AC1177" s="4" t="inlineStr">
        <is>
          <t>["Simmer the chicken, carrot, celery, onion and thyme in the broth for 20 minutes.", "Shred the chicken.", "Add the cooked rice and heat through; finish with parsley."]</t>
        </is>
      </c>
    </row>
    <row r="1178" ht="96" customHeight="1">
      <c r="A1178" s="2" t="inlineStr">
        <is>
          <t>DB-1177</t>
        </is>
      </c>
      <c r="B1178" s="3" t="inlineStr">
        <is>
          <t>Hearty Beef and Potato Stew</t>
        </is>
      </c>
      <c r="C1178" s="4" t="inlineStr">
        <is>
          <t>Soup &amp; Stew</t>
        </is>
      </c>
      <c r="D1178" s="4" t="inlineStr">
        <is>
          <t>American</t>
        </is>
      </c>
      <c r="E1178" s="2" t="n">
        <v>6</v>
      </c>
      <c r="F1178" s="2" t="n">
        <v>20</v>
      </c>
      <c r="G1178" s="2" t="n">
        <v>100</v>
      </c>
      <c r="H1178" s="2" t="n">
        <v>120</v>
      </c>
      <c r="I1178" s="4" t="inlineStr">
        <is>
          <t>hearty-beef-and-potato-stew.jpg</t>
        </is>
      </c>
      <c r="J1178" s="3" t="inlineStr">
        <is>
          <t>Hearty Beef and Potato Stew, healthy food photography, plated, natural light</t>
        </is>
      </c>
      <c r="K1178" s="4" t="inlineStr"/>
      <c r="L1178" s="3" t="inlineStr">
        <is>
          <t>Beef chuck roast, trimmed — 600 g (21.2 oz)
Potato, boiled, peeled — 450 g (15.9 oz)
Carrot — 200 g (7.1 oz)
Yellow onion — 120 g (4.2 oz)
Celery — 80 g (2.8 oz)
Beef broth, low sodium — 900 g (31.7 oz)
Tomato paste — 30 g (1.1 oz)
Fresh thyme — 2 g (0.1 oz)
Bay leaves — 1 g (0.0 oz)</t>
        </is>
      </c>
      <c r="M1178" s="4" t="inlineStr">
        <is>
          <t>[{"ingredient_id": "beef_chuck", "name": "Beef chuck roast, trimmed", "grams": 600.0, "note": ""}, {"ingredient_id": "potato_boiled", "name": "Potato, boiled, peeled", "grams": 450.0, "note": ""}, {"ingredient_id": "carrot", "name": "Carrot", "grams": 200.0, "note": ""}, {"ingredient_id": "onion", "name": "Yellow onion", "grams": 120.0, "note": ""}, {"ingredient_id": "celery", "name": "Celery", "grams": 80.0, "note": ""}, {"ingredient_id": "beef_broth", "name": "Beef broth, low sodium", "grams": 900.0, "note": ""}, {"ingredient_id": "tomato_paste", "name": "Tomato paste", "grams": 30.0, "note": ""}, {"ingredient_id": "thyme", "name": "Fresh thyme", "grams": 2.0, "note": ""}, {"ingredient_id": "bay_leaf", "name": "Bay leaves", "grams": 1.0, "note": ""}]</t>
        </is>
      </c>
      <c r="N1178" s="2" t="n">
        <v>289</v>
      </c>
      <c r="O1178" s="5" t="n">
        <v>24.3</v>
      </c>
      <c r="P1178" s="5" t="n">
        <v>11.5</v>
      </c>
      <c r="Q1178" s="5" t="n">
        <v>23.3</v>
      </c>
      <c r="R1178" s="5" t="n">
        <v>2.9</v>
      </c>
      <c r="S1178" s="5" t="n">
        <v>20.4</v>
      </c>
      <c r="T1178" s="2" t="n">
        <v>55</v>
      </c>
      <c r="U1178" s="2" t="inlineStr">
        <is>
          <t>low</t>
        </is>
      </c>
      <c r="V1178" s="5" t="n">
        <v>11.2</v>
      </c>
      <c r="W1178" s="2" t="inlineStr">
        <is>
          <t>medium</t>
        </is>
      </c>
      <c r="X1178" s="3" t="inlineStr"/>
      <c r="Y1178" s="3" t="inlineStr">
        <is>
          <t>84% of this dish's available carbohydrate comes from ingredients with a published, measured GI; the rest uses conventional placeholders (see Ingredients sheet)</t>
        </is>
      </c>
      <c r="Z1178" s="2" t="n">
        <v>84</v>
      </c>
      <c r="AA1178" s="3" t="inlineStr">
        <is>
          <t>gluten-free, dairy-free, nut-free</t>
        </is>
      </c>
      <c r="AB1178" s="3" t="inlineStr">
        <is>
          <t>1. Brown the cubed beef.
2. Add the onion, paste, broth, thyme and bay leaf and simmer 1 hour.
3. Add the potatoes, carrots and celery and cook 30 minutes more.</t>
        </is>
      </c>
      <c r="AC1178" s="4" t="inlineStr">
        <is>
          <t>["Brown the cubed beef.", "Add the onion, paste, broth, thyme and bay leaf and simmer 1 hour.", "Add the potatoes, carrots and celery and cook 30 minutes more."]</t>
        </is>
      </c>
    </row>
    <row r="1179" ht="96" customHeight="1">
      <c r="A1179" s="2" t="inlineStr">
        <is>
          <t>DB-1178</t>
        </is>
      </c>
      <c r="B1179" s="3" t="inlineStr">
        <is>
          <t>Chicken Noodle Soup with Egg Noodles</t>
        </is>
      </c>
      <c r="C1179" s="4" t="inlineStr">
        <is>
          <t>Soup &amp; Stew</t>
        </is>
      </c>
      <c r="D1179" s="4" t="inlineStr">
        <is>
          <t>American</t>
        </is>
      </c>
      <c r="E1179" s="2" t="n">
        <v>5</v>
      </c>
      <c r="F1179" s="2" t="n">
        <v>10</v>
      </c>
      <c r="G1179" s="2" t="n">
        <v>30</v>
      </c>
      <c r="H1179" s="2" t="n">
        <v>40</v>
      </c>
      <c r="I1179" s="4" t="inlineStr">
        <is>
          <t>chicken-noodle-soup-with-egg-noodles.jpg</t>
        </is>
      </c>
      <c r="J1179" s="3" t="inlineStr">
        <is>
          <t>Chicken Noodle Soup with Egg Noodles, healthy food photography, plated, natural light</t>
        </is>
      </c>
      <c r="K1179" s="4" t="inlineStr"/>
      <c r="L1179" s="3" t="inlineStr">
        <is>
          <t>Chicken breast, skinless — 400 g (14.1 oz)
Egg noodles, cooked — 250 g (8.8 oz)
Chicken broth, low sodium — 1000 g (35.3 oz)
Carrot — 120 g (4.2 oz)
Celery — 80 g (2.8 oz)
Yellow onion — 100 g (3.5 oz)
Fresh parsley — 5 g (0.2 oz)
Fresh thyme — 2 g (0.1 oz)</t>
        </is>
      </c>
      <c r="M1179" s="4" t="inlineStr">
        <is>
          <t>[{"ingredient_id": "chicken_breast", "name": "Chicken breast, skinless", "grams": 400.0, "note": ""}, {"ingredient_id": "egg_noodles", "name": "Egg noodles, cooked", "grams": 250.0, "note": ""}, {"ingredient_id": "chicken_broth", "name": "Chicken broth, low sodium", "grams": 1000.0, "note": ""}, {"ingredient_id": "carrot", "name": "Carrot", "grams": 120.0, "note": ""}, {"ingredient_id": "celery", "name": "Celery", "grams": 80.0, "note": ""}, {"ingredient_id": "onion", "name": "Yellow onion", "grams": 100.0, "note": ""}, {"ingredient_id": "parsley", "name": "Fresh parsley", "grams": 5.0, "note": ""}, {"ingredient_id": "thyme", "name": "Fresh thyme", "grams": 2.0, "note": ""}]</t>
        </is>
      </c>
      <c r="N1179" s="2" t="n">
        <v>200</v>
      </c>
      <c r="O1179" s="5" t="n">
        <v>22.9</v>
      </c>
      <c r="P1179" s="5" t="n">
        <v>3.6</v>
      </c>
      <c r="Q1179" s="5" t="n">
        <v>18.3</v>
      </c>
      <c r="R1179" s="5" t="n">
        <v>2</v>
      </c>
      <c r="S1179" s="5" t="n">
        <v>16.3</v>
      </c>
      <c r="T1179" s="2" t="n">
        <v>49</v>
      </c>
      <c r="U1179" s="2" t="inlineStr">
        <is>
          <t>low</t>
        </is>
      </c>
      <c r="V1179" s="5" t="n">
        <v>8</v>
      </c>
      <c r="W1179" s="2" t="inlineStr">
        <is>
          <t>low</t>
        </is>
      </c>
      <c r="X1179" s="3" t="inlineStr"/>
      <c r="Y1179" s="3" t="inlineStr">
        <is>
          <t>83% of this dish's available carbohydrate comes from ingredients with a published, measured GI; the rest uses conventional placeholders (see Ingredients sheet)</t>
        </is>
      </c>
      <c r="Z1179" s="2" t="n">
        <v>83</v>
      </c>
      <c r="AA1179" s="3" t="inlineStr">
        <is>
          <t>dairy-free, nut-free</t>
        </is>
      </c>
      <c r="AB1179" s="3" t="inlineStr">
        <is>
          <t>1. Simmer the chicken, vegetables and thyme in the broth for 20 minutes.
2. Shred the chicken.
3. Cook the noodles in the soup 6 minutes and return the chicken.</t>
        </is>
      </c>
      <c r="AC1179" s="4" t="inlineStr">
        <is>
          <t>["Simmer the chicken, vegetables and thyme in the broth for 20 minutes.", "Shred the chicken.", "Cook the noodles in the soup 6 minutes and return the chicken."]</t>
        </is>
      </c>
    </row>
    <row r="1180" ht="96" customHeight="1">
      <c r="A1180" s="2" t="inlineStr">
        <is>
          <t>DB-1179</t>
        </is>
      </c>
      <c r="B1180" s="3" t="inlineStr">
        <is>
          <t>Tomato Soup with Grilled Cheese Dippers</t>
        </is>
      </c>
      <c r="C1180" s="4" t="inlineStr">
        <is>
          <t>Soup &amp; Stew</t>
        </is>
      </c>
      <c r="D1180" s="4" t="inlineStr">
        <is>
          <t>American</t>
        </is>
      </c>
      <c r="E1180" s="2" t="n">
        <v>4</v>
      </c>
      <c r="F1180" s="2" t="n">
        <v>10</v>
      </c>
      <c r="G1180" s="2" t="n">
        <v>25</v>
      </c>
      <c r="H1180" s="2" t="n">
        <v>35</v>
      </c>
      <c r="I1180" s="4" t="inlineStr">
        <is>
          <t>tomato-soup-with-grilled-cheese-dippers.jpg</t>
        </is>
      </c>
      <c r="J1180" s="3" t="inlineStr">
        <is>
          <t>Tomato Soup with Grilled Cheese Dippers, healthy food photography, plated, natural light</t>
        </is>
      </c>
      <c r="K1180" s="4" t="inlineStr"/>
      <c r="L1180" s="3" t="inlineStr">
        <is>
          <t>Crushed tomatoes, canned — 600 g (21.2 oz)
Vegetable broth, low sodium — 300 g (10.6 oz)
Yellow onion — 100 g (3.5 oz)
Garlic — 6 g (0.2 oz)
Milk, 2% — 100 g (3.5 oz)
White bread — 120 g (4.2 oz)
Cheddar cheese — 60 g (2.1 oz)
Butter — 15 g (0.5 oz)</t>
        </is>
      </c>
      <c r="M1180" s="4" t="inlineStr">
        <is>
          <t>[{"ingredient_id": "crushed_tomatoes", "name": "Crushed tomatoes, canned", "grams": 600.0, "note": ""}, {"ingredient_id": "vegetable_broth", "name": "Vegetable broth, low sodium", "grams": 300.0, "note": ""}, {"ingredient_id": "onion", "name": "Yellow onion", "grams": 100.0, "note": ""}, {"ingredient_id": "garlic", "name": "Garlic", "grams": 6.0, "note": ""}, {"ingredient_id": "milk", "name": "Milk, 2%", "grams": 100.0, "note": ""}, {"ingredient_id": "white_bread", "name": "White bread", "grams": 120.0, "note": ""}, {"ingredient_id": "cheddar", "name": "Cheddar cheese", "grams": 60.0, "note": ""}, {"ingredient_id": "butter", "name": "Butter", "grams": 15.0, "note": ""}]</t>
        </is>
      </c>
      <c r="N1180" s="2" t="n">
        <v>246</v>
      </c>
      <c r="O1180" s="5" t="n">
        <v>10.3</v>
      </c>
      <c r="P1180" s="5" t="n">
        <v>10.2</v>
      </c>
      <c r="Q1180" s="5" t="n">
        <v>30.6</v>
      </c>
      <c r="R1180" s="5" t="n">
        <v>4</v>
      </c>
      <c r="S1180" s="5" t="n">
        <v>26.6</v>
      </c>
      <c r="T1180" s="2" t="n">
        <v>51</v>
      </c>
      <c r="U1180" s="2" t="inlineStr">
        <is>
          <t>low</t>
        </is>
      </c>
      <c r="V1180" s="5" t="n">
        <v>13.6</v>
      </c>
      <c r="W1180" s="2" t="inlineStr">
        <is>
          <t>medium</t>
        </is>
      </c>
      <c r="X1180" s="3" t="inlineStr"/>
      <c r="Y1180" s="3" t="inlineStr">
        <is>
          <t>57% of this dish's available carbohydrate comes from ingredients with a published, measured GI; the rest uses conventional placeholders (see Ingredients sheet)</t>
        </is>
      </c>
      <c r="Z1180" s="2" t="n">
        <v>57</v>
      </c>
      <c r="AA1180" s="3" t="inlineStr">
        <is>
          <t>vegetarian, nut-free</t>
        </is>
      </c>
      <c r="AB1180" s="3" t="inlineStr">
        <is>
          <t>1. Simmer the tomatoes, broth, onion and garlic 15 minutes, blend and stir in the milk.
2. Make small grilled cheese sandwiches in butter and cut into strips.
3. Serve for dipping.</t>
        </is>
      </c>
      <c r="AC1180" s="4" t="inlineStr">
        <is>
          <t>["Simmer the tomatoes, broth, onion and garlic 15 minutes, blend and stir in the milk.", "Make small grilled cheese sandwiches in butter and cut into strips.", "Serve for dipping."]</t>
        </is>
      </c>
    </row>
    <row r="1181" ht="96" customHeight="1">
      <c r="A1181" s="2" t="inlineStr">
        <is>
          <t>DB-1180</t>
        </is>
      </c>
      <c r="B1181" s="3" t="inlineStr">
        <is>
          <t>Vegetable Beef Soup</t>
        </is>
      </c>
      <c r="C1181" s="4" t="inlineStr">
        <is>
          <t>Soup &amp; Stew</t>
        </is>
      </c>
      <c r="D1181" s="4" t="inlineStr">
        <is>
          <t>American</t>
        </is>
      </c>
      <c r="E1181" s="2" t="n">
        <v>6</v>
      </c>
      <c r="F1181" s="2" t="n">
        <v>15</v>
      </c>
      <c r="G1181" s="2" t="n">
        <v>45</v>
      </c>
      <c r="H1181" s="2" t="n">
        <v>60</v>
      </c>
      <c r="I1181" s="4" t="inlineStr">
        <is>
          <t>vegetable-beef-soup.jpg</t>
        </is>
      </c>
      <c r="J1181" s="3" t="inlineStr">
        <is>
          <t>Vegetable Beef Soup, healthy food photography, plated, natural light</t>
        </is>
      </c>
      <c r="K1181" s="4" t="inlineStr"/>
      <c r="L1181" s="3" t="inlineStr">
        <is>
          <t>Ground beef 90% lean — 350 g (12.3 oz)
Diced tomatoes, canned — 400 g (14.1 oz)
Beef broth, low sodium — 800 g (28.2 oz)
Carrot — 150 g (5.3 oz)
Celery — 80 g (2.8 oz)
Green beans — 150 g (5.3 oz)
Sweet corn kernels — 100 g (3.5 oz)
Potato, boiled, peeled — 200 g (7.1 oz)
Yellow onion — 100 g (3.5 oz)</t>
        </is>
      </c>
      <c r="M1181" s="4" t="inlineStr">
        <is>
          <t>[{"ingredient_id": "ground_beef", "name": "Ground beef 90% lean", "grams": 350.0, "note": ""}, {"ingredient_id": "diced_tomatoes", "name": "Diced tomatoes, canned", "grams": 400.0, "note": ""}, {"ingredient_id": "beef_broth", "name": "Beef broth, low sodium", "grams": 800.0, "note": ""}, {"ingredient_id": "carrot", "name": "Carrot", "grams": 150.0, "note": ""}, {"ingredient_id": "celery", "name": "Celery", "grams": 80.0, "note": ""}, {"ingredient_id": "green_beans", "name": "Green beans", "grams": 150.0, "note": ""}, {"ingredient_id": "corn", "name": "Sweet corn kernels", "grams": 100.0, "note": ""}, {"ingredient_id": "potato_boiled", "name": "Potato, boiled, peeled", "grams": 200.0, "note": ""}, {"ingredient_id": "onion", "name": "Yellow onion", "grams": 100.0, "note": ""}]</t>
        </is>
      </c>
      <c r="N1181" s="2" t="n">
        <v>200</v>
      </c>
      <c r="O1181" s="5" t="n">
        <v>16.4</v>
      </c>
      <c r="P1181" s="5" t="n">
        <v>6.6</v>
      </c>
      <c r="Q1181" s="5" t="n">
        <v>20.3</v>
      </c>
      <c r="R1181" s="5" t="n">
        <v>3.8</v>
      </c>
      <c r="S1181" s="5" t="n">
        <v>16.5</v>
      </c>
      <c r="T1181" s="2" t="n">
        <v>47</v>
      </c>
      <c r="U1181" s="2" t="inlineStr">
        <is>
          <t>low</t>
        </is>
      </c>
      <c r="V1181" s="5" t="n">
        <v>7.7</v>
      </c>
      <c r="W1181" s="2" t="inlineStr">
        <is>
          <t>low</t>
        </is>
      </c>
      <c r="X1181" s="3" t="inlineStr"/>
      <c r="Y1181" s="3" t="inlineStr">
        <is>
          <t>67% of this dish's available carbohydrate comes from ingredients with a published, measured GI; the rest uses conventional placeholders (see Ingredients sheet)</t>
        </is>
      </c>
      <c r="Z1181" s="2" t="n">
        <v>67</v>
      </c>
      <c r="AA1181" s="3" t="inlineStr">
        <is>
          <t>gluten-free, dairy-free, nut-free</t>
        </is>
      </c>
      <c r="AB1181" s="3" t="inlineStr">
        <is>
          <t>1. Brown the beef with the onion.
2. Add everything else and simmer 35 minutes.</t>
        </is>
      </c>
      <c r="AC1181" s="4" t="inlineStr">
        <is>
          <t>["Brown the beef with the onion.", "Add everything else and simmer 35 minutes."]</t>
        </is>
      </c>
    </row>
    <row r="1182" ht="96" customHeight="1">
      <c r="A1182" s="2" t="inlineStr">
        <is>
          <t>DB-1181</t>
        </is>
      </c>
      <c r="B1182" s="3" t="inlineStr">
        <is>
          <t>White Bean and Ham Soup</t>
        </is>
      </c>
      <c r="C1182" s="4" t="inlineStr">
        <is>
          <t>Soup &amp; Stew</t>
        </is>
      </c>
      <c r="D1182" s="4" t="inlineStr">
        <is>
          <t>American</t>
        </is>
      </c>
      <c r="E1182" s="2" t="n">
        <v>6</v>
      </c>
      <c r="F1182" s="2" t="n">
        <v>10</v>
      </c>
      <c r="G1182" s="2" t="n">
        <v>40</v>
      </c>
      <c r="H1182" s="2" t="n">
        <v>50</v>
      </c>
      <c r="I1182" s="4" t="inlineStr">
        <is>
          <t>white-bean-and-ham-soup.jpg</t>
        </is>
      </c>
      <c r="J1182" s="3" t="inlineStr">
        <is>
          <t>White Bean and Ham Soup, healthy food photography, plated, natural light</t>
        </is>
      </c>
      <c r="K1182" s="4" t="inlineStr"/>
      <c r="L1182" s="3" t="inlineStr">
        <is>
          <t>Navy beans, cooked — 500 g (17.6 oz)
Ham, lean — 150 g (5.3 oz)
Chicken broth, low sodium — 800 g (28.2 oz)
Carrot — 120 g (4.2 oz)
Celery — 80 g (2.8 oz)
Yellow onion — 100 g (3.5 oz)
Bay leaves — 1 g (0.0 oz)
Black pepper — 1 g (0.0 oz)</t>
        </is>
      </c>
      <c r="M1182" s="4" t="inlineStr">
        <is>
          <t>[{"ingredient_id": "navy_beans", "name": "Navy beans, cooked", "grams": 500.0, "note": ""}, {"ingredient_id": "ham", "name": "Ham, lean", "grams": 150.0, "note": ""}, {"ingredient_id": "chicken_broth", "name": "Chicken broth, low sodium", "grams": 800.0, "note": ""}, {"ingredient_id": "carrot", "name": "Carrot", "grams": 120.0, "note": ""}, {"ingredient_id": "celery", "name": "Celery", "grams": 80.0, "note": ""}, {"ingredient_id": "onion", "name": "Yellow onion", "grams": 100.0, "note": ""}, {"ingredient_id": "bay_leaf", "name": "Bay leaves", "grams": 1.0, "note": ""}, {"ingredient_id": "black_pepper", "name": "Black pepper", "grams": 1.0, "note": ""}]</t>
        </is>
      </c>
      <c r="N1182" s="2" t="n">
        <v>180</v>
      </c>
      <c r="O1182" s="5" t="n">
        <v>13.9</v>
      </c>
      <c r="P1182" s="5" t="n">
        <v>2.4</v>
      </c>
      <c r="Q1182" s="5" t="n">
        <v>26.8</v>
      </c>
      <c r="R1182" s="5" t="n">
        <v>9.9</v>
      </c>
      <c r="S1182" s="5" t="n">
        <v>16.9</v>
      </c>
      <c r="T1182" s="2" t="n">
        <v>28</v>
      </c>
      <c r="U1182" s="2" t="inlineStr">
        <is>
          <t>low</t>
        </is>
      </c>
      <c r="V1182" s="5" t="n">
        <v>4.7</v>
      </c>
      <c r="W1182" s="2" t="inlineStr">
        <is>
          <t>low</t>
        </is>
      </c>
      <c r="X1182" s="3" t="inlineStr"/>
      <c r="Y1182" s="3" t="inlineStr">
        <is>
          <t>8% of this dish's available carbohydrate comes from ingredients with a published, measured GI; the rest uses conventional placeholders (see Ingredients sheet)</t>
        </is>
      </c>
      <c r="Z1182" s="2" t="n">
        <v>8</v>
      </c>
      <c r="AA1182" s="3" t="inlineStr">
        <is>
          <t>gluten-free, dairy-free, nut-free, high-fiber</t>
        </is>
      </c>
      <c r="AB1182" s="3" t="inlineStr">
        <is>
          <t>1. Combine everything in a pot.
2. Simmer 35 minutes, mashing some beans for body.
3. Remove the bay leaf.</t>
        </is>
      </c>
      <c r="AC1182" s="4" t="inlineStr">
        <is>
          <t>["Combine everything in a pot.", "Simmer 35 minutes, mashing some beans for body.", "Remove the bay leaf."]</t>
        </is>
      </c>
    </row>
    <row r="1183" ht="96" customHeight="1">
      <c r="A1183" s="2" t="inlineStr">
        <is>
          <t>DB-1182</t>
        </is>
      </c>
      <c r="B1183" s="3" t="inlineStr">
        <is>
          <t>Mashed Potatoes with Garlic and Butter</t>
        </is>
      </c>
      <c r="C1183" s="4" t="inlineStr">
        <is>
          <t>Side Dish</t>
        </is>
      </c>
      <c r="D1183" s="4" t="inlineStr">
        <is>
          <t>American</t>
        </is>
      </c>
      <c r="E1183" s="2" t="n">
        <v>5</v>
      </c>
      <c r="F1183" s="2" t="n">
        <v>10</v>
      </c>
      <c r="G1183" s="2" t="n">
        <v>20</v>
      </c>
      <c r="H1183" s="2" t="n">
        <v>30</v>
      </c>
      <c r="I1183" s="4" t="inlineStr">
        <is>
          <t>mashed-potatoes-with-garlic-and-butter.jpg</t>
        </is>
      </c>
      <c r="J1183" s="3" t="inlineStr">
        <is>
          <t>Mashed Potatoes with Garlic and Butter, healthy food photography, plated, natural light</t>
        </is>
      </c>
      <c r="K1183" s="4" t="inlineStr"/>
      <c r="L1183" s="3" t="inlineStr">
        <is>
          <t>Potato, boiled, peeled — 750 g (26.5 oz)
Milk, 2% — 120 g (4.2 oz)
Butter — 25 g (0.9 oz)
Garlic — 6 g (0.2 oz)
Salt — 2 g (0.1 oz)
Fresh chives — 3 g (0.1 oz)</t>
        </is>
      </c>
      <c r="M1183" s="4" t="inlineStr">
        <is>
          <t>[{"ingredient_id": "potato_boiled", "name": "Potato, boiled, peeled", "grams": 750.0, "note": ""}, {"ingredient_id": "milk", "name": "Milk, 2%", "grams": 120.0, "note": ""}, {"ingredient_id": "butter", "name": "Butter", "grams": 25.0, "note": ""}, {"ingredient_id": "garlic", "name": "Garlic", "grams": 6.0, "note": ""}, {"ingredient_id": "salt", "name": "Salt", "grams": 2.0, "note": ""}, {"ingredient_id": "chives", "name": "Fresh chives", "grams": 3.0, "note": ""}]</t>
        </is>
      </c>
      <c r="N1183" s="2" t="n">
        <v>189</v>
      </c>
      <c r="O1183" s="5" t="n">
        <v>3.9</v>
      </c>
      <c r="P1183" s="5" t="n">
        <v>4.7</v>
      </c>
      <c r="Q1183" s="5" t="n">
        <v>33.8</v>
      </c>
      <c r="R1183" s="5" t="n">
        <v>2.3</v>
      </c>
      <c r="S1183" s="5" t="n">
        <v>31.5</v>
      </c>
      <c r="T1183" s="2" t="n">
        <v>64</v>
      </c>
      <c r="U1183" s="2" t="inlineStr">
        <is>
          <t>medium</t>
        </is>
      </c>
      <c r="V1183" s="5" t="n">
        <v>20.2</v>
      </c>
      <c r="W1183" s="2" t="inlineStr">
        <is>
          <t>high</t>
        </is>
      </c>
      <c r="X1183" s="3" t="inlineStr">
        <is>
          <t>Medium-GI dish: keep to the stated portion and pair with the protein/fat in the recipe; GL per serving is the better guide.</t>
        </is>
      </c>
      <c r="Y1183" s="3" t="inlineStr">
        <is>
          <t>99% of this dish's available carbohydrate comes from ingredients with a published, measured GI; the rest uses conventional placeholders (see Ingredients sheet)</t>
        </is>
      </c>
      <c r="Z1183" s="2" t="n">
        <v>99</v>
      </c>
      <c r="AA1183" s="3" t="inlineStr">
        <is>
          <t>vegetarian, gluten-free, nut-free</t>
        </is>
      </c>
      <c r="AB1183" s="3" t="inlineStr">
        <is>
          <t>1. Boil the potatoes with the garlic until very tender.
2. Mash with warm milk, butter and salt.
3. Top with chives.</t>
        </is>
      </c>
      <c r="AC1183" s="4" t="inlineStr">
        <is>
          <t>["Boil the potatoes with the garlic until very tender.", "Mash with warm milk, butter and salt.", "Top with chives."]</t>
        </is>
      </c>
    </row>
    <row r="1184" ht="96" customHeight="1">
      <c r="A1184" s="2" t="inlineStr">
        <is>
          <t>DB-1183</t>
        </is>
      </c>
      <c r="B1184" s="3" t="inlineStr">
        <is>
          <t>Twice Baked Potato with Cheddar and Chives</t>
        </is>
      </c>
      <c r="C1184" s="4" t="inlineStr">
        <is>
          <t>Side Dish</t>
        </is>
      </c>
      <c r="D1184" s="4" t="inlineStr">
        <is>
          <t>American</t>
        </is>
      </c>
      <c r="E1184" s="2" t="n">
        <v>4</v>
      </c>
      <c r="F1184" s="2" t="n">
        <v>15</v>
      </c>
      <c r="G1184" s="2" t="n">
        <v>60</v>
      </c>
      <c r="H1184" s="2" t="n">
        <v>75</v>
      </c>
      <c r="I1184" s="4" t="inlineStr">
        <is>
          <t>twice-baked-potato-with-cheddar-and-chives.jpg</t>
        </is>
      </c>
      <c r="J1184" s="3" t="inlineStr">
        <is>
          <t>Twice Baked Potato with Cheddar and Chives, healthy food photography, plated, natural light</t>
        </is>
      </c>
      <c r="K1184" s="4" t="inlineStr"/>
      <c r="L1184" s="3" t="inlineStr">
        <is>
          <t>Potato, baked, flesh (russet) — 600 g (21.2 oz)
Cheddar cheese — 80 g (2.8 oz)
Greek yogurt, plain 2% — 80 g (2.8 oz)
Butter — 15 g (0.5 oz)
Fresh chives — 6 g (0.2 oz)
Bacon — 30 g (1.1 oz)</t>
        </is>
      </c>
      <c r="M1184" s="4" t="inlineStr">
        <is>
          <t>[{"ingredient_id": "potato_baked", "name": "Potato, baked, flesh (russet)", "grams": 600.0, "note": ""}, {"ingredient_id": "cheddar", "name": "Cheddar cheese", "grams": 80.0, "note": ""}, {"ingredient_id": "greek_yogurt", "name": "Greek yogurt, plain 2%", "grams": 80.0, "note": ""}, {"ingredient_id": "butter", "name": "Butter", "grams": 15.0, "note": ""}, {"ingredient_id": "chives", "name": "Fresh chives", "grams": 6.0, "note": ""}, {"ingredient_id": "bacon", "name": "Bacon", "grams": 30.0, "note": ""}]</t>
        </is>
      </c>
      <c r="N1184" s="2" t="n">
        <v>303</v>
      </c>
      <c r="O1184" s="5" t="n">
        <v>12.4</v>
      </c>
      <c r="P1184" s="5" t="n">
        <v>13.3</v>
      </c>
      <c r="Q1184" s="5" t="n">
        <v>33.5</v>
      </c>
      <c r="R1184" s="5" t="n">
        <v>2.3</v>
      </c>
      <c r="S1184" s="5" t="n">
        <v>31.2</v>
      </c>
      <c r="T1184" s="2" t="n">
        <v>82</v>
      </c>
      <c r="U1184" s="2" t="inlineStr">
        <is>
          <t>high</t>
        </is>
      </c>
      <c r="V1184" s="5" t="n">
        <v>25.6</v>
      </c>
      <c r="W1184" s="2" t="inlineStr">
        <is>
          <t>high</t>
        </is>
      </c>
      <c r="X1184" s="3" t="inlineStr">
        <is>
          <t>Medium-GI dish: keep to the stated portion and pair with the protein/fat in the recipe; GL per serving is the better guide.</t>
        </is>
      </c>
      <c r="Y1184" s="3" t="inlineStr">
        <is>
          <t>99% of this dish's available carbohydrate comes from ingredients with a published, measured GI; the rest uses conventional placeholders (see Ingredients sheet)</t>
        </is>
      </c>
      <c r="Z1184" s="2" t="n">
        <v>99</v>
      </c>
      <c r="AA1184" s="3" t="inlineStr">
        <is>
          <t>gluten-free, nut-free</t>
        </is>
      </c>
      <c r="AB1184" s="3" t="inlineStr">
        <is>
          <t>1. Bake the potatoes, halve and scoop out the flesh.
2. Mash with yogurt, butter and half the cheddar.
3. Refill the skins, top with cheddar and bacon.
4. Bake 15 minutes more.</t>
        </is>
      </c>
      <c r="AC1184" s="4" t="inlineStr">
        <is>
          <t>["Bake the potatoes, halve and scoop out the flesh.", "Mash with yogurt, butter and half the cheddar.", "Refill the skins, top with cheddar and bacon.", "Bake 15 minutes more."]</t>
        </is>
      </c>
    </row>
    <row r="1185" ht="96" customHeight="1">
      <c r="A1185" s="2" t="inlineStr">
        <is>
          <t>DB-1184</t>
        </is>
      </c>
      <c r="B1185" s="3" t="inlineStr">
        <is>
          <t>Baked Potato with Broccoli and Cheddar</t>
        </is>
      </c>
      <c r="C1185" s="4" t="inlineStr">
        <is>
          <t>Side Dish</t>
        </is>
      </c>
      <c r="D1185" s="4" t="inlineStr">
        <is>
          <t>American</t>
        </is>
      </c>
      <c r="E1185" s="2" t="n">
        <v>2</v>
      </c>
      <c r="F1185" s="2" t="n">
        <v>5</v>
      </c>
      <c r="G1185" s="2" t="n">
        <v>60</v>
      </c>
      <c r="H1185" s="2" t="n">
        <v>65</v>
      </c>
      <c r="I1185" s="4" t="inlineStr">
        <is>
          <t>baked-potato-with-broccoli-and-cheddar.jpg</t>
        </is>
      </c>
      <c r="J1185" s="3" t="inlineStr">
        <is>
          <t>Baked Potato with Broccoli and Cheddar, healthy food photography, plated, natural light</t>
        </is>
      </c>
      <c r="K1185" s="4" t="inlineStr"/>
      <c r="L1185" s="3" t="inlineStr">
        <is>
          <t>Potato, baked, flesh (russet) — 300 g (10.6 oz)
Broccoli — 120 g (4.2 oz)
Cheddar cheese — 40 g (1.4 oz)
Greek yogurt, plain 2% — 60 g (2.1 oz)
Fresh chives — 3 g (0.1 oz)</t>
        </is>
      </c>
      <c r="M1185" s="4" t="inlineStr">
        <is>
          <t>[{"ingredient_id": "potato_baked", "name": "Potato, baked, flesh (russet)", "grams": 300.0, "note": ""}, {"ingredient_id": "broccoli", "name": "Broccoli", "grams": 120.0, "note": ""}, {"ingredient_id": "cheddar", "name": "Cheddar cheese", "grams": 40.0, "note": ""}, {"ingredient_id": "greek_yogurt", "name": "Greek yogurt, plain 2%", "grams": 60.0, "note": ""}, {"ingredient_id": "chives", "name": "Fresh chives", "grams": 3.0, "note": ""}]</t>
        </is>
      </c>
      <c r="N1185" s="2" t="n">
        <v>263</v>
      </c>
      <c r="O1185" s="5" t="n">
        <v>12.3</v>
      </c>
      <c r="P1185" s="5" t="n">
        <v>7.6</v>
      </c>
      <c r="Q1185" s="5" t="n">
        <v>37.7</v>
      </c>
      <c r="R1185" s="5" t="n">
        <v>3.8</v>
      </c>
      <c r="S1185" s="5" t="n">
        <v>33.9</v>
      </c>
      <c r="T1185" s="2" t="n">
        <v>77</v>
      </c>
      <c r="U1185" s="2" t="inlineStr">
        <is>
          <t>high</t>
        </is>
      </c>
      <c r="V1185" s="5" t="n">
        <v>26.1</v>
      </c>
      <c r="W1185" s="2" t="inlineStr">
        <is>
          <t>high</t>
        </is>
      </c>
      <c r="X1185" s="3" t="inlineStr">
        <is>
          <t>Medium-GI dish: keep to the stated portion and pair with the protein/fat in the recipe; GL per serving is the better guide.</t>
        </is>
      </c>
      <c r="Y1185" s="3" t="inlineStr">
        <is>
          <t>92% of this dish's available carbohydrate comes from ingredients with a published, measured GI; the rest uses conventional placeholders (see Ingredients sheet)</t>
        </is>
      </c>
      <c r="Z1185" s="2" t="n">
        <v>92</v>
      </c>
      <c r="AA1185" s="3" t="inlineStr">
        <is>
          <t>vegetarian, gluten-free, nut-free</t>
        </is>
      </c>
      <c r="AB1185" s="3" t="inlineStr">
        <is>
          <t>1. Bake the potatoes until tender, about 55 minutes.
2. Steam the broccoli.
3. Split the potatoes and fill with broccoli, cheddar and yogurt.</t>
        </is>
      </c>
      <c r="AC1185" s="4" t="inlineStr">
        <is>
          <t>["Bake the potatoes until tender, about 55 minutes.", "Steam the broccoli.", "Split the potatoes and fill with broccoli, cheddar and yogurt."]</t>
        </is>
      </c>
    </row>
    <row r="1186" ht="96" customHeight="1">
      <c r="A1186" s="2" t="inlineStr">
        <is>
          <t>DB-1185</t>
        </is>
      </c>
      <c r="B1186" s="3" t="inlineStr">
        <is>
          <t>Oven-Roasted Potatoes with Rosemary</t>
        </is>
      </c>
      <c r="C1186" s="4" t="inlineStr">
        <is>
          <t>Side Dish</t>
        </is>
      </c>
      <c r="D1186" s="4" t="inlineStr">
        <is>
          <t>American</t>
        </is>
      </c>
      <c r="E1186" s="2" t="n">
        <v>4</v>
      </c>
      <c r="F1186" s="2" t="n">
        <v>10</v>
      </c>
      <c r="G1186" s="2" t="n">
        <v>35</v>
      </c>
      <c r="H1186" s="2" t="n">
        <v>45</v>
      </c>
      <c r="I1186" s="4" t="inlineStr">
        <is>
          <t>oven-roasted-potatoes-with-rosemary.jpg</t>
        </is>
      </c>
      <c r="J1186" s="3" t="inlineStr">
        <is>
          <t>Oven-Roasted Potatoes with Rosemary, healthy food photography, plated, natural light</t>
        </is>
      </c>
      <c r="K1186" s="4" t="inlineStr"/>
      <c r="L1186" s="3" t="inlineStr">
        <is>
          <t>Potato, boiled, peeled — 500 g (17.6 oz)
Extra-virgin olive oil — 20 g (0.7 oz)
Fresh rosemary — 3 g (0.1 oz)
Garlic — 6 g (0.2 oz)
Salt — 2 g (0.1 oz)
Black pepper — 1 g (0.0 oz)</t>
        </is>
      </c>
      <c r="M1186" s="4" t="inlineStr">
        <is>
          <t>[{"ingredient_id": "potato_boiled", "name": "Potato, boiled, peeled", "grams": 500.0, "note": ""}, {"ingredient_id": "olive_oil", "name": "Extra-virgin olive oil", "grams": 20.0, "note": ""}, {"ingredient_id": "rosemary", "name": "Fresh rosemary", "grams": 3.0, "note": ""}, {"ingredient_id": "garlic", "name": "Garlic", "grams": 6.0, "note": ""}, {"ingredient_id": "salt", "name": "Salt", "grams": 2.0, "note": ""}, {"ingredient_id": "black_pepper", "name": "Black pepper", "grams": 1.0, "note": ""}]</t>
        </is>
      </c>
      <c r="N1186" s="2" t="n">
        <v>164</v>
      </c>
      <c r="O1186" s="5" t="n">
        <v>2.6</v>
      </c>
      <c r="P1186" s="5" t="n">
        <v>5.2</v>
      </c>
      <c r="Q1186" s="5" t="n">
        <v>27.7</v>
      </c>
      <c r="R1186" s="5" t="n">
        <v>2.1</v>
      </c>
      <c r="S1186" s="5" t="n">
        <v>25.6</v>
      </c>
      <c r="T1186" s="2" t="n">
        <v>65</v>
      </c>
      <c r="U1186" s="2" t="inlineStr">
        <is>
          <t>medium</t>
        </is>
      </c>
      <c r="V1186" s="5" t="n">
        <v>16.6</v>
      </c>
      <c r="W1186" s="2" t="inlineStr">
        <is>
          <t>medium</t>
        </is>
      </c>
      <c r="X1186" s="3" t="inlineStr">
        <is>
          <t>Medium-GI dish: keep to the stated portion and pair with the protein/fat in the recipe; GL per serving is the better guide.</t>
        </is>
      </c>
      <c r="Y1186" s="3" t="inlineStr">
        <is>
          <t>98% of this dish's available carbohydrate comes from ingredients with a published, measured GI; the rest uses conventional placeholders (see Ingredients sheet)</t>
        </is>
      </c>
      <c r="Z1186" s="2" t="n">
        <v>98</v>
      </c>
      <c r="AA1186" s="3" t="inlineStr">
        <is>
          <t>vegan, gluten-free, dairy-free, nut-free</t>
        </is>
      </c>
      <c r="AB1186" s="3" t="inlineStr">
        <is>
          <t>1. Heat the oven to 425°F.
2. Toss the potato chunks with oil, rosemary, garlic and seasoning.
3. Roast 30 to 35 minutes, turning once.</t>
        </is>
      </c>
      <c r="AC1186" s="4" t="inlineStr">
        <is>
          <t>["Heat the oven to 425°F.", "Toss the potato chunks with oil, rosemary, garlic and seasoning.", "Roast 30 to 35 minutes, turning once."]</t>
        </is>
      </c>
    </row>
    <row r="1187" ht="96" customHeight="1">
      <c r="A1187" s="2" t="inlineStr">
        <is>
          <t>DB-1186</t>
        </is>
      </c>
      <c r="B1187" s="3" t="inlineStr">
        <is>
          <t>Classic Potato Salad</t>
        </is>
      </c>
      <c r="C1187" s="4" t="inlineStr">
        <is>
          <t>Side Dish</t>
        </is>
      </c>
      <c r="D1187" s="4" t="inlineStr">
        <is>
          <t>American</t>
        </is>
      </c>
      <c r="E1187" s="2" t="n">
        <v>6</v>
      </c>
      <c r="F1187" s="2" t="n">
        <v>20</v>
      </c>
      <c r="G1187" s="2" t="n">
        <v>20</v>
      </c>
      <c r="H1187" s="2" t="n">
        <v>40</v>
      </c>
      <c r="I1187" s="4" t="inlineStr">
        <is>
          <t>classic-potato-salad.jpg</t>
        </is>
      </c>
      <c r="J1187" s="3" t="inlineStr">
        <is>
          <t>Classic Potato Salad, healthy food photography, plated, natural light</t>
        </is>
      </c>
      <c r="K1187" s="4" t="inlineStr"/>
      <c r="L1187" s="3" t="inlineStr">
        <is>
          <t>Potato, boiled, peeled — 600 g (21.2 oz)
Egg, large (50 g each) — 150 g (5.3 oz)
Celery — 60 g (2.1 oz)
Red onion — 40 g (1.4 oz)
Mayonnaise (avocado oil) — 50 g (1.8 oz)
Greek yogurt, plain 2% — 60 g (2.1 oz)
Yellow mustard — 15 g (0.5 oz)
Dill pickles — 40 g (1.4 oz)</t>
        </is>
      </c>
      <c r="M1187" s="4" t="inlineStr">
        <is>
          <t>[{"ingredient_id": "potato_boiled", "name": "Potato, boiled, peeled", "grams": 600.0, "note": ""}, {"ingredient_id": "egg", "name": "Egg, large (50 g each)", "grams": 150.0, "note": ""}, {"ingredient_id": "celery", "name": "Celery", "grams": 60.0, "note": ""}, {"ingredient_id": "red_onion", "name": "Red onion", "grams": 40.0, "note": ""}, {"ingredient_id": "mayo", "name": "Mayonnaise (avocado oil)", "grams": 50.0, "note": ""}, {"ingredient_id": "greek_yogurt", "name": "Greek yogurt, plain 2%", "grams": 60.0, "note": ""}, {"ingredient_id": "yellow_mustard", "name": "Yellow mustard", "grams": 15.0, "note": ""}, {"ingredient_id": "dill_pickle", "name": "Dill pickles", "grams": 40.0, "note": ""}]</t>
        </is>
      </c>
      <c r="N1187" s="2" t="n">
        <v>201</v>
      </c>
      <c r="O1187" s="5" t="n">
        <v>6.4</v>
      </c>
      <c r="P1187" s="5" t="n">
        <v>9.300000000000001</v>
      </c>
      <c r="Q1187" s="5" t="n">
        <v>23.3</v>
      </c>
      <c r="R1187" s="5" t="n">
        <v>1.9</v>
      </c>
      <c r="S1187" s="5" t="n">
        <v>21.4</v>
      </c>
      <c r="T1187" s="2" t="n">
        <v>63</v>
      </c>
      <c r="U1187" s="2" t="inlineStr">
        <is>
          <t>medium</t>
        </is>
      </c>
      <c r="V1187" s="5" t="n">
        <v>13.5</v>
      </c>
      <c r="W1187" s="2" t="inlineStr">
        <is>
          <t>medium</t>
        </is>
      </c>
      <c r="X1187" s="3" t="inlineStr">
        <is>
          <t>Medium-GI dish: keep to the stated portion and pair with the protein/fat in the recipe; GL per serving is the better guide.</t>
        </is>
      </c>
      <c r="Y1187" s="3" t="inlineStr">
        <is>
          <t>96% of this dish's available carbohydrate comes from ingredients with a published, measured GI; the rest uses conventional placeholders (see Ingredients sheet)</t>
        </is>
      </c>
      <c r="Z1187" s="2" t="n">
        <v>96</v>
      </c>
      <c r="AA1187" s="3" t="inlineStr">
        <is>
          <t>vegetarian, gluten-free, nut-free</t>
        </is>
      </c>
      <c r="AB1187" s="3" t="inlineStr">
        <is>
          <t>1. Cube the cooked potatoes and slice the boiled eggs.
2. Mix the mayo, yogurt and mustard.
3. Fold in the potatoes, eggs, celery, onion and pickle.
4. Chill before serving.</t>
        </is>
      </c>
      <c r="AC1187" s="4" t="inlineStr">
        <is>
          <t>["Cube the cooked potatoes and slice the boiled eggs.", "Mix the mayo, yogurt and mustard.", "Fold in the potatoes, eggs, celery, onion and pickle.", "Chill before serving."]</t>
        </is>
      </c>
    </row>
    <row r="1188" ht="96" customHeight="1">
      <c r="A1188" s="2" t="inlineStr">
        <is>
          <t>DB-1187</t>
        </is>
      </c>
      <c r="B1188" s="3" t="inlineStr">
        <is>
          <t>Steakhouse Oven Fries</t>
        </is>
      </c>
      <c r="C1188" s="4" t="inlineStr">
        <is>
          <t>Side Dish</t>
        </is>
      </c>
      <c r="D1188" s="4" t="inlineStr">
        <is>
          <t>American</t>
        </is>
      </c>
      <c r="E1188" s="2" t="n">
        <v>4</v>
      </c>
      <c r="F1188" s="2" t="n">
        <v>5</v>
      </c>
      <c r="G1188" s="2" t="n">
        <v>20</v>
      </c>
      <c r="H1188" s="2" t="n">
        <v>25</v>
      </c>
      <c r="I1188" s="4" t="inlineStr">
        <is>
          <t>steakhouse-oven-fries.jpg</t>
        </is>
      </c>
      <c r="J1188" s="3" t="inlineStr">
        <is>
          <t>Steakhouse Oven Fries, healthy food photography, plated, natural light</t>
        </is>
      </c>
      <c r="K1188" s="4" t="inlineStr"/>
      <c r="L1188" s="3" t="inlineStr">
        <is>
          <t>Oven fries, frozen shoestring, baked — 480 g (16.9 oz)
Salt — 2 g (0.1 oz)
Garlic powder — 2 g (0.1 oz)</t>
        </is>
      </c>
      <c r="M1188" s="4" t="inlineStr">
        <is>
          <t>[{"ingredient_id": "french_fries_baked", "name": "Oven fries, frozen shoestring, baked", "grams": 480.0, "note": ""}, {"ingredient_id": "salt", "name": "Salt", "grams": 2.0, "note": ""}, {"ingredient_id": "garlic_powder", "name": "Garlic powder", "grams": 2.0, "note": ""}]</t>
        </is>
      </c>
      <c r="N1188" s="2" t="n">
        <v>191</v>
      </c>
      <c r="O1188" s="5" t="n">
        <v>3.4</v>
      </c>
      <c r="P1188" s="5" t="n">
        <v>6.6</v>
      </c>
      <c r="Q1188" s="5" t="n">
        <v>31.1</v>
      </c>
      <c r="R1188" s="5" t="n">
        <v>2.4</v>
      </c>
      <c r="S1188" s="5" t="n">
        <v>28.6</v>
      </c>
      <c r="T1188" s="2" t="n">
        <v>63</v>
      </c>
      <c r="U1188" s="2" t="inlineStr">
        <is>
          <t>medium</t>
        </is>
      </c>
      <c r="V1188" s="5" t="n">
        <v>18</v>
      </c>
      <c r="W1188" s="2" t="inlineStr">
        <is>
          <t>medium</t>
        </is>
      </c>
      <c r="X1188" s="3" t="inlineStr">
        <is>
          <t>Medium-GI dish: keep to the stated portion and pair with the protein/fat in the recipe; GL per serving is the better guide.</t>
        </is>
      </c>
      <c r="Y1188" s="3" t="inlineStr">
        <is>
          <t>99% of this dish's available carbohydrate comes from ingredients with a published, measured GI; the rest uses conventional placeholders (see Ingredients sheet)</t>
        </is>
      </c>
      <c r="Z1188" s="2" t="n">
        <v>99</v>
      </c>
      <c r="AA1188" s="3" t="inlineStr">
        <is>
          <t>vegan, gluten-free, dairy-free, nut-free</t>
        </is>
      </c>
      <c r="AB1188" s="3" t="inlineStr">
        <is>
          <t>1. Spread the fries on a tray.
2. Bake at 425°F for 20 minutes, turning once.
3. Season with salt and garlic powder.</t>
        </is>
      </c>
      <c r="AC1188" s="4" t="inlineStr">
        <is>
          <t>["Spread the fries on a tray.", "Bake at 425°F for 20 minutes, turning once.", "Season with salt and garlic powder."]</t>
        </is>
      </c>
    </row>
    <row r="1189" ht="96" customHeight="1">
      <c r="A1189" s="2" t="inlineStr">
        <is>
          <t>DB-1188</t>
        </is>
      </c>
      <c r="B1189" s="3" t="inlineStr">
        <is>
          <t>Garlic Bread</t>
        </is>
      </c>
      <c r="C1189" s="4" t="inlineStr">
        <is>
          <t>Side Dish</t>
        </is>
      </c>
      <c r="D1189" s="4" t="inlineStr">
        <is>
          <t>Italian</t>
        </is>
      </c>
      <c r="E1189" s="2" t="n">
        <v>6</v>
      </c>
      <c r="F1189" s="2" t="n">
        <v>5</v>
      </c>
      <c r="G1189" s="2" t="n">
        <v>10</v>
      </c>
      <c r="H1189" s="2" t="n">
        <v>15</v>
      </c>
      <c r="I1189" s="4" t="inlineStr">
        <is>
          <t>garlic-bread.jpg</t>
        </is>
      </c>
      <c r="J1189" s="3" t="inlineStr">
        <is>
          <t>Garlic Bread, healthy food photography, plated, natural light</t>
        </is>
      </c>
      <c r="K1189" s="4" t="inlineStr"/>
      <c r="L1189" s="3" t="inlineStr">
        <is>
          <t>White bread — 180 g (6.3 oz)
Butter — 30 g (1.1 oz)
Garlic — 8 g (0.3 oz)
Fresh parsley — 4 g (0.1 oz)
Parmesan, grated — 20 g (0.7 oz)</t>
        </is>
      </c>
      <c r="M1189" s="4" t="inlineStr">
        <is>
          <t>[{"ingredient_id": "white_bread", "name": "White bread", "grams": 180.0, "note": ""}, {"ingredient_id": "butter", "name": "Butter", "grams": 30.0, "note": ""}, {"ingredient_id": "garlic", "name": "Garlic", "grams": 8.0, "note": ""}, {"ingredient_id": "parsley", "name": "Fresh parsley", "grams": 4.0, "note": ""}, {"ingredient_id": "parmesan", "name": "Parmesan, grated", "grams": 20.0, "note": ""}]</t>
        </is>
      </c>
      <c r="N1189" s="2" t="n">
        <v>133</v>
      </c>
      <c r="O1189" s="5" t="n">
        <v>4.2</v>
      </c>
      <c r="P1189" s="5" t="n">
        <v>6.1</v>
      </c>
      <c r="Q1189" s="5" t="n">
        <v>15.4</v>
      </c>
      <c r="R1189" s="5" t="n">
        <v>0.7</v>
      </c>
      <c r="S1189" s="5" t="n">
        <v>14.6</v>
      </c>
      <c r="T1189" s="2" t="n">
        <v>70</v>
      </c>
      <c r="U1189" s="2" t="inlineStr">
        <is>
          <t>high</t>
        </is>
      </c>
      <c r="V1189" s="5" t="n">
        <v>10.2</v>
      </c>
      <c r="W1189" s="2" t="inlineStr">
        <is>
          <t>medium</t>
        </is>
      </c>
      <c r="X1189" s="3" t="inlineStr">
        <is>
          <t>Medium-GI dish: keep to the stated portion and pair with the protein/fat in the recipe; GL per serving is the better guide.</t>
        </is>
      </c>
      <c r="Y1189" s="3" t="inlineStr">
        <is>
          <t>96% of this dish's available carbohydrate comes from ingredients with a published, measured GI; the rest uses conventional placeholders (see Ingredients sheet)</t>
        </is>
      </c>
      <c r="Z1189" s="2" t="n">
        <v>96</v>
      </c>
      <c r="AA1189" s="3" t="inlineStr">
        <is>
          <t>vegetarian, nut-free, low-carb</t>
        </is>
      </c>
      <c r="AB1189" s="3" t="inlineStr">
        <is>
          <t>1. Mash the butter with garlic and parsley.
2. Spread on the bread and sprinkle with parmesan.
3. Bake at 400°F for 8 to 10 minutes.</t>
        </is>
      </c>
      <c r="AC1189" s="4" t="inlineStr">
        <is>
          <t>["Mash the butter with garlic and parsley.", "Spread on the bread and sprinkle with parmesan.", "Bake at 400°F for 8 to 10 minutes."]</t>
        </is>
      </c>
    </row>
    <row r="1190" ht="96" customHeight="1">
      <c r="A1190" s="2" t="inlineStr">
        <is>
          <t>DB-1189</t>
        </is>
      </c>
      <c r="B1190" s="3" t="inlineStr">
        <is>
          <t>Rice Pilaf with Peas and Carrots</t>
        </is>
      </c>
      <c r="C1190" s="4" t="inlineStr">
        <is>
          <t>Side Dish</t>
        </is>
      </c>
      <c r="D1190" s="4" t="inlineStr">
        <is>
          <t>American</t>
        </is>
      </c>
      <c r="E1190" s="2" t="n">
        <v>5</v>
      </c>
      <c r="F1190" s="2" t="n">
        <v>10</v>
      </c>
      <c r="G1190" s="2" t="n">
        <v>25</v>
      </c>
      <c r="H1190" s="2" t="n">
        <v>35</v>
      </c>
      <c r="I1190" s="4" t="inlineStr">
        <is>
          <t>rice-pilaf-with-peas-and-carrots.jpg</t>
        </is>
      </c>
      <c r="J1190" s="3" t="inlineStr">
        <is>
          <t>Rice Pilaf with Peas and Carrots, healthy food photography, plated, natural light</t>
        </is>
      </c>
      <c r="K1190" s="4" t="inlineStr"/>
      <c r="L1190" s="3" t="inlineStr">
        <is>
          <t>White rice, long-grain, cooked — 500 g (17.6 oz)
Green peas — 100 g (3.5 oz)
Carrot — 80 g (2.8 oz)
Yellow onion — 60 g (2.1 oz)
Chicken broth, low sodium — 100 g (3.5 oz)
Butter — 15 g (0.5 oz)
Fresh parsley — 4 g (0.1 oz)</t>
        </is>
      </c>
      <c r="M1190" s="4" t="inlineStr">
        <is>
          <t>[{"ingredient_id": "white_rice", "name": "White rice, long-grain, cooked", "grams": 500.0, "note": ""}, {"ingredient_id": "green_peas", "name": "Green peas", "grams": 100.0, "note": ""}, {"ingredient_id": "carrot", "name": "Carrot", "grams": 80.0, "note": ""}, {"ingredient_id": "onion", "name": "Yellow onion", "grams": 60.0, "note": ""}, {"ingredient_id": "chicken_broth", "name": "Chicken broth, low sodium", "grams": 100.0, "note": ""}, {"ingredient_id": "butter", "name": "Butter", "grams": 15.0, "note": ""}, {"ingredient_id": "parsley", "name": "Fresh parsley", "grams": 4.0, "note": ""}]</t>
        </is>
      </c>
      <c r="N1190" s="2" t="n">
        <v>180</v>
      </c>
      <c r="O1190" s="5" t="n">
        <v>4.3</v>
      </c>
      <c r="P1190" s="5" t="n">
        <v>2.9</v>
      </c>
      <c r="Q1190" s="5" t="n">
        <v>33.6</v>
      </c>
      <c r="R1190" s="5" t="n">
        <v>2.2</v>
      </c>
      <c r="S1190" s="5" t="n">
        <v>31.4</v>
      </c>
      <c r="T1190" s="2" t="n">
        <v>72</v>
      </c>
      <c r="U1190" s="2" t="inlineStr">
        <is>
          <t>high</t>
        </is>
      </c>
      <c r="V1190" s="5" t="n">
        <v>22.6</v>
      </c>
      <c r="W1190" s="2" t="inlineStr">
        <is>
          <t>high</t>
        </is>
      </c>
      <c r="X1190" s="3" t="inlineStr">
        <is>
          <t>Medium-GI dish: keep to the stated portion and pair with the protein/fat in the recipe; GL per serving is the better guide.</t>
        </is>
      </c>
      <c r="Y1190" s="3" t="inlineStr">
        <is>
          <t>97% of this dish's available carbohydrate comes from ingredients with a published, measured GI; the rest uses conventional placeholders (see Ingredients sheet)</t>
        </is>
      </c>
      <c r="Z1190" s="2" t="n">
        <v>97</v>
      </c>
      <c r="AA1190" s="3" t="inlineStr">
        <is>
          <t>vegetarian, gluten-free, nut-free</t>
        </is>
      </c>
      <c r="AB1190" s="3" t="inlineStr">
        <is>
          <t>1. Sauté the onion and carrot in butter.
2. Add the rice, peas and broth and heat through.
3. Finish with parsley.</t>
        </is>
      </c>
      <c r="AC1190" s="4" t="inlineStr">
        <is>
          <t>["Sauté the onion and carrot in butter.", "Add the rice, peas and broth and heat through.", "Finish with parsley."]</t>
        </is>
      </c>
    </row>
    <row r="1191" ht="96" customHeight="1">
      <c r="A1191" s="2" t="inlineStr">
        <is>
          <t>DB-1190</t>
        </is>
      </c>
      <c r="B1191" s="3" t="inlineStr">
        <is>
          <t>Southern Baked Beans</t>
        </is>
      </c>
      <c r="C1191" s="4" t="inlineStr">
        <is>
          <t>Side Dish</t>
        </is>
      </c>
      <c r="D1191" s="4" t="inlineStr">
        <is>
          <t>American</t>
        </is>
      </c>
      <c r="E1191" s="2" t="n">
        <v>8</v>
      </c>
      <c r="F1191" s="2" t="n">
        <v>15</v>
      </c>
      <c r="G1191" s="2" t="n">
        <v>90</v>
      </c>
      <c r="H1191" s="2" t="n">
        <v>105</v>
      </c>
      <c r="I1191" s="4" t="inlineStr">
        <is>
          <t>southern-baked-beans.jpg</t>
        </is>
      </c>
      <c r="J1191" s="3" t="inlineStr">
        <is>
          <t>Southern Baked Beans, healthy food photography, plated, natural light</t>
        </is>
      </c>
      <c r="K1191" s="4" t="inlineStr"/>
      <c r="L1191" s="3" t="inlineStr">
        <is>
          <t>Navy beans, cooked — 800 g (28.2 oz)
Tomato paste — 60 g (2.1 oz)
Yellow onion — 120 g (4.2 oz)
Bacon — 50 g (1.8 oz)
Apple cider vinegar — 20 g (0.7 oz)
Yellow mustard — 15 g (0.5 oz)
Monk fruit/erythritol sweetener — 10 g (0.4 oz)
Smoked paprika — 3 g (0.1 oz)
Water / ice — 200 g (7.1 oz)</t>
        </is>
      </c>
      <c r="M1191" s="4" t="inlineStr">
        <is>
          <t>[{"ingredient_id": "navy_beans", "name": "Navy beans, cooked", "grams": 800.0, "note": ""}, {"ingredient_id": "tomato_paste", "name": "Tomato paste", "grams": 60.0, "note": ""}, {"ingredient_id": "onion", "name": "Yellow onion", "grams": 120.0, "note": ""}, {"ingredient_id": "bacon", "name": "Bacon", "grams": 50.0, "note": ""}, {"ingredient_id": "apple_cider_vinegar", "name": "Apple cider vinegar", "grams": 20.0, "note": ""}, {"ingredient_id": "yellow_mustard", "name": "Yellow mustard", "grams": 15.0, "note": ""}, {"ingredient_id": "monk_fruit_sweetener", "name": "Monk fruit/erythritol sweetener", "grams": 10.0, "note": ""}, {"ingredient_id": "smoked_paprika", "name": "Smoked paprika", "grams": 3.0, "note": ""}, {"ingredient_id": "water", "name": "Water / ice", "grams": 200.0, "note": ""}]</t>
        </is>
      </c>
      <c r="N1191" s="2" t="n">
        <v>189</v>
      </c>
      <c r="O1191" s="5" t="n">
        <v>11.1</v>
      </c>
      <c r="P1191" s="5" t="n">
        <v>3.4</v>
      </c>
      <c r="Q1191" s="5" t="n">
        <v>29.2</v>
      </c>
      <c r="R1191" s="5" t="n">
        <v>11.2</v>
      </c>
      <c r="S1191" s="5" t="n">
        <v>18</v>
      </c>
      <c r="T1191" s="2" t="n">
        <v>30</v>
      </c>
      <c r="U1191" s="2" t="inlineStr">
        <is>
          <t>low</t>
        </is>
      </c>
      <c r="V1191" s="5" t="n">
        <v>5.4</v>
      </c>
      <c r="W1191" s="2" t="inlineStr">
        <is>
          <t>low</t>
        </is>
      </c>
      <c r="X1191" s="3" t="inlineStr"/>
      <c r="Y1191" s="3" t="inlineStr">
        <is>
          <t>0% of this dish's available carbohydrate comes from ingredients with a published, measured GI; the rest uses conventional placeholders (see Ingredients sheet)</t>
        </is>
      </c>
      <c r="Z1191" s="2" t="n">
        <v>0</v>
      </c>
      <c r="AA1191" s="3" t="inlineStr">
        <is>
          <t>gluten-free, dairy-free, nut-free, high-fiber</t>
        </is>
      </c>
      <c r="AB1191" s="3" t="inlineStr">
        <is>
          <t>1. Crisp the bacon with the onion.
2. Stir in the paste, vinegar, mustard, sweetener, paprika and water.
3. Add the beans and bake covered at 325°F for 1 hour.</t>
        </is>
      </c>
      <c r="AC1191" s="4" t="inlineStr">
        <is>
          <t>["Crisp the bacon with the onion.", "Stir in the paste, vinegar, mustard, sweetener, paprika and water.", "Add the beans and bake covered at 325°F for 1 hour."]</t>
        </is>
      </c>
    </row>
    <row r="1192" ht="96" customHeight="1">
      <c r="A1192" s="2" t="inlineStr">
        <is>
          <t>DB-1191</t>
        </is>
      </c>
      <c r="B1192" s="3" t="inlineStr">
        <is>
          <t>Green Bean Casserole (Lightened)</t>
        </is>
      </c>
      <c r="C1192" s="4" t="inlineStr">
        <is>
          <t>Side Dish</t>
        </is>
      </c>
      <c r="D1192" s="4" t="inlineStr">
        <is>
          <t>American</t>
        </is>
      </c>
      <c r="E1192" s="2" t="n">
        <v>6</v>
      </c>
      <c r="F1192" s="2" t="n">
        <v>15</v>
      </c>
      <c r="G1192" s="2" t="n">
        <v>30</v>
      </c>
      <c r="H1192" s="2" t="n">
        <v>45</v>
      </c>
      <c r="I1192" s="4" t="inlineStr">
        <is>
          <t>green-bean-casserole-lightened.jpg</t>
        </is>
      </c>
      <c r="J1192" s="3" t="inlineStr">
        <is>
          <t>Green Bean Casserole (Lightened), healthy food photography, plated, natural light</t>
        </is>
      </c>
      <c r="K1192" s="4" t="inlineStr"/>
      <c r="L1192" s="3" t="inlineStr">
        <is>
          <t>Green beans — 600 g (21.2 oz)
Mushrooms (cremini/white) — 250 g (8.8 oz)
Milk, 2% — 200 g (7.1 oz)
Parmesan, grated — 30 g (1.1 oz)
Yellow onion — 80 g (2.8 oz)
Butter — 20 g (0.7 oz)
Garlic — 4 g (0.1 oz)
Almonds — 20 g (0.7 oz)</t>
        </is>
      </c>
      <c r="M1192" s="4" t="inlineStr">
        <is>
          <t>[{"ingredient_id": "green_beans", "name": "Green beans", "grams": 600.0, "note": ""}, {"ingredient_id": "mushrooms", "name": "Mushrooms (cremini/white)", "grams": 250.0, "note": ""}, {"ingredient_id": "milk", "name": "Milk, 2%", "grams": 200.0, "note": ""}, {"ingredient_id": "parmesan", "name": "Parmesan, grated", "grams": 30.0, "note": ""}, {"ingredient_id": "onion", "name": "Yellow onion", "grams": 80.0, "note": ""}, {"ingredient_id": "butter", "name": "Butter", "grams": 20.0, "note": ""}, {"ingredient_id": "garlic", "name": "Garlic", "grams": 4.0, "note": ""}, {"ingredient_id": "almonds", "name": "Almonds", "grams": 20.0, "note": ""}]</t>
        </is>
      </c>
      <c r="N1192" s="2" t="n">
        <v>128</v>
      </c>
      <c r="O1192" s="5" t="n">
        <v>7</v>
      </c>
      <c r="P1192" s="5" t="n">
        <v>6.8</v>
      </c>
      <c r="Q1192" s="5" t="n">
        <v>12.4</v>
      </c>
      <c r="R1192" s="5" t="n">
        <v>3.8</v>
      </c>
      <c r="S1192" s="5" t="n">
        <v>8.6</v>
      </c>
      <c r="T1192" s="2" t="n">
        <v>17</v>
      </c>
      <c r="U1192" s="2" t="inlineStr">
        <is>
          <t>low</t>
        </is>
      </c>
      <c r="V1192" s="5" t="n">
        <v>1.5</v>
      </c>
      <c r="W1192" s="2" t="inlineStr">
        <is>
          <t>low</t>
        </is>
      </c>
      <c r="X1192" s="3" t="inlineStr"/>
      <c r="Y1192" s="3" t="inlineStr">
        <is>
          <t>19% of this dish's available carbohydrate comes from ingredients with a published, measured GI; the rest uses conventional placeholders (see Ingredients sheet)</t>
        </is>
      </c>
      <c r="Z1192" s="2" t="n">
        <v>19</v>
      </c>
      <c r="AA1192" s="3" t="inlineStr">
        <is>
          <t>vegetarian, gluten-free, low-carb</t>
        </is>
      </c>
      <c r="AB1192" s="3" t="inlineStr">
        <is>
          <t>1. Sauté the mushrooms, onion and garlic in butter.
2. Add the milk and parmesan and reduce until creamy.
3. Fold in the blanched green beans.
4. Top with chopped almonds and bake at 375°F for 20 minutes.</t>
        </is>
      </c>
      <c r="AC1192" s="4" t="inlineStr">
        <is>
          <t>["Sauté the mushrooms, onion and garlic in butter.", "Add the milk and parmesan and reduce until creamy.", "Fold in the blanched green beans.", "Top with chopped almonds and bake at 375°F for 20 minutes."]</t>
        </is>
      </c>
    </row>
    <row r="1193" ht="96" customHeight="1">
      <c r="A1193" s="2" t="inlineStr">
        <is>
          <t>DB-1192</t>
        </is>
      </c>
      <c r="B1193" s="3" t="inlineStr">
        <is>
          <t>Creamed Corn</t>
        </is>
      </c>
      <c r="C1193" s="4" t="inlineStr">
        <is>
          <t>Side Dish</t>
        </is>
      </c>
      <c r="D1193" s="4" t="inlineStr">
        <is>
          <t>American</t>
        </is>
      </c>
      <c r="E1193" s="2" t="n">
        <v>5</v>
      </c>
      <c r="F1193" s="2" t="n">
        <v>5</v>
      </c>
      <c r="G1193" s="2" t="n">
        <v>15</v>
      </c>
      <c r="H1193" s="2" t="n">
        <v>20</v>
      </c>
      <c r="I1193" s="4" t="inlineStr">
        <is>
          <t>creamed-corn.jpg</t>
        </is>
      </c>
      <c r="J1193" s="3" t="inlineStr">
        <is>
          <t>Creamed Corn, healthy food photography, plated, natural light</t>
        </is>
      </c>
      <c r="K1193" s="4" t="inlineStr"/>
      <c r="L1193" s="3" t="inlineStr">
        <is>
          <t>Sweet corn kernels — 500 g (17.6 oz)
Milk, 2% — 150 g (5.3 oz)
Cream cheese — 60 g (2.1 oz)
Butter — 10 g (0.4 oz)
Black pepper — 1 g (0.0 oz)
Fresh chives — 3 g (0.1 oz)</t>
        </is>
      </c>
      <c r="M1193" s="4" t="inlineStr">
        <is>
          <t>[{"ingredient_id": "corn", "name": "Sweet corn kernels", "grams": 500.0, "note": ""}, {"ingredient_id": "milk", "name": "Milk, 2%", "grams": 150.0, "note": ""}, {"ingredient_id": "cream_cheese", "name": "Cream cheese", "grams": 60.0, "note": ""}, {"ingredient_id": "butter", "name": "Butter", "grams": 10.0, "note": ""}, {"ingredient_id": "black_pepper", "name": "Black pepper", "grams": 1.0, "note": ""}, {"ingredient_id": "chives", "name": "Fresh chives", "grams": 3.0, "note": ""}]</t>
        </is>
      </c>
      <c r="N1193" s="2" t="n">
        <v>157</v>
      </c>
      <c r="O1193" s="5" t="n">
        <v>5.1</v>
      </c>
      <c r="P1193" s="5" t="n">
        <v>7.7</v>
      </c>
      <c r="Q1193" s="5" t="n">
        <v>21.1</v>
      </c>
      <c r="R1193" s="5" t="n">
        <v>2.8</v>
      </c>
      <c r="S1193" s="5" t="n">
        <v>18.3</v>
      </c>
      <c r="T1193" s="2" t="n">
        <v>48</v>
      </c>
      <c r="U1193" s="2" t="inlineStr">
        <is>
          <t>low</t>
        </is>
      </c>
      <c r="V1193" s="5" t="n">
        <v>8.800000000000001</v>
      </c>
      <c r="W1193" s="2" t="inlineStr">
        <is>
          <t>low</t>
        </is>
      </c>
      <c r="X1193" s="3" t="inlineStr"/>
      <c r="Y1193" s="3" t="inlineStr">
        <is>
          <t>97% of this dish's available carbohydrate comes from ingredients with a published, measured GI; the rest uses conventional placeholders (see Ingredients sheet)</t>
        </is>
      </c>
      <c r="Z1193" s="2" t="n">
        <v>97</v>
      </c>
      <c r="AA1193" s="3" t="inlineStr">
        <is>
          <t>vegetarian, gluten-free, nut-free</t>
        </is>
      </c>
      <c r="AB1193" s="3" t="inlineStr">
        <is>
          <t>1. Warm the corn with butter and milk.
2. Stir in the cream cheese until smooth.
3. Season and top with chives.</t>
        </is>
      </c>
      <c r="AC1193" s="4" t="inlineStr">
        <is>
          <t>["Warm the corn with butter and milk.", "Stir in the cream cheese until smooth.", "Season and top with chives."]</t>
        </is>
      </c>
    </row>
    <row r="1194" ht="96" customHeight="1">
      <c r="A1194" s="2" t="inlineStr">
        <is>
          <t>DB-1193</t>
        </is>
      </c>
      <c r="B1194" s="3" t="inlineStr">
        <is>
          <t>Sweet Potato Casserole with Pecans</t>
        </is>
      </c>
      <c r="C1194" s="4" t="inlineStr">
        <is>
          <t>Side Dish</t>
        </is>
      </c>
      <c r="D1194" s="4" t="inlineStr">
        <is>
          <t>American</t>
        </is>
      </c>
      <c r="E1194" s="2" t="n">
        <v>6</v>
      </c>
      <c r="F1194" s="2" t="n">
        <v>15</v>
      </c>
      <c r="G1194" s="2" t="n">
        <v>35</v>
      </c>
      <c r="H1194" s="2" t="n">
        <v>50</v>
      </c>
      <c r="I1194" s="4" t="inlineStr">
        <is>
          <t>sweet-potato-casserole-with-pecans.jpg</t>
        </is>
      </c>
      <c r="J1194" s="3" t="inlineStr">
        <is>
          <t>Sweet Potato Casserole with Pecans, healthy food photography, plated, natural light</t>
        </is>
      </c>
      <c r="K1194" s="4" t="inlineStr"/>
      <c r="L1194" s="3" t="inlineStr">
        <is>
          <t>Sweet potato, boiled/simmered — 700 g (24.7 oz)
Pecans — 40 g (1.4 oz)
Butter — 20 g (0.7 oz)
Ground cinnamon — 2 g (0.1 oz)
Vanilla extract — 5 g (0.2 oz)
Milk, 2% — 60 g (2.1 oz)
Egg, large (50 g each) — 50 g (1.8 oz)</t>
        </is>
      </c>
      <c r="M1194" s="4" t="inlineStr">
        <is>
          <t>[{"ingredient_id": "sweet_potato", "name": "Sweet potato, boiled/simmered", "grams": 700.0, "note": ""}, {"ingredient_id": "pecans", "name": "Pecans", "grams": 40.0, "note": ""}, {"ingredient_id": "butter", "name": "Butter", "grams": 20.0, "note": ""}, {"ingredient_id": "cinnamon", "name": "Ground cinnamon", "grams": 2.0, "note": ""}, {"ingredient_id": "vanilla_extract", "name": "Vanilla extract", "grams": 5.0, "note": ""}, {"ingredient_id": "milk", "name": "Milk, 2%", "grams": 60.0, "note": ""}, {"ingredient_id": "egg", "name": "Egg, large (50 g each)", "grams": 50.0, "note": ""}]</t>
        </is>
      </c>
      <c r="N1194" s="2" t="n">
        <v>190</v>
      </c>
      <c r="O1194" s="5" t="n">
        <v>3.9</v>
      </c>
      <c r="P1194" s="5" t="n">
        <v>8.6</v>
      </c>
      <c r="Q1194" s="5" t="n">
        <v>25.2</v>
      </c>
      <c r="R1194" s="5" t="n">
        <v>4.3</v>
      </c>
      <c r="S1194" s="5" t="n">
        <v>20.9</v>
      </c>
      <c r="T1194" s="2" t="n">
        <v>45</v>
      </c>
      <c r="U1194" s="2" t="inlineStr">
        <is>
          <t>low</t>
        </is>
      </c>
      <c r="V1194" s="5" t="n">
        <v>9.4</v>
      </c>
      <c r="W1194" s="2" t="inlineStr">
        <is>
          <t>low</t>
        </is>
      </c>
      <c r="X1194" s="3" t="inlineStr"/>
      <c r="Y1194" s="3" t="inlineStr">
        <is>
          <t>97% of this dish's available carbohydrate comes from ingredients with a published, measured GI; the rest uses conventional placeholders (see Ingredients sheet)</t>
        </is>
      </c>
      <c r="Z1194" s="2" t="n">
        <v>97</v>
      </c>
      <c r="AA1194" s="3" t="inlineStr">
        <is>
          <t>vegetarian, gluten-free</t>
        </is>
      </c>
      <c r="AB1194" s="3" t="inlineStr">
        <is>
          <t>1. Mash the cooked sweet potatoes with butter, milk, egg, cinnamon and vanilla.
2. Spread in a dish and top with chopped pecans.
3. Bake at 375°F for 30 minutes.</t>
        </is>
      </c>
      <c r="AC1194" s="4" t="inlineStr">
        <is>
          <t>["Mash the cooked sweet potatoes with butter, milk, egg, cinnamon and vanilla.", "Spread in a dish and top with chopped pecans.", "Bake at 375°F for 30 minutes."]</t>
        </is>
      </c>
    </row>
    <row r="1195" ht="96" customHeight="1">
      <c r="A1195" s="2" t="inlineStr">
        <is>
          <t>DB-1194</t>
        </is>
      </c>
      <c r="B1195" s="3" t="inlineStr">
        <is>
          <t>Classic Coleslaw</t>
        </is>
      </c>
      <c r="C1195" s="4" t="inlineStr">
        <is>
          <t>Side Dish</t>
        </is>
      </c>
      <c r="D1195" s="4" t="inlineStr">
        <is>
          <t>American</t>
        </is>
      </c>
      <c r="E1195" s="2" t="n">
        <v>6</v>
      </c>
      <c r="F1195" s="2" t="n">
        <v>10</v>
      </c>
      <c r="G1195" s="2" t="n">
        <v>0</v>
      </c>
      <c r="H1195" s="2" t="n">
        <v>10</v>
      </c>
      <c r="I1195" s="4" t="inlineStr">
        <is>
          <t>classic-coleslaw.jpg</t>
        </is>
      </c>
      <c r="J1195" s="3" t="inlineStr">
        <is>
          <t>Classic Coleslaw, healthy food photography, plated, natural light</t>
        </is>
      </c>
      <c r="K1195" s="4" t="inlineStr"/>
      <c r="L1195" s="3" t="inlineStr">
        <is>
          <t>Coleslaw mix (cabbage &amp; carrot) — 400 g (14.1 oz)
Greek yogurt, plain 2% — 80 g (2.8 oz)
Mayonnaise (avocado oil) — 30 g (1.1 oz)
Apple cider vinegar — 20 g (0.7 oz)
Yellow mustard — 5 g (0.2 oz)
Monk fruit/erythritol sweetener — 3 g (0.1 oz)
Celery — 15 g (0.5 oz)</t>
        </is>
      </c>
      <c r="M1195" s="4" t="inlineStr">
        <is>
          <t>[{"ingredient_id": "coleslaw_mix", "name": "Coleslaw mix (cabbage &amp; carrot)", "grams": 400.0, "note": ""}, {"ingredient_id": "greek_yogurt", "name": "Greek yogurt, plain 2%", "grams": 80.0, "note": ""}, {"ingredient_id": "mayo", "name": "Mayonnaise (avocado oil)", "grams": 30.0, "note": ""}, {"ingredient_id": "apple_cider_vinegar", "name": "Apple cider vinegar", "grams": 20.0, "note": ""}, {"ingredient_id": "yellow_mustard", "name": "Yellow mustard", "grams": 5.0, "note": ""}, {"ingredient_id": "monk_fruit_sweetener", "name": "Monk fruit/erythritol sweetener", "grams": 3.0, "note": ""}, {"ingredient_id": "celery", "name": "Celery", "grams": 15.0, "note": ""}]</t>
        </is>
      </c>
      <c r="N1195" s="2" t="n">
        <v>64</v>
      </c>
      <c r="O1195" s="5" t="n">
        <v>2.3</v>
      </c>
      <c r="P1195" s="5" t="n">
        <v>4.3</v>
      </c>
      <c r="Q1195" s="5" t="n">
        <v>4.7</v>
      </c>
      <c r="R1195" s="5" t="n">
        <v>1.7</v>
      </c>
      <c r="S1195" s="5" t="n">
        <v>3</v>
      </c>
      <c r="T1195" s="2" t="n">
        <v>14</v>
      </c>
      <c r="U1195" s="2" t="inlineStr">
        <is>
          <t>low</t>
        </is>
      </c>
      <c r="V1195" s="5" t="n">
        <v>0.4</v>
      </c>
      <c r="W1195" s="2" t="inlineStr">
        <is>
          <t>low</t>
        </is>
      </c>
      <c r="X1195" s="3" t="inlineStr">
        <is>
          <t>Negligible carbohydrate (&lt;5 g net/serving): GI has little practical meaning, glycemic load is what matters.</t>
        </is>
      </c>
      <c r="Y1195" s="3" t="inlineStr">
        <is>
          <t>18% of this dish's available carbohydrate comes from ingredients with a published, measured GI; the rest uses conventional placeholders (see Ingredients sheet)</t>
        </is>
      </c>
      <c r="Z1195" s="2" t="n">
        <v>18</v>
      </c>
      <c r="AA1195" s="3" t="inlineStr">
        <is>
          <t>vegetarian, gluten-free, nut-free, low-carb, no-cook</t>
        </is>
      </c>
      <c r="AB1195" s="3" t="inlineStr">
        <is>
          <t>1. Whisk the yogurt, mayo, vinegar, mustard and sweetener.
2. Toss with the slaw mix and celery.
3. Chill 30 minutes.</t>
        </is>
      </c>
      <c r="AC1195" s="4" t="inlineStr">
        <is>
          <t>["Whisk the yogurt, mayo, vinegar, mustard and sweetener.", "Toss with the slaw mix and celery.", "Chill 30 minutes."]</t>
        </is>
      </c>
    </row>
    <row r="1196" ht="96" customHeight="1">
      <c r="A1196" s="2" t="inlineStr">
        <is>
          <t>DB-1195</t>
        </is>
      </c>
      <c r="B1196" s="3" t="inlineStr">
        <is>
          <t>Spanish Rice</t>
        </is>
      </c>
      <c r="C1196" s="4" t="inlineStr">
        <is>
          <t>Side Dish</t>
        </is>
      </c>
      <c r="D1196" s="4" t="inlineStr">
        <is>
          <t>Tex-Mex</t>
        </is>
      </c>
      <c r="E1196" s="2" t="n">
        <v>6</v>
      </c>
      <c r="F1196" s="2" t="n">
        <v>5</v>
      </c>
      <c r="G1196" s="2" t="n">
        <v>20</v>
      </c>
      <c r="H1196" s="2" t="n">
        <v>25</v>
      </c>
      <c r="I1196" s="4" t="inlineStr">
        <is>
          <t>spanish-rice.jpg</t>
        </is>
      </c>
      <c r="J1196" s="3" t="inlineStr">
        <is>
          <t>Spanish Rice, healthy food photography, plated, natural light</t>
        </is>
      </c>
      <c r="K1196" s="4" t="inlineStr"/>
      <c r="L1196" s="3" t="inlineStr">
        <is>
          <t>White rice, long-grain, cooked — 600 g (21.2 oz)
Tomato sauce, canned, no sugar added — 150 g (5.3 oz)
Yellow onion — 60 g (2.1 oz)
Garlic — 4 g (0.1 oz)
Ground cumin — 2 g (0.1 oz)
Chicken broth, low sodium — 100 g (3.5 oz)
Extra-virgin olive oil — 10 g (0.4 oz)</t>
        </is>
      </c>
      <c r="M1196" s="4" t="inlineStr">
        <is>
          <t>[{"ingredient_id": "white_rice", "name": "White rice, long-grain, cooked", "grams": 600.0, "note": ""}, {"ingredient_id": "tomato_sauce", "name": "Tomato sauce, canned, no sugar added", "grams": 150.0, "note": ""}, {"ingredient_id": "onion", "name": "Yellow onion", "grams": 60.0, "note": ""}, {"ingredient_id": "garlic", "name": "Garlic", "grams": 4.0, "note": ""}, {"ingredient_id": "cumin", "name": "Ground cumin", "grams": 2.0, "note": ""}, {"ingredient_id": "chicken_broth", "name": "Chicken broth, low sodium", "grams": 100.0, "note": ""}, {"ingredient_id": "olive_oil", "name": "Extra-virgin olive oil", "grams": 10.0, "note": ""}]</t>
        </is>
      </c>
      <c r="N1196" s="2" t="n">
        <v>157</v>
      </c>
      <c r="O1196" s="5" t="n">
        <v>3.4</v>
      </c>
      <c r="P1196" s="5" t="n">
        <v>2.1</v>
      </c>
      <c r="Q1196" s="5" t="n">
        <v>30.7</v>
      </c>
      <c r="R1196" s="5" t="n">
        <v>1</v>
      </c>
      <c r="S1196" s="5" t="n">
        <v>29.7</v>
      </c>
      <c r="T1196" s="2" t="n">
        <v>73</v>
      </c>
      <c r="U1196" s="2" t="inlineStr">
        <is>
          <t>high</t>
        </is>
      </c>
      <c r="V1196" s="5" t="n">
        <v>21.7</v>
      </c>
      <c r="W1196" s="2" t="inlineStr">
        <is>
          <t>high</t>
        </is>
      </c>
      <c r="X1196" s="3" t="inlineStr">
        <is>
          <t>Medium-GI dish: keep to the stated portion and pair with the protein/fat in the recipe; GL per serving is the better guide.</t>
        </is>
      </c>
      <c r="Y1196" s="3" t="inlineStr">
        <is>
          <t>93% of this dish's available carbohydrate comes from ingredients with a published, measured GI; the rest uses conventional placeholders (see Ingredients sheet)</t>
        </is>
      </c>
      <c r="Z1196" s="2" t="n">
        <v>93</v>
      </c>
      <c r="AA1196" s="3" t="inlineStr">
        <is>
          <t>vegan, gluten-free, dairy-free, nut-free</t>
        </is>
      </c>
      <c r="AB1196" s="3" t="inlineStr">
        <is>
          <t>1. Sauté the onion and garlic in oil with the cumin.
2. Add the tomato sauce and broth and simmer 3 minutes.
3. Fold in the cooked rice.</t>
        </is>
      </c>
      <c r="AC1196" s="4" t="inlineStr">
        <is>
          <t>["Sauté the onion and garlic in oil with the cumin.", "Add the tomato sauce and broth and simmer 3 minutes.", "Fold in the cooked rice."]</t>
        </is>
      </c>
    </row>
    <row r="1197" ht="96" customHeight="1">
      <c r="A1197" s="2" t="inlineStr">
        <is>
          <t>DB-1196</t>
        </is>
      </c>
      <c r="B1197" s="3" t="inlineStr">
        <is>
          <t>Cheesy Scalloped Potatoes (Lightened)</t>
        </is>
      </c>
      <c r="C1197" s="4" t="inlineStr">
        <is>
          <t>Side Dish</t>
        </is>
      </c>
      <c r="D1197" s="4" t="inlineStr">
        <is>
          <t>American</t>
        </is>
      </c>
      <c r="E1197" s="2" t="n">
        <v>6</v>
      </c>
      <c r="F1197" s="2" t="n">
        <v>15</v>
      </c>
      <c r="G1197" s="2" t="n">
        <v>50</v>
      </c>
      <c r="H1197" s="2" t="n">
        <v>65</v>
      </c>
      <c r="I1197" s="4" t="inlineStr">
        <is>
          <t>cheesy-scalloped-potatoes-lightened.jpg</t>
        </is>
      </c>
      <c r="J1197" s="3" t="inlineStr">
        <is>
          <t>Cheesy Scalloped Potatoes (Lightened), healthy food photography, plated, natural light</t>
        </is>
      </c>
      <c r="K1197" s="4" t="inlineStr"/>
      <c r="L1197" s="3" t="inlineStr">
        <is>
          <t>Potato, boiled, peeled — 720 g (25.4 oz)
Milk, 2% — 300 g (10.6 oz)
Swiss cheese — 90 g (3.2 oz)
Yellow onion — 80 g (2.8 oz)
Garlic — 6 g (0.2 oz)
Butter — 15 g (0.5 oz)
Fresh thyme — 2 g (0.1 oz)
Ground nutmeg — 1 g (0.0 oz)</t>
        </is>
      </c>
      <c r="M1197" s="4" t="inlineStr">
        <is>
          <t>[{"ingredient_id": "potato_boiled", "name": "Potato, boiled, peeled", "grams": 720.0, "note": ""}, {"ingredient_id": "milk", "name": "Milk, 2%", "grams": 300.0, "note": ""}, {"ingredient_id": "swiss_cheese", "name": "Swiss cheese", "grams": 90.0, "note": ""}, {"ingredient_id": "onion", "name": "Yellow onion", "grams": 80.0, "note": ""}, {"ingredient_id": "garlic", "name": "Garlic", "grams": 6.0, "note": ""}, {"ingredient_id": "butter", "name": "Butter", "grams": 15.0, "note": ""}, {"ingredient_id": "thyme", "name": "Fresh thyme", "grams": 2.0, "note": ""}, {"ingredient_id": "nutmeg", "name": "Ground nutmeg", "grams": 1.0, "note": ""}]</t>
        </is>
      </c>
      <c r="N1197" s="2" t="n">
        <v>220</v>
      </c>
      <c r="O1197" s="5" t="n">
        <v>8.300000000000001</v>
      </c>
      <c r="P1197" s="5" t="n">
        <v>7.4</v>
      </c>
      <c r="Q1197" s="5" t="n">
        <v>30.2</v>
      </c>
      <c r="R1197" s="5" t="n">
        <v>2.1</v>
      </c>
      <c r="S1197" s="5" t="n">
        <v>28</v>
      </c>
      <c r="T1197" s="2" t="n">
        <v>60</v>
      </c>
      <c r="U1197" s="2" t="inlineStr">
        <is>
          <t>medium</t>
        </is>
      </c>
      <c r="V1197" s="5" t="n">
        <v>16.8</v>
      </c>
      <c r="W1197" s="2" t="inlineStr">
        <is>
          <t>medium</t>
        </is>
      </c>
      <c r="X1197" s="3" t="inlineStr">
        <is>
          <t>Medium-GI dish: keep to the stated portion and pair with the protein/fat in the recipe; GL per serving is the better guide.</t>
        </is>
      </c>
      <c r="Y1197" s="3" t="inlineStr">
        <is>
          <t>94% of this dish's available carbohydrate comes from ingredients with a published, measured GI; the rest uses conventional placeholders (see Ingredients sheet)</t>
        </is>
      </c>
      <c r="Z1197" s="2" t="n">
        <v>94</v>
      </c>
      <c r="AA1197" s="3" t="inlineStr">
        <is>
          <t>vegetarian, gluten-free, nut-free</t>
        </is>
      </c>
      <c r="AB1197" s="3" t="inlineStr">
        <is>
          <t>1. Layer the sliced potatoes and onion in a dish.
2. Warm the milk with garlic, thyme and nutmeg and pour over.
3. Top with Swiss and bake covered at 375°F for 40 minutes, uncovered for 10.</t>
        </is>
      </c>
      <c r="AC1197" s="4" t="inlineStr">
        <is>
          <t>["Layer the sliced potatoes and onion in a dish.", "Warm the milk with garlic, thyme and nutmeg and pour over.", "Top with Swiss and bake covered at 375°F for 40 minutes, uncovered for 10."]</t>
        </is>
      </c>
    </row>
    <row r="1198" ht="96" customHeight="1">
      <c r="A1198" s="2" t="inlineStr">
        <is>
          <t>DB-1197</t>
        </is>
      </c>
      <c r="B1198" s="3" t="inlineStr">
        <is>
          <t>Italian Sub Salad</t>
        </is>
      </c>
      <c r="C1198" s="4" t="inlineStr">
        <is>
          <t>Salad</t>
        </is>
      </c>
      <c r="D1198" s="4" t="inlineStr">
        <is>
          <t>American</t>
        </is>
      </c>
      <c r="E1198" s="2" t="n">
        <v>3</v>
      </c>
      <c r="F1198" s="2" t="n">
        <v>15</v>
      </c>
      <c r="G1198" s="2" t="n">
        <v>0</v>
      </c>
      <c r="H1198" s="2" t="n">
        <v>15</v>
      </c>
      <c r="I1198" s="4" t="inlineStr">
        <is>
          <t>italian-sub-salad.jpg</t>
        </is>
      </c>
      <c r="J1198" s="3" t="inlineStr">
        <is>
          <t>Italian Sub Salad, healthy food photography, plated, natural light</t>
        </is>
      </c>
      <c r="K1198" s="4" t="inlineStr"/>
      <c r="L1198" s="3" t="inlineStr">
        <is>
          <t>Romaine lettuce — 200 g (7.1 oz)
Deli turkey breast, low sodium — 120 g (4.2 oz)
Ham, lean — 80 g (2.8 oz)
Mozzarella, part-skim — 60 g (2.1 oz)
Tomato — 150 g (5.3 oz)
Red onion — 30 g (1.1 oz)
Olives (kalamata/green) — 30 g (1.1 oz)
Red wine vinegar — 15 g (0.5 oz)
Extra-virgin olive oil — 20 g (0.7 oz)
Italian seasoning — 2 g (0.1 oz)</t>
        </is>
      </c>
      <c r="M1198" s="4" t="inlineStr">
        <is>
          <t>[{"ingredient_id": "romaine", "name": "Romaine lettuce", "grams": 200.0, "note": ""}, {"ingredient_id": "deli_turkey", "name": "Deli turkey breast, low sodium", "grams": 120.0, "note": ""}, {"ingredient_id": "ham", "name": "Ham, lean", "grams": 80.0, "note": ""}, {"ingredient_id": "mozzarella", "name": "Mozzarella, part-skim", "grams": 60.0, "note": ""}, {"ingredient_id": "tomato", "name": "Tomato", "grams": 150.0, "note": ""}, {"ingredient_id": "red_onion", "name": "Red onion", "grams": 30.0, "note": ""}, {"ingredient_id": "olives", "name": "Olives (kalamata/green)", "grams": 30.0, "note": ""}, {"ingredient_id": "red_wine_vinegar", "name": "Red wine vinegar", "grams": 15.0, "note": ""}, {"ingredient_id": "olive_oil", "name": "Extra-virgin olive oil", "grams": 20.0, "note": ""}, {"ingredient_id": "italian_seasoning", "name": "Italian seasoning", "grams": 2.0, "note": ""}]</t>
        </is>
      </c>
      <c r="N1198" s="2" t="n">
        <v>229</v>
      </c>
      <c r="O1198" s="5" t="n">
        <v>18.7</v>
      </c>
      <c r="P1198" s="5" t="n">
        <v>13.5</v>
      </c>
      <c r="Q1198" s="5" t="n">
        <v>8.800000000000001</v>
      </c>
      <c r="R1198" s="5" t="n">
        <v>2.8</v>
      </c>
      <c r="S1198" s="5" t="n">
        <v>6</v>
      </c>
      <c r="T1198" s="2" t="n">
        <v>8</v>
      </c>
      <c r="U1198" s="2" t="inlineStr">
        <is>
          <t>low</t>
        </is>
      </c>
      <c r="V1198" s="5" t="n">
        <v>0.5</v>
      </c>
      <c r="W1198" s="2" t="inlineStr">
        <is>
          <t>low</t>
        </is>
      </c>
      <c r="X1198" s="3" t="inlineStr"/>
      <c r="Y1198" s="3" t="inlineStr">
        <is>
          <t>0% of this dish's available carbohydrate comes from ingredients with a published, measured GI; the rest uses conventional placeholders (see Ingredients sheet)</t>
        </is>
      </c>
      <c r="Z1198" s="2" t="n">
        <v>0</v>
      </c>
      <c r="AA1198" s="3" t="inlineStr">
        <is>
          <t>gluten-free, nut-free, low-carb, no-cook</t>
        </is>
      </c>
      <c r="AB1198" s="3" t="inlineStr">
        <is>
          <t>1. Chop the romaine, tomato and onion.
2. Add sliced meats, mozzarella and olives.
3. Whisk the vinegar, oil and seasoning and toss.</t>
        </is>
      </c>
      <c r="AC1198" s="4" t="inlineStr">
        <is>
          <t>["Chop the romaine, tomato and onion.", "Add sliced meats, mozzarella and olives.", "Whisk the vinegar, oil and seasoning and toss."]</t>
        </is>
      </c>
    </row>
    <row r="1199" ht="96" customHeight="1">
      <c r="A1199" s="2" t="inlineStr">
        <is>
          <t>DB-1198</t>
        </is>
      </c>
      <c r="B1199" s="3" t="inlineStr">
        <is>
          <t>Chef Salad</t>
        </is>
      </c>
      <c r="C1199" s="4" t="inlineStr">
        <is>
          <t>Salad</t>
        </is>
      </c>
      <c r="D1199" s="4" t="inlineStr">
        <is>
          <t>American</t>
        </is>
      </c>
      <c r="E1199" s="2" t="n">
        <v>3</v>
      </c>
      <c r="F1199" s="2" t="n">
        <v>15</v>
      </c>
      <c r="G1199" s="2" t="n">
        <v>0</v>
      </c>
      <c r="H1199" s="2" t="n">
        <v>15</v>
      </c>
      <c r="I1199" s="4" t="inlineStr">
        <is>
          <t>chef-salad.jpg</t>
        </is>
      </c>
      <c r="J1199" s="3" t="inlineStr">
        <is>
          <t>Chef Salad, healthy food photography, plated, natural light</t>
        </is>
      </c>
      <c r="K1199" s="4" t="inlineStr"/>
      <c r="L1199" s="3" t="inlineStr">
        <is>
          <t>Romaine lettuce — 200 g (7.1 oz)
Deli turkey breast, low sodium — 100 g (3.5 oz)
Ham, lean — 80 g (2.8 oz)
Egg, large (50 g each) — 150 g (5.3 oz)
Swiss cheese — 50 g (1.8 oz)
Cucumber — 100 g (3.5 oz)
Tomato — 120 g (4.2 oz)
Extra-virgin olive oil — 15 g (0.5 oz)
Dijon mustard — 5 g (0.2 oz)
Red wine vinegar — 15 g (0.5 oz)</t>
        </is>
      </c>
      <c r="M1199" s="4" t="inlineStr">
        <is>
          <t>[{"ingredient_id": "romaine", "name": "Romaine lettuce", "grams": 200.0, "note": ""}, {"ingredient_id": "deli_turkey", "name": "Deli turkey breast, low sodium", "grams": 100.0, "note": ""}, {"ingredient_id": "ham", "name": "Ham, lean", "grams": 80.0, "note": ""}, {"ingredient_id": "egg", "name": "Egg, large (50 g each)", "grams": 150.0, "note": ""}, {"ingredient_id": "swiss_cheese", "name": "Swiss cheese", "grams": 50.0, "note": ""}, {"ingredient_id": "cucumber", "name": "Cucumber", "grams": 100.0, "note": ""}, {"ingredient_id": "tomato", "name": "Tomato", "grams": 120.0, "note": ""}, {"ingredient_id": "olive_oil", "name": "Extra-virgin olive oil", "grams": 15.0, "note": ""}, {"ingredient_id": "dijon", "name": "Dijon mustard", "grams": 5.0, "note": ""}, {"ingredient_id": "red_wine_vinegar", "name": "Red wine vinegar", "grams": 15.0, "note": ""}]</t>
        </is>
      </c>
      <c r="N1199" s="2" t="n">
        <v>278</v>
      </c>
      <c r="O1199" s="5" t="n">
        <v>23.5</v>
      </c>
      <c r="P1199" s="5" t="n">
        <v>16.9</v>
      </c>
      <c r="Q1199" s="5" t="n">
        <v>7.4</v>
      </c>
      <c r="R1199" s="5" t="n">
        <v>2.1</v>
      </c>
      <c r="S1199" s="5" t="n">
        <v>5.3</v>
      </c>
      <c r="T1199" s="2" t="n">
        <v>8</v>
      </c>
      <c r="U1199" s="2" t="inlineStr">
        <is>
          <t>low</t>
        </is>
      </c>
      <c r="V1199" s="5" t="n">
        <v>0.4</v>
      </c>
      <c r="W1199" s="2" t="inlineStr">
        <is>
          <t>low</t>
        </is>
      </c>
      <c r="X1199" s="3" t="inlineStr"/>
      <c r="Y1199" s="3" t="inlineStr">
        <is>
          <t>0% of this dish's available carbohydrate comes from ingredients with a published, measured GI; the rest uses conventional placeholders (see Ingredients sheet)</t>
        </is>
      </c>
      <c r="Z1199" s="2" t="n">
        <v>0</v>
      </c>
      <c r="AA1199" s="3" t="inlineStr">
        <is>
          <t>gluten-free, nut-free, low-carb, no-cook</t>
        </is>
      </c>
      <c r="AB1199" s="3" t="inlineStr">
        <is>
          <t>1. Arrange the romaine, cucumber and tomato.
2. Add rows of turkey, ham, sliced egg and Swiss.
3. Whisk the oil, mustard and vinegar and drizzle.</t>
        </is>
      </c>
      <c r="AC1199" s="4" t="inlineStr">
        <is>
          <t>["Arrange the romaine, cucumber and tomato.", "Add rows of turkey, ham, sliced egg and Swiss.", "Whisk the oil, mustard and vinegar and drizzle."]</t>
        </is>
      </c>
    </row>
    <row r="1200" ht="96" customHeight="1">
      <c r="A1200" s="2" t="inlineStr">
        <is>
          <t>DB-1199</t>
        </is>
      </c>
      <c r="B1200" s="3" t="inlineStr">
        <is>
          <t>Greek-Style Pasta Salad</t>
        </is>
      </c>
      <c r="C1200" s="4" t="inlineStr">
        <is>
          <t>Salad</t>
        </is>
      </c>
      <c r="D1200" s="4" t="inlineStr">
        <is>
          <t>Greek</t>
        </is>
      </c>
      <c r="E1200" s="2" t="n">
        <v>6</v>
      </c>
      <c r="F1200" s="2" t="n">
        <v>15</v>
      </c>
      <c r="G1200" s="2" t="n">
        <v>10</v>
      </c>
      <c r="H1200" s="2" t="n">
        <v>25</v>
      </c>
      <c r="I1200" s="4" t="inlineStr">
        <is>
          <t>greek-style-pasta-salad.jpg</t>
        </is>
      </c>
      <c r="J1200" s="3" t="inlineStr">
        <is>
          <t>Greek-Style Pasta Salad, healthy food photography, plated, natural light</t>
        </is>
      </c>
      <c r="K1200" s="4" t="inlineStr"/>
      <c r="L1200" s="3" t="inlineStr">
        <is>
          <t>White pasta, cooked al dente — 480 g (16.9 oz)
Cucumber — 150 g (5.3 oz)
Cherry tomatoes — 150 g (5.3 oz)
Olives (kalamata/green) — 50 g (1.8 oz)
Feta cheese — 80 g (2.8 oz)
Red onion — 40 g (1.4 oz)
Extra-virgin olive oil — 30 g (1.1 oz)
Red wine vinegar — 20 g (0.7 oz)
Dried oregano — 2 g (0.1 oz)</t>
        </is>
      </c>
      <c r="M1200" s="4" t="inlineStr">
        <is>
          <t>[{"ingredient_id": "white_pasta", "name": "White pasta, cooked al dente", "grams": 480.0, "note": ""}, {"ingredient_id": "cucumber", "name": "Cucumber", "grams": 150.0, "note": ""}, {"ingredient_id": "cherry_tomato", "name": "Cherry tomatoes", "grams": 150.0, "note": ""}, {"ingredient_id": "olives", "name": "Olives (kalamata/green)", "grams": 50.0, "note": ""}, {"ingredient_id": "feta", "name": "Feta cheese", "grams": 80.0, "note": ""}, {"ingredient_id": "red_onion", "name": "Red onion", "grams": 40.0, "note": ""}, {"ingredient_id": "olive_oil", "name": "Extra-virgin olive oil", "grams": 30.0, "note": ""}, {"ingredient_id": "red_wine_vinegar", "name": "Red wine vinegar", "grams": 20.0, "note": ""}, {"ingredient_id": "oregano", "name": "Dried oregano", "grams": 2.0, "note": ""}]</t>
        </is>
      </c>
      <c r="N1200" s="2" t="n">
        <v>227</v>
      </c>
      <c r="O1200" s="5" t="n">
        <v>7</v>
      </c>
      <c r="P1200" s="5" t="n">
        <v>9.5</v>
      </c>
      <c r="Q1200" s="5" t="n">
        <v>28.3</v>
      </c>
      <c r="R1200" s="5" t="n">
        <v>2.4</v>
      </c>
      <c r="S1200" s="5" t="n">
        <v>25.9</v>
      </c>
      <c r="T1200" s="2" t="n">
        <v>45</v>
      </c>
      <c r="U1200" s="2" t="inlineStr">
        <is>
          <t>low</t>
        </is>
      </c>
      <c r="V1200" s="5" t="n">
        <v>11.7</v>
      </c>
      <c r="W1200" s="2" t="inlineStr">
        <is>
          <t>medium</t>
        </is>
      </c>
      <c r="X1200" s="3" t="inlineStr"/>
      <c r="Y1200" s="3" t="inlineStr">
        <is>
          <t>89% of this dish's available carbohydrate comes from ingredients with a published, measured GI; the rest uses conventional placeholders (see Ingredients sheet)</t>
        </is>
      </c>
      <c r="Z1200" s="2" t="n">
        <v>89</v>
      </c>
      <c r="AA1200" s="3" t="inlineStr">
        <is>
          <t>vegetarian, nut-free</t>
        </is>
      </c>
      <c r="AB1200" s="3" t="inlineStr">
        <is>
          <t>1. Cook the pasta and cool under water.
2. Toss with cucumber, tomatoes, onion and olives.
3. Dress with oil, vinegar and oregano and add feta.</t>
        </is>
      </c>
      <c r="AC1200" s="4" t="inlineStr">
        <is>
          <t>["Cook the pasta and cool under water.", "Toss with cucumber, tomatoes, onion and olives.", "Dress with oil, vinegar and oregano and add feta."]</t>
        </is>
      </c>
    </row>
    <row r="1201" ht="96" customHeight="1">
      <c r="A1201" s="2" t="inlineStr">
        <is>
          <t>DB-1200</t>
        </is>
      </c>
      <c r="B1201" s="3" t="inlineStr">
        <is>
          <t>Barbecue Chicken Salad</t>
        </is>
      </c>
      <c r="C1201" s="4" t="inlineStr">
        <is>
          <t>Salad</t>
        </is>
      </c>
      <c r="D1201" s="4" t="inlineStr">
        <is>
          <t>American</t>
        </is>
      </c>
      <c r="E1201" s="2" t="n">
        <v>3</v>
      </c>
      <c r="F1201" s="2" t="n">
        <v>15</v>
      </c>
      <c r="G1201" s="2" t="n">
        <v>10</v>
      </c>
      <c r="H1201" s="2" t="n">
        <v>25</v>
      </c>
      <c r="I1201" s="4" t="inlineStr">
        <is>
          <t>barbecue-chicken-salad.jpg</t>
        </is>
      </c>
      <c r="J1201" s="3" t="inlineStr">
        <is>
          <t>Barbecue Chicken Salad, healthy food photography, plated, natural light</t>
        </is>
      </c>
      <c r="K1201" s="4" t="inlineStr"/>
      <c r="L1201" s="3" t="inlineStr">
        <is>
          <t>Chicken breast, skinless — 360 g (12.7 oz)
Romaine lettuce — 200 g (7.1 oz)
Black beans, cooked — 100 g (3.5 oz)
Sweet corn kernels — 80 g (2.8 oz)
Cherry tomatoes — 100 g (3.5 oz)
Avocado — 70 g (2.5 oz)
Tomato paste — 30 g (1.1 oz)
Apple cider vinegar — 20 g (0.7 oz)
Smoked paprika — 3 g (0.1 oz)
Greek yogurt, plain 2% — 60 g (2.1 oz)</t>
        </is>
      </c>
      <c r="M1201" s="4" t="inlineStr">
        <is>
          <t>[{"ingredient_id": "chicken_breast", "name": "Chicken breast, skinless", "grams": 360.0, "note": ""}, {"ingredient_id": "romaine", "name": "Romaine lettuce", "grams": 200.0, "note": ""}, {"ingredient_id": "black_beans", "name": "Black beans, cooked", "grams": 100.0, "note": ""}, {"ingredient_id": "corn", "name": "Sweet corn kernels", "grams": 80.0, "note": ""}, {"ingredient_id": "cherry_tomato", "name": "Cherry tomatoes", "grams": 100.0, "note": ""}, {"ingredient_id": "avocado", "name": "Avocado", "grams": 70.0, "note": ""}, {"ingredient_id": "tomato_paste", "name": "Tomato paste", "grams": 30.0, "note": ""}, {"ingredient_id": "apple_cider_vinegar", "name": "Apple cider vinegar", "grams": 20.0, "note": ""}, {"ingredient_id": "smoked_paprika", "name": "Smoked paprika", "grams": 3.0, "note": ""}, {"ingredient_id": "greek_yogurt", "name": "Greek yogurt, plain 2%", "grams": 60.0, "note": ""}]</t>
        </is>
      </c>
      <c r="N1201" s="2" t="n">
        <v>293</v>
      </c>
      <c r="O1201" s="5" t="n">
        <v>35</v>
      </c>
      <c r="P1201" s="5" t="n">
        <v>8</v>
      </c>
      <c r="Q1201" s="5" t="n">
        <v>21.8</v>
      </c>
      <c r="R1201" s="5" t="n">
        <v>7.7</v>
      </c>
      <c r="S1201" s="5" t="n">
        <v>14</v>
      </c>
      <c r="T1201" s="2" t="n">
        <v>34</v>
      </c>
      <c r="U1201" s="2" t="inlineStr">
        <is>
          <t>low</t>
        </is>
      </c>
      <c r="V1201" s="5" t="n">
        <v>4.8</v>
      </c>
      <c r="W1201" s="2" t="inlineStr">
        <is>
          <t>low</t>
        </is>
      </c>
      <c r="X1201" s="3" t="inlineStr"/>
      <c r="Y1201" s="3" t="inlineStr">
        <is>
          <t>72% of this dish's available carbohydrate comes from ingredients with a published, measured GI; the rest uses conventional placeholders (see Ingredients sheet)</t>
        </is>
      </c>
      <c r="Z1201" s="2" t="n">
        <v>72</v>
      </c>
      <c r="AA1201" s="3" t="inlineStr">
        <is>
          <t>gluten-free, nut-free, low-carb, high-protein, high-fiber</t>
        </is>
      </c>
      <c r="AB1201" s="3" t="inlineStr">
        <is>
          <t>1. Grill the chicken with a rub of paste, vinegar and paprika; slice.
2. Toss the romaine, beans, corn and tomatoes.
3. Top with chicken and avocado and drizzle with thinned yogurt.</t>
        </is>
      </c>
      <c r="AC1201" s="4" t="inlineStr">
        <is>
          <t>["Grill the chicken with a rub of paste, vinegar and paprika; slice.", "Toss the romaine, beans, corn and tomatoes.", "Top with chicken and avocado and drizzle with thinned yogurt."]</t>
        </is>
      </c>
    </row>
    <row r="1202" ht="96" customHeight="1">
      <c r="A1202" s="2" t="inlineStr">
        <is>
          <t>DB-1201</t>
        </is>
      </c>
      <c r="B1202" s="3" t="inlineStr">
        <is>
          <t>Loaded Potato Skins with Bacon and Cheddar</t>
        </is>
      </c>
      <c r="C1202" s="4" t="inlineStr">
        <is>
          <t>Snack &amp; Appetizer</t>
        </is>
      </c>
      <c r="D1202" s="4" t="inlineStr">
        <is>
          <t>American</t>
        </is>
      </c>
      <c r="E1202" s="2" t="n">
        <v>4</v>
      </c>
      <c r="F1202" s="2" t="n">
        <v>15</v>
      </c>
      <c r="G1202" s="2" t="n">
        <v>50</v>
      </c>
      <c r="H1202" s="2" t="n">
        <v>65</v>
      </c>
      <c r="I1202" s="4" t="inlineStr">
        <is>
          <t>loaded-potato-skins-with-bacon-and-cheddar.jpg</t>
        </is>
      </c>
      <c r="J1202" s="3" t="inlineStr">
        <is>
          <t>Loaded Potato Skins with Bacon and Cheddar, healthy food photography, plated, natural light</t>
        </is>
      </c>
      <c r="K1202" s="4" t="inlineStr"/>
      <c r="L1202" s="3" t="inlineStr">
        <is>
          <t>Potato, baked, flesh (russet) — 480 g (16.9 oz)
Cheddar cheese — 70 g (2.5 oz)
Bacon — 40 g (1.4 oz)
Greek yogurt, plain 2% — 60 g (2.1 oz)
Green onions (scallions) — 20 g (0.7 oz)
Extra-virgin olive oil — 10 g (0.4 oz)</t>
        </is>
      </c>
      <c r="M1202" s="4" t="inlineStr">
        <is>
          <t>[{"ingredient_id": "potato_baked", "name": "Potato, baked, flesh (russet)", "grams": 480.0, "note": ""}, {"ingredient_id": "cheddar", "name": "Cheddar cheese", "grams": 70.0, "note": ""}, {"ingredient_id": "bacon", "name": "Bacon", "grams": 40.0, "note": ""}, {"ingredient_id": "greek_yogurt", "name": "Greek yogurt, plain 2%", "grams": 60.0, "note": ""}, {"ingredient_id": "green_onion", "name": "Green onions (scallions)", "grams": 20.0, "note": ""}, {"ingredient_id": "olive_oil", "name": "Extra-virgin olive oil", "grams": 10.0, "note": ""}]</t>
        </is>
      </c>
      <c r="N1202" s="2" t="n">
        <v>271</v>
      </c>
      <c r="O1202" s="5" t="n">
        <v>11.7</v>
      </c>
      <c r="P1202" s="5" t="n">
        <v>12.9</v>
      </c>
      <c r="Q1202" s="5" t="n">
        <v>27.1</v>
      </c>
      <c r="R1202" s="5" t="n">
        <v>1.9</v>
      </c>
      <c r="S1202" s="5" t="n">
        <v>25.2</v>
      </c>
      <c r="T1202" s="2" t="n">
        <v>81</v>
      </c>
      <c r="U1202" s="2" t="inlineStr">
        <is>
          <t>high</t>
        </is>
      </c>
      <c r="V1202" s="5" t="n">
        <v>20.4</v>
      </c>
      <c r="W1202" s="2" t="inlineStr">
        <is>
          <t>high</t>
        </is>
      </c>
      <c r="X1202" s="3" t="inlineStr">
        <is>
          <t>Medium-GI dish: keep to the stated portion and pair with the protein/fat in the recipe; GL per serving is the better guide.</t>
        </is>
      </c>
      <c r="Y1202" s="3" t="inlineStr">
        <is>
          <t>98% of this dish's available carbohydrate comes from ingredients with a published, measured GI; the rest uses conventional placeholders (see Ingredients sheet)</t>
        </is>
      </c>
      <c r="Z1202" s="2" t="n">
        <v>98</v>
      </c>
      <c r="AA1202" s="3" t="inlineStr">
        <is>
          <t>gluten-free, nut-free</t>
        </is>
      </c>
      <c r="AB1202" s="3" t="inlineStr">
        <is>
          <t>1. Bake the potatoes, halve and scoop out most of the flesh.
2. Brush the skins with oil and crisp for 10 minutes at 425°F.
3. Fill with cheddar and bacon and melt.
4. Top with yogurt and green onion.</t>
        </is>
      </c>
      <c r="AC1202" s="4" t="inlineStr">
        <is>
          <t>["Bake the potatoes, halve and scoop out most of the flesh.", "Brush the skins with oil and crisp for 10 minutes at 425°F.", "Fill with cheddar and bacon and melt.", "Top with yogurt and green onion."]</t>
        </is>
      </c>
    </row>
    <row r="1203" ht="96" customHeight="1">
      <c r="A1203" s="2" t="inlineStr">
        <is>
          <t>DB-1202</t>
        </is>
      </c>
      <c r="B1203" s="3" t="inlineStr">
        <is>
          <t>Chips with Fresh Salsa and Guacamole</t>
        </is>
      </c>
      <c r="C1203" s="4" t="inlineStr">
        <is>
          <t>Snack &amp; Appetizer</t>
        </is>
      </c>
      <c r="D1203" s="4" t="inlineStr">
        <is>
          <t>Tex-Mex</t>
        </is>
      </c>
      <c r="E1203" s="2" t="n">
        <v>4</v>
      </c>
      <c r="F1203" s="2" t="n">
        <v>10</v>
      </c>
      <c r="G1203" s="2" t="n">
        <v>0</v>
      </c>
      <c r="H1203" s="2" t="n">
        <v>10</v>
      </c>
      <c r="I1203" s="4" t="inlineStr">
        <is>
          <t>chips-with-fresh-salsa-and-guacamole.jpg</t>
        </is>
      </c>
      <c r="J1203" s="3" t="inlineStr">
        <is>
          <t>Chips with Fresh Salsa and Guacamole, healthy food photography, plated, natural light</t>
        </is>
      </c>
      <c r="K1203" s="4" t="inlineStr"/>
      <c r="L1203" s="3" t="inlineStr">
        <is>
          <t>Tortilla chips, plain — 100 g (3.5 oz)
Pico de gallo — 200 g (7.1 oz)
Guacamole — 150 g (5.3 oz)</t>
        </is>
      </c>
      <c r="M1203" s="4" t="inlineStr">
        <is>
          <t>[{"ingredient_id": "tortilla_chips", "name": "Tortilla chips, plain", "grams": 100.0, "note": ""}, {"ingredient_id": "pico_de_gallo", "name": "Pico de gallo", "grams": 200.0, "note": ""}, {"ingredient_id": "guacamole", "name": "Guacamole", "grams": 150.0, "note": ""}]</t>
        </is>
      </c>
      <c r="N1203" s="2" t="n">
        <v>184</v>
      </c>
      <c r="O1203" s="5" t="n">
        <v>3</v>
      </c>
      <c r="P1203" s="5" t="n">
        <v>10.1</v>
      </c>
      <c r="Q1203" s="5" t="n">
        <v>22.4</v>
      </c>
      <c r="R1203" s="5" t="n">
        <v>4.2</v>
      </c>
      <c r="S1203" s="5" t="n">
        <v>18.2</v>
      </c>
      <c r="T1203" s="2" t="n">
        <v>52</v>
      </c>
      <c r="U1203" s="2" t="inlineStr">
        <is>
          <t>low</t>
        </is>
      </c>
      <c r="V1203" s="5" t="n">
        <v>9.5</v>
      </c>
      <c r="W1203" s="2" t="inlineStr">
        <is>
          <t>low</t>
        </is>
      </c>
      <c r="X1203" s="3" t="inlineStr"/>
      <c r="Y1203" s="3" t="inlineStr">
        <is>
          <t>86% of this dish's available carbohydrate comes from ingredients with a published, measured GI; the rest uses conventional placeholders (see Ingredients sheet)</t>
        </is>
      </c>
      <c r="Z1203" s="2" t="n">
        <v>86</v>
      </c>
      <c r="AA1203" s="3" t="inlineStr">
        <is>
          <t>vegan, gluten-free, dairy-free, nut-free, no-cook</t>
        </is>
      </c>
      <c r="AB1203" s="3" t="inlineStr">
        <is>
          <t>1. Serve the chips with pico de gallo and guacamole.</t>
        </is>
      </c>
      <c r="AC1203" s="4" t="inlineStr">
        <is>
          <t>["Serve the chips with pico de gallo and guacamole."]</t>
        </is>
      </c>
    </row>
    <row r="1204" ht="96" customHeight="1">
      <c r="A1204" s="2" t="inlineStr">
        <is>
          <t>DB-1203</t>
        </is>
      </c>
      <c r="B1204" s="3" t="inlineStr">
        <is>
          <t>Turkey and Cheese Roll-Ups</t>
        </is>
      </c>
      <c r="C1204" s="4" t="inlineStr">
        <is>
          <t>Snack &amp; Appetizer</t>
        </is>
      </c>
      <c r="D1204" s="4" t="inlineStr">
        <is>
          <t>American</t>
        </is>
      </c>
      <c r="E1204" s="2" t="n">
        <v>4</v>
      </c>
      <c r="F1204" s="2" t="n">
        <v>10</v>
      </c>
      <c r="G1204" s="2" t="n">
        <v>0</v>
      </c>
      <c r="H1204" s="2" t="n">
        <v>10</v>
      </c>
      <c r="I1204" s="4" t="inlineStr">
        <is>
          <t>turkey-and-cheese-roll-ups.jpg</t>
        </is>
      </c>
      <c r="J1204" s="3" t="inlineStr">
        <is>
          <t>Turkey and Cheese Roll-Ups, healthy food photography, plated, natural light</t>
        </is>
      </c>
      <c r="K1204" s="4" t="inlineStr"/>
      <c r="L1204" s="3" t="inlineStr">
        <is>
          <t>Deli turkey breast, low sodium — 200 g (7.1 oz)
Swiss cheese — 80 g (2.8 oz)
Dill pickles — 60 g (2.1 oz)
Yellow mustard — 10 g (0.4 oz)
Romaine lettuce — 40 g (1.4 oz)</t>
        </is>
      </c>
      <c r="M1204" s="4" t="inlineStr">
        <is>
          <t>[{"ingredient_id": "deli_turkey", "name": "Deli turkey breast, low sodium", "grams": 200.0, "note": ""}, {"ingredient_id": "swiss_cheese", "name": "Swiss cheese", "grams": 80.0, "note": ""}, {"ingredient_id": "dill_pickle", "name": "Dill pickles", "grams": 60.0, "note": ""}, {"ingredient_id": "yellow_mustard", "name": "Yellow mustard", "grams": 10.0, "note": ""}, {"ingredient_id": "romaine", "name": "Romaine lettuce", "grams": 40.0, "note": ""}]</t>
        </is>
      </c>
      <c r="N1204" s="2" t="n">
        <v>133</v>
      </c>
      <c r="O1204" s="5" t="n">
        <v>14.2</v>
      </c>
      <c r="P1204" s="5" t="n">
        <v>6.5</v>
      </c>
      <c r="Q1204" s="5" t="n">
        <v>3.1</v>
      </c>
      <c r="R1204" s="5" t="n">
        <v>0.5</v>
      </c>
      <c r="S1204" s="5" t="n">
        <v>2.6</v>
      </c>
      <c r="T1204" s="2" t="n">
        <v>2</v>
      </c>
      <c r="U1204" s="2" t="inlineStr">
        <is>
          <t>low</t>
        </is>
      </c>
      <c r="V1204" s="5" t="n">
        <v>0.1</v>
      </c>
      <c r="W1204" s="2" t="inlineStr">
        <is>
          <t>low</t>
        </is>
      </c>
      <c r="X1204" s="3" t="inlineStr">
        <is>
          <t>Negligible carbohydrate (&lt;5 g net/serving): GI has little practical meaning, glycemic load is what matters.</t>
        </is>
      </c>
      <c r="Y1204" s="3" t="inlineStr">
        <is>
          <t>0% of this dish's available carbohydrate comes from ingredients with a published, measured GI; the rest uses conventional placeholders (see Ingredients sheet)</t>
        </is>
      </c>
      <c r="Z1204" s="2" t="n">
        <v>0</v>
      </c>
      <c r="AA1204" s="3" t="inlineStr">
        <is>
          <t>gluten-free, nut-free, low-carb, no-cook</t>
        </is>
      </c>
      <c r="AB1204" s="3" t="inlineStr">
        <is>
          <t>1. Spread the turkey with mustard.
2. Add Swiss, pickle and lettuce.
3. Roll tight and slice.</t>
        </is>
      </c>
      <c r="AC1204" s="4" t="inlineStr">
        <is>
          <t>["Spread the turkey with mustard.", "Add Swiss, pickle and lettuce.", "Roll tight and slice."]</t>
        </is>
      </c>
    </row>
    <row r="1205" ht="96" customHeight="1">
      <c r="A1205" s="2" t="inlineStr">
        <is>
          <t>DB-1204</t>
        </is>
      </c>
      <c r="B1205" s="3" t="inlineStr">
        <is>
          <t>Baked Pepper Jack Quesadilla Wedges</t>
        </is>
      </c>
      <c r="C1205" s="4" t="inlineStr">
        <is>
          <t>Snack &amp; Appetizer</t>
        </is>
      </c>
      <c r="D1205" s="4" t="inlineStr">
        <is>
          <t>Tex-Mex</t>
        </is>
      </c>
      <c r="E1205" s="2" t="n">
        <v>4</v>
      </c>
      <c r="F1205" s="2" t="n">
        <v>5</v>
      </c>
      <c r="G1205" s="2" t="n">
        <v>10</v>
      </c>
      <c r="H1205" s="2" t="n">
        <v>15</v>
      </c>
      <c r="I1205" s="4" t="inlineStr">
        <is>
          <t>baked-pepper-jack-quesadilla-wedges.jpg</t>
        </is>
      </c>
      <c r="J1205" s="3" t="inlineStr">
        <is>
          <t>Baked Pepper Jack Quesadilla Wedges, healthy food photography, plated, natural light</t>
        </is>
      </c>
      <c r="K1205" s="4" t="inlineStr"/>
      <c r="L1205" s="3" t="inlineStr">
        <is>
          <t>Flour tortilla, 8-inch — 160 g (5.6 oz)
Pepper jack cheese — 100 g (3.5 oz)
Diced green chiles, canned — 60 g (2.1 oz)
Salsa, no sugar added — 100 g (3.5 oz)</t>
        </is>
      </c>
      <c r="M1205" s="4" t="inlineStr">
        <is>
          <t>[{"ingredient_id": "flour_tortilla", "name": "Flour tortilla, 8-inch", "grams": 160.0, "note": ""}, {"ingredient_id": "pepper_jack", "name": "Pepper jack cheese", "grams": 100.0, "note": ""}, {"ingredient_id": "green_chiles", "name": "Diced green chiles, canned", "grams": 60.0, "note": ""}, {"ingredient_id": "salsa", "name": "Salsa, no sugar added", "grams": 100.0, "note": ""}]</t>
        </is>
      </c>
      <c r="N1205" s="2" t="n">
        <v>229</v>
      </c>
      <c r="O1205" s="5" t="n">
        <v>9.800000000000001</v>
      </c>
      <c r="P1205" s="5" t="n">
        <v>10.8</v>
      </c>
      <c r="Q1205" s="5" t="n">
        <v>22.6</v>
      </c>
      <c r="R1205" s="5" t="n">
        <v>2</v>
      </c>
      <c r="S1205" s="5" t="n">
        <v>20.6</v>
      </c>
      <c r="T1205" s="2" t="n">
        <v>33</v>
      </c>
      <c r="U1205" s="2" t="inlineStr">
        <is>
          <t>low</t>
        </is>
      </c>
      <c r="V1205" s="5" t="n">
        <v>6.8</v>
      </c>
      <c r="W1205" s="2" t="inlineStr">
        <is>
          <t>low</t>
        </is>
      </c>
      <c r="X1205" s="3" t="inlineStr"/>
      <c r="Y1205" s="3" t="inlineStr">
        <is>
          <t>89% of this dish's available carbohydrate comes from ingredients with a published, measured GI; the rest uses conventional placeholders (see Ingredients sheet)</t>
        </is>
      </c>
      <c r="Z1205" s="2" t="n">
        <v>89</v>
      </c>
      <c r="AA1205" s="3" t="inlineStr">
        <is>
          <t>vegetarian, nut-free</t>
        </is>
      </c>
      <c r="AB1205" s="3" t="inlineStr">
        <is>
          <t>1. Fill half of each tortilla with pepper jack and chiles.
2. Fold and crisp in a pan.
3. Cut into wedges and serve with salsa.</t>
        </is>
      </c>
      <c r="AC1205" s="4" t="inlineStr">
        <is>
          <t>["Fill half of each tortilla with pepper jack and chiles.", "Fold and crisp in a pan.", "Cut into wedges and serve with salsa."]</t>
        </is>
      </c>
    </row>
    <row r="1206" ht="96" customHeight="1">
      <c r="A1206" s="2" t="inlineStr">
        <is>
          <t>DB-1205</t>
        </is>
      </c>
      <c r="B1206" s="3" t="inlineStr">
        <is>
          <t>Bagel Chips with Hummus</t>
        </is>
      </c>
      <c r="C1206" s="4" t="inlineStr">
        <is>
          <t>Snack &amp; Appetizer</t>
        </is>
      </c>
      <c r="D1206" s="4" t="inlineStr">
        <is>
          <t>American</t>
        </is>
      </c>
      <c r="E1206" s="2" t="n">
        <v>4</v>
      </c>
      <c r="F1206" s="2" t="n">
        <v>5</v>
      </c>
      <c r="G1206" s="2" t="n">
        <v>12</v>
      </c>
      <c r="H1206" s="2" t="n">
        <v>17</v>
      </c>
      <c r="I1206" s="4" t="inlineStr">
        <is>
          <t>bagel-chips-with-hummus.jpg</t>
        </is>
      </c>
      <c r="J1206" s="3" t="inlineStr">
        <is>
          <t>Bagel Chips with Hummus, healthy food photography, plated, natural light</t>
        </is>
      </c>
      <c r="K1206" s="4" t="inlineStr"/>
      <c r="L1206" s="3" t="inlineStr">
        <is>
          <t>Bagel, plain — 100 g (3.5 oz)
Hummus — 120 g (4.2 oz)
Extra-virgin olive oil — 10 g (0.4 oz)
Garlic powder — 1 g (0.0 oz)
Cucumber — 100 g (3.5 oz)</t>
        </is>
      </c>
      <c r="M1206" s="4" t="inlineStr">
        <is>
          <t>[{"ingredient_id": "bagel", "name": "Bagel, plain", "grams": 100.0, "note": ""}, {"ingredient_id": "hummus", "name": "Hummus", "grams": 120.0, "note": ""}, {"ingredient_id": "olive_oil", "name": "Extra-virgin olive oil", "grams": 10.0, "note": ""}, {"ingredient_id": "garlic_powder", "name": "Garlic powder", "grams": 1.0, "note": ""}, {"ingredient_id": "cucumber", "name": "Cucumber", "grams": 100.0, "note": ""}]</t>
        </is>
      </c>
      <c r="N1206" s="2" t="n">
        <v>142</v>
      </c>
      <c r="O1206" s="5" t="n">
        <v>5.3</v>
      </c>
      <c r="P1206" s="5" t="n">
        <v>5.7</v>
      </c>
      <c r="Q1206" s="5" t="n">
        <v>18.4</v>
      </c>
      <c r="R1206" s="5" t="n">
        <v>2.3</v>
      </c>
      <c r="S1206" s="5" t="n">
        <v>16</v>
      </c>
      <c r="T1206" s="2" t="n">
        <v>63</v>
      </c>
      <c r="U1206" s="2" t="inlineStr">
        <is>
          <t>medium</t>
        </is>
      </c>
      <c r="V1206" s="5" t="n">
        <v>10.1</v>
      </c>
      <c r="W1206" s="2" t="inlineStr">
        <is>
          <t>medium</t>
        </is>
      </c>
      <c r="X1206" s="3" t="inlineStr">
        <is>
          <t>Medium-GI dish: keep to the stated portion and pair with the protein/fat in the recipe; GL per serving is the better guide.</t>
        </is>
      </c>
      <c r="Y1206" s="3" t="inlineStr">
        <is>
          <t>94% of this dish's available carbohydrate comes from ingredients with a published, measured GI; the rest uses conventional placeholders (see Ingredients sheet)</t>
        </is>
      </c>
      <c r="Z1206" s="2" t="n">
        <v>94</v>
      </c>
      <c r="AA1206" s="3" t="inlineStr">
        <is>
          <t>vegan, dairy-free, nut-free</t>
        </is>
      </c>
      <c r="AB1206" s="3" t="inlineStr">
        <is>
          <t>1. Slice the bagel thin, brush with oil and garlic powder.
2. Bake at 375°F for 10 to 12 minutes.
3. Serve with hummus and cucumber.</t>
        </is>
      </c>
      <c r="AC1206" s="4" t="inlineStr">
        <is>
          <t>["Slice the bagel thin, brush with oil and garlic powder.", "Bake at 375°F for 10 to 12 minutes.", "Serve with hummus and cucumber."]</t>
        </is>
      </c>
    </row>
    <row r="1207" ht="96" customHeight="1">
      <c r="A1207" s="2" t="inlineStr">
        <is>
          <t>DB-1206</t>
        </is>
      </c>
      <c r="B1207" s="3" t="inlineStr">
        <is>
          <t>Cheese and Fruit Snack Plate</t>
        </is>
      </c>
      <c r="C1207" s="4" t="inlineStr">
        <is>
          <t>Snack &amp; Appetizer</t>
        </is>
      </c>
      <c r="D1207" s="4" t="inlineStr">
        <is>
          <t>American</t>
        </is>
      </c>
      <c r="E1207" s="2" t="n">
        <v>2</v>
      </c>
      <c r="F1207" s="2" t="n">
        <v>5</v>
      </c>
      <c r="G1207" s="2" t="n">
        <v>0</v>
      </c>
      <c r="H1207" s="2" t="n">
        <v>5</v>
      </c>
      <c r="I1207" s="4" t="inlineStr">
        <is>
          <t>cheese-and-fruit-snack-plate.jpg</t>
        </is>
      </c>
      <c r="J1207" s="3" t="inlineStr">
        <is>
          <t>Cheese and Fruit Snack Plate, healthy food photography, plated, natural light</t>
        </is>
      </c>
      <c r="K1207" s="4" t="inlineStr"/>
      <c r="L1207" s="3" t="inlineStr">
        <is>
          <t>Cheddar cheese — 50 g (1.8 oz)
Swiss cheese — 30 g (1.1 oz)
Apple — 150 g (5.3 oz)
Almonds — 20 g (0.7 oz)
Whole grain seed crackers — 30 g (1.1 oz)</t>
        </is>
      </c>
      <c r="M1207" s="4" t="inlineStr">
        <is>
          <t>[{"ingredient_id": "cheddar", "name": "Cheddar cheese", "grams": 50.0, "note": ""}, {"ingredient_id": "swiss_cheese", "name": "Swiss cheese", "grams": 30.0, "note": ""}, {"ingredient_id": "apple", "name": "Apple", "grams": 150.0, "note": ""}, {"ingredient_id": "almonds", "name": "Almonds", "grams": 20.0, "note": ""}, {"ingredient_id": "whole_grain_crackers", "name": "Whole grain seed crackers", "grams": 30.0, "note": ""}]</t>
        </is>
      </c>
      <c r="N1207" s="2" t="n">
        <v>318</v>
      </c>
      <c r="O1207" s="5" t="n">
        <v>13.6</v>
      </c>
      <c r="P1207" s="5" t="n">
        <v>19.7</v>
      </c>
      <c r="Q1207" s="5" t="n">
        <v>23.1</v>
      </c>
      <c r="R1207" s="5" t="n">
        <v>4.5</v>
      </c>
      <c r="S1207" s="5" t="n">
        <v>18.6</v>
      </c>
      <c r="T1207" s="2" t="n">
        <v>42</v>
      </c>
      <c r="U1207" s="2" t="inlineStr">
        <is>
          <t>low</t>
        </is>
      </c>
      <c r="V1207" s="5" t="n">
        <v>7.8</v>
      </c>
      <c r="W1207" s="2" t="inlineStr">
        <is>
          <t>low</t>
        </is>
      </c>
      <c r="X1207" s="3" t="inlineStr"/>
      <c r="Y1207" s="3" t="inlineStr">
        <is>
          <t>92% of this dish's available carbohydrate comes from ingredients with a published, measured GI; the rest uses conventional placeholders (see Ingredients sheet)</t>
        </is>
      </c>
      <c r="Z1207" s="2" t="n">
        <v>92</v>
      </c>
      <c r="AA1207" s="3" t="inlineStr">
        <is>
          <t>vegetarian, no-cook</t>
        </is>
      </c>
      <c r="AB1207" s="3" t="inlineStr">
        <is>
          <t>1. Slice the cheeses and apple.
2. Arrange with the almonds and crackers.</t>
        </is>
      </c>
      <c r="AC1207" s="4" t="inlineStr">
        <is>
          <t>["Slice the cheeses and apple.", "Arrange with the almonds and crackers."]</t>
        </is>
      </c>
    </row>
    <row r="1208" ht="96" customHeight="1">
      <c r="A1208" s="2" t="inlineStr">
        <is>
          <t>DB-1207</t>
        </is>
      </c>
      <c r="B1208" s="3" t="inlineStr">
        <is>
          <t>Smothered Pork Chops with Rice</t>
        </is>
      </c>
      <c r="C1208" s="4" t="inlineStr">
        <is>
          <t>Beef, Pork &amp; Lamb</t>
        </is>
      </c>
      <c r="D1208" s="4" t="inlineStr">
        <is>
          <t>American</t>
        </is>
      </c>
      <c r="E1208" s="2" t="n">
        <v>4</v>
      </c>
      <c r="F1208" s="2" t="n">
        <v>10</v>
      </c>
      <c r="G1208" s="2" t="n">
        <v>35</v>
      </c>
      <c r="H1208" s="2" t="n">
        <v>45</v>
      </c>
      <c r="I1208" s="4" t="inlineStr">
        <is>
          <t>smothered-pork-chops-with-rice.jpg</t>
        </is>
      </c>
      <c r="J1208" s="3" t="inlineStr">
        <is>
          <t>Smothered Pork Chops with Rice, healthy food photography, plated, natural light</t>
        </is>
      </c>
      <c r="K1208" s="4" t="inlineStr"/>
      <c r="L1208" s="3" t="inlineStr">
        <is>
          <t>Pork loin chop, trimmed — 600 g (21.2 oz)
White rice, long-grain, cooked — 360 g (12.7 oz)
Yellow onion — 150 g (5.3 oz)
Mushrooms (cremini/white) — 150 g (5.3 oz)
Chicken broth, low sodium — 250 g (8.8 oz)
Milk, 2% — 80 g (2.8 oz)
Paprika — 3 g (0.1 oz)
Garlic powder — 3 g (0.1 oz)
Extra-virgin olive oil — 15 g (0.5 oz)</t>
        </is>
      </c>
      <c r="M1208" s="4" t="inlineStr">
        <is>
          <t>[{"ingredient_id": "pork_chop", "name": "Pork loin chop, trimmed", "grams": 600.0, "note": ""}, {"ingredient_id": "white_rice", "name": "White rice, long-grain, cooked", "grams": 360.0, "note": ""}, {"ingredient_id": "onion", "name": "Yellow onion", "grams": 150.0, "note": ""}, {"ingredient_id": "mushrooms", "name": "Mushrooms (cremini/white)", "grams": 150.0, "note": ""}, {"ingredient_id": "chicken_broth", "name": "Chicken broth, low sodium", "grams": 250.0, "note": ""}, {"ingredient_id": "milk", "name": "Milk, 2%", "grams": 80.0, "note": ""}, {"ingredient_id": "paprika", "name": "Paprika", "grams": 3.0, "note": ""}, {"ingredient_id": "garlic_powder", "name": "Garlic powder", "grams": 3.0, "note": ""}, {"ingredient_id": "olive_oil", "name": "Extra-virgin olive oil", "grams": 15.0, "note": ""}]</t>
        </is>
      </c>
      <c r="N1208" s="2" t="n">
        <v>416</v>
      </c>
      <c r="O1208" s="5" t="n">
        <v>38.5</v>
      </c>
      <c r="P1208" s="5" t="n">
        <v>14.5</v>
      </c>
      <c r="Q1208" s="5" t="n">
        <v>32.1</v>
      </c>
      <c r="R1208" s="5" t="n">
        <v>1.7</v>
      </c>
      <c r="S1208" s="5" t="n">
        <v>30.4</v>
      </c>
      <c r="T1208" s="2" t="n">
        <v>66</v>
      </c>
      <c r="U1208" s="2" t="inlineStr">
        <is>
          <t>medium</t>
        </is>
      </c>
      <c r="V1208" s="5" t="n">
        <v>20.1</v>
      </c>
      <c r="W1208" s="2" t="inlineStr">
        <is>
          <t>high</t>
        </is>
      </c>
      <c r="X1208" s="3" t="inlineStr">
        <is>
          <t>Medium-GI dish: keep to the stated portion and pair with the protein/fat in the recipe; GL per serving is the better guide.</t>
        </is>
      </c>
      <c r="Y1208" s="3" t="inlineStr">
        <is>
          <t>85% of this dish's available carbohydrate comes from ingredients with a published, measured GI; the rest uses conventional placeholders (see Ingredients sheet)</t>
        </is>
      </c>
      <c r="Z1208" s="2" t="n">
        <v>85</v>
      </c>
      <c r="AA1208" s="3" t="inlineStr">
        <is>
          <t>gluten-free, nut-free, high-protein</t>
        </is>
      </c>
      <c r="AB1208" s="3" t="inlineStr">
        <is>
          <t>1. Season the chops and sear in oil.
2. Cook the onion and mushrooms in the pan, add broth and milk and simmer to a gravy.
3. Return the chops and simmer 15 minutes.
4. Serve over the rice.</t>
        </is>
      </c>
      <c r="AC1208" s="4" t="inlineStr">
        <is>
          <t>["Season the chops and sear in oil.", "Cook the onion and mushrooms in the pan, add broth and milk and simmer to a gravy.", "Return the chops and simmer 15 minutes.", "Serve over the rice."]</t>
        </is>
      </c>
    </row>
    <row r="1209" ht="96" customHeight="1">
      <c r="A1209" s="2" t="inlineStr">
        <is>
          <t>DB-1208</t>
        </is>
      </c>
      <c r="B1209" s="3" t="inlineStr">
        <is>
          <t>Oven BBQ Chicken Thighs with Slaw and Beans</t>
        </is>
      </c>
      <c r="C1209" s="4" t="inlineStr">
        <is>
          <t>Poultry</t>
        </is>
      </c>
      <c r="D1209" s="4" t="inlineStr">
        <is>
          <t>American</t>
        </is>
      </c>
      <c r="E1209" s="2" t="n">
        <v>4</v>
      </c>
      <c r="F1209" s="2" t="n">
        <v>15</v>
      </c>
      <c r="G1209" s="2" t="n">
        <v>40</v>
      </c>
      <c r="H1209" s="2" t="n">
        <v>55</v>
      </c>
      <c r="I1209" s="4" t="inlineStr">
        <is>
          <t>oven-bbq-chicken-thighs-with-slaw-and-beans.jpg</t>
        </is>
      </c>
      <c r="J1209" s="3" t="inlineStr">
        <is>
          <t>Oven BBQ Chicken Thighs with Slaw and Beans, healthy food photography, plated, natural light</t>
        </is>
      </c>
      <c r="K1209" s="4" t="inlineStr"/>
      <c r="L1209" s="3" t="inlineStr">
        <is>
          <t>Chicken thigh, skinless boneless — 700 g (24.7 oz)
Tomato paste — 60 g (2.1 oz)
Apple cider vinegar — 40 g (1.4 oz)
Smoked paprika — 4 g (0.1 oz)
Garlic powder — 3 g (0.1 oz)
Monk fruit/erythritol sweetener — 6 g (0.2 oz)
Coleslaw mix (cabbage &amp; carrot) — 240 g (8.5 oz)
Greek yogurt, plain 2% — 60 g (2.1 oz)
Navy beans, cooked — 300 g (10.6 oz)</t>
        </is>
      </c>
      <c r="M1209" s="4" t="inlineStr">
        <is>
          <t>[{"ingredient_id": "chicken_thigh", "name": "Chicken thigh, skinless boneless", "grams": 700.0, "note": ""}, {"ingredient_id": "tomato_paste", "name": "Tomato paste", "grams": 60.0, "note": ""}, {"ingredient_id": "apple_cider_vinegar", "name": "Apple cider vinegar", "grams": 40.0, "note": ""}, {"ingredient_id": "smoked_paprika", "name": "Smoked paprika", "grams": 4.0, "note": ""}, {"ingredient_id": "garlic_powder", "name": "Garlic powder", "grams": 3.0, "note": ""}, {"ingredient_id": "monk_fruit_sweetener", "name": "Monk fruit/erythritol sweetener", "grams": 6.0, "note": ""}, {"ingredient_id": "coleslaw_mix", "name": "Coleslaw mix (cabbage &amp; carrot)", "grams": 240.0, "note": ""}, {"ingredient_id": "greek_yogurt", "name": "Greek yogurt, plain 2%", "grams": 60.0, "note": ""}, {"ingredient_id": "navy_beans", "name": "Navy beans, cooked", "grams": 300.0, "note": ""}]</t>
        </is>
      </c>
      <c r="N1209" s="2" t="n">
        <v>364</v>
      </c>
      <c r="O1209" s="5" t="n">
        <v>43.8</v>
      </c>
      <c r="P1209" s="5" t="n">
        <v>8.199999999999999</v>
      </c>
      <c r="Q1209" s="5" t="n">
        <v>27.7</v>
      </c>
      <c r="R1209" s="5" t="n">
        <v>10.3</v>
      </c>
      <c r="S1209" s="5" t="n">
        <v>17.4</v>
      </c>
      <c r="T1209" s="2" t="n">
        <v>28</v>
      </c>
      <c r="U1209" s="2" t="inlineStr">
        <is>
          <t>low</t>
        </is>
      </c>
      <c r="V1209" s="5" t="n">
        <v>4.9</v>
      </c>
      <c r="W1209" s="2" t="inlineStr">
        <is>
          <t>low</t>
        </is>
      </c>
      <c r="X1209" s="3" t="inlineStr"/>
      <c r="Y1209" s="3" t="inlineStr">
        <is>
          <t>3% of this dish's available carbohydrate comes from ingredients with a published, measured GI; the rest uses conventional placeholders (see Ingredients sheet)</t>
        </is>
      </c>
      <c r="Z1209" s="2" t="n">
        <v>3</v>
      </c>
      <c r="AA1209" s="3" t="inlineStr">
        <is>
          <t>gluten-free, nut-free, high-protein, high-fiber</t>
        </is>
      </c>
      <c r="AB1209" s="3" t="inlineStr">
        <is>
          <t>1. Whisk the paste, vinegar, paprika, garlic powder and sweetener into a sauce.
2. Coat the chicken and roast at 425°F for 35 minutes.
3. Toss the slaw with the yogurt.
4. Serve with warmed beans.</t>
        </is>
      </c>
      <c r="AC1209" s="4" t="inlineStr">
        <is>
          <t>["Whisk the paste, vinegar, paprika, garlic powder and sweetener into a sauce.", "Coat the chicken and roast at 425°F for 35 minutes.", "Toss the slaw with the yogurt.", "Serve with warmed beans."]</t>
        </is>
      </c>
    </row>
    <row r="1210" ht="96" customHeight="1">
      <c r="A1210" s="2" t="inlineStr">
        <is>
          <t>DB-1209</t>
        </is>
      </c>
      <c r="B1210" s="3" t="inlineStr">
        <is>
          <t>Slow Cooker Beef Chili with Beans</t>
        </is>
      </c>
      <c r="C1210" s="4" t="inlineStr">
        <is>
          <t>Soup &amp; Stew</t>
        </is>
      </c>
      <c r="D1210" s="4" t="inlineStr">
        <is>
          <t>American</t>
        </is>
      </c>
      <c r="E1210" s="2" t="n">
        <v>8</v>
      </c>
      <c r="F1210" s="2" t="n">
        <v>15</v>
      </c>
      <c r="G1210" s="2" t="n">
        <v>360</v>
      </c>
      <c r="H1210" s="2" t="n">
        <v>375</v>
      </c>
      <c r="I1210" s="4" t="inlineStr">
        <is>
          <t>slow-cooker-beef-chili-with-beans.jpg</t>
        </is>
      </c>
      <c r="J1210" s="3" t="inlineStr">
        <is>
          <t>Slow Cooker Beef Chili with Beans, healthy food photography, plated, natural light</t>
        </is>
      </c>
      <c r="K1210" s="4" t="inlineStr"/>
      <c r="L1210" s="3" t="inlineStr">
        <is>
          <t>Ground beef 90% lean — 700 g (24.7 oz)
Kidney beans, cooked — 400 g (14.1 oz)
Pinto beans, cooked — 300 g (10.6 oz)
Diced tomatoes, canned — 800 g (28.2 oz)
Tomato paste — 60 g (2.1 oz)
Yellow onion — 200 g (7.1 oz)
Chili powder — 15 g (0.5 oz)
Ground cumin — 5 g (0.2 oz)
Garlic — 10 g (0.4 oz)
Beef broth, low sodium — 300 g (10.6 oz)</t>
        </is>
      </c>
      <c r="M1210" s="4" t="inlineStr">
        <is>
          <t>[{"ingredient_id": "ground_beef", "name": "Ground beef 90% lean", "grams": 700.0, "note": ""}, {"ingredient_id": "kidney_beans", "name": "Kidney beans, cooked", "grams": 400.0, "note": ""}, {"ingredient_id": "pinto_beans", "name": "Pinto beans, cooked", "grams": 300.0, "note": ""}, {"ingredient_id": "diced_tomatoes", "name": "Diced tomatoes, canned", "grams": 800.0, "note": ""}, {"ingredient_id": "tomato_paste", "name": "Tomato paste", "grams": 60.0, "note": ""}, {"ingredient_id": "onion", "name": "Yellow onion", "grams": 200.0, "note": ""}, {"ingredient_id": "chili_powder", "name": "Chili powder", "grams": 15.0, "note": ""}, {"ingredient_id": "cumin", "name": "Ground cumin", "grams": 5.0, "note": ""}, {"ingredient_id": "garlic", "name": "Garlic", "grams": 10.0, "note": ""}, {"ingredient_id": "beef_broth", "name": "Beef broth, low sodium", "grams": 300.0, "note": ""}]</t>
        </is>
      </c>
      <c r="N1210" s="2" t="n">
        <v>323</v>
      </c>
      <c r="O1210" s="5" t="n">
        <v>28</v>
      </c>
      <c r="P1210" s="5" t="n">
        <v>10</v>
      </c>
      <c r="Q1210" s="5" t="n">
        <v>31.7</v>
      </c>
      <c r="R1210" s="5" t="n">
        <v>9.5</v>
      </c>
      <c r="S1210" s="5" t="n">
        <v>22.1</v>
      </c>
      <c r="T1210" s="2" t="n">
        <v>32</v>
      </c>
      <c r="U1210" s="2" t="inlineStr">
        <is>
          <t>low</t>
        </is>
      </c>
      <c r="V1210" s="5" t="n">
        <v>7.1</v>
      </c>
      <c r="W1210" s="2" t="inlineStr">
        <is>
          <t>low</t>
        </is>
      </c>
      <c r="X1210" s="3" t="inlineStr"/>
      <c r="Y1210" s="3" t="inlineStr">
        <is>
          <t>66% of this dish's available carbohydrate comes from ingredients with a published, measured GI; the rest uses conventional placeholders (see Ingredients sheet)</t>
        </is>
      </c>
      <c r="Z1210" s="2" t="n">
        <v>66</v>
      </c>
      <c r="AA1210" s="3" t="inlineStr">
        <is>
          <t>gluten-free, dairy-free, nut-free, high-protein, high-fiber, slow-cooker</t>
        </is>
      </c>
      <c r="AB1210" s="3" t="inlineStr">
        <is>
          <t>1. Brown the beef with the onion.
2. Put everything in the slow cooker.
3. Cook on low 6 hours.</t>
        </is>
      </c>
      <c r="AC1210" s="4" t="inlineStr">
        <is>
          <t>["Brown the beef with the onion.", "Put everything in the slow cooker.", "Cook on low 6 hours."]</t>
        </is>
      </c>
    </row>
    <row r="1211" ht="96" customHeight="1">
      <c r="A1211" s="2" t="inlineStr">
        <is>
          <t>DB-1210</t>
        </is>
      </c>
      <c r="B1211" s="3" t="inlineStr">
        <is>
          <t>Chili Cheese Baked Potato</t>
        </is>
      </c>
      <c r="C1211" s="4" t="inlineStr">
        <is>
          <t>Beef, Pork &amp; Lamb</t>
        </is>
      </c>
      <c r="D1211" s="4" t="inlineStr">
        <is>
          <t>American</t>
        </is>
      </c>
      <c r="E1211" s="2" t="n">
        <v>3</v>
      </c>
      <c r="F1211" s="2" t="n">
        <v>10</v>
      </c>
      <c r="G1211" s="2" t="n">
        <v>60</v>
      </c>
      <c r="H1211" s="2" t="n">
        <v>70</v>
      </c>
      <c r="I1211" s="4" t="inlineStr">
        <is>
          <t>chili-cheese-baked-potato.jpg</t>
        </is>
      </c>
      <c r="J1211" s="3" t="inlineStr">
        <is>
          <t>Chili Cheese Baked Potato, healthy food photography, plated, natural light</t>
        </is>
      </c>
      <c r="K1211" s="4" t="inlineStr"/>
      <c r="L1211" s="3" t="inlineStr">
        <is>
          <t>Potato, baked, flesh (russet) — 450 g (15.9 oz)
Ground beef 90% lean — 250 g (8.8 oz)
Kidney beans, cooked — 150 g (5.3 oz)
Diced tomatoes, canned — 200 g (7.1 oz)
Chili powder — 6 g (0.2 oz)
Cheddar cheese — 60 g (2.1 oz)
Yellow onion — 60 g (2.1 oz)</t>
        </is>
      </c>
      <c r="M1211" s="4" t="inlineStr">
        <is>
          <t>[{"ingredient_id": "potato_baked", "name": "Potato, baked, flesh (russet)", "grams": 450.0, "note": ""}, {"ingredient_id": "ground_beef", "name": "Ground beef 90% lean", "grams": 250.0, "note": ""}, {"ingredient_id": "kidney_beans", "name": "Kidney beans, cooked", "grams": 150.0, "note": ""}, {"ingredient_id": "diced_tomatoes", "name": "Diced tomatoes, canned", "grams": 200.0, "note": ""}, {"ingredient_id": "chili_powder", "name": "Chili powder", "grams": 6.0, "note": ""}, {"ingredient_id": "cheddar", "name": "Cheddar cheese", "grams": 60.0, "note": ""}, {"ingredient_id": "onion", "name": "Yellow onion", "grams": 60.0, "note": ""}]</t>
        </is>
      </c>
      <c r="N1211" s="2" t="n">
        <v>460</v>
      </c>
      <c r="O1211" s="5" t="n">
        <v>29.8</v>
      </c>
      <c r="P1211" s="5" t="n">
        <v>15.8</v>
      </c>
      <c r="Q1211" s="5" t="n">
        <v>50.1</v>
      </c>
      <c r="R1211" s="5" t="n">
        <v>7.5</v>
      </c>
      <c r="S1211" s="5" t="n">
        <v>42.6</v>
      </c>
      <c r="T1211" s="2" t="n">
        <v>69</v>
      </c>
      <c r="U1211" s="2" t="inlineStr">
        <is>
          <t>medium</t>
        </is>
      </c>
      <c r="V1211" s="5" t="n">
        <v>29.4</v>
      </c>
      <c r="W1211" s="2" t="inlineStr">
        <is>
          <t>high</t>
        </is>
      </c>
      <c r="X1211" s="3" t="inlineStr">
        <is>
          <t>Medium-GI dish: keep to the stated portion and pair with the protein/fat in the recipe; GL per serving is the better guide.</t>
        </is>
      </c>
      <c r="Y1211" s="3" t="inlineStr">
        <is>
          <t>90% of this dish's available carbohydrate comes from ingredients with a published, measured GI; the rest uses conventional placeholders (see Ingredients sheet)</t>
        </is>
      </c>
      <c r="Z1211" s="2" t="n">
        <v>90</v>
      </c>
      <c r="AA1211" s="3" t="inlineStr">
        <is>
          <t>gluten-free, nut-free, high-protein, high-fiber</t>
        </is>
      </c>
      <c r="AB1211" s="3" t="inlineStr">
        <is>
          <t>1. Bake the potatoes until tender.
2. Brown the beef with onion and chili powder; add tomatoes and beans and simmer 15 minutes.
3. Split the potatoes and top with chili and cheddar.</t>
        </is>
      </c>
      <c r="AC1211" s="4" t="inlineStr">
        <is>
          <t>["Bake the potatoes until tender.", "Brown the beef with onion and chili powder; add tomatoes and beans and simmer 15 minutes.", "Split the potatoes and top with chili and cheddar."]</t>
        </is>
      </c>
    </row>
    <row r="1212" ht="96" customHeight="1">
      <c r="A1212" s="2" t="inlineStr">
        <is>
          <t>DB-1211</t>
        </is>
      </c>
      <c r="B1212" s="3" t="inlineStr">
        <is>
          <t>Turkey Chili Dogs</t>
        </is>
      </c>
      <c r="C1212" s="4" t="inlineStr">
        <is>
          <t>Sandwiches &amp; Wraps</t>
        </is>
      </c>
      <c r="D1212" s="4" t="inlineStr">
        <is>
          <t>American</t>
        </is>
      </c>
      <c r="E1212" s="2" t="n">
        <v>4</v>
      </c>
      <c r="F1212" s="2" t="n">
        <v>10</v>
      </c>
      <c r="G1212" s="2" t="n">
        <v>20</v>
      </c>
      <c r="H1212" s="2" t="n">
        <v>30</v>
      </c>
      <c r="I1212" s="4" t="inlineStr">
        <is>
          <t>turkey-chili-dogs.jpg</t>
        </is>
      </c>
      <c r="J1212" s="3" t="inlineStr">
        <is>
          <t>Turkey Chili Dogs, healthy food photography, plated, natural light</t>
        </is>
      </c>
      <c r="K1212" s="4" t="inlineStr"/>
      <c r="L1212" s="3" t="inlineStr">
        <is>
          <t>Turkey sausage — 400 g (14.1 oz)
Hamburger bun, white — 160 g (5.6 oz)
Ground turkey 93% lean — 200 g (7.1 oz)
Tomato sauce, canned, no sugar added — 150 g (5.3 oz)
Chili powder — 6 g (0.2 oz)
Yellow onion — 60 g (2.1 oz)
Cheddar cheese — 40 g (1.4 oz)</t>
        </is>
      </c>
      <c r="M1212" s="4" t="inlineStr">
        <is>
          <t>[{"ingredient_id": "turkey_sausage", "name": "Turkey sausage", "grams": 400.0, "note": ""}, {"ingredient_id": "hamburger_bun", "name": "Hamburger bun, white", "grams": 160.0, "note": ""}, {"ingredient_id": "ground_turkey", "name": "Ground turkey 93% lean", "grams": 200.0, "note": ""}, {"ingredient_id": "tomato_sauce", "name": "Tomato sauce, canned, no sugar added", "grams": 150.0, "note": ""}, {"ingredient_id": "chili_powder", "name": "Chili powder", "grams": 6.0, "note": ""}, {"ingredient_id": "onion", "name": "Yellow onion", "grams": 60.0, "note": ""}, {"ingredient_id": "cheddar", "name": "Cheddar cheese", "grams": 40.0, "note": ""}]</t>
        </is>
      </c>
      <c r="N1212" s="2" t="n">
        <v>396</v>
      </c>
      <c r="O1212" s="5" t="n">
        <v>31.3</v>
      </c>
      <c r="P1212" s="5" t="n">
        <v>19</v>
      </c>
      <c r="Q1212" s="5" t="n">
        <v>25.9</v>
      </c>
      <c r="R1212" s="5" t="n">
        <v>2.3</v>
      </c>
      <c r="S1212" s="5" t="n">
        <v>23.7</v>
      </c>
      <c r="T1212" s="2" t="n">
        <v>52</v>
      </c>
      <c r="U1212" s="2" t="inlineStr">
        <is>
          <t>low</t>
        </is>
      </c>
      <c r="V1212" s="5" t="n">
        <v>12.3</v>
      </c>
      <c r="W1212" s="2" t="inlineStr">
        <is>
          <t>medium</t>
        </is>
      </c>
      <c r="X1212" s="3" t="inlineStr"/>
      <c r="Y1212" s="3" t="inlineStr">
        <is>
          <t>79% of this dish's available carbohydrate comes from ingredients with a published, measured GI; the rest uses conventional placeholders (see Ingredients sheet)</t>
        </is>
      </c>
      <c r="Z1212" s="2" t="n">
        <v>79</v>
      </c>
      <c r="AA1212" s="3" t="inlineStr">
        <is>
          <t>nut-free, high-protein</t>
        </is>
      </c>
      <c r="AB1212" s="3" t="inlineStr">
        <is>
          <t>1. Brown the ground turkey with the onion and chili powder; add the sauce and simmer 10 minutes.
2. Grill the sausages.
3. Serve in buns with the chili and cheddar.</t>
        </is>
      </c>
      <c r="AC1212" s="4" t="inlineStr">
        <is>
          <t>["Brown the ground turkey with the onion and chili powder; add the sauce and simmer 10 minutes.", "Grill the sausages.", "Serve in buns with the chili and cheddar."]</t>
        </is>
      </c>
    </row>
    <row r="1213" ht="96" customHeight="1">
      <c r="A1213" s="2" t="inlineStr">
        <is>
          <t>DB-1212</t>
        </is>
      </c>
      <c r="B1213" s="3" t="inlineStr">
        <is>
          <t>Cheese Pizza-Style Flatbread</t>
        </is>
      </c>
      <c r="C1213" s="4" t="inlineStr">
        <is>
          <t>Sandwiches &amp; Wraps</t>
        </is>
      </c>
      <c r="D1213" s="4" t="inlineStr">
        <is>
          <t>Italian</t>
        </is>
      </c>
      <c r="E1213" s="2" t="n">
        <v>3</v>
      </c>
      <c r="F1213" s="2" t="n">
        <v>5</v>
      </c>
      <c r="G1213" s="2" t="n">
        <v>12</v>
      </c>
      <c r="H1213" s="2" t="n">
        <v>17</v>
      </c>
      <c r="I1213" s="4" t="inlineStr">
        <is>
          <t>cheese-pizza-style-flatbread.jpg</t>
        </is>
      </c>
      <c r="J1213" s="3" t="inlineStr">
        <is>
          <t>Cheese Pizza-Style Flatbread, healthy food photography, plated, natural light</t>
        </is>
      </c>
      <c r="K1213" s="4" t="inlineStr"/>
      <c r="L1213" s="3" t="inlineStr">
        <is>
          <t>Flour tortilla, 8-inch — 120 g (4.2 oz)
Marinara sauce, no sugar added — 120 g (4.2 oz)
Mozzarella, part-skim — 120 g (4.2 oz)
Fresh basil — 4 g (0.1 oz)
Extra-virgin olive oil — 10 g (0.4 oz)
Italian seasoning — 2 g (0.1 oz)</t>
        </is>
      </c>
      <c r="M1213" s="4" t="inlineStr">
        <is>
          <t>[{"ingredient_id": "flour_tortilla", "name": "Flour tortilla, 8-inch", "grams": 120.0, "note": ""}, {"ingredient_id": "marinara", "name": "Marinara sauce, no sugar added", "grams": 120.0, "note": ""}, {"ingredient_id": "mozzarella", "name": "Mozzarella, part-skim", "grams": 120.0, "note": ""}, {"ingredient_id": "basil", "name": "Fresh basil", "grams": 4.0, "note": ""}, {"ingredient_id": "olive_oil", "name": "Extra-virgin olive oil", "grams": 10.0, "note": ""}, {"ingredient_id": "italian_seasoning", "name": "Italian seasoning", "grams": 2.0, "note": ""}]</t>
        </is>
      </c>
      <c r="N1213" s="2" t="n">
        <v>274</v>
      </c>
      <c r="O1213" s="5" t="n">
        <v>13.6</v>
      </c>
      <c r="P1213" s="5" t="n">
        <v>14</v>
      </c>
      <c r="Q1213" s="5" t="n">
        <v>23.5</v>
      </c>
      <c r="R1213" s="5" t="n">
        <v>2.3</v>
      </c>
      <c r="S1213" s="5" t="n">
        <v>21.2</v>
      </c>
      <c r="T1213" s="2" t="n">
        <v>32</v>
      </c>
      <c r="U1213" s="2" t="inlineStr">
        <is>
          <t>low</t>
        </is>
      </c>
      <c r="V1213" s="5" t="n">
        <v>6.8</v>
      </c>
      <c r="W1213" s="2" t="inlineStr">
        <is>
          <t>low</t>
        </is>
      </c>
      <c r="X1213" s="3" t="inlineStr"/>
      <c r="Y1213" s="3" t="inlineStr">
        <is>
          <t>93% of this dish's available carbohydrate comes from ingredients with a published, measured GI; the rest uses conventional placeholders (see Ingredients sheet)</t>
        </is>
      </c>
      <c r="Z1213" s="2" t="n">
        <v>93</v>
      </c>
      <c r="AA1213" s="3" t="inlineStr">
        <is>
          <t>vegetarian, nut-free</t>
        </is>
      </c>
      <c r="AB1213" s="3" t="inlineStr">
        <is>
          <t>1. Crisp the tortillas on a tray at 425°F for 3 minutes.
2. Spread with marinara, mozzarella and seasoning.
3. Bake 8 minutes and finish with basil.</t>
        </is>
      </c>
      <c r="AC1213" s="4" t="inlineStr">
        <is>
          <t>["Crisp the tortillas on a tray at 425°F for 3 minutes.", "Spread with marinara, mozzarella and seasoning.", "Bake 8 minutes and finish with basil."]</t>
        </is>
      </c>
    </row>
    <row r="1214" ht="96" customHeight="1">
      <c r="A1214" s="2" t="inlineStr">
        <is>
          <t>DB-1213</t>
        </is>
      </c>
      <c r="B1214" s="3" t="inlineStr">
        <is>
          <t>Pepperoni-Style Turkey Flatbread</t>
        </is>
      </c>
      <c r="C1214" s="4" t="inlineStr">
        <is>
          <t>Sandwiches &amp; Wraps</t>
        </is>
      </c>
      <c r="D1214" s="4" t="inlineStr">
        <is>
          <t>Italian</t>
        </is>
      </c>
      <c r="E1214" s="2" t="n">
        <v>3</v>
      </c>
      <c r="F1214" s="2" t="n">
        <v>5</v>
      </c>
      <c r="G1214" s="2" t="n">
        <v>12</v>
      </c>
      <c r="H1214" s="2" t="n">
        <v>17</v>
      </c>
      <c r="I1214" s="4" t="inlineStr">
        <is>
          <t>pepperoni-style-turkey-flatbread.jpg</t>
        </is>
      </c>
      <c r="J1214" s="3" t="inlineStr">
        <is>
          <t>Pepperoni-Style Turkey Flatbread, healthy food photography, plated, natural light</t>
        </is>
      </c>
      <c r="K1214" s="4" t="inlineStr"/>
      <c r="L1214" s="3" t="inlineStr">
        <is>
          <t>Flour tortilla, 8-inch — 120 g (4.2 oz)
Marinara sauce, no sugar added — 120 g (4.2 oz)
Mozzarella, part-skim — 100 g (3.5 oz)
Turkey sausage — 100 g (3.5 oz)
Bell pepper — 60 g (2.1 oz)
Red onion — 30 g (1.1 oz)</t>
        </is>
      </c>
      <c r="M1214" s="4" t="inlineStr">
        <is>
          <t>[{"ingredient_id": "flour_tortilla", "name": "Flour tortilla, 8-inch", "grams": 120.0, "note": ""}, {"ingredient_id": "marinara", "name": "Marinara sauce, no sugar added", "grams": 120.0, "note": ""}, {"ingredient_id": "mozzarella", "name": "Mozzarella, part-skim", "grams": 100.0, "note": ""}, {"ingredient_id": "turkey_sausage", "name": "Turkey sausage", "grams": 100.0, "note": ""}, {"ingredient_id": "bell_pepper", "name": "Bell pepper", "grams": 60.0, "note": ""}, {"ingredient_id": "red_onion", "name": "Red onion", "grams": 30.0, "note": ""}]</t>
        </is>
      </c>
      <c r="N1214" s="2" t="n">
        <v>287</v>
      </c>
      <c r="O1214" s="5" t="n">
        <v>17.2</v>
      </c>
      <c r="P1214" s="5" t="n">
        <v>12.9</v>
      </c>
      <c r="Q1214" s="5" t="n">
        <v>25.6</v>
      </c>
      <c r="R1214" s="5" t="n">
        <v>2.6</v>
      </c>
      <c r="S1214" s="5" t="n">
        <v>23</v>
      </c>
      <c r="T1214" s="2" t="n">
        <v>30</v>
      </c>
      <c r="U1214" s="2" t="inlineStr">
        <is>
          <t>low</t>
        </is>
      </c>
      <c r="V1214" s="5" t="n">
        <v>6.9</v>
      </c>
      <c r="W1214" s="2" t="inlineStr">
        <is>
          <t>low</t>
        </is>
      </c>
      <c r="X1214" s="3" t="inlineStr"/>
      <c r="Y1214" s="3" t="inlineStr">
        <is>
          <t>86% of this dish's available carbohydrate comes from ingredients with a published, measured GI; the rest uses conventional placeholders (see Ingredients sheet)</t>
        </is>
      </c>
      <c r="Z1214" s="2" t="n">
        <v>86</v>
      </c>
      <c r="AA1214" s="3" t="inlineStr">
        <is>
          <t>nut-free</t>
        </is>
      </c>
      <c r="AB1214" s="3" t="inlineStr">
        <is>
          <t>1. Crisp the tortillas.
2. Top with marinara, mozzarella, sliced sausage, pepper and onion.
3. Bake at 425°F for 8 minutes.</t>
        </is>
      </c>
      <c r="AC1214" s="4" t="inlineStr">
        <is>
          <t>["Crisp the tortillas.", "Top with marinara, mozzarella, sliced sausage, pepper and onion.", "Bake at 425°F for 8 minutes."]</t>
        </is>
      </c>
    </row>
    <row r="1215" ht="96" customHeight="1">
      <c r="A1215" s="2" t="inlineStr">
        <is>
          <t>DB-1214</t>
        </is>
      </c>
      <c r="B1215" s="3" t="inlineStr">
        <is>
          <t>Apple Crisp with Oat Topping</t>
        </is>
      </c>
      <c r="C1215" s="4" t="inlineStr">
        <is>
          <t>Dessert</t>
        </is>
      </c>
      <c r="D1215" s="4" t="inlineStr">
        <is>
          <t>American</t>
        </is>
      </c>
      <c r="E1215" s="2" t="n">
        <v>6</v>
      </c>
      <c r="F1215" s="2" t="n">
        <v>15</v>
      </c>
      <c r="G1215" s="2" t="n">
        <v>40</v>
      </c>
      <c r="H1215" s="2" t="n">
        <v>55</v>
      </c>
      <c r="I1215" s="4" t="inlineStr">
        <is>
          <t>apple-crisp-with-oat-topping.jpg</t>
        </is>
      </c>
      <c r="J1215" s="3" t="inlineStr">
        <is>
          <t>Apple Crisp with Oat Topping, healthy food photography, plated, natural light</t>
        </is>
      </c>
      <c r="K1215" s="4" t="inlineStr"/>
      <c r="L1215" s="3" t="inlineStr">
        <is>
          <t>Apple — 700 g (24.7 oz)
Rolled oats, dry — 80 g (2.8 oz)
Pecans — 40 g (1.4 oz)
Butter — 30 g (1.1 oz)
Ground cinnamon — 4 g (0.1 oz)
White sugar — 15 g (0.5 oz)
Lemon juice — 15 g (0.5 oz)</t>
        </is>
      </c>
      <c r="M1215" s="4" t="inlineStr">
        <is>
          <t>[{"ingredient_id": "apple", "name": "Apple", "grams": 700.0, "note": ""}, {"ingredient_id": "rolled_oats", "name": "Rolled oats, dry", "grams": 80.0, "note": ""}, {"ingredient_id": "pecans", "name": "Pecans", "grams": 40.0, "note": ""}, {"ingredient_id": "butter", "name": "Butter", "grams": 30.0, "note": ""}, {"ingredient_id": "cinnamon", "name": "Ground cinnamon", "grams": 4.0, "note": ""}, {"ingredient_id": "sugar_white", "name": "White sugar", "grams": 15.0, "note": ""}, {"ingredient_id": "lemon_juice", "name": "Lemon juice", "grams": 15.0, "note": ""}]</t>
        </is>
      </c>
      <c r="N1215" s="2" t="n">
        <v>205</v>
      </c>
      <c r="O1215" s="5" t="n">
        <v>2.8</v>
      </c>
      <c r="P1215" s="5" t="n">
        <v>10</v>
      </c>
      <c r="Q1215" s="5" t="n">
        <v>29.5</v>
      </c>
      <c r="R1215" s="5" t="n">
        <v>5.1</v>
      </c>
      <c r="S1215" s="5" t="n">
        <v>24.4</v>
      </c>
      <c r="T1215" s="2" t="n">
        <v>45</v>
      </c>
      <c r="U1215" s="2" t="inlineStr">
        <is>
          <t>low</t>
        </is>
      </c>
      <c r="V1215" s="5" t="n">
        <v>11</v>
      </c>
      <c r="W1215" s="2" t="inlineStr">
        <is>
          <t>medium</t>
        </is>
      </c>
      <c r="X1215" s="3" t="inlineStr"/>
      <c r="Y1215" s="3" t="inlineStr">
        <is>
          <t>97% of this dish's available carbohydrate comes from ingredients with a published, measured GI; the rest uses conventional placeholders (see Ingredients sheet)</t>
        </is>
      </c>
      <c r="Z1215" s="2" t="n">
        <v>97</v>
      </c>
      <c r="AA1215" s="3" t="inlineStr">
        <is>
          <t>vegetarian</t>
        </is>
      </c>
      <c r="AB1215" s="3" t="inlineStr">
        <is>
          <t>1. Slice the apples and toss with lemon, cinnamon and half the sugar.
2. Rub the oats, pecans, butter and remaining sugar into a crumble.
3. Spread over the apples and bake at 350°F for 35 minutes.</t>
        </is>
      </c>
      <c r="AC1215" s="4" t="inlineStr">
        <is>
          <t>["Slice the apples and toss with lemon, cinnamon and half the sugar.", "Rub the oats, pecans, butter and remaining sugar into a crumble.", "Spread over the apples and bake at 350°F for 35 minutes."]</t>
        </is>
      </c>
    </row>
    <row r="1216" ht="96" customHeight="1">
      <c r="A1216" s="2" t="inlineStr">
        <is>
          <t>DB-1215</t>
        </is>
      </c>
      <c r="B1216" s="3" t="inlineStr">
        <is>
          <t>Creamy Rice Pudding</t>
        </is>
      </c>
      <c r="C1216" s="4" t="inlineStr">
        <is>
          <t>Dessert</t>
        </is>
      </c>
      <c r="D1216" s="4" t="inlineStr">
        <is>
          <t>American</t>
        </is>
      </c>
      <c r="E1216" s="2" t="n">
        <v>5</v>
      </c>
      <c r="F1216" s="2" t="n">
        <v>5</v>
      </c>
      <c r="G1216" s="2" t="n">
        <v>25</v>
      </c>
      <c r="H1216" s="2" t="n">
        <v>30</v>
      </c>
      <c r="I1216" s="4" t="inlineStr">
        <is>
          <t>creamy-rice-pudding.jpg</t>
        </is>
      </c>
      <c r="J1216" s="3" t="inlineStr">
        <is>
          <t>Creamy Rice Pudding, healthy food photography, plated, natural light</t>
        </is>
      </c>
      <c r="K1216" s="4" t="inlineStr"/>
      <c r="L1216" s="3" t="inlineStr">
        <is>
          <t>White rice, long-grain, cooked — 300 g (10.6 oz)
Milk, 2% — 500 g (17.6 oz)
Egg, large (50 g each) — 50 g (1.8 oz)
White sugar — 20 g (0.7 oz)
Vanilla extract — 5 g (0.2 oz)
Ground cinnamon — 2 g (0.1 oz)</t>
        </is>
      </c>
      <c r="M1216" s="4" t="inlineStr">
        <is>
          <t>[{"ingredient_id": "white_rice", "name": "White rice, long-grain, cooked", "grams": 300.0, "note": ""}, {"ingredient_id": "milk", "name": "Milk, 2%", "grams": 500.0, "note": ""}, {"ingredient_id": "egg", "name": "Egg, large (50 g each)", "grams": 50.0, "note": ""}, {"ingredient_id": "sugar_white", "name": "White sugar", "grams": 20.0, "note": ""}, {"ingredient_id": "vanilla_extract", "name": "Vanilla extract", "grams": 5.0, "note": ""}, {"ingredient_id": "cinnamon", "name": "Ground cinnamon", "grams": 2.0, "note": ""}]</t>
        </is>
      </c>
      <c r="N1216" s="2" t="n">
        <v>162</v>
      </c>
      <c r="O1216" s="5" t="n">
        <v>6.2</v>
      </c>
      <c r="P1216" s="5" t="n">
        <v>3.1</v>
      </c>
      <c r="Q1216" s="5" t="n">
        <v>26.1</v>
      </c>
      <c r="R1216" s="5" t="n">
        <v>0.5</v>
      </c>
      <c r="S1216" s="5" t="n">
        <v>25.7</v>
      </c>
      <c r="T1216" s="2" t="n">
        <v>65</v>
      </c>
      <c r="U1216" s="2" t="inlineStr">
        <is>
          <t>medium</t>
        </is>
      </c>
      <c r="V1216" s="5" t="n">
        <v>16.7</v>
      </c>
      <c r="W1216" s="2" t="inlineStr">
        <is>
          <t>medium</t>
        </is>
      </c>
      <c r="X1216" s="3" t="inlineStr">
        <is>
          <t>Medium-GI dish: keep to the stated portion and pair with the protein/fat in the recipe; GL per serving is the better guide.</t>
        </is>
      </c>
      <c r="Y1216" s="3" t="inlineStr">
        <is>
          <t>99% of this dish's available carbohydrate comes from ingredients with a published, measured GI; the rest uses conventional placeholders (see Ingredients sheet)</t>
        </is>
      </c>
      <c r="Z1216" s="2" t="n">
        <v>99</v>
      </c>
      <c r="AA1216" s="3" t="inlineStr">
        <is>
          <t>vegetarian, gluten-free, nut-free</t>
        </is>
      </c>
      <c r="AB1216" s="3" t="inlineStr">
        <is>
          <t>1. Simmer the cooked rice and milk for 15 minutes.
2. Whisk the egg with sugar and vanilla and stir in over low heat until thick.
3. Dust with cinnamon.</t>
        </is>
      </c>
      <c r="AC1216" s="4" t="inlineStr">
        <is>
          <t>["Simmer the cooked rice and milk for 15 minutes.", "Whisk the egg with sugar and vanilla and stir in over low heat until thick.", "Dust with cinnamon."]</t>
        </is>
      </c>
    </row>
    <row r="1217" ht="96" customHeight="1">
      <c r="A1217" s="2" t="inlineStr">
        <is>
          <t>DB-1216</t>
        </is>
      </c>
      <c r="B1217" s="3" t="inlineStr">
        <is>
          <t>Chocolate Pudding Cups</t>
        </is>
      </c>
      <c r="C1217" s="4" t="inlineStr">
        <is>
          <t>Dessert</t>
        </is>
      </c>
      <c r="D1217" s="4" t="inlineStr">
        <is>
          <t>American</t>
        </is>
      </c>
      <c r="E1217" s="2" t="n">
        <v>4</v>
      </c>
      <c r="F1217" s="2" t="n">
        <v>5</v>
      </c>
      <c r="G1217" s="2" t="n">
        <v>10</v>
      </c>
      <c r="H1217" s="2" t="n">
        <v>15</v>
      </c>
      <c r="I1217" s="4" t="inlineStr">
        <is>
          <t>chocolate-pudding-cups.jpg</t>
        </is>
      </c>
      <c r="J1217" s="3" t="inlineStr">
        <is>
          <t>Chocolate Pudding Cups, healthy food photography, plated, natural light</t>
        </is>
      </c>
      <c r="K1217" s="4" t="inlineStr"/>
      <c r="L1217" s="3" t="inlineStr">
        <is>
          <t>Milk, 2% — 500 g (17.6 oz)
Cocoa powder, unsweetened — 25 g (0.9 oz)
White sugar — 20 g (0.7 oz)
Egg, large (50 g each) — 100 g (3.5 oz)
Vanilla extract — 4 g (0.1 oz)</t>
        </is>
      </c>
      <c r="M1217" s="4" t="inlineStr">
        <is>
          <t>[{"ingredient_id": "milk", "name": "Milk, 2%", "grams": 500.0, "note": ""}, {"ingredient_id": "cocoa_powder", "name": "Cocoa powder, unsweetened", "grams": 25.0, "note": ""}, {"ingredient_id": "sugar_white", "name": "White sugar", "grams": 20.0, "note": ""}, {"ingredient_id": "egg", "name": "Egg, large (50 g each)", "grams": 100.0, "note": ""}, {"ingredient_id": "vanilla_extract", "name": "Vanilla extract", "grams": 4.0, "note": ""}]</t>
        </is>
      </c>
      <c r="N1217" s="2" t="n">
        <v>135</v>
      </c>
      <c r="O1217" s="5" t="n">
        <v>8.5</v>
      </c>
      <c r="P1217" s="5" t="n">
        <v>5.8</v>
      </c>
      <c r="Q1217" s="5" t="n">
        <v>14.9</v>
      </c>
      <c r="R1217" s="5" t="n">
        <v>2.1</v>
      </c>
      <c r="S1217" s="5" t="n">
        <v>12.8</v>
      </c>
      <c r="T1217" s="2" t="n">
        <v>39</v>
      </c>
      <c r="U1217" s="2" t="inlineStr">
        <is>
          <t>low</t>
        </is>
      </c>
      <c r="V1217" s="5" t="n">
        <v>5</v>
      </c>
      <c r="W1217" s="2" t="inlineStr">
        <is>
          <t>low</t>
        </is>
      </c>
      <c r="X1217" s="3" t="inlineStr"/>
      <c r="Y1217" s="3" t="inlineStr">
        <is>
          <t>85% of this dish's available carbohydrate comes from ingredients with a published, measured GI; the rest uses conventional placeholders (see Ingredients sheet)</t>
        </is>
      </c>
      <c r="Z1217" s="2" t="n">
        <v>85</v>
      </c>
      <c r="AA1217" s="3" t="inlineStr">
        <is>
          <t>vegetarian, gluten-free, nut-free, low-carb</t>
        </is>
      </c>
      <c r="AB1217" s="3" t="inlineStr">
        <is>
          <t>1. Warm the milk with cocoa and sugar.
2. Whisk in the eggs over low heat until thick.
3. Add vanilla and chill.</t>
        </is>
      </c>
      <c r="AC1217" s="4" t="inlineStr">
        <is>
          <t>["Warm the milk with cocoa and sugar.", "Whisk in the eggs over low heat until thick.", "Add vanilla and chill."]</t>
        </is>
      </c>
    </row>
    <row r="1218" ht="96" customHeight="1">
      <c r="A1218" s="2" t="inlineStr">
        <is>
          <t>DB-1217</t>
        </is>
      </c>
      <c r="B1218" s="3" t="inlineStr">
        <is>
          <t>Banana Oat Cookies</t>
        </is>
      </c>
      <c r="C1218" s="4" t="inlineStr">
        <is>
          <t>Dessert</t>
        </is>
      </c>
      <c r="D1218" s="4" t="inlineStr">
        <is>
          <t>American</t>
        </is>
      </c>
      <c r="E1218" s="2" t="n">
        <v>10</v>
      </c>
      <c r="F1218" s="2" t="n">
        <v>10</v>
      </c>
      <c r="G1218" s="2" t="n">
        <v>12</v>
      </c>
      <c r="H1218" s="2" t="n">
        <v>22</v>
      </c>
      <c r="I1218" s="4" t="inlineStr">
        <is>
          <t>banana-oat-cookies.jpg</t>
        </is>
      </c>
      <c r="J1218" s="3" t="inlineStr">
        <is>
          <t>Banana Oat Cookies, healthy food photography, plated, natural light</t>
        </is>
      </c>
      <c r="K1218" s="4" t="inlineStr"/>
      <c r="L1218" s="3" t="inlineStr">
        <is>
          <t>Banana (small amount) — 240 g (8.5 oz)
Rolled oats, dry — 160 g (5.6 oz)
Walnuts — 40 g (1.4 oz)
Ground cinnamon — 2 g (0.1 oz)
Vanilla extract — 4 g (0.1 oz)</t>
        </is>
      </c>
      <c r="M1218" s="4" t="inlineStr">
        <is>
          <t>[{"ingredient_id": "banana", "name": "Banana (small amount)", "grams": 240.0, "note": ""}, {"ingredient_id": "rolled_oats", "name": "Rolled oats, dry", "grams": 160.0, "note": ""}, {"ingredient_id": "walnuts", "name": "Walnuts", "grams": 40.0, "note": ""}, {"ingredient_id": "cinnamon", "name": "Ground cinnamon", "grams": 2.0, "note": ""}, {"ingredient_id": "vanilla_extract", "name": "Vanilla extract", "grams": 4.0, "note": ""}]</t>
        </is>
      </c>
      <c r="N1218" s="2" t="n">
        <v>110</v>
      </c>
      <c r="O1218" s="5" t="n">
        <v>3</v>
      </c>
      <c r="P1218" s="5" t="n">
        <v>3.7</v>
      </c>
      <c r="Q1218" s="5" t="n">
        <v>17.2</v>
      </c>
      <c r="R1218" s="5" t="n">
        <v>2.6</v>
      </c>
      <c r="S1218" s="5" t="n">
        <v>14.6</v>
      </c>
      <c r="T1218" s="2" t="n">
        <v>54</v>
      </c>
      <c r="U1218" s="2" t="inlineStr">
        <is>
          <t>low</t>
        </is>
      </c>
      <c r="V1218" s="5" t="n">
        <v>7.9</v>
      </c>
      <c r="W1218" s="2" t="inlineStr">
        <is>
          <t>low</t>
        </is>
      </c>
      <c r="X1218" s="3" t="inlineStr"/>
      <c r="Y1218" s="3" t="inlineStr">
        <is>
          <t>97% of this dish's available carbohydrate comes from ingredients with a published, measured GI; the rest uses conventional placeholders (see Ingredients sheet)</t>
        </is>
      </c>
      <c r="Z1218" s="2" t="n">
        <v>97</v>
      </c>
      <c r="AA1218" s="3" t="inlineStr">
        <is>
          <t>vegan, dairy-free, low-carb</t>
        </is>
      </c>
      <c r="AB1218" s="3" t="inlineStr">
        <is>
          <t>1. Mash the bananas and mix with oats, walnuts, cinnamon and vanilla.
2. Scoop ten cookies onto a tray.
3. Bake at 350°F for 12 minutes.</t>
        </is>
      </c>
      <c r="AC1218" s="4" t="inlineStr">
        <is>
          <t>["Mash the bananas and mix with oats, walnuts, cinnamon and vanilla.", "Scoop ten cookies onto a tray.", "Bake at 350°F for 12 minutes."]</t>
        </is>
      </c>
    </row>
    <row r="1219" ht="96" customHeight="1">
      <c r="A1219" s="2" t="inlineStr">
        <is>
          <t>DB-1218</t>
        </is>
      </c>
      <c r="B1219" s="3" t="inlineStr">
        <is>
          <t>Strawberry Shortcake-Style Parfait</t>
        </is>
      </c>
      <c r="C1219" s="4" t="inlineStr">
        <is>
          <t>Dessert</t>
        </is>
      </c>
      <c r="D1219" s="4" t="inlineStr">
        <is>
          <t>American</t>
        </is>
      </c>
      <c r="E1219" s="2" t="n">
        <v>4</v>
      </c>
      <c r="F1219" s="2" t="n">
        <v>10</v>
      </c>
      <c r="G1219" s="2" t="n">
        <v>0</v>
      </c>
      <c r="H1219" s="2" t="n">
        <v>10</v>
      </c>
      <c r="I1219" s="4" t="inlineStr">
        <is>
          <t>strawberry-shortcake-style-parfait.jpg</t>
        </is>
      </c>
      <c r="J1219" s="3" t="inlineStr">
        <is>
          <t>Strawberry Shortcake-Style Parfait, healthy food photography, plated, natural light</t>
        </is>
      </c>
      <c r="K1219" s="4" t="inlineStr"/>
      <c r="L1219" s="3" t="inlineStr">
        <is>
          <t>Strawberries — 300 g (10.6 oz)
Greek yogurt, plain 2% — 300 g (10.6 oz)
Rolled oats, dry — 40 g (1.4 oz)
Vanilla extract — 4 g (0.1 oz)
Monk fruit/erythritol sweetener — 4 g (0.1 oz)</t>
        </is>
      </c>
      <c r="M1219" s="4" t="inlineStr">
        <is>
          <t>[{"ingredient_id": "strawberries", "name": "Strawberries", "grams": 300.0, "note": ""}, {"ingredient_id": "greek_yogurt", "name": "Greek yogurt, plain 2%", "grams": 300.0, "note": ""}, {"ingredient_id": "rolled_oats", "name": "Rolled oats, dry", "grams": 40.0, "note": ""}, {"ingredient_id": "vanilla_extract", "name": "Vanilla extract", "grams": 4.0, "note": ""}, {"ingredient_id": "monk_fruit_sweetener", "name": "Monk fruit/erythritol sweetener", "grams": 4.0, "note": ""}]</t>
        </is>
      </c>
      <c r="N1219" s="2" t="n">
        <v>120</v>
      </c>
      <c r="O1219" s="5" t="n">
        <v>9.300000000000001</v>
      </c>
      <c r="P1219" s="5" t="n">
        <v>2.4</v>
      </c>
      <c r="Q1219" s="5" t="n">
        <v>15.7</v>
      </c>
      <c r="R1219" s="5" t="n">
        <v>2.5</v>
      </c>
      <c r="S1219" s="5" t="n">
        <v>13.2</v>
      </c>
      <c r="T1219" s="2" t="n">
        <v>40</v>
      </c>
      <c r="U1219" s="2" t="inlineStr">
        <is>
          <t>low</t>
        </is>
      </c>
      <c r="V1219" s="5" t="n">
        <v>5.3</v>
      </c>
      <c r="W1219" s="2" t="inlineStr">
        <is>
          <t>low</t>
        </is>
      </c>
      <c r="X1219" s="3" t="inlineStr"/>
      <c r="Y1219" s="3" t="inlineStr">
        <is>
          <t>99% of this dish's available carbohydrate comes from ingredients with a published, measured GI; the rest uses conventional placeholders (see Ingredients sheet)</t>
        </is>
      </c>
      <c r="Z1219" s="2" t="n">
        <v>99</v>
      </c>
      <c r="AA1219" s="3" t="inlineStr">
        <is>
          <t>vegetarian, nut-free, low-carb, no-cook</t>
        </is>
      </c>
      <c r="AB1219" s="3" t="inlineStr">
        <is>
          <t>1. Stir the vanilla and sweetener into the yogurt.
2. Layer yogurt, sliced strawberries and toasted oats in glasses.</t>
        </is>
      </c>
      <c r="AC1219" s="4" t="inlineStr">
        <is>
          <t>["Stir the vanilla and sweetener into the yogurt.", "Layer yogurt, sliced strawberries and toasted oats in glasses."]</t>
        </is>
      </c>
    </row>
    <row r="1220" ht="96" customHeight="1">
      <c r="A1220" s="2" t="inlineStr">
        <is>
          <t>DB-1219</t>
        </is>
      </c>
      <c r="B1220" s="3" t="inlineStr">
        <is>
          <t>Peanut Butter Hot Cocoa</t>
        </is>
      </c>
      <c r="C1220" s="4" t="inlineStr">
        <is>
          <t>Drinks &amp; Smoothies</t>
        </is>
      </c>
      <c r="D1220" s="4" t="inlineStr">
        <is>
          <t>American</t>
        </is>
      </c>
      <c r="E1220" s="2" t="n">
        <v>2</v>
      </c>
      <c r="F1220" s="2" t="n">
        <v>3</v>
      </c>
      <c r="G1220" s="2" t="n">
        <v>5</v>
      </c>
      <c r="H1220" s="2" t="n">
        <v>8</v>
      </c>
      <c r="I1220" s="4" t="inlineStr">
        <is>
          <t>peanut-butter-hot-cocoa.jpg</t>
        </is>
      </c>
      <c r="J1220" s="3" t="inlineStr">
        <is>
          <t>Peanut Butter Hot Cocoa, healthy food photography, plated, natural light</t>
        </is>
      </c>
      <c r="K1220" s="4" t="inlineStr"/>
      <c r="L1220" s="3" t="inlineStr">
        <is>
          <t>Milk, 2% — 450 g (15.9 oz)
Cocoa powder, unsweetened — 12 g (0.4 oz)
Peanut butter, natural — 16 g (0.6 oz)
Monk fruit/erythritol sweetener — 4 g (0.1 oz)
Vanilla extract — 2 g (0.1 oz)</t>
        </is>
      </c>
      <c r="M1220" s="4" t="inlineStr">
        <is>
          <t>[{"ingredient_id": "milk", "name": "Milk, 2%", "grams": 450.0, "note": ""}, {"ingredient_id": "cocoa_powder", "name": "Cocoa powder, unsweetened", "grams": 12.0, "note": ""}, {"ingredient_id": "peanut_butter", "name": "Peanut butter, natural", "grams": 16.0, "note": ""}, {"ingredient_id": "monk_fruit_sweetener", "name": "Monk fruit/erythritol sweetener", "grams": 4.0, "note": ""}, {"ingredient_id": "vanilla_extract", "name": "Vanilla extract", "grams": 2.0, "note": ""}]</t>
        </is>
      </c>
      <c r="N1220" s="2" t="n">
        <v>176</v>
      </c>
      <c r="O1220" s="5" t="n">
        <v>10.6</v>
      </c>
      <c r="P1220" s="5" t="n">
        <v>9.300000000000001</v>
      </c>
      <c r="Q1220" s="5" t="n">
        <v>16</v>
      </c>
      <c r="R1220" s="5" t="n">
        <v>2.5</v>
      </c>
      <c r="S1220" s="5" t="n">
        <v>13.5</v>
      </c>
      <c r="T1220" s="2" t="n">
        <v>25</v>
      </c>
      <c r="U1220" s="2" t="inlineStr">
        <is>
          <t>low</t>
        </is>
      </c>
      <c r="V1220" s="5" t="n">
        <v>3.4</v>
      </c>
      <c r="W1220" s="2" t="inlineStr">
        <is>
          <t>low</t>
        </is>
      </c>
      <c r="X1220" s="3" t="inlineStr"/>
      <c r="Y1220" s="3" t="inlineStr">
        <is>
          <t>80% of this dish's available carbohydrate comes from ingredients with a published, measured GI; the rest uses conventional placeholders (see Ingredients sheet)</t>
        </is>
      </c>
      <c r="Z1220" s="2" t="n">
        <v>80</v>
      </c>
      <c r="AA1220" s="3" t="inlineStr">
        <is>
          <t>vegetarian, gluten-free, low-carb</t>
        </is>
      </c>
      <c r="AB1220" s="3" t="inlineStr">
        <is>
          <t>1. Warm the milk.
2. Whisk in cocoa, peanut butter, sweetener and vanilla until smooth.</t>
        </is>
      </c>
      <c r="AC1220" s="4" t="inlineStr">
        <is>
          <t>["Warm the milk.", "Whisk in cocoa, peanut butter, sweetener and vanilla until smooth."]</t>
        </is>
      </c>
    </row>
    <row r="1221" ht="96" customHeight="1">
      <c r="A1221" s="2" t="inlineStr">
        <is>
          <t>DB-1220</t>
        </is>
      </c>
      <c r="B1221" s="3" t="inlineStr">
        <is>
          <t>Sugar-Free Lemonade</t>
        </is>
      </c>
      <c r="C1221" s="4" t="inlineStr">
        <is>
          <t>Drinks &amp; Smoothies</t>
        </is>
      </c>
      <c r="D1221" s="4" t="inlineStr">
        <is>
          <t>American</t>
        </is>
      </c>
      <c r="E1221" s="2" t="n">
        <v>4</v>
      </c>
      <c r="F1221" s="2" t="n">
        <v>5</v>
      </c>
      <c r="G1221" s="2" t="n">
        <v>0</v>
      </c>
      <c r="H1221" s="2" t="n">
        <v>5</v>
      </c>
      <c r="I1221" s="4" t="inlineStr">
        <is>
          <t>sugar-free-lemonade.jpg</t>
        </is>
      </c>
      <c r="J1221" s="3" t="inlineStr">
        <is>
          <t>Sugar-Free Lemonade, healthy food photography, plated, natural light</t>
        </is>
      </c>
      <c r="K1221" s="4" t="inlineStr"/>
      <c r="L1221" s="3" t="inlineStr">
        <is>
          <t>Water / ice — 800 g (28.2 oz)
Lemon juice — 120 g (4.2 oz)
Monk fruit/erythritol sweetener — 12 g (0.4 oz)
Fresh mint — 4 g (0.1 oz)</t>
        </is>
      </c>
      <c r="M1221" s="4" t="inlineStr">
        <is>
          <t>[{"ingredient_id": "water", "name": "Water / ice", "grams": 800.0, "note": ""}, {"ingredient_id": "lemon_juice", "name": "Lemon juice", "grams": 120.0, "note": ""}, {"ingredient_id": "monk_fruit_sweetener", "name": "Monk fruit/erythritol sweetener", "grams": 12.0, "note": ""}, {"ingredient_id": "mint", "name": "Fresh mint", "grams": 4.0, "note": ""}]</t>
        </is>
      </c>
      <c r="N1221" s="2" t="n">
        <v>7</v>
      </c>
      <c r="O1221" s="5" t="n">
        <v>0.2</v>
      </c>
      <c r="P1221" s="5" t="n">
        <v>0.1</v>
      </c>
      <c r="Q1221" s="5" t="n">
        <v>2.2</v>
      </c>
      <c r="R1221" s="5" t="n">
        <v>0.2</v>
      </c>
      <c r="S1221" s="5" t="n">
        <v>2</v>
      </c>
      <c r="T1221" s="2" t="n">
        <v>20</v>
      </c>
      <c r="U1221" s="2" t="inlineStr">
        <is>
          <t>low</t>
        </is>
      </c>
      <c r="V1221" s="5" t="n">
        <v>0.4</v>
      </c>
      <c r="W1221" s="2" t="inlineStr">
        <is>
          <t>low</t>
        </is>
      </c>
      <c r="X1221" s="3" t="inlineStr">
        <is>
          <t>Negligible carbohydrate (&lt;5 g net/serving): GI has little practical meaning, glycemic load is what matters.</t>
        </is>
      </c>
      <c r="Y1221" s="3" t="inlineStr">
        <is>
          <t>0% of this dish's available carbohydrate comes from ingredients with a published, measured GI; the rest uses conventional placeholders (see Ingredients sheet)</t>
        </is>
      </c>
      <c r="Z1221" s="2" t="n">
        <v>0</v>
      </c>
      <c r="AA1221" s="3" t="inlineStr">
        <is>
          <t>vegan, gluten-free, dairy-free, nut-free, low-carb, no-cook</t>
        </is>
      </c>
      <c r="AB1221" s="3" t="inlineStr">
        <is>
          <t>1. Stir the juice and sweetener into the water until dissolved.
2. Serve over ice with mint.</t>
        </is>
      </c>
      <c r="AC1221" s="4" t="inlineStr">
        <is>
          <t>["Stir the juice and sweetener into the water until dissolved.", "Serve over ice with mint."]</t>
        </is>
      </c>
    </row>
    <row r="1222" ht="96" customHeight="1">
      <c r="A1222" s="2" t="inlineStr">
        <is>
          <t>DB-1221</t>
        </is>
      </c>
      <c r="B1222" s="3" t="inlineStr">
        <is>
          <t>Banana Peanut Butter Smoothie</t>
        </is>
      </c>
      <c r="C1222" s="4" t="inlineStr">
        <is>
          <t>Drinks &amp; Smoothies</t>
        </is>
      </c>
      <c r="D1222" s="4" t="inlineStr">
        <is>
          <t>American</t>
        </is>
      </c>
      <c r="E1222" s="2" t="n">
        <v>2</v>
      </c>
      <c r="F1222" s="2" t="n">
        <v>5</v>
      </c>
      <c r="G1222" s="2" t="n">
        <v>0</v>
      </c>
      <c r="H1222" s="2" t="n">
        <v>5</v>
      </c>
      <c r="I1222" s="4" t="inlineStr">
        <is>
          <t>banana-peanut-butter-smoothie.jpg</t>
        </is>
      </c>
      <c r="J1222" s="3" t="inlineStr">
        <is>
          <t>Banana Peanut Butter Smoothie, healthy food photography, plated, natural light</t>
        </is>
      </c>
      <c r="K1222" s="4" t="inlineStr"/>
      <c r="L1222" s="3" t="inlineStr">
        <is>
          <t>Banana (small amount) — 120 g (4.2 oz)
Milk, 2% — 300 g (10.6 oz)
Peanut butter, natural — 30 g (1.1 oz)
Greek yogurt, plain 2% — 100 g (3.5 oz)
Ground cinnamon — 1 g (0.0 oz)</t>
        </is>
      </c>
      <c r="M1222" s="4" t="inlineStr">
        <is>
          <t>[{"ingredient_id": "banana", "name": "Banana (small amount)", "grams": 120.0, "note": ""}, {"ingredient_id": "milk", "name": "Milk, 2%", "grams": 300.0, "note": ""}, {"ingredient_id": "peanut_butter", "name": "Peanut butter, natural", "grams": 30.0, "note": ""}, {"ingredient_id": "greek_yogurt", "name": "Greek yogurt, plain 2%", "grams": 100.0, "note": ""}, {"ingredient_id": "cinnamon", "name": "Ground cinnamon", "grams": 1.0, "note": ""}]</t>
        </is>
      </c>
      <c r="N1222" s="2" t="n">
        <v>254</v>
      </c>
      <c r="O1222" s="5" t="n">
        <v>14.4</v>
      </c>
      <c r="P1222" s="5" t="n">
        <v>11.7</v>
      </c>
      <c r="Q1222" s="5" t="n">
        <v>26.4</v>
      </c>
      <c r="R1222" s="5" t="n">
        <v>2.7</v>
      </c>
      <c r="S1222" s="5" t="n">
        <v>23.7</v>
      </c>
      <c r="T1222" s="2" t="n">
        <v>37</v>
      </c>
      <c r="U1222" s="2" t="inlineStr">
        <is>
          <t>low</t>
        </is>
      </c>
      <c r="V1222" s="5" t="n">
        <v>8.800000000000001</v>
      </c>
      <c r="W1222" s="2" t="inlineStr">
        <is>
          <t>low</t>
        </is>
      </c>
      <c r="X1222" s="3" t="inlineStr"/>
      <c r="Y1222" s="3" t="inlineStr">
        <is>
          <t>91% of this dish's available carbohydrate comes from ingredients with a published, measured GI; the rest uses conventional placeholders (see Ingredients sheet)</t>
        </is>
      </c>
      <c r="Z1222" s="2" t="n">
        <v>91</v>
      </c>
      <c r="AA1222" s="3" t="inlineStr">
        <is>
          <t>vegetarian, gluten-free, no-cook</t>
        </is>
      </c>
      <c r="AB1222" s="3" t="inlineStr">
        <is>
          <t>1. Blend everything with ice until smooth.</t>
        </is>
      </c>
      <c r="AC1222" s="4" t="inlineStr">
        <is>
          <t>["Blend everything with ice until smooth."]</t>
        </is>
      </c>
    </row>
    <row r="1223" ht="96" customHeight="1">
      <c r="A1223" s="2" t="inlineStr">
        <is>
          <t>DB-1222</t>
        </is>
      </c>
      <c r="B1223" s="3" t="inlineStr">
        <is>
          <t>Blueberry Oat Smoothie</t>
        </is>
      </c>
      <c r="C1223" s="4" t="inlineStr">
        <is>
          <t>Drinks &amp; Smoothies</t>
        </is>
      </c>
      <c r="D1223" s="4" t="inlineStr">
        <is>
          <t>American</t>
        </is>
      </c>
      <c r="E1223" s="2" t="n">
        <v>2</v>
      </c>
      <c r="F1223" s="2" t="n">
        <v>5</v>
      </c>
      <c r="G1223" s="2" t="n">
        <v>0</v>
      </c>
      <c r="H1223" s="2" t="n">
        <v>5</v>
      </c>
      <c r="I1223" s="4" t="inlineStr">
        <is>
          <t>blueberry-oat-smoothie.jpg</t>
        </is>
      </c>
      <c r="J1223" s="3" t="inlineStr">
        <is>
          <t>Blueberry Oat Smoothie, healthy food photography, plated, natural light</t>
        </is>
      </c>
      <c r="K1223" s="4" t="inlineStr"/>
      <c r="L1223" s="3" t="inlineStr">
        <is>
          <t>Blueberries — 150 g (5.3 oz)
Rolled oats, dry — 30 g (1.1 oz)
Milk, 2% — 300 g (10.6 oz)
Greek yogurt, plain 2% — 120 g (4.2 oz)
Vanilla extract — 3 g (0.1 oz)</t>
        </is>
      </c>
      <c r="M1223" s="4" t="inlineStr">
        <is>
          <t>[{"ingredient_id": "blueberries", "name": "Blueberries", "grams": 150.0, "note": ""}, {"ingredient_id": "rolled_oats", "name": "Rolled oats, dry", "grams": 30.0, "note": ""}, {"ingredient_id": "milk", "name": "Milk, 2%", "grams": 300.0, "note": ""}, {"ingredient_id": "greek_yogurt", "name": "Greek yogurt, plain 2%", "grams": 120.0, "note": ""}, {"ingredient_id": "vanilla_extract", "name": "Vanilla extract", "grams": 3.0, "note": ""}]</t>
        </is>
      </c>
      <c r="N1223" s="2" t="n">
        <v>223</v>
      </c>
      <c r="O1223" s="5" t="n">
        <v>13.4</v>
      </c>
      <c r="P1223" s="5" t="n">
        <v>5.4</v>
      </c>
      <c r="Q1223" s="5" t="n">
        <v>30.9</v>
      </c>
      <c r="R1223" s="5" t="n">
        <v>3.3</v>
      </c>
      <c r="S1223" s="5" t="n">
        <v>27.6</v>
      </c>
      <c r="T1223" s="2" t="n">
        <v>43</v>
      </c>
      <c r="U1223" s="2" t="inlineStr">
        <is>
          <t>low</t>
        </is>
      </c>
      <c r="V1223" s="5" t="n">
        <v>11.9</v>
      </c>
      <c r="W1223" s="2" t="inlineStr">
        <is>
          <t>medium</t>
        </is>
      </c>
      <c r="X1223" s="3" t="inlineStr"/>
      <c r="Y1223" s="3" t="inlineStr">
        <is>
          <t>99% of this dish's available carbohydrate comes from ingredients with a published, measured GI; the rest uses conventional placeholders (see Ingredients sheet)</t>
        </is>
      </c>
      <c r="Z1223" s="2" t="n">
        <v>99</v>
      </c>
      <c r="AA1223" s="3" t="inlineStr">
        <is>
          <t>vegetarian, nut-free, no-cook</t>
        </is>
      </c>
      <c r="AB1223" s="3" t="inlineStr">
        <is>
          <t>1. Blend everything until smooth.</t>
        </is>
      </c>
      <c r="AC1223" s="4" t="inlineStr">
        <is>
          <t>["Blend everything until smooth."]</t>
        </is>
      </c>
    </row>
    <row r="1224" ht="96" customHeight="1">
      <c r="A1224" s="2" t="inlineStr">
        <is>
          <t>DB-1223</t>
        </is>
      </c>
      <c r="B1224" s="3" t="inlineStr">
        <is>
          <t>Gumbo with Chicken and Sausage</t>
        </is>
      </c>
      <c r="C1224" s="4" t="inlineStr">
        <is>
          <t>Soup &amp; Stew</t>
        </is>
      </c>
      <c r="D1224" s="4" t="inlineStr">
        <is>
          <t>Cajun</t>
        </is>
      </c>
      <c r="E1224" s="2" t="n">
        <v>6</v>
      </c>
      <c r="F1224" s="2" t="n">
        <v>20</v>
      </c>
      <c r="G1224" s="2" t="n">
        <v>50</v>
      </c>
      <c r="H1224" s="2" t="n">
        <v>70</v>
      </c>
      <c r="I1224" s="4" t="inlineStr">
        <is>
          <t>gumbo-with-chicken-and-sausage.jpg</t>
        </is>
      </c>
      <c r="J1224" s="3" t="inlineStr">
        <is>
          <t>Gumbo with Chicken and Sausage, healthy food photography, plated, natural light</t>
        </is>
      </c>
      <c r="K1224" s="4" t="inlineStr"/>
      <c r="L1224" s="3" t="inlineStr">
        <is>
          <t>Chicken thigh, skinless boneless — 450 g (15.9 oz)
Chicken sausage — 250 g (8.8 oz)
Okra — 250 g (8.8 oz)
Bell pepper — 150 g (5.3 oz)
Celery — 100 g (3.5 oz)
Yellow onion — 150 g (5.3 oz)
Chicken broth, low sodium — 900 g (31.7 oz)
Diced tomatoes, canned — 200 g (7.1 oz)
Cajun seasoning — 10 g (0.4 oz)
Garlic — 8 g (0.3 oz)
Extra-virgin olive oil — 20 g (0.7 oz)
White rice, long-grain, cooked — 360 g (12.7 oz)</t>
        </is>
      </c>
      <c r="M1224" s="4" t="inlineStr">
        <is>
          <t>[{"ingredient_id": "chicken_thigh", "name": "Chicken thigh, skinless boneless", "grams": 450.0, "note": ""}, {"ingredient_id": "chicken_sausage", "name": "Chicken sausage", "grams": 250.0, "note": ""}, {"ingredient_id": "okra", "name": "Okra", "grams": 250.0, "note": ""}, {"ingredient_id": "bell_pepper", "name": "Bell pepper", "grams": 150.0, "note": ""}, {"ingredient_id": "celery", "name": "Celery", "grams": 100.0, "note": ""}, {"ingredient_id": "onion", "name": "Yellow onion", "grams": 150.0, "note": ""}, {"ingredient_id": "chicken_broth", "name": "Chicken broth, low sodium", "grams": 900.0, "note": ""}, {"ingredient_id": "diced_tomatoes", "name": "Diced tomatoes, canned", "grams": 200.0, "note": ""}, {"ingredient_id": "cajun_seasoning", "name": "Cajun seasoning", "grams": 10.0, "note": ""}, {"ingredient_id": "garlic", "name": "Garlic", "grams": 8.0, "note": ""}, {"ingredient_id": "olive_oil", "name": "Extra-virgin olive oil", "grams": 20.0, "note": ""}, {"ingredient_id": "white_rice", "name": "White rice, long-grain, cooked", "grams": 360.0, "note": ""}]</t>
        </is>
      </c>
      <c r="N1224" s="2" t="n">
        <v>328</v>
      </c>
      <c r="O1224" s="5" t="n">
        <v>26.2</v>
      </c>
      <c r="P1224" s="5" t="n">
        <v>11.9</v>
      </c>
      <c r="Q1224" s="5" t="n">
        <v>28.9</v>
      </c>
      <c r="R1224" s="5" t="n">
        <v>3.7</v>
      </c>
      <c r="S1224" s="5" t="n">
        <v>25.1</v>
      </c>
      <c r="T1224" s="2" t="n">
        <v>56</v>
      </c>
      <c r="U1224" s="2" t="inlineStr">
        <is>
          <t>medium</t>
        </is>
      </c>
      <c r="V1224" s="5" t="n">
        <v>14.1</v>
      </c>
      <c r="W1224" s="2" t="inlineStr">
        <is>
          <t>medium</t>
        </is>
      </c>
      <c r="X1224" s="3" t="inlineStr">
        <is>
          <t>Medium-GI dish: keep to the stated portion and pair with the protein/fat in the recipe; GL per serving is the better guide.</t>
        </is>
      </c>
      <c r="Y1224" s="3" t="inlineStr">
        <is>
          <t>66% of this dish's available carbohydrate comes from ingredients with a published, measured GI; the rest uses conventional placeholders (see Ingredients sheet)</t>
        </is>
      </c>
      <c r="Z1224" s="2" t="n">
        <v>66</v>
      </c>
      <c r="AA1224" s="3" t="inlineStr">
        <is>
          <t>gluten-free, dairy-free, nut-free, high-protein</t>
        </is>
      </c>
      <c r="AB1224" s="3" t="inlineStr">
        <is>
          <t>1. Brown the chicken and sausage in oil and set aside.
2. Soften the onion, pepper, celery and garlic in the same pot.
3. Add the broth, tomatoes, okra, seasoning and meats and simmer 35 minutes.
4. Serve over the rice.</t>
        </is>
      </c>
      <c r="AC1224" s="4" t="inlineStr">
        <is>
          <t>["Brown the chicken and sausage in oil and set aside.", "Soften the onion, pepper, celery and garlic in the same pot.", "Add the broth, tomatoes, okra, seasoning and meats and simmer 35 minutes.", "Serve over the rice."]</t>
        </is>
      </c>
    </row>
    <row r="1225" ht="96" customHeight="1">
      <c r="A1225" s="2" t="inlineStr">
        <is>
          <t>DB-1224</t>
        </is>
      </c>
      <c r="B1225" s="3" t="inlineStr">
        <is>
          <t>Seafood Gumbo with Shrimp and Crab</t>
        </is>
      </c>
      <c r="C1225" s="4" t="inlineStr">
        <is>
          <t>Soup &amp; Stew</t>
        </is>
      </c>
      <c r="D1225" s="4" t="inlineStr">
        <is>
          <t>Cajun</t>
        </is>
      </c>
      <c r="E1225" s="2" t="n">
        <v>6</v>
      </c>
      <c r="F1225" s="2" t="n">
        <v>20</v>
      </c>
      <c r="G1225" s="2" t="n">
        <v>40</v>
      </c>
      <c r="H1225" s="2" t="n">
        <v>60</v>
      </c>
      <c r="I1225" s="4" t="inlineStr">
        <is>
          <t>seafood-gumbo-with-shrimp-and-crab.jpg</t>
        </is>
      </c>
      <c r="J1225" s="3" t="inlineStr">
        <is>
          <t>Seafood Gumbo with Shrimp and Crab, healthy food photography, plated, natural light</t>
        </is>
      </c>
      <c r="K1225" s="4" t="inlineStr"/>
      <c r="L1225" s="3" t="inlineStr">
        <is>
          <t>Shrimp, peeled — 350 g (12.3 oz)
Crab meat, lump — 250 g (8.8 oz)
Okra — 250 g (8.8 oz)
Bell pepper — 150 g (5.3 oz)
Celery — 100 g (3.5 oz)
Yellow onion — 150 g (5.3 oz)
Fish sauce — 5 g (0.2 oz)
Chicken broth, low sodium — 900 g (31.7 oz)
Diced tomatoes, canned — 250 g (8.8 oz)
Cajun seasoning — 10 g (0.4 oz)
Garlic — 8 g (0.3 oz)
Extra-virgin olive oil — 20 g (0.7 oz)</t>
        </is>
      </c>
      <c r="M1225" s="4" t="inlineStr">
        <is>
          <t>[{"ingredient_id": "shrimp", "name": "Shrimp, peeled", "grams": 350.0, "note": ""}, {"ingredient_id": "crab", "name": "Crab meat, lump", "grams": 250.0, "note": ""}, {"ingredient_id": "okra", "name": "Okra", "grams": 250.0, "note": ""}, {"ingredient_id": "bell_pepper", "name": "Bell pepper", "grams": 150.0, "note": ""}, {"ingredient_id": "celery", "name": "Celery", "grams": 100.0, "note": ""}, {"ingredient_id": "onion", "name": "Yellow onion", "grams": 150.0, "note": ""}, {"ingredient_id": "fish_sauce", "name": "Fish sauce", "grams": 5.0, "note": ""}, {"ingredient_id": "chicken_broth", "name": "Chicken broth, low sodium", "grams": 900.0, "note": ""}, {"ingredient_id": "diced_tomatoes", "name": "Diced tomatoes, canned", "grams": 250.0, "note": ""}, {"ingredient_id": "cajun_seasoning", "name": "Cajun seasoning", "grams": 10.0, "note": ""}, {"ingredient_id": "garlic", "name": "Garlic", "grams": 8.0, "note": ""}, {"ingredient_id": "olive_oil", "name": "Extra-virgin olive oil", "grams": 20.0, "note": ""}]</t>
        </is>
      </c>
      <c r="N1225" s="2" t="n">
        <v>176</v>
      </c>
      <c r="O1225" s="5" t="n">
        <v>22.9</v>
      </c>
      <c r="P1225" s="5" t="n">
        <v>4.8</v>
      </c>
      <c r="Q1225" s="5" t="n">
        <v>11.7</v>
      </c>
      <c r="R1225" s="5" t="n">
        <v>3.6</v>
      </c>
      <c r="S1225" s="5" t="n">
        <v>8.1</v>
      </c>
      <c r="T1225" s="2" t="n">
        <v>19</v>
      </c>
      <c r="U1225" s="2" t="inlineStr">
        <is>
          <t>low</t>
        </is>
      </c>
      <c r="V1225" s="5" t="n">
        <v>1.5</v>
      </c>
      <c r="W1225" s="2" t="inlineStr">
        <is>
          <t>low</t>
        </is>
      </c>
      <c r="X1225" s="3" t="inlineStr"/>
      <c r="Y1225" s="3" t="inlineStr">
        <is>
          <t>0% of this dish's available carbohydrate comes from ingredients with a published, measured GI; the rest uses conventional placeholders (see Ingredients sheet)</t>
        </is>
      </c>
      <c r="Z1225" s="2" t="n">
        <v>0</v>
      </c>
      <c r="AA1225" s="3" t="inlineStr">
        <is>
          <t>pescatarian, gluten-free, dairy-free, nut-free, low-carb</t>
        </is>
      </c>
      <c r="AB1225" s="3" t="inlineStr">
        <is>
          <t>1. Soften the onion, pepper, celery and garlic in oil.
2. Add the broth, tomatoes, okra and seasoning and simmer 25 minutes.
3. Add the shrimp and crab for the last 5 minutes.</t>
        </is>
      </c>
      <c r="AC1225" s="4" t="inlineStr">
        <is>
          <t>["Soften the onion, pepper, celery and garlic in oil.", "Add the broth, tomatoes, okra and seasoning and simmer 25 minutes.", "Add the shrimp and crab for the last 5 minutes."]</t>
        </is>
      </c>
    </row>
    <row r="1226" ht="96" customHeight="1">
      <c r="A1226" s="2" t="inlineStr">
        <is>
          <t>DB-1225</t>
        </is>
      </c>
      <c r="B1226" s="3" t="inlineStr">
        <is>
          <t>Crawfish-Style Shrimp Étouffée</t>
        </is>
      </c>
      <c r="C1226" s="4" t="inlineStr">
        <is>
          <t>Seafood</t>
        </is>
      </c>
      <c r="D1226" s="4" t="inlineStr">
        <is>
          <t>Cajun</t>
        </is>
      </c>
      <c r="E1226" s="2" t="n">
        <v>4</v>
      </c>
      <c r="F1226" s="2" t="n">
        <v>15</v>
      </c>
      <c r="G1226" s="2" t="n">
        <v>30</v>
      </c>
      <c r="H1226" s="2" t="n">
        <v>45</v>
      </c>
      <c r="I1226" s="4" t="inlineStr">
        <is>
          <t>crawfish-style-shrimp-touff-e.jpg</t>
        </is>
      </c>
      <c r="J1226" s="3" t="inlineStr">
        <is>
          <t>Crawfish-Style Shrimp Étouffée, healthy food photography, plated, natural light</t>
        </is>
      </c>
      <c r="K1226" s="4" t="inlineStr"/>
      <c r="L1226" s="3" t="inlineStr">
        <is>
          <t>Shrimp, peeled — 500 g (17.6 oz)
Yellow onion — 150 g (5.3 oz)
Bell pepper — 120 g (4.2 oz)
Celery — 80 g (2.8 oz)
Garlic — 8 g (0.3 oz)
Tomato paste — 30 g (1.1 oz)
Chicken broth, low sodium — 300 g (10.6 oz)
Cajun seasoning — 8 g (0.3 oz)
Butter — 20 g (0.7 oz)
White rice, long-grain, cooked — 360 g (12.7 oz)
Green onions (scallions) — 20 g (0.7 oz)</t>
        </is>
      </c>
      <c r="M1226" s="4" t="inlineStr">
        <is>
          <t>[{"ingredient_id": "shrimp", "name": "Shrimp, peeled", "grams": 500.0, "note": ""}, {"ingredient_id": "onion", "name": "Yellow onion", "grams": 150.0, "note": ""}, {"ingredient_id": "bell_pepper", "name": "Bell pepper", "grams": 120.0, "note": ""}, {"ingredient_id": "celery", "name": "Celery", "grams": 80.0, "note": ""}, {"ingredient_id": "garlic", "name": "Garlic", "grams": 8.0, "note": ""}, {"ingredient_id": "tomato_paste", "name": "Tomato paste", "grams": 30.0, "note": ""}, {"ingredient_id": "chicken_broth", "name": "Chicken broth, low sodium", "grams": 300.0, "note": ""}, {"ingredient_id": "cajun_seasoning", "name": "Cajun seasoning", "grams": 8.0, "note": ""}, {"ingredient_id": "butter", "name": "Butter", "grams": 20.0, "note": ""}, {"ingredient_id": "white_rice", "name": "White rice, long-grain, cooked", "grams": 360.0, "note": ""}, {"ingredient_id": "green_onion", "name": "Green onions (scallions)", "grams": 20.0, "note": ""}]</t>
        </is>
      </c>
      <c r="N1226" s="2" t="n">
        <v>308</v>
      </c>
      <c r="O1226" s="5" t="n">
        <v>29.8</v>
      </c>
      <c r="P1226" s="5" t="n">
        <v>5.5</v>
      </c>
      <c r="Q1226" s="5" t="n">
        <v>35</v>
      </c>
      <c r="R1226" s="5" t="n">
        <v>2.9</v>
      </c>
      <c r="S1226" s="5" t="n">
        <v>32.1</v>
      </c>
      <c r="T1226" s="2" t="n">
        <v>64</v>
      </c>
      <c r="U1226" s="2" t="inlineStr">
        <is>
          <t>medium</t>
        </is>
      </c>
      <c r="V1226" s="5" t="n">
        <v>20.5</v>
      </c>
      <c r="W1226" s="2" t="inlineStr">
        <is>
          <t>high</t>
        </is>
      </c>
      <c r="X1226" s="3" t="inlineStr">
        <is>
          <t>Medium-GI dish: keep to the stated portion and pair with the protein/fat in the recipe; GL per serving is the better guide.</t>
        </is>
      </c>
      <c r="Y1226" s="3" t="inlineStr">
        <is>
          <t>77% of this dish's available carbohydrate comes from ingredients with a published, measured GI; the rest uses conventional placeholders (see Ingredients sheet)</t>
        </is>
      </c>
      <c r="Z1226" s="2" t="n">
        <v>77</v>
      </c>
      <c r="AA1226" s="3" t="inlineStr">
        <is>
          <t>pescatarian, gluten-free, nut-free, high-protein</t>
        </is>
      </c>
      <c r="AB1226" s="3" t="inlineStr">
        <is>
          <t>1. Soften the onion, pepper, celery and garlic in butter.
2. Stir in the paste, broth and seasoning and simmer 12 minutes.
3. Add the shrimp and cook 4 minutes.
4. Serve over rice with green onion.</t>
        </is>
      </c>
      <c r="AC1226" s="4" t="inlineStr">
        <is>
          <t>["Soften the onion, pepper, celery and garlic in butter.", "Stir in the paste, broth and seasoning and simmer 12 minutes.", "Add the shrimp and cook 4 minutes.", "Serve over rice with green onion."]</t>
        </is>
      </c>
    </row>
    <row r="1227" ht="96" customHeight="1">
      <c r="A1227" s="2" t="inlineStr">
        <is>
          <t>DB-1226</t>
        </is>
      </c>
      <c r="B1227" s="3" t="inlineStr">
        <is>
          <t>Blackened Chicken with Dirty Cauliflower Rice</t>
        </is>
      </c>
      <c r="C1227" s="4" t="inlineStr">
        <is>
          <t>Poultry</t>
        </is>
      </c>
      <c r="D1227" s="4" t="inlineStr">
        <is>
          <t>Cajun</t>
        </is>
      </c>
      <c r="E1227" s="2" t="n">
        <v>4</v>
      </c>
      <c r="F1227" s="2" t="n">
        <v>15</v>
      </c>
      <c r="G1227" s="2" t="n">
        <v>20</v>
      </c>
      <c r="H1227" s="2" t="n">
        <v>35</v>
      </c>
      <c r="I1227" s="4" t="inlineStr">
        <is>
          <t>blackened-chicken-with-dirty-cauliflower-rice.jpg</t>
        </is>
      </c>
      <c r="J1227" s="3" t="inlineStr">
        <is>
          <t>Blackened Chicken with Dirty Cauliflower Rice, healthy food photography, plated, natural light</t>
        </is>
      </c>
      <c r="K1227" s="4" t="inlineStr"/>
      <c r="L1227" s="3" t="inlineStr">
        <is>
          <t>Chicken breast, skinless — 560 g (19.8 oz)
Cajun seasoning — 12 g (0.4 oz)
Cauliflower rice — 400 g (14.1 oz)
Ground turkey 93% lean — 150 g (5.3 oz)
Bell pepper — 100 g (3.5 oz)
Celery — 60 g (2.1 oz)
Yellow onion — 80 g (2.8 oz)
Extra-virgin olive oil — 25 g (0.9 oz)
Green onions (scallions) — 15 g (0.5 oz)</t>
        </is>
      </c>
      <c r="M1227" s="4" t="inlineStr">
        <is>
          <t>[{"ingredient_id": "chicken_breast", "name": "Chicken breast, skinless", "grams": 560.0, "note": ""}, {"ingredient_id": "cajun_seasoning", "name": "Cajun seasoning", "grams": 12.0, "note": ""}, {"ingredient_id": "cauliflower_rice", "name": "Cauliflower rice", "grams": 400.0, "note": ""}, {"ingredient_id": "ground_turkey", "name": "Ground turkey 93% lean", "grams": 150.0, "note": ""}, {"ingredient_id": "bell_pepper", "name": "Bell pepper", "grams": 100.0, "note": ""}, {"ingredient_id": "celery", "name": "Celery", "grams": 60.0, "note": ""}, {"ingredient_id": "onion", "name": "Yellow onion", "grams": 80.0, "note": ""}, {"ingredient_id": "olive_oil", "name": "Extra-virgin olive oil", "grams": 25.0, "note": ""}, {"ingredient_id": "green_onion", "name": "Green onions (scallions)", "grams": 15.0, "note": ""}]</t>
        </is>
      </c>
      <c r="N1227" s="2" t="n">
        <v>333</v>
      </c>
      <c r="O1227" s="5" t="n">
        <v>41.4</v>
      </c>
      <c r="P1227" s="5" t="n">
        <v>13.6</v>
      </c>
      <c r="Q1227" s="5" t="n">
        <v>10.7</v>
      </c>
      <c r="R1227" s="5" t="n">
        <v>4</v>
      </c>
      <c r="S1227" s="5" t="n">
        <v>6.8</v>
      </c>
      <c r="T1227" s="2" t="n">
        <v>15</v>
      </c>
      <c r="U1227" s="2" t="inlineStr">
        <is>
          <t>low</t>
        </is>
      </c>
      <c r="V1227" s="5" t="n">
        <v>1</v>
      </c>
      <c r="W1227" s="2" t="inlineStr">
        <is>
          <t>low</t>
        </is>
      </c>
      <c r="X1227" s="3" t="inlineStr"/>
      <c r="Y1227" s="3" t="inlineStr">
        <is>
          <t>0% of this dish's available carbohydrate comes from ingredients with a published, measured GI; the rest uses conventional placeholders (see Ingredients sheet)</t>
        </is>
      </c>
      <c r="Z1227" s="2" t="n">
        <v>0</v>
      </c>
      <c r="AA1227" s="3" t="inlineStr">
        <is>
          <t>gluten-free, dairy-free, nut-free, low-carb, high-protein</t>
        </is>
      </c>
      <c r="AB1227" s="3" t="inlineStr">
        <is>
          <t>1. Coat the chicken in Cajun seasoning and sear in oil, 5 minutes a side.
2. Brown the turkey with the onion, pepper and celery and add the cauliflower rice.
3. Serve the sliced chicken over the rice with green onion.</t>
        </is>
      </c>
      <c r="AC1227" s="4" t="inlineStr">
        <is>
          <t>["Coat the chicken in Cajun seasoning and sear in oil, 5 minutes a side.", "Brown the turkey with the onion, pepper and celery and add the cauliflower rice.", "Serve the sliced chicken over the rice with green onion."]</t>
        </is>
      </c>
    </row>
    <row r="1228" ht="96" customHeight="1">
      <c r="A1228" s="2" t="inlineStr">
        <is>
          <t>DB-1227</t>
        </is>
      </c>
      <c r="B1228" s="3" t="inlineStr">
        <is>
          <t>Louisiana Red Rice with Smoked Sausage</t>
        </is>
      </c>
      <c r="C1228" s="4" t="inlineStr">
        <is>
          <t>Beef, Pork &amp; Lamb</t>
        </is>
      </c>
      <c r="D1228" s="4" t="inlineStr">
        <is>
          <t>Cajun</t>
        </is>
      </c>
      <c r="E1228" s="2" t="n">
        <v>5</v>
      </c>
      <c r="F1228" s="2" t="n">
        <v>10</v>
      </c>
      <c r="G1228" s="2" t="n">
        <v>30</v>
      </c>
      <c r="H1228" s="2" t="n">
        <v>40</v>
      </c>
      <c r="I1228" s="4" t="inlineStr">
        <is>
          <t>louisiana-red-rice-with-smoked-sausage.jpg</t>
        </is>
      </c>
      <c r="J1228" s="3" t="inlineStr">
        <is>
          <t>Louisiana Red Rice with Smoked Sausage, healthy food photography, plated, natural light</t>
        </is>
      </c>
      <c r="K1228" s="4" t="inlineStr"/>
      <c r="L1228" s="3" t="inlineStr">
        <is>
          <t>White rice, long-grain, cooked — 450 g (15.9 oz)
Chicken sausage — 250 g (8.8 oz)
Tomato paste — 40 g (1.4 oz)
Yellow onion — 100 g (3.5 oz)
Bell pepper — 100 g (3.5 oz)
Celery — 60 g (2.1 oz)
Chicken broth, low sodium — 200 g (7.1 oz)
Cajun seasoning — 6 g (0.2 oz)
Garlic — 6 g (0.2 oz)
Extra-virgin olive oil — 10 g (0.4 oz)</t>
        </is>
      </c>
      <c r="M1228" s="4" t="inlineStr">
        <is>
          <t>[{"ingredient_id": "white_rice", "name": "White rice, long-grain, cooked", "grams": 450.0, "note": ""}, {"ingredient_id": "chicken_sausage", "name": "Chicken sausage", "grams": 250.0, "note": ""}, {"ingredient_id": "tomato_paste", "name": "Tomato paste", "grams": 40.0, "note": ""}, {"ingredient_id": "onion", "name": "Yellow onion", "grams": 100.0, "note": ""}, {"ingredient_id": "bell_pepper", "name": "Bell pepper", "grams": 100.0, "note": ""}, {"ingredient_id": "celery", "name": "Celery", "grams": 60.0, "note": ""}, {"ingredient_id": "chicken_broth", "name": "Chicken broth, low sodium", "grams": 200.0, "note": ""}, {"ingredient_id": "cajun_seasoning", "name": "Cajun seasoning", "grams": 6.0, "note": ""}, {"ingredient_id": "garlic", "name": "Garlic", "grams": 6.0, "note": ""}, {"ingredient_id": "olive_oil", "name": "Extra-virgin olive oil", "grams": 10.0, "note": ""}]</t>
        </is>
      </c>
      <c r="N1228" s="2" t="n">
        <v>250</v>
      </c>
      <c r="O1228" s="5" t="n">
        <v>11.3</v>
      </c>
      <c r="P1228" s="5" t="n">
        <v>8.1</v>
      </c>
      <c r="Q1228" s="5" t="n">
        <v>32.4</v>
      </c>
      <c r="R1228" s="5" t="n">
        <v>2</v>
      </c>
      <c r="S1228" s="5" t="n">
        <v>30.4</v>
      </c>
      <c r="T1228" s="2" t="n">
        <v>66</v>
      </c>
      <c r="U1228" s="2" t="inlineStr">
        <is>
          <t>medium</t>
        </is>
      </c>
      <c r="V1228" s="5" t="n">
        <v>20.1</v>
      </c>
      <c r="W1228" s="2" t="inlineStr">
        <is>
          <t>high</t>
        </is>
      </c>
      <c r="X1228" s="3" t="inlineStr">
        <is>
          <t>Medium-GI dish: keep to the stated portion and pair with the protein/fat in the recipe; GL per serving is the better guide.</t>
        </is>
      </c>
      <c r="Y1228" s="3" t="inlineStr">
        <is>
          <t>82% of this dish's available carbohydrate comes from ingredients with a published, measured GI; the rest uses conventional placeholders (see Ingredients sheet)</t>
        </is>
      </c>
      <c r="Z1228" s="2" t="n">
        <v>82</v>
      </c>
      <c r="AA1228" s="3" t="inlineStr">
        <is>
          <t>gluten-free, dairy-free, nut-free</t>
        </is>
      </c>
      <c r="AB1228" s="3" t="inlineStr">
        <is>
          <t>1. Brown the sliced sausage in oil.
2. Add the onion, pepper, celery and garlic and soften.
3. Stir in the paste, broth and seasoning, then the cooked rice, and heat through.</t>
        </is>
      </c>
      <c r="AC1228" s="4" t="inlineStr">
        <is>
          <t>["Brown the sliced sausage in oil.", "Add the onion, pepper, celery and garlic and soften.", "Stir in the paste, broth and seasoning, then the cooked rice, and heat through."]</t>
        </is>
      </c>
    </row>
    <row r="1229" ht="96" customHeight="1">
      <c r="A1229" s="2" t="inlineStr">
        <is>
          <t>DB-1228</t>
        </is>
      </c>
      <c r="B1229" s="3" t="inlineStr">
        <is>
          <t>Hoppin' John with Black-Eyed Peas</t>
        </is>
      </c>
      <c r="C1229" s="4" t="inlineStr">
        <is>
          <t>Vegetarian &amp; Vegan</t>
        </is>
      </c>
      <c r="D1229" s="4" t="inlineStr">
        <is>
          <t>American</t>
        </is>
      </c>
      <c r="E1229" s="2" t="n">
        <v>6</v>
      </c>
      <c r="F1229" s="2" t="n">
        <v>10</v>
      </c>
      <c r="G1229" s="2" t="n">
        <v>40</v>
      </c>
      <c r="H1229" s="2" t="n">
        <v>50</v>
      </c>
      <c r="I1229" s="4" t="inlineStr">
        <is>
          <t>hoppin-john-with-black-eyed-peas.jpg</t>
        </is>
      </c>
      <c r="J1229" s="3" t="inlineStr">
        <is>
          <t>Hoppin' John with Black-Eyed Peas, healthy food photography, plated, natural light</t>
        </is>
      </c>
      <c r="K1229" s="4" t="inlineStr"/>
      <c r="L1229" s="3" t="inlineStr">
        <is>
          <t>Black-eyed peas, cooked — 600 g (21.2 oz)
White rice, long-grain, cooked — 360 g (12.7 oz)
Ham, lean — 120 g (4.2 oz)
Yellow onion — 120 g (4.2 oz)
Celery — 80 g (2.8 oz)
Bell pepper — 100 g (3.5 oz)
Garlic — 6 g (0.2 oz)
Chicken broth, low sodium — 400 g (14.1 oz)
Hot sauce (Tabasco/Frank's) — 10 g (0.4 oz)</t>
        </is>
      </c>
      <c r="M1229" s="4" t="inlineStr">
        <is>
          <t>[{"ingredient_id": "black_eyed_peas", "name": "Black-eyed peas, cooked", "grams": 600.0, "note": ""}, {"ingredient_id": "white_rice", "name": "White rice, long-grain, cooked", "grams": 360.0, "note": ""}, {"ingredient_id": "ham", "name": "Ham, lean", "grams": 120.0, "note": ""}, {"ingredient_id": "onion", "name": "Yellow onion", "grams": 120.0, "note": ""}, {"ingredient_id": "celery", "name": "Celery", "grams": 80.0, "note": ""}, {"ingredient_id": "bell_pepper", "name": "Bell pepper", "grams": 100.0, "note": ""}, {"ingredient_id": "garlic", "name": "Garlic", "grams": 6.0, "note": ""}, {"ingredient_id": "chicken_broth", "name": "Chicken broth, low sodium", "grams": 400.0, "note": ""}, {"ingredient_id": "hot_sauce", "name": "Hot sauce (Tabasco/Frank's)", "grams": 10.0, "note": ""}]</t>
        </is>
      </c>
      <c r="N1229" s="2" t="n">
        <v>244</v>
      </c>
      <c r="O1229" s="5" t="n">
        <v>14.7</v>
      </c>
      <c r="P1229" s="5" t="n">
        <v>2.1</v>
      </c>
      <c r="Q1229" s="5" t="n">
        <v>41.9</v>
      </c>
      <c r="R1229" s="5" t="n">
        <v>7.7</v>
      </c>
      <c r="S1229" s="5" t="n">
        <v>34.2</v>
      </c>
      <c r="T1229" s="2" t="n">
        <v>60</v>
      </c>
      <c r="U1229" s="2" t="inlineStr">
        <is>
          <t>medium</t>
        </is>
      </c>
      <c r="V1229" s="5" t="n">
        <v>20.5</v>
      </c>
      <c r="W1229" s="2" t="inlineStr">
        <is>
          <t>high</t>
        </is>
      </c>
      <c r="X1229" s="3" t="inlineStr">
        <is>
          <t>Medium-GI dish: keep to the stated portion and pair with the protein/fat in the recipe; GL per serving is the better guide.</t>
        </is>
      </c>
      <c r="Y1229" s="3" t="inlineStr">
        <is>
          <t>90% of this dish's available carbohydrate comes from ingredients with a published, measured GI; the rest uses conventional placeholders (see Ingredients sheet)</t>
        </is>
      </c>
      <c r="Z1229" s="2" t="n">
        <v>90</v>
      </c>
      <c r="AA1229" s="3" t="inlineStr">
        <is>
          <t>gluten-free, dairy-free, nut-free, high-fiber</t>
        </is>
      </c>
      <c r="AB1229" s="3" t="inlineStr">
        <is>
          <t>1. Simmer the peas with the ham, onion, celery, pepper, garlic and broth for 30 minutes.
2. Serve over the rice with hot sauce.</t>
        </is>
      </c>
      <c r="AC1229" s="4" t="inlineStr">
        <is>
          <t>["Simmer the peas with the ham, onion, celery, pepper, garlic and broth for 30 minutes.", "Serve over the rice with hot sauce."]</t>
        </is>
      </c>
    </row>
    <row r="1230" ht="96" customHeight="1">
      <c r="A1230" s="2" t="inlineStr">
        <is>
          <t>DB-1229</t>
        </is>
      </c>
      <c r="B1230" s="3" t="inlineStr">
        <is>
          <t>Smothered Chicken Thighs with Onion Gravy</t>
        </is>
      </c>
      <c r="C1230" s="4" t="inlineStr">
        <is>
          <t>Poultry</t>
        </is>
      </c>
      <c r="D1230" s="4" t="inlineStr">
        <is>
          <t>American</t>
        </is>
      </c>
      <c r="E1230" s="2" t="n">
        <v>4</v>
      </c>
      <c r="F1230" s="2" t="n">
        <v>10</v>
      </c>
      <c r="G1230" s="2" t="n">
        <v>40</v>
      </c>
      <c r="H1230" s="2" t="n">
        <v>50</v>
      </c>
      <c r="I1230" s="4" t="inlineStr">
        <is>
          <t>smothered-chicken-thighs-with-onion-gravy.jpg</t>
        </is>
      </c>
      <c r="J1230" s="3" t="inlineStr">
        <is>
          <t>Smothered Chicken Thighs with Onion Gravy, healthy food photography, plated, natural light</t>
        </is>
      </c>
      <c r="K1230" s="4" t="inlineStr"/>
      <c r="L1230" s="3" t="inlineStr">
        <is>
          <t>Chicken thigh, skinless boneless — 700 g (24.7 oz)
Yellow onion — 250 g (8.8 oz)
Chicken broth, low sodium — 300 g (10.6 oz)
Arrowroot starch — 8 g (0.3 oz)
Paprika — 3 g (0.1 oz)
Garlic powder — 3 g (0.1 oz)
Fresh thyme — 2 g (0.1 oz)
Extra-virgin olive oil — 20 g (0.7 oz)
Green beans — 300 g (10.6 oz)</t>
        </is>
      </c>
      <c r="M1230" s="4" t="inlineStr">
        <is>
          <t>[{"ingredient_id": "chicken_thigh", "name": "Chicken thigh, skinless boneless", "grams": 700.0, "note": ""}, {"ingredient_id": "onion", "name": "Yellow onion", "grams": 250.0, "note": ""}, {"ingredient_id": "chicken_broth", "name": "Chicken broth, low sodium", "grams": 300.0, "note": ""}, {"ingredient_id": "arrowroot", "name": "Arrowroot starch", "grams": 8.0, "note": ""}, {"ingredient_id": "paprika", "name": "Paprika", "grams": 3.0, "note": ""}, {"ingredient_id": "garlic_powder", "name": "Garlic powder", "grams": 3.0, "note": ""}, {"ingredient_id": "thyme", "name": "Fresh thyme", "grams": 2.0, "note": ""}, {"ingredient_id": "olive_oil", "name": "Extra-virgin olive oil", "grams": 20.0, "note": ""}, {"ingredient_id": "green_beans", "name": "Green beans", "grams": 300.0, "note": ""}]</t>
        </is>
      </c>
      <c r="N1230" s="2" t="n">
        <v>322</v>
      </c>
      <c r="O1230" s="5" t="n">
        <v>37.5</v>
      </c>
      <c r="P1230" s="5" t="n">
        <v>12.7</v>
      </c>
      <c r="Q1230" s="5" t="n">
        <v>14.3</v>
      </c>
      <c r="R1230" s="5" t="n">
        <v>3.6</v>
      </c>
      <c r="S1230" s="5" t="n">
        <v>10.7</v>
      </c>
      <c r="T1230" s="2" t="n">
        <v>22</v>
      </c>
      <c r="U1230" s="2" t="inlineStr">
        <is>
          <t>low</t>
        </is>
      </c>
      <c r="V1230" s="5" t="n">
        <v>2.4</v>
      </c>
      <c r="W1230" s="2" t="inlineStr">
        <is>
          <t>low</t>
        </is>
      </c>
      <c r="X1230" s="3" t="inlineStr"/>
      <c r="Y1230" s="3" t="inlineStr">
        <is>
          <t>16% of this dish's available carbohydrate comes from ingredients with a published, measured GI; the rest uses conventional placeholders (see Ingredients sheet)</t>
        </is>
      </c>
      <c r="Z1230" s="2" t="n">
        <v>16</v>
      </c>
      <c r="AA1230" s="3" t="inlineStr">
        <is>
          <t>gluten-free, dairy-free, nut-free, low-carb, high-protein</t>
        </is>
      </c>
      <c r="AB1230" s="3" t="inlineStr">
        <is>
          <t>1. Season and sear the chicken in oil, then set aside.
2. Cook the onions slowly in the pan until deep golden.
3. Add the broth, thyme and arrowroot slurry and simmer to a gravy.
4. Return the chicken and braise 20 minutes; serve with green beans.</t>
        </is>
      </c>
      <c r="AC1230" s="4" t="inlineStr">
        <is>
          <t>["Season and sear the chicken in oil, then set aside.", "Cook the onions slowly in the pan until deep golden.", "Add the broth, thyme and arrowroot slurry and simmer to a gravy.", "Return the chicken and braise 20 minutes; serve with green beans."]</t>
        </is>
      </c>
    </row>
    <row r="1231" ht="96" customHeight="1">
      <c r="A1231" s="2" t="inlineStr">
        <is>
          <t>DB-1230</t>
        </is>
      </c>
      <c r="B1231" s="3" t="inlineStr">
        <is>
          <t>Southern Pan-Fried Catfish with Slaw</t>
        </is>
      </c>
      <c r="C1231" s="4" t="inlineStr">
        <is>
          <t>Seafood</t>
        </is>
      </c>
      <c r="D1231" s="4" t="inlineStr">
        <is>
          <t>American</t>
        </is>
      </c>
      <c r="E1231" s="2" t="n">
        <v>4</v>
      </c>
      <c r="F1231" s="2" t="n">
        <v>15</v>
      </c>
      <c r="G1231" s="2" t="n">
        <v>15</v>
      </c>
      <c r="H1231" s="2" t="n">
        <v>30</v>
      </c>
      <c r="I1231" s="4" t="inlineStr">
        <is>
          <t>southern-pan-fried-catfish-with-slaw.jpg</t>
        </is>
      </c>
      <c r="J1231" s="3" t="inlineStr">
        <is>
          <t>Southern Pan-Fried Catfish with Slaw, healthy food photography, plated, natural light</t>
        </is>
      </c>
      <c r="K1231" s="4" t="inlineStr"/>
      <c r="L1231" s="3" t="inlineStr">
        <is>
          <t>Catfish fillet — 560 g (19.8 oz)
Almond flour — 50 g (1.8 oz)
Parmesan, grated — 20 g (0.7 oz)
Egg, large (50 g each) — 50 g (1.8 oz)
Cajun seasoning — 5 g (0.2 oz)
Extra-virgin olive oil — 30 g (1.1 oz)
Coleslaw mix (cabbage &amp; carrot) — 250 g (8.8 oz)
Greek yogurt, plain 2% — 70 g (2.5 oz)
Apple cider vinegar — 15 g (0.5 oz)</t>
        </is>
      </c>
      <c r="M1231" s="4" t="inlineStr">
        <is>
          <t>[{"ingredient_id": "catfish", "name": "Catfish fillet", "grams": 560.0, "note": ""}, {"ingredient_id": "almond_flour", "name": "Almond flour", "grams": 50.0, "note": ""}, {"ingredient_id": "parmesan", "name": "Parmesan, grated", "grams": 20.0, "note": ""}, {"ingredient_id": "egg", "name": "Egg, large (50 g each)", "grams": 50.0, "note": ""}, {"ingredient_id": "cajun_seasoning", "name": "Cajun seasoning", "grams": 5.0, "note": ""}, {"ingredient_id": "olive_oil", "name": "Extra-virgin olive oil", "grams": 30.0, "note": ""}, {"ingredient_id": "coleslaw_mix", "name": "Coleslaw mix (cabbage &amp; carrot)", "grams": 250.0, "note": ""}, {"ingredient_id": "greek_yogurt", "name": "Greek yogurt, plain 2%", "grams": 70.0, "note": ""}, {"ingredient_id": "apple_cider_vinegar", "name": "Apple cider vinegar", "grams": 15.0, "note": ""}]</t>
        </is>
      </c>
      <c r="N1231" s="2" t="n">
        <v>347</v>
      </c>
      <c r="O1231" s="5" t="n">
        <v>31.2</v>
      </c>
      <c r="P1231" s="5" t="n">
        <v>21.1</v>
      </c>
      <c r="Q1231" s="5" t="n">
        <v>8.1</v>
      </c>
      <c r="R1231" s="5" t="n">
        <v>3.3</v>
      </c>
      <c r="S1231" s="5" t="n">
        <v>4.8</v>
      </c>
      <c r="T1231" s="2" t="n">
        <v>13</v>
      </c>
      <c r="U1231" s="2" t="inlineStr">
        <is>
          <t>low</t>
        </is>
      </c>
      <c r="V1231" s="5" t="n">
        <v>0.6</v>
      </c>
      <c r="W1231" s="2" t="inlineStr">
        <is>
          <t>low</t>
        </is>
      </c>
      <c r="X1231" s="3" t="inlineStr">
        <is>
          <t>Negligible carbohydrate (&lt;5 g net/serving): GI has little practical meaning, glycemic load is what matters.</t>
        </is>
      </c>
      <c r="Y1231" s="3" t="inlineStr">
        <is>
          <t>15% of this dish's available carbohydrate comes from ingredients with a published, measured GI; the rest uses conventional placeholders (see Ingredients sheet)</t>
        </is>
      </c>
      <c r="Z1231" s="2" t="n">
        <v>15</v>
      </c>
      <c r="AA1231" s="3" t="inlineStr">
        <is>
          <t>pescatarian, gluten-free, low-carb, high-protein</t>
        </is>
      </c>
      <c r="AB1231" s="3" t="inlineStr">
        <is>
          <t>1. Dip the catfish in egg, then almond flour mixed with parmesan and seasoning.
2. Pan-fry in oil 4 minutes a side.
3. Toss the slaw with yogurt and vinegar and serve alongside.</t>
        </is>
      </c>
      <c r="AC1231" s="4" t="inlineStr">
        <is>
          <t>["Dip the catfish in egg, then almond flour mixed with parmesan and seasoning.", "Pan-fry in oil 4 minutes a side.", "Toss the slaw with yogurt and vinegar and serve alongside."]</t>
        </is>
      </c>
    </row>
    <row r="1232" ht="96" customHeight="1">
      <c r="A1232" s="2" t="inlineStr">
        <is>
          <t>DB-1231</t>
        </is>
      </c>
      <c r="B1232" s="3" t="inlineStr">
        <is>
          <t>Shrimp Po' Boy Lettuce Boats</t>
        </is>
      </c>
      <c r="C1232" s="4" t="inlineStr">
        <is>
          <t>Sandwiches &amp; Wraps</t>
        </is>
      </c>
      <c r="D1232" s="4" t="inlineStr">
        <is>
          <t>Cajun</t>
        </is>
      </c>
      <c r="E1232" s="2" t="n">
        <v>4</v>
      </c>
      <c r="F1232" s="2" t="n">
        <v>15</v>
      </c>
      <c r="G1232" s="2" t="n">
        <v>8</v>
      </c>
      <c r="H1232" s="2" t="n">
        <v>23</v>
      </c>
      <c r="I1232" s="4" t="inlineStr">
        <is>
          <t>shrimp-po-boy-lettuce-boats.jpg</t>
        </is>
      </c>
      <c r="J1232" s="3" t="inlineStr">
        <is>
          <t>Shrimp Po' Boy Lettuce Boats, healthy food photography, plated, natural light</t>
        </is>
      </c>
      <c r="K1232" s="4" t="inlineStr"/>
      <c r="L1232" s="3" t="inlineStr">
        <is>
          <t>Shrimp, peeled — 450 g (15.9 oz)
Cajun seasoning — 6 g (0.2 oz)
Butter lettuce — 150 g (5.3 oz)
Tomato — 150 g (5.3 oz)
Dill pickles — 50 g (1.8 oz)
Mayonnaise (avocado oil) — 30 g (1.1 oz)
Hot sauce (Tabasco/Frank's) — 10 g (0.4 oz)
Lemon juice — 15 g (0.5 oz)
Extra-virgin olive oil — 15 g (0.5 oz)</t>
        </is>
      </c>
      <c r="M1232" s="4" t="inlineStr">
        <is>
          <t>[{"ingredient_id": "shrimp", "name": "Shrimp, peeled", "grams": 450.0, "note": ""}, {"ingredient_id": "cajun_seasoning", "name": "Cajun seasoning", "grams": 6.0, "note": ""}, {"ingredient_id": "butter_lettuce", "name": "Butter lettuce", "grams": 150.0, "note": ""}, {"ingredient_id": "tomato", "name": "Tomato", "grams": 150.0, "note": ""}, {"ingredient_id": "dill_pickle", "name": "Dill pickles", "grams": 50.0, "note": ""}, {"ingredient_id": "mayo", "name": "Mayonnaise (avocado oil)", "grams": 30.0, "note": ""}, {"ingredient_id": "hot_sauce", "name": "Hot sauce (Tabasco/Frank's)", "grams": 10.0, "note": ""}, {"ingredient_id": "lemon_juice", "name": "Lemon juice", "grams": 15.0, "note": ""}, {"ingredient_id": "olive_oil", "name": "Extra-virgin olive oil", "grams": 15.0, "note": ""}]</t>
        </is>
      </c>
      <c r="N1232" s="2" t="n">
        <v>200</v>
      </c>
      <c r="O1232" s="5" t="n">
        <v>23.6</v>
      </c>
      <c r="P1232" s="5" t="n">
        <v>10.5</v>
      </c>
      <c r="Q1232" s="5" t="n">
        <v>3.7</v>
      </c>
      <c r="R1232" s="5" t="n">
        <v>1.4</v>
      </c>
      <c r="S1232" s="5" t="n">
        <v>2.3</v>
      </c>
      <c r="T1232" s="2" t="n">
        <v>16</v>
      </c>
      <c r="U1232" s="2" t="inlineStr">
        <is>
          <t>low</t>
        </is>
      </c>
      <c r="V1232" s="5" t="n">
        <v>0.4</v>
      </c>
      <c r="W1232" s="2" t="inlineStr">
        <is>
          <t>low</t>
        </is>
      </c>
      <c r="X1232" s="3" t="inlineStr">
        <is>
          <t>Negligible carbohydrate (&lt;5 g net/serving): GI has little practical meaning, glycemic load is what matters.</t>
        </is>
      </c>
      <c r="Y1232" s="3" t="inlineStr">
        <is>
          <t>0% of this dish's available carbohydrate comes from ingredients with a published, measured GI; the rest uses conventional placeholders (see Ingredients sheet)</t>
        </is>
      </c>
      <c r="Z1232" s="2" t="n">
        <v>0</v>
      </c>
      <c r="AA1232" s="3" t="inlineStr">
        <is>
          <t>pescatarian, gluten-free, dairy-free, nut-free, low-carb</t>
        </is>
      </c>
      <c r="AB1232" s="3" t="inlineStr">
        <is>
          <t>1. Season the shrimp and sear in oil 2 minutes a side.
2. Mix the mayo, hot sauce and lemon.
3. Fill the lettuce leaves with shrimp, tomato, pickle and sauce.</t>
        </is>
      </c>
      <c r="AC1232" s="4" t="inlineStr">
        <is>
          <t>["Season the shrimp and sear in oil 2 minutes a side.", "Mix the mayo, hot sauce and lemon.", "Fill the lettuce leaves with shrimp, tomato, pickle and sauce."]</t>
        </is>
      </c>
    </row>
    <row r="1233" ht="96" customHeight="1">
      <c r="A1233" s="2" t="inlineStr">
        <is>
          <t>DB-1232</t>
        </is>
      </c>
      <c r="B1233" s="3" t="inlineStr">
        <is>
          <t>Oyster Po' Boy on a Bun</t>
        </is>
      </c>
      <c r="C1233" s="4" t="inlineStr">
        <is>
          <t>Sandwiches &amp; Wraps</t>
        </is>
      </c>
      <c r="D1233" s="4" t="inlineStr">
        <is>
          <t>Cajun</t>
        </is>
      </c>
      <c r="E1233" s="2" t="n">
        <v>3</v>
      </c>
      <c r="F1233" s="2" t="n">
        <v>15</v>
      </c>
      <c r="G1233" s="2" t="n">
        <v>10</v>
      </c>
      <c r="H1233" s="2" t="n">
        <v>25</v>
      </c>
      <c r="I1233" s="4" t="inlineStr">
        <is>
          <t>oyster-po-boy-on-a-bun.jpg</t>
        </is>
      </c>
      <c r="J1233" s="3" t="inlineStr">
        <is>
          <t>Oyster Po' Boy on a Bun, healthy food photography, plated, natural light</t>
        </is>
      </c>
      <c r="K1233" s="4" t="inlineStr"/>
      <c r="L1233" s="3" t="inlineStr">
        <is>
          <t>Oysters — 300 g (10.6 oz)
Hamburger bun, white — 180 g (6.3 oz)
Almond flour — 40 g (1.4 oz)
Egg, large (50 g each) — 50 g (1.8 oz)
Cajun seasoning — 4 g (0.1 oz)
Romaine lettuce — 50 g (1.8 oz)
Tomato — 100 g (3.5 oz)
Mayonnaise (avocado oil) — 25 g (0.9 oz)
Extra-virgin olive oil — 25 g (0.9 oz)</t>
        </is>
      </c>
      <c r="M1233" s="4" t="inlineStr">
        <is>
          <t>[{"ingredient_id": "oysters", "name": "Oysters", "grams": 300.0, "note": ""}, {"ingredient_id": "hamburger_bun", "name": "Hamburger bun, white", "grams": 180.0, "note": ""}, {"ingredient_id": "almond_flour", "name": "Almond flour", "grams": 40.0, "note": ""}, {"ingredient_id": "egg", "name": "Egg, large (50 g each)", "grams": 50.0, "note": ""}, {"ingredient_id": "cajun_seasoning", "name": "Cajun seasoning", "grams": 4.0, "note": ""}, {"ingredient_id": "romaine", "name": "Romaine lettuce", "grams": 50.0, "note": ""}, {"ingredient_id": "tomato", "name": "Tomato", "grams": 100.0, "note": ""}, {"ingredient_id": "mayo", "name": "Mayonnaise (avocado oil)", "grams": 25.0, "note": ""}, {"ingredient_id": "olive_oil", "name": "Extra-virgin olive oil", "grams": 25.0, "note": ""}]</t>
        </is>
      </c>
      <c r="N1233" s="2" t="n">
        <v>476</v>
      </c>
      <c r="O1233" s="5" t="n">
        <v>18.2</v>
      </c>
      <c r="P1233" s="5" t="n">
        <v>28</v>
      </c>
      <c r="Q1233" s="5" t="n">
        <v>39</v>
      </c>
      <c r="R1233" s="5" t="n">
        <v>4.1</v>
      </c>
      <c r="S1233" s="5" t="n">
        <v>35</v>
      </c>
      <c r="T1233" s="2" t="n">
        <v>51</v>
      </c>
      <c r="U1233" s="2" t="inlineStr">
        <is>
          <t>low</t>
        </is>
      </c>
      <c r="V1233" s="5" t="n">
        <v>17.8</v>
      </c>
      <c r="W1233" s="2" t="inlineStr">
        <is>
          <t>medium</t>
        </is>
      </c>
      <c r="X1233" s="3" t="inlineStr"/>
      <c r="Y1233" s="3" t="inlineStr">
        <is>
          <t>80% of this dish's available carbohydrate comes from ingredients with a published, measured GI; the rest uses conventional placeholders (see Ingredients sheet)</t>
        </is>
      </c>
      <c r="Z1233" s="2" t="n">
        <v>80</v>
      </c>
      <c r="AA1233" s="3" t="inlineStr">
        <is>
          <t>pescatarian, dairy-free</t>
        </is>
      </c>
      <c r="AB1233" s="3" t="inlineStr">
        <is>
          <t>1. Dip the oysters in egg, then almond flour and seasoning.
2. Pan-fry in oil until golden, about 2 minutes a side.
3. Toast the buns and fill with oysters, lettuce, tomato and mayo.</t>
        </is>
      </c>
      <c r="AC1233" s="4" t="inlineStr">
        <is>
          <t>["Dip the oysters in egg, then almond flour and seasoning.", "Pan-fry in oil until golden, about 2 minutes a side.", "Toast the buns and fill with oysters, lettuce, tomato and mayo."]</t>
        </is>
      </c>
    </row>
    <row r="1234" ht="96" customHeight="1">
      <c r="A1234" s="2" t="inlineStr">
        <is>
          <t>DB-1233</t>
        </is>
      </c>
      <c r="B1234" s="3" t="inlineStr">
        <is>
          <t>Cajun Chicken Pasta</t>
        </is>
      </c>
      <c r="C1234" s="4" t="inlineStr">
        <is>
          <t>Poultry</t>
        </is>
      </c>
      <c r="D1234" s="4" t="inlineStr">
        <is>
          <t>Cajun</t>
        </is>
      </c>
      <c r="E1234" s="2" t="n">
        <v>4</v>
      </c>
      <c r="F1234" s="2" t="n">
        <v>15</v>
      </c>
      <c r="G1234" s="2" t="n">
        <v>20</v>
      </c>
      <c r="H1234" s="2" t="n">
        <v>35</v>
      </c>
      <c r="I1234" s="4" t="inlineStr">
        <is>
          <t>cajun-chicken-pasta.jpg</t>
        </is>
      </c>
      <c r="J1234" s="3" t="inlineStr">
        <is>
          <t>Cajun Chicken Pasta, healthy food photography, plated, natural light</t>
        </is>
      </c>
      <c r="K1234" s="4" t="inlineStr"/>
      <c r="L1234" s="3" t="inlineStr">
        <is>
          <t>Chicken breast, skinless — 400 g (14.1 oz)
White pasta, cooked al dente — 400 g (14.1 oz)
Bell pepper — 150 g (5.3 oz)
Mushrooms (cremini/white) — 120 g (4.2 oz)
Heavy cream — 100 g (3.5 oz)
Cajun seasoning — 10 g (0.4 oz)
Parmesan, grated — 30 g (1.1 oz)
Garlic — 6 g (0.2 oz)
Extra-virgin olive oil — 15 g (0.5 oz)</t>
        </is>
      </c>
      <c r="M1234" s="4" t="inlineStr">
        <is>
          <t>[{"ingredient_id": "chicken_breast", "name": "Chicken breast, skinless", "grams": 400.0, "note": ""}, {"ingredient_id": "white_pasta", "name": "White pasta, cooked al dente", "grams": 400.0, "note": ""}, {"ingredient_id": "bell_pepper", "name": "Bell pepper", "grams": 150.0, "note": ""}, {"ingredient_id": "mushrooms", "name": "Mushrooms (cremini/white)", "grams": 120.0, "note": ""}, {"ingredient_id": "heavy_cream", "name": "Heavy cream", "grams": 100.0, "note": ""}, {"ingredient_id": "cajun_seasoning", "name": "Cajun seasoning", "grams": 10.0, "note": ""}, {"ingredient_id": "parmesan", "name": "Parmesan, grated", "grams": 30.0, "note": ""}, {"ingredient_id": "garlic", "name": "Garlic", "grams": 6.0, "note": ""}, {"ingredient_id": "olive_oil", "name": "Extra-virgin olive oil", "grams": 15.0, "note": ""}]</t>
        </is>
      </c>
      <c r="N1234" s="2" t="n">
        <v>455</v>
      </c>
      <c r="O1234" s="5" t="n">
        <v>33.3</v>
      </c>
      <c r="P1234" s="5" t="n">
        <v>18.9</v>
      </c>
      <c r="Q1234" s="5" t="n">
        <v>36.9</v>
      </c>
      <c r="R1234" s="5" t="n">
        <v>3.5</v>
      </c>
      <c r="S1234" s="5" t="n">
        <v>33.3</v>
      </c>
      <c r="T1234" s="2" t="n">
        <v>44</v>
      </c>
      <c r="U1234" s="2" t="inlineStr">
        <is>
          <t>low</t>
        </is>
      </c>
      <c r="V1234" s="5" t="n">
        <v>14.7</v>
      </c>
      <c r="W1234" s="2" t="inlineStr">
        <is>
          <t>medium</t>
        </is>
      </c>
      <c r="X1234" s="3" t="inlineStr"/>
      <c r="Y1234" s="3" t="inlineStr">
        <is>
          <t>87% of this dish's available carbohydrate comes from ingredients with a published, measured GI; the rest uses conventional placeholders (see Ingredients sheet)</t>
        </is>
      </c>
      <c r="Z1234" s="2" t="n">
        <v>87</v>
      </c>
      <c r="AA1234" s="3" t="inlineStr">
        <is>
          <t>nut-free, high-protein</t>
        </is>
      </c>
      <c r="AB1234" s="3" t="inlineStr">
        <is>
          <t>1. Sear the seasoned chicken in oil and slice.
2. Soften the pepper, mushrooms and garlic.
3. Add the cream and parmesan and simmer 3 minutes.
4. Toss with the pasta and chicken.</t>
        </is>
      </c>
      <c r="AC1234" s="4" t="inlineStr">
        <is>
          <t>["Sear the seasoned chicken in oil and slice.", "Soften the pepper, mushrooms and garlic.", "Add the cream and parmesan and simmer 3 minutes.", "Toss with the pasta and chicken."]</t>
        </is>
      </c>
    </row>
    <row r="1235" ht="96" customHeight="1">
      <c r="A1235" s="2" t="inlineStr">
        <is>
          <t>DB-1234</t>
        </is>
      </c>
      <c r="B1235" s="3" t="inlineStr">
        <is>
          <t>Creole Shrimp and Okra Stew</t>
        </is>
      </c>
      <c r="C1235" s="4" t="inlineStr">
        <is>
          <t>Soup &amp; Stew</t>
        </is>
      </c>
      <c r="D1235" s="4" t="inlineStr">
        <is>
          <t>Cajun</t>
        </is>
      </c>
      <c r="E1235" s="2" t="n">
        <v>4</v>
      </c>
      <c r="F1235" s="2" t="n">
        <v>10</v>
      </c>
      <c r="G1235" s="2" t="n">
        <v>25</v>
      </c>
      <c r="H1235" s="2" t="n">
        <v>35</v>
      </c>
      <c r="I1235" s="4" t="inlineStr">
        <is>
          <t>creole-shrimp-and-okra-stew.jpg</t>
        </is>
      </c>
      <c r="J1235" s="3" t="inlineStr">
        <is>
          <t>Creole Shrimp and Okra Stew, healthy food photography, plated, natural light</t>
        </is>
      </c>
      <c r="K1235" s="4" t="inlineStr"/>
      <c r="L1235" s="3" t="inlineStr">
        <is>
          <t>Shrimp, peeled — 400 g (14.1 oz)
Okra — 300 g (10.6 oz)
Diced tomatoes, canned — 400 g (14.1 oz)
Yellow onion — 100 g (3.5 oz)
Bell pepper — 100 g (3.5 oz)
Garlic — 6 g (0.2 oz)
Cajun seasoning — 6 g (0.2 oz)
Extra-virgin olive oil — 15 g (0.5 oz)</t>
        </is>
      </c>
      <c r="M1235" s="4" t="inlineStr">
        <is>
          <t>[{"ingredient_id": "shrimp", "name": "Shrimp, peeled", "grams": 400.0, "note": ""}, {"ingredient_id": "okra", "name": "Okra", "grams": 300.0, "note": ""}, {"ingredient_id": "diced_tomatoes", "name": "Diced tomatoes, canned", "grams": 400.0, "note": ""}, {"ingredient_id": "onion", "name": "Yellow onion", "grams": 100.0, "note": ""}, {"ingredient_id": "bell_pepper", "name": "Bell pepper", "grams": 100.0, "note": ""}, {"ingredient_id": "garlic", "name": "Garlic", "grams": 6.0, "note": ""}, {"ingredient_id": "cajun_seasoning", "name": "Cajun seasoning", "grams": 6.0, "note": ""}, {"ingredient_id": "olive_oil", "name": "Extra-virgin olive oil", "grams": 15.0, "note": ""}]</t>
        </is>
      </c>
      <c r="N1235" s="2" t="n">
        <v>191</v>
      </c>
      <c r="O1235" s="5" t="n">
        <v>23.4</v>
      </c>
      <c r="P1235" s="5" t="n">
        <v>4.8</v>
      </c>
      <c r="Q1235" s="5" t="n">
        <v>15.8</v>
      </c>
      <c r="R1235" s="5" t="n">
        <v>5.3</v>
      </c>
      <c r="S1235" s="5" t="n">
        <v>10.5</v>
      </c>
      <c r="T1235" s="2" t="n">
        <v>24</v>
      </c>
      <c r="U1235" s="2" t="inlineStr">
        <is>
          <t>low</t>
        </is>
      </c>
      <c r="V1235" s="5" t="n">
        <v>2.5</v>
      </c>
      <c r="W1235" s="2" t="inlineStr">
        <is>
          <t>low</t>
        </is>
      </c>
      <c r="X1235" s="3" t="inlineStr"/>
      <c r="Y1235" s="3" t="inlineStr">
        <is>
          <t>0% of this dish's available carbohydrate comes from ingredients with a published, measured GI; the rest uses conventional placeholders (see Ingredients sheet)</t>
        </is>
      </c>
      <c r="Z1235" s="2" t="n">
        <v>0</v>
      </c>
      <c r="AA1235" s="3" t="inlineStr">
        <is>
          <t>pescatarian, gluten-free, dairy-free, nut-free, low-carb</t>
        </is>
      </c>
      <c r="AB1235" s="3" t="inlineStr">
        <is>
          <t>1. Soften the onion, pepper and garlic in oil.
2. Add the okra, tomatoes and seasoning and simmer 15 minutes.
3. Stir in the shrimp and cook 4 minutes.</t>
        </is>
      </c>
      <c r="AC1235" s="4" t="inlineStr">
        <is>
          <t>["Soften the onion, pepper and garlic in oil.", "Add the okra, tomatoes and seasoning and simmer 15 minutes.", "Stir in the shrimp and cook 4 minutes."]</t>
        </is>
      </c>
    </row>
    <row r="1236" ht="96" customHeight="1">
      <c r="A1236" s="2" t="inlineStr">
        <is>
          <t>DB-1235</t>
        </is>
      </c>
      <c r="B1236" s="3" t="inlineStr">
        <is>
          <t>Collard Greens with Smoked Turkey Wing Style</t>
        </is>
      </c>
      <c r="C1236" s="4" t="inlineStr">
        <is>
          <t>Side Dish</t>
        </is>
      </c>
      <c r="D1236" s="4" t="inlineStr">
        <is>
          <t>American</t>
        </is>
      </c>
      <c r="E1236" s="2" t="n">
        <v>5</v>
      </c>
      <c r="F1236" s="2" t="n">
        <v>10</v>
      </c>
      <c r="G1236" s="2" t="n">
        <v>50</v>
      </c>
      <c r="H1236" s="2" t="n">
        <v>60</v>
      </c>
      <c r="I1236" s="4" t="inlineStr">
        <is>
          <t>collard-greens-with-smoked-turkey-wing-style.jpg</t>
        </is>
      </c>
      <c r="J1236" s="3" t="inlineStr">
        <is>
          <t>Collard Greens with Smoked Turkey Wing Style, healthy food photography, plated, natural light</t>
        </is>
      </c>
      <c r="K1236" s="4" t="inlineStr"/>
      <c r="L1236" s="3" t="inlineStr">
        <is>
          <t>Collard greens — 600 g (21.2 oz)
Turkey bacon — 60 g (2.1 oz)
Yellow onion — 100 g (3.5 oz)
Garlic — 6 g (0.2 oz)
Chicken broth, low sodium — 400 g (14.1 oz)
Apple cider vinegar — 20 g (0.7 oz)
Red pepper flakes — 1 g (0.0 oz)</t>
        </is>
      </c>
      <c r="M1236" s="4" t="inlineStr">
        <is>
          <t>[{"ingredient_id": "collard_greens", "name": "Collard greens", "grams": 600.0, "note": ""}, {"ingredient_id": "turkey_bacon", "name": "Turkey bacon", "grams": 60.0, "note": ""}, {"ingredient_id": "onion", "name": "Yellow onion", "grams": 100.0, "note": ""}, {"ingredient_id": "garlic", "name": "Garlic", "grams": 6.0, "note": ""}, {"ingredient_id": "chicken_broth", "name": "Chicken broth, low sodium", "grams": 400.0, "note": ""}, {"ingredient_id": "apple_cider_vinegar", "name": "Apple cider vinegar", "grams": 20.0, "note": ""}, {"ingredient_id": "red_pepper_flakes", "name": "Red pepper flakes", "grams": 1.0, "note": ""}]</t>
        </is>
      </c>
      <c r="N1236" s="2" t="n">
        <v>81</v>
      </c>
      <c r="O1236" s="5" t="n">
        <v>6.9</v>
      </c>
      <c r="P1236" s="5" t="n">
        <v>2.7</v>
      </c>
      <c r="Q1236" s="5" t="n">
        <v>9.5</v>
      </c>
      <c r="R1236" s="5" t="n">
        <v>5.2</v>
      </c>
      <c r="S1236" s="5" t="n">
        <v>4.3</v>
      </c>
      <c r="T1236" s="2" t="n">
        <v>14</v>
      </c>
      <c r="U1236" s="2" t="inlineStr">
        <is>
          <t>low</t>
        </is>
      </c>
      <c r="V1236" s="5" t="n">
        <v>0.6</v>
      </c>
      <c r="W1236" s="2" t="inlineStr">
        <is>
          <t>low</t>
        </is>
      </c>
      <c r="X1236" s="3" t="inlineStr">
        <is>
          <t>Negligible carbohydrate (&lt;5 g net/serving): GI has little practical meaning, glycemic load is what matters.</t>
        </is>
      </c>
      <c r="Y1236" s="3" t="inlineStr">
        <is>
          <t>0% of this dish's available carbohydrate comes from ingredients with a published, measured GI; the rest uses conventional placeholders (see Ingredients sheet)</t>
        </is>
      </c>
      <c r="Z1236" s="2" t="n">
        <v>0</v>
      </c>
      <c r="AA1236" s="3" t="inlineStr">
        <is>
          <t>gluten-free, dairy-free, nut-free, low-carb</t>
        </is>
      </c>
      <c r="AB1236" s="3" t="inlineStr">
        <is>
          <t>1. Crisp the bacon with onion and garlic.
2. Add the chopped collards, broth and pepper flakes.
3. Simmer 45 minutes and finish with vinegar.</t>
        </is>
      </c>
      <c r="AC1236" s="4" t="inlineStr">
        <is>
          <t>["Crisp the bacon with onion and garlic.", "Add the chopped collards, broth and pepper flakes.", "Simmer 45 minutes and finish with vinegar."]</t>
        </is>
      </c>
    </row>
    <row r="1237" ht="96" customHeight="1">
      <c r="A1237" s="2" t="inlineStr">
        <is>
          <t>DB-1236</t>
        </is>
      </c>
      <c r="B1237" s="3" t="inlineStr">
        <is>
          <t>Fried Okra, Oven-Baked</t>
        </is>
      </c>
      <c r="C1237" s="4" t="inlineStr">
        <is>
          <t>Side Dish</t>
        </is>
      </c>
      <c r="D1237" s="4" t="inlineStr">
        <is>
          <t>American</t>
        </is>
      </c>
      <c r="E1237" s="2" t="n">
        <v>4</v>
      </c>
      <c r="F1237" s="2" t="n">
        <v>10</v>
      </c>
      <c r="G1237" s="2" t="n">
        <v>25</v>
      </c>
      <c r="H1237" s="2" t="n">
        <v>35</v>
      </c>
      <c r="I1237" s="4" t="inlineStr">
        <is>
          <t>fried-okra-oven-baked.jpg</t>
        </is>
      </c>
      <c r="J1237" s="3" t="inlineStr">
        <is>
          <t>Fried Okra, Oven-Baked, healthy food photography, plated, natural light</t>
        </is>
      </c>
      <c r="K1237" s="4" t="inlineStr"/>
      <c r="L1237" s="3" t="inlineStr">
        <is>
          <t>Okra — 400 g (14.1 oz)
Almond flour — 40 g (1.4 oz)
Egg, large (50 g each) — 50 g (1.8 oz)
Parmesan, grated — 20 g (0.7 oz)
Paprika — 2 g (0.1 oz)
Garlic powder — 2 g (0.1 oz)
Extra-virgin olive oil — 20 g (0.7 oz)</t>
        </is>
      </c>
      <c r="M1237" s="4" t="inlineStr">
        <is>
          <t>[{"ingredient_id": "okra", "name": "Okra", "grams": 400.0, "note": ""}, {"ingredient_id": "almond_flour", "name": "Almond flour", "grams": 40.0, "note": ""}, {"ingredient_id": "egg", "name": "Egg, large (50 g each)", "grams": 50.0, "note": ""}, {"ingredient_id": "parmesan", "name": "Parmesan, grated", "grams": 20.0, "note": ""}, {"ingredient_id": "paprika", "name": "Paprika", "grams": 2.0, "note": ""}, {"ingredient_id": "garlic_powder", "name": "Garlic powder", "grams": 2.0, "note": ""}, {"ingredient_id": "olive_oil", "name": "Extra-virgin olive oil", "grams": 20.0, "note": ""}]</t>
        </is>
      </c>
      <c r="N1237" s="2" t="n">
        <v>179</v>
      </c>
      <c r="O1237" s="5" t="n">
        <v>7.6</v>
      </c>
      <c r="P1237" s="5" t="n">
        <v>12.9</v>
      </c>
      <c r="Q1237" s="5" t="n">
        <v>10.5</v>
      </c>
      <c r="R1237" s="5" t="n">
        <v>4.6</v>
      </c>
      <c r="S1237" s="5" t="n">
        <v>5.9</v>
      </c>
      <c r="T1237" s="2" t="n">
        <v>18</v>
      </c>
      <c r="U1237" s="2" t="inlineStr">
        <is>
          <t>low</t>
        </is>
      </c>
      <c r="V1237" s="5" t="n">
        <v>1.1</v>
      </c>
      <c r="W1237" s="2" t="inlineStr">
        <is>
          <t>low</t>
        </is>
      </c>
      <c r="X1237" s="3" t="inlineStr"/>
      <c r="Y1237" s="3" t="inlineStr">
        <is>
          <t>0% of this dish's available carbohydrate comes from ingredients with a published, measured GI; the rest uses conventional placeholders (see Ingredients sheet)</t>
        </is>
      </c>
      <c r="Z1237" s="2" t="n">
        <v>0</v>
      </c>
      <c r="AA1237" s="3" t="inlineStr">
        <is>
          <t>vegetarian, gluten-free, low-carb</t>
        </is>
      </c>
      <c r="AB1237" s="3" t="inlineStr">
        <is>
          <t>1. Slice the okra.
2. Dip in egg, then the almond flour mix.
3. Roast on an oiled tray at 425°F for 25 minutes, turning once.</t>
        </is>
      </c>
      <c r="AC1237" s="4" t="inlineStr">
        <is>
          <t>["Slice the okra.", "Dip in egg, then the almond flour mix.", "Roast on an oiled tray at 425°F for 25 minutes, turning once."]</t>
        </is>
      </c>
    </row>
    <row r="1238" ht="96" customHeight="1">
      <c r="A1238" s="2" t="inlineStr">
        <is>
          <t>DB-1237</t>
        </is>
      </c>
      <c r="B1238" s="3" t="inlineStr">
        <is>
          <t>Southern Cabbage and Sausage Skillet</t>
        </is>
      </c>
      <c r="C1238" s="4" t="inlineStr">
        <is>
          <t>Beef, Pork &amp; Lamb</t>
        </is>
      </c>
      <c r="D1238" s="4" t="inlineStr">
        <is>
          <t>American</t>
        </is>
      </c>
      <c r="E1238" s="2" t="n">
        <v>4</v>
      </c>
      <c r="F1238" s="2" t="n">
        <v>10</v>
      </c>
      <c r="G1238" s="2" t="n">
        <v>25</v>
      </c>
      <c r="H1238" s="2" t="n">
        <v>35</v>
      </c>
      <c r="I1238" s="4" t="inlineStr">
        <is>
          <t>southern-cabbage-and-sausage-skillet.jpg</t>
        </is>
      </c>
      <c r="J1238" s="3" t="inlineStr">
        <is>
          <t>Southern Cabbage and Sausage Skillet, healthy food photography, plated, natural light</t>
        </is>
      </c>
      <c r="K1238" s="4" t="inlineStr"/>
      <c r="L1238" s="3" t="inlineStr">
        <is>
          <t>Green cabbage — 600 g (21.2 oz)
Turkey sausage — 300 g (10.6 oz)
Yellow onion — 120 g (4.2 oz)
Garlic — 6 g (0.2 oz)
Chicken broth, low sodium — 100 g (3.5 oz)
Apple cider vinegar — 15 g (0.5 oz)
Extra-virgin olive oil — 15 g (0.5 oz)
Black pepper — 1 g (0.0 oz)</t>
        </is>
      </c>
      <c r="M1238" s="4" t="inlineStr">
        <is>
          <t>[{"ingredient_id": "cabbage", "name": "Green cabbage", "grams": 600.0, "note": ""}, {"ingredient_id": "turkey_sausage", "name": "Turkey sausage", "grams": 300.0, "note": ""}, {"ingredient_id": "onion", "name": "Yellow onion", "grams": 120.0, "note": ""}, {"ingredient_id": "garlic", "name": "Garlic", "grams": 6.0, "note": ""}, {"ingredient_id": "chicken_broth", "name": "Chicken broth, low sodium", "grams": 100.0, "note": ""}, {"ingredient_id": "apple_cider_vinegar", "name": "Apple cider vinegar", "grams": 15.0, "note": ""}, {"ingredient_id": "olive_oil", "name": "Extra-virgin olive oil", "grams": 15.0, "note": ""}, {"ingredient_id": "black_pepper", "name": "Black pepper", "grams": 1.0, "note": ""}]</t>
        </is>
      </c>
      <c r="N1238" s="2" t="n">
        <v>204</v>
      </c>
      <c r="O1238" s="5" t="n">
        <v>13.9</v>
      </c>
      <c r="P1238" s="5" t="n">
        <v>11.5</v>
      </c>
      <c r="Q1238" s="5" t="n">
        <v>13.8</v>
      </c>
      <c r="R1238" s="5" t="n">
        <v>4.4</v>
      </c>
      <c r="S1238" s="5" t="n">
        <v>9.4</v>
      </c>
      <c r="T1238" s="2" t="n">
        <v>13</v>
      </c>
      <c r="U1238" s="2" t="inlineStr">
        <is>
          <t>low</t>
        </is>
      </c>
      <c r="V1238" s="5" t="n">
        <v>1.2</v>
      </c>
      <c r="W1238" s="2" t="inlineStr">
        <is>
          <t>low</t>
        </is>
      </c>
      <c r="X1238" s="3" t="inlineStr"/>
      <c r="Y1238" s="3" t="inlineStr">
        <is>
          <t>0% of this dish's available carbohydrate comes from ingredients with a published, measured GI; the rest uses conventional placeholders (see Ingredients sheet)</t>
        </is>
      </c>
      <c r="Z1238" s="2" t="n">
        <v>0</v>
      </c>
      <c r="AA1238" s="3" t="inlineStr">
        <is>
          <t>gluten-free, dairy-free, nut-free, low-carb, one-pan</t>
        </is>
      </c>
      <c r="AB1238" s="3" t="inlineStr">
        <is>
          <t>1. Brown the sliced sausage in oil.
2. Add the onion and garlic, then the cabbage and broth.
3. Cook covered 15 minutes and finish with vinegar.</t>
        </is>
      </c>
      <c r="AC1238" s="4" t="inlineStr">
        <is>
          <t>["Brown the sliced sausage in oil.", "Add the onion and garlic, then the cabbage and broth.", "Cook covered 15 minutes and finish with vinegar."]</t>
        </is>
      </c>
    </row>
    <row r="1239" ht="96" customHeight="1">
      <c r="A1239" s="2" t="inlineStr">
        <is>
          <t>DB-1238</t>
        </is>
      </c>
      <c r="B1239" s="3" t="inlineStr">
        <is>
          <t>Black-Eyed Pea Salad (Texas Caviar)</t>
        </is>
      </c>
      <c r="C1239" s="4" t="inlineStr">
        <is>
          <t>Salad</t>
        </is>
      </c>
      <c r="D1239" s="4" t="inlineStr">
        <is>
          <t>American</t>
        </is>
      </c>
      <c r="E1239" s="2" t="n">
        <v>6</v>
      </c>
      <c r="F1239" s="2" t="n">
        <v>15</v>
      </c>
      <c r="G1239" s="2" t="n">
        <v>0</v>
      </c>
      <c r="H1239" s="2" t="n">
        <v>15</v>
      </c>
      <c r="I1239" s="4" t="inlineStr">
        <is>
          <t>black-eyed-pea-salad-texas-caviar.jpg</t>
        </is>
      </c>
      <c r="J1239" s="3" t="inlineStr">
        <is>
          <t>Black-Eyed Pea Salad (Texas Caviar), healthy food photography, plated, natural light</t>
        </is>
      </c>
      <c r="K1239" s="4" t="inlineStr"/>
      <c r="L1239" s="3" t="inlineStr">
        <is>
          <t>Black-eyed peas, cooked — 400 g (14.1 oz)
Sweet corn kernels — 100 g (3.5 oz)
Bell pepper — 120 g (4.2 oz)
Red onion — 50 g (1.8 oz)
Jalapeño — 15 g (0.5 oz)
Fresh cilantro — 8 g (0.3 oz)
Red wine vinegar — 30 g (1.1 oz)
Extra-virgin olive oil — 25 g (0.9 oz)
Lime juice — 15 g (0.5 oz)</t>
        </is>
      </c>
      <c r="M1239" s="4" t="inlineStr">
        <is>
          <t>[{"ingredient_id": "black_eyed_peas", "name": "Black-eyed peas, cooked", "grams": 400.0, "note": ""}, {"ingredient_id": "corn", "name": "Sweet corn kernels", "grams": 100.0, "note": ""}, {"ingredient_id": "bell_pepper", "name": "Bell pepper", "grams": 120.0, "note": ""}, {"ingredient_id": "red_onion", "name": "Red onion", "grams": 50.0, "note": ""}, {"ingredient_id": "jalapeno", "name": "Jalapeño", "grams": 15.0, "note": ""}, {"ingredient_id": "cilantro", "name": "Fresh cilantro", "grams": 8.0, "note": ""}, {"ingredient_id": "red_wine_vinegar", "name": "Red wine vinegar", "grams": 30.0, "note": ""}, {"ingredient_id": "olive_oil", "name": "Extra-virgin olive oil", "grams": 25.0, "note": ""}, {"ingredient_id": "lime_juice", "name": "Lime juice", "grams": 15.0, "note": ""}]</t>
        </is>
      </c>
      <c r="N1239" s="2" t="n">
        <v>141</v>
      </c>
      <c r="O1239" s="5" t="n">
        <v>6</v>
      </c>
      <c r="P1239" s="5" t="n">
        <v>4.8</v>
      </c>
      <c r="Q1239" s="5" t="n">
        <v>19.4</v>
      </c>
      <c r="R1239" s="5" t="n">
        <v>5.5</v>
      </c>
      <c r="S1239" s="5" t="n">
        <v>14</v>
      </c>
      <c r="T1239" s="2" t="n">
        <v>46</v>
      </c>
      <c r="U1239" s="2" t="inlineStr">
        <is>
          <t>low</t>
        </is>
      </c>
      <c r="V1239" s="5" t="n">
        <v>6.4</v>
      </c>
      <c r="W1239" s="2" t="inlineStr">
        <is>
          <t>low</t>
        </is>
      </c>
      <c r="X1239" s="3" t="inlineStr"/>
      <c r="Y1239" s="3" t="inlineStr">
        <is>
          <t>88% of this dish's available carbohydrate comes from ingredients with a published, measured GI; the rest uses conventional placeholders (see Ingredients sheet)</t>
        </is>
      </c>
      <c r="Z1239" s="2" t="n">
        <v>88</v>
      </c>
      <c r="AA1239" s="3" t="inlineStr">
        <is>
          <t>vegan, gluten-free, dairy-free, nut-free, low-carb, no-cook</t>
        </is>
      </c>
      <c r="AB1239" s="3" t="inlineStr">
        <is>
          <t>1. Combine the peas, corn, pepper, onion and jalapeno.
2. Dress with vinegar, oil and lime and fold in cilantro.
3. Chill an hour before serving.</t>
        </is>
      </c>
      <c r="AC1239" s="4" t="inlineStr">
        <is>
          <t>["Combine the peas, corn, pepper, onion and jalapeno.", "Dress with vinegar, oil and lime and fold in cilantro.", "Chill an hour before serving."]</t>
        </is>
      </c>
    </row>
    <row r="1240" ht="96" customHeight="1">
      <c r="A1240" s="2" t="inlineStr">
        <is>
          <t>DB-1239</t>
        </is>
      </c>
      <c r="B1240" s="3" t="inlineStr">
        <is>
          <t>Southern Chicken Salad with Pecans and Apple</t>
        </is>
      </c>
      <c r="C1240" s="4" t="inlineStr">
        <is>
          <t>Salad</t>
        </is>
      </c>
      <c r="D1240" s="4" t="inlineStr">
        <is>
          <t>American</t>
        </is>
      </c>
      <c r="E1240" s="2" t="n">
        <v>4</v>
      </c>
      <c r="F1240" s="2" t="n">
        <v>15</v>
      </c>
      <c r="G1240" s="2" t="n">
        <v>0</v>
      </c>
      <c r="H1240" s="2" t="n">
        <v>15</v>
      </c>
      <c r="I1240" s="4" t="inlineStr">
        <is>
          <t>southern-chicken-salad-with-pecans-and-apple.jpg</t>
        </is>
      </c>
      <c r="J1240" s="3" t="inlineStr">
        <is>
          <t>Southern Chicken Salad with Pecans and Apple, healthy food photography, plated, natural light</t>
        </is>
      </c>
      <c r="K1240" s="4" t="inlineStr"/>
      <c r="L1240" s="3" t="inlineStr">
        <is>
          <t>Rotisserie chicken, skin removed — 360 g (12.7 oz)
Celery — 80 g (2.8 oz)
Pecans — 30 g (1.1 oz)
Greek yogurt, plain 2% — 100 g (3.5 oz)
Mayonnaise (avocado oil) — 20 g (0.7 oz)
Dijon mustard — 8 g (0.3 oz)
Lemon juice — 15 g (0.5 oz)
Mixed salad greens — 120 g (4.2 oz)
Apple — 100 g (3.5 oz)</t>
        </is>
      </c>
      <c r="M1240" s="4" t="inlineStr">
        <is>
          <t>[{"ingredient_id": "rotisserie_chicken", "name": "Rotisserie chicken, skin removed", "grams": 360.0, "note": ""}, {"ingredient_id": "celery", "name": "Celery", "grams": 80.0, "note": ""}, {"ingredient_id": "pecans", "name": "Pecans", "grams": 30.0, "note": ""}, {"ingredient_id": "greek_yogurt", "name": "Greek yogurt, plain 2%", "grams": 100.0, "note": ""}, {"ingredient_id": "mayo", "name": "Mayonnaise (avocado oil)", "grams": 20.0, "note": ""}, {"ingredient_id": "dijon", "name": "Dijon mustard", "grams": 8.0, "note": ""}, {"ingredient_id": "lemon_juice", "name": "Lemon juice", "grams": 15.0, "note": ""}, {"ingredient_id": "mixed_greens", "name": "Mixed salad greens", "grams": 120.0, "note": ""}, {"ingredient_id": "apple", "name": "Apple", "grams": 100.0, "note": ""}]</t>
        </is>
      </c>
      <c r="N1240" s="2" t="n">
        <v>273</v>
      </c>
      <c r="O1240" s="5" t="n">
        <v>24.8</v>
      </c>
      <c r="P1240" s="5" t="n">
        <v>16.4</v>
      </c>
      <c r="Q1240" s="5" t="n">
        <v>7.6</v>
      </c>
      <c r="R1240" s="5" t="n">
        <v>2.3</v>
      </c>
      <c r="S1240" s="5" t="n">
        <v>5.2</v>
      </c>
      <c r="T1240" s="2" t="n">
        <v>26</v>
      </c>
      <c r="U1240" s="2" t="inlineStr">
        <is>
          <t>low</t>
        </is>
      </c>
      <c r="V1240" s="5" t="n">
        <v>1.4</v>
      </c>
      <c r="W1240" s="2" t="inlineStr">
        <is>
          <t>low</t>
        </is>
      </c>
      <c r="X1240" s="3" t="inlineStr"/>
      <c r="Y1240" s="3" t="inlineStr">
        <is>
          <t>74% of this dish's available carbohydrate comes from ingredients with a published, measured GI; the rest uses conventional placeholders (see Ingredients sheet)</t>
        </is>
      </c>
      <c r="Z1240" s="2" t="n">
        <v>74</v>
      </c>
      <c r="AA1240" s="3" t="inlineStr">
        <is>
          <t>gluten-free, low-carb, no-cook</t>
        </is>
      </c>
      <c r="AB1240" s="3" t="inlineStr">
        <is>
          <t>1. Shred the chicken and mix with celery, apple and pecans.
2. Bind with yogurt, mayo, mustard and lemon.
3. Serve over the greens.</t>
        </is>
      </c>
      <c r="AC1240" s="4" t="inlineStr">
        <is>
          <t>["Shred the chicken and mix with celery, apple and pecans.", "Bind with yogurt, mayo, mustard and lemon.", "Serve over the greens."]</t>
        </is>
      </c>
    </row>
    <row r="1241" ht="96" customHeight="1">
      <c r="A1241" s="2" t="inlineStr">
        <is>
          <t>DB-1240</t>
        </is>
      </c>
      <c r="B1241" s="3" t="inlineStr">
        <is>
          <t>Tomato Pie-Style Baked Tomatoes</t>
        </is>
      </c>
      <c r="C1241" s="4" t="inlineStr">
        <is>
          <t>Side Dish</t>
        </is>
      </c>
      <c r="D1241" s="4" t="inlineStr">
        <is>
          <t>American</t>
        </is>
      </c>
      <c r="E1241" s="2" t="n">
        <v>4</v>
      </c>
      <c r="F1241" s="2" t="n">
        <v>10</v>
      </c>
      <c r="G1241" s="2" t="n">
        <v>25</v>
      </c>
      <c r="H1241" s="2" t="n">
        <v>35</v>
      </c>
      <c r="I1241" s="4" t="inlineStr">
        <is>
          <t>tomato-pie-style-baked-tomatoes.jpg</t>
        </is>
      </c>
      <c r="J1241" s="3" t="inlineStr">
        <is>
          <t>Tomato Pie-Style Baked Tomatoes, healthy food photography, plated, natural light</t>
        </is>
      </c>
      <c r="K1241" s="4" t="inlineStr"/>
      <c r="L1241" s="3" t="inlineStr">
        <is>
          <t>Tomato — 600 g (21.2 oz)
Mozzarella, part-skim — 100 g (3.5 oz)
Cheddar cheese — 40 g (1.4 oz)
Fresh basil — 8 g (0.3 oz)
Mayonnaise (avocado oil) — 30 g (1.1 oz)
Extra-virgin olive oil — 10 g (0.4 oz)
Black pepper — 1 g (0.0 oz)</t>
        </is>
      </c>
      <c r="M1241" s="4" t="inlineStr">
        <is>
          <t>[{"ingredient_id": "tomato", "name": "Tomato", "grams": 600.0, "note": ""}, {"ingredient_id": "mozzarella", "name": "Mozzarella, part-skim", "grams": 100.0, "note": ""}, {"ingredient_id": "cheddar", "name": "Cheddar cheese", "grams": 40.0, "note": ""}, {"ingredient_id": "basil", "name": "Fresh basil", "grams": 8.0, "note": ""}, {"ingredient_id": "mayo", "name": "Mayonnaise (avocado oil)", "grams": 30.0, "note": ""}, {"ingredient_id": "olive_oil", "name": "Extra-virgin olive oil", "grams": 10.0, "note": ""}, {"ingredient_id": "black_pepper", "name": "Black pepper", "grams": 1.0, "note": ""}]</t>
        </is>
      </c>
      <c r="N1241" s="2" t="n">
        <v>206</v>
      </c>
      <c r="O1241" s="5" t="n">
        <v>9.699999999999999</v>
      </c>
      <c r="P1241" s="5" t="n">
        <v>16</v>
      </c>
      <c r="Q1241" s="5" t="n">
        <v>6.9</v>
      </c>
      <c r="R1241" s="5" t="n">
        <v>1.9</v>
      </c>
      <c r="S1241" s="5" t="n">
        <v>5</v>
      </c>
      <c r="T1241" s="2" t="n">
        <v>12</v>
      </c>
      <c r="U1241" s="2" t="inlineStr">
        <is>
          <t>low</t>
        </is>
      </c>
      <c r="V1241" s="5" t="n">
        <v>0.6</v>
      </c>
      <c r="W1241" s="2" t="inlineStr">
        <is>
          <t>low</t>
        </is>
      </c>
      <c r="X1241" s="3" t="inlineStr"/>
      <c r="Y1241" s="3" t="inlineStr">
        <is>
          <t>0% of this dish's available carbohydrate comes from ingredients with a published, measured GI; the rest uses conventional placeholders (see Ingredients sheet)</t>
        </is>
      </c>
      <c r="Z1241" s="2" t="n">
        <v>0</v>
      </c>
      <c r="AA1241" s="3" t="inlineStr">
        <is>
          <t>vegetarian, gluten-free, nut-free, low-carb</t>
        </is>
      </c>
      <c r="AB1241" s="3" t="inlineStr">
        <is>
          <t>1. Slice the tomatoes and layer in a dish.
2. Mix the cheeses, mayo and basil and spread on top.
3. Bake at 375°F for 25 minutes.</t>
        </is>
      </c>
      <c r="AC1241" s="4" t="inlineStr">
        <is>
          <t>["Slice the tomatoes and layer in a dish.", "Mix the cheeses, mayo and basil and spread on top.", "Bake at 375°F for 25 minutes."]</t>
        </is>
      </c>
    </row>
    <row r="1242" ht="96" customHeight="1">
      <c r="A1242" s="2" t="inlineStr">
        <is>
          <t>DB-1241</t>
        </is>
      </c>
      <c r="B1242" s="3" t="inlineStr">
        <is>
          <t>Pimento-Style Cheese Celery Boats</t>
        </is>
      </c>
      <c r="C1242" s="4" t="inlineStr">
        <is>
          <t>Snack &amp; Appetizer</t>
        </is>
      </c>
      <c r="D1242" s="4" t="inlineStr">
        <is>
          <t>American</t>
        </is>
      </c>
      <c r="E1242" s="2" t="n">
        <v>6</v>
      </c>
      <c r="F1242" s="2" t="n">
        <v>15</v>
      </c>
      <c r="G1242" s="2" t="n">
        <v>0</v>
      </c>
      <c r="H1242" s="2" t="n">
        <v>15</v>
      </c>
      <c r="I1242" s="4" t="inlineStr">
        <is>
          <t>pimento-style-cheese-celery-boats.jpg</t>
        </is>
      </c>
      <c r="J1242" s="3" t="inlineStr">
        <is>
          <t>Pimento-Style Cheese Celery Boats, healthy food photography, plated, natural light</t>
        </is>
      </c>
      <c r="K1242" s="4" t="inlineStr"/>
      <c r="L1242" s="3" t="inlineStr">
        <is>
          <t>Cheddar cheese — 150 g (5.3 oz)
Cream cheese — 60 g (2.1 oz)
Roasted red peppers, jarred — 50 g (1.8 oz)
Mayonnaise (avocado oil) — 20 g (0.7 oz)
Celery — 300 g (10.6 oz)
Hot sauce (Tabasco/Frank's) — 3 g (0.1 oz)
Garlic powder — 2 g (0.1 oz)</t>
        </is>
      </c>
      <c r="M1242" s="4" t="inlineStr">
        <is>
          <t>[{"ingredient_id": "cheddar", "name": "Cheddar cheese", "grams": 150.0, "note": ""}, {"ingredient_id": "cream_cheese", "name": "Cream cheese", "grams": 60.0, "note": ""}, {"ingredient_id": "roasted_red_pepper", "name": "Roasted red peppers, jarred", "grams": 50.0, "note": ""}, {"ingredient_id": "mayo", "name": "Mayonnaise (avocado oil)", "grams": 20.0, "note": ""}, {"ingredient_id": "celery", "name": "Celery", "grams": 300.0, "note": ""}, {"ingredient_id": "hot_sauce", "name": "Hot sauce (Tabasco/Frank's)", "grams": 3.0, "note": ""}, {"ingredient_id": "garlic_powder", "name": "Garlic powder", "grams": 2.0, "note": ""}]</t>
        </is>
      </c>
      <c r="N1242" s="2" t="n">
        <v>170</v>
      </c>
      <c r="O1242" s="5" t="n">
        <v>6.8</v>
      </c>
      <c r="P1242" s="5" t="n">
        <v>14.4</v>
      </c>
      <c r="Q1242" s="5" t="n">
        <v>3</v>
      </c>
      <c r="R1242" s="5" t="n">
        <v>1</v>
      </c>
      <c r="S1242" s="5" t="n">
        <v>2</v>
      </c>
      <c r="T1242" s="2" t="n">
        <v>10</v>
      </c>
      <c r="U1242" s="2" t="inlineStr">
        <is>
          <t>low</t>
        </is>
      </c>
      <c r="V1242" s="5" t="n">
        <v>0.2</v>
      </c>
      <c r="W1242" s="2" t="inlineStr">
        <is>
          <t>low</t>
        </is>
      </c>
      <c r="X1242" s="3" t="inlineStr">
        <is>
          <t>Negligible carbohydrate (&lt;5 g net/serving): GI has little practical meaning, glycemic load is what matters.</t>
        </is>
      </c>
      <c r="Y1242" s="3" t="inlineStr">
        <is>
          <t>0% of this dish's available carbohydrate comes from ingredients with a published, measured GI; the rest uses conventional placeholders (see Ingredients sheet)</t>
        </is>
      </c>
      <c r="Z1242" s="2" t="n">
        <v>0</v>
      </c>
      <c r="AA1242" s="3" t="inlineStr">
        <is>
          <t>vegetarian, gluten-free, nut-free, low-carb, no-cook</t>
        </is>
      </c>
      <c r="AB1242" s="3" t="inlineStr">
        <is>
          <t>1. Mix the grated cheddar, cream cheese, chopped red pepper, mayo and seasoning.
2. Fill celery stalks.</t>
        </is>
      </c>
      <c r="AC1242" s="4" t="inlineStr">
        <is>
          <t>["Mix the grated cheddar, cream cheese, chopped red pepper, mayo and seasoning.", "Fill celery stalks."]</t>
        </is>
      </c>
    </row>
    <row r="1243" ht="96" customHeight="1">
      <c r="A1243" s="2" t="inlineStr">
        <is>
          <t>DB-1242</t>
        </is>
      </c>
      <c r="B1243" s="3" t="inlineStr">
        <is>
          <t>Georgia Peach Cottage Cheese Cup</t>
        </is>
      </c>
      <c r="C1243" s="4" t="inlineStr">
        <is>
          <t>Dessert</t>
        </is>
      </c>
      <c r="D1243" s="4" t="inlineStr">
        <is>
          <t>American</t>
        </is>
      </c>
      <c r="E1243" s="2" t="n">
        <v>2</v>
      </c>
      <c r="F1243" s="2" t="n">
        <v>5</v>
      </c>
      <c r="G1243" s="2" t="n">
        <v>0</v>
      </c>
      <c r="H1243" s="2" t="n">
        <v>5</v>
      </c>
      <c r="I1243" s="4" t="inlineStr">
        <is>
          <t>georgia-peach-cottage-cheese-cup.jpg</t>
        </is>
      </c>
      <c r="J1243" s="3" t="inlineStr">
        <is>
          <t>Georgia Peach Cottage Cheese Cup, healthy food photography, plated, natural light</t>
        </is>
      </c>
      <c r="K1243" s="4" t="inlineStr"/>
      <c r="L1243" s="3" t="inlineStr">
        <is>
          <t>Cottage cheese, low-fat — 300 g (10.6 oz)
Peach — 200 g (7.1 oz)
Pecans — 20 g (0.7 oz)
Ground cinnamon — 1 g (0.0 oz)
Vanilla extract — 2 g (0.1 oz)</t>
        </is>
      </c>
      <c r="M1243" s="4" t="inlineStr">
        <is>
          <t>[{"ingredient_id": "cottage_cheese", "name": "Cottage cheese, low-fat", "grams": 300.0, "note": ""}, {"ingredient_id": "peach", "name": "Peach", "grams": 200.0, "note": ""}, {"ingredient_id": "pecans", "name": "Pecans", "grams": 20.0, "note": ""}, {"ingredient_id": "cinnamon", "name": "Ground cinnamon", "grams": 1.0, "note": ""}, {"ingredient_id": "vanilla_extract", "name": "Vanilla extract", "grams": 2.0, "note": ""}]</t>
        </is>
      </c>
      <c r="N1243" s="2" t="n">
        <v>238</v>
      </c>
      <c r="O1243" s="5" t="n">
        <v>18.3</v>
      </c>
      <c r="P1243" s="5" t="n">
        <v>11</v>
      </c>
      <c r="Q1243" s="5" t="n">
        <v>17.9</v>
      </c>
      <c r="R1243" s="5" t="n">
        <v>2.7</v>
      </c>
      <c r="S1243" s="5" t="n">
        <v>15.2</v>
      </c>
      <c r="T1243" s="2" t="n">
        <v>35</v>
      </c>
      <c r="U1243" s="2" t="inlineStr">
        <is>
          <t>low</t>
        </is>
      </c>
      <c r="V1243" s="5" t="n">
        <v>5.3</v>
      </c>
      <c r="W1243" s="2" t="inlineStr">
        <is>
          <t>low</t>
        </is>
      </c>
      <c r="X1243" s="3" t="inlineStr"/>
      <c r="Y1243" s="3" t="inlineStr">
        <is>
          <t>53% of this dish's available carbohydrate comes from ingredients with a published, measured GI; the rest uses conventional placeholders (see Ingredients sheet)</t>
        </is>
      </c>
      <c r="Z1243" s="2" t="n">
        <v>53</v>
      </c>
      <c r="AA1243" s="3" t="inlineStr">
        <is>
          <t>vegetarian, gluten-free, no-cook</t>
        </is>
      </c>
      <c r="AB1243" s="3" t="inlineStr">
        <is>
          <t>1. Spoon the cottage cheese into cups.
2. Top with sliced peach, pecans, cinnamon and vanilla.</t>
        </is>
      </c>
      <c r="AC1243" s="4" t="inlineStr">
        <is>
          <t>["Spoon the cottage cheese into cups.", "Top with sliced peach, pecans, cinnamon and vanilla."]</t>
        </is>
      </c>
    </row>
    <row r="1244" ht="96" customHeight="1">
      <c r="A1244" s="2" t="inlineStr">
        <is>
          <t>DB-1243</t>
        </is>
      </c>
      <c r="B1244" s="3" t="inlineStr">
        <is>
          <t>Low-Country Boil</t>
        </is>
      </c>
      <c r="C1244" s="4" t="inlineStr">
        <is>
          <t>Seafood</t>
        </is>
      </c>
      <c r="D1244" s="4" t="inlineStr">
        <is>
          <t>American</t>
        </is>
      </c>
      <c r="E1244" s="2" t="n">
        <v>6</v>
      </c>
      <c r="F1244" s="2" t="n">
        <v>15</v>
      </c>
      <c r="G1244" s="2" t="n">
        <v>30</v>
      </c>
      <c r="H1244" s="2" t="n">
        <v>45</v>
      </c>
      <c r="I1244" s="4" t="inlineStr">
        <is>
          <t>low-country-boil.jpg</t>
        </is>
      </c>
      <c r="J1244" s="3" t="inlineStr">
        <is>
          <t>Low-Country Boil, healthy food photography, plated, natural light</t>
        </is>
      </c>
      <c r="K1244" s="4" t="inlineStr"/>
      <c r="L1244" s="3" t="inlineStr">
        <is>
          <t>Shrimp, peeled — 600 g (21.2 oz)
Chicken sausage — 300 g (10.6 oz)
Sweet corn kernels — 400 g (14.1 oz)
New potatoes, boiled — 450 g (15.9 oz)
Old Bay seasoning — 12 g (0.4 oz)
Lemon (with juice &amp; zest) — 60 g (2.1 oz)
Yellow onion — 100 g (3.5 oz)
Garlic — 8 g (0.3 oz)
Water / ice — 2000 g (70.5 oz)</t>
        </is>
      </c>
      <c r="M1244" s="4" t="inlineStr">
        <is>
          <t>[{"ingredient_id": "shrimp", "name": "Shrimp, peeled", "grams": 600.0, "note": ""}, {"ingredient_id": "chicken_sausage", "name": "Chicken sausage", "grams": 300.0, "note": ""}, {"ingredient_id": "corn", "name": "Sweet corn kernels", "grams": 400.0, "note": ""}, {"ingredient_id": "new_potato", "name": "New potatoes, boiled", "grams": 450.0, "note": ""}, {"ingredient_id": "old_bay", "name": "Old Bay seasoning", "grams": 12.0, "note": ""}, {"ingredient_id": "lemon", "name": "Lemon (with juice &amp; zest)", "grams": 60.0, "note": ""}, {"ingredient_id": "onion", "name": "Yellow onion", "grams": 100.0, "note": ""}, {"ingredient_id": "garlic", "name": "Garlic", "grams": 8.0, "note": ""}, {"ingredient_id": "water", "name": "Water / ice", "grams": 2000.0, "note": ""}]</t>
        </is>
      </c>
      <c r="N1244" s="2" t="n">
        <v>310</v>
      </c>
      <c r="O1244" s="5" t="n">
        <v>31.7</v>
      </c>
      <c r="P1244" s="5" t="n">
        <v>7.2</v>
      </c>
      <c r="Q1244" s="5" t="n">
        <v>32.7</v>
      </c>
      <c r="R1244" s="5" t="n">
        <v>4.2</v>
      </c>
      <c r="S1244" s="5" t="n">
        <v>28.4</v>
      </c>
      <c r="T1244" s="2" t="n">
        <v>56</v>
      </c>
      <c r="U1244" s="2" t="inlineStr">
        <is>
          <t>medium</t>
        </is>
      </c>
      <c r="V1244" s="5" t="n">
        <v>15.9</v>
      </c>
      <c r="W1244" s="2" t="inlineStr">
        <is>
          <t>medium</t>
        </is>
      </c>
      <c r="X1244" s="3" t="inlineStr">
        <is>
          <t>Medium-GI dish: keep to the stated portion and pair with the protein/fat in the recipe; GL per serving is the better guide.</t>
        </is>
      </c>
      <c r="Y1244" s="3" t="inlineStr">
        <is>
          <t>86% of this dish's available carbohydrate comes from ingredients with a published, measured GI; the rest uses conventional placeholders (see Ingredients sheet)</t>
        </is>
      </c>
      <c r="Z1244" s="2" t="n">
        <v>86</v>
      </c>
      <c r="AA1244" s="3" t="inlineStr">
        <is>
          <t>gluten-free, dairy-free, nut-free, high-protein</t>
        </is>
      </c>
      <c r="AB1244" s="3" t="inlineStr">
        <is>
          <t>1. Bring the water to a boil with Old Bay, lemon, onion and garlic.
2. Add the potatoes and cook 10 minutes, then the sausage and corn for 8.
3. Add the shrimp for the last 3 minutes and drain.</t>
        </is>
      </c>
      <c r="AC1244" s="4" t="inlineStr">
        <is>
          <t>["Bring the water to a boil with Old Bay, lemon, onion and garlic.", "Add the potatoes and cook 10 minutes, then the sausage and corn for 8.", "Add the shrimp for the last 3 minutes and drain."]</t>
        </is>
      </c>
    </row>
    <row r="1245" ht="96" customHeight="1">
      <c r="A1245" s="2" t="inlineStr">
        <is>
          <t>DB-1244</t>
        </is>
      </c>
      <c r="B1245" s="3" t="inlineStr">
        <is>
          <t>She-Crab-Style Soup (Lightened)</t>
        </is>
      </c>
      <c r="C1245" s="4" t="inlineStr">
        <is>
          <t>Soup &amp; Stew</t>
        </is>
      </c>
      <c r="D1245" s="4" t="inlineStr">
        <is>
          <t>American</t>
        </is>
      </c>
      <c r="E1245" s="2" t="n">
        <v>4</v>
      </c>
      <c r="F1245" s="2" t="n">
        <v>10</v>
      </c>
      <c r="G1245" s="2" t="n">
        <v>25</v>
      </c>
      <c r="H1245" s="2" t="n">
        <v>35</v>
      </c>
      <c r="I1245" s="4" t="inlineStr">
        <is>
          <t>she-crab-style-soup-lightened.jpg</t>
        </is>
      </c>
      <c r="J1245" s="3" t="inlineStr">
        <is>
          <t>She-Crab-Style Soup (Lightened), healthy food photography, plated, natural light</t>
        </is>
      </c>
      <c r="K1245" s="4" t="inlineStr"/>
      <c r="L1245" s="3" t="inlineStr">
        <is>
          <t>Crab meat, lump — 300 g (10.6 oz)
Milk, 2% — 300 g (10.6 oz)
Chicken broth, low sodium — 400 g (14.1 oz)
Yellow onion — 80 g (2.8 oz)
Celery — 50 g (1.8 oz)
Butter — 15 g (0.5 oz)
Old Bay seasoning — 3 g (0.1 oz)
Lemon juice — 10 g (0.4 oz)</t>
        </is>
      </c>
      <c r="M1245" s="4" t="inlineStr">
        <is>
          <t>[{"ingredient_id": "crab", "name": "Crab meat, lump", "grams": 300.0, "note": ""}, {"ingredient_id": "milk", "name": "Milk, 2%", "grams": 300.0, "note": ""}, {"ingredient_id": "chicken_broth", "name": "Chicken broth, low sodium", "grams": 400.0, "note": ""}, {"ingredient_id": "onion", "name": "Yellow onion", "grams": 80.0, "note": ""}, {"ingredient_id": "celery", "name": "Celery", "grams": 50.0, "note": ""}, {"ingredient_id": "butter", "name": "Butter", "grams": 15.0, "note": ""}, {"ingredient_id": "old_bay", "name": "Old Bay seasoning", "grams": 3.0, "note": ""}, {"ingredient_id": "lemon_juice", "name": "Lemon juice", "grams": 10.0, "note": ""}]</t>
        </is>
      </c>
      <c r="N1245" s="2" t="n">
        <v>147</v>
      </c>
      <c r="O1245" s="5" t="n">
        <v>17.4</v>
      </c>
      <c r="P1245" s="5" t="n">
        <v>5.6</v>
      </c>
      <c r="Q1245" s="5" t="n">
        <v>6.9</v>
      </c>
      <c r="R1245" s="5" t="n">
        <v>0.7</v>
      </c>
      <c r="S1245" s="5" t="n">
        <v>6.2</v>
      </c>
      <c r="T1245" s="2" t="n">
        <v>21</v>
      </c>
      <c r="U1245" s="2" t="inlineStr">
        <is>
          <t>low</t>
        </is>
      </c>
      <c r="V1245" s="5" t="n">
        <v>1.3</v>
      </c>
      <c r="W1245" s="2" t="inlineStr">
        <is>
          <t>low</t>
        </is>
      </c>
      <c r="X1245" s="3" t="inlineStr"/>
      <c r="Y1245" s="3" t="inlineStr">
        <is>
          <t>58% of this dish's available carbohydrate comes from ingredients with a published, measured GI; the rest uses conventional placeholders (see Ingredients sheet)</t>
        </is>
      </c>
      <c r="Z1245" s="2" t="n">
        <v>58</v>
      </c>
      <c r="AA1245" s="3" t="inlineStr">
        <is>
          <t>pescatarian, gluten-free, nut-free, low-carb</t>
        </is>
      </c>
      <c r="AB1245" s="3" t="inlineStr">
        <is>
          <t>1. Soften the onion and celery in butter.
2. Add the broth and milk and simmer 10 minutes.
3. Stir in the crab, Old Bay and lemon and heat gently.</t>
        </is>
      </c>
      <c r="AC1245" s="4" t="inlineStr">
        <is>
          <t>["Soften the onion and celery in butter.", "Add the broth and milk and simmer 10 minutes.", "Stir in the crab, Old Bay and lemon and heat gently."]</t>
        </is>
      </c>
    </row>
    <row r="1246" ht="96" customHeight="1">
      <c r="A1246" s="2" t="inlineStr">
        <is>
          <t>DB-1245</t>
        </is>
      </c>
      <c r="B1246" s="3" t="inlineStr">
        <is>
          <t>Carolina Pulled Pork Plate with Vinegar Slaw</t>
        </is>
      </c>
      <c r="C1246" s="4" t="inlineStr">
        <is>
          <t>Beef, Pork &amp; Lamb</t>
        </is>
      </c>
      <c r="D1246" s="4" t="inlineStr">
        <is>
          <t>American</t>
        </is>
      </c>
      <c r="E1246" s="2" t="n">
        <v>6</v>
      </c>
      <c r="F1246" s="2" t="n">
        <v>15</v>
      </c>
      <c r="G1246" s="2" t="n">
        <v>15</v>
      </c>
      <c r="H1246" s="2" t="n">
        <v>30</v>
      </c>
      <c r="I1246" s="4" t="inlineStr">
        <is>
          <t>carolina-pulled-pork-plate-with-vinegar-slaw.jpg</t>
        </is>
      </c>
      <c r="J1246" s="3" t="inlineStr">
        <is>
          <t>Carolina Pulled Pork Plate with Vinegar Slaw, healthy food photography, plated, natural light</t>
        </is>
      </c>
      <c r="K1246" s="4" t="inlineStr"/>
      <c r="L1246" s="3" t="inlineStr">
        <is>
          <t>Pork shoulder, trimmed — 720 g (25.4 oz)
Apple cider vinegar — 60 g (2.1 oz)
Red pepper flakes — 2 g (0.1 oz)
Smoked paprika — 4 g (0.1 oz)
Coleslaw mix (cabbage &amp; carrot) — 360 g (12.7 oz)
New potatoes, boiled — 360 g (12.7 oz)
Extra-virgin olive oil — 15 g (0.5 oz)
Salt — 4 g (0.1 oz)</t>
        </is>
      </c>
      <c r="M1246" s="4" t="inlineStr">
        <is>
          <t>[{"ingredient_id": "pork_shoulder", "name": "Pork shoulder, trimmed", "grams": 720.0, "note": ""}, {"ingredient_id": "apple_cider_vinegar", "name": "Apple cider vinegar", "grams": 60.0, "note": ""}, {"ingredient_id": "red_pepper_flakes", "name": "Red pepper flakes", "grams": 2.0, "note": ""}, {"ingredient_id": "smoked_paprika", "name": "Smoked paprika", "grams": 4.0, "note": ""}, {"ingredient_id": "coleslaw_mix", "name": "Coleslaw mix (cabbage &amp; carrot)", "grams": 360.0, "note": ""}, {"ingredient_id": "new_potato", "name": "New potatoes, boiled", "grams": 360.0, "note": ""}, {"ingredient_id": "olive_oil", "name": "Extra-virgin olive oil", "grams": 15.0, "note": ""}, {"ingredient_id": "salt", "name": "Salt", "grams": 4.0, "note": ""}]</t>
        </is>
      </c>
      <c r="N1246" s="2" t="n">
        <v>336</v>
      </c>
      <c r="O1246" s="5" t="n">
        <v>24.9</v>
      </c>
      <c r="P1246" s="5" t="n">
        <v>19.6</v>
      </c>
      <c r="Q1246" s="5" t="n">
        <v>16.2</v>
      </c>
      <c r="R1246" s="5" t="n">
        <v>2.8</v>
      </c>
      <c r="S1246" s="5" t="n">
        <v>13.4</v>
      </c>
      <c r="T1246" s="2" t="n">
        <v>61</v>
      </c>
      <c r="U1246" s="2" t="inlineStr">
        <is>
          <t>medium</t>
        </is>
      </c>
      <c r="V1246" s="5" t="n">
        <v>8.199999999999999</v>
      </c>
      <c r="W1246" s="2" t="inlineStr">
        <is>
          <t>low</t>
        </is>
      </c>
      <c r="X1246" s="3" t="inlineStr">
        <is>
          <t>Medium-GI dish: keep to the stated portion and pair with the protein/fat in the recipe; GL per serving is the better guide.</t>
        </is>
      </c>
      <c r="Y1246" s="3" t="inlineStr">
        <is>
          <t>82% of this dish's available carbohydrate comes from ingredients with a published, measured GI; the rest uses conventional placeholders (see Ingredients sheet)</t>
        </is>
      </c>
      <c r="Z1246" s="2" t="n">
        <v>82</v>
      </c>
      <c r="AA1246" s="3" t="inlineStr">
        <is>
          <t>gluten-free, dairy-free, nut-free, low-carb</t>
        </is>
      </c>
      <c r="AB1246" s="3" t="inlineStr">
        <is>
          <t>1. Use cooked, shredded pork shoulder; toss with half the vinegar, pepper flakes, paprika and salt.
2. Toss the slaw with the rest of the vinegar and the oil.
3. Serve the pork with slaw and boiled potatoes.</t>
        </is>
      </c>
      <c r="AC1246" s="4" t="inlineStr">
        <is>
          <t>["Use cooked, shredded pork shoulder; toss with half the vinegar, pepper flakes, paprika and salt.", "Toss the slaw with the rest of the vinegar and the oil.", "Serve the pork with slaw and boiled potatoes."]</t>
        </is>
      </c>
    </row>
    <row r="1247" ht="96" customHeight="1">
      <c r="A1247" s="2" t="inlineStr">
        <is>
          <t>DB-1246</t>
        </is>
      </c>
      <c r="B1247" s="3" t="inlineStr">
        <is>
          <t>Southern Green Beans with New Potatoes</t>
        </is>
      </c>
      <c r="C1247" s="4" t="inlineStr">
        <is>
          <t>Side Dish</t>
        </is>
      </c>
      <c r="D1247" s="4" t="inlineStr">
        <is>
          <t>American</t>
        </is>
      </c>
      <c r="E1247" s="2" t="n">
        <v>6</v>
      </c>
      <c r="F1247" s="2" t="n">
        <v>10</v>
      </c>
      <c r="G1247" s="2" t="n">
        <v>35</v>
      </c>
      <c r="H1247" s="2" t="n">
        <v>45</v>
      </c>
      <c r="I1247" s="4" t="inlineStr">
        <is>
          <t>southern-green-beans-with-new-potatoes.jpg</t>
        </is>
      </c>
      <c r="J1247" s="3" t="inlineStr">
        <is>
          <t>Southern Green Beans with New Potatoes, healthy food photography, plated, natural light</t>
        </is>
      </c>
      <c r="K1247" s="4" t="inlineStr"/>
      <c r="L1247" s="3" t="inlineStr">
        <is>
          <t>Green beans — 500 g (17.6 oz)
New potatoes, boiled — 300 g (10.6 oz)
Turkey bacon — 50 g (1.8 oz)
Yellow onion — 80 g (2.8 oz)
Chicken broth, low sodium — 300 g (10.6 oz)
Black pepper — 1 g (0.0 oz)</t>
        </is>
      </c>
      <c r="M1247" s="4" t="inlineStr">
        <is>
          <t>[{"ingredient_id": "green_beans", "name": "Green beans", "grams": 500.0, "note": ""}, {"ingredient_id": "new_potato", "name": "New potatoes, boiled", "grams": 300.0, "note": ""}, {"ingredient_id": "turkey_bacon", "name": "Turkey bacon", "grams": 50.0, "note": ""}, {"ingredient_id": "onion", "name": "Yellow onion", "grams": 80.0, "note": ""}, {"ingredient_id": "chicken_broth", "name": "Chicken broth, low sodium", "grams": 300.0, "note": ""}, {"ingredient_id": "black_pepper", "name": "Black pepper", "grams": 1.0, "note": ""}]</t>
        </is>
      </c>
      <c r="N1247" s="2" t="n">
        <v>97</v>
      </c>
      <c r="O1247" s="5" t="n">
        <v>4.6</v>
      </c>
      <c r="P1247" s="5" t="n">
        <v>1.6</v>
      </c>
      <c r="Q1247" s="5" t="n">
        <v>17.6</v>
      </c>
      <c r="R1247" s="5" t="n">
        <v>3.4</v>
      </c>
      <c r="S1247" s="5" t="n">
        <v>14.2</v>
      </c>
      <c r="T1247" s="2" t="n">
        <v>51</v>
      </c>
      <c r="U1247" s="2" t="inlineStr">
        <is>
          <t>low</t>
        </is>
      </c>
      <c r="V1247" s="5" t="n">
        <v>7.2</v>
      </c>
      <c r="W1247" s="2" t="inlineStr">
        <is>
          <t>low</t>
        </is>
      </c>
      <c r="X1247" s="3" t="inlineStr"/>
      <c r="Y1247" s="3" t="inlineStr">
        <is>
          <t>64% of this dish's available carbohydrate comes from ingredients with a published, measured GI; the rest uses conventional placeholders (see Ingredients sheet)</t>
        </is>
      </c>
      <c r="Z1247" s="2" t="n">
        <v>64</v>
      </c>
      <c r="AA1247" s="3" t="inlineStr">
        <is>
          <t>gluten-free, dairy-free, nut-free, low-carb</t>
        </is>
      </c>
      <c r="AB1247" s="3" t="inlineStr">
        <is>
          <t>1. Crisp the bacon with the onion.
2. Add the beans, potatoes and broth.
3. Simmer covered 30 minutes.</t>
        </is>
      </c>
      <c r="AC1247" s="4" t="inlineStr">
        <is>
          <t>["Crisp the bacon with the onion.", "Add the beans, potatoes and broth.", "Simmer covered 30 minutes."]</t>
        </is>
      </c>
    </row>
    <row r="1248" ht="96" customHeight="1">
      <c r="A1248" s="2" t="inlineStr">
        <is>
          <t>DB-1247</t>
        </is>
      </c>
      <c r="B1248" s="3" t="inlineStr">
        <is>
          <t>Deviled Egg Salad Stuffed Tomatoes</t>
        </is>
      </c>
      <c r="C1248" s="4" t="inlineStr">
        <is>
          <t>Salad</t>
        </is>
      </c>
      <c r="D1248" s="4" t="inlineStr">
        <is>
          <t>American</t>
        </is>
      </c>
      <c r="E1248" s="2" t="n">
        <v>4</v>
      </c>
      <c r="F1248" s="2" t="n">
        <v>15</v>
      </c>
      <c r="G1248" s="2" t="n">
        <v>10</v>
      </c>
      <c r="H1248" s="2" t="n">
        <v>25</v>
      </c>
      <c r="I1248" s="4" t="inlineStr">
        <is>
          <t>deviled-egg-salad-stuffed-tomatoes.jpg</t>
        </is>
      </c>
      <c r="J1248" s="3" t="inlineStr">
        <is>
          <t>Deviled Egg Salad Stuffed Tomatoes, healthy food photography, plated, natural light</t>
        </is>
      </c>
      <c r="K1248" s="4" t="inlineStr"/>
      <c r="L1248" s="3" t="inlineStr">
        <is>
          <t>Egg, large (50 g each) — 300 g (10.6 oz)
Tomato — 400 g (14.1 oz)
Greek yogurt, plain 2% — 60 g (2.1 oz)
Dijon mustard — 10 g (0.4 oz)
Paprika — 1 g (0.0 oz)
Fresh chives — 4 g (0.1 oz)
Celery — 30 g (1.1 oz)</t>
        </is>
      </c>
      <c r="M1248" s="4" t="inlineStr">
        <is>
          <t>[{"ingredient_id": "egg", "name": "Egg, large (50 g each)", "grams": 300.0, "note": ""}, {"ingredient_id": "tomato", "name": "Tomato", "grams": 400.0, "note": ""}, {"ingredient_id": "greek_yogurt", "name": "Greek yogurt, plain 2%", "grams": 60.0, "note": ""}, {"ingredient_id": "dijon", "name": "Dijon mustard", "grams": 10.0, "note": ""}, {"ingredient_id": "paprika", "name": "Paprika", "grams": 1.0, "note": ""}, {"ingredient_id": "chives", "name": "Fresh chives", "grams": 4.0, "note": ""}, {"ingredient_id": "celery", "name": "Celery", "grams": 30.0, "note": ""}]</t>
        </is>
      </c>
      <c r="N1248" s="2" t="n">
        <v>140</v>
      </c>
      <c r="O1248" s="5" t="n">
        <v>12.1</v>
      </c>
      <c r="P1248" s="5" t="n">
        <v>7.8</v>
      </c>
      <c r="Q1248" s="5" t="n">
        <v>5.6</v>
      </c>
      <c r="R1248" s="5" t="n">
        <v>1.5</v>
      </c>
      <c r="S1248" s="5" t="n">
        <v>4</v>
      </c>
      <c r="T1248" s="2" t="n">
        <v>12</v>
      </c>
      <c r="U1248" s="2" t="inlineStr">
        <is>
          <t>low</t>
        </is>
      </c>
      <c r="V1248" s="5" t="n">
        <v>0.5</v>
      </c>
      <c r="W1248" s="2" t="inlineStr">
        <is>
          <t>low</t>
        </is>
      </c>
      <c r="X1248" s="3" t="inlineStr">
        <is>
          <t>Negligible carbohydrate (&lt;5 g net/serving): GI has little practical meaning, glycemic load is what matters.</t>
        </is>
      </c>
      <c r="Y1248" s="3" t="inlineStr">
        <is>
          <t>15% of this dish's available carbohydrate comes from ingredients with a published, measured GI; the rest uses conventional placeholders (see Ingredients sheet)</t>
        </is>
      </c>
      <c r="Z1248" s="2" t="n">
        <v>15</v>
      </c>
      <c r="AA1248" s="3" t="inlineStr">
        <is>
          <t>vegetarian, gluten-free, nut-free, low-carb</t>
        </is>
      </c>
      <c r="AB1248" s="3" t="inlineStr">
        <is>
          <t>1. Hard-boil the eggs and chop.
2. Mix with yogurt, mustard, celery and chives.
3. Hollow out the tomatoes and fill; dust with paprika.</t>
        </is>
      </c>
      <c r="AC1248" s="4" t="inlineStr">
        <is>
          <t>["Hard-boil the eggs and chop.", "Mix with yogurt, mustard, celery and chives.", "Hollow out the tomatoes and fill; dust with paprika."]</t>
        </is>
      </c>
    </row>
    <row r="1249" ht="96" customHeight="1">
      <c r="A1249" s="2" t="inlineStr">
        <is>
          <t>DB-1248</t>
        </is>
      </c>
      <c r="B1249" s="3" t="inlineStr">
        <is>
          <t>Chicken and Sausage Jambalaya Soup</t>
        </is>
      </c>
      <c r="C1249" s="4" t="inlineStr">
        <is>
          <t>Soup &amp; Stew</t>
        </is>
      </c>
      <c r="D1249" s="4" t="inlineStr">
        <is>
          <t>Cajun</t>
        </is>
      </c>
      <c r="E1249" s="2" t="n">
        <v>6</v>
      </c>
      <c r="F1249" s="2" t="n">
        <v>15</v>
      </c>
      <c r="G1249" s="2" t="n">
        <v>35</v>
      </c>
      <c r="H1249" s="2" t="n">
        <v>50</v>
      </c>
      <c r="I1249" s="4" t="inlineStr">
        <is>
          <t>chicken-and-sausage-jambalaya-soup.jpg</t>
        </is>
      </c>
      <c r="J1249" s="3" t="inlineStr">
        <is>
          <t>Chicken and Sausage Jambalaya Soup, healthy food photography, plated, natural light</t>
        </is>
      </c>
      <c r="K1249" s="4" t="inlineStr"/>
      <c r="L1249" s="3" t="inlineStr">
        <is>
          <t>Chicken breast, skinless — 350 g (12.3 oz)
Chicken sausage — 200 g (7.1 oz)
Diced tomatoes, canned — 400 g (14.1 oz)
Chicken broth, low sodium — 800 g (28.2 oz)
White rice, long-grain, cooked — 240 g (8.5 oz)
Bell pepper — 120 g (4.2 oz)
Celery — 80 g (2.8 oz)
Yellow onion — 100 g (3.5 oz)
Cajun seasoning — 8 g (0.3 oz)</t>
        </is>
      </c>
      <c r="M1249" s="4" t="inlineStr">
        <is>
          <t>[{"ingredient_id": "chicken_breast", "name": "Chicken breast, skinless", "grams": 350.0, "note": ""}, {"ingredient_id": "chicken_sausage", "name": "Chicken sausage", "grams": 200.0, "note": ""}, {"ingredient_id": "diced_tomatoes", "name": "Diced tomatoes, canned", "grams": 400.0, "note": ""}, {"ingredient_id": "chicken_broth", "name": "Chicken broth, low sodium", "grams": 800.0, "note": ""}, {"ingredient_id": "white_rice", "name": "White rice, long-grain, cooked", "grams": 240.0, "note": ""}, {"ingredient_id": "bell_pepper", "name": "Bell pepper", "grams": 120.0, "note": ""}, {"ingredient_id": "celery", "name": "Celery", "grams": 80.0, "note": ""}, {"ingredient_id": "onion", "name": "Yellow onion", "grams": 100.0, "note": ""}, {"ingredient_id": "cajun_seasoning", "name": "Cajun seasoning", "grams": 8.0, "note": ""}]</t>
        </is>
      </c>
      <c r="N1249" s="2" t="n">
        <v>223</v>
      </c>
      <c r="O1249" s="5" t="n">
        <v>21.9</v>
      </c>
      <c r="P1249" s="5" t="n">
        <v>5.9</v>
      </c>
      <c r="Q1249" s="5" t="n">
        <v>19.8</v>
      </c>
      <c r="R1249" s="5" t="n">
        <v>2.4</v>
      </c>
      <c r="S1249" s="5" t="n">
        <v>17.3</v>
      </c>
      <c r="T1249" s="2" t="n">
        <v>56</v>
      </c>
      <c r="U1249" s="2" t="inlineStr">
        <is>
          <t>medium</t>
        </is>
      </c>
      <c r="V1249" s="5" t="n">
        <v>9.699999999999999</v>
      </c>
      <c r="W1249" s="2" t="inlineStr">
        <is>
          <t>low</t>
        </is>
      </c>
      <c r="X1249" s="3" t="inlineStr">
        <is>
          <t>Medium-GI dish: keep to the stated portion and pair with the protein/fat in the recipe; GL per serving is the better guide.</t>
        </is>
      </c>
      <c r="Y1249" s="3" t="inlineStr">
        <is>
          <t>64% of this dish's available carbohydrate comes from ingredients with a published, measured GI; the rest uses conventional placeholders (see Ingredients sheet)</t>
        </is>
      </c>
      <c r="Z1249" s="2" t="n">
        <v>64</v>
      </c>
      <c r="AA1249" s="3" t="inlineStr">
        <is>
          <t>gluten-free, dairy-free, nut-free</t>
        </is>
      </c>
      <c r="AB1249" s="3" t="inlineStr">
        <is>
          <t>1. Simmer the chicken, onion, pepper and celery in the broth and tomatoes for 20 minutes.
2. Shred the chicken, add the sliced sausage, rice and seasoning and cook 8 minutes.</t>
        </is>
      </c>
      <c r="AC1249" s="4" t="inlineStr">
        <is>
          <t>["Simmer the chicken, onion, pepper and celery in the broth and tomatoes for 20 minutes.", "Shred the chicken, add the sliced sausage, rice and seasoning and cook 8 minutes."]</t>
        </is>
      </c>
    </row>
    <row r="1250" ht="96" customHeight="1">
      <c r="A1250" s="2" t="inlineStr">
        <is>
          <t>DB-1249</t>
        </is>
      </c>
      <c r="B1250" s="3" t="inlineStr">
        <is>
          <t>Cajun Shrimp Stuffed Avocado</t>
        </is>
      </c>
      <c r="C1250" s="4" t="inlineStr">
        <is>
          <t>Salad</t>
        </is>
      </c>
      <c r="D1250" s="4" t="inlineStr">
        <is>
          <t>Cajun</t>
        </is>
      </c>
      <c r="E1250" s="2" t="n">
        <v>4</v>
      </c>
      <c r="F1250" s="2" t="n">
        <v>15</v>
      </c>
      <c r="G1250" s="2" t="n">
        <v>5</v>
      </c>
      <c r="H1250" s="2" t="n">
        <v>20</v>
      </c>
      <c r="I1250" s="4" t="inlineStr">
        <is>
          <t>cajun-shrimp-stuffed-avocado.jpg</t>
        </is>
      </c>
      <c r="J1250" s="3" t="inlineStr">
        <is>
          <t>Cajun Shrimp Stuffed Avocado, healthy food photography, plated, natural light</t>
        </is>
      </c>
      <c r="K1250" s="4" t="inlineStr"/>
      <c r="L1250" s="3" t="inlineStr">
        <is>
          <t>Avocado — 350 g (12.3 oz)
Shrimp, peeled — 300 g (10.6 oz)
Cajun seasoning — 5 g (0.2 oz)
Lime juice — 20 g (0.7 oz)
Red onion — 30 g (1.1 oz)
Fresh cilantro — 5 g (0.2 oz)
Extra-virgin olive oil — 10 g (0.4 oz)</t>
        </is>
      </c>
      <c r="M1250" s="4" t="inlineStr">
        <is>
          <t>[{"ingredient_id": "avocado", "name": "Avocado", "grams": 350.0, "note": ""}, {"ingredient_id": "shrimp", "name": "Shrimp, peeled", "grams": 300.0, "note": ""}, {"ingredient_id": "cajun_seasoning", "name": "Cajun seasoning", "grams": 5.0, "note": ""}, {"ingredient_id": "lime_juice", "name": "Lime juice", "grams": 20.0, "note": ""}, {"ingredient_id": "red_onion", "name": "Red onion", "grams": 30.0, "note": ""}, {"ingredient_id": "cilantro", "name": "Fresh cilantro", "grams": 5.0, "note": ""}, {"ingredient_id": "olive_oil", "name": "Extra-virgin olive oil", "grams": 10.0, "note": ""}]</t>
        </is>
      </c>
      <c r="N1250" s="2" t="n">
        <v>234</v>
      </c>
      <c r="O1250" s="5" t="n">
        <v>17</v>
      </c>
      <c r="P1250" s="5" t="n">
        <v>16.1</v>
      </c>
      <c r="Q1250" s="5" t="n">
        <v>9.300000000000001</v>
      </c>
      <c r="R1250" s="5" t="n">
        <v>6.4</v>
      </c>
      <c r="S1250" s="5" t="n">
        <v>2.9</v>
      </c>
      <c r="T1250" s="2" t="n">
        <v>16</v>
      </c>
      <c r="U1250" s="2" t="inlineStr">
        <is>
          <t>low</t>
        </is>
      </c>
      <c r="V1250" s="5" t="n">
        <v>0.5</v>
      </c>
      <c r="W1250" s="2" t="inlineStr">
        <is>
          <t>low</t>
        </is>
      </c>
      <c r="X1250" s="3" t="inlineStr">
        <is>
          <t>Negligible carbohydrate (&lt;5 g net/serving): GI has little practical meaning, glycemic load is what matters.</t>
        </is>
      </c>
      <c r="Y1250" s="3" t="inlineStr">
        <is>
          <t>0% of this dish's available carbohydrate comes from ingredients with a published, measured GI; the rest uses conventional placeholders (see Ingredients sheet)</t>
        </is>
      </c>
      <c r="Z1250" s="2" t="n">
        <v>0</v>
      </c>
      <c r="AA1250" s="3" t="inlineStr">
        <is>
          <t>pescatarian, gluten-free, dairy-free, nut-free, low-carb</t>
        </is>
      </c>
      <c r="AB1250" s="3" t="inlineStr">
        <is>
          <t>1. Season the shrimp and sear in oil, 2 minutes a side.
2. Halve the avocados.
3. Fill with shrimp, onion and cilantro and squeeze lime on top.</t>
        </is>
      </c>
      <c r="AC1250" s="4" t="inlineStr">
        <is>
          <t>["Season the shrimp and sear in oil, 2 minutes a side.", "Halve the avocados.", "Fill with shrimp, onion and cilantro and squeeze lime on top."]</t>
        </is>
      </c>
    </row>
    <row r="1251" ht="96" customHeight="1">
      <c r="A1251" s="2" t="inlineStr">
        <is>
          <t>DB-1250</t>
        </is>
      </c>
      <c r="B1251" s="3" t="inlineStr">
        <is>
          <t>Peach Pecan Overnight Oats</t>
        </is>
      </c>
      <c r="C1251" s="4" t="inlineStr">
        <is>
          <t>Breakfast</t>
        </is>
      </c>
      <c r="D1251" s="4" t="inlineStr">
        <is>
          <t>American</t>
        </is>
      </c>
      <c r="E1251" s="2" t="n">
        <v>2</v>
      </c>
      <c r="F1251" s="2" t="n">
        <v>5</v>
      </c>
      <c r="G1251" s="2" t="n">
        <v>0</v>
      </c>
      <c r="H1251" s="2" t="n">
        <v>5</v>
      </c>
      <c r="I1251" s="4" t="inlineStr">
        <is>
          <t>peach-pecan-overnight-oats.jpg</t>
        </is>
      </c>
      <c r="J1251" s="3" t="inlineStr">
        <is>
          <t>Peach Pecan Overnight Oats, healthy food photography, plated, natural light</t>
        </is>
      </c>
      <c r="K1251" s="4" t="inlineStr"/>
      <c r="L1251" s="3" t="inlineStr">
        <is>
          <t>Rolled oats, dry — 60 g (2.1 oz)
Milk, 2% — 200 g (7.1 oz)
Greek yogurt, plain 2% — 100 g (3.5 oz)
Peach — 150 g (5.3 oz)
Pecans — 20 g (0.7 oz)
Ground cinnamon — 1 g (0.0 oz)
Chia seeds — 10 g (0.4 oz)</t>
        </is>
      </c>
      <c r="M1251" s="4" t="inlineStr">
        <is>
          <t>[{"ingredient_id": "rolled_oats", "name": "Rolled oats, dry", "grams": 60.0, "note": ""}, {"ingredient_id": "milk", "name": "Milk, 2%", "grams": 200.0, "note": ""}, {"ingredient_id": "greek_yogurt", "name": "Greek yogurt, plain 2%", "grams": 100.0, "note": ""}, {"ingredient_id": "peach", "name": "Peach", "grams": 150.0, "note": ""}, {"ingredient_id": "pecans", "name": "Pecans", "grams": 20.0, "note": ""}, {"ingredient_id": "cinnamon", "name": "Ground cinnamon", "grams": 1.0, "note": ""}, {"ingredient_id": "chia_seeds", "name": "Chia seeds", "grams": 10.0, "note": ""}]</t>
        </is>
      </c>
      <c r="N1251" s="2" t="n">
        <v>324</v>
      </c>
      <c r="O1251" s="5" t="n">
        <v>14.6</v>
      </c>
      <c r="P1251" s="5" t="n">
        <v>13.9</v>
      </c>
      <c r="Q1251" s="5" t="n">
        <v>38.2</v>
      </c>
      <c r="R1251" s="5" t="n">
        <v>7</v>
      </c>
      <c r="S1251" s="5" t="n">
        <v>31.2</v>
      </c>
      <c r="T1251" s="2" t="n">
        <v>48</v>
      </c>
      <c r="U1251" s="2" t="inlineStr">
        <is>
          <t>low</t>
        </is>
      </c>
      <c r="V1251" s="5" t="n">
        <v>15</v>
      </c>
      <c r="W1251" s="2" t="inlineStr">
        <is>
          <t>medium</t>
        </is>
      </c>
      <c r="X1251" s="3" t="inlineStr"/>
      <c r="Y1251" s="3" t="inlineStr">
        <is>
          <t>97% of this dish's available carbohydrate comes from ingredients with a published, measured GI; the rest uses conventional placeholders (see Ingredients sheet)</t>
        </is>
      </c>
      <c r="Z1251" s="2" t="n">
        <v>97</v>
      </c>
      <c r="AA1251" s="3" t="inlineStr">
        <is>
          <t>vegetarian, high-fiber, no-cook, meal-prep</t>
        </is>
      </c>
      <c r="AB1251" s="3" t="inlineStr">
        <is>
          <t>1. Stir the oats, milk, yogurt, chia and cinnamon in a jar.
2. Refrigerate overnight.
3. Top with peach and pecans.</t>
        </is>
      </c>
      <c r="AC1251" s="4" t="inlineStr">
        <is>
          <t>["Stir the oats, milk, yogurt, chia and cinnamon in a jar.", "Refrigerate overnight.", "Top with peach and pecans."]</t>
        </is>
      </c>
    </row>
    <row r="1252" ht="96" customHeight="1">
      <c r="A1252" s="2" t="inlineStr">
        <is>
          <t>DB-1251</t>
        </is>
      </c>
      <c r="B1252" s="3" t="inlineStr">
        <is>
          <t>Texas-Style Beef Chili without Beans</t>
        </is>
      </c>
      <c r="C1252" s="4" t="inlineStr">
        <is>
          <t>Soup &amp; Stew</t>
        </is>
      </c>
      <c r="D1252" s="4" t="inlineStr">
        <is>
          <t>Tex-Mex</t>
        </is>
      </c>
      <c r="E1252" s="2" t="n">
        <v>6</v>
      </c>
      <c r="F1252" s="2" t="n">
        <v>15</v>
      </c>
      <c r="G1252" s="2" t="n">
        <v>90</v>
      </c>
      <c r="H1252" s="2" t="n">
        <v>105</v>
      </c>
      <c r="I1252" s="4" t="inlineStr">
        <is>
          <t>texas-style-beef-chili-without-beans.jpg</t>
        </is>
      </c>
      <c r="J1252" s="3" t="inlineStr">
        <is>
          <t>Texas-Style Beef Chili without Beans, healthy food photography, plated, natural light</t>
        </is>
      </c>
      <c r="K1252" s="4" t="inlineStr"/>
      <c r="L1252" s="3" t="inlineStr">
        <is>
          <t>Beef chuck roast, trimmed — 700 g (24.7 oz)
Diced tomatoes, canned — 400 g (14.1 oz)
Yellow onion — 150 g (5.3 oz)
Chili powder — 15 g (0.5 oz)
Ground cumin — 5 g (0.2 oz)
Garlic — 10 g (0.4 oz)
Beef broth, low sodium — 400 g (14.1 oz)
Tomato paste — 30 g (1.1 oz)
Jalapeño — 20 g (0.7 oz)
Extra-virgin olive oil — 15 g (0.5 oz)</t>
        </is>
      </c>
      <c r="M1252" s="4" t="inlineStr">
        <is>
          <t>[{"ingredient_id": "beef_chuck", "name": "Beef chuck roast, trimmed", "grams": 700.0, "note": ""}, {"ingredient_id": "diced_tomatoes", "name": "Diced tomatoes, canned", "grams": 400.0, "note": ""}, {"ingredient_id": "onion", "name": "Yellow onion", "grams": 150.0, "note": ""}, {"ingredient_id": "chili_powder", "name": "Chili powder", "grams": 15.0, "note": ""}, {"ingredient_id": "cumin", "name": "Ground cumin", "grams": 5.0, "note": ""}, {"ingredient_id": "garlic", "name": "Garlic", "grams": 10.0, "note": ""}, {"ingredient_id": "beef_broth", "name": "Beef broth, low sodium", "grams": 400.0, "note": ""}, {"ingredient_id": "tomato_paste", "name": "Tomato paste", "grams": 30.0, "note": ""}, {"ingredient_id": "jalapeno", "name": "Jalapeño", "grams": 20.0, "note": ""}, {"ingredient_id": "olive_oil", "name": "Extra-virgin olive oil", "grams": 15.0, "note": ""}]</t>
        </is>
      </c>
      <c r="N1252" s="2" t="n">
        <v>280</v>
      </c>
      <c r="O1252" s="5" t="n">
        <v>26.1</v>
      </c>
      <c r="P1252" s="5" t="n">
        <v>16.2</v>
      </c>
      <c r="Q1252" s="5" t="n">
        <v>9.300000000000001</v>
      </c>
      <c r="R1252" s="5" t="n">
        <v>2.7</v>
      </c>
      <c r="S1252" s="5" t="n">
        <v>6.5</v>
      </c>
      <c r="T1252" s="2" t="n">
        <v>25</v>
      </c>
      <c r="U1252" s="2" t="inlineStr">
        <is>
          <t>low</t>
        </is>
      </c>
      <c r="V1252" s="5" t="n">
        <v>1.6</v>
      </c>
      <c r="W1252" s="2" t="inlineStr">
        <is>
          <t>low</t>
        </is>
      </c>
      <c r="X1252" s="3" t="inlineStr"/>
      <c r="Y1252" s="3" t="inlineStr">
        <is>
          <t>0% of this dish's available carbohydrate comes from ingredients with a published, measured GI; the rest uses conventional placeholders (see Ingredients sheet)</t>
        </is>
      </c>
      <c r="Z1252" s="2" t="n">
        <v>0</v>
      </c>
      <c r="AA1252" s="3" t="inlineStr">
        <is>
          <t>gluten-free, dairy-free, nut-free, low-carb, high-protein</t>
        </is>
      </c>
      <c r="AB1252" s="3" t="inlineStr">
        <is>
          <t>1. Brown the cubed beef in oil.
2. Add the onion, garlic, jalapeno and spices.
3. Stir in the tomatoes, paste and broth and simmer 80 minutes until tender.</t>
        </is>
      </c>
      <c r="AC1252" s="4" t="inlineStr">
        <is>
          <t>["Brown the cubed beef in oil.", "Add the onion, garlic, jalapeno and spices.", "Stir in the tomatoes, paste and broth and simmer 80 minutes until tender."]</t>
        </is>
      </c>
    </row>
    <row r="1253" ht="96" customHeight="1">
      <c r="A1253" s="2" t="inlineStr">
        <is>
          <t>DB-1252</t>
        </is>
      </c>
      <c r="B1253" s="3" t="inlineStr">
        <is>
          <t>Brisket-Style Slow Cooker Beef with Barbecue Rub</t>
        </is>
      </c>
      <c r="C1253" s="4" t="inlineStr">
        <is>
          <t>Beef, Pork &amp; Lamb</t>
        </is>
      </c>
      <c r="D1253" s="4" t="inlineStr">
        <is>
          <t>American</t>
        </is>
      </c>
      <c r="E1253" s="2" t="n">
        <v>8</v>
      </c>
      <c r="F1253" s="2" t="n">
        <v>15</v>
      </c>
      <c r="G1253" s="2" t="n">
        <v>480</v>
      </c>
      <c r="H1253" s="2" t="n">
        <v>495</v>
      </c>
      <c r="I1253" s="4" t="inlineStr">
        <is>
          <t>brisket-style-slow-cooker-beef-with-barbecue-rub.jpg</t>
        </is>
      </c>
      <c r="J1253" s="3" t="inlineStr">
        <is>
          <t>Brisket-Style Slow Cooker Beef with Barbecue Rub, healthy food photography, plated, natural light</t>
        </is>
      </c>
      <c r="K1253" s="4" t="inlineStr"/>
      <c r="L1253" s="3" t="inlineStr">
        <is>
          <t>Beef chuck roast, trimmed — 1200 g (42.3 oz)
Smoked paprika — 8 g (0.3 oz)
Garlic powder — 6 g (0.2 oz)
Onion powder — 4 g (0.1 oz)
Chili powder — 6 g (0.2 oz)
Black pepper — 3 g (0.1 oz)
Salt — 6 g (0.2 oz)
Apple cider vinegar — 40 g (1.4 oz)
Beef broth, low sodium — 300 g (10.6 oz)
Yellow onion — 150 g (5.3 oz)</t>
        </is>
      </c>
      <c r="M1253" s="4" t="inlineStr">
        <is>
          <t>[{"ingredient_id": "beef_chuck", "name": "Beef chuck roast, trimmed", "grams": 1200.0, "note": ""}, {"ingredient_id": "smoked_paprika", "name": "Smoked paprika", "grams": 8.0, "note": ""}, {"ingredient_id": "garlic_powder", "name": "Garlic powder", "grams": 6.0, "note": ""}, {"ingredient_id": "onion_powder", "name": "Onion powder", "grams": 4.0, "note": ""}, {"ingredient_id": "chili_powder", "name": "Chili powder", "grams": 6.0, "note": ""}, {"ingredient_id": "black_pepper", "name": "Black pepper", "grams": 3.0, "note": ""}, {"ingredient_id": "salt", "name": "Salt", "grams": 6.0, "note": ""}, {"ingredient_id": "apple_cider_vinegar", "name": "Apple cider vinegar", "grams": 40.0, "note": ""}, {"ingredient_id": "beef_broth", "name": "Beef broth, low sodium", "grams": 300.0, "note": ""}, {"ingredient_id": "onion", "name": "Yellow onion", "grams": 150.0, "note": ""}]</t>
        </is>
      </c>
      <c r="N1253" s="2" t="n">
        <v>291</v>
      </c>
      <c r="O1253" s="5" t="n">
        <v>31.1</v>
      </c>
      <c r="P1253" s="5" t="n">
        <v>16.9</v>
      </c>
      <c r="Q1253" s="5" t="n">
        <v>4</v>
      </c>
      <c r="R1253" s="5" t="n">
        <v>1.2</v>
      </c>
      <c r="S1253" s="5" t="n">
        <v>2.9</v>
      </c>
      <c r="T1253" s="2" t="n">
        <v>14</v>
      </c>
      <c r="U1253" s="2" t="inlineStr">
        <is>
          <t>low</t>
        </is>
      </c>
      <c r="V1253" s="5" t="n">
        <v>0.4</v>
      </c>
      <c r="W1253" s="2" t="inlineStr">
        <is>
          <t>low</t>
        </is>
      </c>
      <c r="X1253" s="3" t="inlineStr">
        <is>
          <t>Negligible carbohydrate (&lt;5 g net/serving): GI has little practical meaning, glycemic load is what matters.</t>
        </is>
      </c>
      <c r="Y1253" s="3" t="inlineStr">
        <is>
          <t>0% of this dish's available carbohydrate comes from ingredients with a published, measured GI; the rest uses conventional placeholders (see Ingredients sheet)</t>
        </is>
      </c>
      <c r="Z1253" s="2" t="n">
        <v>0</v>
      </c>
      <c r="AA1253" s="3" t="inlineStr">
        <is>
          <t>gluten-free, dairy-free, nut-free, low-carb, high-protein, slow-cooker</t>
        </is>
      </c>
      <c r="AB1253" s="3" t="inlineStr">
        <is>
          <t>1. Rub the beef with the spice mix.
2. Place on the onion in a slow cooker with the broth and vinegar.
3. Cook on low for 8 hours and shred or slice.</t>
        </is>
      </c>
      <c r="AC1253" s="4" t="inlineStr">
        <is>
          <t>["Rub the beef with the spice mix.", "Place on the onion in a slow cooker with the broth and vinegar.", "Cook on low for 8 hours and shred or slice."]</t>
        </is>
      </c>
    </row>
    <row r="1254" ht="96" customHeight="1">
      <c r="A1254" s="2" t="inlineStr">
        <is>
          <t>DB-1253</t>
        </is>
      </c>
      <c r="B1254" s="3" t="inlineStr">
        <is>
          <t>Smoked Turkey Breast with Dry Rub</t>
        </is>
      </c>
      <c r="C1254" s="4" t="inlineStr">
        <is>
          <t>Poultry</t>
        </is>
      </c>
      <c r="D1254" s="4" t="inlineStr">
        <is>
          <t>American</t>
        </is>
      </c>
      <c r="E1254" s="2" t="n">
        <v>6</v>
      </c>
      <c r="F1254" s="2" t="n">
        <v>15</v>
      </c>
      <c r="G1254" s="2" t="n">
        <v>120</v>
      </c>
      <c r="H1254" s="2" t="n">
        <v>135</v>
      </c>
      <c r="I1254" s="4" t="inlineStr">
        <is>
          <t>smoked-turkey-breast-with-dry-rub.jpg</t>
        </is>
      </c>
      <c r="J1254" s="3" t="inlineStr">
        <is>
          <t>Smoked Turkey Breast with Dry Rub, healthy food photography, plated, natural light</t>
        </is>
      </c>
      <c r="K1254" s="4" t="inlineStr"/>
      <c r="L1254" s="3" t="inlineStr">
        <is>
          <t>Turkey breast, skinless — 1000 g (35.3 oz)
Smoked paprika — 8 g (0.3 oz)
Garlic powder — 5 g (0.2 oz)
Onion powder — 4 g (0.1 oz)
Black pepper — 2 g (0.1 oz)
Salt — 5 g (0.2 oz)
Extra-virgin olive oil — 20 g (0.7 oz)
Apple cider vinegar — 20 g (0.7 oz)</t>
        </is>
      </c>
      <c r="M1254" s="4" t="inlineStr">
        <is>
          <t>[{"ingredient_id": "turkey_breast", "name": "Turkey breast, skinless", "grams": 1000.0, "note": ""}, {"ingredient_id": "smoked_paprika", "name": "Smoked paprika", "grams": 8.0, "note": ""}, {"ingredient_id": "garlic_powder", "name": "Garlic powder", "grams": 5.0, "note": ""}, {"ingredient_id": "onion_powder", "name": "Onion powder", "grams": 4.0, "note": ""}, {"ingredient_id": "black_pepper", "name": "Black pepper", "grams": 2.0, "note": ""}, {"ingredient_id": "salt", "name": "Salt", "grams": 5.0, "note": ""}, {"ingredient_id": "olive_oil", "name": "Extra-virgin olive oil", "grams": 20.0, "note": ""}, {"ingredient_id": "apple_cider_vinegar", "name": "Apple cider vinegar", "grams": 20.0, "note": ""}]</t>
        </is>
      </c>
      <c r="N1254" s="2" t="n">
        <v>223</v>
      </c>
      <c r="O1254" s="5" t="n">
        <v>40.4</v>
      </c>
      <c r="P1254" s="5" t="n">
        <v>5.2</v>
      </c>
      <c r="Q1254" s="5" t="n">
        <v>2.1</v>
      </c>
      <c r="R1254" s="5" t="n">
        <v>0.7</v>
      </c>
      <c r="S1254" s="5" t="n">
        <v>1.4</v>
      </c>
      <c r="T1254" s="2" t="n">
        <v>15</v>
      </c>
      <c r="U1254" s="2" t="inlineStr">
        <is>
          <t>low</t>
        </is>
      </c>
      <c r="V1254" s="5" t="n">
        <v>0.2</v>
      </c>
      <c r="W1254" s="2" t="inlineStr">
        <is>
          <t>low</t>
        </is>
      </c>
      <c r="X1254" s="3" t="inlineStr">
        <is>
          <t>Negligible carbohydrate (&lt;5 g net/serving): GI has little practical meaning, glycemic load is what matters.</t>
        </is>
      </c>
      <c r="Y1254" s="3" t="inlineStr">
        <is>
          <t>0% of this dish's available carbohydrate comes from ingredients with a published, measured GI; the rest uses conventional placeholders (see Ingredients sheet)</t>
        </is>
      </c>
      <c r="Z1254" s="2" t="n">
        <v>0</v>
      </c>
      <c r="AA1254" s="3" t="inlineStr">
        <is>
          <t>gluten-free, dairy-free, nut-free, low-carb, high-protein</t>
        </is>
      </c>
      <c r="AB1254" s="3" t="inlineStr">
        <is>
          <t>1. Rub the turkey with oil, vinegar and the spices.
2. Roast at 300°F, or smoke, until it reaches 165°F, about 2 hours.
3. Rest and slice.</t>
        </is>
      </c>
      <c r="AC1254" s="4" t="inlineStr">
        <is>
          <t>["Rub the turkey with oil, vinegar and the spices.", "Roast at 300°F, or smoke, until it reaches 165°F, about 2 hours.", "Rest and slice."]</t>
        </is>
      </c>
    </row>
    <row r="1255" ht="96" customHeight="1">
      <c r="A1255" s="2" t="inlineStr">
        <is>
          <t>DB-1254</t>
        </is>
      </c>
      <c r="B1255" s="3" t="inlineStr">
        <is>
          <t>Barbecue Ribs, Oven-Baked</t>
        </is>
      </c>
      <c r="C1255" s="4" t="inlineStr">
        <is>
          <t>Beef, Pork &amp; Lamb</t>
        </is>
      </c>
      <c r="D1255" s="4" t="inlineStr">
        <is>
          <t>American</t>
        </is>
      </c>
      <c r="E1255" s="2" t="n">
        <v>4</v>
      </c>
      <c r="F1255" s="2" t="n">
        <v>15</v>
      </c>
      <c r="G1255" s="2" t="n">
        <v>150</v>
      </c>
      <c r="H1255" s="2" t="n">
        <v>165</v>
      </c>
      <c r="I1255" s="4" t="inlineStr">
        <is>
          <t>barbecue-ribs-oven-baked.jpg</t>
        </is>
      </c>
      <c r="J1255" s="3" t="inlineStr">
        <is>
          <t>Barbecue Ribs, Oven-Baked, healthy food photography, plated, natural light</t>
        </is>
      </c>
      <c r="K1255" s="4" t="inlineStr"/>
      <c r="L1255" s="3" t="inlineStr">
        <is>
          <t>Pork shoulder, trimmed — 1000 g (35.3 oz)
Smoked paprika — 8 g (0.3 oz)
Garlic powder — 5 g (0.2 oz)
Tomato paste — 50 g (1.8 oz)
Apple cider vinegar — 40 g (1.4 oz)
Monk fruit/erythritol sweetener — 8 g (0.3 oz)
Black pepper — 2 g (0.1 oz)
Salt — 5 g (0.2 oz)</t>
        </is>
      </c>
      <c r="M1255" s="4" t="inlineStr">
        <is>
          <t>[{"ingredient_id": "pork_shoulder", "name": "Pork shoulder, trimmed", "grams": 1000.0, "note": ""}, {"ingredient_id": "smoked_paprika", "name": "Smoked paprika", "grams": 8.0, "note": ""}, {"ingredient_id": "garlic_powder", "name": "Garlic powder", "grams": 5.0, "note": ""}, {"ingredient_id": "tomato_paste", "name": "Tomato paste", "grams": 50.0, "note": ""}, {"ingredient_id": "apple_cider_vinegar", "name": "Apple cider vinegar", "grams": 40.0, "note": ""}, {"ingredient_id": "monk_fruit_sweetener", "name": "Monk fruit/erythritol sweetener", "grams": 8.0, "note": ""}, {"ingredient_id": "black_pepper", "name": "Black pepper", "grams": 2.0, "note": ""}, {"ingredient_id": "salt", "name": "Salt", "grams": 5.0, "note": ""}]</t>
        </is>
      </c>
      <c r="N1255" s="2" t="n">
        <v>523</v>
      </c>
      <c r="O1255" s="5" t="n">
        <v>48.6</v>
      </c>
      <c r="P1255" s="5" t="n">
        <v>35.3</v>
      </c>
      <c r="Q1255" s="5" t="n">
        <v>4.8</v>
      </c>
      <c r="R1255" s="5" t="n">
        <v>1.4</v>
      </c>
      <c r="S1255" s="5" t="n">
        <v>3.3</v>
      </c>
      <c r="T1255" s="2" t="n">
        <v>26</v>
      </c>
      <c r="U1255" s="2" t="inlineStr">
        <is>
          <t>low</t>
        </is>
      </c>
      <c r="V1255" s="5" t="n">
        <v>0.9</v>
      </c>
      <c r="W1255" s="2" t="inlineStr">
        <is>
          <t>low</t>
        </is>
      </c>
      <c r="X1255" s="3" t="inlineStr">
        <is>
          <t>Negligible carbohydrate (&lt;5 g net/serving): GI has little practical meaning, glycemic load is what matters.</t>
        </is>
      </c>
      <c r="Y1255" s="3" t="inlineStr">
        <is>
          <t>0% of this dish's available carbohydrate comes from ingredients with a published, measured GI; the rest uses conventional placeholders (see Ingredients sheet)</t>
        </is>
      </c>
      <c r="Z1255" s="2" t="n">
        <v>0</v>
      </c>
      <c r="AA1255" s="3" t="inlineStr">
        <is>
          <t>gluten-free, dairy-free, nut-free, low-carb, high-protein</t>
        </is>
      </c>
      <c r="AB1255" s="3" t="inlineStr">
        <is>
          <t>1. Rub the pork with the spices.
2. Wrap tightly and bake at 300°F for 2 hours.
3. Brush with a sauce of paste, vinegar and sweetener and finish under the broiler.</t>
        </is>
      </c>
      <c r="AC1255" s="4" t="inlineStr">
        <is>
          <t>["Rub the pork with the spices.", "Wrap tightly and bake at 300°F for 2 hours.", "Brush with a sauce of paste, vinegar and sweetener and finish under the broiler."]</t>
        </is>
      </c>
    </row>
    <row r="1256" ht="96" customHeight="1">
      <c r="A1256" s="2" t="inlineStr">
        <is>
          <t>DB-1255</t>
        </is>
      </c>
      <c r="B1256" s="3" t="inlineStr">
        <is>
          <t>BBQ Chicken Quarters with Corn on the Cob</t>
        </is>
      </c>
      <c r="C1256" s="4" t="inlineStr">
        <is>
          <t>Poultry</t>
        </is>
      </c>
      <c r="D1256" s="4" t="inlineStr">
        <is>
          <t>American</t>
        </is>
      </c>
      <c r="E1256" s="2" t="n">
        <v>4</v>
      </c>
      <c r="F1256" s="2" t="n">
        <v>15</v>
      </c>
      <c r="G1256" s="2" t="n">
        <v>45</v>
      </c>
      <c r="H1256" s="2" t="n">
        <v>60</v>
      </c>
      <c r="I1256" s="4" t="inlineStr">
        <is>
          <t>bbq-chicken-quarters-with-corn-on-the-cob.jpg</t>
        </is>
      </c>
      <c r="J1256" s="3" t="inlineStr">
        <is>
          <t>BBQ Chicken Quarters with Corn on the Cob, healthy food photography, plated, natural light</t>
        </is>
      </c>
      <c r="K1256" s="4" t="inlineStr"/>
      <c r="L1256" s="3" t="inlineStr">
        <is>
          <t>Chicken thigh, skinless boneless — 700 g (24.7 oz)
Tomato paste — 50 g (1.8 oz)
Apple cider vinegar — 30 g (1.1 oz)
Smoked paprika — 4 g (0.1 oz)
Monk fruit/erythritol sweetener — 5 g (0.2 oz)
Sweet corn kernels — 500 g (17.6 oz)
Butter — 15 g (0.5 oz)</t>
        </is>
      </c>
      <c r="M1256" s="4" t="inlineStr">
        <is>
          <t>[{"ingredient_id": "chicken_thigh", "name": "Chicken thigh, skinless boneless", "grams": 700.0,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"corn", "name": "Sweet corn kernels", "grams": 500.0, "note": ""}, {"ingredient_id": "butter", "name": "Butter", "grams": 15.0, "note": ""}]</t>
        </is>
      </c>
      <c r="N1256" s="2" t="n">
        <v>361</v>
      </c>
      <c r="O1256" s="5" t="n">
        <v>39.3</v>
      </c>
      <c r="P1256" s="5" t="n">
        <v>12.2</v>
      </c>
      <c r="Q1256" s="5" t="n">
        <v>26.7</v>
      </c>
      <c r="R1256" s="5" t="n">
        <v>4.2</v>
      </c>
      <c r="S1256" s="5" t="n">
        <v>22.5</v>
      </c>
      <c r="T1256" s="2" t="n">
        <v>50</v>
      </c>
      <c r="U1256" s="2" t="inlineStr">
        <is>
          <t>low</t>
        </is>
      </c>
      <c r="V1256" s="5" t="n">
        <v>11.3</v>
      </c>
      <c r="W1256" s="2" t="inlineStr">
        <is>
          <t>medium</t>
        </is>
      </c>
      <c r="X1256" s="3" t="inlineStr"/>
      <c r="Y1256" s="3" t="inlineStr">
        <is>
          <t>91% of this dish's available carbohydrate comes from ingredients with a published, measured GI; the rest uses conventional placeholders (see Ingredients sheet)</t>
        </is>
      </c>
      <c r="Z1256" s="2" t="n">
        <v>91</v>
      </c>
      <c r="AA1256" s="3" t="inlineStr">
        <is>
          <t>gluten-free, nut-free, high-protein</t>
        </is>
      </c>
      <c r="AB1256" s="3" t="inlineStr">
        <is>
          <t>1. Whisk the paste, vinegar, paprika and sweetener.
2. Roast the chicken at 425°F for 35 minutes, brushing with sauce.
3. Grill or boil the corn and brush with butter.</t>
        </is>
      </c>
      <c r="AC1256" s="4" t="inlineStr">
        <is>
          <t>["Whisk the paste, vinegar, paprika and sweetener.", "Roast the chicken at 425°F for 35 minutes, brushing with sauce.", "Grill or boil the corn and brush with butter."]</t>
        </is>
      </c>
    </row>
    <row r="1257" ht="96" customHeight="1">
      <c r="A1257" s="2" t="inlineStr">
        <is>
          <t>DB-1256</t>
        </is>
      </c>
      <c r="B1257" s="3" t="inlineStr">
        <is>
          <t>Cowboy Caviar Chicken Bowls</t>
        </is>
      </c>
      <c r="C1257" s="4" t="inlineStr">
        <is>
          <t>Poultry</t>
        </is>
      </c>
      <c r="D1257" s="4" t="inlineStr">
        <is>
          <t>Tex-Mex</t>
        </is>
      </c>
      <c r="E1257" s="2" t="n">
        <v>4</v>
      </c>
      <c r="F1257" s="2" t="n">
        <v>15</v>
      </c>
      <c r="G1257" s="2" t="n">
        <v>15</v>
      </c>
      <c r="H1257" s="2" t="n">
        <v>30</v>
      </c>
      <c r="I1257" s="4" t="inlineStr">
        <is>
          <t>cowboy-caviar-chicken-bowls.jpg</t>
        </is>
      </c>
      <c r="J1257" s="3" t="inlineStr">
        <is>
          <t>Cowboy Caviar Chicken Bowls, healthy food photography, plated, natural light</t>
        </is>
      </c>
      <c r="K1257" s="4" t="inlineStr"/>
      <c r="L1257" s="3" t="inlineStr">
        <is>
          <t>Chicken breast, skinless — 500 g (17.6 oz)
Black beans, cooked — 200 g (7.1 oz)
Sweet corn kernels — 120 g (4.2 oz)
Bell pepper — 100 g (3.5 oz)
Red onion — 40 g (1.4 oz)
Lime juice — 30 g (1.1 oz)
Fresh cilantro — 8 g (0.3 oz)
Avocado — 100 g (3.5 oz)
Chili powder — 4 g (0.1 oz)
White rice, long-grain, cooked — 300 g (10.6 oz)</t>
        </is>
      </c>
      <c r="M1257" s="4" t="inlineStr">
        <is>
          <t>[{"ingredient_id": "chicken_breast", "name": "Chicken breast, skinless", "grams": 500.0, "note": ""}, {"ingredient_id": "black_beans", "name": "Black beans, cooked", "grams": 200.0, "note": ""}, {"ingredient_id": "corn", "name": "Sweet corn kernels", "grams": 120.0, "note": ""}, {"ingredient_id": "bell_pepper", "name": "Bell pepper", "grams": 100.0, "note": ""}, {"ingredient_id": "red_onion", "name": "Red onion", "grams": 40.0, "note": ""}, {"ingredient_id": "lime_juice", "name": "Lime juice", "grams": 30.0, "note": ""}, {"ingredient_id": "cilantro", "name": "Fresh cilantro", "grams": 8.0, "note": ""}, {"ingredient_id": "avocado", "name": "Avocado", "grams": 100.0, "note": ""}, {"ingredient_id": "chili_powder", "name": "Chili powder", "grams": 4.0, "note": ""}, {"ingredient_id": "white_rice", "name": "White rice, long-grain, cooked", "grams": 300.0, "note": ""}]</t>
        </is>
      </c>
      <c r="N1257" s="2" t="n">
        <v>395</v>
      </c>
      <c r="O1257" s="5" t="n">
        <v>36.6</v>
      </c>
      <c r="P1257" s="5" t="n">
        <v>8.1</v>
      </c>
      <c r="Q1257" s="5" t="n">
        <v>44.3</v>
      </c>
      <c r="R1257" s="5" t="n">
        <v>8.300000000000001</v>
      </c>
      <c r="S1257" s="5" t="n">
        <v>36</v>
      </c>
      <c r="T1257" s="2" t="n">
        <v>59</v>
      </c>
      <c r="U1257" s="2" t="inlineStr">
        <is>
          <t>medium</t>
        </is>
      </c>
      <c r="V1257" s="5" t="n">
        <v>21.3</v>
      </c>
      <c r="W1257" s="2" t="inlineStr">
        <is>
          <t>high</t>
        </is>
      </c>
      <c r="X1257" s="3" t="inlineStr">
        <is>
          <t>Medium-GI dish: keep to the stated portion and pair with the protein/fat in the recipe; GL per serving is the better guide.</t>
        </is>
      </c>
      <c r="Y1257" s="3" t="inlineStr">
        <is>
          <t>92% of this dish's available carbohydrate comes from ingredients with a published, measured GI; the rest uses conventional placeholders (see Ingredients sheet)</t>
        </is>
      </c>
      <c r="Z1257" s="2" t="n">
        <v>92</v>
      </c>
      <c r="AA1257" s="3" t="inlineStr">
        <is>
          <t>gluten-free, dairy-free, nut-free, high-protein, high-fiber</t>
        </is>
      </c>
      <c r="AB1257" s="3" t="inlineStr">
        <is>
          <t>1. Season and grill the chicken, then slice.
2. Mix the beans, corn, pepper, onion, lime and cilantro.
3. Serve over rice with chicken and avocado.</t>
        </is>
      </c>
      <c r="AC1257" s="4" t="inlineStr">
        <is>
          <t>["Season and grill the chicken, then slice.", "Mix the beans, corn, pepper, onion, lime and cilantro.", "Serve over rice with chicken and avocado."]</t>
        </is>
      </c>
    </row>
    <row r="1258" ht="96" customHeight="1">
      <c r="A1258" s="2" t="inlineStr">
        <is>
          <t>DB-1257</t>
        </is>
      </c>
      <c r="B1258" s="3" t="inlineStr">
        <is>
          <t>Tex-Mex Chicken Tortilla Soup</t>
        </is>
      </c>
      <c r="C1258" s="4" t="inlineStr">
        <is>
          <t>Soup &amp; Stew</t>
        </is>
      </c>
      <c r="D1258" s="4" t="inlineStr">
        <is>
          <t>Tex-Mex</t>
        </is>
      </c>
      <c r="E1258" s="2" t="n">
        <v>6</v>
      </c>
      <c r="F1258" s="2" t="n">
        <v>15</v>
      </c>
      <c r="G1258" s="2" t="n">
        <v>30</v>
      </c>
      <c r="H1258" s="2" t="n">
        <v>45</v>
      </c>
      <c r="I1258" s="4" t="inlineStr">
        <is>
          <t>tex-mex-chicken-tortilla-soup.jpg</t>
        </is>
      </c>
      <c r="J1258" s="3" t="inlineStr">
        <is>
          <t>Tex-Mex Chicken Tortilla Soup, healthy food photography, plated, natural light</t>
        </is>
      </c>
      <c r="K1258" s="4" t="inlineStr"/>
      <c r="L1258" s="3" t="inlineStr">
        <is>
          <t>Chicken breast, skinless — 450 g (15.9 oz)
Chicken broth, low sodium — 900 g (31.7 oz)
Diced tomatoes, canned — 400 g (14.1 oz)
Black beans, cooked — 200 g (7.1 oz)
Sweet corn kernels — 100 g (3.5 oz)
Yellow onion — 100 g (3.5 oz)
Ground cumin — 3 g (0.1 oz)
Chili powder — 5 g (0.2 oz)
Corn tortilla — 90 g (3.2 oz)
Avocado — 100 g (3.5 oz)
Fresh cilantro — 8 g (0.3 oz)</t>
        </is>
      </c>
      <c r="M1258" s="4" t="inlineStr">
        <is>
          <t>[{"ingredient_id": "chicken_breast", "name": "Chicken breast, skinless", "grams": 450.0, "note": ""}, {"ingredient_id": "chicken_broth", "name": "Chicken broth, low sodium", "grams": 900.0, "note": ""}, {"ingredient_id": "diced_tomatoes", "name": "Diced tomatoes, canned", "grams": 400.0, "note": ""}, {"ingredient_id": "black_beans", "name": "Black beans, cooked", "grams": 200.0, "note": ""}, {"ingredient_id": "corn", "name": "Sweet corn kernels", "grams": 100.0, "note": ""}, {"ingredient_id": "onion", "name": "Yellow onion", "grams": 100.0, "note": ""}, {"ingredient_id": "cumin", "name": "Ground cumin", "grams": 3.0, "note": ""}, {"ingredient_id": "chili_powder", "name": "Chili powder", "grams": 5.0, "note": ""}, {"ingredient_id": "corn_tortilla", "name": "Corn tortilla", "grams": 90.0, "note": ""}, {"ingredient_id": "avocado", "name": "Avocado", "grams": 100.0, "note": ""}, {"ingredient_id": "cilantro", "name": "Fresh cilantro", "grams": 8.0, "note": ""}]</t>
        </is>
      </c>
      <c r="N1258" s="2" t="n">
        <v>245</v>
      </c>
      <c r="O1258" s="5" t="n">
        <v>24.3</v>
      </c>
      <c r="P1258" s="5" t="n">
        <v>6</v>
      </c>
      <c r="Q1258" s="5" t="n">
        <v>25.6</v>
      </c>
      <c r="R1258" s="5" t="n">
        <v>7.1</v>
      </c>
      <c r="S1258" s="5" t="n">
        <v>18.5</v>
      </c>
      <c r="T1258" s="2" t="n">
        <v>38</v>
      </c>
      <c r="U1258" s="2" t="inlineStr">
        <is>
          <t>low</t>
        </is>
      </c>
      <c r="V1258" s="5" t="n">
        <v>7</v>
      </c>
      <c r="W1258" s="2" t="inlineStr">
        <is>
          <t>low</t>
        </is>
      </c>
      <c r="X1258" s="3" t="inlineStr"/>
      <c r="Y1258" s="3" t="inlineStr">
        <is>
          <t>73% of this dish's available carbohydrate comes from ingredients with a published, measured GI; the rest uses conventional placeholders (see Ingredients sheet)</t>
        </is>
      </c>
      <c r="Z1258" s="2" t="n">
        <v>73</v>
      </c>
      <c r="AA1258" s="3" t="inlineStr">
        <is>
          <t>gluten-free, dairy-free, nut-free, high-fiber</t>
        </is>
      </c>
      <c r="AB1258" s="3" t="inlineStr">
        <is>
          <t>1. Simmer the chicken, onion, tomatoes, spices and broth for 20 minutes.
2. Shred the chicken and add the beans and corn.
3. Serve with strips of crisped tortilla, avocado and cilantro.</t>
        </is>
      </c>
      <c r="AC1258" s="4" t="inlineStr">
        <is>
          <t>["Simmer the chicken, onion, tomatoes, spices and broth for 20 minutes.", "Shred the chicken and add the beans and corn.", "Serve with strips of crisped tortilla, avocado and cilantro."]</t>
        </is>
      </c>
    </row>
    <row r="1259" ht="96" customHeight="1">
      <c r="A1259" s="2" t="inlineStr">
        <is>
          <t>DB-1258</t>
        </is>
      </c>
      <c r="B1259" s="3" t="inlineStr">
        <is>
          <t>Carne Asada Street Tacos</t>
        </is>
      </c>
      <c r="C1259" s="4" t="inlineStr">
        <is>
          <t>Beef, Pork &amp; Lamb</t>
        </is>
      </c>
      <c r="D1259" s="4" t="inlineStr">
        <is>
          <t>Tex-Mex</t>
        </is>
      </c>
      <c r="E1259" s="2" t="n">
        <v>4</v>
      </c>
      <c r="F1259" s="2" t="n">
        <v>15</v>
      </c>
      <c r="G1259" s="2" t="n">
        <v>10</v>
      </c>
      <c r="H1259" s="2" t="n">
        <v>25</v>
      </c>
      <c r="I1259" s="4" t="inlineStr">
        <is>
          <t>carne-asada-street-tacos.jpg</t>
        </is>
      </c>
      <c r="J1259" s="3" t="inlineStr">
        <is>
          <t>Carne Asada Street Tacos, healthy food photography, plated, natural light</t>
        </is>
      </c>
      <c r="K1259" s="4" t="inlineStr"/>
      <c r="L1259" s="3" t="inlineStr">
        <is>
          <t>Flank steak — 450 g (15.9 oz)
Corn tortilla — 240 g (8.5 oz)
Lime juice — 40 g (1.4 oz)
Garlic — 6 g (0.2 oz)
Ground cumin — 3 g (0.1 oz)
Red onion — 50 g (1.8 oz)
Fresh cilantro — 10 g (0.4 oz)
Salsa verde — 100 g (3.5 oz)</t>
        </is>
      </c>
      <c r="M1259" s="4" t="inlineStr">
        <is>
          <t>[{"ingredient_id": "flank_steak", "name": "Flank steak", "grams": 450.0, "note": ""}, {"ingredient_id": "corn_tortilla", "name": "Corn tortilla", "grams": 240.0, "note": ""}, {"ingredient_id": "lime_juice", "name": "Lime juice", "grams": 40.0, "note": ""}, {"ingredient_id": "garlic", "name": "Garlic", "grams": 6.0, "note": ""}, {"ingredient_id": "cumin", "name": "Ground cumin", "grams": 3.0, "note": ""}, {"ingredient_id": "red_onion", "name": "Red onion", "grams": 50.0, "note": ""}, {"ingredient_id": "cilantro", "name": "Fresh cilantro", "grams": 10.0, "note": ""}, {"ingredient_id": "salsa_verde", "name": "Salsa verde", "grams": 100.0, "note": ""}]</t>
        </is>
      </c>
      <c r="N1259" s="2" t="n">
        <v>320</v>
      </c>
      <c r="O1259" s="5" t="n">
        <v>27.8</v>
      </c>
      <c r="P1259" s="5" t="n">
        <v>9.9</v>
      </c>
      <c r="Q1259" s="5" t="n">
        <v>31.4</v>
      </c>
      <c r="R1259" s="5" t="n">
        <v>4.6</v>
      </c>
      <c r="S1259" s="5" t="n">
        <v>26.8</v>
      </c>
      <c r="T1259" s="2" t="n">
        <v>48</v>
      </c>
      <c r="U1259" s="2" t="inlineStr">
        <is>
          <t>low</t>
        </is>
      </c>
      <c r="V1259" s="5" t="n">
        <v>12.9</v>
      </c>
      <c r="W1259" s="2" t="inlineStr">
        <is>
          <t>medium</t>
        </is>
      </c>
      <c r="X1259" s="3" t="inlineStr"/>
      <c r="Y1259" s="3" t="inlineStr">
        <is>
          <t>87% of this dish's available carbohydrate comes from ingredients with a published, measured GI; the rest uses conventional placeholders (see Ingredients sheet)</t>
        </is>
      </c>
      <c r="Z1259" s="2" t="n">
        <v>87</v>
      </c>
      <c r="AA1259" s="3" t="inlineStr">
        <is>
          <t>gluten-free, dairy-free, nut-free, high-protein</t>
        </is>
      </c>
      <c r="AB1259" s="3" t="inlineStr">
        <is>
          <t>1. Marinate the steak in lime, garlic and cumin for 30 minutes.
2. Grill 4 minutes a side, rest and chop.
3. Warm the tortillas and fill with steak, onion, cilantro and salsa.</t>
        </is>
      </c>
      <c r="AC1259" s="4" t="inlineStr">
        <is>
          <t>["Marinate the steak in lime, garlic and cumin for 30 minutes.", "Grill 4 minutes a side, rest and chop.", "Warm the tortillas and fill with steak, onion, cilantro and salsa."]</t>
        </is>
      </c>
    </row>
    <row r="1260" ht="96" customHeight="1">
      <c r="A1260" s="2" t="inlineStr">
        <is>
          <t>DB-1259</t>
        </is>
      </c>
      <c r="B1260" s="3" t="inlineStr">
        <is>
          <t>Chicken Tinga Tostadas</t>
        </is>
      </c>
      <c r="C1260" s="4" t="inlineStr">
        <is>
          <t>Poultry</t>
        </is>
      </c>
      <c r="D1260" s="4" t="inlineStr">
        <is>
          <t>Tex-Mex</t>
        </is>
      </c>
      <c r="E1260" s="2" t="n">
        <v>4</v>
      </c>
      <c r="F1260" s="2" t="n">
        <v>15</v>
      </c>
      <c r="G1260" s="2" t="n">
        <v>20</v>
      </c>
      <c r="H1260" s="2" t="n">
        <v>35</v>
      </c>
      <c r="I1260" s="4" t="inlineStr">
        <is>
          <t>chicken-tinga-tostadas.jpg</t>
        </is>
      </c>
      <c r="J1260" s="3" t="inlineStr">
        <is>
          <t>Chicken Tinga Tostadas, healthy food photography, plated, natural light</t>
        </is>
      </c>
      <c r="K1260" s="4" t="inlineStr"/>
      <c r="L1260" s="3" t="inlineStr">
        <is>
          <t>Chicken breast, skinless — 450 g (15.9 oz)
Chipotle peppers in adobo — 30 g (1.1 oz)
Tomato sauce, canned, no sugar added — 150 g (5.3 oz)
Yellow onion — 80 g (2.8 oz)
Corn tortilla — 180 g (6.3 oz)
Black beans, cooked — 150 g (5.3 oz)
Romaine lettuce — 60 g (2.1 oz)
Cotija cheese — 30 g (1.1 oz)
Extra-virgin olive oil — 10 g (0.4 oz)</t>
        </is>
      </c>
      <c r="M1260" s="4" t="inlineStr">
        <is>
          <t>[{"ingredient_id": "chicken_breast", "name": "Chicken breast, skinless", "grams": 450.0, "note": ""}, {"ingredient_id": "chipotle_adobo", "name": "Chipotle peppers in adobo", "grams": 30.0, "note": ""}, {"ingredient_id": "tomato_sauce", "name": "Tomato sauce, canned, no sugar added", "grams": 150.0, "note": ""}, {"ingredient_id": "onion", "name": "Yellow onion", "grams": 80.0, "note": ""}, {"ingredient_id": "corn_tortilla", "name": "Corn tortilla", "grams": 180.0, "note": ""}, {"ingredient_id": "black_beans", "name": "Black beans, cooked", "grams": 150.0, "note": ""}, {"ingredient_id": "romaine", "name": "Romaine lettuce", "grams": 60.0, "note": ""}, {"ingredient_id": "cotija", "name": "Cotija cheese", "grams": 30.0, "note": ""}, {"ingredient_id": "olive_oil", "name": "Extra-virgin olive oil", "grams": 10.0, "note": ""}]</t>
        </is>
      </c>
      <c r="N1260" s="2" t="n">
        <v>357</v>
      </c>
      <c r="O1260" s="5" t="n">
        <v>33.8</v>
      </c>
      <c r="P1260" s="5" t="n">
        <v>9.4</v>
      </c>
      <c r="Q1260" s="5" t="n">
        <v>34.8</v>
      </c>
      <c r="R1260" s="5" t="n">
        <v>7.6</v>
      </c>
      <c r="S1260" s="5" t="n">
        <v>27.2</v>
      </c>
      <c r="T1260" s="2" t="n">
        <v>43</v>
      </c>
      <c r="U1260" s="2" t="inlineStr">
        <is>
          <t>low</t>
        </is>
      </c>
      <c r="V1260" s="5" t="n">
        <v>11.7</v>
      </c>
      <c r="W1260" s="2" t="inlineStr">
        <is>
          <t>medium</t>
        </is>
      </c>
      <c r="X1260" s="3" t="inlineStr"/>
      <c r="Y1260" s="3" t="inlineStr">
        <is>
          <t>85% of this dish's available carbohydrate comes from ingredients with a published, measured GI; the rest uses conventional placeholders (see Ingredients sheet)</t>
        </is>
      </c>
      <c r="Z1260" s="2" t="n">
        <v>85</v>
      </c>
      <c r="AA1260" s="3" t="inlineStr">
        <is>
          <t>gluten-free, nut-free, high-protein, high-fiber</t>
        </is>
      </c>
      <c r="AB1260" s="3" t="inlineStr">
        <is>
          <t>1. Poach and shred the chicken.
2. Simmer with chipotle, tomato sauce and onion for 10 minutes.
3. Crisp the tortillas in a hot oven.
4. Top with beans, chicken, lettuce and cotija.</t>
        </is>
      </c>
      <c r="AC1260" s="4" t="inlineStr">
        <is>
          <t>["Poach and shred the chicken.", "Simmer with chipotle, tomato sauce and onion for 10 minutes.", "Crisp the tortillas in a hot oven.", "Top with beans, chicken, lettuce and cotija."]</t>
        </is>
      </c>
    </row>
    <row r="1261" ht="96" customHeight="1">
      <c r="A1261" s="2" t="inlineStr">
        <is>
          <t>DB-1260</t>
        </is>
      </c>
      <c r="B1261" s="3" t="inlineStr">
        <is>
          <t>Fish Tostadas with Lime Cabbage</t>
        </is>
      </c>
      <c r="C1261" s="4" t="inlineStr">
        <is>
          <t>Seafood</t>
        </is>
      </c>
      <c r="D1261" s="4" t="inlineStr">
        <is>
          <t>Tex-Mex</t>
        </is>
      </c>
      <c r="E1261" s="2" t="n">
        <v>4</v>
      </c>
      <c r="F1261" s="2" t="n">
        <v>15</v>
      </c>
      <c r="G1261" s="2" t="n">
        <v>8</v>
      </c>
      <c r="H1261" s="2" t="n">
        <v>23</v>
      </c>
      <c r="I1261" s="4" t="inlineStr">
        <is>
          <t>fish-tostadas-with-lime-cabbage.jpg</t>
        </is>
      </c>
      <c r="J1261" s="3" t="inlineStr">
        <is>
          <t>Fish Tostadas with Lime Cabbage, healthy food photography, plated, natural light</t>
        </is>
      </c>
      <c r="K1261" s="4" t="inlineStr"/>
      <c r="L1261" s="3" t="inlineStr">
        <is>
          <t>Tilapia fillet — 450 g (15.9 oz)
Corn tortilla — 180 g (6.3 oz)
Red cabbage — 150 g (5.3 oz)
Lime juice — 30 g (1.1 oz)
Chili powder — 3 g (0.1 oz)
Avocado — 100 g (3.5 oz)
Fresh cilantro — 8 g (0.3 oz)
Greek yogurt, plain 2% — 60 g (2.1 oz)
Extra-virgin olive oil — 10 g (0.4 oz)</t>
        </is>
      </c>
      <c r="M1261" s="4" t="inlineStr">
        <is>
          <t>[{"ingredient_id": "tilapia", "name": "Tilapia fillet", "grams": 450.0, "note": ""}, {"ingredient_id": "corn_tortilla", "name": "Corn tortilla", "grams": 180.0, "note": ""}, {"ingredient_id": "red_cabbage", "name": "Red cabbage", "grams": 150.0, "note": ""}, {"ingredient_id": "lime_juice", "name": "Lime juice", "grams": 30.0, "note": ""}, {"ingredient_id": "chili_powder", "name": "Chili powder", "grams": 3.0, "note": ""}, {"ingredient_id": "avocado", "name": "Avocado", "grams": 100.0, "note": ""}, {"ingredient_id": "cilantro", "name": "Fresh cilantro", "grams": 8.0, "note": ""}, {"ingredient_id": "greek_yogurt", "name": "Greek yogurt, plain 2%", "grams": 60.0, "note": ""}, {"ingredient_id": "olive_oil", "name": "Extra-virgin olive oil", "grams": 10.0, "note": ""}]</t>
        </is>
      </c>
      <c r="N1261" s="2" t="n">
        <v>295</v>
      </c>
      <c r="O1261" s="5" t="n">
        <v>27.8</v>
      </c>
      <c r="P1261" s="5" t="n">
        <v>10</v>
      </c>
      <c r="Q1261" s="5" t="n">
        <v>26.8</v>
      </c>
      <c r="R1261" s="5" t="n">
        <v>5.6</v>
      </c>
      <c r="S1261" s="5" t="n">
        <v>21.2</v>
      </c>
      <c r="T1261" s="2" t="n">
        <v>45</v>
      </c>
      <c r="U1261" s="2" t="inlineStr">
        <is>
          <t>low</t>
        </is>
      </c>
      <c r="V1261" s="5" t="n">
        <v>9.5</v>
      </c>
      <c r="W1261" s="2" t="inlineStr">
        <is>
          <t>low</t>
        </is>
      </c>
      <c r="X1261" s="3" t="inlineStr"/>
      <c r="Y1261" s="3" t="inlineStr">
        <is>
          <t>85% of this dish's available carbohydrate comes from ingredients with a published, measured GI; the rest uses conventional placeholders (see Ingredients sheet)</t>
        </is>
      </c>
      <c r="Z1261" s="2" t="n">
        <v>85</v>
      </c>
      <c r="AA1261" s="3" t="inlineStr">
        <is>
          <t>pescatarian, gluten-free, nut-free, high-protein</t>
        </is>
      </c>
      <c r="AB1261" s="3" t="inlineStr">
        <is>
          <t>1. Season the tilapia and pan-sear 3 minutes a side.
2. Crisp the tortillas in the oven.
3. Toss the cabbage with lime and yogurt.
4. Top the tostadas with fish, slaw and avocado.</t>
        </is>
      </c>
      <c r="AC1261" s="4" t="inlineStr">
        <is>
          <t>["Season the tilapia and pan-sear 3 minutes a side.", "Crisp the tortillas in the oven.", "Toss the cabbage with lime and yogurt.", "Top the tostadas with fish, slaw and avocado."]</t>
        </is>
      </c>
    </row>
    <row r="1262" ht="96" customHeight="1">
      <c r="A1262" s="2" t="inlineStr">
        <is>
          <t>DB-1261</t>
        </is>
      </c>
      <c r="B1262" s="3" t="inlineStr">
        <is>
          <t>Taco Soup</t>
        </is>
      </c>
      <c r="C1262" s="4" t="inlineStr">
        <is>
          <t>Soup &amp; Stew</t>
        </is>
      </c>
      <c r="D1262" s="4" t="inlineStr">
        <is>
          <t>Tex-Mex</t>
        </is>
      </c>
      <c r="E1262" s="2" t="n">
        <v>6</v>
      </c>
      <c r="F1262" s="2" t="n">
        <v>10</v>
      </c>
      <c r="G1262" s="2" t="n">
        <v>30</v>
      </c>
      <c r="H1262" s="2" t="n">
        <v>40</v>
      </c>
      <c r="I1262" s="4" t="inlineStr">
        <is>
          <t>taco-soup.jpg</t>
        </is>
      </c>
      <c r="J1262" s="3" t="inlineStr">
        <is>
          <t>Taco Soup, healthy food photography, plated, natural light</t>
        </is>
      </c>
      <c r="K1262" s="4" t="inlineStr"/>
      <c r="L1262" s="3" t="inlineStr">
        <is>
          <t>Ground beef 90% lean — 450 g (15.9 oz)
Kidney beans, cooked — 200 g (7.1 oz)
Black beans, cooked — 200 g (7.1 oz)
Sweet corn kernels — 100 g (3.5 oz)
Diced tomatoes, canned — 400 g (14.1 oz)
Beef broth, low sodium — 400 g (14.1 oz)
Taco seasoning, low sodium — 14 g (0.5 oz)
Yellow onion — 100 g (3.5 oz)
Cheddar cheese — 50 g (1.8 oz)</t>
        </is>
      </c>
      <c r="M1262" s="4" t="inlineStr">
        <is>
          <t>[{"ingredient_id": "ground_beef", "name": "Ground beef 90% lean", "grams": 450.0, "note": ""}, {"ingredient_id": "kidney_beans", "name": "Kidney beans, cooked", "grams": 200.0, "note": ""}, {"ingredient_id": "black_beans", "name": "Black beans, cooked", "grams": 200.0, "note": ""}, {"ingredient_id": "corn", "name": "Sweet corn kernels", "grams": 100.0, "note": ""}, {"ingredient_id": "diced_tomatoes", "name": "Diced tomatoes, canned", "grams": 400.0, "note": ""}, {"ingredient_id": "beef_broth", "name": "Beef broth, low sodium", "grams": 400.0, "note": ""}, {"ingredient_id": "taco_seasoning", "name": "Taco seasoning, low sodium", "grams": 14.0, "note": ""}, {"ingredient_id": "onion", "name": "Yellow onion", "grams": 100.0, "note": ""}, {"ingredient_id": "cheddar", "name": "Cheddar cheese", "grams": 50.0, "note": ""}]</t>
        </is>
      </c>
      <c r="N1262" s="2" t="n">
        <v>301</v>
      </c>
      <c r="O1262" s="5" t="n">
        <v>25.4</v>
      </c>
      <c r="P1262" s="5" t="n">
        <v>11.3</v>
      </c>
      <c r="Q1262" s="5" t="n">
        <v>25.2</v>
      </c>
      <c r="R1262" s="5" t="n">
        <v>7.4</v>
      </c>
      <c r="S1262" s="5" t="n">
        <v>17.9</v>
      </c>
      <c r="T1262" s="2" t="n">
        <v>33</v>
      </c>
      <c r="U1262" s="2" t="inlineStr">
        <is>
          <t>low</t>
        </is>
      </c>
      <c r="V1262" s="5" t="n">
        <v>5.9</v>
      </c>
      <c r="W1262" s="2" t="inlineStr">
        <is>
          <t>low</t>
        </is>
      </c>
      <c r="X1262" s="3" t="inlineStr"/>
      <c r="Y1262" s="3" t="inlineStr">
        <is>
          <t>74% of this dish's available carbohydrate comes from ingredients with a published, measured GI; the rest uses conventional placeholders (see Ingredients sheet)</t>
        </is>
      </c>
      <c r="Z1262" s="2" t="n">
        <v>74</v>
      </c>
      <c r="AA1262" s="3" t="inlineStr">
        <is>
          <t>gluten-free, nut-free, high-protein, high-fiber</t>
        </is>
      </c>
      <c r="AB1262" s="3" t="inlineStr">
        <is>
          <t>1. Brown the beef with the onion.
2. Add the beans, corn, tomatoes, broth and taco seasoning and simmer 20 minutes.
3. Top with cheddar.</t>
        </is>
      </c>
      <c r="AC1262" s="4" t="inlineStr">
        <is>
          <t>["Brown the beef with the onion.", "Add the beans, corn, tomatoes, broth and taco seasoning and simmer 20 minutes.", "Top with cheddar."]</t>
        </is>
      </c>
    </row>
    <row r="1263" ht="96" customHeight="1">
      <c r="A1263" s="2" t="inlineStr">
        <is>
          <t>DB-1262</t>
        </is>
      </c>
      <c r="B1263" s="3" t="inlineStr">
        <is>
          <t>Tamale Pie Casserole</t>
        </is>
      </c>
      <c r="C1263" s="4" t="inlineStr">
        <is>
          <t>Beef, Pork &amp; Lamb</t>
        </is>
      </c>
      <c r="D1263" s="4" t="inlineStr">
        <is>
          <t>Tex-Mex</t>
        </is>
      </c>
      <c r="E1263" s="2" t="n">
        <v>6</v>
      </c>
      <c r="F1263" s="2" t="n">
        <v>20</v>
      </c>
      <c r="G1263" s="2" t="n">
        <v>40</v>
      </c>
      <c r="H1263" s="2" t="n">
        <v>60</v>
      </c>
      <c r="I1263" s="4" t="inlineStr">
        <is>
          <t>tamale-pie-casserole.jpg</t>
        </is>
      </c>
      <c r="J1263" s="3" t="inlineStr">
        <is>
          <t>Tamale Pie Casserole, healthy food photography, plated, natural light</t>
        </is>
      </c>
      <c r="K1263" s="4" t="inlineStr"/>
      <c r="L1263" s="3" t="inlineStr">
        <is>
          <t>Ground turkey 93% lean — 500 g (17.6 oz)
Grits, cooked with water — 450 g (15.9 oz)
Black beans, cooked — 200 g (7.1 oz)
Sweet corn kernels — 120 g (4.2 oz)
Red enchilada sauce, no sugar added — 250 g (8.8 oz)
Yellow onion — 100 g (3.5 oz)
Cheddar cheese — 80 g (2.8 oz)
Chili powder — 4 g (0.1 oz)
Egg, large (50 g each) — 50 g (1.8 oz)</t>
        </is>
      </c>
      <c r="M1263" s="4" t="inlineStr">
        <is>
          <t>[{"ingredient_id": "ground_turkey", "name": "Ground turkey 93% lean", "grams": 500.0, "note": ""}, {"ingredient_id": "grits", "name": "Grits, cooked with water", "grams": 450.0, "note": ""}, {"ingredient_id": "black_beans", "name": "Black beans, cooked", "grams": 200.0, "note": ""}, {"ingredient_id": "corn", "name": "Sweet corn kernels", "grams": 120.0, "note": ""}, {"ingredient_id": "enchilada_sauce", "name": "Red enchilada sauce, no sugar added", "grams": 250.0, "note": ""}, {"ingredient_id": "onion", "name": "Yellow onion", "grams": 100.0, "note": ""}, {"ingredient_id": "cheddar", "name": "Cheddar cheese", "grams": 80.0, "note": ""}, {"ingredient_id": "chili_powder", "name": "Chili powder", "grams": 4.0, "note": ""}, {"ingredient_id": "egg", "name": "Egg, large (50 g each)", "grams": 50.0, "note": ""}]</t>
        </is>
      </c>
      <c r="N1263" s="2" t="n">
        <v>321</v>
      </c>
      <c r="O1263" s="5" t="n">
        <v>24.9</v>
      </c>
      <c r="P1263" s="5" t="n">
        <v>13.5</v>
      </c>
      <c r="Q1263" s="5" t="n">
        <v>25.2</v>
      </c>
      <c r="R1263" s="5" t="n">
        <v>4.9</v>
      </c>
      <c r="S1263" s="5" t="n">
        <v>20.3</v>
      </c>
      <c r="T1263" s="2" t="n">
        <v>49</v>
      </c>
      <c r="U1263" s="2" t="inlineStr">
        <is>
          <t>low</t>
        </is>
      </c>
      <c r="V1263" s="5" t="n">
        <v>9.9</v>
      </c>
      <c r="W1263" s="2" t="inlineStr">
        <is>
          <t>low</t>
        </is>
      </c>
      <c r="X1263" s="3" t="inlineStr"/>
      <c r="Y1263" s="3" t="inlineStr">
        <is>
          <t>84% of this dish's available carbohydrate comes from ingredients with a published, measured GI; the rest uses conventional placeholders (see Ingredients sheet)</t>
        </is>
      </c>
      <c r="Z1263" s="2" t="n">
        <v>84</v>
      </c>
      <c r="AA1263" s="3" t="inlineStr">
        <is>
          <t>gluten-free, nut-free</t>
        </is>
      </c>
      <c r="AB1263" s="3" t="inlineStr">
        <is>
          <t>1. Brown the turkey with the onion and chili powder; stir in beans, corn and sauce.
2. Stir the egg into the cooked grits for the crust.
3. Spread the filling in a dish, cover with grits and cheddar.
4. Bake at 375°F for 30 minutes.</t>
        </is>
      </c>
      <c r="AC1263" s="4" t="inlineStr">
        <is>
          <t>["Brown the turkey with the onion and chili powder; stir in beans, corn and sauce.", "Stir the egg into the cooked grits for the crust.", "Spread the filling in a dish, cover with grits and cheddar.", "Bake at 375°F for 30 minutes."]</t>
        </is>
      </c>
    </row>
    <row r="1264" ht="96" customHeight="1">
      <c r="A1264" s="2" t="inlineStr">
        <is>
          <t>DB-1263</t>
        </is>
      </c>
      <c r="B1264" s="3" t="inlineStr">
        <is>
          <t>Midwest Hotdish with Ground Beef and Green Beans</t>
        </is>
      </c>
      <c r="C1264" s="4" t="inlineStr">
        <is>
          <t>Beef, Pork &amp; Lamb</t>
        </is>
      </c>
      <c r="D1264" s="4" t="inlineStr">
        <is>
          <t>American</t>
        </is>
      </c>
      <c r="E1264" s="2" t="n">
        <v>6</v>
      </c>
      <c r="F1264" s="2" t="n">
        <v>15</v>
      </c>
      <c r="G1264" s="2" t="n">
        <v>45</v>
      </c>
      <c r="H1264" s="2" t="n">
        <v>60</v>
      </c>
      <c r="I1264" s="4" t="inlineStr">
        <is>
          <t>midwest-hotdish-with-ground-beef-and-green-beans.jpg</t>
        </is>
      </c>
      <c r="J1264" s="3" t="inlineStr">
        <is>
          <t>Midwest Hotdish with Ground Beef and Green Beans, healthy food photography, plated, natural light</t>
        </is>
      </c>
      <c r="K1264" s="4" t="inlineStr"/>
      <c r="L1264" s="3" t="inlineStr">
        <is>
          <t>Ground beef 90% lean — 500 g (17.6 oz)
Green beans — 400 g (14.1 oz)
Potato, boiled, peeled — 600 g (21.2 oz)
Mushrooms (cremini/white) — 150 g (5.3 oz)
Yellow onion — 100 g (3.5 oz)
Milk, 2% — 200 g (7.1 oz)
Cheddar cheese — 70 g (2.5 oz)
Fresh thyme — 2 g (0.1 oz)
Butter — 15 g (0.5 oz)</t>
        </is>
      </c>
      <c r="M1264" s="4" t="inlineStr">
        <is>
          <t>[{"ingredient_id": "ground_beef", "name": "Ground beef 90% lean", "grams": 500.0, "note": ""}, {"ingredient_id": "green_beans", "name": "Green beans", "grams": 400.0, "note": ""}, {"ingredient_id": "potato_boiled", "name": "Potato, boiled, peeled", "grams": 600.0, "note": ""}, {"ingredient_id": "mushrooms", "name": "Mushrooms (cremini/white)", "grams": 150.0, "note": ""}, {"ingredient_id": "onion", "name": "Yellow onion", "grams": 100.0, "note": ""}, {"ingredient_id": "milk", "name": "Milk, 2%", "grams": 200.0, "note": ""}, {"ingredient_id": "cheddar", "name": "Cheddar cheese", "grams": 70.0, "note": ""}, {"ingredient_id": "thyme", "name": "Fresh thyme", "grams": 2.0, "note": ""}, {"ingredient_id": "butter", "name": "Butter", "grams": 15.0, "note": ""}]</t>
        </is>
      </c>
      <c r="N1264" s="2" t="n">
        <v>354</v>
      </c>
      <c r="O1264" s="5" t="n">
        <v>24.6</v>
      </c>
      <c r="P1264" s="5" t="n">
        <v>15.2</v>
      </c>
      <c r="Q1264" s="5" t="n">
        <v>30.4</v>
      </c>
      <c r="R1264" s="5" t="n">
        <v>3.9</v>
      </c>
      <c r="S1264" s="5" t="n">
        <v>26.5</v>
      </c>
      <c r="T1264" s="2" t="n">
        <v>54</v>
      </c>
      <c r="U1264" s="2" t="inlineStr">
        <is>
          <t>low</t>
        </is>
      </c>
      <c r="V1264" s="5" t="n">
        <v>14.3</v>
      </c>
      <c r="W1264" s="2" t="inlineStr">
        <is>
          <t>medium</t>
        </is>
      </c>
      <c r="X1264" s="3" t="inlineStr"/>
      <c r="Y1264" s="3" t="inlineStr">
        <is>
          <t>82% of this dish's available carbohydrate comes from ingredients with a published, measured GI; the rest uses conventional placeholders (see Ingredients sheet)</t>
        </is>
      </c>
      <c r="Z1264" s="2" t="n">
        <v>82</v>
      </c>
      <c r="AA1264" s="3" t="inlineStr">
        <is>
          <t>gluten-free, nut-free</t>
        </is>
      </c>
      <c r="AB1264" s="3" t="inlineStr">
        <is>
          <t>1. Brown the beef with the onion and mushrooms.
2. Stir in the beans, milk and thyme.
3. Top with sliced potatoes and cheddar and bake at 375°F for 40 minutes.</t>
        </is>
      </c>
      <c r="AC1264" s="4" t="inlineStr">
        <is>
          <t>["Brown the beef with the onion and mushrooms.", "Stir in the beans, milk and thyme.", "Top with sliced potatoes and cheddar and bake at 375°F for 40 minutes."]</t>
        </is>
      </c>
    </row>
    <row r="1265" ht="96" customHeight="1">
      <c r="A1265" s="2" t="inlineStr">
        <is>
          <t>DB-1264</t>
        </is>
      </c>
      <c r="B1265" s="3" t="inlineStr">
        <is>
          <t>Chicken and Wild Rice Soup</t>
        </is>
      </c>
      <c r="C1265" s="4" t="inlineStr">
        <is>
          <t>Soup &amp; Stew</t>
        </is>
      </c>
      <c r="D1265" s="4" t="inlineStr">
        <is>
          <t>American</t>
        </is>
      </c>
      <c r="E1265" s="2" t="n">
        <v>6</v>
      </c>
      <c r="F1265" s="2" t="n">
        <v>15</v>
      </c>
      <c r="G1265" s="2" t="n">
        <v>50</v>
      </c>
      <c r="H1265" s="2" t="n">
        <v>65</v>
      </c>
      <c r="I1265" s="4" t="inlineStr">
        <is>
          <t>chicken-and-wild-rice-soup.jpg</t>
        </is>
      </c>
      <c r="J1265" s="3" t="inlineStr">
        <is>
          <t>Chicken and Wild Rice Soup, healthy food photography, plated, natural light</t>
        </is>
      </c>
      <c r="K1265" s="4" t="inlineStr"/>
      <c r="L1265" s="3" t="inlineStr">
        <is>
          <t>Chicken breast, skinless — 450 g (15.9 oz)
Wild rice, cooked — 300 g (10.6 oz)
Carrot — 150 g (5.3 oz)
Celery — 100 g (3.5 oz)
Yellow onion — 120 g (4.2 oz)
Mushrooms (cremini/white) — 150 g (5.3 oz)
Chicken broth, low sodium — 1000 g (35.3 oz)
Milk, 2% — 200 g (7.1 oz)
Fresh thyme — 2 g (0.1 oz)</t>
        </is>
      </c>
      <c r="M1265" s="4" t="inlineStr">
        <is>
          <t>[{"ingredient_id": "chicken_breast", "name": "Chicken breast, skinless", "grams": 450.0, "note": ""}, {"ingredient_id": "wild_rice", "name": "Wild rice, cooked", "grams": 300.0, "note": ""}, {"ingredient_id": "carrot", "name": "Carrot", "grams": 150.0, "note": ""}, {"ingredient_id": "celery", "name": "Celery", "grams": 100.0, "note": ""}, {"ingredient_id": "onion", "name": "Yellow onion", "grams": 120.0, "note": ""}, {"ingredient_id": "mushrooms", "name": "Mushrooms (cremini/white)", "grams": 150.0, "note": ""}, {"ingredient_id": "chicken_broth", "name": "Chicken broth, low sodium", "grams": 1000.0, "note": ""}, {"ingredient_id": "milk", "name": "Milk, 2%", "grams": 200.0, "note": ""}, {"ingredient_id": "thyme", "name": "Fresh thyme", "grams": 2.0, "note": ""}]</t>
        </is>
      </c>
      <c r="N1265" s="2" t="n">
        <v>196</v>
      </c>
      <c r="O1265" s="5" t="n">
        <v>23</v>
      </c>
      <c r="P1265" s="5" t="n">
        <v>3.3</v>
      </c>
      <c r="Q1265" s="5" t="n">
        <v>18.6</v>
      </c>
      <c r="R1265" s="5" t="n">
        <v>2.5</v>
      </c>
      <c r="S1265" s="5" t="n">
        <v>16.1</v>
      </c>
      <c r="T1265" s="2" t="n">
        <v>43</v>
      </c>
      <c r="U1265" s="2" t="inlineStr">
        <is>
          <t>low</t>
        </is>
      </c>
      <c r="V1265" s="5" t="n">
        <v>6.9</v>
      </c>
      <c r="W1265" s="2" t="inlineStr">
        <is>
          <t>low</t>
        </is>
      </c>
      <c r="X1265" s="3" t="inlineStr"/>
      <c r="Y1265" s="3" t="inlineStr">
        <is>
          <t>21% of this dish's available carbohydrate comes from ingredients with a published, measured GI; the rest uses conventional placeholders (see Ingredients sheet)</t>
        </is>
      </c>
      <c r="Z1265" s="2" t="n">
        <v>21</v>
      </c>
      <c r="AA1265" s="3" t="inlineStr">
        <is>
          <t>gluten-free, nut-free</t>
        </is>
      </c>
      <c r="AB1265" s="3" t="inlineStr">
        <is>
          <t>1. Simmer the chicken, vegetables and thyme in the broth for 25 minutes.
2. Shred the chicken and add the cooked wild rice and milk.
3. Heat through gently.</t>
        </is>
      </c>
      <c r="AC1265" s="4" t="inlineStr">
        <is>
          <t>["Simmer the chicken, vegetables and thyme in the broth for 25 minutes.", "Shred the chicken and add the cooked wild rice and milk.", "Heat through gently."]</t>
        </is>
      </c>
    </row>
    <row r="1266" ht="96" customHeight="1">
      <c r="A1266" s="2" t="inlineStr">
        <is>
          <t>DB-1265</t>
        </is>
      </c>
      <c r="B1266" s="3" t="inlineStr">
        <is>
          <t>Bratwurst-Style Turkey Sausage with Sauerkraut and Apple</t>
        </is>
      </c>
      <c r="C1266" s="4" t="inlineStr">
        <is>
          <t>Beef, Pork &amp; Lamb</t>
        </is>
      </c>
      <c r="D1266" s="4" t="inlineStr">
        <is>
          <t>American</t>
        </is>
      </c>
      <c r="E1266" s="2" t="n">
        <v>4</v>
      </c>
      <c r="F1266" s="2" t="n">
        <v>10</v>
      </c>
      <c r="G1266" s="2" t="n">
        <v>20</v>
      </c>
      <c r="H1266" s="2" t="n">
        <v>30</v>
      </c>
      <c r="I1266" s="4" t="inlineStr">
        <is>
          <t>bratwurst-style-turkey-sausage-with-sauerkraut-and-apple.jpg</t>
        </is>
      </c>
      <c r="J1266" s="3" t="inlineStr">
        <is>
          <t>Bratwurst-Style Turkey Sausage with Sauerkraut and Apple, healthy food photography, plated, natural light</t>
        </is>
      </c>
      <c r="K1266" s="4" t="inlineStr"/>
      <c r="L1266" s="3" t="inlineStr">
        <is>
          <t>Turkey sausage — 450 g (15.9 oz)
Sauerkraut — 250 g (8.8 oz)
Yellow onion — 150 g (5.3 oz)
Yellow mustard — 20 g (0.7 oz)
Apple — 150 g (5.3 oz)
Extra-virgin olive oil — 10 g (0.4 oz)</t>
        </is>
      </c>
      <c r="M1266" s="4" t="inlineStr">
        <is>
          <t>[{"ingredient_id": "turkey_sausage", "name": "Turkey sausage", "grams": 450.0, "note": ""}, {"ingredient_id": "sauerkraut", "name": "Sauerkraut", "grams": 250.0, "note": ""}, {"ingredient_id": "onion", "name": "Yellow onion", "grams": 150.0, "note": ""}, {"ingredient_id": "yellow_mustard", "name": "Yellow mustard", "grams": 20.0, "note": ""}, {"ingredient_id": "apple", "name": "Apple", "grams": 150.0, "note": ""}, {"ingredient_id": "olive_oil", "name": "Extra-virgin olive oil", "grams": 10.0, "note": ""}]</t>
        </is>
      </c>
      <c r="N1266" s="2" t="n">
        <v>246</v>
      </c>
      <c r="O1266" s="5" t="n">
        <v>18.2</v>
      </c>
      <c r="P1266" s="5" t="n">
        <v>14.1</v>
      </c>
      <c r="Q1266" s="5" t="n">
        <v>13.9</v>
      </c>
      <c r="R1266" s="5" t="n">
        <v>3.5</v>
      </c>
      <c r="S1266" s="5" t="n">
        <v>10.4</v>
      </c>
      <c r="T1266" s="2" t="n">
        <v>21</v>
      </c>
      <c r="U1266" s="2" t="inlineStr">
        <is>
          <t>low</t>
        </is>
      </c>
      <c r="V1266" s="5" t="n">
        <v>2.2</v>
      </c>
      <c r="W1266" s="2" t="inlineStr">
        <is>
          <t>low</t>
        </is>
      </c>
      <c r="X1266" s="3" t="inlineStr"/>
      <c r="Y1266" s="3" t="inlineStr">
        <is>
          <t>42% of this dish's available carbohydrate comes from ingredients with a published, measured GI; the rest uses conventional placeholders (see Ingredients sheet)</t>
        </is>
      </c>
      <c r="Z1266" s="2" t="n">
        <v>42</v>
      </c>
      <c r="AA1266" s="3" t="inlineStr">
        <is>
          <t>gluten-free, dairy-free, nut-free, low-carb</t>
        </is>
      </c>
      <c r="AB1266" s="3" t="inlineStr">
        <is>
          <t>1. Brown the sausages in oil.
2. Add the onion and apple and cook until soft.
3. Warm the sauerkraut with them and serve with mustard.</t>
        </is>
      </c>
      <c r="AC1266" s="4" t="inlineStr">
        <is>
          <t>["Brown the sausages in oil.", "Add the onion and apple and cook until soft.", "Warm the sauerkraut with them and serve with mustard."]</t>
        </is>
      </c>
    </row>
    <row r="1267" ht="96" customHeight="1">
      <c r="A1267" s="2" t="inlineStr">
        <is>
          <t>DB-1266</t>
        </is>
      </c>
      <c r="B1267" s="3" t="inlineStr">
        <is>
          <t>Cheese Curd-Style Baked Cauliflower Bites</t>
        </is>
      </c>
      <c r="C1267" s="4" t="inlineStr">
        <is>
          <t>Snack &amp; Appetizer</t>
        </is>
      </c>
      <c r="D1267" s="4" t="inlineStr">
        <is>
          <t>American</t>
        </is>
      </c>
      <c r="E1267" s="2" t="n">
        <v>4</v>
      </c>
      <c r="F1267" s="2" t="n">
        <v>10</v>
      </c>
      <c r="G1267" s="2" t="n">
        <v>25</v>
      </c>
      <c r="H1267" s="2" t="n">
        <v>35</v>
      </c>
      <c r="I1267" s="4" t="inlineStr">
        <is>
          <t>cheese-curd-style-baked-cauliflower-bites.jpg</t>
        </is>
      </c>
      <c r="J1267" s="3" t="inlineStr">
        <is>
          <t>Cheese Curd-Style Baked Cauliflower Bites, healthy food photography, plated, natural light</t>
        </is>
      </c>
      <c r="K1267" s="4" t="inlineStr"/>
      <c r="L1267" s="3" t="inlineStr">
        <is>
          <t>Cauliflower — 400 g (14.1 oz)
Mozzarella, part-skim — 80 g (2.8 oz)
Egg, large (50 g each) — 50 g (1.8 oz)
Almond flour — 40 g (1.4 oz)
Garlic powder — 2 g (0.1 oz)
Extra-virgin olive oil — 15 g (0.5 oz)</t>
        </is>
      </c>
      <c r="M1267" s="4" t="inlineStr">
        <is>
          <t>[{"ingredient_id": "cauliflower", "name": "Cauliflower", "grams": 400.0, "note": ""}, {"ingredient_id": "mozzarella", "name": "Mozzarella, part-skim", "grams": 80.0, "note": ""}, {"ingredient_id": "egg", "name": "Egg, large (50 g each)", "grams": 50.0, "note": ""}, {"ingredient_id": "almond_flour", "name": "Almond flour", "grams": 40.0, "note": ""}, {"ingredient_id": "garlic_powder", "name": "Garlic powder", "grams": 2.0, "note": ""}, {"ingredient_id": "olive_oil", "name": "Extra-virgin olive oil", "grams": 15.0, "note": ""}]</t>
        </is>
      </c>
      <c r="N1267" s="2" t="n">
        <v>187</v>
      </c>
      <c r="O1267" s="5" t="n">
        <v>10.5</v>
      </c>
      <c r="P1267" s="5" t="n">
        <v>13.4</v>
      </c>
      <c r="Q1267" s="5" t="n">
        <v>8.199999999999999</v>
      </c>
      <c r="R1267" s="5" t="n">
        <v>3.2</v>
      </c>
      <c r="S1267" s="5" t="n">
        <v>4.9</v>
      </c>
      <c r="T1267" s="2" t="n">
        <v>13</v>
      </c>
      <c r="U1267" s="2" t="inlineStr">
        <is>
          <t>low</t>
        </is>
      </c>
      <c r="V1267" s="5" t="n">
        <v>0.6</v>
      </c>
      <c r="W1267" s="2" t="inlineStr">
        <is>
          <t>low</t>
        </is>
      </c>
      <c r="X1267" s="3" t="inlineStr">
        <is>
          <t>Negligible carbohydrate (&lt;5 g net/serving): GI has little practical meaning, glycemic load is what matters.</t>
        </is>
      </c>
      <c r="Y1267" s="3" t="inlineStr">
        <is>
          <t>0% of this dish's available carbohydrate comes from ingredients with a published, measured GI; the rest uses conventional placeholders (see Ingredients sheet)</t>
        </is>
      </c>
      <c r="Z1267" s="2" t="n">
        <v>0</v>
      </c>
      <c r="AA1267" s="3" t="inlineStr">
        <is>
          <t>vegetarian, gluten-free, low-carb</t>
        </is>
      </c>
      <c r="AB1267" s="3" t="inlineStr">
        <is>
          <t>1. Toss the florets in egg and almond flour.
2. Roast on an oiled tray at 425°F for 20 minutes.
3. Top with mozzarella for the last 5.</t>
        </is>
      </c>
      <c r="AC1267" s="4" t="inlineStr">
        <is>
          <t>["Toss the florets in egg and almond flour.", "Roast on an oiled tray at 425°F for 20 minutes.", "Top with mozzarella for the last 5."]</t>
        </is>
      </c>
    </row>
    <row r="1268" ht="96" customHeight="1">
      <c r="A1268" s="2" t="inlineStr">
        <is>
          <t>DB-1267</t>
        </is>
      </c>
      <c r="B1268" s="3" t="inlineStr">
        <is>
          <t>New England Baked Cod with Herb Crumbs</t>
        </is>
      </c>
      <c r="C1268" s="4" t="inlineStr">
        <is>
          <t>Seafood</t>
        </is>
      </c>
      <c r="D1268" s="4" t="inlineStr">
        <is>
          <t>American</t>
        </is>
      </c>
      <c r="E1268" s="2" t="n">
        <v>4</v>
      </c>
      <c r="F1268" s="2" t="n">
        <v>10</v>
      </c>
      <c r="G1268" s="2" t="n">
        <v>18</v>
      </c>
      <c r="H1268" s="2" t="n">
        <v>28</v>
      </c>
      <c r="I1268" s="4" t="inlineStr">
        <is>
          <t>new-england-baked-cod-with-herb-crumbs.jpg</t>
        </is>
      </c>
      <c r="J1268" s="3" t="inlineStr">
        <is>
          <t>New England Baked Cod with Herb Crumbs, healthy food photography, plated, natural light</t>
        </is>
      </c>
      <c r="K1268" s="4" t="inlineStr"/>
      <c r="L1268" s="3" t="inlineStr">
        <is>
          <t>Cod fillet — 600 g (21.2 oz)
White bread — 50 g (1.8 oz)
Butter — 25 g (0.9 oz)
Lemon juice — 20 g (0.7 oz)
Fresh parsley — 6 g (0.2 oz)
Garlic — 4 g (0.1 oz)
Green beans — 300 g (10.6 oz)</t>
        </is>
      </c>
      <c r="M1268" s="4" t="inlineStr">
        <is>
          <t>[{"ingredient_id": "cod", "name": "Cod fillet", "grams": 600.0, "note": ""}, {"ingredient_id": "white_bread", "name": "White bread", "grams": 50.0, "note": ""}, {"ingredient_id": "butter", "name": "Butter", "grams": 25.0, "note": ""}, {"ingredient_id": "lemon_juice", "name": "Lemon juice", "grams": 20.0, "note": ""}, {"ingredient_id": "parsley", "name": "Fresh parsley", "grams": 6.0, "note": ""}, {"ingredient_id": "garlic", "name": "Garlic", "grams": 4.0, "note": ""}, {"ingredient_id": "green_beans", "name": "Green beans", "grams": 300.0, "note": ""}]</t>
        </is>
      </c>
      <c r="N1268" s="2" t="n">
        <v>228</v>
      </c>
      <c r="O1268" s="5" t="n">
        <v>29.7</v>
      </c>
      <c r="P1268" s="5" t="n">
        <v>6.7</v>
      </c>
      <c r="Q1268" s="5" t="n">
        <v>12.2</v>
      </c>
      <c r="R1268" s="5" t="n">
        <v>2.4</v>
      </c>
      <c r="S1268" s="5" t="n">
        <v>9.800000000000001</v>
      </c>
      <c r="T1268" s="2" t="n">
        <v>50</v>
      </c>
      <c r="U1268" s="2" t="inlineStr">
        <is>
          <t>low</t>
        </is>
      </c>
      <c r="V1268" s="5" t="n">
        <v>4.9</v>
      </c>
      <c r="W1268" s="2" t="inlineStr">
        <is>
          <t>low</t>
        </is>
      </c>
      <c r="X1268" s="3" t="inlineStr"/>
      <c r="Y1268" s="3" t="inlineStr">
        <is>
          <t>60% of this dish's available carbohydrate comes from ingredients with a published, measured GI; the rest uses conventional placeholders (see Ingredients sheet)</t>
        </is>
      </c>
      <c r="Z1268" s="2" t="n">
        <v>60</v>
      </c>
      <c r="AA1268" s="3" t="inlineStr">
        <is>
          <t>pescatarian, nut-free, low-carb, high-protein</t>
        </is>
      </c>
      <c r="AB1268" s="3" t="inlineStr">
        <is>
          <t>1. Crumb the bread and mix with melted butter, parsley and garlic.
2. Top the cod and bake at 400°F for 15 minutes.
3. Serve with lemon and steamed green beans.</t>
        </is>
      </c>
      <c r="AC1268" s="4" t="inlineStr">
        <is>
          <t>["Crumb the bread and mix with melted butter, parsley and garlic.", "Top the cod and bake at 400°F for 15 minutes.", "Serve with lemon and steamed green beans."]</t>
        </is>
      </c>
    </row>
    <row r="1269" ht="96" customHeight="1">
      <c r="A1269" s="2" t="inlineStr">
        <is>
          <t>DB-1268</t>
        </is>
      </c>
      <c r="B1269" s="3" t="inlineStr">
        <is>
          <t>Lobster Roll Lettuce Wraps</t>
        </is>
      </c>
      <c r="C1269" s="4" t="inlineStr">
        <is>
          <t>Sandwiches &amp; Wraps</t>
        </is>
      </c>
      <c r="D1269" s="4" t="inlineStr">
        <is>
          <t>American</t>
        </is>
      </c>
      <c r="E1269" s="2" t="n">
        <v>4</v>
      </c>
      <c r="F1269" s="2" t="n">
        <v>15</v>
      </c>
      <c r="G1269" s="2" t="n">
        <v>0</v>
      </c>
      <c r="H1269" s="2" t="n">
        <v>15</v>
      </c>
      <c r="I1269" s="4" t="inlineStr">
        <is>
          <t>lobster-roll-lettuce-wraps.jpg</t>
        </is>
      </c>
      <c r="J1269" s="3" t="inlineStr">
        <is>
          <t>Lobster Roll Lettuce Wraps, healthy food photography, plated, natural light</t>
        </is>
      </c>
      <c r="K1269" s="4" t="inlineStr"/>
      <c r="L1269" s="3" t="inlineStr">
        <is>
          <t>Lobster meat — 400 g (14.1 oz)
Celery — 50 g (1.8 oz)
Mayonnaise (avocado oil) — 30 g (1.1 oz)
Greek yogurt, plain 2% — 50 g (1.8 oz)
Lemon juice — 20 g (0.7 oz)
Fresh chives — 5 g (0.2 oz)
Butter lettuce — 150 g (5.3 oz)</t>
        </is>
      </c>
      <c r="M1269" s="4" t="inlineStr">
        <is>
          <t>[{"ingredient_id": "lobster", "name": "Lobster meat", "grams": 400.0, "note": ""}, {"ingredient_id": "celery", "name": "Celery", "grams": 50.0, "note": ""}, {"ingredient_id": "mayo", "name": "Mayonnaise (avocado oil)", "grams": 30.0, "note": ""}, {"ingredient_id": "greek_yogurt", "name": "Greek yogurt, plain 2%", "grams": 50.0, "note": ""}, {"ingredient_id": "lemon_juice", "name": "Lemon juice", "grams": 20.0, "note": ""}, {"ingredient_id": "chives", "name": "Fresh chives", "grams": 5.0, "note": ""}, {"ingredient_id": "butter_lettuce", "name": "Butter lettuce", "grams": 150.0, "note": ""}]</t>
        </is>
      </c>
      <c r="N1269" s="2" t="n">
        <v>159</v>
      </c>
      <c r="O1269" s="5" t="n">
        <v>20.9</v>
      </c>
      <c r="P1269" s="5" t="n">
        <v>7.1</v>
      </c>
      <c r="Q1269" s="5" t="n">
        <v>2.1</v>
      </c>
      <c r="R1269" s="5" t="n">
        <v>0.7</v>
      </c>
      <c r="S1269" s="5" t="n">
        <v>1.4</v>
      </c>
      <c r="T1269" s="2" t="n">
        <v>15</v>
      </c>
      <c r="U1269" s="2" t="inlineStr">
        <is>
          <t>low</t>
        </is>
      </c>
      <c r="V1269" s="5" t="n">
        <v>0.2</v>
      </c>
      <c r="W1269" s="2" t="inlineStr">
        <is>
          <t>low</t>
        </is>
      </c>
      <c r="X1269" s="3" t="inlineStr">
        <is>
          <t>Negligible carbohydrate (&lt;5 g net/serving): GI has little practical meaning, glycemic load is what matters.</t>
        </is>
      </c>
      <c r="Y1269" s="3" t="inlineStr">
        <is>
          <t>35% of this dish's available carbohydrate comes from ingredients with a published, measured GI; the rest uses conventional placeholders (see Ingredients sheet)</t>
        </is>
      </c>
      <c r="Z1269" s="2" t="n">
        <v>35</v>
      </c>
      <c r="AA1269" s="3" t="inlineStr">
        <is>
          <t>pescatarian, gluten-free, nut-free, low-carb, no-cook</t>
        </is>
      </c>
      <c r="AB1269" s="3" t="inlineStr">
        <is>
          <t>1. Chop the cooked lobster.
2. Mix with celery, mayo, yogurt, lemon and chives.
3. Spoon into lettuce leaves.</t>
        </is>
      </c>
      <c r="AC1269" s="4" t="inlineStr">
        <is>
          <t>["Chop the cooked lobster.", "Mix with celery, mayo, yogurt, lemon and chives.", "Spoon into lettuce leaves."]</t>
        </is>
      </c>
    </row>
    <row r="1270" ht="96" customHeight="1">
      <c r="A1270" s="2" t="inlineStr">
        <is>
          <t>DB-1269</t>
        </is>
      </c>
      <c r="B1270" s="3" t="inlineStr">
        <is>
          <t>Maine-Style Lobster Roll on a Toasted Bun</t>
        </is>
      </c>
      <c r="C1270" s="4" t="inlineStr">
        <is>
          <t>Sandwiches &amp; Wraps</t>
        </is>
      </c>
      <c r="D1270" s="4" t="inlineStr">
        <is>
          <t>American</t>
        </is>
      </c>
      <c r="E1270" s="2" t="n">
        <v>3</v>
      </c>
      <c r="F1270" s="2" t="n">
        <v>10</v>
      </c>
      <c r="G1270" s="2" t="n">
        <v>5</v>
      </c>
      <c r="H1270" s="2" t="n">
        <v>15</v>
      </c>
      <c r="I1270" s="4" t="inlineStr">
        <is>
          <t>maine-style-lobster-roll-on-a-toasted-bun.jpg</t>
        </is>
      </c>
      <c r="J1270" s="3" t="inlineStr">
        <is>
          <t>Maine-Style Lobster Roll on a Toasted Bun, healthy food photography, plated, natural light</t>
        </is>
      </c>
      <c r="K1270" s="4" t="inlineStr"/>
      <c r="L1270" s="3" t="inlineStr">
        <is>
          <t>Lobster meat — 300 g (10.6 oz)
Hamburger bun, white — 180 g (6.3 oz)
Butter — 20 g (0.7 oz)
Lemon juice — 15 g (0.5 oz)
Fresh chives — 4 g (0.1 oz)
Celery — 30 g (1.1 oz)</t>
        </is>
      </c>
      <c r="M1270" s="4" t="inlineStr">
        <is>
          <t>[{"ingredient_id": "lobster", "name": "Lobster meat", "grams": 300.0, "note": ""}, {"ingredient_id": "hamburger_bun", "name": "Hamburger bun, white", "grams": 180.0, "note": ""}, {"ingredient_id": "butter", "name": "Butter", "grams": 20.0, "note": ""}, {"ingredient_id": "lemon_juice", "name": "Lemon juice", "grams": 15.0, "note": ""}, {"ingredient_id": "chives", "name": "Fresh chives", "grams": 4.0, "note": ""}, {"ingredient_id": "celery", "name": "Celery", "grams": 30.0, "note": ""}]</t>
        </is>
      </c>
      <c r="N1270" s="2" t="n">
        <v>300</v>
      </c>
      <c r="O1270" s="5" t="n">
        <v>24.9</v>
      </c>
      <c r="P1270" s="5" t="n">
        <v>8.5</v>
      </c>
      <c r="Q1270" s="5" t="n">
        <v>30.2</v>
      </c>
      <c r="R1270" s="5" t="n">
        <v>1.6</v>
      </c>
      <c r="S1270" s="5" t="n">
        <v>28.6</v>
      </c>
      <c r="T1270" s="2" t="n">
        <v>61</v>
      </c>
      <c r="U1270" s="2" t="inlineStr">
        <is>
          <t>medium</t>
        </is>
      </c>
      <c r="V1270" s="5" t="n">
        <v>17.5</v>
      </c>
      <c r="W1270" s="2" t="inlineStr">
        <is>
          <t>medium</t>
        </is>
      </c>
      <c r="X1270" s="3" t="inlineStr">
        <is>
          <t>Medium-GI dish: keep to the stated portion and pair with the protein/fat in the recipe; GL per serving is the better guide.</t>
        </is>
      </c>
      <c r="Y1270" s="3" t="inlineStr">
        <is>
          <t>98% of this dish's available carbohydrate comes from ingredients with a published, measured GI; the rest uses conventional placeholders (see Ingredients sheet)</t>
        </is>
      </c>
      <c r="Z1270" s="2" t="n">
        <v>98</v>
      </c>
      <c r="AA1270" s="3" t="inlineStr">
        <is>
          <t>pescatarian, nut-free</t>
        </is>
      </c>
      <c r="AB1270" s="3" t="inlineStr">
        <is>
          <t>1. Toss the cooked lobster with lemon, chives and celery.
2. Toast the buns in butter.
3. Fill generously.</t>
        </is>
      </c>
      <c r="AC1270" s="4" t="inlineStr">
        <is>
          <t>["Toss the cooked lobster with lemon, chives and celery.", "Toast the buns in butter.", "Fill generously."]</t>
        </is>
      </c>
    </row>
    <row r="1271" ht="96" customHeight="1">
      <c r="A1271" s="2" t="inlineStr">
        <is>
          <t>DB-1270</t>
        </is>
      </c>
      <c r="B1271" s="3" t="inlineStr">
        <is>
          <t>Boston Baked Beans without Molasses</t>
        </is>
      </c>
      <c r="C1271" s="4" t="inlineStr">
        <is>
          <t>Side Dish</t>
        </is>
      </c>
      <c r="D1271" s="4" t="inlineStr">
        <is>
          <t>American</t>
        </is>
      </c>
      <c r="E1271" s="2" t="n">
        <v>8</v>
      </c>
      <c r="F1271" s="2" t="n">
        <v>15</v>
      </c>
      <c r="G1271" s="2" t="n">
        <v>150</v>
      </c>
      <c r="H1271" s="2" t="n">
        <v>165</v>
      </c>
      <c r="I1271" s="4" t="inlineStr">
        <is>
          <t>boston-baked-beans-without-molasses.jpg</t>
        </is>
      </c>
      <c r="J1271" s="3" t="inlineStr">
        <is>
          <t>Boston Baked Beans without Molasses, healthy food photography, plated, natural light</t>
        </is>
      </c>
      <c r="K1271" s="4" t="inlineStr"/>
      <c r="L1271" s="3" t="inlineStr">
        <is>
          <t>Navy beans, cooked — 800 g (28.2 oz)
Yellow onion — 120 g (4.2 oz)
Bacon — 50 g (1.8 oz)
Tomato paste — 40 g (1.4 oz)
Yellow mustard — 15 g (0.5 oz)
Apple cider vinegar — 15 g (0.5 oz)
Monk fruit/erythritol sweetener — 8 g (0.3 oz)
Water / ice — 300 g (10.6 oz)</t>
        </is>
      </c>
      <c r="M1271" s="4" t="inlineStr">
        <is>
          <t>[{"ingredient_id": "navy_beans", "name": "Navy beans, cooked", "grams": 800.0, "note": ""}, {"ingredient_id": "onion", "name": "Yellow onion", "grams": 120.0, "note": ""}, {"ingredient_id": "bacon", "name": "Bacon", "grams": 50.0, "note": ""}, {"ingredient_id": "tomato_paste", "name": "Tomato paste", "grams": 40.0, "note": ""}, {"ingredient_id": "yellow_mustard", "name": "Yellow mustard", "grams": 15.0, "note": ""}, {"ingredient_id": "apple_cider_vinegar", "name": "Apple cider vinegar", "grams": 15.0, "note": ""}, {"ingredient_id": "monk_fruit_sweetener", "name": "Monk fruit/erythritol sweetener", "grams": 8.0, "note": ""}, {"ingredient_id": "water", "name": "Water / ice", "grams": 300.0, "note": ""}]</t>
        </is>
      </c>
      <c r="N1271" s="2" t="n">
        <v>185</v>
      </c>
      <c r="O1271" s="5" t="n">
        <v>11</v>
      </c>
      <c r="P1271" s="5" t="n">
        <v>3.3</v>
      </c>
      <c r="Q1271" s="5" t="n">
        <v>28.5</v>
      </c>
      <c r="R1271" s="5" t="n">
        <v>11</v>
      </c>
      <c r="S1271" s="5" t="n">
        <v>17.5</v>
      </c>
      <c r="T1271" s="2" t="n">
        <v>30</v>
      </c>
      <c r="U1271" s="2" t="inlineStr">
        <is>
          <t>low</t>
        </is>
      </c>
      <c r="V1271" s="5" t="n">
        <v>5.3</v>
      </c>
      <c r="W1271" s="2" t="inlineStr">
        <is>
          <t>low</t>
        </is>
      </c>
      <c r="X1271" s="3" t="inlineStr"/>
      <c r="Y1271" s="3" t="inlineStr">
        <is>
          <t>0% of this dish's available carbohydrate comes from ingredients with a published, measured GI; the rest uses conventional placeholders (see Ingredients sheet)</t>
        </is>
      </c>
      <c r="Z1271" s="2" t="n">
        <v>0</v>
      </c>
      <c r="AA1271" s="3" t="inlineStr">
        <is>
          <t>gluten-free, dairy-free, nut-free, high-fiber</t>
        </is>
      </c>
      <c r="AB1271" s="3" t="inlineStr">
        <is>
          <t>1. Combine everything in a pot.
2. Bake covered at 300°F for 2 hours, adding water as needed.</t>
        </is>
      </c>
      <c r="AC1271" s="4" t="inlineStr">
        <is>
          <t>["Combine everything in a pot.", "Bake covered at 300°F for 2 hours, adding water as needed."]</t>
        </is>
      </c>
    </row>
    <row r="1272" ht="96" customHeight="1">
      <c r="A1272" s="2" t="inlineStr">
        <is>
          <t>DB-1271</t>
        </is>
      </c>
      <c r="B1272" s="3" t="inlineStr">
        <is>
          <t>Cape Cod Turkey Burger with Cranberry Mustard</t>
        </is>
      </c>
      <c r="C1272" s="4" t="inlineStr">
        <is>
          <t>Sandwiches &amp; Wraps</t>
        </is>
      </c>
      <c r="D1272" s="4" t="inlineStr">
        <is>
          <t>American</t>
        </is>
      </c>
      <c r="E1272" s="2" t="n">
        <v>4</v>
      </c>
      <c r="F1272" s="2" t="n">
        <v>10</v>
      </c>
      <c r="G1272" s="2" t="n">
        <v>12</v>
      </c>
      <c r="H1272" s="2" t="n">
        <v>22</v>
      </c>
      <c r="I1272" s="4" t="inlineStr">
        <is>
          <t>cape-cod-turkey-burger-with-cranberry-mustard.jpg</t>
        </is>
      </c>
      <c r="J1272" s="3" t="inlineStr">
        <is>
          <t>Cape Cod Turkey Burger with Cranberry Mustard, healthy food photography, plated, natural light</t>
        </is>
      </c>
      <c r="K1272" s="4" t="inlineStr"/>
      <c r="L1272" s="3" t="inlineStr">
        <is>
          <t>Ground turkey 93% lean — 500 g (17.6 oz)
Cranberries, fresh — 60 g (2.1 oz)
Dijon mustard — 20 g (0.7 oz)
Hamburger bun, white — 240 g (8.5 oz)
Arugula — 40 g (1.4 oz)
Red onion — 30 g (1.1 oz)
Salt — 2 g (0.1 oz)</t>
        </is>
      </c>
      <c r="M1272" s="4" t="inlineStr">
        <is>
          <t>[{"ingredient_id": "ground_turkey", "name": "Ground turkey 93% lean", "grams": 500.0, "note": ""}, {"ingredient_id": "cranberries", "name": "Cranberries, fresh", "grams": 60.0, "note": ""}, {"ingredient_id": "dijon", "name": "Dijon mustard", "grams": 20.0, "note": ""}, {"ingredient_id": "hamburger_bun", "name": "Hamburger bun, white", "grams": 240.0, "note": ""}, {"ingredient_id": "arugula", "name": "Arugula", "grams": 40.0, "note": ""}, {"ingredient_id": "red_onion", "name": "Red onion", "grams": 30.0, "note": ""}, {"ingredient_id": "salt", "name": "Salt", "grams": 2.0, "note": ""}]</t>
        </is>
      </c>
      <c r="N1272" s="2" t="n">
        <v>363</v>
      </c>
      <c r="O1272" s="5" t="n">
        <v>29.6</v>
      </c>
      <c r="P1272" s="5" t="n">
        <v>12.4</v>
      </c>
      <c r="Q1272" s="5" t="n">
        <v>32.6</v>
      </c>
      <c r="R1272" s="5" t="n">
        <v>2.5</v>
      </c>
      <c r="S1272" s="5" t="n">
        <v>30.1</v>
      </c>
      <c r="T1272" s="2" t="n">
        <v>60</v>
      </c>
      <c r="U1272" s="2" t="inlineStr">
        <is>
          <t>medium</t>
        </is>
      </c>
      <c r="V1272" s="5" t="n">
        <v>18.1</v>
      </c>
      <c r="W1272" s="2" t="inlineStr">
        <is>
          <t>medium</t>
        </is>
      </c>
      <c r="X1272" s="3" t="inlineStr">
        <is>
          <t>Medium-GI dish: keep to the stated portion and pair with the protein/fat in the recipe; GL per serving is the better guide.</t>
        </is>
      </c>
      <c r="Y1272" s="3" t="inlineStr">
        <is>
          <t>93% of this dish's available carbohydrate comes from ingredients with a published, measured GI; the rest uses conventional placeholders (see Ingredients sheet)</t>
        </is>
      </c>
      <c r="Z1272" s="2" t="n">
        <v>93</v>
      </c>
      <c r="AA1272" s="3" t="inlineStr">
        <is>
          <t>dairy-free, nut-free, high-protein</t>
        </is>
      </c>
      <c r="AB1272" s="3" t="inlineStr">
        <is>
          <t>1. Mix the turkey with chopped cranberries and salt and shape four patties.
2. Pan-sear 6 minutes a side.
3. Toast the buns and spread with mustard.
4. Build with arugula and onion.</t>
        </is>
      </c>
      <c r="AC1272" s="4" t="inlineStr">
        <is>
          <t>["Mix the turkey with chopped cranberries and salt and shape four patties.", "Pan-sear 6 minutes a side.", "Toast the buns and spread with mustard.", "Build with arugula and onion."]</t>
        </is>
      </c>
    </row>
    <row r="1273" ht="96" customHeight="1">
      <c r="A1273" s="2" t="inlineStr">
        <is>
          <t>DB-1272</t>
        </is>
      </c>
      <c r="B1273" s="3" t="inlineStr">
        <is>
          <t>Hawaiian Chicken Skewers with Pineapple</t>
        </is>
      </c>
      <c r="C1273" s="4" t="inlineStr">
        <is>
          <t>Poultry</t>
        </is>
      </c>
      <c r="D1273" s="4" t="inlineStr">
        <is>
          <t>Hawaiian</t>
        </is>
      </c>
      <c r="E1273" s="2" t="n">
        <v>4</v>
      </c>
      <c r="F1273" s="2" t="n">
        <v>15</v>
      </c>
      <c r="G1273" s="2" t="n">
        <v>12</v>
      </c>
      <c r="H1273" s="2" t="n">
        <v>27</v>
      </c>
      <c r="I1273" s="4" t="inlineStr">
        <is>
          <t>hawaiian-chicken-skewers-with-pineapple.jpg</t>
        </is>
      </c>
      <c r="J1273" s="3" t="inlineStr">
        <is>
          <t>Hawaiian Chicken Skewers with Pineapple, healthy food photography, plated, natural light</t>
        </is>
      </c>
      <c r="K1273" s="4" t="inlineStr"/>
      <c r="L1273" s="3" t="inlineStr">
        <is>
          <t>Chicken breast, skinless — 500 g (17.6 oz)
Pineapple — 200 g (7.1 oz)
Bell pepper — 150 g (5.3 oz)
Red onion — 80 g (2.8 oz)
Soy sauce, low sodium — 30 g (1.1 oz)
Fresh ginger — 8 g (0.3 oz)
Garlic — 6 g (0.2 oz)
Toasted sesame oil — 8 g (0.3 oz)
White rice, long-grain, cooked — 300 g (10.6 oz)</t>
        </is>
      </c>
      <c r="M1273" s="4" t="inlineStr">
        <is>
          <t>[{"ingredient_id": "chicken_breast", "name": "Chicken breast, skinless", "grams": 500.0, "note": ""}, {"ingredient_id": "pineapple", "name": "Pineapple", "grams": 200.0, "note": ""}, {"ingredient_id": "bell_pepper", "name": "Bell pepper", "grams": 150.0, "note": ""}, {"ingredient_id": "red_onion", "name": "Red onion", "grams": 80.0, "note": ""}, {"ingredient_id": "soy_sauce", "name": "Soy sauce, low sodium", "grams": 30.0, "note": ""}, {"ingredient_id": "ginger", "name": "Fresh ginger", "grams": 8.0, "note": ""}, {"ingredient_id": "garlic", "name": "Garlic", "grams": 6.0, "note": ""}, {"ingredient_id": "sesame_oil", "name": "Toasted sesame oil", "grams": 8.0, "note": ""}, {"ingredient_id": "white_rice", "name": "White rice, long-grain, cooked", "grams": 300.0, "note": ""}]</t>
        </is>
      </c>
      <c r="N1273" s="2" t="n">
        <v>317</v>
      </c>
      <c r="O1273" s="5" t="n">
        <v>31.7</v>
      </c>
      <c r="P1273" s="5" t="n">
        <v>5.7</v>
      </c>
      <c r="Q1273" s="5" t="n">
        <v>32.8</v>
      </c>
      <c r="R1273" s="5" t="n">
        <v>2.3</v>
      </c>
      <c r="S1273" s="5" t="n">
        <v>30.6</v>
      </c>
      <c r="T1273" s="2" t="n">
        <v>68</v>
      </c>
      <c r="U1273" s="2" t="inlineStr">
        <is>
          <t>medium</t>
        </is>
      </c>
      <c r="V1273" s="5" t="n">
        <v>20.8</v>
      </c>
      <c r="W1273" s="2" t="inlineStr">
        <is>
          <t>high</t>
        </is>
      </c>
      <c r="X1273" s="3" t="inlineStr">
        <is>
          <t>Medium-GI dish: keep to the stated portion and pair with the protein/fat in the recipe; GL per serving is the better guide.</t>
        </is>
      </c>
      <c r="Y1273" s="3" t="inlineStr">
        <is>
          <t>87% of this dish's available carbohydrate comes from ingredients with a published, measured GI; the rest uses conventional placeholders (see Ingredients sheet)</t>
        </is>
      </c>
      <c r="Z1273" s="2" t="n">
        <v>87</v>
      </c>
      <c r="AA1273" s="3" t="inlineStr">
        <is>
          <t>dairy-free, nut-free, high-protein</t>
        </is>
      </c>
      <c r="AB1273" s="3" t="inlineStr">
        <is>
          <t>1. Marinate the chicken in soy sauce, ginger, garlic and sesame oil.
2. Thread onto skewers with pineapple, pepper and onion.
3. Grill 10 to 12 minutes and serve over rice.</t>
        </is>
      </c>
      <c r="AC1273" s="4" t="inlineStr">
        <is>
          <t>["Marinate the chicken in soy sauce, ginger, garlic and sesame oil.", "Thread onto skewers with pineapple, pepper and onion.", "Grill 10 to 12 minutes and serve over rice."]</t>
        </is>
      </c>
    </row>
    <row r="1274" ht="96" customHeight="1">
      <c r="A1274" s="2" t="inlineStr">
        <is>
          <t>DB-1273</t>
        </is>
      </c>
      <c r="B1274" s="3" t="inlineStr">
        <is>
          <t>Poke Bowl with Tuna and Cucumber</t>
        </is>
      </c>
      <c r="C1274" s="4" t="inlineStr">
        <is>
          <t>Seafood</t>
        </is>
      </c>
      <c r="D1274" s="4" t="inlineStr">
        <is>
          <t>Hawaiian</t>
        </is>
      </c>
      <c r="E1274" s="2" t="n">
        <v>3</v>
      </c>
      <c r="F1274" s="2" t="n">
        <v>15</v>
      </c>
      <c r="G1274" s="2" t="n">
        <v>0</v>
      </c>
      <c r="H1274" s="2" t="n">
        <v>15</v>
      </c>
      <c r="I1274" s="4" t="inlineStr">
        <is>
          <t>poke-bowl-with-tuna-and-cucumber.jpg</t>
        </is>
      </c>
      <c r="J1274" s="3" t="inlineStr">
        <is>
          <t>Poke Bowl with Tuna and Cucumber, healthy food photography, plated, natural light</t>
        </is>
      </c>
      <c r="K1274" s="4" t="inlineStr"/>
      <c r="L1274" s="3" t="inlineStr">
        <is>
          <t>Tuna steak (ahi) — 300 g (10.6 oz)
White rice, long-grain, cooked — 300 g (10.6 oz)
Cucumber — 100 g (3.5 oz)
Avocado — 100 g (3.5 oz)
Soy sauce, low sodium — 25 g (0.9 oz)
Toasted sesame oil — 8 g (0.3 oz)
Green onions (scallions) — 20 g (0.7 oz)
Sesame seeds — 6 g (0.2 oz)
Nori seaweed sheets — 3 g (0.1 oz)</t>
        </is>
      </c>
      <c r="M1274" s="4" t="inlineStr">
        <is>
          <t>[{"ingredient_id": "tuna_steak", "name": "Tuna steak (ahi)", "grams": 300.0, "note": ""}, {"ingredient_id": "white_rice", "name": "White rice, long-grain, cooked", "grams": 300.0, "note": ""}, {"ingredient_id": "cucumber", "name": "Cucumber", "grams": 100.0, "note": ""}, {"ingredient_id": "avocado", "name": "Avocado", "grams": 100.0,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"nori", "name": "Nori seaweed sheets", "grams": 3.0, "note": ""}]</t>
        </is>
      </c>
      <c r="N1274" s="2" t="n">
        <v>338</v>
      </c>
      <c r="O1274" s="5" t="n">
        <v>28.8</v>
      </c>
      <c r="P1274" s="5" t="n">
        <v>10</v>
      </c>
      <c r="Q1274" s="5" t="n">
        <v>33.4</v>
      </c>
      <c r="R1274" s="5" t="n">
        <v>3.3</v>
      </c>
      <c r="S1274" s="5" t="n">
        <v>30.2</v>
      </c>
      <c r="T1274" s="2" t="n">
        <v>72</v>
      </c>
      <c r="U1274" s="2" t="inlineStr">
        <is>
          <t>high</t>
        </is>
      </c>
      <c r="V1274" s="5" t="n">
        <v>21.7</v>
      </c>
      <c r="W1274" s="2" t="inlineStr">
        <is>
          <t>high</t>
        </is>
      </c>
      <c r="X1274" s="3" t="inlineStr">
        <is>
          <t>Medium-GI dish: keep to the stated portion and pair with the protein/fat in the recipe; GL per serving is the better guide.</t>
        </is>
      </c>
      <c r="Y1274" s="3" t="inlineStr">
        <is>
          <t>92% of this dish's available carbohydrate comes from ingredients with a published, measured GI; the rest uses conventional placeholders (see Ingredients sheet)</t>
        </is>
      </c>
      <c r="Z1274" s="2" t="n">
        <v>92</v>
      </c>
      <c r="AA1274" s="3" t="inlineStr">
        <is>
          <t>pescatarian, dairy-free, nut-free, high-protein, no-cook</t>
        </is>
      </c>
      <c r="AB1274" s="3" t="inlineStr">
        <is>
          <t>1. Cube the tuna and toss with soy sauce and sesame oil.
2. Divide the rice among bowls.
3. Top with tuna, cucumber, avocado, green onion, sesame seeds and nori.</t>
        </is>
      </c>
      <c r="AC1274" s="4" t="inlineStr">
        <is>
          <t>["Cube the tuna and toss with soy sauce and sesame oil.", "Divide the rice among bowls.", "Top with tuna, cucumber, avocado, green onion, sesame seeds and nori."]</t>
        </is>
      </c>
    </row>
    <row r="1275" ht="96" customHeight="1">
      <c r="A1275" s="2" t="inlineStr">
        <is>
          <t>DB-1274</t>
        </is>
      </c>
      <c r="B1275" s="3" t="inlineStr">
        <is>
          <t>Kalua-Style Pork with Cabbage</t>
        </is>
      </c>
      <c r="C1275" s="4" t="inlineStr">
        <is>
          <t>Beef, Pork &amp; Lamb</t>
        </is>
      </c>
      <c r="D1275" s="4" t="inlineStr">
        <is>
          <t>Hawaiian</t>
        </is>
      </c>
      <c r="E1275" s="2" t="n">
        <v>8</v>
      </c>
      <c r="F1275" s="2" t="n">
        <v>10</v>
      </c>
      <c r="G1275" s="2" t="n">
        <v>480</v>
      </c>
      <c r="H1275" s="2" t="n">
        <v>490</v>
      </c>
      <c r="I1275" s="4" t="inlineStr">
        <is>
          <t>kalua-style-pork-with-cabbage.jpg</t>
        </is>
      </c>
      <c r="J1275" s="3" t="inlineStr">
        <is>
          <t>Kalua-Style Pork with Cabbage, healthy food photography, plated, natural light</t>
        </is>
      </c>
      <c r="K1275" s="4" t="inlineStr"/>
      <c r="L1275" s="3" t="inlineStr">
        <is>
          <t>Pork shoulder, trimmed — 1400 g (49.4 oz)
Green cabbage — 500 g (17.6 oz)
Salt — 8 g (0.3 oz)
Smoked paprika — 4 g (0.1 oz)
Water / ice — 150 g (5.3 oz)</t>
        </is>
      </c>
      <c r="M1275" s="4" t="inlineStr">
        <is>
          <t>[{"ingredient_id": "pork_shoulder", "name": "Pork shoulder, trimmed", "grams": 1400.0, "note": ""}, {"ingredient_id": "cabbage", "name": "Green cabbage", "grams": 500.0, "note": ""}, {"ingredient_id": "salt", "name": "Salt", "grams": 8.0, "note": ""}, {"ingredient_id": "smoked_paprika", "name": "Smoked paprika", "grams": 4.0, "note": ""}, {"ingredient_id": "water", "name": "Water / ice", "grams": 150.0, "note": ""}]</t>
        </is>
      </c>
      <c r="N1275" s="2" t="n">
        <v>367</v>
      </c>
      <c r="O1275" s="5" t="n">
        <v>34.1</v>
      </c>
      <c r="P1275" s="5" t="n">
        <v>24.6</v>
      </c>
      <c r="Q1275" s="5" t="n">
        <v>3.9</v>
      </c>
      <c r="R1275" s="5" t="n">
        <v>1.7</v>
      </c>
      <c r="S1275" s="5" t="n">
        <v>2.2</v>
      </c>
      <c r="T1275" s="2" t="n">
        <v>15</v>
      </c>
      <c r="U1275" s="2" t="inlineStr">
        <is>
          <t>low</t>
        </is>
      </c>
      <c r="V1275" s="5" t="n">
        <v>0.3</v>
      </c>
      <c r="W1275" s="2" t="inlineStr">
        <is>
          <t>low</t>
        </is>
      </c>
      <c r="X1275" s="3" t="inlineStr">
        <is>
          <t>Negligible carbohydrate (&lt;5 g net/serving): GI has little practical meaning, glycemic load is what matters.</t>
        </is>
      </c>
      <c r="Y1275" s="3" t="inlineStr">
        <is>
          <t>0% of this dish's available carbohydrate comes from ingredients with a published, measured GI; the rest uses conventional placeholders (see Ingredients sheet)</t>
        </is>
      </c>
      <c r="Z1275" s="2" t="n">
        <v>0</v>
      </c>
      <c r="AA1275" s="3" t="inlineStr">
        <is>
          <t>gluten-free, dairy-free, nut-free, low-carb, high-protein, slow-cooker</t>
        </is>
      </c>
      <c r="AB1275" s="3" t="inlineStr">
        <is>
          <t>1. Rub the pork with salt and paprika.
2. Slow cook with the water for 8 hours.
3. Shred and stir in the steamed cabbage.</t>
        </is>
      </c>
      <c r="AC1275" s="4" t="inlineStr">
        <is>
          <t>["Rub the pork with salt and paprika.", "Slow cook with the water for 8 hours.", "Shred and stir in the steamed cabbage."]</t>
        </is>
      </c>
    </row>
    <row r="1276" ht="96" customHeight="1">
      <c r="A1276" s="2" t="inlineStr">
        <is>
          <t>DB-1275</t>
        </is>
      </c>
      <c r="B1276" s="3" t="inlineStr">
        <is>
          <t>Pacific Northwest Cedar-Style Salmon with Asparagus</t>
        </is>
      </c>
      <c r="C1276" s="4" t="inlineStr">
        <is>
          <t>Seafood</t>
        </is>
      </c>
      <c r="D1276" s="4" t="inlineStr">
        <is>
          <t>American</t>
        </is>
      </c>
      <c r="E1276" s="2" t="n">
        <v>4</v>
      </c>
      <c r="F1276" s="2" t="n">
        <v>10</v>
      </c>
      <c r="G1276" s="2" t="n">
        <v>18</v>
      </c>
      <c r="H1276" s="2" t="n">
        <v>28</v>
      </c>
      <c r="I1276" s="4" t="inlineStr">
        <is>
          <t>pacific-northwest-cedar-style-salmon-with-asparagus.jpg</t>
        </is>
      </c>
      <c r="J1276" s="3" t="inlineStr">
        <is>
          <t>Pacific Northwest Cedar-Style Salmon with Asparagus, healthy food photography, plated, natural light</t>
        </is>
      </c>
      <c r="K1276" s="4" t="inlineStr"/>
      <c r="L1276" s="3" t="inlineStr">
        <is>
          <t>Salmon fillet — 600 g (21.2 oz)
Asparagus — 350 g (12.3 oz)
Dijon mustard — 20 g (0.7 oz)
Fresh dill — 5 g (0.2 oz)
Lemon (with juice &amp; zest) — 60 g (2.1 oz)
Extra-virgin olive oil — 20 g (0.7 oz)
Garlic — 4 g (0.1 oz)</t>
        </is>
      </c>
      <c r="M1276" s="4" t="inlineStr">
        <is>
          <t>[{"ingredient_id": "salmon", "name": "Salmon fillet", "grams": 600.0, "note": ""}, {"ingredient_id": "asparagus", "name": "Asparagus", "grams": 350.0, "note": ""}, {"ingredient_id": "dijon", "name": "Dijon mustard", "grams": 20.0, "note": ""}, {"ingredient_id": "dill", "name": "Fresh dill", "grams": 5.0, "note": ""}, {"ingredient_id": "lemon", "name": "Lemon (with juice &amp; zest)", "grams": 60.0, "note": ""}, {"ingredient_id": "olive_oil", "name": "Extra-virgin olive oil", "grams": 20.0, "note": ""}, {"ingredient_id": "garlic", "name": "Garlic", "grams": 4.0, "note": ""}]</t>
        </is>
      </c>
      <c r="N1276" s="2" t="n">
        <v>383</v>
      </c>
      <c r="O1276" s="5" t="n">
        <v>32.4</v>
      </c>
      <c r="P1276" s="5" t="n">
        <v>24.8</v>
      </c>
      <c r="Q1276" s="5" t="n">
        <v>5.5</v>
      </c>
      <c r="R1276" s="5" t="n">
        <v>2.5</v>
      </c>
      <c r="S1276" s="5" t="n">
        <v>3</v>
      </c>
      <c r="T1276" s="2" t="n">
        <v>18</v>
      </c>
      <c r="U1276" s="2" t="inlineStr">
        <is>
          <t>low</t>
        </is>
      </c>
      <c r="V1276" s="5" t="n">
        <v>0.5</v>
      </c>
      <c r="W1276" s="2" t="inlineStr">
        <is>
          <t>low</t>
        </is>
      </c>
      <c r="X1276" s="3" t="inlineStr">
        <is>
          <t>Negligible carbohydrate (&lt;5 g net/serving): GI has little practical meaning, glycemic load is what matters.</t>
        </is>
      </c>
      <c r="Y1276" s="3" t="inlineStr">
        <is>
          <t>0% of this dish's available carbohydrate comes from ingredients with a published, measured GI; the rest uses conventional placeholders (see Ingredients sheet)</t>
        </is>
      </c>
      <c r="Z1276" s="2" t="n">
        <v>0</v>
      </c>
      <c r="AA1276" s="3" t="inlineStr">
        <is>
          <t>pescatarian, gluten-free, dairy-free, nut-free, low-carb, high-protein, one-pan</t>
        </is>
      </c>
      <c r="AB1276" s="3" t="inlineStr">
        <is>
          <t>1. Brush the salmon with mustard, oil, garlic and dill.
2. Roast at 400°F for 15 minutes with the asparagus.
3. Serve with lemon.</t>
        </is>
      </c>
      <c r="AC1276" s="4" t="inlineStr">
        <is>
          <t>["Brush the salmon with mustard, oil, garlic and dill.", "Roast at 400°F for 15 minutes with the asparagus.", "Serve with lemon."]</t>
        </is>
      </c>
    </row>
    <row r="1277" ht="96" customHeight="1">
      <c r="A1277" s="2" t="inlineStr">
        <is>
          <t>DB-1276</t>
        </is>
      </c>
      <c r="B1277" s="3" t="inlineStr">
        <is>
          <t>Seattle-Style Teriyaki Chicken Plate</t>
        </is>
      </c>
      <c r="C1277" s="4" t="inlineStr">
        <is>
          <t>Poultry</t>
        </is>
      </c>
      <c r="D1277" s="4" t="inlineStr">
        <is>
          <t>American</t>
        </is>
      </c>
      <c r="E1277" s="2" t="n">
        <v>4</v>
      </c>
      <c r="F1277" s="2" t="n">
        <v>15</v>
      </c>
      <c r="G1277" s="2" t="n">
        <v>15</v>
      </c>
      <c r="H1277" s="2" t="n">
        <v>30</v>
      </c>
      <c r="I1277" s="4" t="inlineStr">
        <is>
          <t>seattle-style-teriyaki-chicken-plate.jpg</t>
        </is>
      </c>
      <c r="J1277" s="3" t="inlineStr">
        <is>
          <t>Seattle-Style Teriyaki Chicken Plate, healthy food photography, plated, natural light</t>
        </is>
      </c>
      <c r="K1277" s="4" t="inlineStr"/>
      <c r="L1277" s="3" t="inlineStr">
        <is>
          <t>Chicken thigh, skinless boneless — 550 g (19.4 oz)
Soy sauce, low sodium — 35 g (1.2 oz)
Fresh ginger — 8 g (0.3 oz)
Garlic — 6 g (0.2 oz)
Rice vinegar, unseasoned — 15 g (0.5 oz)
Monk fruit/erythritol sweetener — 4 g (0.1 oz)
White rice, long-grain, cooked — 360 g (12.7 oz)
Green cabbage — 250 g (8.8 oz)
Extra-virgin olive oil — 10 g (0.4 oz)</t>
        </is>
      </c>
      <c r="M1277" s="4" t="inlineStr">
        <is>
          <t>[{"ingredient_id": "chicken_thigh", "name": "Chicken thigh, skinless boneless", "grams": 550.0, "note": ""}, {"ingredient_id": "soy_sauce", "name": "Soy sauce, low sodium", "grams": 35.0, "note": ""}, {"ingredient_id": "ginger", "name": "Fresh ginger", "grams": 8.0, "note": ""}, {"ingredient_id": "garlic", "name": "Garlic", "grams": 6.0, "note": ""}, {"ingredient_id": "rice_vinegar", "name": "Rice vinegar, unseasoned", "grams": 15.0, "note": ""}, {"ingredient_id": "monk_fruit_sweetener", "name": "Monk fruit/erythritol sweetener", "grams": 4.0, "note": ""}, {"ingredient_id": "white_rice", "name": "White rice, long-grain, cooked", "grams": 360.0, "note": ""}, {"ingredient_id": "cabbage", "name": "Green cabbage", "grams": 250.0, "note": ""}, {"ingredient_id": "olive_oil", "name": "Extra-virgin olive oil", "grams": 10.0, "note": ""}]</t>
        </is>
      </c>
      <c r="N1277" s="2" t="n">
        <v>329</v>
      </c>
      <c r="O1277" s="5" t="n">
        <v>31.1</v>
      </c>
      <c r="P1277" s="5" t="n">
        <v>8.5</v>
      </c>
      <c r="Q1277" s="5" t="n">
        <v>30.1</v>
      </c>
      <c r="R1277" s="5" t="n">
        <v>2.1</v>
      </c>
      <c r="S1277" s="5" t="n">
        <v>28.1</v>
      </c>
      <c r="T1277" s="2" t="n">
        <v>70</v>
      </c>
      <c r="U1277" s="2" t="inlineStr">
        <is>
          <t>high</t>
        </is>
      </c>
      <c r="V1277" s="5" t="n">
        <v>19.7</v>
      </c>
      <c r="W1277" s="2" t="inlineStr">
        <is>
          <t>medium</t>
        </is>
      </c>
      <c r="X1277" s="3" t="inlineStr">
        <is>
          <t>Medium-GI dish: keep to the stated portion and pair with the protein/fat in the recipe; GL per serving is the better guide.</t>
        </is>
      </c>
      <c r="Y1277" s="3" t="inlineStr">
        <is>
          <t>88% of this dish's available carbohydrate comes from ingredients with a published, measured GI; the rest uses conventional placeholders (see Ingredients sheet)</t>
        </is>
      </c>
      <c r="Z1277" s="2" t="n">
        <v>88</v>
      </c>
      <c r="AA1277" s="3" t="inlineStr">
        <is>
          <t>dairy-free, nut-free, high-protein</t>
        </is>
      </c>
      <c r="AB1277" s="3" t="inlineStr">
        <is>
          <t>1. Sear the chicken in oil, then glaze with soy sauce, ginger, garlic, vinegar and sweetener.
2. Steam or sauté the cabbage.
3. Serve with rice.</t>
        </is>
      </c>
      <c r="AC1277" s="4" t="inlineStr">
        <is>
          <t>["Sear the chicken in oil, then glaze with soy sauce, ginger, garlic, vinegar and sweetener.", "Steam or sauté the cabbage.", "Serve with rice."]</t>
        </is>
      </c>
    </row>
    <row r="1278" ht="96" customHeight="1">
      <c r="A1278" s="2" t="inlineStr">
        <is>
          <t>DB-1277</t>
        </is>
      </c>
      <c r="B1278" s="3" t="inlineStr">
        <is>
          <t>California Cobb Burrito Bowl</t>
        </is>
      </c>
      <c r="C1278" s="4" t="inlineStr">
        <is>
          <t>Salad</t>
        </is>
      </c>
      <c r="D1278" s="4" t="inlineStr">
        <is>
          <t>American</t>
        </is>
      </c>
      <c r="E1278" s="2" t="n">
        <v>3</v>
      </c>
      <c r="F1278" s="2" t="n">
        <v>15</v>
      </c>
      <c r="G1278" s="2" t="n">
        <v>10</v>
      </c>
      <c r="H1278" s="2" t="n">
        <v>25</v>
      </c>
      <c r="I1278" s="4" t="inlineStr">
        <is>
          <t>california-cobb-burrito-bowl.jpg</t>
        </is>
      </c>
      <c r="J1278" s="3" t="inlineStr">
        <is>
          <t>California Cobb Burrito Bowl, healthy food photography, plated, natural light</t>
        </is>
      </c>
      <c r="K1278" s="4" t="inlineStr"/>
      <c r="L1278" s="3" t="inlineStr">
        <is>
          <t>Chicken breast, skinless — 350 g (12.3 oz)
Romaine lettuce — 150 g (5.3 oz)
Avocado — 120 g (4.2 oz)
Egg, large (50 g each) — 100 g (3.5 oz)
Bacon — 30 g (1.1 oz)
Tomato — 120 g (4.2 oz)
Sweet corn kernels — 60 g (2.1 oz)
Lime juice — 20 g (0.7 oz)
Extra-virgin olive oil — 15 g (0.5 oz)</t>
        </is>
      </c>
      <c r="M1278" s="4" t="inlineStr">
        <is>
          <t>[{"ingredient_id": "chicken_breast", "name": "Chicken breast, skinless", "grams": 350.0, "note": ""}, {"ingredient_id": "romaine", "name": "Romaine lettuce", "grams": 150.0, "note": ""}, {"ingredient_id": "avocado", "name": "Avocado", "grams": 120.0, "note": ""}, {"ingredient_id": "egg", "name": "Egg, large (50 g each)", "grams": 100.0, "note": ""}, {"ingredient_id": "bacon", "name": "Bacon", "grams": 30.0, "note": ""}, {"ingredient_id": "tomato", "name": "Tomato", "grams": 120.0, "note": ""}, {"ingredient_id": "corn", "name": "Sweet corn kernels", "grams": 60.0, "note": ""}, {"ingredient_id": "lime_juice", "name": "Lime juice", "grams": 20.0, "note": ""}, {"ingredient_id": "olive_oil", "name": "Extra-virgin olive oil", "grams": 15.0, "note": ""}]</t>
        </is>
      </c>
      <c r="N1278" s="2" t="n">
        <v>385</v>
      </c>
      <c r="O1278" s="5" t="n">
        <v>36.6</v>
      </c>
      <c r="P1278" s="5" t="n">
        <v>21.9</v>
      </c>
      <c r="Q1278" s="5" t="n">
        <v>11.3</v>
      </c>
      <c r="R1278" s="5" t="n">
        <v>4.8</v>
      </c>
      <c r="S1278" s="5" t="n">
        <v>6.6</v>
      </c>
      <c r="T1278" s="2" t="n">
        <v>33</v>
      </c>
      <c r="U1278" s="2" t="inlineStr">
        <is>
          <t>low</t>
        </is>
      </c>
      <c r="V1278" s="5" t="n">
        <v>2.2</v>
      </c>
      <c r="W1278" s="2" t="inlineStr">
        <is>
          <t>low</t>
        </is>
      </c>
      <c r="X1278" s="3" t="inlineStr"/>
      <c r="Y1278" s="3" t="inlineStr">
        <is>
          <t>50% of this dish's available carbohydrate comes from ingredients with a published, measured GI; the rest uses conventional placeholders (see Ingredients sheet)</t>
        </is>
      </c>
      <c r="Z1278" s="2" t="n">
        <v>50</v>
      </c>
      <c r="AA1278" s="3" t="inlineStr">
        <is>
          <t>gluten-free, dairy-free, nut-free, low-carb, high-protein</t>
        </is>
      </c>
      <c r="AB1278" s="3" t="inlineStr">
        <is>
          <t>1. Grill and slice the chicken; boil and slice the eggs; crisp the bacon.
2. Arrange everything over the romaine.
3. Dress with lime and oil.</t>
        </is>
      </c>
      <c r="AC1278" s="4" t="inlineStr">
        <is>
          <t>["Grill and slice the chicken; boil and slice the eggs; crisp the bacon.", "Arrange everything over the romaine.", "Dress with lime and oil."]</t>
        </is>
      </c>
    </row>
    <row r="1279" ht="96" customHeight="1">
      <c r="A1279" s="2" t="inlineStr">
        <is>
          <t>DB-1278</t>
        </is>
      </c>
      <c r="B1279" s="3" t="inlineStr">
        <is>
          <t>San Diego Shrimp Ceviche Cups</t>
        </is>
      </c>
      <c r="C1279" s="4" t="inlineStr">
        <is>
          <t>Seafood</t>
        </is>
      </c>
      <c r="D1279" s="4" t="inlineStr">
        <is>
          <t>Mexican</t>
        </is>
      </c>
      <c r="E1279" s="2" t="n">
        <v>4</v>
      </c>
      <c r="F1279" s="2" t="n">
        <v>20</v>
      </c>
      <c r="G1279" s="2" t="n">
        <v>5</v>
      </c>
      <c r="H1279" s="2" t="n">
        <v>25</v>
      </c>
      <c r="I1279" s="4" t="inlineStr">
        <is>
          <t>san-diego-shrimp-ceviche-cups.jpg</t>
        </is>
      </c>
      <c r="J1279" s="3" t="inlineStr">
        <is>
          <t>San Diego Shrimp Ceviche Cups, healthy food photography, plated, natural light</t>
        </is>
      </c>
      <c r="K1279" s="4" t="inlineStr"/>
      <c r="L1279" s="3" t="inlineStr">
        <is>
          <t>Shrimp, peeled — 400 g (14.1 oz)
Lime juice — 80 g (2.8 oz)
Tomato — 150 g (5.3 oz)
Cucumber — 100 g (3.5 oz)
Red onion — 50 g (1.8 oz)
Jalapeño — 15 g (0.5 oz)
Fresh cilantro — 8 g (0.3 oz)
Avocado — 100 g (3.5 oz)</t>
        </is>
      </c>
      <c r="M1279" s="4" t="inlineStr">
        <is>
          <t>[{"ingredient_id": "shrimp", "name": "Shrimp, peeled", "grams": 400.0, "note": ""}, {"ingredient_id": "lime_juice", "name": "Lime juice", "grams": 80.0, "note": ""}, {"ingredient_id": "tomato", "name": "Tomato", "grams": 150.0, "note": ""}, {"ingredient_id": "cucumber", "name": "Cucumber", "grams": 100.0, "note": ""}, {"ingredient_id": "red_onion", "name": "Red onion", "grams": 50.0, "note": ""}, {"ingredient_id": "jalapeno", "name": "Jalapeño", "grams": 15.0, "note": ""}, {"ingredient_id": "cilantro", "name": "Fresh cilantro", "grams": 8.0, "note": ""}, {"ingredient_id": "avocado", "name": "Avocado", "grams": 100.0, "note": ""}]</t>
        </is>
      </c>
      <c r="N1279" s="2" t="n">
        <v>147</v>
      </c>
      <c r="O1279" s="5" t="n">
        <v>21.3</v>
      </c>
      <c r="P1279" s="5" t="n">
        <v>4.4</v>
      </c>
      <c r="Q1279" s="5" t="n">
        <v>7.6</v>
      </c>
      <c r="R1279" s="5" t="n">
        <v>2.7</v>
      </c>
      <c r="S1279" s="5" t="n">
        <v>4.9</v>
      </c>
      <c r="T1279" s="2" t="n">
        <v>17</v>
      </c>
      <c r="U1279" s="2" t="inlineStr">
        <is>
          <t>low</t>
        </is>
      </c>
      <c r="V1279" s="5" t="n">
        <v>0.8</v>
      </c>
      <c r="W1279" s="2" t="inlineStr">
        <is>
          <t>low</t>
        </is>
      </c>
      <c r="X1279" s="3" t="inlineStr">
        <is>
          <t>Negligible carbohydrate (&lt;5 g net/serving): GI has little practical meaning, glycemic load is what matters.</t>
        </is>
      </c>
      <c r="Y1279" s="3" t="inlineStr">
        <is>
          <t>0% of this dish's available carbohydrate comes from ingredients with a published, measured GI; the rest uses conventional placeholders (see Ingredients sheet)</t>
        </is>
      </c>
      <c r="Z1279" s="2" t="n">
        <v>0</v>
      </c>
      <c r="AA1279" s="3" t="inlineStr">
        <is>
          <t>pescatarian, gluten-free, dairy-free, nut-free, low-carb</t>
        </is>
      </c>
      <c r="AB1279" s="3" t="inlineStr">
        <is>
          <t>1. Poach the shrimp 2 minutes, chop and chill.
2. Marinate in the lime juice for 20 minutes.
3. Fold in tomato, cucumber, onion, jalapeno and cilantro.
4. Serve with avocado.</t>
        </is>
      </c>
      <c r="AC1279" s="4" t="inlineStr">
        <is>
          <t>["Poach the shrimp 2 minutes, chop and chill.", "Marinate in the lime juice for 20 minutes.", "Fold in tomato, cucumber, onion, jalapeno and cilantro.", "Serve with avocado."]</t>
        </is>
      </c>
    </row>
    <row r="1280" ht="96" customHeight="1">
      <c r="A1280" s="2" t="inlineStr">
        <is>
          <t>DB-1279</t>
        </is>
      </c>
      <c r="B1280" s="3" t="inlineStr">
        <is>
          <t>Southwest Stuffed Peppers with Turkey and Rice</t>
        </is>
      </c>
      <c r="C1280" s="4" t="inlineStr">
        <is>
          <t>Poultry</t>
        </is>
      </c>
      <c r="D1280" s="4" t="inlineStr">
        <is>
          <t>Tex-Mex</t>
        </is>
      </c>
      <c r="E1280" s="2" t="n">
        <v>4</v>
      </c>
      <c r="F1280" s="2" t="n">
        <v>15</v>
      </c>
      <c r="G1280" s="2" t="n">
        <v>40</v>
      </c>
      <c r="H1280" s="2" t="n">
        <v>55</v>
      </c>
      <c r="I1280" s="4" t="inlineStr">
        <is>
          <t>southwest-stuffed-peppers-with-turkey-and-rice.jpg</t>
        </is>
      </c>
      <c r="J1280" s="3" t="inlineStr">
        <is>
          <t>Southwest Stuffed Peppers with Turkey and Rice, healthy food photography, plated, natural light</t>
        </is>
      </c>
      <c r="K1280" s="4" t="inlineStr"/>
      <c r="L1280" s="3" t="inlineStr">
        <is>
          <t>Bell pepper — 600 g (21.2 oz)
Ground turkey 93% lean — 400 g (14.1 oz)
White rice, long-grain, cooked — 240 g (8.5 oz)
Black beans, cooked — 150 g (5.3 oz)
Diced tomatoes, canned — 200 g (7.1 oz)
Ground cumin — 3 g (0.1 oz)
Chili powder — 4 g (0.1 oz)
Cheddar cheese — 60 g (2.1 oz)</t>
        </is>
      </c>
      <c r="M1280" s="4" t="inlineStr">
        <is>
          <t>[{"ingredient_id": "bell_pepper", "name": "Bell pepper", "grams": 600.0, "note": ""}, {"ingredient_id": "ground_turkey", "name": "Ground turkey 93% lean", "grams": 400.0, "note": ""}, {"ingredient_id": "white_rice", "name": "White rice, long-grain, cooked", "grams": 240.0, "note": ""}, {"ingredient_id": "black_beans", "name": "Black beans, cooked", "grams": 150.0, "note": ""}, {"ingredient_id": "diced_tomatoes", "name": "Diced tomatoes, canned", "grams": 200.0, "note": ""}, {"ingredient_id": "cumin", "name": "Ground cumin", "grams": 3.0, "note": ""}, {"ingredient_id": "chili_powder", "name": "Chili powder", "grams": 4.0, "note": ""}, {"ingredient_id": "cheddar", "name": "Cheddar cheese", "grams": 60.0, "note": ""}]</t>
        </is>
      </c>
      <c r="N1280" s="2" t="n">
        <v>401</v>
      </c>
      <c r="O1280" s="5" t="n">
        <v>29.5</v>
      </c>
      <c r="P1280" s="5" t="n">
        <v>14.2</v>
      </c>
      <c r="Q1280" s="5" t="n">
        <v>38.2</v>
      </c>
      <c r="R1280" s="5" t="n">
        <v>7.8</v>
      </c>
      <c r="S1280" s="5" t="n">
        <v>30.4</v>
      </c>
      <c r="T1280" s="2" t="n">
        <v>53</v>
      </c>
      <c r="U1280" s="2" t="inlineStr">
        <is>
          <t>low</t>
        </is>
      </c>
      <c r="V1280" s="5" t="n">
        <v>16.1</v>
      </c>
      <c r="W1280" s="2" t="inlineStr">
        <is>
          <t>medium</t>
        </is>
      </c>
      <c r="X1280" s="3" t="inlineStr"/>
      <c r="Y1280" s="3" t="inlineStr">
        <is>
          <t>73% of this dish's available carbohydrate comes from ingredients with a published, measured GI; the rest uses conventional placeholders (see Ingredients sheet)</t>
        </is>
      </c>
      <c r="Z1280" s="2" t="n">
        <v>73</v>
      </c>
      <c r="AA1280" s="3" t="inlineStr">
        <is>
          <t>gluten-free, nut-free, high-protein, high-fiber</t>
        </is>
      </c>
      <c r="AB1280" s="3" t="inlineStr">
        <is>
          <t>1. Halve the peppers and parboil 4 minutes.
2. Brown the turkey with the spices; mix with rice, beans and tomatoes.
3. Fill the peppers, top with cheddar and bake at 375°F for 25 minutes.</t>
        </is>
      </c>
      <c r="AC1280" s="4" t="inlineStr">
        <is>
          <t>["Halve the peppers and parboil 4 minutes.", "Brown the turkey with the spices; mix with rice, beans and tomatoes.", "Fill the peppers, top with cheddar and bake at 375°F for 25 minutes."]</t>
        </is>
      </c>
    </row>
    <row r="1281" ht="96" customHeight="1">
      <c r="A1281" s="2" t="inlineStr">
        <is>
          <t>DB-1280</t>
        </is>
      </c>
      <c r="B1281" s="3" t="inlineStr">
        <is>
          <t>Egg Drop Soup</t>
        </is>
      </c>
      <c r="C1281" s="4" t="inlineStr">
        <is>
          <t>Soup &amp; Stew</t>
        </is>
      </c>
      <c r="D1281" s="4" t="inlineStr">
        <is>
          <t>Chinese-American</t>
        </is>
      </c>
      <c r="E1281" s="2" t="n">
        <v>4</v>
      </c>
      <c r="F1281" s="2" t="n">
        <v>5</v>
      </c>
      <c r="G1281" s="2" t="n">
        <v>10</v>
      </c>
      <c r="H1281" s="2" t="n">
        <v>15</v>
      </c>
      <c r="I1281" s="4" t="inlineStr">
        <is>
          <t>egg-drop-soup.jpg</t>
        </is>
      </c>
      <c r="J1281" s="3" t="inlineStr">
        <is>
          <t>Egg Drop Soup, healthy food photography, plated, natural light</t>
        </is>
      </c>
      <c r="K1281" s="4" t="inlineStr"/>
      <c r="L1281" s="3" t="inlineStr">
        <is>
          <t>Chicken broth, low sodium — 800 g (28.2 oz)
Egg, large (50 g each) — 150 g (5.3 oz)
Green onions (scallions) — 30 g (1.1 oz)
Fresh ginger — 6 g (0.2 oz)
Arrowroot starch — 8 g (0.3 oz)
Toasted sesame oil — 5 g (0.2 oz)
Black pepper — 1 g (0.0 oz)</t>
        </is>
      </c>
      <c r="M1281" s="4" t="inlineStr">
        <is>
          <t>[{"ingredient_id": "chicken_broth", "name": "Chicken broth, low sodium", "grams": 800.0, "note": ""}, {"ingredient_id": "egg", "name": "Egg, large (50 g each)", "grams": 150.0, "note": ""}, {"ingredient_id": "green_onion", "name": "Green onions (scallions)", "grams": 30.0, "note": ""}, {"ingredient_id": "ginger", "name": "Fresh ginger", "grams": 6.0, "note": ""}, {"ingredient_id": "arrowroot", "name": "Arrowroot starch", "grams": 8.0, "note": ""}, {"ingredient_id": "sesame_oil", "name": "Toasted sesame oil", "grams": 5.0, "note": ""}, {"ingredient_id": "black_pepper", "name": "Black pepper", "grams": 1.0, "note": ""}]</t>
        </is>
      </c>
      <c r="N1281" s="2" t="n">
        <v>90</v>
      </c>
      <c r="O1281" s="5" t="n">
        <v>6.9</v>
      </c>
      <c r="P1281" s="5" t="n">
        <v>5.2</v>
      </c>
      <c r="Q1281" s="5" t="n">
        <v>4</v>
      </c>
      <c r="R1281" s="5" t="n">
        <v>0.4</v>
      </c>
      <c r="S1281" s="5" t="n">
        <v>3.6</v>
      </c>
      <c r="T1281" s="2" t="n">
        <v>33</v>
      </c>
      <c r="U1281" s="2" t="inlineStr">
        <is>
          <t>low</t>
        </is>
      </c>
      <c r="V1281" s="5" t="n">
        <v>1.2</v>
      </c>
      <c r="W1281" s="2" t="inlineStr">
        <is>
          <t>low</t>
        </is>
      </c>
      <c r="X1281" s="3" t="inlineStr">
        <is>
          <t>Negligible carbohydrate (&lt;5 g net/serving): GI has little practical meaning, glycemic load is what matters.</t>
        </is>
      </c>
      <c r="Y1281" s="3" t="inlineStr">
        <is>
          <t>46% of this dish's available carbohydrate comes from ingredients with a published, measured GI; the rest uses conventional placeholders (see Ingredients sheet)</t>
        </is>
      </c>
      <c r="Z1281" s="2" t="n">
        <v>46</v>
      </c>
      <c r="AA1281" s="3" t="inlineStr">
        <is>
          <t>vegetarian, gluten-free, dairy-free, nut-free, low-carb</t>
        </is>
      </c>
      <c r="AB1281" s="3" t="inlineStr">
        <is>
          <t>1. Bring the broth and ginger to a simmer and whisk in the arrowroot slurry.
2. Pour in the beaten egg in a thin stream while stirring.
3. Finish with green onion, sesame oil and pepper.</t>
        </is>
      </c>
      <c r="AC1281" s="4" t="inlineStr">
        <is>
          <t>["Bring the broth and ginger to a simmer and whisk in the arrowroot slurry.", "Pour in the beaten egg in a thin stream while stirring.", "Finish with green onion, sesame oil and pepper."]</t>
        </is>
      </c>
    </row>
    <row r="1282" ht="96" customHeight="1">
      <c r="A1282" s="2" t="inlineStr">
        <is>
          <t>DB-1281</t>
        </is>
      </c>
      <c r="B1282" s="3" t="inlineStr">
        <is>
          <t>Hot and Sour Soup</t>
        </is>
      </c>
      <c r="C1282" s="4" t="inlineStr">
        <is>
          <t>Soup &amp; Stew</t>
        </is>
      </c>
      <c r="D1282" s="4" t="inlineStr">
        <is>
          <t>Chinese-American</t>
        </is>
      </c>
      <c r="E1282" s="2" t="n">
        <v>4</v>
      </c>
      <c r="F1282" s="2" t="n">
        <v>10</v>
      </c>
      <c r="G1282" s="2" t="n">
        <v>15</v>
      </c>
      <c r="H1282" s="2" t="n">
        <v>25</v>
      </c>
      <c r="I1282" s="4" t="inlineStr">
        <is>
          <t>hot-and-sour-soup.jpg</t>
        </is>
      </c>
      <c r="J1282" s="3" t="inlineStr">
        <is>
          <t>Hot and Sour Soup, healthy food photography, plated, natural light</t>
        </is>
      </c>
      <c r="K1282" s="4" t="inlineStr"/>
      <c r="L1282" s="3" t="inlineStr">
        <is>
          <t>Chicken broth, low sodium — 800 g (28.2 oz)
Tofu, extra-firm — 200 g (7.1 oz)
Shiitake mushrooms — 100 g (3.5 oz)
Egg, large (50 g each) — 100 g (3.5 oz)
Rice vinegar, unseasoned — 40 g (1.4 oz)
Soy sauce, low sodium — 25 g (0.9 oz)
Black pepper — 2 g (0.1 oz)
Arrowroot starch — 8 g (0.3 oz)
Green onions (scallions) — 25 g (0.9 oz)</t>
        </is>
      </c>
      <c r="M1282" s="4" t="inlineStr">
        <is>
          <t>[{"ingredient_id": "chicken_broth", "name": "Chicken broth, low sodium", "grams": 800.0, "note": ""}, {"ingredient_id": "tofu", "name": "Tofu, extra-firm", "grams": 200.0, "note": ""}, {"ingredient_id": "shiitake", "name": "Shiitake mushrooms", "grams": 100.0, "note": ""}, {"ingredient_id": "egg", "name": "Egg, large (50 g each)", "grams": 100.0, "note": ""}, {"ingredient_id": "rice_vinegar", "name": "Rice vinegar, unseasoned", "grams": 40.0, "note": ""}, {"ingredient_id": "soy_sauce", "name": "Soy sauce, low sodium", "grams": 25.0, "note": ""}, {"ingredient_id": "black_pepper", "name": "Black pepper", "grams": 2.0, "note": ""}, {"ingredient_id": "arrowroot", "name": "Arrowroot starch", "grams": 8.0, "note": ""}, {"ingredient_id": "green_onion", "name": "Green onions (scallions)", "grams": 25.0, "note": ""}]</t>
        </is>
      </c>
      <c r="N1282" s="2" t="n">
        <v>146</v>
      </c>
      <c r="O1282" s="5" t="n">
        <v>14.9</v>
      </c>
      <c r="P1282" s="5" t="n">
        <v>7.4</v>
      </c>
      <c r="Q1282" s="5" t="n">
        <v>7.3</v>
      </c>
      <c r="R1282" s="5" t="n">
        <v>2</v>
      </c>
      <c r="S1282" s="5" t="n">
        <v>5.2</v>
      </c>
      <c r="T1282" s="2" t="n">
        <v>28</v>
      </c>
      <c r="U1282" s="2" t="inlineStr">
        <is>
          <t>low</t>
        </is>
      </c>
      <c r="V1282" s="5" t="n">
        <v>1.5</v>
      </c>
      <c r="W1282" s="2" t="inlineStr">
        <is>
          <t>low</t>
        </is>
      </c>
      <c r="X1282" s="3" t="inlineStr"/>
      <c r="Y1282" s="3" t="inlineStr">
        <is>
          <t>32% of this dish's available carbohydrate comes from ingredients with a published, measured GI; the rest uses conventional placeholders (see Ingredients sheet)</t>
        </is>
      </c>
      <c r="Z1282" s="2" t="n">
        <v>32</v>
      </c>
      <c r="AA1282" s="3" t="inlineStr">
        <is>
          <t>vegetarian, dairy-free, nut-free, low-carb</t>
        </is>
      </c>
      <c r="AB1282" s="3" t="inlineStr">
        <is>
          <t>1. Simmer the broth with the mushrooms, soy sauce and pepper.
2. Add the tofu and arrowroot slurry.
3. Stir in the beaten egg and finish with vinegar and green onion.</t>
        </is>
      </c>
      <c r="AC1282" s="4" t="inlineStr">
        <is>
          <t>["Simmer the broth with the mushrooms, soy sauce and pepper.", "Add the tofu and arrowroot slurry.", "Stir in the beaten egg and finish with vinegar and green onion."]</t>
        </is>
      </c>
    </row>
    <row r="1283" ht="96" customHeight="1">
      <c r="A1283" s="2" t="inlineStr">
        <is>
          <t>DB-1282</t>
        </is>
      </c>
      <c r="B1283" s="3" t="inlineStr">
        <is>
          <t>Baked General Tso-Style Chicken</t>
        </is>
      </c>
      <c r="C1283" s="4" t="inlineStr">
        <is>
          <t>Poultry</t>
        </is>
      </c>
      <c r="D1283" s="4" t="inlineStr">
        <is>
          <t>Chinese-American</t>
        </is>
      </c>
      <c r="E1283" s="2" t="n">
        <v>4</v>
      </c>
      <c r="F1283" s="2" t="n">
        <v>15</v>
      </c>
      <c r="G1283" s="2" t="n">
        <v>25</v>
      </c>
      <c r="H1283" s="2" t="n">
        <v>40</v>
      </c>
      <c r="I1283" s="4" t="inlineStr">
        <is>
          <t>baked-general-tso-style-chicken.jpg</t>
        </is>
      </c>
      <c r="J1283" s="3" t="inlineStr">
        <is>
          <t>Baked General Tso-Style Chicken, healthy food photography, plated, natural light</t>
        </is>
      </c>
      <c r="K1283" s="4" t="inlineStr"/>
      <c r="L1283" s="3" t="inlineStr">
        <is>
          <t>Chicken breast, skinless — 560 g (19.8 oz)
Egg, large (50 g each) — 50 g (1.8 oz)
Arrowroot starch — 25 g (0.9 oz)
Soy sauce, low sodium — 35 g (1.2 oz)
Rice vinegar, unseasoned — 20 g (0.7 oz)
Garlic — 8 g (0.3 oz)
Fresh ginger — 8 g (0.3 oz)
Red pepper flakes — 2 g (0.1 oz)
Monk fruit/erythritol sweetener — 6 g (0.2 oz)
Broccoli — 300 g (10.6 oz)
Extra-virgin olive oil — 20 g (0.7 oz)</t>
        </is>
      </c>
      <c r="M1283" s="4" t="inlineStr">
        <is>
          <t>[{"ingredient_id": "chicken_breast", "name": "Chicken breast, skinless", "grams": 560.0, "note": ""}, {"ingredient_id": "egg", "name": "Egg, large (50 g each)", "grams": 50.0, "note": ""}, {"ingredient_id": "arrowroot", "name": "Arrowroot starch", "grams": 25.0, "note": ""}, {"ingredient_id": "soy_sauce", "name": "Soy sauce, low sodium", "grams": 35.0, "note": ""}, {"ingredient_id": "rice_vinegar", "name": "Rice vinegar, unseasoned", "grams": 20.0, "note": ""}, {"ingredient_id": "garlic", "name": "Garlic", "grams": 8.0, "note": ""}, {"ingredient_id": "ginger", "name": "Fresh ginger", "grams": 8.0, "note": ""}, {"ingredient_id": "red_pepper_flakes", "name": "Red pepper flakes", "grams": 2.0, "note": ""}, {"ingredient_id": "monk_fruit_sweetener", "name": "Monk fruit/erythritol sweetener", "grams": 6.0, "note": ""}, {"ingredient_id": "broccoli", "name": "Broccoli", "grams": 300.0, "note": ""}, {"ingredient_id": "olive_oil", "name": "Extra-virgin olive oil", "grams": 20.0, "note": ""}]</t>
        </is>
      </c>
      <c r="N1283" s="2" t="n">
        <v>290</v>
      </c>
      <c r="O1283" s="5" t="n">
        <v>36.1</v>
      </c>
      <c r="P1283" s="5" t="n">
        <v>10.2</v>
      </c>
      <c r="Q1283" s="5" t="n">
        <v>12.3</v>
      </c>
      <c r="R1283" s="5" t="n">
        <v>2.4</v>
      </c>
      <c r="S1283" s="5" t="n">
        <v>9.9</v>
      </c>
      <c r="T1283" s="2" t="n">
        <v>43</v>
      </c>
      <c r="U1283" s="2" t="inlineStr">
        <is>
          <t>low</t>
        </is>
      </c>
      <c r="V1283" s="5" t="n">
        <v>4.2</v>
      </c>
      <c r="W1283" s="2" t="inlineStr">
        <is>
          <t>low</t>
        </is>
      </c>
      <c r="X1283" s="3" t="inlineStr"/>
      <c r="Y1283" s="3" t="inlineStr">
        <is>
          <t>54% of this dish's available carbohydrate comes from ingredients with a published, measured GI; the rest uses conventional placeholders (see Ingredients sheet)</t>
        </is>
      </c>
      <c r="Z1283" s="2" t="n">
        <v>54</v>
      </c>
      <c r="AA1283" s="3" t="inlineStr">
        <is>
          <t>dairy-free, nut-free, low-carb, high-protein</t>
        </is>
      </c>
      <c r="AB1283" s="3" t="inlineStr">
        <is>
          <t>1. Toss the cubed chicken in egg and arrowroot and bake on an oiled tray at 425°F for 15 minutes.
2. Simmer the soy sauce, vinegar, garlic, ginger, pepper flakes and sweetener for 3 minutes.
3. Toss with the chicken and steamed broccoli.</t>
        </is>
      </c>
      <c r="AC1283" s="4" t="inlineStr">
        <is>
          <t>["Toss the cubed chicken in egg and arrowroot and bake on an oiled tray at 425°F for 15 minutes.", "Simmer the soy sauce, vinegar, garlic, ginger, pepper flakes and sweetener for 3 minutes.", "Toss with the chicken and steamed broccoli."]</t>
        </is>
      </c>
    </row>
    <row r="1284" ht="96" customHeight="1">
      <c r="A1284" s="2" t="inlineStr">
        <is>
          <t>DB-1283</t>
        </is>
      </c>
      <c r="B1284" s="3" t="inlineStr">
        <is>
          <t>Orange Chicken with Fresh Juice</t>
        </is>
      </c>
      <c r="C1284" s="4" t="inlineStr">
        <is>
          <t>Poultry</t>
        </is>
      </c>
      <c r="D1284" s="4" t="inlineStr">
        <is>
          <t>Chinese-American</t>
        </is>
      </c>
      <c r="E1284" s="2" t="n">
        <v>4</v>
      </c>
      <c r="F1284" s="2" t="n">
        <v>15</v>
      </c>
      <c r="G1284" s="2" t="n">
        <v>20</v>
      </c>
      <c r="H1284" s="2" t="n">
        <v>35</v>
      </c>
      <c r="I1284" s="4" t="inlineStr">
        <is>
          <t>orange-chicken-with-fresh-juice.jpg</t>
        </is>
      </c>
      <c r="J1284" s="3" t="inlineStr">
        <is>
          <t>Orange Chicken with Fresh Juice, healthy food photography, plated, natural light</t>
        </is>
      </c>
      <c r="K1284" s="4" t="inlineStr"/>
      <c r="L1284" s="3" t="inlineStr">
        <is>
          <t>Chicken breast, skinless — 560 g (19.8 oz)
Orange — 200 g (7.1 oz)
Soy sauce, low sodium — 30 g (1.1 oz)
Rice vinegar, unseasoned — 15 g (0.5 oz)
Garlic — 6 g (0.2 oz)
Fresh ginger — 6 g (0.2 oz)
Arrowroot starch — 20 g (0.7 oz)
Extra-virgin olive oil — 20 g (0.7 oz)
Green onions (scallions) — 20 g (0.7 oz)
Broccoli — 250 g (8.8 oz)</t>
        </is>
      </c>
      <c r="M1284" s="4" t="inlineStr">
        <is>
          <t>[{"ingredient_id": "chicken_breast", "name": "Chicken breast, skinless", "grams": 560.0, "note": ""}, {"ingredient_id": "orange", "name": "Orange", "grams": 200.0, "note": ""}, {"ingredient_id": "soy_sauce", "name": "Soy sauce, low sodium", "grams": 30.0, "note": ""}, {"ingredient_id": "rice_vinegar", "name": "Rice vinegar, unseasoned", "grams": 15.0, "note": ""}, {"ingredient_id": "garlic", "name": "Garlic", "grams": 6.0, "note": ""}, {"ingredient_id": "ginger", "name": "Fresh ginger", "grams": 6.0, "note": ""}, {"ingredient_id": "arrowroot", "name": "Arrowroot starch", "grams": 20.0, "note": ""}, {"ingredient_id": "olive_oil", "name": "Extra-virgin olive oil", "grams": 20.0, "note": ""}, {"ingredient_id": "green_onion", "name": "Green onions (scallions)", "grams": 20.0, "note": ""}, {"ingredient_id": "broccoli", "name": "Broccoli", "grams": 250.0, "note": ""}]</t>
        </is>
      </c>
      <c r="N1284" s="2" t="n">
        <v>284</v>
      </c>
      <c r="O1284" s="5" t="n">
        <v>34.5</v>
      </c>
      <c r="P1284" s="5" t="n">
        <v>9</v>
      </c>
      <c r="Q1284" s="5" t="n">
        <v>16</v>
      </c>
      <c r="R1284" s="5" t="n">
        <v>3.2</v>
      </c>
      <c r="S1284" s="5" t="n">
        <v>12.8</v>
      </c>
      <c r="T1284" s="2" t="n">
        <v>43</v>
      </c>
      <c r="U1284" s="2" t="inlineStr">
        <is>
          <t>low</t>
        </is>
      </c>
      <c r="V1284" s="5" t="n">
        <v>5.5</v>
      </c>
      <c r="W1284" s="2" t="inlineStr">
        <is>
          <t>low</t>
        </is>
      </c>
      <c r="X1284" s="3" t="inlineStr"/>
      <c r="Y1284" s="3" t="inlineStr">
        <is>
          <t>71% of this dish's available carbohydrate comes from ingredients with a published, measured GI; the rest uses conventional placeholders (see Ingredients sheet)</t>
        </is>
      </c>
      <c r="Z1284" s="2" t="n">
        <v>71</v>
      </c>
      <c r="AA1284" s="3" t="inlineStr">
        <is>
          <t>dairy-free, nut-free, low-carb, high-protein</t>
        </is>
      </c>
      <c r="AB1284" s="3" t="inlineStr">
        <is>
          <t>1. Toss the cubed chicken in arrowroot and sear in oil until golden.
2. Simmer the orange juice, soy sauce, vinegar, garlic and ginger to a glaze.
3. Coat the chicken and serve with broccoli and green onion.</t>
        </is>
      </c>
      <c r="AC1284" s="4" t="inlineStr">
        <is>
          <t>["Toss the cubed chicken in arrowroot and sear in oil until golden.", "Simmer the orange juice, soy sauce, vinegar, garlic and ginger to a glaze.", "Coat the chicken and serve with broccoli and green onion."]</t>
        </is>
      </c>
    </row>
    <row r="1285" ht="96" customHeight="1">
      <c r="A1285" s="2" t="inlineStr">
        <is>
          <t>DB-1284</t>
        </is>
      </c>
      <c r="B1285" s="3" t="inlineStr">
        <is>
          <t>Kung Pao Chicken with Peanuts</t>
        </is>
      </c>
      <c r="C1285" s="4" t="inlineStr">
        <is>
          <t>Poultry</t>
        </is>
      </c>
      <c r="D1285" s="4" t="inlineStr">
        <is>
          <t>Chinese-American</t>
        </is>
      </c>
      <c r="E1285" s="2" t="n">
        <v>4</v>
      </c>
      <c r="F1285" s="2" t="n">
        <v>15</v>
      </c>
      <c r="G1285" s="2" t="n">
        <v>12</v>
      </c>
      <c r="H1285" s="2" t="n">
        <v>27</v>
      </c>
      <c r="I1285" s="4" t="inlineStr">
        <is>
          <t>kung-pao-chicken-with-peanuts.jpg</t>
        </is>
      </c>
      <c r="J1285" s="3" t="inlineStr">
        <is>
          <t>Kung Pao Chicken with Peanuts, healthy food photography, plated, natural light</t>
        </is>
      </c>
      <c r="K1285" s="4" t="inlineStr"/>
      <c r="L1285" s="3" t="inlineStr">
        <is>
          <t>Chicken breast, skinless — 500 g (17.6 oz)
Peanuts, dry roasted — 60 g (2.1 oz)
Bell pepper — 200 g (7.1 oz)
Zucchini — 150 g (5.3 oz)
Soy sauce, low sodium — 30 g (1.1 oz)
Rice vinegar, unseasoned — 15 g (0.5 oz)
Garlic — 8 g (0.3 oz)
Fresh ginger — 6 g (0.2 oz)
Red pepper flakes — 2 g (0.1 oz)
Arrowroot starch — 10 g (0.4 oz)
Toasted sesame oil — 8 g (0.3 oz)
Extra-virgin olive oil — 15 g (0.5 oz)</t>
        </is>
      </c>
      <c r="M1285" s="4" t="inlineStr">
        <is>
          <t>[{"ingredient_id": "chicken_breast", "name": "Chicken breast, skinless", "grams": 500.0, "note": ""}, {"ingredient_id": "peanuts", "name": "Peanuts, dry roasted", "grams": 60.0, "note": ""}, {"ingredient_id": "bell_pepper", "name": "Bell pepper", "grams": 200.0, "note": ""}, {"ingredient_id": "zucchini", "name": "Zucchini", "grams": 150.0, "note": ""}, {"ingredient_id": "soy_sauce", "name": "Soy sauce, low sodium", "grams": 30.0, "note": ""}, {"ingredient_id": "rice_vinegar", "name": "Rice vinegar, unseasoned", "grams": 15.0, "note": ""}, {"ingredient_id": "garlic", "name": "Garlic", "grams": 8.0, "note": ""}, {"ingredient_id": "ginger", "name": "Fresh ginger", "grams": 6.0, "note": ""}, {"ingredient_id": "red_pepper_flakes", "name": "Red pepper flakes", "grams": 2.0, "note": ""}, {"ingredient_id": "arrowroot", "name": "Arrowroot starch", "grams": 10.0, "note": ""}, {"ingredient_id": "sesame_oil", "name": "Toasted sesame oil", "grams": 8.0, "note": ""}, {"ingredient_id": "olive_oil", "name": "Extra-virgin olive oil", "grams": 15.0, "note": ""}]</t>
        </is>
      </c>
      <c r="N1285" s="2" t="n">
        <v>327</v>
      </c>
      <c r="O1285" s="5" t="n">
        <v>33.8</v>
      </c>
      <c r="P1285" s="5" t="n">
        <v>16.7</v>
      </c>
      <c r="Q1285" s="5" t="n">
        <v>10.4</v>
      </c>
      <c r="R1285" s="5" t="n">
        <v>3.1</v>
      </c>
      <c r="S1285" s="5" t="n">
        <v>7.3</v>
      </c>
      <c r="T1285" s="2" t="n">
        <v>31</v>
      </c>
      <c r="U1285" s="2" t="inlineStr">
        <is>
          <t>low</t>
        </is>
      </c>
      <c r="V1285" s="5" t="n">
        <v>2.3</v>
      </c>
      <c r="W1285" s="2" t="inlineStr">
        <is>
          <t>low</t>
        </is>
      </c>
      <c r="X1285" s="3" t="inlineStr"/>
      <c r="Y1285" s="3" t="inlineStr">
        <is>
          <t>44% of this dish's available carbohydrate comes from ingredients with a published, measured GI; the rest uses conventional placeholders (see Ingredients sheet)</t>
        </is>
      </c>
      <c r="Z1285" s="2" t="n">
        <v>44</v>
      </c>
      <c r="AA1285" s="3" t="inlineStr">
        <is>
          <t>dairy-free, low-carb, high-protein</t>
        </is>
      </c>
      <c r="AB1285" s="3" t="inlineStr">
        <is>
          <t>1. Sear the chicken in oil.
2. Add the pepper, zucchini, garlic, ginger and pepper flakes.
3. Stir in the soy sauce, vinegar and arrowroot slurry and finish with peanuts and sesame oil.</t>
        </is>
      </c>
      <c r="AC1285" s="4" t="inlineStr">
        <is>
          <t>["Sear the chicken in oil.", "Add the pepper, zucchini, garlic, ginger and pepper flakes.", "Stir in the soy sauce, vinegar and arrowroot slurry and finish with peanuts and sesame oil."]</t>
        </is>
      </c>
    </row>
    <row r="1286" ht="96" customHeight="1">
      <c r="A1286" s="2" t="inlineStr">
        <is>
          <t>DB-1285</t>
        </is>
      </c>
      <c r="B1286" s="3" t="inlineStr">
        <is>
          <t>Sweet and Sour Chicken with Pineapple</t>
        </is>
      </c>
      <c r="C1286" s="4" t="inlineStr">
        <is>
          <t>Poultry</t>
        </is>
      </c>
      <c r="D1286" s="4" t="inlineStr">
        <is>
          <t>Chinese-American</t>
        </is>
      </c>
      <c r="E1286" s="2" t="n">
        <v>4</v>
      </c>
      <c r="F1286" s="2" t="n">
        <v>15</v>
      </c>
      <c r="G1286" s="2" t="n">
        <v>20</v>
      </c>
      <c r="H1286" s="2" t="n">
        <v>35</v>
      </c>
      <c r="I1286" s="4" t="inlineStr">
        <is>
          <t>sweet-and-sour-chicken-with-pineapple.jpg</t>
        </is>
      </c>
      <c r="J1286" s="3" t="inlineStr">
        <is>
          <t>Sweet and Sour Chicken with Pineapple, healthy food photography, plated, natural light</t>
        </is>
      </c>
      <c r="K1286" s="4" t="inlineStr"/>
      <c r="L1286" s="3" t="inlineStr">
        <is>
          <t>Chicken breast, skinless — 500 g (17.6 oz)
Pineapple — 150 g (5.3 oz)
Bell pepper — 200 g (7.1 oz)
Yellow onion — 100 g (3.5 oz)
Tomato paste — 30 g (1.1 oz)
Rice vinegar, unseasoned — 30 g (1.1 oz)
Arrowroot starch — 15 g (0.5 oz)
Monk fruit/erythritol sweetener — 6 g (0.2 oz)
White rice, long-grain, cooked — 300 g (10.6 oz)
Extra-virgin olive oil — 15 g (0.5 oz)</t>
        </is>
      </c>
      <c r="M1286" s="4" t="inlineStr">
        <is>
          <t>[{"ingredient_id": "chicken_breast", "name": "Chicken breast, skinless", "grams": 500.0, "note": ""}, {"ingredient_id": "pineapple", "name": "Pineapple", "grams": 150.0, "note": ""}, {"ingredient_id": "bell_pepper", "name": "Bell pepper", "grams": 200.0, "note": ""}, {"ingredient_id": "onion", "name": "Yellow onion", "grams": 100.0, "note": ""}, {"ingredient_id": "tomato_paste", "name": "Tomato paste", "grams": 30.0, "note": ""}, {"ingredient_id": "rice_vinegar", "name": "Rice vinegar, unseasoned", "grams": 30.0, "note": ""}, {"ingredient_id": "arrowroot", "name": "Arrowroot starch", "grams": 15.0, "note": ""}, {"ingredient_id": "monk_fruit_sweetener", "name": "Monk fruit/erythritol sweetener", "grams": 6.0, "note": ""}, {"ingredient_id": "white_rice", "name": "White rice, long-grain, cooked", "grams": 300.0, "note": ""}, {"ingredient_id": "olive_oil", "name": "Extra-virgin olive oil", "grams": 15.0, "note": ""}]</t>
        </is>
      </c>
      <c r="N1286" s="2" t="n">
        <v>345</v>
      </c>
      <c r="O1286" s="5" t="n">
        <v>31.4</v>
      </c>
      <c r="P1286" s="5" t="n">
        <v>7.5</v>
      </c>
      <c r="Q1286" s="5" t="n">
        <v>36</v>
      </c>
      <c r="R1286" s="5" t="n">
        <v>2.7</v>
      </c>
      <c r="S1286" s="5" t="n">
        <v>33.2</v>
      </c>
      <c r="T1286" s="2" t="n">
        <v>66</v>
      </c>
      <c r="U1286" s="2" t="inlineStr">
        <is>
          <t>medium</t>
        </is>
      </c>
      <c r="V1286" s="5" t="n">
        <v>21.9</v>
      </c>
      <c r="W1286" s="2" t="inlineStr">
        <is>
          <t>high</t>
        </is>
      </c>
      <c r="X1286" s="3" t="inlineStr">
        <is>
          <t>Medium-GI dish: keep to the stated portion and pair with the protein/fat in the recipe; GL per serving is the better guide.</t>
        </is>
      </c>
      <c r="Y1286" s="3" t="inlineStr">
        <is>
          <t>85% of this dish's available carbohydrate comes from ingredients with a published, measured GI; the rest uses conventional placeholders (see Ingredients sheet)</t>
        </is>
      </c>
      <c r="Z1286" s="2" t="n">
        <v>85</v>
      </c>
      <c r="AA1286" s="3" t="inlineStr">
        <is>
          <t>gluten-free, dairy-free, nut-free, high-protein</t>
        </is>
      </c>
      <c r="AB1286" s="3" t="inlineStr">
        <is>
          <t>1. Sear the cubed chicken in oil.
2. Add the pepper and onion, then a sauce of paste, vinegar and sweetener thickened with arrowroot.
3. Fold in the pineapple and serve over rice.</t>
        </is>
      </c>
      <c r="AC1286" s="4" t="inlineStr">
        <is>
          <t>["Sear the cubed chicken in oil.", "Add the pepper and onion, then a sauce of paste, vinegar and sweetener thickened with arrowroot.", "Fold in the pineapple and serve over rice."]</t>
        </is>
      </c>
    </row>
    <row r="1287" ht="96" customHeight="1">
      <c r="A1287" s="2" t="inlineStr">
        <is>
          <t>DB-1286</t>
        </is>
      </c>
      <c r="B1287" s="3" t="inlineStr">
        <is>
          <t>Chicken Lo Mein with Vegetables</t>
        </is>
      </c>
      <c r="C1287" s="4" t="inlineStr">
        <is>
          <t>Poultry</t>
        </is>
      </c>
      <c r="D1287" s="4" t="inlineStr">
        <is>
          <t>Chinese-American</t>
        </is>
      </c>
      <c r="E1287" s="2" t="n">
        <v>4</v>
      </c>
      <c r="F1287" s="2" t="n">
        <v>15</v>
      </c>
      <c r="G1287" s="2" t="n">
        <v>12</v>
      </c>
      <c r="H1287" s="2" t="n">
        <v>27</v>
      </c>
      <c r="I1287" s="4" t="inlineStr">
        <is>
          <t>chicken-lo-mein-with-vegetables.jpg</t>
        </is>
      </c>
      <c r="J1287" s="3" t="inlineStr">
        <is>
          <t>Chicken Lo Mein with Vegetables, healthy food photography, plated, natural light</t>
        </is>
      </c>
      <c r="K1287" s="4" t="inlineStr"/>
      <c r="L1287" s="3" t="inlineStr">
        <is>
          <t>Egg noodles, cooked — 450 g (15.9 oz)
Chicken breast, skinless — 350 g (12.3 oz)
Green cabbage — 200 g (7.1 oz)
Carrot — 100 g (3.5 oz)
Mung bean sprouts — 100 g (3.5 oz)
Soy sauce, low sodium — 35 g (1.2 oz)
Toasted sesame oil — 10 g (0.4 oz)
Garlic — 6 g (0.2 oz)
Fresh ginger — 6 g (0.2 oz)
Green onions (scallions) — 20 g (0.7 oz)
Extra-virgin olive oil — 15 g (0.5 oz)</t>
        </is>
      </c>
      <c r="M1287" s="4" t="inlineStr">
        <is>
          <t>[{"ingredient_id": "egg_noodles", "name": "Egg noodles, cooked", "grams": 450.0, "note": ""}, {"ingredient_id": "chicken_breast", "name": "Chicken breast, skinless", "grams": 350.0,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"green_onion", "name": "Green onions (scallions)", "grams": 20.0, "note": ""}, {"ingredient_id": "olive_oil", "name": "Extra-virgin olive oil", "grams": 15.0, "note": ""}]</t>
        </is>
      </c>
      <c r="N1287" s="2" t="n">
        <v>354</v>
      </c>
      <c r="O1287" s="5" t="n">
        <v>27.3</v>
      </c>
      <c r="P1287" s="5" t="n">
        <v>11</v>
      </c>
      <c r="Q1287" s="5" t="n">
        <v>36.5</v>
      </c>
      <c r="R1287" s="5" t="n">
        <v>4</v>
      </c>
      <c r="S1287" s="5" t="n">
        <v>32.5</v>
      </c>
      <c r="T1287" s="2" t="n">
        <v>54</v>
      </c>
      <c r="U1287" s="2" t="inlineStr">
        <is>
          <t>low</t>
        </is>
      </c>
      <c r="V1287" s="5" t="n">
        <v>17.5</v>
      </c>
      <c r="W1287" s="2" t="inlineStr">
        <is>
          <t>medium</t>
        </is>
      </c>
      <c r="X1287" s="3" t="inlineStr"/>
      <c r="Y1287" s="3" t="inlineStr">
        <is>
          <t>88% of this dish's available carbohydrate comes from ingredients with a published, measured GI; the rest uses conventional placeholders (see Ingredients sheet)</t>
        </is>
      </c>
      <c r="Z1287" s="2" t="n">
        <v>88</v>
      </c>
      <c r="AA1287" s="3" t="inlineStr">
        <is>
          <t>dairy-free, nut-free, high-protein</t>
        </is>
      </c>
      <c r="AB1287" s="3" t="inlineStr">
        <is>
          <t>1. Boil the noodles and drain.
2. Stir-fry the sliced chicken in oil, add the vegetables, garlic and ginger.
3. Toss with the noodles, soy sauce and sesame oil.</t>
        </is>
      </c>
      <c r="AC1287" s="4" t="inlineStr">
        <is>
          <t>["Boil the noodles and drain.", "Stir-fry the sliced chicken in oil, add the vegetables, garlic and ginger.", "Toss with the noodles, soy sauce and sesame oil."]</t>
        </is>
      </c>
    </row>
    <row r="1288" ht="96" customHeight="1">
      <c r="A1288" s="2" t="inlineStr">
        <is>
          <t>DB-1287</t>
        </is>
      </c>
      <c r="B1288" s="3" t="inlineStr">
        <is>
          <t>Shrimp with Snow Peas and Garlic Sauce</t>
        </is>
      </c>
      <c r="C1288" s="4" t="inlineStr">
        <is>
          <t>Seafood</t>
        </is>
      </c>
      <c r="D1288" s="4" t="inlineStr">
        <is>
          <t>Chinese-American</t>
        </is>
      </c>
      <c r="E1288" s="2" t="n">
        <v>4</v>
      </c>
      <c r="F1288" s="2" t="n">
        <v>10</v>
      </c>
      <c r="G1288" s="2" t="n">
        <v>10</v>
      </c>
      <c r="H1288" s="2" t="n">
        <v>20</v>
      </c>
      <c r="I1288" s="4" t="inlineStr">
        <is>
          <t>shrimp-with-snow-peas-and-garlic-sauce.jpg</t>
        </is>
      </c>
      <c r="J1288" s="3" t="inlineStr">
        <is>
          <t>Shrimp with Snow Peas and Garlic Sauce, healthy food photography, plated, natural light</t>
        </is>
      </c>
      <c r="K1288" s="4" t="inlineStr"/>
      <c r="L1288" s="3" t="inlineStr">
        <is>
          <t>Shrimp, peeled — 450 g (15.9 oz)
Sugar snap peas — 250 g (8.8 oz)
Mushrooms (cremini/white) — 150 g (5.3 oz)
Garlic — 12 g (0.4 oz)
Soy sauce, low sodium — 25 g (0.9 oz)
Rice vinegar, unseasoned — 10 g (0.4 oz)
Arrowroot starch — 8 g (0.3 oz)
Toasted sesame oil — 8 g (0.3 oz)
Extra-virgin olive oil — 15 g (0.5 oz)</t>
        </is>
      </c>
      <c r="M1288" s="4" t="inlineStr">
        <is>
          <t>[{"ingredient_id": "shrimp", "name": "Shrimp, peeled", "grams": 450.0, "note": ""}, {"ingredient_id": "snap_peas", "name": "Sugar snap peas", "grams": 250.0, "note": ""}, {"ingredient_id": "mushrooms", "name": "Mushrooms (cremini/white)", "grams": 150.0, "note": ""}, {"ingredient_id": "garlic", "name": "Garlic", "grams": 12.0, "note": ""}, {"ingredient_id": "soy_sauce", "name": "Soy sauce, low sodium", "grams": 25.0, "note": ""}, {"ingredient_id": "rice_vinegar", "name": "Rice vinegar, unseasoned", "grams": 10.0, "note": ""}, {"ingredient_id": "arrowroot", "name": "Arrowroot starch", "grams": 8.0, "note": ""}, {"ingredient_id": "sesame_oil", "name": "Toasted sesame oil", "grams": 8.0, "note": ""}, {"ingredient_id": "olive_oil", "name": "Extra-virgin olive oil", "grams": 15.0, "note": ""}]</t>
        </is>
      </c>
      <c r="N1288" s="2" t="n">
        <v>196</v>
      </c>
      <c r="O1288" s="5" t="n">
        <v>26.1</v>
      </c>
      <c r="P1288" s="5" t="n">
        <v>6.6</v>
      </c>
      <c r="Q1288" s="5" t="n">
        <v>9</v>
      </c>
      <c r="R1288" s="5" t="n">
        <v>2.2</v>
      </c>
      <c r="S1288" s="5" t="n">
        <v>6.8</v>
      </c>
      <c r="T1288" s="2" t="n">
        <v>30</v>
      </c>
      <c r="U1288" s="2" t="inlineStr">
        <is>
          <t>low</t>
        </is>
      </c>
      <c r="V1288" s="5" t="n">
        <v>2</v>
      </c>
      <c r="W1288" s="2" t="inlineStr">
        <is>
          <t>low</t>
        </is>
      </c>
      <c r="X1288" s="3" t="inlineStr"/>
      <c r="Y1288" s="3" t="inlineStr">
        <is>
          <t>25% of this dish's available carbohydrate comes from ingredients with a published, measured GI; the rest uses conventional placeholders (see Ingredients sheet)</t>
        </is>
      </c>
      <c r="Z1288" s="2" t="n">
        <v>25</v>
      </c>
      <c r="AA1288" s="3" t="inlineStr">
        <is>
          <t>pescatarian, dairy-free, nut-free, low-carb, high-protein</t>
        </is>
      </c>
      <c r="AB1288" s="3" t="inlineStr">
        <is>
          <t>1. Sear the shrimp in oil and set aside.
2. Stir-fry the peas, mushrooms and garlic.
3. Add the soy sauce, vinegar and arrowroot slurry and return the shrimp.</t>
        </is>
      </c>
      <c r="AC1288" s="4" t="inlineStr">
        <is>
          <t>["Sear the shrimp in oil and set aside.", "Stir-fry the peas, mushrooms and garlic.", "Add the soy sauce, vinegar and arrowroot slurry and return the shrimp."]</t>
        </is>
      </c>
    </row>
    <row r="1289" ht="96" customHeight="1">
      <c r="A1289" s="2" t="inlineStr">
        <is>
          <t>DB-1288</t>
        </is>
      </c>
      <c r="B1289" s="3" t="inlineStr">
        <is>
          <t>Mongolian-Style Beef with Scallions</t>
        </is>
      </c>
      <c r="C1289" s="4" t="inlineStr">
        <is>
          <t>Beef, Pork &amp; Lamb</t>
        </is>
      </c>
      <c r="D1289" s="4" t="inlineStr">
        <is>
          <t>Chinese-American</t>
        </is>
      </c>
      <c r="E1289" s="2" t="n">
        <v>4</v>
      </c>
      <c r="F1289" s="2" t="n">
        <v>15</v>
      </c>
      <c r="G1289" s="2" t="n">
        <v>10</v>
      </c>
      <c r="H1289" s="2" t="n">
        <v>25</v>
      </c>
      <c r="I1289" s="4" t="inlineStr">
        <is>
          <t>mongolian-style-beef-with-scallions.jpg</t>
        </is>
      </c>
      <c r="J1289" s="3" t="inlineStr">
        <is>
          <t>Mongolian-Style Beef with Scallions, healthy food photography, plated, natural light</t>
        </is>
      </c>
      <c r="K1289" s="4" t="inlineStr"/>
      <c r="L1289" s="3" t="inlineStr">
        <is>
          <t>Flank steak — 500 g (17.6 oz)
Green onions (scallions) — 100 g (3.5 oz)
Soy sauce, low sodium — 35 g (1.2 oz)
Garlic — 8 g (0.3 oz)
Fresh ginger — 8 g (0.3 oz)
Arrowroot starch — 15 g (0.5 oz)
Monk fruit/erythritol sweetener — 5 g (0.2 oz)
Extra-virgin olive oil — 20 g (0.7 oz)
Cauliflower rice — 300 g (10.6 oz)</t>
        </is>
      </c>
      <c r="M1289" s="4" t="inlineStr">
        <is>
          <t>[{"ingredient_id": "flank_steak", "name": "Flank steak", "grams": 500.0, "note": ""}, {"ingredient_id": "green_onion", "name": "Green onions (scallions)", "grams": 100.0, "note": ""}, {"ingredient_id": "soy_sauce", "name": "Soy sauce, low sodium", "grams": 35.0, "note": ""}, {"ingredient_id": "garlic", "name": "Garlic", "grams": 8.0, "note": ""}, {"ingredient_id": "ginger", "name": "Fresh ginger", "grams": 8.0, "note": ""}, {"ingredient_id": "arrowroot", "name": "Arrowroot starch", "grams": 15.0, "note": ""}, {"ingredient_id": "monk_fruit_sweetener", "name": "Monk fruit/erythritol sweetener", "grams": 5.0, "note": ""}, {"ingredient_id": "olive_oil", "name": "Extra-virgin olive oil", "grams": 20.0, "note": ""}, {"ingredient_id": "cauliflower_rice", "name": "Cauliflower rice", "grams": 300.0, "note": ""}]</t>
        </is>
      </c>
      <c r="N1289" s="2" t="n">
        <v>281</v>
      </c>
      <c r="O1289" s="5" t="n">
        <v>29</v>
      </c>
      <c r="P1289" s="5" t="n">
        <v>14.1</v>
      </c>
      <c r="Q1289" s="5" t="n">
        <v>10.3</v>
      </c>
      <c r="R1289" s="5" t="n">
        <v>2.4</v>
      </c>
      <c r="S1289" s="5" t="n">
        <v>7.9</v>
      </c>
      <c r="T1289" s="2" t="n">
        <v>36</v>
      </c>
      <c r="U1289" s="2" t="inlineStr">
        <is>
          <t>low</t>
        </is>
      </c>
      <c r="V1289" s="5" t="n">
        <v>2.8</v>
      </c>
      <c r="W1289" s="2" t="inlineStr">
        <is>
          <t>low</t>
        </is>
      </c>
      <c r="X1289" s="3" t="inlineStr"/>
      <c r="Y1289" s="3" t="inlineStr">
        <is>
          <t>40% of this dish's available carbohydrate comes from ingredients with a published, measured GI; the rest uses conventional placeholders (see Ingredients sheet)</t>
        </is>
      </c>
      <c r="Z1289" s="2" t="n">
        <v>40</v>
      </c>
      <c r="AA1289" s="3" t="inlineStr">
        <is>
          <t>dairy-free, nut-free, low-carb, high-protein</t>
        </is>
      </c>
      <c r="AB1289" s="3" t="inlineStr">
        <is>
          <t>1. Slice the steak thin and toss in arrowroot.
2. Sear in oil in two batches.
3. Add garlic, ginger, soy sauce and sweetener, then the green onion.
4. Serve over cauliflower rice.</t>
        </is>
      </c>
      <c r="AC1289" s="4" t="inlineStr">
        <is>
          <t>["Slice the steak thin and toss in arrowroot.", "Sear in oil in two batches.", "Add garlic, ginger, soy sauce and sweetener, then the green onion.", "Serve over cauliflower rice."]</t>
        </is>
      </c>
    </row>
    <row r="1290" ht="96" customHeight="1">
      <c r="A1290" s="2" t="inlineStr">
        <is>
          <t>DB-1289</t>
        </is>
      </c>
      <c r="B1290" s="3" t="inlineStr">
        <is>
          <t>Egg Foo Young</t>
        </is>
      </c>
      <c r="C1290" s="4" t="inlineStr">
        <is>
          <t>Breakfast</t>
        </is>
      </c>
      <c r="D1290" s="4" t="inlineStr">
        <is>
          <t>Chinese-American</t>
        </is>
      </c>
      <c r="E1290" s="2" t="n">
        <v>3</v>
      </c>
      <c r="F1290" s="2" t="n">
        <v>10</v>
      </c>
      <c r="G1290" s="2" t="n">
        <v>12</v>
      </c>
      <c r="H1290" s="2" t="n">
        <v>22</v>
      </c>
      <c r="I1290" s="4" t="inlineStr">
        <is>
          <t>egg-foo-young.jpg</t>
        </is>
      </c>
      <c r="J1290" s="3" t="inlineStr">
        <is>
          <t>Egg Foo Young, healthy food photography, plated, natural light</t>
        </is>
      </c>
      <c r="K1290" s="4" t="inlineStr"/>
      <c r="L1290" s="3" t="inlineStr">
        <is>
          <t>Egg, large (50 g each) — 300 g (10.6 oz)
Mung bean sprouts — 100 g (3.5 oz)
Shrimp, peeled — 150 g (5.3 oz)
Green onions (scallions) — 30 g (1.1 oz)
Mushrooms (cremini/white) — 80 g (2.8 oz)
Extra-virgin olive oil — 15 g (0.5 oz)
Chicken broth, low sodium — 150 g (5.3 oz)
Soy sauce, low sodium — 15 g (0.5 oz)
Arrowroot starch — 6 g (0.2 oz)</t>
        </is>
      </c>
      <c r="M1290" s="4" t="inlineStr">
        <is>
          <t>[{"ingredient_id": "egg", "name": "Egg, large (50 g each)", "grams": 300.0, "note": ""}, {"ingredient_id": "bean_sprouts", "name": "Mung bean sprouts", "grams": 100.0, "note": ""}, {"ingredient_id": "shrimp", "name": "Shrimp, peeled", "grams": 150.0, "note": ""}, {"ingredient_id": "green_onion", "name": "Green onions (scallions)", "grams": 30.0, "note": ""}, {"ingredient_id": "mushrooms", "name": "Mushrooms (cremini/white)", "grams": 80.0, "note": ""}, {"ingredient_id": "olive_oil", "name": "Extra-virgin olive oil", "grams": 15.0, "note": ""}, {"ingredient_id": "chicken_broth", "name": "Chicken broth, low sodium", "grams": 150.0, "note": ""}, {"ingredient_id": "soy_sauce", "name": "Soy sauce, low sodium", "grams": 15.0, "note": ""}, {"ingredient_id": "arrowroot", "name": "Arrowroot starch", "grams": 6.0, "note": ""}]</t>
        </is>
      </c>
      <c r="N1290" s="2" t="n">
        <v>262</v>
      </c>
      <c r="O1290" s="5" t="n">
        <v>25.5</v>
      </c>
      <c r="P1290" s="5" t="n">
        <v>15</v>
      </c>
      <c r="Q1290" s="5" t="n">
        <v>6.6</v>
      </c>
      <c r="R1290" s="5" t="n">
        <v>1.2</v>
      </c>
      <c r="S1290" s="5" t="n">
        <v>5.3</v>
      </c>
      <c r="T1290" s="2" t="n">
        <v>28</v>
      </c>
      <c r="U1290" s="2" t="inlineStr">
        <is>
          <t>low</t>
        </is>
      </c>
      <c r="V1290" s="5" t="n">
        <v>1.5</v>
      </c>
      <c r="W1290" s="2" t="inlineStr">
        <is>
          <t>low</t>
        </is>
      </c>
      <c r="X1290" s="3" t="inlineStr"/>
      <c r="Y1290" s="3" t="inlineStr">
        <is>
          <t>32% of this dish's available carbohydrate comes from ingredients with a published, measured GI; the rest uses conventional placeholders (see Ingredients sheet)</t>
        </is>
      </c>
      <c r="Z1290" s="2" t="n">
        <v>32</v>
      </c>
      <c r="AA1290" s="3" t="inlineStr">
        <is>
          <t>pescatarian, dairy-free, nut-free, low-carb, high-protein</t>
        </is>
      </c>
      <c r="AB1290" s="3" t="inlineStr">
        <is>
          <t>1. Mix the beaten eggs with sprouts, shrimp, green onion and mushrooms.
2. Pan-fry small patties in oil, 2 minutes a side.
3. Simmer the broth, soy sauce and arrowroot into a gravy and spoon over.</t>
        </is>
      </c>
      <c r="AC1290" s="4" t="inlineStr">
        <is>
          <t>["Mix the beaten eggs with sprouts, shrimp, green onion and mushrooms.", "Pan-fry small patties in oil, 2 minutes a side.", "Simmer the broth, soy sauce and arrowroot into a gravy and spoon over."]</t>
        </is>
      </c>
    </row>
    <row r="1291" ht="96" customHeight="1">
      <c r="A1291" s="2" t="inlineStr">
        <is>
          <t>DB-1290</t>
        </is>
      </c>
      <c r="B1291" s="3" t="inlineStr">
        <is>
          <t>Moo Shu Chicken Lettuce Wraps</t>
        </is>
      </c>
      <c r="C1291" s="4" t="inlineStr">
        <is>
          <t>Sandwiches &amp; Wraps</t>
        </is>
      </c>
      <c r="D1291" s="4" t="inlineStr">
        <is>
          <t>Chinese-American</t>
        </is>
      </c>
      <c r="E1291" s="2" t="n">
        <v>4</v>
      </c>
      <c r="F1291" s="2" t="n">
        <v>15</v>
      </c>
      <c r="G1291" s="2" t="n">
        <v>10</v>
      </c>
      <c r="H1291" s="2" t="n">
        <v>25</v>
      </c>
      <c r="I1291" s="4" t="inlineStr">
        <is>
          <t>moo-shu-chicken-lettuce-wraps.jpg</t>
        </is>
      </c>
      <c r="J1291" s="3" t="inlineStr">
        <is>
          <t>Moo Shu Chicken Lettuce Wraps, healthy food photography, plated, natural light</t>
        </is>
      </c>
      <c r="K1291" s="4" t="inlineStr"/>
      <c r="L1291" s="3" t="inlineStr">
        <is>
          <t>Chicken breast, skinless — 400 g (14.1 oz)
Napa cabbage — 250 g (8.8 oz)
Shiitake mushrooms — 100 g (3.5 oz)
Egg, large (50 g each) — 100 g (3.5 oz)
Carrot — 60 g (2.1 oz)
Soy sauce, low sodium — 25 g (0.9 oz)
Toasted sesame oil — 8 g (0.3 oz)
Fresh ginger — 6 g (0.2 oz)
Butter lettuce — 150 g (5.3 oz)
Extra-virgin olive oil — 15 g (0.5 oz)</t>
        </is>
      </c>
      <c r="M1291" s="4" t="inlineStr">
        <is>
          <t>[{"ingredient_id": "chicken_breast", "name": "Chicken breast, skinless", "grams": 400.0, "note": ""}, {"ingredient_id": "napa_cabbage", "name": "Napa cabbage", "grams": 250.0, "note": ""}, {"ingredient_id": "shiitake", "name": "Shiitake mushrooms", "grams": 100.0, "note": ""}, {"ingredient_id": "egg", "name": "Egg, large (50 g each)", "grams": 100.0, "note": ""}, {"ingredient_id": "carrot", "name": "Carrot", "grams": 60.0, "note": ""}, {"ingredient_id": "soy_sauce", "name": "Soy sauce, low sodium", "grams": 25.0, "note": ""}, {"ingredient_id": "sesame_oil", "name": "Toasted sesame oil", "grams": 8.0, "note": ""}, {"ingredient_id": "ginger", "name": "Fresh ginger", "grams": 6.0, "note": ""}, {"ingredient_id": "butter_lettuce", "name": "Butter lettuce", "grams": 150.0, "note": ""}, {"ingredient_id": "olive_oil", "name": "Extra-virgin olive oil", "grams": 15.0, "note": ""}]</t>
        </is>
      </c>
      <c r="N1291" s="2" t="n">
        <v>241</v>
      </c>
      <c r="O1291" s="5" t="n">
        <v>28.1</v>
      </c>
      <c r="P1291" s="5" t="n">
        <v>11.1</v>
      </c>
      <c r="Q1291" s="5" t="n">
        <v>6.7</v>
      </c>
      <c r="R1291" s="5" t="n">
        <v>2.3</v>
      </c>
      <c r="S1291" s="5" t="n">
        <v>4.4</v>
      </c>
      <c r="T1291" s="2" t="n">
        <v>20</v>
      </c>
      <c r="U1291" s="2" t="inlineStr">
        <is>
          <t>low</t>
        </is>
      </c>
      <c r="V1291" s="5" t="n">
        <v>0.9</v>
      </c>
      <c r="W1291" s="2" t="inlineStr">
        <is>
          <t>low</t>
        </is>
      </c>
      <c r="X1291" s="3" t="inlineStr">
        <is>
          <t>Negligible carbohydrate (&lt;5 g net/serving): GI has little practical meaning, glycemic load is what matters.</t>
        </is>
      </c>
      <c r="Y1291" s="3" t="inlineStr">
        <is>
          <t>23% of this dish's available carbohydrate comes from ingredients with a published, measured GI; the rest uses conventional placeholders (see Ingredients sheet)</t>
        </is>
      </c>
      <c r="Z1291" s="2" t="n">
        <v>23</v>
      </c>
      <c r="AA1291" s="3" t="inlineStr">
        <is>
          <t>dairy-free, nut-free, low-carb, high-protein</t>
        </is>
      </c>
      <c r="AB1291" s="3" t="inlineStr">
        <is>
          <t>1. Stir-fry the sliced chicken in oil.
2. Add the vegetables and ginger, then push aside and scramble the eggs.
3. Season with soy sauce and sesame oil and spoon into lettuce.</t>
        </is>
      </c>
      <c r="AC1291" s="4" t="inlineStr">
        <is>
          <t>["Stir-fry the sliced chicken in oil.", "Add the vegetables and ginger, then push aside and scramble the eggs.", "Season with soy sauce and sesame oil and spoon into lettuce."]</t>
        </is>
      </c>
    </row>
    <row r="1292" ht="96" customHeight="1">
      <c r="A1292" s="2" t="inlineStr">
        <is>
          <t>DB-1291</t>
        </is>
      </c>
      <c r="B1292" s="3" t="inlineStr">
        <is>
          <t>Vegetable Fried Rice with Egg</t>
        </is>
      </c>
      <c r="C1292" s="4" t="inlineStr">
        <is>
          <t>Vegetarian &amp; Vegan</t>
        </is>
      </c>
      <c r="D1292" s="4" t="inlineStr">
        <is>
          <t>Chinese-American</t>
        </is>
      </c>
      <c r="E1292" s="2" t="n">
        <v>4</v>
      </c>
      <c r="F1292" s="2" t="n">
        <v>10</v>
      </c>
      <c r="G1292" s="2" t="n">
        <v>10</v>
      </c>
      <c r="H1292" s="2" t="n">
        <v>20</v>
      </c>
      <c r="I1292" s="4" t="inlineStr">
        <is>
          <t>vegetable-fried-rice-with-egg.jpg</t>
        </is>
      </c>
      <c r="J1292" s="3" t="inlineStr">
        <is>
          <t>Vegetable Fried Rice with Egg, healthy food photography, plated, natural light</t>
        </is>
      </c>
      <c r="K1292" s="4" t="inlineStr"/>
      <c r="L1292" s="3" t="inlineStr">
        <is>
          <t>White rice, long-grain, cooked — 480 g (16.9 oz)
Egg, large (50 g each) — 150 g (5.3 oz)
Green peas — 100 g (3.5 oz)
Carrot — 80 g (2.8 oz)
Green onions (scallions) — 30 g (1.1 oz)
Soy sauce, low sodium — 30 g (1.1 oz)
Toasted sesame oil — 8 g (0.3 oz)
Extra-virgin olive oil — 15 g (0.5 oz)
Garlic — 5 g (0.2 oz)</t>
        </is>
      </c>
      <c r="M1292" s="4" t="inlineStr">
        <is>
          <t>[{"ingredient_id": "white_rice", "name": "White rice, long-grain, cooked", "grams": 480.0, "note": ""}, {"ingredient_id": "egg", "name": "Egg, large (50 g each)", "grams": 150.0,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8.0, "note": ""}, {"ingredient_id": "olive_oil", "name": "Extra-virgin olive oil", "grams": 15.0, "note": ""}, {"ingredient_id": "garlic", "name": "Garlic", "grams": 5.0, "note": ""}]</t>
        </is>
      </c>
      <c r="N1292" s="2" t="n">
        <v>296</v>
      </c>
      <c r="O1292" s="5" t="n">
        <v>10.3</v>
      </c>
      <c r="P1292" s="5" t="n">
        <v>9.800000000000001</v>
      </c>
      <c r="Q1292" s="5" t="n">
        <v>40.6</v>
      </c>
      <c r="R1292" s="5" t="n">
        <v>2.7</v>
      </c>
      <c r="S1292" s="5" t="n">
        <v>37.9</v>
      </c>
      <c r="T1292" s="2" t="n">
        <v>71</v>
      </c>
      <c r="U1292" s="2" t="inlineStr">
        <is>
          <t>high</t>
        </is>
      </c>
      <c r="V1292" s="5" t="n">
        <v>26.9</v>
      </c>
      <c r="W1292" s="2" t="inlineStr">
        <is>
          <t>high</t>
        </is>
      </c>
      <c r="X1292" s="3" t="inlineStr">
        <is>
          <t>Medium-GI dish: keep to the stated portion and pair with the protein/fat in the recipe; GL per serving is the better guide.</t>
        </is>
      </c>
      <c r="Y1292" s="3" t="inlineStr">
        <is>
          <t>97% of this dish's available carbohydrate comes from ingredients with a published, measured GI; the rest uses conventional placeholders (see Ingredients sheet)</t>
        </is>
      </c>
      <c r="Z1292" s="2" t="n">
        <v>97</v>
      </c>
      <c r="AA1292" s="3" t="inlineStr">
        <is>
          <t>vegetarian, dairy-free, nut-free</t>
        </is>
      </c>
      <c r="AB1292" s="3" t="inlineStr">
        <is>
          <t>1. Stir-fry garlic, carrot and peas in oil.
2. Scramble the eggs in the pan.
3. Add the cold rice, soy sauce and sesame oil and finish with green onion.</t>
        </is>
      </c>
      <c r="AC1292" s="4" t="inlineStr">
        <is>
          <t>["Stir-fry garlic, carrot and peas in oil.", "Scramble the eggs in the pan.", "Add the cold rice, soy sauce and sesame oil and finish with green onion."]</t>
        </is>
      </c>
    </row>
    <row r="1293" ht="96" customHeight="1">
      <c r="A1293" s="2" t="inlineStr">
        <is>
          <t>DB-1292</t>
        </is>
      </c>
      <c r="B1293" s="3" t="inlineStr">
        <is>
          <t>Pork and Cabbage Stir-Fry</t>
        </is>
      </c>
      <c r="C1293" s="4" t="inlineStr">
        <is>
          <t>Beef, Pork &amp; Lamb</t>
        </is>
      </c>
      <c r="D1293" s="4" t="inlineStr">
        <is>
          <t>Chinese-American</t>
        </is>
      </c>
      <c r="E1293" s="2" t="n">
        <v>4</v>
      </c>
      <c r="F1293" s="2" t="n">
        <v>10</v>
      </c>
      <c r="G1293" s="2" t="n">
        <v>12</v>
      </c>
      <c r="H1293" s="2" t="n">
        <v>22</v>
      </c>
      <c r="I1293" s="4" t="inlineStr">
        <is>
          <t>pork-and-cabbage-stir-fry.jpg</t>
        </is>
      </c>
      <c r="J1293" s="3" t="inlineStr">
        <is>
          <t>Pork and Cabbage Stir-Fry, healthy food photography, plated, natural light</t>
        </is>
      </c>
      <c r="K1293" s="4" t="inlineStr"/>
      <c r="L1293" s="3" t="inlineStr">
        <is>
          <t>Ground pork, lean — 450 g (15.9 oz)
Green cabbage — 400 g (14.1 oz)
Carrot — 80 g (2.8 oz)
Soy sauce, low sodium — 30 g (1.1 oz)
Garlic — 8 g (0.3 oz)
Fresh ginger — 8 g (0.3 oz)
Toasted sesame oil — 8 g (0.3 oz)
Green onions (scallions) — 20 g (0.7 oz)
Extra-virgin olive oil — 10 g (0.4 oz)</t>
        </is>
      </c>
      <c r="M1293" s="4" t="inlineStr">
        <is>
          <t>[{"ingredient_id": "ground_pork", "name": "Ground pork, lean", "grams": 450.0, "note": ""}, {"ingredient_id": "cabbage", "name": "Green cabbage", "grams": 400.0, "note": ""}, {"ingredient_id": "carrot", "name": "Carrot", "grams": 80.0, "note": ""}, {"ingredient_id": "soy_sauce", "name": "Soy sauce, low sodium", "grams": 30.0, "note": ""}, {"ingredient_id": "garlic", "name": "Garlic", "grams": 8.0, "note": ""}, {"ingredient_id": "ginger", "name": "Fresh ginger", "grams": 8.0, "note": ""}, {"ingredient_id": "sesame_oil", "name": "Toasted sesame oil", "grams": 8.0, "note": ""}, {"ingredient_id": "green_onion", "name": "Green onions (scallions)", "grams": 20.0, "note": ""}, {"ingredient_id": "olive_oil", "name": "Extra-virgin olive oil", "grams": 10.0, "note": ""}]</t>
        </is>
      </c>
      <c r="N1293" s="2" t="n">
        <v>291</v>
      </c>
      <c r="O1293" s="5" t="n">
        <v>23.7</v>
      </c>
      <c r="P1293" s="5" t="n">
        <v>18.2</v>
      </c>
      <c r="Q1293" s="5" t="n">
        <v>9.5</v>
      </c>
      <c r="R1293" s="5" t="n">
        <v>3.3</v>
      </c>
      <c r="S1293" s="5" t="n">
        <v>6.1</v>
      </c>
      <c r="T1293" s="2" t="n">
        <v>22</v>
      </c>
      <c r="U1293" s="2" t="inlineStr">
        <is>
          <t>low</t>
        </is>
      </c>
      <c r="V1293" s="5" t="n">
        <v>1.4</v>
      </c>
      <c r="W1293" s="2" t="inlineStr">
        <is>
          <t>low</t>
        </is>
      </c>
      <c r="X1293" s="3" t="inlineStr"/>
      <c r="Y1293" s="3" t="inlineStr">
        <is>
          <t>22% of this dish's available carbohydrate comes from ingredients with a published, measured GI; the rest uses conventional placeholders (see Ingredients sheet)</t>
        </is>
      </c>
      <c r="Z1293" s="2" t="n">
        <v>22</v>
      </c>
      <c r="AA1293" s="3" t="inlineStr">
        <is>
          <t>dairy-free, nut-free, low-carb</t>
        </is>
      </c>
      <c r="AB1293" s="3" t="inlineStr">
        <is>
          <t>1. Brown the pork with garlic and ginger in oil.
2. Add the cabbage and carrot and stir-fry 5 minutes.
3. Season with soy sauce and sesame oil and top with green onion.</t>
        </is>
      </c>
      <c r="AC1293" s="4" t="inlineStr">
        <is>
          <t>["Brown the pork with garlic and ginger in oil.", "Add the cabbage and carrot and stir-fry 5 minutes.", "Season with soy sauce and sesame oil and top with green onion."]</t>
        </is>
      </c>
    </row>
    <row r="1294" ht="96" customHeight="1">
      <c r="A1294" s="2" t="inlineStr">
        <is>
          <t>DB-1293</t>
        </is>
      </c>
      <c r="B1294" s="3" t="inlineStr">
        <is>
          <t>Chicken Marsala</t>
        </is>
      </c>
      <c r="C1294" s="4" t="inlineStr">
        <is>
          <t>Poultry</t>
        </is>
      </c>
      <c r="D1294" s="4" t="inlineStr">
        <is>
          <t>Italian</t>
        </is>
      </c>
      <c r="E1294" s="2" t="n">
        <v>4</v>
      </c>
      <c r="F1294" s="2" t="n">
        <v>10</v>
      </c>
      <c r="G1294" s="2" t="n">
        <v>25</v>
      </c>
      <c r="H1294" s="2" t="n">
        <v>35</v>
      </c>
      <c r="I1294" s="4" t="inlineStr">
        <is>
          <t>chicken-marsala.jpg</t>
        </is>
      </c>
      <c r="J1294" s="3" t="inlineStr">
        <is>
          <t>Chicken Marsala, healthy food photography, plated, natural light</t>
        </is>
      </c>
      <c r="K1294" s="4" t="inlineStr"/>
      <c r="L1294" s="3" t="inlineStr">
        <is>
          <t>Chicken breast, skinless — 560 g (19.8 oz)
Mushrooms (cremini/white) — 300 g (10.6 oz)
Dry white wine (cooking) — 100 g (3.5 oz)
Chicken broth, low sodium — 150 g (5.3 oz)
Arrowroot starch — 10 g (0.4 oz)
Garlic — 6 g (0.2 oz)
Butter — 20 g (0.7 oz)
Fresh parsley — 5 g (0.2 oz)
Extra-virgin olive oil — 10 g (0.4 oz)</t>
        </is>
      </c>
      <c r="M1294" s="4" t="inlineStr">
        <is>
          <t>[{"ingredient_id": "chicken_breast", "name": "Chicken breast, skinless", "grams": 560.0, "note": ""}, {"ingredient_id": "mushrooms", "name": "Mushrooms (cremini/white)", "grams": 300.0, "note": ""}, {"ingredient_id": "white_wine", "name": "Dry white wine (cooking)", "grams": 100.0, "note": ""}, {"ingredient_id": "chicken_broth", "name": "Chicken broth, low sodium", "grams": 150.0, "note": ""}, {"ingredient_id": "arrowroot", "name": "Arrowroot starch", "grams": 10.0, "note": ""}, {"ingredient_id": "garlic", "name": "Garlic", "grams": 6.0, "note": ""}, {"ingredient_id": "butter", "name": "Butter", "grams": 20.0, "note": ""}, {"ingredient_id": "parsley", "name": "Fresh parsley", "grams": 5.0, "note": ""}, {"ingredient_id": "olive_oil", "name": "Extra-virgin olive oil", "grams": 10.0, "note": ""}]</t>
        </is>
      </c>
      <c r="N1294" s="2" t="n">
        <v>277</v>
      </c>
      <c r="O1294" s="5" t="n">
        <v>34.4</v>
      </c>
      <c r="P1294" s="5" t="n">
        <v>10.5</v>
      </c>
      <c r="Q1294" s="5" t="n">
        <v>6.1</v>
      </c>
      <c r="R1294" s="5" t="n">
        <v>0.9</v>
      </c>
      <c r="S1294" s="5" t="n">
        <v>5.2</v>
      </c>
      <c r="T1294" s="2" t="n">
        <v>34</v>
      </c>
      <c r="U1294" s="2" t="inlineStr">
        <is>
          <t>low</t>
        </is>
      </c>
      <c r="V1294" s="5" t="n">
        <v>1.8</v>
      </c>
      <c r="W1294" s="2" t="inlineStr">
        <is>
          <t>low</t>
        </is>
      </c>
      <c r="X1294" s="3" t="inlineStr"/>
      <c r="Y1294" s="3" t="inlineStr">
        <is>
          <t>41% of this dish's available carbohydrate comes from ingredients with a published, measured GI; the rest uses conventional placeholders (see Ingredients sheet)</t>
        </is>
      </c>
      <c r="Z1294" s="2" t="n">
        <v>41</v>
      </c>
      <c r="AA1294" s="3" t="inlineStr">
        <is>
          <t>gluten-free, nut-free, low-carb, high-protein</t>
        </is>
      </c>
      <c r="AB1294" s="3" t="inlineStr">
        <is>
          <t>1. Dust the chicken with arrowroot and sear in oil.
2. Brown the mushrooms with garlic in butter.
3. Add wine and broth, return the chicken and simmer 10 minutes.</t>
        </is>
      </c>
      <c r="AC1294" s="4" t="inlineStr">
        <is>
          <t>["Dust the chicken with arrowroot and sear in oil.", "Brown the mushrooms with garlic in butter.", "Add wine and broth, return the chicken and simmer 10 minutes."]</t>
        </is>
      </c>
    </row>
    <row r="1295" ht="96" customHeight="1">
      <c r="A1295" s="2" t="inlineStr">
        <is>
          <t>DB-1294</t>
        </is>
      </c>
      <c r="B1295" s="3" t="inlineStr">
        <is>
          <t>Spaghetti Carbonara</t>
        </is>
      </c>
      <c r="C1295" s="4" t="inlineStr">
        <is>
          <t>Beef, Pork &amp; Lamb</t>
        </is>
      </c>
      <c r="D1295" s="4" t="inlineStr">
        <is>
          <t>Italian</t>
        </is>
      </c>
      <c r="E1295" s="2" t="n">
        <v>4</v>
      </c>
      <c r="F1295" s="2" t="n">
        <v>10</v>
      </c>
      <c r="G1295" s="2" t="n">
        <v>15</v>
      </c>
      <c r="H1295" s="2" t="n">
        <v>25</v>
      </c>
      <c r="I1295" s="4" t="inlineStr">
        <is>
          <t>spaghetti-carbonara.jpg</t>
        </is>
      </c>
      <c r="J1295" s="3" t="inlineStr">
        <is>
          <t>Spaghetti Carbonara, healthy food photography, plated, natural light</t>
        </is>
      </c>
      <c r="K1295" s="4" t="inlineStr"/>
      <c r="L1295" s="3" t="inlineStr">
        <is>
          <t>White pasta, cooked al dente — 480 g (16.9 oz)
Egg, large (50 g each) — 150 g (5.3 oz)
Parmesan, grated — 60 g (2.1 oz)
Bacon — 70 g (2.5 oz)
Garlic — 4 g (0.1 oz)
Black pepper — 2 g (0.1 oz)</t>
        </is>
      </c>
      <c r="M1295" s="4" t="inlineStr">
        <is>
          <t>[{"ingredient_id": "white_pasta", "name": "White pasta, cooked al dente", "grams": 480.0, "note": ""}, {"ingredient_id": "egg", "name": "Egg, large (50 g each)", "grams": 150.0, "note": ""}, {"ingredient_id": "parmesan", "name": "Parmesan, grated", "grams": 60.0, "note": ""}, {"ingredient_id": "bacon", "name": "Bacon", "grams": 70.0, "note": ""}, {"ingredient_id": "garlic", "name": "Garlic", "grams": 4.0, "note": ""}, {"ingredient_id": "black_pepper", "name": "Black pepper", "grams": 2.0, "note": ""}]</t>
        </is>
      </c>
      <c r="N1295" s="2" t="n">
        <v>404</v>
      </c>
      <c r="O1295" s="5" t="n">
        <v>23.9</v>
      </c>
      <c r="P1295" s="5" t="n">
        <v>16.4</v>
      </c>
      <c r="Q1295" s="5" t="n">
        <v>38.6</v>
      </c>
      <c r="R1295" s="5" t="n">
        <v>2.3</v>
      </c>
      <c r="S1295" s="5" t="n">
        <v>36.3</v>
      </c>
      <c r="T1295" s="2" t="n">
        <v>47</v>
      </c>
      <c r="U1295" s="2" t="inlineStr">
        <is>
          <t>low</t>
        </is>
      </c>
      <c r="V1295" s="5" t="n">
        <v>17.1</v>
      </c>
      <c r="W1295" s="2" t="inlineStr">
        <is>
          <t>medium</t>
        </is>
      </c>
      <c r="X1295" s="3" t="inlineStr"/>
      <c r="Y1295" s="3" t="inlineStr">
        <is>
          <t>96% of this dish's available carbohydrate comes from ingredients with a published, measured GI; the rest uses conventional placeholders (see Ingredients sheet)</t>
        </is>
      </c>
      <c r="Z1295" s="2" t="n">
        <v>96</v>
      </c>
      <c r="AA1295" s="3" t="inlineStr">
        <is>
          <t>nut-free</t>
        </is>
      </c>
      <c r="AB1295" s="3" t="inlineStr">
        <is>
          <t>1. Cook the spaghetti.
2. Crisp the bacon with the garlic.
3. Whisk the eggs with parmesan and pepper.
4. Toss with the hot pasta off the heat until creamy.</t>
        </is>
      </c>
      <c r="AC1295" s="4" t="inlineStr">
        <is>
          <t>["Cook the spaghetti.", "Crisp the bacon with the garlic.", "Whisk the eggs with parmesan and pepper.", "Toss with the hot pasta off the heat until creamy."]</t>
        </is>
      </c>
    </row>
    <row r="1296" ht="96" customHeight="1">
      <c r="A1296" s="2" t="inlineStr">
        <is>
          <t>DB-1295</t>
        </is>
      </c>
      <c r="B1296" s="3" t="inlineStr">
        <is>
          <t>Pasta Primavera</t>
        </is>
      </c>
      <c r="C1296" s="4" t="inlineStr">
        <is>
          <t>Vegetarian &amp; Vegan</t>
        </is>
      </c>
      <c r="D1296" s="4" t="inlineStr">
        <is>
          <t>Italian</t>
        </is>
      </c>
      <c r="E1296" s="2" t="n">
        <v>4</v>
      </c>
      <c r="F1296" s="2" t="n">
        <v>15</v>
      </c>
      <c r="G1296" s="2" t="n">
        <v>15</v>
      </c>
      <c r="H1296" s="2" t="n">
        <v>30</v>
      </c>
      <c r="I1296" s="4" t="inlineStr">
        <is>
          <t>pasta-primavera.jpg</t>
        </is>
      </c>
      <c r="J1296" s="3" t="inlineStr">
        <is>
          <t>Pasta Primavera, healthy food photography, plated, natural light</t>
        </is>
      </c>
      <c r="K1296" s="4" t="inlineStr"/>
      <c r="L1296" s="3" t="inlineStr">
        <is>
          <t>White pasta, cooked al dente — 480 g (16.9 oz)
Zucchini — 200 g (7.1 oz)
Broccoli — 200 g (7.1 oz)
Cherry tomatoes — 150 g (5.3 oz)
Bell pepper — 100 g (3.5 oz)
Garlic — 8 g (0.3 oz)
Extra-virgin olive oil — 30 g (1.1 oz)
Parmesan, grated — 30 g (1.1 oz)
Fresh basil — 8 g (0.3 oz)</t>
        </is>
      </c>
      <c r="M1296" s="4" t="inlineStr">
        <is>
          <t>[{"ingredient_id": "white_pasta", "name": "White pasta, cooked al dente", "grams": 480.0, "note": ""}, {"ingredient_id": "zucchini", "name": "Zucchini", "grams": 200.0, "note": ""}, {"ingredient_id": "broccoli", "name": "Broccoli", "grams": 200.0, "note": ""}, {"ingredient_id": "cherry_tomato", "name": "Cherry tomatoes", "grams": 150.0, "note": ""}, {"ingredient_id": "bell_pepper", "name": "Bell pepper", "grams": 100.0, "note": ""}, {"ingredient_id": "garlic", "name": "Garlic", "grams": 8.0, "note": ""}, {"ingredient_id": "olive_oil", "name": "Extra-virgin olive oil", "grams": 30.0, "note": ""}, {"ingredient_id": "parmesan", "name": "Parmesan, grated", "grams": 30.0, "note": ""}, {"ingredient_id": "basil", "name": "Fresh basil", "grams": 8.0, "note": ""}]</t>
        </is>
      </c>
      <c r="N1296" s="2" t="n">
        <v>330</v>
      </c>
      <c r="O1296" s="5" t="n">
        <v>12.5</v>
      </c>
      <c r="P1296" s="5" t="n">
        <v>11.3</v>
      </c>
      <c r="Q1296" s="5" t="n">
        <v>45.7</v>
      </c>
      <c r="R1296" s="5" t="n">
        <v>5</v>
      </c>
      <c r="S1296" s="5" t="n">
        <v>40.7</v>
      </c>
      <c r="T1296" s="2" t="n">
        <v>44</v>
      </c>
      <c r="U1296" s="2" t="inlineStr">
        <is>
          <t>low</t>
        </is>
      </c>
      <c r="V1296" s="5" t="n">
        <v>17.9</v>
      </c>
      <c r="W1296" s="2" t="inlineStr">
        <is>
          <t>medium</t>
        </is>
      </c>
      <c r="X1296" s="3" t="inlineStr"/>
      <c r="Y1296" s="3" t="inlineStr">
        <is>
          <t>85% of this dish's available carbohydrate comes from ingredients with a published, measured GI; the rest uses conventional placeholders (see Ingredients sheet)</t>
        </is>
      </c>
      <c r="Z1296" s="2" t="n">
        <v>85</v>
      </c>
      <c r="AA1296" s="3" t="inlineStr">
        <is>
          <t>vegetarian, nut-free</t>
        </is>
      </c>
      <c r="AB1296" s="3" t="inlineStr">
        <is>
          <t>1. Cook the pasta.
2. Sauté the vegetables and garlic in oil.
3. Toss together with parmesan and basil.</t>
        </is>
      </c>
      <c r="AC1296" s="4" t="inlineStr">
        <is>
          <t>["Cook the pasta.", "Sauté the vegetables and garlic in oil.", "Toss together with parmesan and basil."]</t>
        </is>
      </c>
    </row>
    <row r="1297" ht="96" customHeight="1">
      <c r="A1297" s="2" t="inlineStr">
        <is>
          <t>DB-1296</t>
        </is>
      </c>
      <c r="B1297" s="3" t="inlineStr">
        <is>
          <t>Stuffed Shells with Ricotta and Spinach</t>
        </is>
      </c>
      <c r="C1297" s="4" t="inlineStr">
        <is>
          <t>Vegetarian &amp; Vegan</t>
        </is>
      </c>
      <c r="D1297" s="4" t="inlineStr">
        <is>
          <t>Italian</t>
        </is>
      </c>
      <c r="E1297" s="2" t="n">
        <v>6</v>
      </c>
      <c r="F1297" s="2" t="n">
        <v>25</v>
      </c>
      <c r="G1297" s="2" t="n">
        <v>35</v>
      </c>
      <c r="H1297" s="2" t="n">
        <v>60</v>
      </c>
      <c r="I1297" s="4" t="inlineStr">
        <is>
          <t>stuffed-shells-with-ricotta-and-spinach.jpg</t>
        </is>
      </c>
      <c r="J1297" s="3" t="inlineStr">
        <is>
          <t>Stuffed Shells with Ricotta and Spinach, healthy food photography, plated, natural light</t>
        </is>
      </c>
      <c r="K1297" s="4" t="inlineStr"/>
      <c r="L1297" s="3" t="inlineStr">
        <is>
          <t>White pasta, cooked al dente — 540 g (19.0 oz)
Ricotta, part-skim — 300 g (10.6 oz)
Spinach — 200 g (7.1 oz)
Mozzarella, part-skim — 120 g (4.2 oz)
Parmesan, grated — 30 g (1.1 oz)
Egg, large (50 g each) — 50 g (1.8 oz)
Marinara sauce, no sugar added — 450 g (15.9 oz)
Garlic — 4 g (0.1 oz)</t>
        </is>
      </c>
      <c r="M1297" s="4" t="inlineStr">
        <is>
          <t>[{"ingredient_id": "white_pasta", "name": "White pasta, cooked al dente", "grams": 540.0, "note": ""}, {"ingredient_id": "ricotta", "name": "Ricotta, part-skim", "grams": 300.0, "note": ""}, {"ingredient_id": "spinach", "name": "Spinach", "grams": 200.0, "note": ""}, {"ingredient_id": "mozzarella", "name": "Mozzarella, part-skim", "grams": 120.0, "note": ""}, {"ingredient_id": "parmesan", "name": "Parmesan, grated", "grams": 30.0, "note": ""}, {"ingredient_id": "egg", "name": "Egg, large (50 g each)", "grams": 50.0, "note": ""}, {"ingredient_id": "marinara", "name": "Marinara sauce, no sugar added", "grams": 450.0, "note": ""}, {"ingredient_id": "garlic", "name": "Garlic", "grams": 4.0, "note": ""}]</t>
        </is>
      </c>
      <c r="N1297" s="2" t="n">
        <v>337</v>
      </c>
      <c r="O1297" s="5" t="n">
        <v>20.6</v>
      </c>
      <c r="P1297" s="5" t="n">
        <v>12.3</v>
      </c>
      <c r="Q1297" s="5" t="n">
        <v>36.2</v>
      </c>
      <c r="R1297" s="5" t="n">
        <v>3.5</v>
      </c>
      <c r="S1297" s="5" t="n">
        <v>32.7</v>
      </c>
      <c r="T1297" s="2" t="n">
        <v>43</v>
      </c>
      <c r="U1297" s="2" t="inlineStr">
        <is>
          <t>low</t>
        </is>
      </c>
      <c r="V1297" s="5" t="n">
        <v>14</v>
      </c>
      <c r="W1297" s="2" t="inlineStr">
        <is>
          <t>medium</t>
        </is>
      </c>
      <c r="X1297" s="3" t="inlineStr"/>
      <c r="Y1297" s="3" t="inlineStr">
        <is>
          <t>88% of this dish's available carbohydrate comes from ingredients with a published, measured GI; the rest uses conventional placeholders (see Ingredients sheet)</t>
        </is>
      </c>
      <c r="Z1297" s="2" t="n">
        <v>88</v>
      </c>
      <c r="AA1297" s="3" t="inlineStr">
        <is>
          <t>vegetarian, nut-free</t>
        </is>
      </c>
      <c r="AB1297" s="3" t="inlineStr">
        <is>
          <t>1. Cook the shells al dente.
2. Mix the ricotta, wilted spinach, egg, parmesan and garlic.
3. Fill the shells, set on marinara in a dish and top with mozzarella.
4. Bake at 375°F for 25 minutes.</t>
        </is>
      </c>
      <c r="AC1297" s="4" t="inlineStr">
        <is>
          <t>["Cook the shells al dente.", "Mix the ricotta, wilted spinach, egg, parmesan and garlic.", "Fill the shells, set on marinara in a dish and top with mozzarella.", "Bake at 375°F for 25 minutes."]</t>
        </is>
      </c>
    </row>
    <row r="1298" ht="96" customHeight="1">
      <c r="A1298" s="2" t="inlineStr">
        <is>
          <t>DB-1297</t>
        </is>
      </c>
      <c r="B1298" s="3" t="inlineStr">
        <is>
          <t>Pasta e Fagioli</t>
        </is>
      </c>
      <c r="C1298" s="4" t="inlineStr">
        <is>
          <t>Soup &amp; Stew</t>
        </is>
      </c>
      <c r="D1298" s="4" t="inlineStr">
        <is>
          <t>Italian</t>
        </is>
      </c>
      <c r="E1298" s="2" t="n">
        <v>6</v>
      </c>
      <c r="F1298" s="2" t="n">
        <v>10</v>
      </c>
      <c r="G1298" s="2" t="n">
        <v>30</v>
      </c>
      <c r="H1298" s="2" t="n">
        <v>40</v>
      </c>
      <c r="I1298" s="4" t="inlineStr">
        <is>
          <t>pasta-e-fagioli.jpg</t>
        </is>
      </c>
      <c r="J1298" s="3" t="inlineStr">
        <is>
          <t>Pasta e Fagioli, healthy food photography, plated, natural light</t>
        </is>
      </c>
      <c r="K1298" s="4" t="inlineStr"/>
      <c r="L1298" s="3" t="inlineStr">
        <is>
          <t>Cannellini beans, cooked — 300 g (10.6 oz)
White pasta, cooked al dente — 240 g (8.5 oz)
Diced tomatoes, canned — 400 g (14.1 oz)
Vegetable broth, low sodium — 800 g (28.2 oz)
Carrot — 100 g (3.5 oz)
Celery — 80 g (2.8 oz)
Yellow onion — 100 g (3.5 oz)
Garlic — 6 g (0.2 oz)
Extra-virgin olive oil — 15 g (0.5 oz)
Italian seasoning — 3 g (0.1 oz)</t>
        </is>
      </c>
      <c r="M1298" s="4" t="inlineStr">
        <is>
          <t>[{"ingredient_id": "white_beans", "name": "Cannellini beans, cooked", "grams": 300.0, "note": ""}, {"ingredient_id": "white_pasta", "name": "White pasta, cooked al dente", "grams": 240.0, "note": ""}, {"ingredient_id": "diced_tomatoes", "name": "Diced tomatoes, canned", "grams": 400.0, "note": ""}, {"ingredient_id": "vegetable_broth", "name": "Vegetable broth, low sodium", "grams": 800.0, "note": ""}, {"ingredient_id": "carrot", "name": "Carrot", "grams": 100.0, "note": ""}, {"ingredient_id": "celery", "name": "Celery", "grams": 80.0, "note": ""}, {"ingredient_id": "onion", "name": "Yellow onion", "grams": 100.0, "note": ""}, {"ingredient_id": "garlic", "name": "Garlic", "grams": 6.0, "note": ""}, {"ingredient_id": "olive_oil", "name": "Extra-virgin olive oil", "grams": 15.0, "note": ""}, {"ingredient_id": "italian_seasoning", "name": "Italian seasoning", "grams": 3.0, "note": ""}]</t>
        </is>
      </c>
      <c r="N1298" s="2" t="n">
        <v>200</v>
      </c>
      <c r="O1298" s="5" t="n">
        <v>9.199999999999999</v>
      </c>
      <c r="P1298" s="5" t="n">
        <v>3.6</v>
      </c>
      <c r="Q1298" s="5" t="n">
        <v>34.3</v>
      </c>
      <c r="R1298" s="5" t="n">
        <v>6.1</v>
      </c>
      <c r="S1298" s="5" t="n">
        <v>28.3</v>
      </c>
      <c r="T1298" s="2" t="n">
        <v>36</v>
      </c>
      <c r="U1298" s="2" t="inlineStr">
        <is>
          <t>low</t>
        </is>
      </c>
      <c r="V1298" s="5" t="n">
        <v>10.2</v>
      </c>
      <c r="W1298" s="2" t="inlineStr">
        <is>
          <t>medium</t>
        </is>
      </c>
      <c r="X1298" s="3" t="inlineStr"/>
      <c r="Y1298" s="3" t="inlineStr">
        <is>
          <t>78% of this dish's available carbohydrate comes from ingredients with a published, measured GI; the rest uses conventional placeholders (see Ingredients sheet)</t>
        </is>
      </c>
      <c r="Z1298" s="2" t="n">
        <v>78</v>
      </c>
      <c r="AA1298" s="3" t="inlineStr">
        <is>
          <t>vegan, dairy-free, nut-free</t>
        </is>
      </c>
      <c r="AB1298" s="3" t="inlineStr">
        <is>
          <t>1. Sauté the onion, carrot, celery and garlic in oil.
2. Add the tomatoes, broth, beans and seasoning and simmer 15 minutes.
3. Add the pasta and cook until tender.</t>
        </is>
      </c>
      <c r="AC1298" s="4" t="inlineStr">
        <is>
          <t>["Sauté the onion, carrot, celery and garlic in oil.", "Add the tomatoes, broth, beans and seasoning and simmer 15 minutes.", "Add the pasta and cook until tender."]</t>
        </is>
      </c>
    </row>
    <row r="1299" ht="96" customHeight="1">
      <c r="A1299" s="2" t="inlineStr">
        <is>
          <t>DB-1298</t>
        </is>
      </c>
      <c r="B1299" s="3" t="inlineStr">
        <is>
          <t>Italian Wedding Soup</t>
        </is>
      </c>
      <c r="C1299" s="4" t="inlineStr">
        <is>
          <t>Soup &amp; Stew</t>
        </is>
      </c>
      <c r="D1299" s="4" t="inlineStr">
        <is>
          <t>Italian</t>
        </is>
      </c>
      <c r="E1299" s="2" t="n">
        <v>6</v>
      </c>
      <c r="F1299" s="2" t="n">
        <v>20</v>
      </c>
      <c r="G1299" s="2" t="n">
        <v>25</v>
      </c>
      <c r="H1299" s="2" t="n">
        <v>45</v>
      </c>
      <c r="I1299" s="4" t="inlineStr">
        <is>
          <t>italian-wedding-soup.jpg</t>
        </is>
      </c>
      <c r="J1299" s="3" t="inlineStr">
        <is>
          <t>Italian Wedding Soup, healthy food photography, plated, natural light</t>
        </is>
      </c>
      <c r="K1299" s="4" t="inlineStr"/>
      <c r="L1299" s="3" t="inlineStr">
        <is>
          <t>Ground turkey 93% lean — 350 g (12.3 oz)
Egg, large (50 g each) — 50 g (1.8 oz)
Parmesan, grated — 30 g (1.1 oz)
Chicken broth, low sodium — 1000 g (35.3 oz)
Spinach — 150 g (5.3 oz)
Carrot — 100 g (3.5 oz)
White pasta, cooked al dente — 150 g (5.3 oz)
Garlic — 4 g (0.1 oz)</t>
        </is>
      </c>
      <c r="M1299" s="4" t="inlineStr">
        <is>
          <t>[{"ingredient_id": "ground_turkey", "name": "Ground turkey 93% lean", "grams": 350.0, "note": ""}, {"ingredient_id": "egg", "name": "Egg, large (50 g each)", "grams": 50.0, "note": ""}, {"ingredient_id": "parmesan", "name": "Parmesan, grated", "grams": 30.0, "note": ""}, {"ingredient_id": "chicken_broth", "name": "Chicken broth, low sodium", "grams": 1000.0, "note": ""}, {"ingredient_id": "spinach", "name": "Spinach", "grams": 150.0, "note": ""}, {"ingredient_id": "carrot", "name": "Carrot", "grams": 100.0, "note": ""}, {"ingredient_id": "white_pasta", "name": "White pasta, cooked al dente", "grams": 150.0, "note": ""}, {"ingredient_id": "garlic", "name": "Garlic", "grams": 4.0, "note": ""}]</t>
        </is>
      </c>
      <c r="N1299" s="2" t="n">
        <v>185</v>
      </c>
      <c r="O1299" s="5" t="n">
        <v>17.9</v>
      </c>
      <c r="P1299" s="5" t="n">
        <v>7.6</v>
      </c>
      <c r="Q1299" s="5" t="n">
        <v>11.5</v>
      </c>
      <c r="R1299" s="5" t="n">
        <v>1.5</v>
      </c>
      <c r="S1299" s="5" t="n">
        <v>10</v>
      </c>
      <c r="T1299" s="2" t="n">
        <v>41</v>
      </c>
      <c r="U1299" s="2" t="inlineStr">
        <is>
          <t>low</t>
        </is>
      </c>
      <c r="V1299" s="5" t="n">
        <v>4.1</v>
      </c>
      <c r="W1299" s="2" t="inlineStr">
        <is>
          <t>low</t>
        </is>
      </c>
      <c r="X1299" s="3" t="inlineStr"/>
      <c r="Y1299" s="3" t="inlineStr">
        <is>
          <t>84% of this dish's available carbohydrate comes from ingredients with a published, measured GI; the rest uses conventional placeholders (see Ingredients sheet)</t>
        </is>
      </c>
      <c r="Z1299" s="2" t="n">
        <v>84</v>
      </c>
      <c r="AA1299" s="3" t="inlineStr">
        <is>
          <t>nut-free, low-carb</t>
        </is>
      </c>
      <c r="AB1299" s="3" t="inlineStr">
        <is>
          <t>1. Mix the turkey, egg, parmesan and garlic and roll tiny meatballs.
2. Simmer the broth and carrot, drop in the meatballs for 10 minutes.
3. Add the pasta and spinach and cook until tender.</t>
        </is>
      </c>
      <c r="AC1299" s="4" t="inlineStr">
        <is>
          <t>["Mix the turkey, egg, parmesan and garlic and roll tiny meatballs.", "Simmer the broth and carrot, drop in the meatballs for 10 minutes.", "Add the pasta and spinach and cook until tender."]</t>
        </is>
      </c>
    </row>
    <row r="1300" ht="96" customHeight="1">
      <c r="A1300" s="2" t="inlineStr">
        <is>
          <t>DB-1299</t>
        </is>
      </c>
      <c r="B1300" s="3" t="inlineStr">
        <is>
          <t>Antipasto Salad</t>
        </is>
      </c>
      <c r="C1300" s="4" t="inlineStr">
        <is>
          <t>Salad</t>
        </is>
      </c>
      <c r="D1300" s="4" t="inlineStr">
        <is>
          <t>Italian</t>
        </is>
      </c>
      <c r="E1300" s="2" t="n">
        <v>4</v>
      </c>
      <c r="F1300" s="2" t="n">
        <v>15</v>
      </c>
      <c r="G1300" s="2" t="n">
        <v>0</v>
      </c>
      <c r="H1300" s="2" t="n">
        <v>15</v>
      </c>
      <c r="I1300" s="4" t="inlineStr">
        <is>
          <t>antipasto-salad.jpg</t>
        </is>
      </c>
      <c r="J1300" s="3" t="inlineStr">
        <is>
          <t>Antipasto Salad, healthy food photography, plated, natural light</t>
        </is>
      </c>
      <c r="K1300" s="4" t="inlineStr"/>
      <c r="L1300" s="3" t="inlineStr">
        <is>
          <t>Romaine lettuce — 200 g (7.1 oz)
Deli turkey breast, low sodium — 100 g (3.5 oz)
Mozzarella, part-skim — 80 g (2.8 oz)
Artichoke hearts, canned in water — 100 g (3.5 oz)
Roasted red peppers, jarred — 80 g (2.8 oz)
Olives (kalamata/green) — 40 g (1.4 oz)
Cherry tomatoes — 120 g (4.2 oz)
Red wine vinegar — 20 g (0.7 oz)
Extra-virgin olive oil — 30 g (1.1 oz)</t>
        </is>
      </c>
      <c r="M1300" s="4" t="inlineStr">
        <is>
          <t>[{"ingredient_id": "romaine", "name": "Romaine lettuce", "grams": 200.0, "note": ""}, {"ingredient_id": "deli_turkey", "name": "Deli turkey breast, low sodium", "grams": 100.0, "note": ""}, {"ingredient_id": "mozzarella", "name": "Mozzarella, part-skim", "grams": 80.0, "note": ""}, {"ingredient_id": "artichoke_hearts", "name": "Artichoke hearts, canned in water", "grams": 100.0, "note": ""}, {"ingredient_id": "roasted_red_pepper", "name": "Roasted red peppers, jarred", "grams": 80.0, "note": ""}, {"ingredient_id": "olives", "name": "Olives (kalamata/green)", "grams": 40.0, "note": ""}, {"ingredient_id": "cherry_tomato", "name": "Cherry tomatoes", "grams": 120.0, "note": ""}, {"ingredient_id": "red_wine_vinegar", "name": "Red wine vinegar", "grams": 20.0, "note": ""}, {"ingredient_id": "olive_oil", "name": "Extra-virgin olive oil", "grams": 30.0, "note": ""}]</t>
        </is>
      </c>
      <c r="N1300" s="2" t="n">
        <v>187</v>
      </c>
      <c r="O1300" s="5" t="n">
        <v>11</v>
      </c>
      <c r="P1300" s="5" t="n">
        <v>12.5</v>
      </c>
      <c r="Q1300" s="5" t="n">
        <v>8.9</v>
      </c>
      <c r="R1300" s="5" t="n">
        <v>3.5</v>
      </c>
      <c r="S1300" s="5" t="n">
        <v>5.4</v>
      </c>
      <c r="T1300" s="2" t="n">
        <v>10</v>
      </c>
      <c r="U1300" s="2" t="inlineStr">
        <is>
          <t>low</t>
        </is>
      </c>
      <c r="V1300" s="5" t="n">
        <v>0.5</v>
      </c>
      <c r="W1300" s="2" t="inlineStr">
        <is>
          <t>low</t>
        </is>
      </c>
      <c r="X1300" s="3" t="inlineStr"/>
      <c r="Y1300" s="3" t="inlineStr">
        <is>
          <t>0% of this dish's available carbohydrate comes from ingredients with a published, measured GI; the rest uses conventional placeholders (see Ingredients sheet)</t>
        </is>
      </c>
      <c r="Z1300" s="2" t="n">
        <v>0</v>
      </c>
      <c r="AA1300" s="3" t="inlineStr">
        <is>
          <t>gluten-free, nut-free, low-carb, no-cook</t>
        </is>
      </c>
      <c r="AB1300" s="3" t="inlineStr">
        <is>
          <t>1. Chop the romaine and arrange on a platter.
2. Add the turkey, mozzarella, artichokes, peppers, olives and tomatoes.
3. Dress with vinegar and oil.</t>
        </is>
      </c>
      <c r="AC1300" s="4" t="inlineStr">
        <is>
          <t>["Chop the romaine and arrange on a platter.", "Add the turkey, mozzarella, artichokes, peppers, olives and tomatoes.", "Dress with vinegar and oil."]</t>
        </is>
      </c>
    </row>
    <row r="1301" ht="96" customHeight="1">
      <c r="A1301" s="2" t="inlineStr">
        <is>
          <t>DB-1300</t>
        </is>
      </c>
      <c r="B1301" s="3" t="inlineStr">
        <is>
          <t>Caprese Chicken Skillet</t>
        </is>
      </c>
      <c r="C1301" s="4" t="inlineStr">
        <is>
          <t>Poultry</t>
        </is>
      </c>
      <c r="D1301" s="4" t="inlineStr">
        <is>
          <t>Italian</t>
        </is>
      </c>
      <c r="E1301" s="2" t="n">
        <v>4</v>
      </c>
      <c r="F1301" s="2" t="n">
        <v>10</v>
      </c>
      <c r="G1301" s="2" t="n">
        <v>20</v>
      </c>
      <c r="H1301" s="2" t="n">
        <v>30</v>
      </c>
      <c r="I1301" s="4" t="inlineStr">
        <is>
          <t>caprese-chicken-skillet.jpg</t>
        </is>
      </c>
      <c r="J1301" s="3" t="inlineStr">
        <is>
          <t>Caprese Chicken Skillet, healthy food photography, plated, natural light</t>
        </is>
      </c>
      <c r="K1301" s="4" t="inlineStr"/>
      <c r="L1301" s="3" t="inlineStr">
        <is>
          <t>Chicken breast, skinless — 560 g (19.8 oz)
Mozzarella, part-skim — 120 g (4.2 oz)
Cherry tomatoes — 250 g (8.8 oz)
Fresh basil — 10 g (0.4 oz)
Balsamic vinegar — 20 g (0.7 oz)
Garlic — 6 g (0.2 oz)
Extra-virgin olive oil — 20 g (0.7 oz)</t>
        </is>
      </c>
      <c r="M1301" s="4" t="inlineStr">
        <is>
          <t>[{"ingredient_id": "chicken_breast", "name": "Chicken breast, skinless", "grams": 560.0, "note": ""}, {"ingredient_id": "mozzarella", "name": "Mozzarella, part-skim", "grams": 120.0, "note": ""}, {"ingredient_id": "cherry_tomato", "name": "Cherry tomatoes", "grams": 250.0, "note": ""}, {"ingredient_id": "basil", "name": "Fresh basil", "grams": 10.0, "note": ""}, {"ingredient_id": "balsamic_vinegar", "name": "Balsamic vinegar", "grams": 20.0, "note": ""}, {"ingredient_id": "garlic", "name": "Garlic", "grams": 6.0, "note": ""}, {"ingredient_id": "olive_oil", "name": "Extra-virgin olive oil", "grams": 20.0, "note": ""}]</t>
        </is>
      </c>
      <c r="N1301" s="2" t="n">
        <v>307</v>
      </c>
      <c r="O1301" s="5" t="n">
        <v>39.5</v>
      </c>
      <c r="P1301" s="5" t="n">
        <v>13.6</v>
      </c>
      <c r="Q1301" s="5" t="n">
        <v>4.8</v>
      </c>
      <c r="R1301" s="5" t="n">
        <v>0.8</v>
      </c>
      <c r="S1301" s="5" t="n">
        <v>3.9</v>
      </c>
      <c r="T1301" s="2" t="n">
        <v>18</v>
      </c>
      <c r="U1301" s="2" t="inlineStr">
        <is>
          <t>low</t>
        </is>
      </c>
      <c r="V1301" s="5" t="n">
        <v>0.7</v>
      </c>
      <c r="W1301" s="2" t="inlineStr">
        <is>
          <t>low</t>
        </is>
      </c>
      <c r="X1301" s="3" t="inlineStr">
        <is>
          <t>Negligible carbohydrate (&lt;5 g net/serving): GI has little practical meaning, glycemic load is what matters.</t>
        </is>
      </c>
      <c r="Y1301" s="3" t="inlineStr">
        <is>
          <t>0% of this dish's available carbohydrate comes from ingredients with a published, measured GI; the rest uses conventional placeholders (see Ingredients sheet)</t>
        </is>
      </c>
      <c r="Z1301" s="2" t="n">
        <v>0</v>
      </c>
      <c r="AA1301" s="3" t="inlineStr">
        <is>
          <t>gluten-free, nut-free, low-carb, high-protein, one-pan</t>
        </is>
      </c>
      <c r="AB1301" s="3" t="inlineStr">
        <is>
          <t>1. Sear the chicken in oil, 5 minutes a side.
2. Add the garlic and tomatoes and cook 4 minutes.
3. Top with mozzarella to melt and finish with basil and balsamic.</t>
        </is>
      </c>
      <c r="AC1301" s="4" t="inlineStr">
        <is>
          <t>["Sear the chicken in oil, 5 minutes a side.", "Add the garlic and tomatoes and cook 4 minutes.", "Top with mozzarella to melt and finish with basil and balsamic."]</t>
        </is>
      </c>
    </row>
    <row r="1302" ht="96" customHeight="1">
      <c r="A1302" s="2" t="inlineStr">
        <is>
          <t>DB-1301</t>
        </is>
      </c>
      <c r="B1302" s="3" t="inlineStr">
        <is>
          <t>Eggplant Rollatini</t>
        </is>
      </c>
      <c r="C1302" s="4" t="inlineStr">
        <is>
          <t>Vegetarian &amp; Vegan</t>
        </is>
      </c>
      <c r="D1302" s="4" t="inlineStr">
        <is>
          <t>Italian</t>
        </is>
      </c>
      <c r="E1302" s="2" t="n">
        <v>4</v>
      </c>
      <c r="F1302" s="2" t="n">
        <v>25</v>
      </c>
      <c r="G1302" s="2" t="n">
        <v>30</v>
      </c>
      <c r="H1302" s="2" t="n">
        <v>55</v>
      </c>
      <c r="I1302" s="4" t="inlineStr">
        <is>
          <t>eggplant-rollatini.jpg</t>
        </is>
      </c>
      <c r="J1302" s="3" t="inlineStr">
        <is>
          <t>Eggplant Rollatini, healthy food photography, plated, natural light</t>
        </is>
      </c>
      <c r="K1302" s="4" t="inlineStr"/>
      <c r="L1302" s="3" t="inlineStr">
        <is>
          <t>Eggplant — 600 g (21.2 oz)
Ricotta, part-skim — 250 g (8.8 oz)
Spinach — 100 g (3.5 oz)
Mozzarella, part-skim — 100 g (3.5 oz)
Marinara sauce, no sugar added — 350 g (12.3 oz)
Parmesan, grated — 25 g (0.9 oz)
Garlic — 4 g (0.1 oz)
Extra-virgin olive oil — 20 g (0.7 oz)</t>
        </is>
      </c>
      <c r="M1302" s="4" t="inlineStr">
        <is>
          <t>[{"ingredient_id": "eggplant", "name": "Eggplant", "grams": 600.0, "note": ""}, {"ingredient_id": "ricotta", "name": "Ricotta, part-skim", "grams": 250.0, "note": ""}, {"ingredient_id": "spinach", "name": "Spinach", "grams": 100.0, "note": ""}, {"ingredient_id": "mozzarella", "name": "Mozzarella, part-skim", "grams": 100.0, "note": ""}, {"ingredient_id": "marinara", "name": "Marinara sauce, no sugar added", "grams": 350.0, "note": ""}, {"ingredient_id": "parmesan", "name": "Parmesan, grated", "grams": 25.0, "note": ""}, {"ingredient_id": "garlic", "name": "Garlic", "grams": 4.0, "note": ""}, {"ingredient_id": "olive_oil", "name": "Extra-virgin olive oil", "grams": 20.0, "note": ""}]</t>
        </is>
      </c>
      <c r="N1302" s="2" t="n">
        <v>305</v>
      </c>
      <c r="O1302" s="5" t="n">
        <v>18.9</v>
      </c>
      <c r="P1302" s="5" t="n">
        <v>18.4</v>
      </c>
      <c r="Q1302" s="5" t="n">
        <v>18.7</v>
      </c>
      <c r="R1302" s="5" t="n">
        <v>6.4</v>
      </c>
      <c r="S1302" s="5" t="n">
        <v>12.3</v>
      </c>
      <c r="T1302" s="2" t="n">
        <v>19</v>
      </c>
      <c r="U1302" s="2" t="inlineStr">
        <is>
          <t>low</t>
        </is>
      </c>
      <c r="V1302" s="5" t="n">
        <v>2.3</v>
      </c>
      <c r="W1302" s="2" t="inlineStr">
        <is>
          <t>low</t>
        </is>
      </c>
      <c r="X1302" s="3" t="inlineStr"/>
      <c r="Y1302" s="3" t="inlineStr">
        <is>
          <t>25% of this dish's available carbohydrate comes from ingredients with a published, measured GI; the rest uses conventional placeholders (see Ingredients sheet)</t>
        </is>
      </c>
      <c r="Z1302" s="2" t="n">
        <v>25</v>
      </c>
      <c r="AA1302" s="3" t="inlineStr">
        <is>
          <t>vegetarian, gluten-free, nut-free, low-carb</t>
        </is>
      </c>
      <c r="AB1302" s="3" t="inlineStr">
        <is>
          <t>1. Slice the eggplant lengthwise and roast until pliable.
2. Spread with the ricotta and spinach mixture and roll.
3. Cover with marinara and cheeses and bake at 375°F for 20 minutes.</t>
        </is>
      </c>
      <c r="AC1302" s="4" t="inlineStr">
        <is>
          <t>["Slice the eggplant lengthwise and roast until pliable.", "Spread with the ricotta and spinach mixture and roll.", "Cover with marinara and cheeses and bake at 375°F for 20 minutes."]</t>
        </is>
      </c>
    </row>
    <row r="1303" ht="96" customHeight="1">
      <c r="A1303" s="2" t="inlineStr">
        <is>
          <t>DB-1302</t>
        </is>
      </c>
      <c r="B1303" s="3" t="inlineStr">
        <is>
          <t>Zuppa Toscana-Style Soup</t>
        </is>
      </c>
      <c r="C1303" s="4" t="inlineStr">
        <is>
          <t>Soup &amp; Stew</t>
        </is>
      </c>
      <c r="D1303" s="4" t="inlineStr">
        <is>
          <t>Italian</t>
        </is>
      </c>
      <c r="E1303" s="2" t="n">
        <v>6</v>
      </c>
      <c r="F1303" s="2" t="n">
        <v>15</v>
      </c>
      <c r="G1303" s="2" t="n">
        <v>30</v>
      </c>
      <c r="H1303" s="2" t="n">
        <v>45</v>
      </c>
      <c r="I1303" s="4" t="inlineStr">
        <is>
          <t>zuppa-toscana-style-soup.jpg</t>
        </is>
      </c>
      <c r="J1303" s="3" t="inlineStr">
        <is>
          <t>Zuppa Toscana-Style Soup, healthy food photography, plated, natural light</t>
        </is>
      </c>
      <c r="K1303" s="4" t="inlineStr"/>
      <c r="L1303" s="3" t="inlineStr">
        <is>
          <t>Turkey sausage — 300 g (10.6 oz)
New potatoes, boiled — 350 g (12.3 oz)
Kale — 120 g (4.2 oz)
Chicken broth, low sodium — 900 g (31.7 oz)
Yellow onion — 100 g (3.5 oz)
Garlic — 6 g (0.2 oz)
Heavy cream — 60 g (2.1 oz)
Red pepper flakes — 1 g (0.0 oz)</t>
        </is>
      </c>
      <c r="M1303" s="4" t="inlineStr">
        <is>
          <t>[{"ingredient_id": "turkey_sausage", "name": "Turkey sausage", "grams": 300.0, "note": ""}, {"ingredient_id": "new_potato", "name": "New potatoes, boiled", "grams": 350.0, "note": ""}, {"ingredient_id": "kale", "name": "Kale", "grams": 120.0, "note": ""}, {"ingredient_id": "chicken_broth", "name": "Chicken broth, low sodium", "grams": 900.0, "note": ""}, {"ingredient_id": "onion", "name": "Yellow onion", "grams": 100.0, "note": ""}, {"ingredient_id": "garlic", "name": "Garlic", "grams": 6.0, "note": ""}, {"ingredient_id": "heavy_cream", "name": "Heavy cream", "grams": 60.0, "note": ""}, {"ingredient_id": "red_pepper_flakes", "name": "Red pepper flakes", "grams": 1.0, "note": ""}]</t>
        </is>
      </c>
      <c r="N1303" s="2" t="n">
        <v>191</v>
      </c>
      <c r="O1303" s="5" t="n">
        <v>11.4</v>
      </c>
      <c r="P1303" s="5" t="n">
        <v>9.199999999999999</v>
      </c>
      <c r="Q1303" s="5" t="n">
        <v>17.5</v>
      </c>
      <c r="R1303" s="5" t="n">
        <v>2.1</v>
      </c>
      <c r="S1303" s="5" t="n">
        <v>15.3</v>
      </c>
      <c r="T1303" s="2" t="n">
        <v>52</v>
      </c>
      <c r="U1303" s="2" t="inlineStr">
        <is>
          <t>low</t>
        </is>
      </c>
      <c r="V1303" s="5" t="n">
        <v>8</v>
      </c>
      <c r="W1303" s="2" t="inlineStr">
        <is>
          <t>low</t>
        </is>
      </c>
      <c r="X1303" s="3" t="inlineStr"/>
      <c r="Y1303" s="3" t="inlineStr">
        <is>
          <t>69% of this dish's available carbohydrate comes from ingredients with a published, measured GI; the rest uses conventional placeholders (see Ingredients sheet)</t>
        </is>
      </c>
      <c r="Z1303" s="2" t="n">
        <v>69</v>
      </c>
      <c r="AA1303" s="3" t="inlineStr">
        <is>
          <t>gluten-free, nut-free</t>
        </is>
      </c>
      <c r="AB1303" s="3" t="inlineStr">
        <is>
          <t>1. Brown the sausage with the onion and garlic.
2. Add the broth, potatoes and pepper flakes and simmer 15 minutes.
3. Stir in the kale and cream and cook 5 minutes.</t>
        </is>
      </c>
      <c r="AC1303" s="4" t="inlineStr">
        <is>
          <t>["Brown the sausage with the onion and garlic.", "Add the broth, potatoes and pepper flakes and simmer 15 minutes.", "Stir in the kale and cream and cook 5 minutes."]</t>
        </is>
      </c>
    </row>
    <row r="1304" ht="96" customHeight="1">
      <c r="A1304" s="2" t="inlineStr">
        <is>
          <t>DB-1303</t>
        </is>
      </c>
      <c r="B1304" s="3" t="inlineStr">
        <is>
          <t>Gyro Chicken Bowls with Tzatziki</t>
        </is>
      </c>
      <c r="C1304" s="4" t="inlineStr">
        <is>
          <t>Poultry</t>
        </is>
      </c>
      <c r="D1304" s="4" t="inlineStr">
        <is>
          <t>Greek</t>
        </is>
      </c>
      <c r="E1304" s="2" t="n">
        <v>4</v>
      </c>
      <c r="F1304" s="2" t="n">
        <v>20</v>
      </c>
      <c r="G1304" s="2" t="n">
        <v>15</v>
      </c>
      <c r="H1304" s="2" t="n">
        <v>35</v>
      </c>
      <c r="I1304" s="4" t="inlineStr">
        <is>
          <t>gyro-chicken-bowls-with-tzatziki.jpg</t>
        </is>
      </c>
      <c r="J1304" s="3" t="inlineStr">
        <is>
          <t>Gyro Chicken Bowls with Tzatziki, healthy food photography, plated, natural light</t>
        </is>
      </c>
      <c r="K1304" s="4" t="inlineStr"/>
      <c r="L1304" s="3" t="inlineStr">
        <is>
          <t>Chicken thigh, skinless boneless — 550 g (19.4 oz)
White rice, long-grain, cooked — 300 g (10.6 oz)
Cucumber — 150 g (5.3 oz)
Tomato — 150 g (5.3 oz)
Red onion — 40 g (1.4 oz)
Greek yogurt, plain 2% — 150 g (5.3 oz)
Garlic — 6 g (0.2 oz)
Lemon juice — 20 g (0.7 oz)
Dried oregano — 3 g (0.1 oz)
Extra-virgin olive oil — 20 g (0.7 oz)
Feta cheese — 50 g (1.8 oz)</t>
        </is>
      </c>
      <c r="M1304" s="4" t="inlineStr">
        <is>
          <t>[{"ingredient_id": "chicken_thigh", "name": "Chicken thigh, skinless boneless", "grams": 550.0, "note": ""}, {"ingredient_id": "white_rice", "name": "White rice, long-grain, cooked", "grams": 300.0, "note": ""}, {"ingredient_id": "cucumber", "name": "Cucumber", "grams": 150.0, "note": ""}, {"ingredient_id": "tomato", "name": "Tomato", "grams": 150.0, "note": ""}, {"ingredient_id": "red_onion", "name": "Red onion", "grams": 40.0, "note": ""}, {"ingredient_id": "greek_yogurt", "name": "Greek yogurt, plain 2%", "grams": 150.0, "note": ""}, {"ingredient_id": "garlic", "name": "Garlic", "grams": 6.0, "note": ""}, {"ingredient_id": "lemon_juice", "name": "Lemon juice", "grams": 20.0, "note": ""}, {"ingredient_id": "oregano", "name": "Dried oregano", "grams": 3.0, "note": ""}, {"ingredient_id": "olive_oil", "name": "Extra-virgin olive oil", "grams": 20.0, "note": ""}, {"ingredient_id": "feta", "name": "Feta cheese", "grams": 50.0, "note": ""}]</t>
        </is>
      </c>
      <c r="N1304" s="2" t="n">
        <v>389</v>
      </c>
      <c r="O1304" s="5" t="n">
        <v>35.5</v>
      </c>
      <c r="P1304" s="5" t="n">
        <v>14.4</v>
      </c>
      <c r="Q1304" s="5" t="n">
        <v>28.1</v>
      </c>
      <c r="R1304" s="5" t="n">
        <v>1.5</v>
      </c>
      <c r="S1304" s="5" t="n">
        <v>26.6</v>
      </c>
      <c r="T1304" s="2" t="n">
        <v>63</v>
      </c>
      <c r="U1304" s="2" t="inlineStr">
        <is>
          <t>medium</t>
        </is>
      </c>
      <c r="V1304" s="5" t="n">
        <v>16.8</v>
      </c>
      <c r="W1304" s="2" t="inlineStr">
        <is>
          <t>medium</t>
        </is>
      </c>
      <c r="X1304" s="3" t="inlineStr">
        <is>
          <t>Medium-GI dish: keep to the stated portion and pair with the protein/fat in the recipe; GL per serving is the better guide.</t>
        </is>
      </c>
      <c r="Y1304" s="3" t="inlineStr">
        <is>
          <t>83% of this dish's available carbohydrate comes from ingredients with a published, measured GI; the rest uses conventional placeholders (see Ingredients sheet)</t>
        </is>
      </c>
      <c r="Z1304" s="2" t="n">
        <v>83</v>
      </c>
      <c r="AA1304" s="3" t="inlineStr">
        <is>
          <t>gluten-free, nut-free, high-protein</t>
        </is>
      </c>
      <c r="AB1304" s="3" t="inlineStr">
        <is>
          <t>1. Marinate the chicken in oil, lemon and oregano and grill; slice.
2. Stir the yogurt with grated cucumber, garlic and lemon.
3. Build bowls from rice, chicken, tomato, onion and feta with tzatziki.</t>
        </is>
      </c>
      <c r="AC1304" s="4" t="inlineStr">
        <is>
          <t>["Marinate the chicken in oil, lemon and oregano and grill; slice.", "Stir the yogurt with grated cucumber, garlic and lemon.", "Build bowls from rice, chicken, tomato, onion and feta with tzatziki."]</t>
        </is>
      </c>
    </row>
    <row r="1305" ht="96" customHeight="1">
      <c r="A1305" s="2" t="inlineStr">
        <is>
          <t>DB-1304</t>
        </is>
      </c>
      <c r="B1305" s="3" t="inlineStr">
        <is>
          <t>Greek Diner Omelet with Feta and Spinach</t>
        </is>
      </c>
      <c r="C1305" s="4" t="inlineStr">
        <is>
          <t>Breakfast</t>
        </is>
      </c>
      <c r="D1305" s="4" t="inlineStr">
        <is>
          <t>Greek</t>
        </is>
      </c>
      <c r="E1305" s="2" t="n">
        <v>2</v>
      </c>
      <c r="F1305" s="2" t="n">
        <v>5</v>
      </c>
      <c r="G1305" s="2" t="n">
        <v>8</v>
      </c>
      <c r="H1305" s="2" t="n">
        <v>13</v>
      </c>
      <c r="I1305" s="4" t="inlineStr">
        <is>
          <t>greek-diner-omelet-with-feta-and-spinach.jpg</t>
        </is>
      </c>
      <c r="J1305" s="3" t="inlineStr">
        <is>
          <t>Greek Diner Omelet with Feta and Spinach, healthy food photography, plated, natural light</t>
        </is>
      </c>
      <c r="K1305" s="4" t="inlineStr"/>
      <c r="L1305" s="3" t="inlineStr">
        <is>
          <t>Egg, large (50 g each) — 300 g (10.6 oz)
Feta cheese — 60 g (2.1 oz)
Spinach — 80 g (2.8 oz)
Tomato — 80 g (2.8 oz)
Extra-virgin olive oil — 10 g (0.4 oz)
Dried oregano — 1 g (0.0 oz)</t>
        </is>
      </c>
      <c r="M1305" s="4" t="inlineStr">
        <is>
          <t>[{"ingredient_id": "egg", "name": "Egg, large (50 g each)", "grams": 300.0, "note": ""}, {"ingredient_id": "feta", "name": "Feta cheese", "grams": 60.0, "note": ""}, {"ingredient_id": "spinach", "name": "Spinach", "grams": 80.0, "note": ""}, {"ingredient_id": "tomato", "name": "Tomato", "grams": 80.0, "note": ""}, {"ingredient_id": "olive_oil", "name": "Extra-virgin olive oil", "grams": 10.0, "note": ""}, {"ingredient_id": "oregano", "name": "Dried oregano", "grams": 1.0, "note": ""}]</t>
        </is>
      </c>
      <c r="N1305" s="2" t="n">
        <v>356</v>
      </c>
      <c r="O1305" s="5" t="n">
        <v>24.7</v>
      </c>
      <c r="P1305" s="5" t="n">
        <v>25.8</v>
      </c>
      <c r="Q1305" s="5" t="n">
        <v>5.6</v>
      </c>
      <c r="R1305" s="5" t="n">
        <v>1.6</v>
      </c>
      <c r="S1305" s="5" t="n">
        <v>4</v>
      </c>
      <c r="T1305" s="2" t="n">
        <v>7</v>
      </c>
      <c r="U1305" s="2" t="inlineStr">
        <is>
          <t>low</t>
        </is>
      </c>
      <c r="V1305" s="5" t="n">
        <v>0.3</v>
      </c>
      <c r="W1305" s="2" t="inlineStr">
        <is>
          <t>low</t>
        </is>
      </c>
      <c r="X1305" s="3" t="inlineStr">
        <is>
          <t>Negligible carbohydrate (&lt;5 g net/serving): GI has little practical meaning, glycemic load is what matters.</t>
        </is>
      </c>
      <c r="Y1305" s="3" t="inlineStr">
        <is>
          <t>0% of this dish's available carbohydrate comes from ingredients with a published, measured GI; the rest uses conventional placeholders (see Ingredients sheet)</t>
        </is>
      </c>
      <c r="Z1305" s="2" t="n">
        <v>0</v>
      </c>
      <c r="AA1305" s="3" t="inlineStr">
        <is>
          <t>vegetarian, gluten-free, nut-free, low-carb</t>
        </is>
      </c>
      <c r="AB1305" s="3" t="inlineStr">
        <is>
          <t>1. Sauté the spinach and tomato in oil.
2. Add the beaten eggs and cook until nearly set.
3. Top with feta and oregano and fold.</t>
        </is>
      </c>
      <c r="AC1305" s="4" t="inlineStr">
        <is>
          <t>["Sauté the spinach and tomato in oil.", "Add the beaten eggs and cook until nearly set.", "Top with feta and oregano and fold."]</t>
        </is>
      </c>
    </row>
    <row r="1306" ht="96" customHeight="1">
      <c r="A1306" s="2" t="inlineStr">
        <is>
          <t>DB-1305</t>
        </is>
      </c>
      <c r="B1306" s="3" t="inlineStr">
        <is>
          <t>Butter Chicken with Cauliflower Rice</t>
        </is>
      </c>
      <c r="C1306" s="4" t="inlineStr">
        <is>
          <t>Poultry</t>
        </is>
      </c>
      <c r="D1306" s="4" t="inlineStr">
        <is>
          <t>Indian</t>
        </is>
      </c>
      <c r="E1306" s="2" t="n">
        <v>4</v>
      </c>
      <c r="F1306" s="2" t="n">
        <v>15</v>
      </c>
      <c r="G1306" s="2" t="n">
        <v>25</v>
      </c>
      <c r="H1306" s="2" t="n">
        <v>40</v>
      </c>
      <c r="I1306" s="4" t="inlineStr">
        <is>
          <t>butter-chicken-with-cauliflower-rice.jpg</t>
        </is>
      </c>
      <c r="J1306" s="3" t="inlineStr">
        <is>
          <t>Butter Chicken with Cauliflower Rice, healthy food photography, plated, natural light</t>
        </is>
      </c>
      <c r="K1306" s="4" t="inlineStr"/>
      <c r="L1306" s="3" t="inlineStr">
        <is>
          <t>Chicken thigh, skinless boneless — 600 g (21.2 oz)
Tomato sauce, canned, no sugar added — 300 g (10.6 oz)
Heavy cream — 80 g (2.8 oz)
Garam masala — 6 g (0.2 oz)
Ground turmeric — 2 g (0.1 oz)
Fresh ginger — 8 g (0.3 oz)
Garlic — 8 g (0.3 oz)
Yellow onion — 120 g (4.2 oz)
Butter — 20 g (0.7 oz)
Cauliflower rice — 400 g (14.1 oz)</t>
        </is>
      </c>
      <c r="M1306" s="4" t="inlineStr">
        <is>
          <t>[{"ingredient_id": "chicken_thigh", "name": "Chicken thigh, skinless boneless", "grams": 600.0, "note": ""}, {"ingredient_id": "tomato_sauce", "name": "Tomato sauce, canned, no sugar added", "grams": 300.0, "note": ""}, {"ingredient_id": "heavy_cream", "name": "Heavy cream", "grams": 80.0, "note": ""}, {"ingredient_id": "garam_masala", "name": "Garam masala", "grams": 6.0, "note": ""}, {"ingredient_id": "turmeric", "name": "Ground turmeric", "grams": 2.0, "note": ""}, {"ingredient_id": "ginger", "name": "Fresh ginger", "grams": 8.0, "note": ""}, {"ingredient_id": "garlic", "name": "Garlic", "grams": 8.0, "note": ""}, {"ingredient_id": "onion", "name": "Yellow onion", "grams": 120.0, "note": ""}, {"ingredient_id": "butter", "name": "Butter", "grams": 20.0, "note": ""}, {"ingredient_id": "cauliflower_rice", "name": "Cauliflower rice", "grams": 400.0, "note": ""}]</t>
        </is>
      </c>
      <c r="N1306" s="2" t="n">
        <v>351</v>
      </c>
      <c r="O1306" s="5" t="n">
        <v>33.6</v>
      </c>
      <c r="P1306" s="5" t="n">
        <v>18.1</v>
      </c>
      <c r="Q1306" s="5" t="n">
        <v>14.6</v>
      </c>
      <c r="R1306" s="5" t="n">
        <v>4.6</v>
      </c>
      <c r="S1306" s="5" t="n">
        <v>10</v>
      </c>
      <c r="T1306" s="2" t="n">
        <v>21</v>
      </c>
      <c r="U1306" s="2" t="inlineStr">
        <is>
          <t>low</t>
        </is>
      </c>
      <c r="V1306" s="5" t="n">
        <v>2.1</v>
      </c>
      <c r="W1306" s="2" t="inlineStr">
        <is>
          <t>low</t>
        </is>
      </c>
      <c r="X1306" s="3" t="inlineStr"/>
      <c r="Y1306" s="3" t="inlineStr">
        <is>
          <t>0% of this dish's available carbohydrate comes from ingredients with a published, measured GI; the rest uses conventional placeholders (see Ingredients sheet)</t>
        </is>
      </c>
      <c r="Z1306" s="2" t="n">
        <v>0</v>
      </c>
      <c r="AA1306" s="3" t="inlineStr">
        <is>
          <t>gluten-free, nut-free, low-carb, high-protein</t>
        </is>
      </c>
      <c r="AB1306" s="3" t="inlineStr">
        <is>
          <t>1. Brown the chicken in butter.
2. Add the onion, garlic, ginger and spices, then the tomato sauce.
3. Simmer 15 minutes and stir in the cream.
4. Serve over cauliflower rice.</t>
        </is>
      </c>
      <c r="AC1306" s="4" t="inlineStr">
        <is>
          <t>["Brown the chicken in butter.", "Add the onion, garlic, ginger and spices, then the tomato sauce.", "Simmer 15 minutes and stir in the cream.", "Serve over cauliflower rice."]</t>
        </is>
      </c>
    </row>
    <row r="1307" ht="96" customHeight="1">
      <c r="A1307" s="2" t="inlineStr">
        <is>
          <t>DB-1306</t>
        </is>
      </c>
      <c r="B1307" s="3" t="inlineStr">
        <is>
          <t>Herb-Roasted Turkey Breast with Pan Gravy</t>
        </is>
      </c>
      <c r="C1307" s="4" t="inlineStr">
        <is>
          <t>Poultry</t>
        </is>
      </c>
      <c r="D1307" s="4" t="inlineStr">
        <is>
          <t>American</t>
        </is>
      </c>
      <c r="E1307" s="2" t="n">
        <v>8</v>
      </c>
      <c r="F1307" s="2" t="n">
        <v>20</v>
      </c>
      <c r="G1307" s="2" t="n">
        <v>90</v>
      </c>
      <c r="H1307" s="2" t="n">
        <v>110</v>
      </c>
      <c r="I1307" s="4" t="inlineStr">
        <is>
          <t>herb-roasted-turkey-breast-with-pan-gravy.jpg</t>
        </is>
      </c>
      <c r="J1307" s="3" t="inlineStr">
        <is>
          <t>Herb-Roasted Turkey Breast with Pan Gravy, healthy food photography, plated, natural light</t>
        </is>
      </c>
      <c r="K1307" s="4" t="inlineStr"/>
      <c r="L1307" s="3" t="inlineStr">
        <is>
          <t>Turkey breast, skinless — 1600 g (56.4 oz)
Butter — 40 g (1.4 oz)
Fresh sage — 4 g (0.1 oz)
Fresh thyme — 4 g (0.1 oz)
Fresh rosemary — 3 g (0.1 oz)
Garlic — 10 g (0.4 oz)
Chicken broth, low sodium — 400 g (14.1 oz)
Arrowroot starch — 12 g (0.4 oz)
Yellow onion — 150 g (5.3 oz)
Salt — 5 g (0.2 oz)</t>
        </is>
      </c>
      <c r="M1307" s="4" t="inlineStr">
        <is>
          <t>[{"ingredient_id": "turkey_breast", "name": "Turkey breast, skinless", "grams": 1600.0, "note": ""}, {"ingredient_id": "butter", "name": "Butter", "grams": 40.0, "note": ""}, {"ingredient_id": "sage", "name": "Fresh sage", "grams": 4.0, "note": ""}, {"ingredient_id": "thyme", "name": "Fresh thyme", "grams": 4.0, "note": ""}, {"ingredient_id": "rosemary", "name": "Fresh rosemary", "grams": 3.0, "note": ""}, {"ingredient_id": "garlic", "name": "Garlic", "grams": 10.0, "note": ""}, {"ingredient_id": "chicken_broth", "name": "Chicken broth, low sodium", "grams": 400.0, "note": ""}, {"ingredient_id": "arrowroot", "name": "Arrowroot starch", "grams": 12.0, "note": ""}, {"ingredient_id": "onion", "name": "Yellow onion", "grams": 150.0, "note": ""}, {"ingredient_id": "salt", "name": "Salt", "grams": 5.0, "note": ""}]</t>
        </is>
      </c>
      <c r="N1307" s="2" t="n">
        <v>277</v>
      </c>
      <c r="O1307" s="5" t="n">
        <v>48.9</v>
      </c>
      <c r="P1307" s="5" t="n">
        <v>6.3</v>
      </c>
      <c r="Q1307" s="5" t="n">
        <v>4.2</v>
      </c>
      <c r="R1307" s="5" t="n">
        <v>0.7</v>
      </c>
      <c r="S1307" s="5" t="n">
        <v>3.5</v>
      </c>
      <c r="T1307" s="2" t="n">
        <v>34</v>
      </c>
      <c r="U1307" s="2" t="inlineStr">
        <is>
          <t>low</t>
        </is>
      </c>
      <c r="V1307" s="5" t="n">
        <v>1.2</v>
      </c>
      <c r="W1307" s="2" t="inlineStr">
        <is>
          <t>low</t>
        </is>
      </c>
      <c r="X1307" s="3" t="inlineStr">
        <is>
          <t>Negligible carbohydrate (&lt;5 g net/serving): GI has little practical meaning, glycemic load is what matters.</t>
        </is>
      </c>
      <c r="Y1307" s="3" t="inlineStr">
        <is>
          <t>36% of this dish's available carbohydrate comes from ingredients with a published, measured GI; the rest uses conventional placeholders (see Ingredients sheet)</t>
        </is>
      </c>
      <c r="Z1307" s="2" t="n">
        <v>36</v>
      </c>
      <c r="AA1307" s="3" t="inlineStr">
        <is>
          <t>gluten-free, nut-free, low-carb, high-protein</t>
        </is>
      </c>
      <c r="AB1307" s="3" t="inlineStr">
        <is>
          <t>1. Rub the turkey with butter, herbs, garlic and salt and set on the onion.
2. Roast at 350°F until 165°F, about 90 minutes, adding broth to the pan.
3. Strain the juices, thicken with arrowroot into a gravy and slice.</t>
        </is>
      </c>
      <c r="AC1307" s="4" t="inlineStr">
        <is>
          <t>["Rub the turkey with butter, herbs, garlic and salt and set on the onion.", "Roast at 350°F until 165°F, about 90 minutes, adding broth to the pan.", "Strain the juices, thicken with arrowroot into a gravy and slice."]</t>
        </is>
      </c>
    </row>
    <row r="1308" ht="96" customHeight="1">
      <c r="A1308" s="2" t="inlineStr">
        <is>
          <t>DB-1307</t>
        </is>
      </c>
      <c r="B1308" s="3" t="inlineStr">
        <is>
          <t>Bread Stuffing with Celery and Sage</t>
        </is>
      </c>
      <c r="C1308" s="4" t="inlineStr">
        <is>
          <t>Side Dish</t>
        </is>
      </c>
      <c r="D1308" s="4" t="inlineStr">
        <is>
          <t>American</t>
        </is>
      </c>
      <c r="E1308" s="2" t="n">
        <v>8</v>
      </c>
      <c r="F1308" s="2" t="n">
        <v>20</v>
      </c>
      <c r="G1308" s="2" t="n">
        <v>40</v>
      </c>
      <c r="H1308" s="2" t="n">
        <v>60</v>
      </c>
      <c r="I1308" s="4" t="inlineStr">
        <is>
          <t>bread-stuffing-with-celery-and-sage.jpg</t>
        </is>
      </c>
      <c r="J1308" s="3" t="inlineStr">
        <is>
          <t>Bread Stuffing with Celery and Sage, healthy food photography, plated, natural light</t>
        </is>
      </c>
      <c r="K1308" s="4" t="inlineStr"/>
      <c r="L1308" s="3" t="inlineStr">
        <is>
          <t>White bread — 320 g (11.3 oz)
Celery — 150 g (5.3 oz)
Yellow onion — 150 g (5.3 oz)
Chicken broth, low sodium — 350 g (12.3 oz)
Butter — 40 g (1.4 oz)
Fresh sage — 4 g (0.1 oz)
Fresh thyme — 3 g (0.1 oz)
Egg, large (50 g each) — 50 g (1.8 oz)</t>
        </is>
      </c>
      <c r="M1308" s="4" t="inlineStr">
        <is>
          <t>[{"ingredient_id": "white_bread", "name": "White bread", "grams": 320.0, "note": ""}, {"ingredient_id": "celery", "name": "Celery", "grams": 150.0, "note": ""}, {"ingredient_id": "onion", "name": "Yellow onion", "grams": 150.0, "note": ""}, {"ingredient_id": "chicken_broth", "name": "Chicken broth, low sodium", "grams": 350.0, "note": ""}, {"ingredient_id": "butter", "name": "Butter", "grams": 40.0, "note": ""}, {"ingredient_id": "sage", "name": "Fresh sage", "grams": 4.0, "note": ""}, {"ingredient_id": "thyme", "name": "Fresh thyme", "grams": 3.0, "note": ""}, {"ingredient_id": "egg", "name": "Egg, large (50 g each)", "grams": 50.0, "note": ""}]</t>
        </is>
      </c>
      <c r="N1308" s="2" t="n">
        <v>167</v>
      </c>
      <c r="O1308" s="5" t="n">
        <v>5.5</v>
      </c>
      <c r="P1308" s="5" t="n">
        <v>6.3</v>
      </c>
      <c r="Q1308" s="5" t="n">
        <v>22.6</v>
      </c>
      <c r="R1308" s="5" t="n">
        <v>1.8</v>
      </c>
      <c r="S1308" s="5" t="n">
        <v>20.8</v>
      </c>
      <c r="T1308" s="2" t="n">
        <v>66</v>
      </c>
      <c r="U1308" s="2" t="inlineStr">
        <is>
          <t>medium</t>
        </is>
      </c>
      <c r="V1308" s="5" t="n">
        <v>13.8</v>
      </c>
      <c r="W1308" s="2" t="inlineStr">
        <is>
          <t>medium</t>
        </is>
      </c>
      <c r="X1308" s="3" t="inlineStr">
        <is>
          <t>Medium-GI dish: keep to the stated portion and pair with the protein/fat in the recipe; GL per serving is the better guide.</t>
        </is>
      </c>
      <c r="Y1308" s="3" t="inlineStr">
        <is>
          <t>90% of this dish's available carbohydrate comes from ingredients with a published, measured GI; the rest uses conventional placeholders (see Ingredients sheet)</t>
        </is>
      </c>
      <c r="Z1308" s="2" t="n">
        <v>90</v>
      </c>
      <c r="AA1308" s="3" t="inlineStr">
        <is>
          <t>vegetarian, nut-free</t>
        </is>
      </c>
      <c r="AB1308" s="3" t="inlineStr">
        <is>
          <t>1. Cube and dry the bread.
2. Sauté the onion and celery in butter with the herbs.
3. Toss with the bread, broth and egg.
4. Bake covered at 350°F for 30 minutes, uncovered for 10.</t>
        </is>
      </c>
      <c r="AC1308" s="4" t="inlineStr">
        <is>
          <t>["Cube and dry the bread.", "Sauté the onion and celery in butter with the herbs.", "Toss with the bread, broth and egg.", "Bake covered at 350°F for 30 minutes, uncovered for 10."]</t>
        </is>
      </c>
    </row>
    <row r="1309" ht="96" customHeight="1">
      <c r="A1309" s="2" t="inlineStr">
        <is>
          <t>DB-1308</t>
        </is>
      </c>
      <c r="B1309" s="3" t="inlineStr">
        <is>
          <t>Cranberry Sauce with Orange (Low Sugar)</t>
        </is>
      </c>
      <c r="C1309" s="4" t="inlineStr">
        <is>
          <t>Side Dish</t>
        </is>
      </c>
      <c r="D1309" s="4" t="inlineStr">
        <is>
          <t>American</t>
        </is>
      </c>
      <c r="E1309" s="2" t="n">
        <v>8</v>
      </c>
      <c r="F1309" s="2" t="n">
        <v>5</v>
      </c>
      <c r="G1309" s="2" t="n">
        <v>12</v>
      </c>
      <c r="H1309" s="2" t="n">
        <v>17</v>
      </c>
      <c r="I1309" s="4" t="inlineStr">
        <is>
          <t>cranberry-sauce-with-orange-low-sugar.jpg</t>
        </is>
      </c>
      <c r="J1309" s="3" t="inlineStr">
        <is>
          <t>Cranberry Sauce with Orange (Low Sugar), healthy food photography, plated, natural light</t>
        </is>
      </c>
      <c r="K1309" s="4" t="inlineStr"/>
      <c r="L1309" s="3" t="inlineStr">
        <is>
          <t>Cranberries, fresh — 340 g (12.0 oz)
Orange — 100 g (3.5 oz)
Monk fruit/erythritol sweetener — 12 g (0.4 oz)
Ground cinnamon — 1 g (0.0 oz)
Water / ice — 80 g (2.8 oz)</t>
        </is>
      </c>
      <c r="M1309" s="4" t="inlineStr">
        <is>
          <t>[{"ingredient_id": "cranberries", "name": "Cranberries, fresh", "grams": 340.0, "note": ""}, {"ingredient_id": "orange", "name": "Orange", "grams": 100.0, "note": ""}, {"ingredient_id": "monk_fruit_sweetener", "name": "Monk fruit/erythritol sweetener", "grams": 12.0, "note": ""}, {"ingredient_id": "cinnamon", "name": "Ground cinnamon", "grams": 1.0, "note": ""}, {"ingredient_id": "water", "name": "Water / ice", "grams": 80.0, "note": ""}]</t>
        </is>
      </c>
      <c r="N1309" s="2" t="n">
        <v>26</v>
      </c>
      <c r="O1309" s="5" t="n">
        <v>0.3</v>
      </c>
      <c r="P1309" s="5" t="n">
        <v>0.1</v>
      </c>
      <c r="Q1309" s="5" t="n">
        <v>6.7</v>
      </c>
      <c r="R1309" s="5" t="n">
        <v>2.3</v>
      </c>
      <c r="S1309" s="5" t="n">
        <v>4.4</v>
      </c>
      <c r="T1309" s="2" t="n">
        <v>44</v>
      </c>
      <c r="U1309" s="2" t="inlineStr">
        <is>
          <t>low</t>
        </is>
      </c>
      <c r="V1309" s="5" t="n">
        <v>1.9</v>
      </c>
      <c r="W1309" s="2" t="inlineStr">
        <is>
          <t>low</t>
        </is>
      </c>
      <c r="X1309" s="3" t="inlineStr">
        <is>
          <t>Negligible carbohydrate (&lt;5 g net/serving): GI has little practical meaning, glycemic load is what matters.</t>
        </is>
      </c>
      <c r="Y1309" s="3" t="inlineStr">
        <is>
          <t>27% of this dish's available carbohydrate comes from ingredients with a published, measured GI; the rest uses conventional placeholders (see Ingredients sheet)</t>
        </is>
      </c>
      <c r="Z1309" s="2" t="n">
        <v>27</v>
      </c>
      <c r="AA1309" s="3" t="inlineStr">
        <is>
          <t>vegan, gluten-free, dairy-free, nut-free, low-carb</t>
        </is>
      </c>
      <c r="AB1309" s="3" t="inlineStr">
        <is>
          <t>1. Simmer everything for 10 to 12 minutes until the berries pop.
2. Cool; it thickens as it chills.</t>
        </is>
      </c>
      <c r="AC1309" s="4" t="inlineStr">
        <is>
          <t>["Simmer everything for 10 to 12 minutes until the berries pop.", "Cool; it thickens as it chills."]</t>
        </is>
      </c>
    </row>
    <row r="1310" ht="96" customHeight="1">
      <c r="A1310" s="2" t="inlineStr">
        <is>
          <t>DB-1309</t>
        </is>
      </c>
      <c r="B1310" s="3" t="inlineStr">
        <is>
          <t>Pumpkin Custard (Crustless Pie)</t>
        </is>
      </c>
      <c r="C1310" s="4" t="inlineStr">
        <is>
          <t>Dessert</t>
        </is>
      </c>
      <c r="D1310" s="4" t="inlineStr">
        <is>
          <t>American</t>
        </is>
      </c>
      <c r="E1310" s="2" t="n">
        <v>8</v>
      </c>
      <c r="F1310" s="2" t="n">
        <v>10</v>
      </c>
      <c r="G1310" s="2" t="n">
        <v>50</v>
      </c>
      <c r="H1310" s="2" t="n">
        <v>60</v>
      </c>
      <c r="I1310" s="4" t="inlineStr">
        <is>
          <t>pumpkin-custard-crustless-pie.jpg</t>
        </is>
      </c>
      <c r="J1310" s="3" t="inlineStr">
        <is>
          <t>Pumpkin Custard (Crustless Pie), healthy food photography, plated, natural light</t>
        </is>
      </c>
      <c r="K1310" s="4" t="inlineStr"/>
      <c r="L1310" s="3" t="inlineStr">
        <is>
          <t>Pumpkin puree, canned — 425 g (15.0 oz)
Egg, large (50 g each) — 150 g (5.3 oz)
Milk, 2% — 300 g (10.6 oz)
White sugar — 30 g (1.1 oz)
Pumpkin pie spice — 5 g (0.2 oz)
Vanilla extract — 5 g (0.2 oz)</t>
        </is>
      </c>
      <c r="M1310" s="4" t="inlineStr">
        <is>
          <t>[{"ingredient_id": "pumpkin_puree", "name": "Pumpkin puree, canned", "grams": 425.0, "note": ""}, {"ingredient_id": "egg", "name": "Egg, large (50 g each)", "grams": 150.0, "note": ""}, {"ingredient_id": "milk", "name": "Milk, 2%", "grams": 300.0, "note": ""}, {"ingredient_id": "sugar_white", "name": "White sugar", "grams": 30.0, "note": ""}, {"ingredient_id": "pumpkin_pie_spice", "name": "Pumpkin pie spice", "grams": 5.0, "note": ""}, {"ingredient_id": "vanilla_extract", "name": "Vanilla extract", "grams": 5.0, "note": ""}]</t>
        </is>
      </c>
      <c r="N1310" s="2" t="n">
        <v>83</v>
      </c>
      <c r="O1310" s="5" t="n">
        <v>4.2</v>
      </c>
      <c r="P1310" s="5" t="n">
        <v>2.6</v>
      </c>
      <c r="Q1310" s="5" t="n">
        <v>10.5</v>
      </c>
      <c r="R1310" s="5" t="n">
        <v>1.8</v>
      </c>
      <c r="S1310" s="5" t="n">
        <v>8.699999999999999</v>
      </c>
      <c r="T1310" s="2" t="n">
        <v>56</v>
      </c>
      <c r="U1310" s="2" t="inlineStr">
        <is>
          <t>medium</t>
        </is>
      </c>
      <c r="V1310" s="5" t="n">
        <v>4.9</v>
      </c>
      <c r="W1310" s="2" t="inlineStr">
        <is>
          <t>low</t>
        </is>
      </c>
      <c r="X1310" s="3" t="inlineStr">
        <is>
          <t>Medium-GI dish: keep to the stated portion and pair with the protein/fat in the recipe; GL per serving is the better guide.</t>
        </is>
      </c>
      <c r="Y1310" s="3" t="inlineStr">
        <is>
          <t>94% of this dish's available carbohydrate comes from ingredients with a published, measured GI; the rest uses conventional placeholders (see Ingredients sheet)</t>
        </is>
      </c>
      <c r="Z1310" s="2" t="n">
        <v>94</v>
      </c>
      <c r="AA1310" s="3" t="inlineStr">
        <is>
          <t>vegetarian, gluten-free, nut-free, low-carb</t>
        </is>
      </c>
      <c r="AB1310" s="3" t="inlineStr">
        <is>
          <t>1. Whisk everything together.
2. Pour into a greased dish.
3. Bake at 350°F for 45 to 50 minutes until set.</t>
        </is>
      </c>
      <c r="AC1310" s="4" t="inlineStr">
        <is>
          <t>["Whisk everything together.", "Pour into a greased dish.", "Bake at 350°F for 45 to 50 minutes until set."]</t>
        </is>
      </c>
    </row>
    <row r="1311" ht="96" customHeight="1">
      <c r="A1311" s="2" t="inlineStr">
        <is>
          <t>DB-1310</t>
        </is>
      </c>
      <c r="B1311" s="3" t="inlineStr">
        <is>
          <t>Roasted Brussels Sprouts with Pecans and Cranberries</t>
        </is>
      </c>
      <c r="C1311" s="4" t="inlineStr">
        <is>
          <t>Side Dish</t>
        </is>
      </c>
      <c r="D1311" s="4" t="inlineStr">
        <is>
          <t>American</t>
        </is>
      </c>
      <c r="E1311" s="2" t="n">
        <v>6</v>
      </c>
      <c r="F1311" s="2" t="n">
        <v>10</v>
      </c>
      <c r="G1311" s="2" t="n">
        <v>25</v>
      </c>
      <c r="H1311" s="2" t="n">
        <v>35</v>
      </c>
      <c r="I1311" s="4" t="inlineStr">
        <is>
          <t>roasted-brussels-sprouts-with-pecans-and-cranberries.jpg</t>
        </is>
      </c>
      <c r="J1311" s="3" t="inlineStr">
        <is>
          <t>Roasted Brussels Sprouts with Pecans and Cranberries, healthy food photography, plated, natural light</t>
        </is>
      </c>
      <c r="K1311" s="4" t="inlineStr"/>
      <c r="L1311" s="3" t="inlineStr">
        <is>
          <t>Brussels sprouts — 600 g (21.2 oz)
Pecans — 40 g (1.4 oz)
Cranberries, fresh — 40 g (1.4 oz)
Extra-virgin olive oil — 25 g (0.9 oz)
Balsamic vinegar — 15 g (0.5 oz)
Salt — 2 g (0.1 oz)</t>
        </is>
      </c>
      <c r="M1311" s="4" t="inlineStr">
        <is>
          <t>[{"ingredient_id": "brussels_sprouts", "name": "Brussels sprouts", "grams": 600.0, "note": ""}, {"ingredient_id": "pecans", "name": "Pecans", "grams": 40.0, "note": ""}, {"ingredient_id": "cranberries", "name": "Cranberries, fresh", "grams": 40.0, "note": ""}, {"ingredient_id": "olive_oil", "name": "Extra-virgin olive oil", "grams": 25.0, "note": ""}, {"ingredient_id": "balsamic_vinegar", "name": "Balsamic vinegar", "grams": 15.0, "note": ""}, {"ingredient_id": "salt", "name": "Salt", "grams": 2.0, "note": ""}]</t>
        </is>
      </c>
      <c r="N1311" s="2" t="n">
        <v>131</v>
      </c>
      <c r="O1311" s="5" t="n">
        <v>4</v>
      </c>
      <c r="P1311" s="5" t="n">
        <v>9.300000000000001</v>
      </c>
      <c r="Q1311" s="5" t="n">
        <v>11.2</v>
      </c>
      <c r="R1311" s="5" t="n">
        <v>4.7</v>
      </c>
      <c r="S1311" s="5" t="n">
        <v>6.4</v>
      </c>
      <c r="T1311" s="2" t="n">
        <v>19</v>
      </c>
      <c r="U1311" s="2" t="inlineStr">
        <is>
          <t>low</t>
        </is>
      </c>
      <c r="V1311" s="5" t="n">
        <v>1.2</v>
      </c>
      <c r="W1311" s="2" t="inlineStr">
        <is>
          <t>low</t>
        </is>
      </c>
      <c r="X1311" s="3" t="inlineStr"/>
      <c r="Y1311" s="3" t="inlineStr">
        <is>
          <t>0% of this dish's available carbohydrate comes from ingredients with a published, measured GI; the rest uses conventional placeholders (see Ingredients sheet)</t>
        </is>
      </c>
      <c r="Z1311" s="2" t="n">
        <v>0</v>
      </c>
      <c r="AA1311" s="3" t="inlineStr">
        <is>
          <t>vegan, gluten-free, dairy-free, low-carb</t>
        </is>
      </c>
      <c r="AB1311" s="3" t="inlineStr">
        <is>
          <t>1. Roast the halved sprouts with oil and salt at 425°F for 20 minutes.
2. Toss with pecans, cranberries and balsamic.</t>
        </is>
      </c>
      <c r="AC1311" s="4" t="inlineStr">
        <is>
          <t>["Roast the halved sprouts with oil and salt at 425°F for 20 minutes.", "Toss with pecans, cranberries and balsamic."]</t>
        </is>
      </c>
    </row>
    <row r="1312" ht="96" customHeight="1">
      <c r="A1312" s="2" t="inlineStr">
        <is>
          <t>DB-1311</t>
        </is>
      </c>
      <c r="B1312" s="3" t="inlineStr">
        <is>
          <t>Mashed Cauliflower and Potato</t>
        </is>
      </c>
      <c r="C1312" s="4" t="inlineStr">
        <is>
          <t>Side Dish</t>
        </is>
      </c>
      <c r="D1312" s="4" t="inlineStr">
        <is>
          <t>American</t>
        </is>
      </c>
      <c r="E1312" s="2" t="n">
        <v>6</v>
      </c>
      <c r="F1312" s="2" t="n">
        <v>10</v>
      </c>
      <c r="G1312" s="2" t="n">
        <v>20</v>
      </c>
      <c r="H1312" s="2" t="n">
        <v>30</v>
      </c>
      <c r="I1312" s="4" t="inlineStr">
        <is>
          <t>mashed-cauliflower-and-potato.jpg</t>
        </is>
      </c>
      <c r="J1312" s="3" t="inlineStr">
        <is>
          <t>Mashed Cauliflower and Potato, healthy food photography, plated, natural light</t>
        </is>
      </c>
      <c r="K1312" s="4" t="inlineStr"/>
      <c r="L1312" s="3" t="inlineStr">
        <is>
          <t>Cauliflower — 450 g (15.9 oz)
Potato, boiled, peeled — 300 g (10.6 oz)
Butter — 25 g (0.9 oz)
Milk, 2% — 80 g (2.8 oz)
Garlic — 4 g (0.1 oz)
Fresh chives — 4 g (0.1 oz)</t>
        </is>
      </c>
      <c r="M1312" s="4" t="inlineStr">
        <is>
          <t>[{"ingredient_id": "cauliflower", "name": "Cauliflower", "grams": 450.0, "note": ""}, {"ingredient_id": "potato_boiled", "name": "Potato, boiled, peeled", "grams": 300.0, "note": ""}, {"ingredient_id": "butter", "name": "Butter", "grams": 25.0, "note": ""}, {"ingredient_id": "milk", "name": "Milk, 2%", "grams": 80.0, "note": ""}, {"ingredient_id": "garlic", "name": "Garlic", "grams": 4.0, "note": ""}, {"ingredient_id": "chives", "name": "Fresh chives", "grams": 4.0, "note": ""}]</t>
        </is>
      </c>
      <c r="N1312" s="2" t="n">
        <v>103</v>
      </c>
      <c r="O1312" s="5" t="n">
        <v>2.9</v>
      </c>
      <c r="P1312" s="5" t="n">
        <v>3.9</v>
      </c>
      <c r="Q1312" s="5" t="n">
        <v>15.4</v>
      </c>
      <c r="R1312" s="5" t="n">
        <v>2.3</v>
      </c>
      <c r="S1312" s="5" t="n">
        <v>13.1</v>
      </c>
      <c r="T1312" s="2" t="n">
        <v>55</v>
      </c>
      <c r="U1312" s="2" t="inlineStr">
        <is>
          <t>low</t>
        </is>
      </c>
      <c r="V1312" s="5" t="n">
        <v>7.2</v>
      </c>
      <c r="W1312" s="2" t="inlineStr">
        <is>
          <t>low</t>
        </is>
      </c>
      <c r="X1312" s="3" t="inlineStr"/>
      <c r="Y1312" s="3" t="inlineStr">
        <is>
          <t>81% of this dish's available carbohydrate comes from ingredients with a published, measured GI; the rest uses conventional placeholders (see Ingredients sheet)</t>
        </is>
      </c>
      <c r="Z1312" s="2" t="n">
        <v>81</v>
      </c>
      <c r="AA1312" s="3" t="inlineStr">
        <is>
          <t>vegetarian, gluten-free, nut-free, low-carb</t>
        </is>
      </c>
      <c r="AB1312" s="3" t="inlineStr">
        <is>
          <t>1. Boil the cauliflower and potatoes until tender.
2. Mash with butter, milk and garlic.
3. Top with chives.</t>
        </is>
      </c>
      <c r="AC1312" s="4" t="inlineStr">
        <is>
          <t>["Boil the cauliflower and potatoes until tender.", "Mash with butter, milk and garlic.", "Top with chives."]</t>
        </is>
      </c>
    </row>
    <row r="1313" ht="96" customHeight="1">
      <c r="A1313" s="2" t="inlineStr">
        <is>
          <t>DB-1312</t>
        </is>
      </c>
      <c r="B1313" s="3" t="inlineStr">
        <is>
          <t>Thyme Roasted Carrots</t>
        </is>
      </c>
      <c r="C1313" s="4" t="inlineStr">
        <is>
          <t>Side Dish</t>
        </is>
      </c>
      <c r="D1313" s="4" t="inlineStr">
        <is>
          <t>American</t>
        </is>
      </c>
      <c r="E1313" s="2" t="n">
        <v>6</v>
      </c>
      <c r="F1313" s="2" t="n">
        <v>10</v>
      </c>
      <c r="G1313" s="2" t="n">
        <v>30</v>
      </c>
      <c r="H1313" s="2" t="n">
        <v>40</v>
      </c>
      <c r="I1313" s="4" t="inlineStr">
        <is>
          <t>thyme-roasted-carrots.jpg</t>
        </is>
      </c>
      <c r="J1313" s="3" t="inlineStr">
        <is>
          <t>Thyme Roasted Carrots, healthy food photography, plated, natural light</t>
        </is>
      </c>
      <c r="K1313" s="4" t="inlineStr"/>
      <c r="L1313" s="3" t="inlineStr">
        <is>
          <t>Carrot — 700 g (24.7 oz)
Extra-virgin olive oil — 25 g (0.9 oz)
Fresh thyme — 3 g (0.1 oz)
Salt — 2 g (0.1 oz)
Black pepper — 1 g (0.0 oz)</t>
        </is>
      </c>
      <c r="M1313" s="4" t="inlineStr">
        <is>
          <t>[{"ingredient_id": "carrot", "name": "Carrot", "grams": 700.0, "note": ""}, {"ingredient_id": "olive_oil", "name": "Extra-virgin olive oil", "grams": 25.0, "note": ""}, {"ingredient_id": "thyme", "name": "Fresh thyme", "grams": 3.0, "note": ""}, {"ingredient_id": "salt", "name": "Salt", "grams": 2.0, "note": ""}, {"ingredient_id": "black_pepper", "name": "Black pepper", "grams": 1.0, "note": ""}]</t>
        </is>
      </c>
      <c r="N1313" s="2" t="n">
        <v>86</v>
      </c>
      <c r="O1313" s="5" t="n">
        <v>1.1</v>
      </c>
      <c r="P1313" s="5" t="n">
        <v>4.4</v>
      </c>
      <c r="Q1313" s="5" t="n">
        <v>11.4</v>
      </c>
      <c r="R1313" s="5" t="n">
        <v>3.4</v>
      </c>
      <c r="S1313" s="5" t="n">
        <v>8</v>
      </c>
      <c r="T1313" s="2" t="n">
        <v>39</v>
      </c>
      <c r="U1313" s="2" t="inlineStr">
        <is>
          <t>low</t>
        </is>
      </c>
      <c r="V1313" s="5" t="n">
        <v>3.1</v>
      </c>
      <c r="W1313" s="2" t="inlineStr">
        <is>
          <t>low</t>
        </is>
      </c>
      <c r="X1313" s="3" t="inlineStr"/>
      <c r="Y1313" s="3" t="inlineStr">
        <is>
          <t>99% of this dish's available carbohydrate comes from ingredients with a published, measured GI; the rest uses conventional placeholders (see Ingredients sheet)</t>
        </is>
      </c>
      <c r="Z1313" s="2" t="n">
        <v>99</v>
      </c>
      <c r="AA1313" s="3" t="inlineStr">
        <is>
          <t>vegan, gluten-free, dairy-free, nut-free, low-carb</t>
        </is>
      </c>
      <c r="AB1313" s="3" t="inlineStr">
        <is>
          <t>1. Roast the carrots with oil and thyme at 425°F for 30 minutes.</t>
        </is>
      </c>
      <c r="AC1313" s="4" t="inlineStr">
        <is>
          <t>["Roast the carrots with oil and thyme at 425°F for 30 minutes."]</t>
        </is>
      </c>
    </row>
    <row r="1314" ht="96" customHeight="1">
      <c r="A1314" s="2" t="inlineStr">
        <is>
          <t>DB-1313</t>
        </is>
      </c>
      <c r="B1314" s="3" t="inlineStr">
        <is>
          <t>Glazed Ham Steak with Pineapple</t>
        </is>
      </c>
      <c r="C1314" s="4" t="inlineStr">
        <is>
          <t>Beef, Pork &amp; Lamb</t>
        </is>
      </c>
      <c r="D1314" s="4" t="inlineStr">
        <is>
          <t>American</t>
        </is>
      </c>
      <c r="E1314" s="2" t="n">
        <v>4</v>
      </c>
      <c r="F1314" s="2" t="n">
        <v>5</v>
      </c>
      <c r="G1314" s="2" t="n">
        <v>12</v>
      </c>
      <c r="H1314" s="2" t="n">
        <v>17</v>
      </c>
      <c r="I1314" s="4" t="inlineStr">
        <is>
          <t>glazed-ham-steak-with-pineapple.jpg</t>
        </is>
      </c>
      <c r="J1314" s="3" t="inlineStr">
        <is>
          <t>Glazed Ham Steak with Pineapple, healthy food photography, plated, natural light</t>
        </is>
      </c>
      <c r="K1314" s="4" t="inlineStr"/>
      <c r="L1314" s="3" t="inlineStr">
        <is>
          <t>Ham, lean — 500 g (17.6 oz)
Pineapple — 150 g (5.3 oz)
Dijon mustard — 20 g (0.7 oz)
Apple cider vinegar — 10 g (0.4 oz)
Black pepper — 1 g (0.0 oz)
Extra-virgin olive oil — 10 g (0.4 oz)</t>
        </is>
      </c>
      <c r="M1314" s="4" t="inlineStr">
        <is>
          <t>[{"ingredient_id": "ham", "name": "Ham, lean", "grams": 500.0, "note": ""}, {"ingredient_id": "pineapple", "name": "Pineapple", "grams": 150.0, "note": ""}, {"ingredient_id": "dijon", "name": "Dijon mustard", "grams": 20.0, "note": ""}, {"ingredient_id": "apple_cider_vinegar", "name": "Apple cider vinegar", "grams": 10.0, "note": ""}, {"ingredient_id": "black_pepper", "name": "Black pepper", "grams": 1.0, "note": ""}, {"ingredient_id": "olive_oil", "name": "Extra-virgin olive oil", "grams": 10.0, "note": ""}]</t>
        </is>
      </c>
      <c r="N1314" s="2" t="n">
        <v>227</v>
      </c>
      <c r="O1314" s="5" t="n">
        <v>26.7</v>
      </c>
      <c r="P1314" s="5" t="n">
        <v>10.2</v>
      </c>
      <c r="Q1314" s="5" t="n">
        <v>7.2</v>
      </c>
      <c r="R1314" s="5" t="n">
        <v>0.7</v>
      </c>
      <c r="S1314" s="5" t="n">
        <v>6.4</v>
      </c>
      <c r="T1314" s="2" t="n">
        <v>48</v>
      </c>
      <c r="U1314" s="2" t="inlineStr">
        <is>
          <t>low</t>
        </is>
      </c>
      <c r="V1314" s="5" t="n">
        <v>3.1</v>
      </c>
      <c r="W1314" s="2" t="inlineStr">
        <is>
          <t>low</t>
        </is>
      </c>
      <c r="X1314" s="3" t="inlineStr"/>
      <c r="Y1314" s="3" t="inlineStr">
        <is>
          <t>67% of this dish's available carbohydrate comes from ingredients with a published, measured GI; the rest uses conventional placeholders (see Ingredients sheet)</t>
        </is>
      </c>
      <c r="Z1314" s="2" t="n">
        <v>67</v>
      </c>
      <c r="AA1314" s="3" t="inlineStr">
        <is>
          <t>gluten-free, dairy-free, nut-free, low-carb, high-protein</t>
        </is>
      </c>
      <c r="AB1314" s="3" t="inlineStr">
        <is>
          <t>1. Sear the ham steaks in oil.
2. Brush with mustard and vinegar and top with pineapple.
3. Broil 3 minutes.</t>
        </is>
      </c>
      <c r="AC1314" s="4" t="inlineStr">
        <is>
          <t>["Sear the ham steaks in oil.", "Brush with mustard and vinegar and top with pineapple.", "Broil 3 minutes."]</t>
        </is>
      </c>
    </row>
    <row r="1315" ht="96" customHeight="1">
      <c r="A1315" s="2" t="inlineStr">
        <is>
          <t>DB-1314</t>
        </is>
      </c>
      <c r="B1315" s="3" t="inlineStr">
        <is>
          <t>Sweet Potato Mash with Cinnamon</t>
        </is>
      </c>
      <c r="C1315" s="4" t="inlineStr">
        <is>
          <t>Side Dish</t>
        </is>
      </c>
      <c r="D1315" s="4" t="inlineStr">
        <is>
          <t>American</t>
        </is>
      </c>
      <c r="E1315" s="2" t="n">
        <v>5</v>
      </c>
      <c r="F1315" s="2" t="n">
        <v>10</v>
      </c>
      <c r="G1315" s="2" t="n">
        <v>25</v>
      </c>
      <c r="H1315" s="2" t="n">
        <v>35</v>
      </c>
      <c r="I1315" s="4" t="inlineStr">
        <is>
          <t>sweet-potato-mash-with-cinnamon.jpg</t>
        </is>
      </c>
      <c r="J1315" s="3" t="inlineStr">
        <is>
          <t>Sweet Potato Mash with Cinnamon, healthy food photography, plated, natural light</t>
        </is>
      </c>
      <c r="K1315" s="4" t="inlineStr"/>
      <c r="L1315" s="3" t="inlineStr">
        <is>
          <t>Sweet potato, boiled/simmered — 700 g (24.7 oz)
Butter — 20 g (0.7 oz)
Ground cinnamon — 2 g (0.1 oz)
Milk, 2% — 60 g (2.1 oz)
Salt — 1 g (0.0 oz)</t>
        </is>
      </c>
      <c r="M1315" s="4" t="inlineStr">
        <is>
          <t>[{"ingredient_id": "sweet_potato", "name": "Sweet potato, boiled/simmered", "grams": 700.0, "note": ""}, {"ingredient_id": "butter", "name": "Butter", "grams": 20.0, "note": ""}, {"ingredient_id": "cinnamon", "name": "Ground cinnamon", "grams": 2.0, "note": ""}, {"ingredient_id": "milk", "name": "Milk, 2%", "grams": 60.0, "note": ""}, {"ingredient_id": "salt", "name": "Salt", "grams": 1.0, "note": ""}]</t>
        </is>
      </c>
      <c r="N1315" s="2" t="n">
        <v>156</v>
      </c>
      <c r="O1315" s="5" t="n">
        <v>2.7</v>
      </c>
      <c r="P1315" s="5" t="n">
        <v>3.6</v>
      </c>
      <c r="Q1315" s="5" t="n">
        <v>28.9</v>
      </c>
      <c r="R1315" s="5" t="n">
        <v>4.4</v>
      </c>
      <c r="S1315" s="5" t="n">
        <v>24.5</v>
      </c>
      <c r="T1315" s="2" t="n">
        <v>45</v>
      </c>
      <c r="U1315" s="2" t="inlineStr">
        <is>
          <t>low</t>
        </is>
      </c>
      <c r="V1315" s="5" t="n">
        <v>11</v>
      </c>
      <c r="W1315" s="2" t="inlineStr">
        <is>
          <t>medium</t>
        </is>
      </c>
      <c r="X1315" s="3" t="inlineStr"/>
      <c r="Y1315" s="3" t="inlineStr">
        <is>
          <t>100% of this dish's available carbohydrate comes from ingredients with a published, measured GI; the rest uses conventional placeholders (see Ingredients sheet)</t>
        </is>
      </c>
      <c r="Z1315" s="2" t="n">
        <v>100</v>
      </c>
      <c r="AA1315" s="3" t="inlineStr">
        <is>
          <t>vegetarian, gluten-free, nut-free</t>
        </is>
      </c>
      <c r="AB1315" s="3" t="inlineStr">
        <is>
          <t>1. Boil the sweet potatoes until soft.
2. Mash with butter, milk, cinnamon and salt.</t>
        </is>
      </c>
      <c r="AC1315" s="4" t="inlineStr">
        <is>
          <t>["Boil the sweet potatoes until soft.", "Mash with butter, milk, cinnamon and salt."]</t>
        </is>
      </c>
    </row>
    <row r="1316" ht="96" customHeight="1">
      <c r="A1316" s="2" t="inlineStr">
        <is>
          <t>DB-1315</t>
        </is>
      </c>
      <c r="B1316" s="3" t="inlineStr">
        <is>
          <t>Turkey Pot Pie Casserole with Cauliflower Topping</t>
        </is>
      </c>
      <c r="C1316" s="4" t="inlineStr">
        <is>
          <t>Poultry</t>
        </is>
      </c>
      <c r="D1316" s="4" t="inlineStr">
        <is>
          <t>American</t>
        </is>
      </c>
      <c r="E1316" s="2" t="n">
        <v>6</v>
      </c>
      <c r="F1316" s="2" t="n">
        <v>20</v>
      </c>
      <c r="G1316" s="2" t="n">
        <v>40</v>
      </c>
      <c r="H1316" s="2" t="n">
        <v>60</v>
      </c>
      <c r="I1316" s="4" t="inlineStr">
        <is>
          <t>turkey-pot-pie-casserole-with-cauliflower-topping.jpg</t>
        </is>
      </c>
      <c r="J1316" s="3" t="inlineStr">
        <is>
          <t>Turkey Pot Pie Casserole with Cauliflower Topping, healthy food photography, plated, natural light</t>
        </is>
      </c>
      <c r="K1316" s="4" t="inlineStr"/>
      <c r="L1316" s="3" t="inlineStr">
        <is>
          <t>Turkey breast, skinless — 500 g (17.6 oz)
Cauliflower — 450 g (15.9 oz)
Carrot — 120 g (4.2 oz)
Green peas — 100 g (3.5 oz)
Celery — 60 g (2.1 oz)
Yellow onion — 100 g (3.5 oz)
Milk, 2% — 250 g (8.8 oz)
Chicken broth, low sodium — 250 g (8.8 oz)
Arrowroot starch — 10 g (0.4 oz)
Cheddar cheese — 60 g (2.1 oz)
Fresh thyme — 2 g (0.1 oz)</t>
        </is>
      </c>
      <c r="M1316" s="4" t="inlineStr">
        <is>
          <t>[{"ingredient_id": "turkey_breast", "name": "Turkey breast, skinless", "grams": 500.0, "note": ""}, {"ingredient_id": "cauliflower", "name": "Cauliflower", "grams": 450.0, "note": ""}, {"ingredient_id": "carrot", "name": "Carrot", "grams": 120.0, "note": ""}, {"ingredient_id": "green_peas", "name": "Green peas", "grams": 100.0, "note": ""}, {"ingredient_id": "celery", "name": "Celery", "grams": 60.0, "note": ""}, {"ingredient_id": "onion", "name": "Yellow onion", "grams": 100.0, "note": ""}, {"ingredient_id": "milk", "name": "Milk, 2%", "grams": 250.0, "note": ""}, {"ingredient_id": "chicken_broth", "name": "Chicken broth, low sodium", "grams": 250.0, "note": ""}, {"ingredient_id": "arrowroot", "name": "Arrowroot starch", "grams": 10.0, "note": ""}, {"ingredient_id": "cheddar", "name": "Cheddar cheese", "grams": 60.0, "note": ""}, {"ingredient_id": "thyme", "name": "Fresh thyme", "grams": 2.0, "note": ""}]</t>
        </is>
      </c>
      <c r="N1316" s="2" t="n">
        <v>211</v>
      </c>
      <c r="O1316" s="5" t="n">
        <v>26.9</v>
      </c>
      <c r="P1316" s="5" t="n">
        <v>5.4</v>
      </c>
      <c r="Q1316" s="5" t="n">
        <v>13.7</v>
      </c>
      <c r="R1316" s="5" t="n">
        <v>3.6</v>
      </c>
      <c r="S1316" s="5" t="n">
        <v>10.2</v>
      </c>
      <c r="T1316" s="2" t="n">
        <v>30</v>
      </c>
      <c r="U1316" s="2" t="inlineStr">
        <is>
          <t>low</t>
        </is>
      </c>
      <c r="V1316" s="5" t="n">
        <v>3.1</v>
      </c>
      <c r="W1316" s="2" t="inlineStr">
        <is>
          <t>low</t>
        </is>
      </c>
      <c r="X1316" s="3" t="inlineStr"/>
      <c r="Y1316" s="3" t="inlineStr">
        <is>
          <t>60% of this dish's available carbohydrate comes from ingredients with a published, measured GI; the rest uses conventional placeholders (see Ingredients sheet)</t>
        </is>
      </c>
      <c r="Z1316" s="2" t="n">
        <v>60</v>
      </c>
      <c r="AA1316" s="3" t="inlineStr">
        <is>
          <t>gluten-free, nut-free, low-carb, high-protein</t>
        </is>
      </c>
      <c r="AB1316" s="3" t="inlineStr">
        <is>
          <t>1. Simmer the turkey, vegetables, broth, milk and thyme and thicken with arrowroot.
2. Spread in a dish.
3. Top with mashed cauliflower and cheddar and bake at 375°F for 25 minutes.</t>
        </is>
      </c>
      <c r="AC1316" s="4" t="inlineStr">
        <is>
          <t>["Simmer the turkey, vegetables, broth, milk and thyme and thicken with arrowroot.", "Spread in a dish.", "Top with mashed cauliflower and cheddar and bake at 375°F for 25 minutes."]</t>
        </is>
      </c>
    </row>
    <row r="1317" ht="96" customHeight="1">
      <c r="A1317" s="2" t="inlineStr">
        <is>
          <t>DB-1316</t>
        </is>
      </c>
      <c r="B1317" s="3" t="inlineStr">
        <is>
          <t>Chicken Divan Casserole</t>
        </is>
      </c>
      <c r="C1317" s="4" t="inlineStr">
        <is>
          <t>Poultry</t>
        </is>
      </c>
      <c r="D1317" s="4" t="inlineStr">
        <is>
          <t>American</t>
        </is>
      </c>
      <c r="E1317" s="2" t="n">
        <v>6</v>
      </c>
      <c r="F1317" s="2" t="n">
        <v>15</v>
      </c>
      <c r="G1317" s="2" t="n">
        <v>35</v>
      </c>
      <c r="H1317" s="2" t="n">
        <v>50</v>
      </c>
      <c r="I1317" s="4" t="inlineStr">
        <is>
          <t>chicken-divan-casserole.jpg</t>
        </is>
      </c>
      <c r="J1317" s="3" t="inlineStr">
        <is>
          <t>Chicken Divan Casserole, healthy food photography, plated, natural light</t>
        </is>
      </c>
      <c r="K1317" s="4" t="inlineStr"/>
      <c r="L1317" s="3" t="inlineStr">
        <is>
          <t>Chicken breast, skinless — 500 g (17.6 oz)
Broccoli — 450 g (15.9 oz)
Greek yogurt, plain 2% — 150 g (5.3 oz)
Cheddar cheese — 90 g (3.2 oz)
Milk, 2% — 150 g (5.3 oz)
Curry powder — 3 g (0.1 oz)
Lemon juice — 15 g (0.5 oz)
Mayonnaise (avocado oil) — 25 g (0.9 oz)</t>
        </is>
      </c>
      <c r="M1317" s="4" t="inlineStr">
        <is>
          <t>[{"ingredient_id": "chicken_breast", "name": "Chicken breast, skinless", "grams": 500.0, "note": ""}, {"ingredient_id": "broccoli", "name": "Broccoli", "grams": 450.0, "note": ""}, {"ingredient_id": "greek_yogurt", "name": "Greek yogurt, plain 2%", "grams": 150.0, "note": ""}, {"ingredient_id": "cheddar", "name": "Cheddar cheese", "grams": 90.0, "note": ""}, {"ingredient_id": "milk", "name": "Milk, 2%", "grams": 150.0, "note": ""}, {"ingredient_id": "curry_powder", "name": "Curry powder", "grams": 3.0, "note": ""}, {"ingredient_id": "lemon_juice", "name": "Lemon juice", "grams": 15.0, "note": ""}, {"ingredient_id": "mayo", "name": "Mayonnaise (avocado oil)", "grams": 25.0, "note": ""}]</t>
        </is>
      </c>
      <c r="N1317" s="2" t="n">
        <v>248</v>
      </c>
      <c r="O1317" s="5" t="n">
        <v>27.7</v>
      </c>
      <c r="P1317" s="5" t="n">
        <v>11.7</v>
      </c>
      <c r="Q1317" s="5" t="n">
        <v>7.8</v>
      </c>
      <c r="R1317" s="5" t="n">
        <v>2.2</v>
      </c>
      <c r="S1317" s="5" t="n">
        <v>5.6</v>
      </c>
      <c r="T1317" s="2" t="n">
        <v>16</v>
      </c>
      <c r="U1317" s="2" t="inlineStr">
        <is>
          <t>low</t>
        </is>
      </c>
      <c r="V1317" s="5" t="n">
        <v>0.9</v>
      </c>
      <c r="W1317" s="2" t="inlineStr">
        <is>
          <t>low</t>
        </is>
      </c>
      <c r="X1317" s="3" t="inlineStr"/>
      <c r="Y1317" s="3" t="inlineStr">
        <is>
          <t>39% of this dish's available carbohydrate comes from ingredients with a published, measured GI; the rest uses conventional placeholders (see Ingredients sheet)</t>
        </is>
      </c>
      <c r="Z1317" s="2" t="n">
        <v>39</v>
      </c>
      <c r="AA1317" s="3" t="inlineStr">
        <is>
          <t>gluten-free, nut-free, low-carb, high-protein</t>
        </is>
      </c>
      <c r="AB1317" s="3" t="inlineStr">
        <is>
          <t>1. Arrange the chicken and steamed broccoli in a dish.
2. Stir the yogurt, milk, mayo, curry powder and lemon and pour over.
3. Top with cheddar and bake at 375°F for 30 minutes.</t>
        </is>
      </c>
      <c r="AC1317" s="4" t="inlineStr">
        <is>
          <t>["Arrange the chicken and steamed broccoli in a dish.", "Stir the yogurt, milk, mayo, curry powder and lemon and pour over.", "Top with cheddar and bake at 375°F for 30 minutes."]</t>
        </is>
      </c>
    </row>
    <row r="1318" ht="96" customHeight="1">
      <c r="A1318" s="2" t="inlineStr">
        <is>
          <t>DB-1317</t>
        </is>
      </c>
      <c r="B1318" s="3" t="inlineStr">
        <is>
          <t>Baked Spaghetti Casserole</t>
        </is>
      </c>
      <c r="C1318" s="4" t="inlineStr">
        <is>
          <t>Beef, Pork &amp; Lamb</t>
        </is>
      </c>
      <c r="D1318" s="4" t="inlineStr">
        <is>
          <t>Italian</t>
        </is>
      </c>
      <c r="E1318" s="2" t="n">
        <v>8</v>
      </c>
      <c r="F1318" s="2" t="n">
        <v>20</v>
      </c>
      <c r="G1318" s="2" t="n">
        <v>40</v>
      </c>
      <c r="H1318" s="2" t="n">
        <v>60</v>
      </c>
      <c r="I1318" s="4" t="inlineStr">
        <is>
          <t>baked-spaghetti-casserole.jpg</t>
        </is>
      </c>
      <c r="J1318" s="3" t="inlineStr">
        <is>
          <t>Baked Spaghetti Casserole, healthy food photography, plated, natural light</t>
        </is>
      </c>
      <c r="K1318" s="4" t="inlineStr"/>
      <c r="L1318" s="3" t="inlineStr">
        <is>
          <t>White pasta, cooked al dente — 720 g (25.4 oz)
Ground beef 90% lean — 450 g (15.9 oz)
Marinara sauce, no sugar added — 500 g (17.6 oz)
Mozzarella, part-skim — 150 g (5.3 oz)
Cottage cheese, low-fat — 200 g (7.1 oz)
Parmesan, grated — 30 g (1.1 oz)
Yellow onion — 100 g (3.5 oz)
Italian seasoning — 3 g (0.1 oz)</t>
        </is>
      </c>
      <c r="M1318" s="4" t="inlineStr">
        <is>
          <t>[{"ingredient_id": "white_pasta", "name": "White pasta, cooked al dente", "grams": 720.0, "note": ""}, {"ingredient_id": "ground_beef", "name": "Ground beef 90% lean", "grams": 450.0, "note": ""}, {"ingredient_id": "marinara", "name": "Marinara sauce, no sugar added", "grams": 500.0, "note": ""}, {"ingredient_id": "mozzarella", "name": "Mozzarella, part-skim", "grams": 150.0, "note": ""}, {"ingredient_id": "cottage_cheese", "name": "Cottage cheese, low-fat", "grams": 200.0, "note": ""}, {"ingredient_id": "parmesan", "name": "Parmesan, grated", "grams": 30.0, "note": ""}, {"ingredient_id": "onion", "name": "Yellow onion", "grams": 100.0, "note": ""}, {"ingredient_id": "italian_seasoning", "name": "Italian seasoning", "grams": 3.0, "note": ""}]</t>
        </is>
      </c>
      <c r="N1318" s="2" t="n">
        <v>359</v>
      </c>
      <c r="O1318" s="5" t="n">
        <v>26.2</v>
      </c>
      <c r="P1318" s="5" t="n">
        <v>12.7</v>
      </c>
      <c r="Q1318" s="5" t="n">
        <v>34</v>
      </c>
      <c r="R1318" s="5" t="n">
        <v>2.9</v>
      </c>
      <c r="S1318" s="5" t="n">
        <v>31</v>
      </c>
      <c r="T1318" s="2" t="n">
        <v>44</v>
      </c>
      <c r="U1318" s="2" t="inlineStr">
        <is>
          <t>low</t>
        </is>
      </c>
      <c r="V1318" s="5" t="n">
        <v>13.7</v>
      </c>
      <c r="W1318" s="2" t="inlineStr">
        <is>
          <t>medium</t>
        </is>
      </c>
      <c r="X1318" s="3" t="inlineStr"/>
      <c r="Y1318" s="3" t="inlineStr">
        <is>
          <t>91% of this dish's available carbohydrate comes from ingredients with a published, measured GI; the rest uses conventional placeholders (see Ingredients sheet)</t>
        </is>
      </c>
      <c r="Z1318" s="2" t="n">
        <v>91</v>
      </c>
      <c r="AA1318" s="3" t="inlineStr">
        <is>
          <t>nut-free, high-protein</t>
        </is>
      </c>
      <c r="AB1318" s="3" t="inlineStr">
        <is>
          <t>1. Brown the beef with the onion and stir in the marinara.
2. Mix the pasta with cottage cheese and half the sauce in a dish.
3. Top with the rest and cheeses and bake at 375°F for 30 minutes.</t>
        </is>
      </c>
      <c r="AC1318" s="4" t="inlineStr">
        <is>
          <t>["Brown the beef with the onion and stir in the marinara.", "Mix the pasta with cottage cheese and half the sauce in a dish.", "Top with the rest and cheeses and bake at 375°F for 30 minutes."]</t>
        </is>
      </c>
    </row>
    <row r="1319" ht="96" customHeight="1">
      <c r="A1319" s="2" t="inlineStr">
        <is>
          <t>DB-1318</t>
        </is>
      </c>
      <c r="B1319" s="3" t="inlineStr">
        <is>
          <t>King Ranch Chicken Casserole (Lightened)</t>
        </is>
      </c>
      <c r="C1319" s="4" t="inlineStr">
        <is>
          <t>Poultry</t>
        </is>
      </c>
      <c r="D1319" s="4" t="inlineStr">
        <is>
          <t>Tex-Mex</t>
        </is>
      </c>
      <c r="E1319" s="2" t="n">
        <v>6</v>
      </c>
      <c r="F1319" s="2" t="n">
        <v>20</v>
      </c>
      <c r="G1319" s="2" t="n">
        <v>35</v>
      </c>
      <c r="H1319" s="2" t="n">
        <v>55</v>
      </c>
      <c r="I1319" s="4" t="inlineStr">
        <is>
          <t>king-ranch-chicken-casserole-lightened.jpg</t>
        </is>
      </c>
      <c r="J1319" s="3" t="inlineStr">
        <is>
          <t>King Ranch Chicken Casserole (Lightened), healthy food photography, plated, natural light</t>
        </is>
      </c>
      <c r="K1319" s="4" t="inlineStr"/>
      <c r="L1319" s="3" t="inlineStr">
        <is>
          <t>Chicken breast, skinless — 500 g (17.6 oz)
Corn tortilla — 240 g (8.5 oz)
Diced green chiles, canned — 120 g (4.2 oz)
Bell pepper — 120 g (4.2 oz)
Yellow onion — 100 g (3.5 oz)
Greek yogurt, plain 2% — 150 g (5.3 oz)
Chicken broth, low sodium — 150 g (5.3 oz)
Cheddar cheese — 100 g (3.5 oz)
Chili powder — 4 g (0.1 oz)</t>
        </is>
      </c>
      <c r="M1319" s="4" t="inlineStr">
        <is>
          <t>[{"ingredient_id": "chicken_breast", "name": "Chicken breast, skinless", "grams": 500.0, "note": ""}, {"ingredient_id": "corn_tortilla", "name": "Corn tortilla", "grams": 240.0, "note": ""}, {"ingredient_id": "green_chiles", "name": "Diced green chiles, canned", "grams": 120.0, "note": ""}, {"ingredient_id": "bell_pepper", "name": "Bell pepper", "grams": 120.0, "note": ""}, {"ingredient_id": "onion", "name": "Yellow onion", "grams": 100.0, "note": ""}, {"ingredient_id": "greek_yogurt", "name": "Greek yogurt, plain 2%", "grams": 150.0, "note": ""}, {"ingredient_id": "chicken_broth", "name": "Chicken broth, low sodium", "grams": 150.0, "note": ""}, {"ingredient_id": "cheddar", "name": "Cheddar cheese", "grams": 100.0, "note": ""}, {"ingredient_id": "chili_powder", "name": "Chili powder", "grams": 4.0, "note": ""}]</t>
        </is>
      </c>
      <c r="N1319" s="2" t="n">
        <v>293</v>
      </c>
      <c r="O1319" s="5" t="n">
        <v>28.2</v>
      </c>
      <c r="P1319" s="5" t="n">
        <v>9.6</v>
      </c>
      <c r="Q1319" s="5" t="n">
        <v>23.3</v>
      </c>
      <c r="R1319" s="5" t="n">
        <v>3.8</v>
      </c>
      <c r="S1319" s="5" t="n">
        <v>19.6</v>
      </c>
      <c r="T1319" s="2" t="n">
        <v>44</v>
      </c>
      <c r="U1319" s="2" t="inlineStr">
        <is>
          <t>low</t>
        </is>
      </c>
      <c r="V1319" s="5" t="n">
        <v>8.6</v>
      </c>
      <c r="W1319" s="2" t="inlineStr">
        <is>
          <t>low</t>
        </is>
      </c>
      <c r="X1319" s="3" t="inlineStr"/>
      <c r="Y1319" s="3" t="inlineStr">
        <is>
          <t>84% of this dish's available carbohydrate comes from ingredients with a published, measured GI; the rest uses conventional placeholders (see Ingredients sheet)</t>
        </is>
      </c>
      <c r="Z1319" s="2" t="n">
        <v>84</v>
      </c>
      <c r="AA1319" s="3" t="inlineStr">
        <is>
          <t>gluten-free, nut-free, high-protein</t>
        </is>
      </c>
      <c r="AB1319" s="3" t="inlineStr">
        <is>
          <t>1. Mix the shredded chicken, chiles, pepper and onion with the yogurt, broth and chili powder.
2. Layer with torn tortillas in a dish.
3. Top with cheddar and bake at 375°F for 30 minutes.</t>
        </is>
      </c>
      <c r="AC1319" s="4" t="inlineStr">
        <is>
          <t>["Mix the shredded chicken, chiles, pepper and onion with the yogurt, broth and chili powder.", "Layer with torn tortillas in a dish.", "Top with cheddar and bake at 375°F for 30 minutes."]</t>
        </is>
      </c>
    </row>
    <row r="1320" ht="96" customHeight="1">
      <c r="A1320" s="2" t="inlineStr">
        <is>
          <t>DB-1319</t>
        </is>
      </c>
      <c r="B1320" s="3" t="inlineStr">
        <is>
          <t>Hamburger Helper-Style Skillet with Whole Pasta</t>
        </is>
      </c>
      <c r="C1320" s="4" t="inlineStr">
        <is>
          <t>Beef, Pork &amp; Lamb</t>
        </is>
      </c>
      <c r="D1320" s="4" t="inlineStr">
        <is>
          <t>American</t>
        </is>
      </c>
      <c r="E1320" s="2" t="n">
        <v>6</v>
      </c>
      <c r="F1320" s="2" t="n">
        <v>10</v>
      </c>
      <c r="G1320" s="2" t="n">
        <v>25</v>
      </c>
      <c r="H1320" s="2" t="n">
        <v>35</v>
      </c>
      <c r="I1320" s="4" t="inlineStr">
        <is>
          <t>hamburger-helper-style-skillet-with-whole-pasta.jpg</t>
        </is>
      </c>
      <c r="J1320" s="3" t="inlineStr">
        <is>
          <t>Hamburger Helper-Style Skillet with Whole Pasta, healthy food photography, plated, natural light</t>
        </is>
      </c>
      <c r="K1320" s="4" t="inlineStr"/>
      <c r="L1320" s="3" t="inlineStr">
        <is>
          <t>Ground beef 90% lean — 450 g (15.9 oz)
White pasta, cooked al dente — 420 g (14.8 oz)
Tomato sauce, canned, no sugar added — 250 g (8.8 oz)
Beef broth, low sodium — 300 g (10.6 oz)
Cheddar cheese — 90 g (3.2 oz)
Yellow onion — 100 g (3.5 oz)
Garlic powder — 3 g (0.1 oz)
Paprika — 2 g (0.1 oz)</t>
        </is>
      </c>
      <c r="M1320" s="4" t="inlineStr">
        <is>
          <t>[{"ingredient_id": "ground_beef", "name": "Ground beef 90% lean", "grams": 450.0, "note": ""}, {"ingredient_id": "white_pasta", "name": "White pasta, cooked al dente", "grams": 420.0, "note": ""}, {"ingredient_id": "tomato_sauce", "name": "Tomato sauce, canned, no sugar added", "grams": 250.0, "note": ""}, {"ingredient_id": "beef_broth", "name": "Beef broth, low sodium", "grams": 300.0, "note": ""}, {"ingredient_id": "cheddar", "name": "Cheddar cheese", "grams": 90.0, "note": ""}, {"ingredient_id": "onion", "name": "Yellow onion", "grams": 100.0, "note": ""}, {"ingredient_id": "garlic_powder", "name": "Garlic powder", "grams": 3.0, "note": ""}, {"ingredient_id": "paprika", "name": "Paprika", "grams": 2.0, "note": ""}]</t>
        </is>
      </c>
      <c r="N1320" s="2" t="n">
        <v>325</v>
      </c>
      <c r="O1320" s="5" t="n">
        <v>24</v>
      </c>
      <c r="P1320" s="5" t="n">
        <v>13.3</v>
      </c>
      <c r="Q1320" s="5" t="n">
        <v>26.2</v>
      </c>
      <c r="R1320" s="5" t="n">
        <v>2.3</v>
      </c>
      <c r="S1320" s="5" t="n">
        <v>23.9</v>
      </c>
      <c r="T1320" s="2" t="n">
        <v>45</v>
      </c>
      <c r="U1320" s="2" t="inlineStr">
        <is>
          <t>low</t>
        </is>
      </c>
      <c r="V1320" s="5" t="n">
        <v>10.7</v>
      </c>
      <c r="W1320" s="2" t="inlineStr">
        <is>
          <t>medium</t>
        </is>
      </c>
      <c r="X1320" s="3" t="inlineStr"/>
      <c r="Y1320" s="3" t="inlineStr">
        <is>
          <t>85% of this dish's available carbohydrate comes from ingredients with a published, measured GI; the rest uses conventional placeholders (see Ingredients sheet)</t>
        </is>
      </c>
      <c r="Z1320" s="2" t="n">
        <v>85</v>
      </c>
      <c r="AA1320" s="3" t="inlineStr">
        <is>
          <t>nut-free</t>
        </is>
      </c>
      <c r="AB1320" s="3" t="inlineStr">
        <is>
          <t>1. Brown the beef with the onion.
2. Add the tomato sauce, broth and spices and bring to a simmer.
3. Stir in the cooked pasta and cheddar until melted.</t>
        </is>
      </c>
      <c r="AC1320" s="4" t="inlineStr">
        <is>
          <t>["Brown the beef with the onion.", "Add the tomato sauce, broth and spices and bring to a simmer.", "Stir in the cooked pasta and cheddar until melted."]</t>
        </is>
      </c>
    </row>
    <row r="1321" ht="96" customHeight="1">
      <c r="A1321" s="2" t="inlineStr">
        <is>
          <t>DB-1320</t>
        </is>
      </c>
      <c r="B1321" s="3" t="inlineStr">
        <is>
          <t>Stuffed Acorn Squash with Sausage and Apple</t>
        </is>
      </c>
      <c r="C1321" s="4" t="inlineStr">
        <is>
          <t>Beef, Pork &amp; Lamb</t>
        </is>
      </c>
      <c r="D1321" s="4" t="inlineStr">
        <is>
          <t>American</t>
        </is>
      </c>
      <c r="E1321" s="2" t="n">
        <v>4</v>
      </c>
      <c r="F1321" s="2" t="n">
        <v>15</v>
      </c>
      <c r="G1321" s="2" t="n">
        <v>45</v>
      </c>
      <c r="H1321" s="2" t="n">
        <v>60</v>
      </c>
      <c r="I1321" s="4" t="inlineStr">
        <is>
          <t>stuffed-acorn-squash-with-sausage-and-apple.jpg</t>
        </is>
      </c>
      <c r="J1321" s="3" t="inlineStr">
        <is>
          <t>Stuffed Acorn Squash with Sausage and Apple, healthy food photography, plated, natural light</t>
        </is>
      </c>
      <c r="K1321" s="4" t="inlineStr"/>
      <c r="L1321" s="3" t="inlineStr">
        <is>
          <t>Butternut squash — 700 g (24.7 oz)
Turkey sausage — 300 g (10.6 oz)
Apple — 120 g (4.2 oz)
Yellow onion — 80 g (2.8 oz)
Fresh sage — 2 g (0.1 oz)
Pecans — 20 g (0.7 oz)
Extra-virgin olive oil — 10 g (0.4 oz)</t>
        </is>
      </c>
      <c r="M1321" s="4" t="inlineStr">
        <is>
          <t>[{"ingredient_id": "butternut_squash", "name": "Butternut squash", "grams": 700.0, "note": ""}, {"ingredient_id": "turkey_sausage", "name": "Turkey sausage", "grams": 300.0, "note": ""}, {"ingredient_id": "apple", "name": "Apple", "grams": 120.0, "note": ""}, {"ingredient_id": "onion", "name": "Yellow onion", "grams": 80.0, "note": ""}, {"ingredient_id": "sage", "name": "Fresh sage", "grams": 2.0, "note": ""}, {"ingredient_id": "pecans", "name": "Pecans", "grams": 20.0, "note": ""}, {"ingredient_id": "olive_oil", "name": "Extra-virgin olive oil", "grams": 10.0, "note": ""}]</t>
        </is>
      </c>
      <c r="N1321" s="2" t="n">
        <v>277</v>
      </c>
      <c r="O1321" s="5" t="n">
        <v>13.8</v>
      </c>
      <c r="P1321" s="5" t="n">
        <v>13.9</v>
      </c>
      <c r="Q1321" s="5" t="n">
        <v>29.6</v>
      </c>
      <c r="R1321" s="5" t="n">
        <v>5.2</v>
      </c>
      <c r="S1321" s="5" t="n">
        <v>24.3</v>
      </c>
      <c r="T1321" s="2" t="n">
        <v>43</v>
      </c>
      <c r="U1321" s="2" t="inlineStr">
        <is>
          <t>low</t>
        </is>
      </c>
      <c r="V1321" s="5" t="n">
        <v>10.5</v>
      </c>
      <c r="W1321" s="2" t="inlineStr">
        <is>
          <t>medium</t>
        </is>
      </c>
      <c r="X1321" s="3" t="inlineStr"/>
      <c r="Y1321" s="3" t="inlineStr">
        <is>
          <t>86% of this dish's available carbohydrate comes from ingredients with a published, measured GI; the rest uses conventional placeholders (see Ingredients sheet)</t>
        </is>
      </c>
      <c r="Z1321" s="2" t="n">
        <v>86</v>
      </c>
      <c r="AA1321" s="3" t="inlineStr">
        <is>
          <t>gluten-free, dairy-free</t>
        </is>
      </c>
      <c r="AB1321" s="3" t="inlineStr">
        <is>
          <t>1. Halve and roast the squash at 400°F for 30 minutes.
2. Brown the sausage with onion, apple and sage.
3. Fill the squash and top with pecans; return to the oven for 10 minutes.</t>
        </is>
      </c>
      <c r="AC1321" s="4" t="inlineStr">
        <is>
          <t>["Halve and roast the squash at 400°F for 30 minutes.", "Brown the sausage with onion, apple and sage.", "Fill the squash and top with pecans; return to the oven for 10 minutes."]</t>
        </is>
      </c>
    </row>
    <row r="1322" ht="96" customHeight="1">
      <c r="A1322" s="2" t="inlineStr">
        <is>
          <t>DB-1321</t>
        </is>
      </c>
      <c r="B1322" s="3" t="inlineStr">
        <is>
          <t>Pork Tenderloin with Apple Cider Glaze</t>
        </is>
      </c>
      <c r="C1322" s="4" t="inlineStr">
        <is>
          <t>Beef, Pork &amp; Lamb</t>
        </is>
      </c>
      <c r="D1322" s="4" t="inlineStr">
        <is>
          <t>American</t>
        </is>
      </c>
      <c r="E1322" s="2" t="n">
        <v>4</v>
      </c>
      <c r="F1322" s="2" t="n">
        <v>10</v>
      </c>
      <c r="G1322" s="2" t="n">
        <v>25</v>
      </c>
      <c r="H1322" s="2" t="n">
        <v>35</v>
      </c>
      <c r="I1322" s="4" t="inlineStr">
        <is>
          <t>pork-tenderloin-with-apple-cider-glaze.jpg</t>
        </is>
      </c>
      <c r="J1322" s="3" t="inlineStr">
        <is>
          <t>Pork Tenderloin with Apple Cider Glaze, healthy food photography, plated, natural light</t>
        </is>
      </c>
      <c r="K1322" s="4" t="inlineStr"/>
      <c r="L1322" s="3" t="inlineStr">
        <is>
          <t>Pork tenderloin — 600 g (21.2 oz)
Apple cider vinegar — 30 g (1.1 oz)
Dijon mustard — 20 g (0.7 oz)
Apple — 150 g (5.3 oz)
Fresh thyme — 2 g (0.1 oz)
Extra-virgin olive oil — 15 g (0.5 oz)
Green beans — 300 g (10.6 oz)</t>
        </is>
      </c>
      <c r="M1322" s="4" t="inlineStr">
        <is>
          <t>[{"ingredient_id": "pork_tenderloin", "name": "Pork tenderloin", "grams": 600.0, "note": ""}, {"ingredient_id": "apple_cider_vinegar", "name": "Apple cider vinegar", "grams": 30.0, "note": ""}, {"ingredient_id": "dijon", "name": "Dijon mustard", "grams": 20.0, "note": ""}, {"ingredient_id": "apple", "name": "Apple", "grams": 150.0, "note": ""}, {"ingredient_id": "thyme", "name": "Fresh thyme", "grams": 2.0, "note": ""}, {"ingredient_id": "olive_oil", "name": "Extra-virgin olive oil", "grams": 15.0, "note": ""}, {"ingredient_id": "green_beans", "name": "Green beans", "grams": 300.0, "note": ""}]</t>
        </is>
      </c>
      <c r="N1322" s="2" t="n">
        <v>261</v>
      </c>
      <c r="O1322" s="5" t="n">
        <v>33.2</v>
      </c>
      <c r="P1322" s="5" t="n">
        <v>9.4</v>
      </c>
      <c r="Q1322" s="5" t="n">
        <v>10.9</v>
      </c>
      <c r="R1322" s="5" t="n">
        <v>3.1</v>
      </c>
      <c r="S1322" s="5" t="n">
        <v>7.8</v>
      </c>
      <c r="T1322" s="2" t="n">
        <v>27</v>
      </c>
      <c r="U1322" s="2" t="inlineStr">
        <is>
          <t>low</t>
        </is>
      </c>
      <c r="V1322" s="5" t="n">
        <v>2.1</v>
      </c>
      <c r="W1322" s="2" t="inlineStr">
        <is>
          <t>low</t>
        </is>
      </c>
      <c r="X1322" s="3" t="inlineStr"/>
      <c r="Y1322" s="3" t="inlineStr">
        <is>
          <t>56% of this dish's available carbohydrate comes from ingredients with a published, measured GI; the rest uses conventional placeholders (see Ingredients sheet)</t>
        </is>
      </c>
      <c r="Z1322" s="2" t="n">
        <v>56</v>
      </c>
      <c r="AA1322" s="3" t="inlineStr">
        <is>
          <t>gluten-free, dairy-free, nut-free, low-carb, high-protein</t>
        </is>
      </c>
      <c r="AB1322" s="3" t="inlineStr">
        <is>
          <t>1. Sear the pork in oil.
2. Roast at 400°F for 15 minutes with the apple and green beans.
3. Brush with mustard and vinegar and rest before slicing.</t>
        </is>
      </c>
      <c r="AC1322" s="4" t="inlineStr">
        <is>
          <t>["Sear the pork in oil.", "Roast at 400°F for 15 minutes with the apple and green beans.", "Brush with mustard and vinegar and rest before slicing."]</t>
        </is>
      </c>
    </row>
    <row r="1323" ht="96" customHeight="1">
      <c r="A1323" s="2" t="inlineStr">
        <is>
          <t>DB-1322</t>
        </is>
      </c>
      <c r="B1323" s="3" t="inlineStr">
        <is>
          <t>Rosemary Lamb Chops with Roasted Vegetables</t>
        </is>
      </c>
      <c r="C1323" s="4" t="inlineStr">
        <is>
          <t>Beef, Pork &amp; Lamb</t>
        </is>
      </c>
      <c r="D1323" s="4" t="inlineStr">
        <is>
          <t>American</t>
        </is>
      </c>
      <c r="E1323" s="2" t="n">
        <v>4</v>
      </c>
      <c r="F1323" s="2" t="n">
        <v>10</v>
      </c>
      <c r="G1323" s="2" t="n">
        <v>25</v>
      </c>
      <c r="H1323" s="2" t="n">
        <v>35</v>
      </c>
      <c r="I1323" s="4" t="inlineStr">
        <is>
          <t>rosemary-lamb-chops-with-roasted-vegetables.jpg</t>
        </is>
      </c>
      <c r="J1323" s="3" t="inlineStr">
        <is>
          <t>Rosemary Lamb Chops with Roasted Vegetables, healthy food photography, plated, natural light</t>
        </is>
      </c>
      <c r="K1323" s="4" t="inlineStr"/>
      <c r="L1323" s="3" t="inlineStr">
        <is>
          <t>Lamb loin chop, trimmed — 600 g (21.2 oz)
Fresh rosemary — 4 g (0.1 oz)
Garlic — 8 g (0.3 oz)
Zucchini — 250 g (8.8 oz)
Bell pepper — 200 g (7.1 oz)
Extra-virgin olive oil — 25 g (0.9 oz)
Lemon juice — 15 g (0.5 oz)</t>
        </is>
      </c>
      <c r="M1323" s="4" t="inlineStr">
        <is>
          <t>[{"ingredient_id": "lamb_chop", "name": "Lamb loin chop, trimmed", "grams": 600.0, "note": ""}, {"ingredient_id": "rosemary", "name": "Fresh rosemary", "grams": 4.0, "note": ""}, {"ingredient_id": "garlic", "name": "Garlic", "grams": 8.0, "note": ""}, {"ingredient_id": "zucchini", "name": "Zucchini", "grams": 250.0, "note": ""}, {"ingredient_id": "bell_pepper", "name": "Bell pepper", "grams": 200.0, "note": ""}, {"ingredient_id": "olive_oil", "name": "Extra-virgin olive oil", "grams": 25.0, "note": ""}, {"ingredient_id": "lemon_juice", "name": "Lemon juice", "grams": 15.0, "note": ""}]</t>
        </is>
      </c>
      <c r="N1323" s="2" t="n">
        <v>341</v>
      </c>
      <c r="O1323" s="5" t="n">
        <v>32.9</v>
      </c>
      <c r="P1323" s="5" t="n">
        <v>20.9</v>
      </c>
      <c r="Q1323" s="5" t="n">
        <v>6.1</v>
      </c>
      <c r="R1323" s="5" t="n">
        <v>1.9</v>
      </c>
      <c r="S1323" s="5" t="n">
        <v>4.2</v>
      </c>
      <c r="T1323" s="2" t="n">
        <v>18</v>
      </c>
      <c r="U1323" s="2" t="inlineStr">
        <is>
          <t>low</t>
        </is>
      </c>
      <c r="V1323" s="5" t="n">
        <v>0.8</v>
      </c>
      <c r="W1323" s="2" t="inlineStr">
        <is>
          <t>low</t>
        </is>
      </c>
      <c r="X1323" s="3" t="inlineStr">
        <is>
          <t>Negligible carbohydrate (&lt;5 g net/serving): GI has little practical meaning, glycemic load is what matters.</t>
        </is>
      </c>
      <c r="Y1323" s="3" t="inlineStr">
        <is>
          <t>0% of this dish's available carbohydrate comes from ingredients with a published, measured GI; the rest uses conventional placeholders (see Ingredients sheet)</t>
        </is>
      </c>
      <c r="Z1323" s="2" t="n">
        <v>0</v>
      </c>
      <c r="AA1323" s="3" t="inlineStr">
        <is>
          <t>gluten-free, dairy-free, nut-free, low-carb, high-protein, one-pan</t>
        </is>
      </c>
      <c r="AB1323" s="3" t="inlineStr">
        <is>
          <t>1. Rub the chops with rosemary, garlic and oil.
2. Roast with the vegetables at 425°F for 18 to 20 minutes.
3. Finish with lemon.</t>
        </is>
      </c>
      <c r="AC1323" s="4" t="inlineStr">
        <is>
          <t>["Rub the chops with rosemary, garlic and oil.", "Roast with the vegetables at 425°F for 18 to 20 minutes.", "Finish with lemon."]</t>
        </is>
      </c>
    </row>
    <row r="1324" ht="96" customHeight="1">
      <c r="A1324" s="2" t="inlineStr">
        <is>
          <t>DB-1323</t>
        </is>
      </c>
      <c r="B1324" s="3" t="inlineStr">
        <is>
          <t>Standing Rib-Style Roast with Horseradish Yogurt</t>
        </is>
      </c>
      <c r="C1324" s="4" t="inlineStr">
        <is>
          <t>Beef, Pork &amp; Lamb</t>
        </is>
      </c>
      <c r="D1324" s="4" t="inlineStr">
        <is>
          <t>American</t>
        </is>
      </c>
      <c r="E1324" s="2" t="n">
        <v>8</v>
      </c>
      <c r="F1324" s="2" t="n">
        <v>15</v>
      </c>
      <c r="G1324" s="2" t="n">
        <v>120</v>
      </c>
      <c r="H1324" s="2" t="n">
        <v>135</v>
      </c>
      <c r="I1324" s="4" t="inlineStr">
        <is>
          <t>standing-rib-style-roast-with-horseradish-yogurt.jpg</t>
        </is>
      </c>
      <c r="J1324" s="3" t="inlineStr">
        <is>
          <t>Standing Rib-Style Roast with Horseradish Yogurt, healthy food photography, plated, natural light</t>
        </is>
      </c>
      <c r="K1324" s="4" t="inlineStr"/>
      <c r="L1324" s="3" t="inlineStr">
        <is>
          <t>Beef sirloin, trimmed — 1400 g (49.4 oz)
Garlic — 10 g (0.4 oz)
Fresh rosemary — 4 g (0.1 oz)
Black pepper — 3 g (0.1 oz)
Salt — 6 g (0.2 oz)
Extra-virgin olive oil — 25 g (0.9 oz)
Greek yogurt, plain 2% — 150 g (5.3 oz)
Dijon mustard — 20 g (0.7 oz)</t>
        </is>
      </c>
      <c r="M1324" s="4" t="inlineStr">
        <is>
          <t>[{"ingredient_id": "beef_sirloin", "name": "Beef sirloin, trimmed", "grams": 1400.0, "note": ""}, {"ingredient_id": "garlic", "name": "Garlic", "grams": 10.0, "note": ""}, {"ingredient_id": "rosemary", "name": "Fresh rosemary", "grams": 4.0, "note": ""}, {"ingredient_id": "black_pepper", "name": "Black pepper", "grams": 3.0, "note": ""}, {"ingredient_id": "salt", "name": "Salt", "grams": 6.0, "note": ""}, {"ingredient_id": "olive_oil", "name": "Extra-virgin olive oil", "grams": 25.0, "note": ""}, {"ingredient_id": "greek_yogurt", "name": "Greek yogurt, plain 2%", "grams": 150.0, "note": ""}, {"ingredient_id": "dijon", "name": "Dijon mustard", "grams": 20.0, "note": ""}]</t>
        </is>
      </c>
      <c r="N1324" s="2" t="n">
        <v>274</v>
      </c>
      <c r="O1324" s="5" t="n">
        <v>40.6</v>
      </c>
      <c r="P1324" s="5" t="n">
        <v>11.5</v>
      </c>
      <c r="Q1324" s="5" t="n">
        <v>1.6</v>
      </c>
      <c r="R1324" s="5" t="n">
        <v>0.3</v>
      </c>
      <c r="S1324" s="5" t="n">
        <v>1.4</v>
      </c>
      <c r="T1324" s="2" t="n">
        <v>17</v>
      </c>
      <c r="U1324" s="2" t="inlineStr">
        <is>
          <t>low</t>
        </is>
      </c>
      <c r="V1324" s="5" t="n">
        <v>0.2</v>
      </c>
      <c r="W1324" s="2" t="inlineStr">
        <is>
          <t>low</t>
        </is>
      </c>
      <c r="X1324" s="3" t="inlineStr">
        <is>
          <t>Negligible carbohydrate (&lt;5 g net/serving): GI has little practical meaning, glycemic load is what matters.</t>
        </is>
      </c>
      <c r="Y1324" s="3" t="inlineStr">
        <is>
          <t>55% of this dish's available carbohydrate comes from ingredients with a published, measured GI; the rest uses conventional placeholders (see Ingredients sheet)</t>
        </is>
      </c>
      <c r="Z1324" s="2" t="n">
        <v>55</v>
      </c>
      <c r="AA1324" s="3" t="inlineStr">
        <is>
          <t>gluten-free, nut-free, low-carb, high-protein</t>
        </is>
      </c>
      <c r="AB1324" s="3" t="inlineStr">
        <is>
          <t>1. Rub the roast with oil, garlic, rosemary, pepper and salt.
2. Roast at 325°F to 130°F inside for medium rare.
3. Rest 20 minutes and slice; serve with yogurt mixed with mustard.</t>
        </is>
      </c>
      <c r="AC1324" s="4" t="inlineStr">
        <is>
          <t>["Rub the roast with oil, garlic, rosemary, pepper and salt.", "Roast at 325°F to 130°F inside for medium rare.", "Rest 20 minutes and slice; serve with yogurt mixed with mustard."]</t>
        </is>
      </c>
    </row>
    <row r="1325" ht="96" customHeight="1">
      <c r="A1325" s="2" t="inlineStr">
        <is>
          <t>DB-1324</t>
        </is>
      </c>
      <c r="B1325" s="3" t="inlineStr">
        <is>
          <t>Baked Salmon with Dijon and Dill</t>
        </is>
      </c>
      <c r="C1325" s="4" t="inlineStr">
        <is>
          <t>Seafood</t>
        </is>
      </c>
      <c r="D1325" s="4" t="inlineStr">
        <is>
          <t>American</t>
        </is>
      </c>
      <c r="E1325" s="2" t="n">
        <v>4</v>
      </c>
      <c r="F1325" s="2" t="n">
        <v>5</v>
      </c>
      <c r="G1325" s="2" t="n">
        <v>15</v>
      </c>
      <c r="H1325" s="2" t="n">
        <v>20</v>
      </c>
      <c r="I1325" s="4" t="inlineStr">
        <is>
          <t>baked-salmon-with-dijon-and-dill.jpg</t>
        </is>
      </c>
      <c r="J1325" s="3" t="inlineStr">
        <is>
          <t>Baked Salmon with Dijon and Dill, healthy food photography, plated, natural light</t>
        </is>
      </c>
      <c r="K1325" s="4" t="inlineStr"/>
      <c r="L1325" s="3" t="inlineStr">
        <is>
          <t>Salmon fillet — 600 g (21.2 oz)
Dijon mustard — 30 g (1.1 oz)
Fresh dill — 5 g (0.2 oz)
Lemon juice — 20 g (0.7 oz)
Extra-virgin olive oil — 15 g (0.5 oz)
Salt — 2 g (0.1 oz)</t>
        </is>
      </c>
      <c r="M1325" s="4" t="inlineStr">
        <is>
          <t>[{"ingredient_id": "salmon", "name": "Salmon fillet", "grams": 600.0, "note": ""}, {"ingredient_id": "dijon", "name": "Dijon mustard", "grams": 30.0, "note": ""}, {"ingredient_id": "dill", "name": "Fresh dill", "grams": 5.0, "note": ""}, {"ingredient_id": "lemon_juice", "name": "Lemon juice", "grams": 20.0, "note": ""}, {"ingredient_id": "olive_oil", "name": "Extra-virgin olive oil", "grams": 15.0, "note": ""}, {"ingredient_id": "salt", "name": "Salt", "grams": 2.0, "note": ""}]</t>
        </is>
      </c>
      <c r="N1325" s="2" t="n">
        <v>352</v>
      </c>
      <c r="O1325" s="5" t="n">
        <v>30.4</v>
      </c>
      <c r="P1325" s="5" t="n">
        <v>23.5</v>
      </c>
      <c r="Q1325" s="5" t="n">
        <v>0.8</v>
      </c>
      <c r="R1325" s="5" t="n">
        <v>0.3</v>
      </c>
      <c r="S1325" s="5" t="n">
        <v>0.5</v>
      </c>
      <c r="T1325" s="2" t="n">
        <v>18</v>
      </c>
      <c r="U1325" s="2" t="inlineStr">
        <is>
          <t>low</t>
        </is>
      </c>
      <c r="V1325" s="5" t="n">
        <v>0.1</v>
      </c>
      <c r="W1325" s="2" t="inlineStr">
        <is>
          <t>low</t>
        </is>
      </c>
      <c r="X1325" s="3" t="inlineStr">
        <is>
          <t>Negligible carbohydrate (&lt;5 g net/serving): GI has little practical meaning, glycemic load is what matters.</t>
        </is>
      </c>
      <c r="Y1325" s="3" t="inlineStr">
        <is>
          <t>0% of this dish's available carbohydrate comes from ingredients with a published, measured GI; the rest uses conventional placeholders (see Ingredients sheet)</t>
        </is>
      </c>
      <c r="Z1325" s="2" t="n">
        <v>0</v>
      </c>
      <c r="AA1325" s="3" t="inlineStr">
        <is>
          <t>pescatarian, gluten-free, dairy-free, nut-free, low-carb, high-protein</t>
        </is>
      </c>
      <c r="AB1325" s="3" t="inlineStr">
        <is>
          <t>1. Brush the salmon with mustard and oil.
2. Bake at 400°F for 12 to 15 minutes.
3. Finish with dill and lemon.</t>
        </is>
      </c>
      <c r="AC1325" s="4" t="inlineStr">
        <is>
          <t>["Brush the salmon with mustard and oil.", "Bake at 400°F for 12 to 15 minutes.", "Finish with dill and lemon."]</t>
        </is>
      </c>
    </row>
    <row r="1326" ht="96" customHeight="1">
      <c r="A1326" s="2" t="inlineStr">
        <is>
          <t>DB-1325</t>
        </is>
      </c>
      <c r="B1326" s="3" t="inlineStr">
        <is>
          <t>Seafood Chowder with Potatoes</t>
        </is>
      </c>
      <c r="C1326" s="4" t="inlineStr">
        <is>
          <t>Soup &amp; Stew</t>
        </is>
      </c>
      <c r="D1326" s="4" t="inlineStr">
        <is>
          <t>American</t>
        </is>
      </c>
      <c r="E1326" s="2" t="n">
        <v>6</v>
      </c>
      <c r="F1326" s="2" t="n">
        <v>15</v>
      </c>
      <c r="G1326" s="2" t="n">
        <v>30</v>
      </c>
      <c r="H1326" s="2" t="n">
        <v>45</v>
      </c>
      <c r="I1326" s="4" t="inlineStr">
        <is>
          <t>seafood-chowder-with-potatoes.jpg</t>
        </is>
      </c>
      <c r="J1326" s="3" t="inlineStr">
        <is>
          <t>Seafood Chowder with Potatoes, healthy food photography, plated, natural light</t>
        </is>
      </c>
      <c r="K1326" s="4" t="inlineStr"/>
      <c r="L1326" s="3" t="inlineStr">
        <is>
          <t>Cod fillet — 300 g (10.6 oz)
Shrimp, peeled — 200 g (7.1 oz)
Clams — 200 g (7.1 oz)
Potato, boiled, peeled — 300 g (10.6 oz)
Milk, 2% — 350 g (12.3 oz)
Chicken broth, low sodium — 400 g (14.1 oz)
Yellow onion — 100 g (3.5 oz)
Celery — 60 g (2.1 oz)
Bacon — 40 g (1.4 oz)
Fresh thyme — 2 g (0.1 oz)</t>
        </is>
      </c>
      <c r="M1326" s="4" t="inlineStr">
        <is>
          <t>[{"ingredient_id": "cod", "name": "Cod fillet", "grams": 300.0, "note": ""}, {"ingredient_id": "shrimp", "name": "Shrimp, peeled", "grams": 200.0, "note": ""}, {"ingredient_id": "clams", "name": "Clams", "grams": 200.0, "note": ""}, {"ingredient_id": "potato_boiled", "name": "Potato, boiled, peeled", "grams": 300.0, "note": ""}, {"ingredient_id": "milk", "name": "Milk, 2%", "grams": 350.0, "note": ""}, {"ingredient_id": "chicken_broth", "name": "Chicken broth, low sodium", "grams": 400.0, "note": ""}, {"ingredient_id": "onion", "name": "Yellow onion", "grams": 100.0, "note": ""}, {"ingredient_id": "celery", "name": "Celery", "grams": 60.0, "note": ""}, {"ingredient_id": "bacon", "name": "Bacon", "grams": 40.0, "note": ""}, {"ingredient_id": "thyme", "name": "Fresh thyme", "grams": 2.0, "note": ""}]</t>
        </is>
      </c>
      <c r="N1326" s="2" t="n">
        <v>223</v>
      </c>
      <c r="O1326" s="5" t="n">
        <v>27</v>
      </c>
      <c r="P1326" s="5" t="n">
        <v>5</v>
      </c>
      <c r="Q1326" s="5" t="n">
        <v>17.1</v>
      </c>
      <c r="R1326" s="5" t="n">
        <v>1.2</v>
      </c>
      <c r="S1326" s="5" t="n">
        <v>15.9</v>
      </c>
      <c r="T1326" s="2" t="n">
        <v>48</v>
      </c>
      <c r="U1326" s="2" t="inlineStr">
        <is>
          <t>low</t>
        </is>
      </c>
      <c r="V1326" s="5" t="n">
        <v>7.6</v>
      </c>
      <c r="W1326" s="2" t="inlineStr">
        <is>
          <t>low</t>
        </is>
      </c>
      <c r="X1326" s="3" t="inlineStr"/>
      <c r="Y1326" s="3" t="inlineStr">
        <is>
          <t>81% of this dish's available carbohydrate comes from ingredients with a published, measured GI; the rest uses conventional placeholders (see Ingredients sheet)</t>
        </is>
      </c>
      <c r="Z1326" s="2" t="n">
        <v>81</v>
      </c>
      <c r="AA1326" s="3" t="inlineStr">
        <is>
          <t>gluten-free, nut-free, high-protein</t>
        </is>
      </c>
      <c r="AB1326" s="3" t="inlineStr">
        <is>
          <t>1. Crisp the bacon, soften the onion and celery.
2. Add the broth, potatoes and thyme and simmer 12 minutes.
3. Add the milk and seafood and cook 6 minutes.</t>
        </is>
      </c>
      <c r="AC1326" s="4" t="inlineStr">
        <is>
          <t>["Crisp the bacon, soften the onion and celery.", "Add the broth, potatoes and thyme and simmer 12 minutes.", "Add the milk and seafood and cook 6 minutes."]</t>
        </is>
      </c>
    </row>
    <row r="1327" ht="96" customHeight="1">
      <c r="A1327" s="2" t="inlineStr">
        <is>
          <t>DB-1326</t>
        </is>
      </c>
      <c r="B1327" s="3" t="inlineStr">
        <is>
          <t>Spinach and Mushroom Quiche without Crust</t>
        </is>
      </c>
      <c r="C1327" s="4" t="inlineStr">
        <is>
          <t>Breakfast</t>
        </is>
      </c>
      <c r="D1327" s="4" t="inlineStr">
        <is>
          <t>American</t>
        </is>
      </c>
      <c r="E1327" s="2" t="n">
        <v>6</v>
      </c>
      <c r="F1327" s="2" t="n">
        <v>15</v>
      </c>
      <c r="G1327" s="2" t="n">
        <v>35</v>
      </c>
      <c r="H1327" s="2" t="n">
        <v>50</v>
      </c>
      <c r="I1327" s="4" t="inlineStr">
        <is>
          <t>spinach-and-mushroom-quiche-without-crust.jpg</t>
        </is>
      </c>
      <c r="J1327" s="3" t="inlineStr">
        <is>
          <t>Spinach and Mushroom Quiche without Crust, healthy food photography, plated, natural light</t>
        </is>
      </c>
      <c r="K1327" s="4" t="inlineStr"/>
      <c r="L1327" s="3" t="inlineStr">
        <is>
          <t>Egg, large (50 g each) — 300 g (10.6 oz)
Milk, 2% — 250 g (8.8 oz)
Spinach — 150 g (5.3 oz)
Mushrooms (cremini/white) — 150 g (5.3 oz)
Swiss cheese — 100 g (3.5 oz)
Yellow onion — 60 g (2.1 oz)
Ground nutmeg — 1 g (0.0 oz)
Extra-virgin olive oil — 10 g (0.4 oz)</t>
        </is>
      </c>
      <c r="M1327" s="4" t="inlineStr">
        <is>
          <t>[{"ingredient_id": "egg", "name": "Egg, large (50 g each)", "grams": 300.0, "note": ""}, {"ingredient_id": "milk", "name": "Milk, 2%", "grams": 250.0, "note": ""}, {"ingredient_id": "spinach", "name": "Spinach", "grams": 150.0, "note": ""}, {"ingredient_id": "mushrooms", "name": "Mushrooms (cremini/white)", "grams": 150.0, "note": ""}, {"ingredient_id": "swiss_cheese", "name": "Swiss cheese", "grams": 100.0, "note": ""}, {"ingredient_id": "onion", "name": "Yellow onion", "grams": 60.0, "note": ""}, {"ingredient_id": "nutmeg", "name": "Ground nutmeg", "grams": 1.0, "note": ""}, {"ingredient_id": "olive_oil", "name": "Extra-virgin olive oil", "grams": 10.0, "note": ""}]</t>
        </is>
      </c>
      <c r="N1327" s="2" t="n">
        <v>187</v>
      </c>
      <c r="O1327" s="5" t="n">
        <v>13.8</v>
      </c>
      <c r="P1327" s="5" t="n">
        <v>12.2</v>
      </c>
      <c r="Q1327" s="5" t="n">
        <v>5.3</v>
      </c>
      <c r="R1327" s="5" t="n">
        <v>1</v>
      </c>
      <c r="S1327" s="5" t="n">
        <v>4.3</v>
      </c>
      <c r="T1327" s="2" t="n">
        <v>18</v>
      </c>
      <c r="U1327" s="2" t="inlineStr">
        <is>
          <t>low</t>
        </is>
      </c>
      <c r="V1327" s="5" t="n">
        <v>0.8</v>
      </c>
      <c r="W1327" s="2" t="inlineStr">
        <is>
          <t>low</t>
        </is>
      </c>
      <c r="X1327" s="3" t="inlineStr">
        <is>
          <t>Negligible carbohydrate (&lt;5 g net/serving): GI has little practical meaning, glycemic load is what matters.</t>
        </is>
      </c>
      <c r="Y1327" s="3" t="inlineStr">
        <is>
          <t>46% of this dish's available carbohydrate comes from ingredients with a published, measured GI; the rest uses conventional placeholders (see Ingredients sheet)</t>
        </is>
      </c>
      <c r="Z1327" s="2" t="n">
        <v>46</v>
      </c>
      <c r="AA1327" s="3" t="inlineStr">
        <is>
          <t>vegetarian, gluten-free, nut-free, low-carb</t>
        </is>
      </c>
      <c r="AB1327" s="3" t="inlineStr">
        <is>
          <t>1. Sauté the onion, mushrooms and spinach in oil.
2. Whisk the eggs, milk and nutmeg and pour over the vegetables and cheese in a dish.
3. Bake at 350°F for 30 to 35 minutes.</t>
        </is>
      </c>
      <c r="AC1327" s="4" t="inlineStr">
        <is>
          <t>["Sauté the onion, mushrooms and spinach in oil.", "Whisk the eggs, milk and nutmeg and pour over the vegetables and cheese in a dish.", "Bake at 350°F for 30 to 35 minutes."]</t>
        </is>
      </c>
    </row>
    <row r="1328" ht="96" customHeight="1">
      <c r="A1328" s="2" t="inlineStr">
        <is>
          <t>DB-1327</t>
        </is>
      </c>
      <c r="B1328" s="3" t="inlineStr">
        <is>
          <t>Holiday Cheese and Veggie Platter</t>
        </is>
      </c>
      <c r="C1328" s="4" t="inlineStr">
        <is>
          <t>Snack &amp; Appetizer</t>
        </is>
      </c>
      <c r="D1328" s="4" t="inlineStr">
        <is>
          <t>American</t>
        </is>
      </c>
      <c r="E1328" s="2" t="n">
        <v>8</v>
      </c>
      <c r="F1328" s="2" t="n">
        <v>15</v>
      </c>
      <c r="G1328" s="2" t="n">
        <v>0</v>
      </c>
      <c r="H1328" s="2" t="n">
        <v>15</v>
      </c>
      <c r="I1328" s="4" t="inlineStr">
        <is>
          <t>holiday-cheese-and-veggie-platter.jpg</t>
        </is>
      </c>
      <c r="J1328" s="3" t="inlineStr">
        <is>
          <t>Holiday Cheese and Veggie Platter, healthy food photography, plated, natural light</t>
        </is>
      </c>
      <c r="K1328" s="4" t="inlineStr"/>
      <c r="L1328" s="3" t="inlineStr">
        <is>
          <t>Cheddar cheese — 120 g (4.2 oz)
Swiss cheese — 80 g (2.8 oz)
Cherry tomatoes — 150 g (5.3 oz)
Cucumber — 150 g (5.3 oz)
Bell pepper — 150 g (5.3 oz)
Carrot — 150 g (5.3 oz)
Olives (kalamata/green) — 50 g (1.8 oz)
Hummus — 150 g (5.3 oz)</t>
        </is>
      </c>
      <c r="M1328" s="4" t="inlineStr">
        <is>
          <t>[{"ingredient_id": "cheddar", "name": "Cheddar cheese", "grams": 120.0, "note": ""}, {"ingredient_id": "swiss_cheese", "name": "Swiss cheese", "grams": 80.0, "note": ""}, {"ingredient_id": "cherry_tomato", "name": "Cherry tomatoes", "grams": 150.0, "note": ""}, {"ingredient_id": "cucumber", "name": "Cucumber", "grams": 150.0, "note": ""}, {"ingredient_id": "bell_pepper", "name": "Bell pepper", "grams": 150.0, "note": ""}, {"ingredient_id": "carrot", "name": "Carrot", "grams": 150.0, "note": ""}, {"ingredient_id": "olives", "name": "Olives (kalamata/green)", "grams": 50.0, "note": ""}, {"ingredient_id": "hummus", "name": "Hummus", "grams": 150.0, "note": ""}]</t>
        </is>
      </c>
      <c r="N1328" s="2" t="n">
        <v>156</v>
      </c>
      <c r="O1328" s="5" t="n">
        <v>8.4</v>
      </c>
      <c r="P1328" s="5" t="n">
        <v>10.4</v>
      </c>
      <c r="Q1328" s="5" t="n">
        <v>7.7</v>
      </c>
      <c r="R1328" s="5" t="n">
        <v>2.6</v>
      </c>
      <c r="S1328" s="5" t="n">
        <v>5.1</v>
      </c>
      <c r="T1328" s="2" t="n">
        <v>20</v>
      </c>
      <c r="U1328" s="2" t="inlineStr">
        <is>
          <t>low</t>
        </is>
      </c>
      <c r="V1328" s="5" t="n">
        <v>1</v>
      </c>
      <c r="W1328" s="2" t="inlineStr">
        <is>
          <t>low</t>
        </is>
      </c>
      <c r="X1328" s="3" t="inlineStr"/>
      <c r="Y1328" s="3" t="inlineStr">
        <is>
          <t>54% of this dish's available carbohydrate comes from ingredients with a published, measured GI; the rest uses conventional placeholders (see Ingredients sheet)</t>
        </is>
      </c>
      <c r="Z1328" s="2" t="n">
        <v>54</v>
      </c>
      <c r="AA1328" s="3" t="inlineStr">
        <is>
          <t>vegetarian, gluten-free, nut-free, low-carb, no-cook</t>
        </is>
      </c>
      <c r="AB1328" s="3" t="inlineStr">
        <is>
          <t>1. Slice the cheeses and vegetables.
2. Arrange on a platter with olives and hummus.</t>
        </is>
      </c>
      <c r="AC1328" s="4" t="inlineStr">
        <is>
          <t>["Slice the cheeses and vegetables.", "Arrange on a platter with olives and hummus."]</t>
        </is>
      </c>
    </row>
    <row r="1329" ht="96" customHeight="1">
      <c r="A1329" s="2" t="inlineStr">
        <is>
          <t>DB-1328</t>
        </is>
      </c>
      <c r="B1329" s="3" t="inlineStr">
        <is>
          <t>Shrimp Cocktail with Horseradish Tomato Sauce</t>
        </is>
      </c>
      <c r="C1329" s="4" t="inlineStr">
        <is>
          <t>Snack &amp; Appetizer</t>
        </is>
      </c>
      <c r="D1329" s="4" t="inlineStr">
        <is>
          <t>American</t>
        </is>
      </c>
      <c r="E1329" s="2" t="n">
        <v>6</v>
      </c>
      <c r="F1329" s="2" t="n">
        <v>10</v>
      </c>
      <c r="G1329" s="2" t="n">
        <v>5</v>
      </c>
      <c r="H1329" s="2" t="n">
        <v>15</v>
      </c>
      <c r="I1329" s="4" t="inlineStr">
        <is>
          <t>shrimp-cocktail-with-horseradish-tomato-sauce.jpg</t>
        </is>
      </c>
      <c r="J1329" s="3" t="inlineStr">
        <is>
          <t>Shrimp Cocktail with Horseradish Tomato Sauce, healthy food photography, plated, natural light</t>
        </is>
      </c>
      <c r="K1329" s="4" t="inlineStr"/>
      <c r="L1329" s="3" t="inlineStr">
        <is>
          <t>Shrimp, peeled — 450 g (15.9 oz)
Tomato paste — 40 g (1.4 oz)
Lemon juice — 30 g (1.1 oz)
Hot sauce (Tabasco/Frank's) — 5 g (0.2 oz)
Dijon mustard — 10 g (0.4 oz)
Lemon (with juice &amp; zest) — 60 g (2.1 oz)</t>
        </is>
      </c>
      <c r="M1329" s="4" t="inlineStr">
        <is>
          <t>[{"ingredient_id": "shrimp", "name": "Shrimp, peeled", "grams": 450.0, "note": ""}, {"ingredient_id": "tomato_paste", "name": "Tomato paste", "grams": 40.0, "note": ""}, {"ingredient_id": "lemon_juice", "name": "Lemon juice", "grams": 30.0, "note": ""}, {"ingredient_id": "hot_sauce", "name": "Hot sauce (Tabasco/Frank's)", "grams": 5.0, "note": ""}, {"ingredient_id": "dijon", "name": "Dijon mustard", "grams": 10.0, "note": ""}, {"ingredient_id": "lemon", "name": "Lemon (with juice &amp; zest)", "grams": 60.0, "note": ""}]</t>
        </is>
      </c>
      <c r="N1329" s="2" t="n">
        <v>74</v>
      </c>
      <c r="O1329" s="5" t="n">
        <v>15.5</v>
      </c>
      <c r="P1329" s="5" t="n">
        <v>0.5</v>
      </c>
      <c r="Q1329" s="5" t="n">
        <v>2.6</v>
      </c>
      <c r="R1329" s="5" t="n">
        <v>0.6</v>
      </c>
      <c r="S1329" s="5" t="n">
        <v>2</v>
      </c>
      <c r="T1329" s="2" t="n">
        <v>27</v>
      </c>
      <c r="U1329" s="2" t="inlineStr">
        <is>
          <t>low</t>
        </is>
      </c>
      <c r="V1329" s="5" t="n">
        <v>0.5</v>
      </c>
      <c r="W1329" s="2" t="inlineStr">
        <is>
          <t>low</t>
        </is>
      </c>
      <c r="X1329" s="3" t="inlineStr">
        <is>
          <t>Negligible carbohydrate (&lt;5 g net/serving): GI has little practical meaning, glycemic load is what matters.</t>
        </is>
      </c>
      <c r="Y1329" s="3" t="inlineStr">
        <is>
          <t>0% of this dish's available carbohydrate comes from ingredients with a published, measured GI; the rest uses conventional placeholders (see Ingredients sheet)</t>
        </is>
      </c>
      <c r="Z1329" s="2" t="n">
        <v>0</v>
      </c>
      <c r="AA1329" s="3" t="inlineStr">
        <is>
          <t>pescatarian, gluten-free, dairy-free, nut-free, low-carb</t>
        </is>
      </c>
      <c r="AB1329" s="3" t="inlineStr">
        <is>
          <t>1. Poach the shrimp 3 minutes and chill.
2. Stir the paste, lemon juice, hot sauce and mustard into a sauce.
3. Serve with lemon.</t>
        </is>
      </c>
      <c r="AC1329" s="4" t="inlineStr">
        <is>
          <t>["Poach the shrimp 3 minutes and chill.", "Stir the paste, lemon juice, hot sauce and mustard into a sauce.", "Serve with lemon."]</t>
        </is>
      </c>
    </row>
    <row r="1330" ht="96" customHeight="1">
      <c r="A1330" s="2" t="inlineStr">
        <is>
          <t>DB-1329</t>
        </is>
      </c>
      <c r="B1330" s="3" t="inlineStr">
        <is>
          <t>Bacon-Wrapped Dates, Small Portion</t>
        </is>
      </c>
      <c r="C1330" s="4" t="inlineStr">
        <is>
          <t>Snack &amp; Appetizer</t>
        </is>
      </c>
      <c r="D1330" s="4" t="inlineStr">
        <is>
          <t>American</t>
        </is>
      </c>
      <c r="E1330" s="2" t="n">
        <v>6</v>
      </c>
      <c r="F1330" s="2" t="n">
        <v>10</v>
      </c>
      <c r="G1330" s="2" t="n">
        <v>20</v>
      </c>
      <c r="H1330" s="2" t="n">
        <v>30</v>
      </c>
      <c r="I1330" s="4" t="inlineStr">
        <is>
          <t>bacon-wrapped-dates-small-portion.jpg</t>
        </is>
      </c>
      <c r="J1330" s="3" t="inlineStr">
        <is>
          <t>Bacon-Wrapped Dates, Small Portion, healthy food photography, plated, natural light</t>
        </is>
      </c>
      <c r="K1330" s="4" t="inlineStr"/>
      <c r="L1330" s="3" t="inlineStr">
        <is>
          <t>Medjool dates (small amount) — 90 g (3.2 oz)
Bacon — 100 g (3.5 oz)
Almonds — 30 g (1.1 oz)</t>
        </is>
      </c>
      <c r="M1330" s="4" t="inlineStr">
        <is>
          <t>[{"ingredient_id": "dates", "name": "Medjool dates (small amount)", "grams": 90.0, "note": ""}, {"ingredient_id": "bacon", "name": "Bacon", "grams": 100.0, "note": ""}, {"ingredient_id": "almonds", "name": "Almonds", "grams": 30.0, "note": ""}]</t>
        </is>
      </c>
      <c r="N1330" s="2" t="n">
        <v>161</v>
      </c>
      <c r="O1330" s="5" t="n">
        <v>7.5</v>
      </c>
      <c r="P1330" s="5" t="n">
        <v>9.5</v>
      </c>
      <c r="Q1330" s="5" t="n">
        <v>12.6</v>
      </c>
      <c r="R1330" s="5" t="n">
        <v>1.6</v>
      </c>
      <c r="S1330" s="5" t="n">
        <v>11</v>
      </c>
      <c r="T1330" s="2" t="n">
        <v>51</v>
      </c>
      <c r="U1330" s="2" t="inlineStr">
        <is>
          <t>low</t>
        </is>
      </c>
      <c r="V1330" s="5" t="n">
        <v>5.6</v>
      </c>
      <c r="W1330" s="2" t="inlineStr">
        <is>
          <t>low</t>
        </is>
      </c>
      <c r="X1330" s="3" t="inlineStr"/>
      <c r="Y1330" s="3" t="inlineStr">
        <is>
          <t>94% of this dish's available carbohydrate comes from ingredients with a published, measured GI; the rest uses conventional placeholders (see Ingredients sheet)</t>
        </is>
      </c>
      <c r="Z1330" s="2" t="n">
        <v>94</v>
      </c>
      <c r="AA1330" s="3" t="inlineStr">
        <is>
          <t>gluten-free, dairy-free, low-carb</t>
        </is>
      </c>
      <c r="AB1330" s="3" t="inlineStr">
        <is>
          <t>1. Stuff each date with an almond.
2. Wrap with a strip of bacon.
3. Bake at 400°F for 18 to 20 minutes.</t>
        </is>
      </c>
      <c r="AC1330" s="4" t="inlineStr">
        <is>
          <t>["Stuff each date with an almond.", "Wrap with a strip of bacon.", "Bake at 400°F for 18 to 20 minutes."]</t>
        </is>
      </c>
    </row>
    <row r="1331" ht="96" customHeight="1">
      <c r="A1331" s="2" t="inlineStr">
        <is>
          <t>DB-1330</t>
        </is>
      </c>
      <c r="B1331" s="3" t="inlineStr">
        <is>
          <t>Pumpkin Soup with Toasted Pepitas</t>
        </is>
      </c>
      <c r="C1331" s="4" t="inlineStr">
        <is>
          <t>Soup &amp; Stew</t>
        </is>
      </c>
      <c r="D1331" s="4" t="inlineStr">
        <is>
          <t>American</t>
        </is>
      </c>
      <c r="E1331" s="2" t="n">
        <v>5</v>
      </c>
      <c r="F1331" s="2" t="n">
        <v>10</v>
      </c>
      <c r="G1331" s="2" t="n">
        <v>25</v>
      </c>
      <c r="H1331" s="2" t="n">
        <v>35</v>
      </c>
      <c r="I1331" s="4" t="inlineStr">
        <is>
          <t>pumpkin-soup-with-toasted-pepitas.jpg</t>
        </is>
      </c>
      <c r="J1331" s="3" t="inlineStr">
        <is>
          <t>Pumpkin Soup with Toasted Pepitas, healthy food photography, plated, natural light</t>
        </is>
      </c>
      <c r="K1331" s="4" t="inlineStr"/>
      <c r="L1331" s="3" t="inlineStr">
        <is>
          <t>Pumpkin puree, canned — 500 g (17.6 oz)
Vegetable broth, low sodium — 600 g (21.2 oz)
Yellow onion — 100 g (3.5 oz)
Garlic — 5 g (0.2 oz)
Heavy cream — 50 g (1.8 oz)
Pumpkin pie spice — 2 g (0.1 oz)
Pumpkin seeds (pepitas) — 25 g (0.9 oz)
Extra-virgin olive oil — 10 g (0.4 oz)</t>
        </is>
      </c>
      <c r="M1331" s="4" t="inlineStr">
        <is>
          <t>[{"ingredient_id": "pumpkin_puree", "name": "Pumpkin puree, canned", "grams": 500.0, "note": ""}, {"ingredient_id": "vegetable_broth", "name": "Vegetable broth, low sodium", "grams": 600.0, "note": ""}, {"ingredient_id": "onion", "name": "Yellow onion", "grams": 100.0, "note": ""}, {"ingredient_id": "garlic", "name": "Garlic", "grams": 5.0, "note": ""}, {"ingredient_id": "heavy_cream", "name": "Heavy cream", "grams": 50.0, "note": ""}, {"ingredient_id": "pumpkin_pie_spice", "name": "Pumpkin pie spice", "grams": 2.0, "note": ""}, {"ingredient_id": "pumpkin_seeds", "name": "Pumpkin seeds (pepitas)", "grams": 25.0, "note": ""}, {"ingredient_id": "olive_oil", "name": "Extra-virgin olive oil", "grams": 10.0, "note": ""}]</t>
        </is>
      </c>
      <c r="N1331" s="2" t="n">
        <v>134</v>
      </c>
      <c r="O1331" s="5" t="n">
        <v>3.7</v>
      </c>
      <c r="P1331" s="5" t="n">
        <v>8.4</v>
      </c>
      <c r="Q1331" s="5" t="n">
        <v>13.1</v>
      </c>
      <c r="R1331" s="5" t="n">
        <v>3.8</v>
      </c>
      <c r="S1331" s="5" t="n">
        <v>9.4</v>
      </c>
      <c r="T1331" s="2" t="n">
        <v>44</v>
      </c>
      <c r="U1331" s="2" t="inlineStr">
        <is>
          <t>low</t>
        </is>
      </c>
      <c r="V1331" s="5" t="n">
        <v>4.1</v>
      </c>
      <c r="W1331" s="2" t="inlineStr">
        <is>
          <t>low</t>
        </is>
      </c>
      <c r="X1331" s="3" t="inlineStr"/>
      <c r="Y1331" s="3" t="inlineStr">
        <is>
          <t>53% of this dish's available carbohydrate comes from ingredients with a published, measured GI; the rest uses conventional placeholders (see Ingredients sheet)</t>
        </is>
      </c>
      <c r="Z1331" s="2" t="n">
        <v>53</v>
      </c>
      <c r="AA1331" s="3" t="inlineStr">
        <is>
          <t>vegetarian, gluten-free, nut-free, low-carb</t>
        </is>
      </c>
      <c r="AB1331" s="3" t="inlineStr">
        <is>
          <t>1. Sauté the onion and garlic in oil.
2. Add the pumpkin, broth and spice and simmer 15 minutes.
3. Blend with the cream and top with pepitas.</t>
        </is>
      </c>
      <c r="AC1331" s="4" t="inlineStr">
        <is>
          <t>["Sauté the onion and garlic in oil.", "Add the pumpkin, broth and spice and simmer 15 minutes.", "Blend with the cream and top with pepitas."]</t>
        </is>
      </c>
    </row>
    <row r="1332" ht="96" customHeight="1">
      <c r="A1332" s="2" t="inlineStr">
        <is>
          <t>DB-1331</t>
        </is>
      </c>
      <c r="B1332" s="3" t="inlineStr">
        <is>
          <t>Apple Cinnamon Baked Oatmeal</t>
        </is>
      </c>
      <c r="C1332" s="4" t="inlineStr">
        <is>
          <t>Breakfast</t>
        </is>
      </c>
      <c r="D1332" s="4" t="inlineStr">
        <is>
          <t>American</t>
        </is>
      </c>
      <c r="E1332" s="2" t="n">
        <v>6</v>
      </c>
      <c r="F1332" s="2" t="n">
        <v>10</v>
      </c>
      <c r="G1332" s="2" t="n">
        <v>35</v>
      </c>
      <c r="H1332" s="2" t="n">
        <v>45</v>
      </c>
      <c r="I1332" s="4" t="inlineStr">
        <is>
          <t>apple-cinnamon-baked-oatmeal.jpg</t>
        </is>
      </c>
      <c r="J1332" s="3" t="inlineStr">
        <is>
          <t>Apple Cinnamon Baked Oatmeal, healthy food photography, plated, natural light</t>
        </is>
      </c>
      <c r="K1332" s="4" t="inlineStr"/>
      <c r="L1332" s="3" t="inlineStr">
        <is>
          <t>Rolled oats, dry — 240 g (8.5 oz)
Milk, 2% — 400 g (14.1 oz)
Egg, large (50 g each) — 100 g (3.5 oz)
Apple — 300 g (10.6 oz)
Ground cinnamon — 4 g (0.1 oz)
Baking powder — 4 g (0.1 oz)
Walnuts — 40 g (1.4 oz)
Vanilla extract — 5 g (0.2 oz)</t>
        </is>
      </c>
      <c r="M1332" s="4" t="inlineStr">
        <is>
          <t>[{"ingredient_id": "rolled_oats", "name": "Rolled oats, dry", "grams": 240.0, "note": ""}, {"ingredient_id": "milk", "name": "Milk, 2%", "grams": 400.0, "note": ""}, {"ingredient_id": "egg", "name": "Egg, large (50 g each)", "grams": 100.0, "note": ""}, {"ingredient_id": "apple", "name": "Apple", "grams": 300.0, "note": ""}, {"ingredient_id": "cinnamon", "name": "Ground cinnamon", "grams": 4.0, "note": ""}, {"ingredient_id": "baking_powder", "name": "Baking powder", "grams": 4.0, "note": ""}, {"ingredient_id": "walnuts", "name": "Walnuts", "grams": 40.0, "note": ""}, {"ingredient_id": "vanilla_extract", "name": "Vanilla extract", "grams": 5.0, "note": ""}]</t>
        </is>
      </c>
      <c r="N1332" s="2" t="n">
        <v>283</v>
      </c>
      <c r="O1332" s="5" t="n">
        <v>10.7</v>
      </c>
      <c r="P1332" s="5" t="n">
        <v>10</v>
      </c>
      <c r="Q1332" s="5" t="n">
        <v>39.3</v>
      </c>
      <c r="R1332" s="5" t="n">
        <v>6</v>
      </c>
      <c r="S1332" s="5" t="n">
        <v>33.3</v>
      </c>
      <c r="T1332" s="2" t="n">
        <v>49</v>
      </c>
      <c r="U1332" s="2" t="inlineStr">
        <is>
          <t>low</t>
        </is>
      </c>
      <c r="V1332" s="5" t="n">
        <v>16.3</v>
      </c>
      <c r="W1332" s="2" t="inlineStr">
        <is>
          <t>medium</t>
        </is>
      </c>
      <c r="X1332" s="3" t="inlineStr"/>
      <c r="Y1332" s="3" t="inlineStr">
        <is>
          <t>97% of this dish's available carbohydrate comes from ingredients with a published, measured GI; the rest uses conventional placeholders (see Ingredients sheet)</t>
        </is>
      </c>
      <c r="Z1332" s="2" t="n">
        <v>97</v>
      </c>
      <c r="AA1332" s="3" t="inlineStr">
        <is>
          <t>vegetarian, meal-prep</t>
        </is>
      </c>
      <c r="AB1332" s="3" t="inlineStr">
        <is>
          <t>1. Mix the oats, milk, eggs, cinnamon, baking powder and vanilla.
2. Fold in the chopped apple and walnuts.
3. Bake at 350°F for 30 to 35 minutes.</t>
        </is>
      </c>
      <c r="AC1332" s="4" t="inlineStr">
        <is>
          <t>["Mix the oats, milk, eggs, cinnamon, baking powder and vanilla.", "Fold in the chopped apple and walnuts.", "Bake at 350°F for 30 to 35 minutes."]</t>
        </is>
      </c>
    </row>
    <row r="1333" ht="96" customHeight="1">
      <c r="A1333" s="2" t="inlineStr">
        <is>
          <t>DB-1332</t>
        </is>
      </c>
      <c r="B1333" s="3" t="inlineStr">
        <is>
          <t>Gingerbread Spiced Chia Pudding</t>
        </is>
      </c>
      <c r="C1333" s="4" t="inlineStr">
        <is>
          <t>Dessert</t>
        </is>
      </c>
      <c r="D1333" s="4" t="inlineStr">
        <is>
          <t>American</t>
        </is>
      </c>
      <c r="E1333" s="2" t="n">
        <v>3</v>
      </c>
      <c r="F1333" s="2" t="n">
        <v>5</v>
      </c>
      <c r="G1333" s="2" t="n">
        <v>0</v>
      </c>
      <c r="H1333" s="2" t="n">
        <v>5</v>
      </c>
      <c r="I1333" s="4" t="inlineStr">
        <is>
          <t>gingerbread-spiced-chia-pudding.jpg</t>
        </is>
      </c>
      <c r="J1333" s="3" t="inlineStr">
        <is>
          <t>Gingerbread Spiced Chia Pudding, healthy food photography, plated, natural light</t>
        </is>
      </c>
      <c r="K1333" s="4" t="inlineStr"/>
      <c r="L1333" s="3" t="inlineStr">
        <is>
          <t>Chia seeds — 40 g (1.4 oz)
Almond milk, unsweetened — 300 g (10.6 oz)
Fresh ginger — 3 g (0.1 oz)
Ground cinnamon — 2 g (0.1 oz)
Ground nutmeg — 1 g (0.0 oz)
Vanilla extract — 3 g (0.1 oz)
Monk fruit/erythritol sweetener — 6 g (0.2 oz)</t>
        </is>
      </c>
      <c r="M1333" s="4" t="inlineStr">
        <is>
          <t>[{"ingredient_id": "chia_seeds", "name": "Chia seeds", "grams": 40.0, "note": ""}, {"ingredient_id": "almond_milk", "name": "Almond milk, unsweetened", "grams": 300.0, "note": ""}, {"ingredient_id": "ginger", "name": "Fresh ginger", "grams": 3.0, "note": ""}, {"ingredient_id": "cinnamon", "name": "Ground cinnamon", "grams": 2.0, "note": ""}, {"ingredient_id": "nutmeg", "name": "Ground nutmeg", "grams": 1.0, "note": ""}, {"ingredient_id": "vanilla_extract", "name": "Vanilla extract", "grams": 3.0, "note": ""}, {"ingredient_id": "monk_fruit_sweetener", "name": "Monk fruit/erythritol sweetener", "grams": 6.0, "note": ""}]</t>
        </is>
      </c>
      <c r="N1333" s="2" t="n">
        <v>87</v>
      </c>
      <c r="O1333" s="5" t="n">
        <v>2.9</v>
      </c>
      <c r="P1333" s="5" t="n">
        <v>5.5</v>
      </c>
      <c r="Q1333" s="5" t="n">
        <v>7.2</v>
      </c>
      <c r="R1333" s="5" t="n">
        <v>5</v>
      </c>
      <c r="S1333" s="5" t="n">
        <v>2.2</v>
      </c>
      <c r="T1333" s="2" t="n">
        <v>16</v>
      </c>
      <c r="U1333" s="2" t="inlineStr">
        <is>
          <t>low</t>
        </is>
      </c>
      <c r="V1333" s="5" t="n">
        <v>0.4</v>
      </c>
      <c r="W1333" s="2" t="inlineStr">
        <is>
          <t>low</t>
        </is>
      </c>
      <c r="X1333" s="3" t="inlineStr">
        <is>
          <t>Negligible carbohydrate (&lt;5 g net/serving): GI has little practical meaning, glycemic load is what matters.</t>
        </is>
      </c>
      <c r="Y1333" s="3" t="inlineStr">
        <is>
          <t>0% of this dish's available carbohydrate comes from ingredients with a published, measured GI; the rest uses conventional placeholders (see Ingredients sheet)</t>
        </is>
      </c>
      <c r="Z1333" s="2" t="n">
        <v>0</v>
      </c>
      <c r="AA1333" s="3" t="inlineStr">
        <is>
          <t>vegan, gluten-free, dairy-free, low-carb, no-cook, meal-prep</t>
        </is>
      </c>
      <c r="AB1333" s="3" t="inlineStr">
        <is>
          <t>1. Whisk everything.
2. Chill at least 4 hours.</t>
        </is>
      </c>
      <c r="AC1333" s="4" t="inlineStr">
        <is>
          <t>["Whisk everything.", "Chill at least 4 hours."]</t>
        </is>
      </c>
    </row>
    <row r="1334" ht="96" customHeight="1">
      <c r="A1334" s="2" t="inlineStr">
        <is>
          <t>DB-1333</t>
        </is>
      </c>
      <c r="B1334" s="3" t="inlineStr">
        <is>
          <t>Turkey and Cheese Pinwheels</t>
        </is>
      </c>
      <c r="C1334" s="4" t="inlineStr">
        <is>
          <t>Snack &amp; Appetizer</t>
        </is>
      </c>
      <c r="D1334" s="4" t="inlineStr">
        <is>
          <t>American</t>
        </is>
      </c>
      <c r="E1334" s="2" t="n">
        <v>4</v>
      </c>
      <c r="F1334" s="2" t="n">
        <v>10</v>
      </c>
      <c r="G1334" s="2" t="n">
        <v>0</v>
      </c>
      <c r="H1334" s="2" t="n">
        <v>10</v>
      </c>
      <c r="I1334" s="4" t="inlineStr">
        <is>
          <t>turkey-and-cheese-pinwheels.jpg</t>
        </is>
      </c>
      <c r="J1334" s="3" t="inlineStr">
        <is>
          <t>Turkey and Cheese Pinwheels, healthy food photography, plated, natural light</t>
        </is>
      </c>
      <c r="K1334" s="4" t="inlineStr"/>
      <c r="L1334" s="3" t="inlineStr">
        <is>
          <t>Flour tortilla, 8-inch — 160 g (5.6 oz)
Deli turkey breast, low sodium — 120 g (4.2 oz)
Cream cheese — 60 g (2.1 oz)
Spinach — 40 g (1.4 oz)
Cheddar cheese — 40 g (1.4 oz)</t>
        </is>
      </c>
      <c r="M1334" s="4" t="inlineStr">
        <is>
          <t>[{"ingredient_id": "flour_tortilla", "name": "Flour tortilla, 8-inch", "grams": 160.0, "note": ""}, {"ingredient_id": "deli_turkey", "name": "Deli turkey breast, low sodium", "grams": 120.0, "note": ""}, {"ingredient_id": "cream_cheese", "name": "Cream cheese", "grams": 60.0, "note": ""}, {"ingredient_id": "spinach", "name": "Spinach", "grams": 40.0, "note": ""}, {"ingredient_id": "cheddar", "name": "Cheddar cheese", "grams": 40.0, "note": ""}]</t>
        </is>
      </c>
      <c r="N1334" s="2" t="n">
        <v>248</v>
      </c>
      <c r="O1334" s="5" t="n">
        <v>11.9</v>
      </c>
      <c r="P1334" s="5" t="n">
        <v>12.1</v>
      </c>
      <c r="Q1334" s="5" t="n">
        <v>22.1</v>
      </c>
      <c r="R1334" s="5" t="n">
        <v>1.6</v>
      </c>
      <c r="S1334" s="5" t="n">
        <v>20.4</v>
      </c>
      <c r="T1334" s="2" t="n">
        <v>31</v>
      </c>
      <c r="U1334" s="2" t="inlineStr">
        <is>
          <t>low</t>
        </is>
      </c>
      <c r="V1334" s="5" t="n">
        <v>6.3</v>
      </c>
      <c r="W1334" s="2" t="inlineStr">
        <is>
          <t>low</t>
        </is>
      </c>
      <c r="X1334" s="3" t="inlineStr"/>
      <c r="Y1334" s="3" t="inlineStr">
        <is>
          <t>90% of this dish's available carbohydrate comes from ingredients with a published, measured GI; the rest uses conventional placeholders (see Ingredients sheet)</t>
        </is>
      </c>
      <c r="Z1334" s="2" t="n">
        <v>90</v>
      </c>
      <c r="AA1334" s="3" t="inlineStr">
        <is>
          <t>nut-free, no-cook</t>
        </is>
      </c>
      <c r="AB1334" s="3" t="inlineStr">
        <is>
          <t>1. Spread the tortillas with cream cheese.
2. Layer turkey, spinach and cheddar.
3. Roll tight and slice into rounds.</t>
        </is>
      </c>
      <c r="AC1334" s="4" t="inlineStr">
        <is>
          <t>["Spread the tortillas with cream cheese.", "Layer turkey, spinach and cheddar.", "Roll tight and slice into rounds."]</t>
        </is>
      </c>
    </row>
    <row r="1335" ht="96" customHeight="1">
      <c r="A1335" s="2" t="inlineStr">
        <is>
          <t>DB-1334</t>
        </is>
      </c>
      <c r="B1335" s="3" t="inlineStr">
        <is>
          <t>Mini Meatloaf Muffins</t>
        </is>
      </c>
      <c r="C1335" s="4" t="inlineStr">
        <is>
          <t>Beef, Pork &amp; Lamb</t>
        </is>
      </c>
      <c r="D1335" s="4" t="inlineStr">
        <is>
          <t>American</t>
        </is>
      </c>
      <c r="E1335" s="2" t="n">
        <v>6</v>
      </c>
      <c r="F1335" s="2" t="n">
        <v>15</v>
      </c>
      <c r="G1335" s="2" t="n">
        <v>25</v>
      </c>
      <c r="H1335" s="2" t="n">
        <v>40</v>
      </c>
      <c r="I1335" s="4" t="inlineStr">
        <is>
          <t>mini-meatloaf-muffins.jpg</t>
        </is>
      </c>
      <c r="J1335" s="3" t="inlineStr">
        <is>
          <t>Mini Meatloaf Muffins, healthy food photography, plated, natural light</t>
        </is>
      </c>
      <c r="K1335" s="4" t="inlineStr"/>
      <c r="L1335" s="3" t="inlineStr">
        <is>
          <t>Ground turkey 93% lean — 500 g (17.6 oz)
Egg, large (50 g each) — 50 g (1.8 oz)
Oat bran, dry — 30 g (1.1 oz)
Tomato paste — 30 g (1.1 oz)
Yellow onion — 60 g (2.1 oz)
Carrot — 60 g (2.1 oz)
Salt — 3 g (0.1 oz)</t>
        </is>
      </c>
      <c r="M1335" s="4" t="inlineStr">
        <is>
          <t>[{"ingredient_id": "ground_turkey", "name": "Ground turkey 93% lean", "grams": 500.0, "note": ""}, {"ingredient_id": "egg", "name": "Egg, large (50 g each)", "grams": 50.0, "note": ""}, {"ingredient_id": "oat_bran", "name": "Oat bran, dry", "grams": 30.0, "note": ""}, {"ingredient_id": "tomato_paste", "name": "Tomato paste", "grams": 30.0, "note": ""}, {"ingredient_id": "onion", "name": "Yellow onion", "grams": 60.0, "note": ""}, {"ingredient_id": "carrot", "name": "Carrot", "grams": 60.0, "note": ""}, {"ingredient_id": "salt", "name": "Salt", "grams": 3.0, "note": ""}]</t>
        </is>
      </c>
      <c r="N1335" s="2" t="n">
        <v>161</v>
      </c>
      <c r="O1335" s="5" t="n">
        <v>17.9</v>
      </c>
      <c r="P1335" s="5" t="n">
        <v>7.9</v>
      </c>
      <c r="Q1335" s="5" t="n">
        <v>6.2</v>
      </c>
      <c r="R1335" s="5" t="n">
        <v>1.4</v>
      </c>
      <c r="S1335" s="5" t="n">
        <v>4.8</v>
      </c>
      <c r="T1335" s="2" t="n">
        <v>43</v>
      </c>
      <c r="U1335" s="2" t="inlineStr">
        <is>
          <t>low</t>
        </is>
      </c>
      <c r="V1335" s="5" t="n">
        <v>2.1</v>
      </c>
      <c r="W1335" s="2" t="inlineStr">
        <is>
          <t>low</t>
        </is>
      </c>
      <c r="X1335" s="3" t="inlineStr">
        <is>
          <t>Negligible carbohydrate (&lt;5 g net/serving): GI has little practical meaning, glycemic load is what matters.</t>
        </is>
      </c>
      <c r="Y1335" s="3" t="inlineStr">
        <is>
          <t>67% of this dish's available carbohydrate comes from ingredients with a published, measured GI; the rest uses conventional placeholders (see Ingredients sheet)</t>
        </is>
      </c>
      <c r="Z1335" s="2" t="n">
        <v>67</v>
      </c>
      <c r="AA1335" s="3" t="inlineStr">
        <is>
          <t>dairy-free, nut-free, low-carb, meal-prep</t>
        </is>
      </c>
      <c r="AB1335" s="3" t="inlineStr">
        <is>
          <t>1. Mix everything and press into a muffin tin.
2. Brush with a little paste.
3. Bake at 375°F for 22 to 25 minutes.</t>
        </is>
      </c>
      <c r="AC1335" s="4" t="inlineStr">
        <is>
          <t>["Mix everything and press into a muffin tin.", "Brush with a little paste.", "Bake at 375°F for 22 to 25 minutes."]</t>
        </is>
      </c>
    </row>
    <row r="1336" ht="96" customHeight="1">
      <c r="A1336" s="2" t="inlineStr">
        <is>
          <t>DB-1335</t>
        </is>
      </c>
      <c r="B1336" s="3" t="inlineStr">
        <is>
          <t>Chicken Nuggets, Baked with Almond Crumb</t>
        </is>
      </c>
      <c r="C1336" s="4" t="inlineStr">
        <is>
          <t>Poultry</t>
        </is>
      </c>
      <c r="D1336" s="4" t="inlineStr">
        <is>
          <t>American</t>
        </is>
      </c>
      <c r="E1336" s="2" t="n">
        <v>4</v>
      </c>
      <c r="F1336" s="2" t="n">
        <v>15</v>
      </c>
      <c r="G1336" s="2" t="n">
        <v>18</v>
      </c>
      <c r="H1336" s="2" t="n">
        <v>33</v>
      </c>
      <c r="I1336" s="4" t="inlineStr">
        <is>
          <t>chicken-nuggets-baked-with-almond-crumb.jpg</t>
        </is>
      </c>
      <c r="J1336" s="3" t="inlineStr">
        <is>
          <t>Chicken Nuggets, Baked with Almond Crumb, healthy food photography, plated, natural light</t>
        </is>
      </c>
      <c r="K1336" s="4" t="inlineStr"/>
      <c r="L1336" s="3" t="inlineStr">
        <is>
          <t>Chicken breast, skinless — 560 g (19.8 oz)
Almond flour — 60 g (2.1 oz)
Parmesan, grated — 25 g (0.9 oz)
Egg, large (50 g each) — 50 g (1.8 oz)
Paprika — 3 g (0.1 oz)
Garlic powder — 2 g (0.1 oz)
Extra-virgin olive oil — 15 g (0.5 oz)</t>
        </is>
      </c>
      <c r="M1336" s="4" t="inlineStr">
        <is>
          <t>[{"ingredient_id": "chicken_breast", "name": "Chicken breast, skinless", "grams": 560.0, "note": ""}, {"ingredient_id": "almond_flour", "name": "Almond flour", "grams": 60.0, "note": ""}, {"ingredient_id": "parmesan", "name": "Parmesan, grated", "grams": 25.0, "note": ""}, {"ingredient_id": "egg", "name": "Egg, large (50 g each)", "grams": 50.0, "note": ""}, {"ingredient_id": "paprika", "name": "Paprika", "grams": 3.0, "note": ""}, {"ingredient_id": "garlic_powder", "name": "Garlic powder", "grams": 2.0, "note": ""}, {"ingredient_id": "olive_oil", "name": "Extra-virgin olive oil", "grams": 15.0, "note": ""}]</t>
        </is>
      </c>
      <c r="N1336" s="2" t="n">
        <v>338</v>
      </c>
      <c r="O1336" s="5" t="n">
        <v>38.8</v>
      </c>
      <c r="P1336" s="5" t="n">
        <v>18</v>
      </c>
      <c r="Q1336" s="5" t="n">
        <v>4.3</v>
      </c>
      <c r="R1336" s="5" t="n">
        <v>2.1</v>
      </c>
      <c r="S1336" s="5" t="n">
        <v>2.1</v>
      </c>
      <c r="T1336" s="2" t="n">
        <v>13</v>
      </c>
      <c r="U1336" s="2" t="inlineStr">
        <is>
          <t>low</t>
        </is>
      </c>
      <c r="V1336" s="5" t="n">
        <v>0.3</v>
      </c>
      <c r="W1336" s="2" t="inlineStr">
        <is>
          <t>low</t>
        </is>
      </c>
      <c r="X1336" s="3" t="inlineStr">
        <is>
          <t>Negligible carbohydrate (&lt;5 g net/serving): GI has little practical meaning, glycemic load is what matters.</t>
        </is>
      </c>
      <c r="Y1336" s="3" t="inlineStr">
        <is>
          <t>0% of this dish's available carbohydrate comes from ingredients with a published, measured GI; the rest uses conventional placeholders (see Ingredients sheet)</t>
        </is>
      </c>
      <c r="Z1336" s="2" t="n">
        <v>0</v>
      </c>
      <c r="AA1336" s="3" t="inlineStr">
        <is>
          <t>gluten-free, low-carb, high-protein</t>
        </is>
      </c>
      <c r="AB1336" s="3" t="inlineStr">
        <is>
          <t>1. Cut the chicken into nuggets.
2. Dip in egg, then almond flour mixed with parmesan and spices.
3. Bake on an oiled tray at 425°F for 15 to 18 minutes.</t>
        </is>
      </c>
      <c r="AC1336" s="4" t="inlineStr">
        <is>
          <t>["Cut the chicken into nuggets.", "Dip in egg, then almond flour mixed with parmesan and spices.", "Bake on an oiled tray at 425°F for 15 to 18 minutes."]</t>
        </is>
      </c>
    </row>
    <row r="1337" ht="96" customHeight="1">
      <c r="A1337" s="2" t="inlineStr">
        <is>
          <t>DB-1336</t>
        </is>
      </c>
      <c r="B1337" s="3" t="inlineStr">
        <is>
          <t>Fish Sticks, Baked</t>
        </is>
      </c>
      <c r="C1337" s="4" t="inlineStr">
        <is>
          <t>Seafood</t>
        </is>
      </c>
      <c r="D1337" s="4" t="inlineStr">
        <is>
          <t>American</t>
        </is>
      </c>
      <c r="E1337" s="2" t="n">
        <v>4</v>
      </c>
      <c r="F1337" s="2" t="n">
        <v>15</v>
      </c>
      <c r="G1337" s="2" t="n">
        <v>15</v>
      </c>
      <c r="H1337" s="2" t="n">
        <v>30</v>
      </c>
      <c r="I1337" s="4" t="inlineStr">
        <is>
          <t>fish-sticks-baked.jpg</t>
        </is>
      </c>
      <c r="J1337" s="3" t="inlineStr">
        <is>
          <t>Fish Sticks, Baked, healthy food photography, plated, natural light</t>
        </is>
      </c>
      <c r="K1337" s="4" t="inlineStr"/>
      <c r="L1337" s="3" t="inlineStr">
        <is>
          <t>Cod fillet — 500 g (17.6 oz)
Almond flour — 60 g (2.1 oz)
Parmesan, grated — 20 g (0.7 oz)
Egg, large (50 g each) — 50 g (1.8 oz)
Old Bay seasoning — 2 g (0.1 oz)
Extra-virgin olive oil — 15 g (0.5 oz)
Greek yogurt, plain 2% — 80 g (2.8 oz)
Lemon juice — 10 g (0.4 oz)</t>
        </is>
      </c>
      <c r="M1337" s="4" t="inlineStr">
        <is>
          <t>[{"ingredient_id": "cod", "name": "Cod fillet", "grams": 500.0, "note": ""}, {"ingredient_id": "almond_flour", "name": "Almond flour", "grams": 60.0, "note": ""}, {"ingredient_id": "parmesan", "name": "Parmesan, grated", "grams": 20.0, "note": ""}, {"ingredient_id": "egg", "name": "Egg, large (50 g each)", "grams": 50.0, "note": ""}, {"ingredient_id": "old_bay", "name": "Old Bay seasoning", "grams": 2.0, "note": ""}, {"ingredient_id": "olive_oil", "name": "Extra-virgin olive oil", "grams": 15.0, "note": ""}, {"ingredient_id": "greek_yogurt", "name": "Greek yogurt, plain 2%", "grams": 80.0, "note": ""}, {"ingredient_id": "lemon_juice", "name": "Lemon juice", "grams": 10.0, "note": ""}]</t>
        </is>
      </c>
      <c r="N1337" s="2" t="n">
        <v>280</v>
      </c>
      <c r="O1337" s="5" t="n">
        <v>31.2</v>
      </c>
      <c r="P1337" s="5" t="n">
        <v>15.2</v>
      </c>
      <c r="Q1337" s="5" t="n">
        <v>4.7</v>
      </c>
      <c r="R1337" s="5" t="n">
        <v>1.9</v>
      </c>
      <c r="S1337" s="5" t="n">
        <v>2.8</v>
      </c>
      <c r="T1337" s="2" t="n">
        <v>13</v>
      </c>
      <c r="U1337" s="2" t="inlineStr">
        <is>
          <t>low</t>
        </is>
      </c>
      <c r="V1337" s="5" t="n">
        <v>0.4</v>
      </c>
      <c r="W1337" s="2" t="inlineStr">
        <is>
          <t>low</t>
        </is>
      </c>
      <c r="X1337" s="3" t="inlineStr">
        <is>
          <t>Negligible carbohydrate (&lt;5 g net/serving): GI has little practical meaning, glycemic load is what matters.</t>
        </is>
      </c>
      <c r="Y1337" s="3" t="inlineStr">
        <is>
          <t>29% of this dish's available carbohydrate comes from ingredients with a published, measured GI; the rest uses conventional placeholders (see Ingredients sheet)</t>
        </is>
      </c>
      <c r="Z1337" s="2" t="n">
        <v>29</v>
      </c>
      <c r="AA1337" s="3" t="inlineStr">
        <is>
          <t>pescatarian, gluten-free, low-carb, high-protein</t>
        </is>
      </c>
      <c r="AB1337" s="3" t="inlineStr">
        <is>
          <t>1. Cut the cod into sticks.
2. Dip in egg, then almond flour, parmesan and Old Bay.
3. Bake at 425°F for 12 to 15 minutes.
4. Serve with lemon yogurt dip.</t>
        </is>
      </c>
      <c r="AC1337" s="4" t="inlineStr">
        <is>
          <t>["Cut the cod into sticks.", "Dip in egg, then almond flour, parmesan and Old Bay.", "Bake at 425°F for 12 to 15 minutes.", "Serve with lemon yogurt dip."]</t>
        </is>
      </c>
    </row>
    <row r="1338" ht="96" customHeight="1">
      <c r="A1338" s="2" t="inlineStr">
        <is>
          <t>DB-1337</t>
        </is>
      </c>
      <c r="B1338" s="3" t="inlineStr">
        <is>
          <t>Cheese Quesadilla Triangles</t>
        </is>
      </c>
      <c r="C1338" s="4" t="inlineStr">
        <is>
          <t>Snack &amp; Appetizer</t>
        </is>
      </c>
      <c r="D1338" s="4" t="inlineStr">
        <is>
          <t>Tex-Mex</t>
        </is>
      </c>
      <c r="E1338" s="2" t="n">
        <v>4</v>
      </c>
      <c r="F1338" s="2" t="n">
        <v>5</v>
      </c>
      <c r="G1338" s="2" t="n">
        <v>8</v>
      </c>
      <c r="H1338" s="2" t="n">
        <v>13</v>
      </c>
      <c r="I1338" s="4" t="inlineStr">
        <is>
          <t>cheese-quesadilla-triangles.jpg</t>
        </is>
      </c>
      <c r="J1338" s="3" t="inlineStr">
        <is>
          <t>Cheese Quesadilla Triangles, healthy food photography, plated, natural light</t>
        </is>
      </c>
      <c r="K1338" s="4" t="inlineStr"/>
      <c r="L1338" s="3" t="inlineStr">
        <is>
          <t>Flour tortilla, 8-inch — 160 g (5.6 oz)
Cheddar cheese — 100 g (3.5 oz)
Black beans, cooked — 100 g (3.5 oz)
Extra-virgin olive oil — 5 g (0.2 oz)</t>
        </is>
      </c>
      <c r="M1338" s="4" t="inlineStr">
        <is>
          <t>[{"ingredient_id": "flour_tortilla", "name": "Flour tortilla, 8-inch", "grams": 160.0, "note": ""}, {"ingredient_id": "cheddar", "name": "Cheddar cheese", "grams": 100.0, "note": ""}, {"ingredient_id": "black_beans", "name": "Black beans, cooked", "grams": 100.0, "note": ""}, {"ingredient_id": "olive_oil", "name": "Extra-virgin olive oil", "grams": 5.0, "note": ""}]</t>
        </is>
      </c>
      <c r="N1338" s="2" t="n">
        <v>267</v>
      </c>
      <c r="O1338" s="5" t="n">
        <v>11.3</v>
      </c>
      <c r="P1338" s="5" t="n">
        <v>12.8</v>
      </c>
      <c r="Q1338" s="5" t="n">
        <v>26</v>
      </c>
      <c r="R1338" s="5" t="n">
        <v>3.6</v>
      </c>
      <c r="S1338" s="5" t="n">
        <v>22.4</v>
      </c>
      <c r="T1338" s="2" t="n">
        <v>33</v>
      </c>
      <c r="U1338" s="2" t="inlineStr">
        <is>
          <t>low</t>
        </is>
      </c>
      <c r="V1338" s="5" t="n">
        <v>7.4</v>
      </c>
      <c r="W1338" s="2" t="inlineStr">
        <is>
          <t>low</t>
        </is>
      </c>
      <c r="X1338" s="3" t="inlineStr"/>
      <c r="Y1338" s="3" t="inlineStr">
        <is>
          <t>99% of this dish's available carbohydrate comes from ingredients with a published, measured GI; the rest uses conventional placeholders (see Ingredients sheet)</t>
        </is>
      </c>
      <c r="Z1338" s="2" t="n">
        <v>99</v>
      </c>
      <c r="AA1338" s="3" t="inlineStr">
        <is>
          <t>vegetarian, nut-free</t>
        </is>
      </c>
      <c r="AB1338" s="3" t="inlineStr">
        <is>
          <t>1. Fill half of each tortilla with cheddar and beans and fold.
2. Crisp in a pan with oil.
3. Cut into triangles.</t>
        </is>
      </c>
      <c r="AC1338" s="4" t="inlineStr">
        <is>
          <t>["Fill half of each tortilla with cheddar and beans and fold.", "Crisp in a pan with oil.", "Cut into triangles."]</t>
        </is>
      </c>
    </row>
    <row r="1339" ht="96" customHeight="1">
      <c r="A1339" s="2" t="inlineStr">
        <is>
          <t>DB-1338</t>
        </is>
      </c>
      <c r="B1339" s="3" t="inlineStr">
        <is>
          <t>Ants on a Log</t>
        </is>
      </c>
      <c r="C1339" s="4" t="inlineStr">
        <is>
          <t>Snack &amp; Appetizer</t>
        </is>
      </c>
      <c r="D1339" s="4" t="inlineStr">
        <is>
          <t>American</t>
        </is>
      </c>
      <c r="E1339" s="2" t="n">
        <v>4</v>
      </c>
      <c r="F1339" s="2" t="n">
        <v>5</v>
      </c>
      <c r="G1339" s="2" t="n">
        <v>0</v>
      </c>
      <c r="H1339" s="2" t="n">
        <v>5</v>
      </c>
      <c r="I1339" s="4" t="inlineStr">
        <is>
          <t>ants-on-a-log.jpg</t>
        </is>
      </c>
      <c r="J1339" s="3" t="inlineStr">
        <is>
          <t>Ants on a Log, healthy food photography, plated, natural light</t>
        </is>
      </c>
      <c r="K1339" s="4" t="inlineStr"/>
      <c r="L1339" s="3" t="inlineStr">
        <is>
          <t>Celery — 240 g (8.5 oz)
Peanut butter, natural — 64 g (2.3 oz)
Pumpkin seeds (pepitas) — 20 g (0.7 oz)</t>
        </is>
      </c>
      <c r="M1339" s="4" t="inlineStr">
        <is>
          <t>[{"ingredient_id": "celery", "name": "Celery", "grams": 240.0, "note": ""}, {"ingredient_id": "peanut_butter", "name": "Peanut butter, natural", "grams": 64.0, "note": ""}, {"ingredient_id": "pumpkin_seeds", "name": "Pumpkin seeds (pepitas)", "grams": 20.0, "note": ""}]</t>
        </is>
      </c>
      <c r="N1339" s="2" t="n">
        <v>132</v>
      </c>
      <c r="O1339" s="5" t="n">
        <v>5.9</v>
      </c>
      <c r="P1339" s="5" t="n">
        <v>10.6</v>
      </c>
      <c r="Q1339" s="5" t="n">
        <v>5.5</v>
      </c>
      <c r="R1339" s="5" t="n">
        <v>2.2</v>
      </c>
      <c r="S1339" s="5" t="n">
        <v>3.3</v>
      </c>
      <c r="T1339" s="2" t="n">
        <v>14</v>
      </c>
      <c r="U1339" s="2" t="inlineStr">
        <is>
          <t>low</t>
        </is>
      </c>
      <c r="V1339" s="5" t="n">
        <v>0.5</v>
      </c>
      <c r="W1339" s="2" t="inlineStr">
        <is>
          <t>low</t>
        </is>
      </c>
      <c r="X1339" s="3" t="inlineStr">
        <is>
          <t>Negligible carbohydrate (&lt;5 g net/serving): GI has little practical meaning, glycemic load is what matters.</t>
        </is>
      </c>
      <c r="Y1339" s="3" t="inlineStr">
        <is>
          <t>0% of this dish's available carbohydrate comes from ingredients with a published, measured GI; the rest uses conventional placeholders (see Ingredients sheet)</t>
        </is>
      </c>
      <c r="Z1339" s="2" t="n">
        <v>0</v>
      </c>
      <c r="AA1339" s="3" t="inlineStr">
        <is>
          <t>vegan, gluten-free, dairy-free, low-carb, no-cook</t>
        </is>
      </c>
      <c r="AB1339" s="3" t="inlineStr">
        <is>
          <t>1. Fill the celery stalks with peanut butter.
2. Press seeds on top.</t>
        </is>
      </c>
      <c r="AC1339" s="4" t="inlineStr">
        <is>
          <t>["Fill the celery stalks with peanut butter.", "Press seeds on top."]</t>
        </is>
      </c>
    </row>
    <row r="1340" ht="96" customHeight="1">
      <c r="A1340" s="2" t="inlineStr">
        <is>
          <t>DB-1339</t>
        </is>
      </c>
      <c r="B1340" s="3" t="inlineStr">
        <is>
          <t>Banana Dog Roll-Up</t>
        </is>
      </c>
      <c r="C1340" s="4" t="inlineStr">
        <is>
          <t>Snack &amp; Appetizer</t>
        </is>
      </c>
      <c r="D1340" s="4" t="inlineStr">
        <is>
          <t>American</t>
        </is>
      </c>
      <c r="E1340" s="2" t="n">
        <v>2</v>
      </c>
      <c r="F1340" s="2" t="n">
        <v>3</v>
      </c>
      <c r="G1340" s="2" t="n">
        <v>0</v>
      </c>
      <c r="H1340" s="2" t="n">
        <v>3</v>
      </c>
      <c r="I1340" s="4" t="inlineStr">
        <is>
          <t>banana-dog-roll-up.jpg</t>
        </is>
      </c>
      <c r="J1340" s="3" t="inlineStr">
        <is>
          <t>Banana Dog Roll-Up, healthy food photography, plated, natural light</t>
        </is>
      </c>
      <c r="K1340" s="4" t="inlineStr"/>
      <c r="L1340" s="3" t="inlineStr">
        <is>
          <t>Flour tortilla, 8-inch — 80 g (2.8 oz)
Banana (small amount) — 120 g (4.2 oz)
Peanut butter, natural — 30 g (1.1 oz)</t>
        </is>
      </c>
      <c r="M1340" s="4" t="inlineStr">
        <is>
          <t>[{"ingredient_id": "flour_tortilla", "name": "Flour tortilla, 8-inch", "grams": 80.0, "note": ""}, {"ingredient_id": "banana", "name": "Banana (small amount)", "grams": 120.0, "note": ""}, {"ingredient_id": "peanut_butter", "name": "Peanut butter, natural", "grams": 30.0, "note": ""}]</t>
        </is>
      </c>
      <c r="N1340" s="2" t="n">
        <v>264</v>
      </c>
      <c r="O1340" s="5" t="n">
        <v>7.7</v>
      </c>
      <c r="P1340" s="5" t="n">
        <v>10.9</v>
      </c>
      <c r="Q1340" s="5" t="n">
        <v>36.6</v>
      </c>
      <c r="R1340" s="5" t="n">
        <v>3.9</v>
      </c>
      <c r="S1340" s="5" t="n">
        <v>32.7</v>
      </c>
      <c r="T1340" s="2" t="n">
        <v>39</v>
      </c>
      <c r="U1340" s="2" t="inlineStr">
        <is>
          <t>low</t>
        </is>
      </c>
      <c r="V1340" s="5" t="n">
        <v>12.8</v>
      </c>
      <c r="W1340" s="2" t="inlineStr">
        <is>
          <t>medium</t>
        </is>
      </c>
      <c r="X1340" s="3" t="inlineStr"/>
      <c r="Y1340" s="3" t="inlineStr">
        <is>
          <t>94% of this dish's available carbohydrate comes from ingredients with a published, measured GI; the rest uses conventional placeholders (see Ingredients sheet)</t>
        </is>
      </c>
      <c r="Z1340" s="2" t="n">
        <v>94</v>
      </c>
      <c r="AA1340" s="3" t="inlineStr">
        <is>
          <t>vegan, dairy-free, no-cook</t>
        </is>
      </c>
      <c r="AB1340" s="3" t="inlineStr">
        <is>
          <t>1. Spread the tortillas with peanut butter.
2. Place a banana on each and roll.</t>
        </is>
      </c>
      <c r="AC1340" s="4" t="inlineStr">
        <is>
          <t>["Spread the tortillas with peanut butter.", "Place a banana on each and roll."]</t>
        </is>
      </c>
    </row>
    <row r="1341" ht="96" customHeight="1">
      <c r="A1341" s="2" t="inlineStr">
        <is>
          <t>DB-1340</t>
        </is>
      </c>
      <c r="B1341" s="3" t="inlineStr">
        <is>
          <t>Pizza Pasta Bake</t>
        </is>
      </c>
      <c r="C1341" s="4" t="inlineStr">
        <is>
          <t>Beef, Pork &amp; Lamb</t>
        </is>
      </c>
      <c r="D1341" s="4" t="inlineStr">
        <is>
          <t>Italian</t>
        </is>
      </c>
      <c r="E1341" s="2" t="n">
        <v>6</v>
      </c>
      <c r="F1341" s="2" t="n">
        <v>15</v>
      </c>
      <c r="G1341" s="2" t="n">
        <v>30</v>
      </c>
      <c r="H1341" s="2" t="n">
        <v>45</v>
      </c>
      <c r="I1341" s="4" t="inlineStr">
        <is>
          <t>pizza-pasta-bake.jpg</t>
        </is>
      </c>
      <c r="J1341" s="3" t="inlineStr">
        <is>
          <t>Pizza Pasta Bake, healthy food photography, plated, natural light</t>
        </is>
      </c>
      <c r="K1341" s="4" t="inlineStr"/>
      <c r="L1341" s="3" t="inlineStr">
        <is>
          <t>White pasta, cooked al dente — 480 g (16.9 oz)
Marinara sauce, no sugar added — 350 g (12.3 oz)
Mozzarella, part-skim — 120 g (4.2 oz)
Turkey sausage — 150 g (5.3 oz)
Bell pepper — 100 g (3.5 oz)
Italian seasoning — 2 g (0.1 oz)</t>
        </is>
      </c>
      <c r="M1341" s="4" t="inlineStr">
        <is>
          <t>[{"ingredient_id": "white_pasta", "name": "White pasta, cooked al dente", "grams": 480.0, "note": ""}, {"ingredient_id": "marinara", "name": "Marinara sauce, no sugar added", "grams": 350.0, "note": ""}, {"ingredient_id": "mozzarella", "name": "Mozzarella, part-skim", "grams": 120.0, "note": ""}, {"ingredient_id": "turkey_sausage", "name": "Turkey sausage", "grams": 150.0, "note": ""}, {"ingredient_id": "bell_pepper", "name": "Bell pepper", "grams": 100.0, "note": ""}, {"ingredient_id": "italian_seasoning", "name": "Italian seasoning", "grams": 2.0, "note": ""}]</t>
        </is>
      </c>
      <c r="N1341" s="2" t="n">
        <v>247</v>
      </c>
      <c r="O1341" s="5" t="n">
        <v>14.2</v>
      </c>
      <c r="P1341" s="5" t="n">
        <v>8</v>
      </c>
      <c r="Q1341" s="5" t="n">
        <v>29.8</v>
      </c>
      <c r="R1341" s="5" t="n">
        <v>2.8</v>
      </c>
      <c r="S1341" s="5" t="n">
        <v>27</v>
      </c>
      <c r="T1341" s="2" t="n">
        <v>45</v>
      </c>
      <c r="U1341" s="2" t="inlineStr">
        <is>
          <t>low</t>
        </is>
      </c>
      <c r="V1341" s="5" t="n">
        <v>12.1</v>
      </c>
      <c r="W1341" s="2" t="inlineStr">
        <is>
          <t>medium</t>
        </is>
      </c>
      <c r="X1341" s="3" t="inlineStr"/>
      <c r="Y1341" s="3" t="inlineStr">
        <is>
          <t>93% of this dish's available carbohydrate comes from ingredients with a published, measured GI; the rest uses conventional placeholders (see Ingredients sheet)</t>
        </is>
      </c>
      <c r="Z1341" s="2" t="n">
        <v>93</v>
      </c>
      <c r="AA1341" s="3" t="inlineStr">
        <is>
          <t>nut-free</t>
        </is>
      </c>
      <c r="AB1341" s="3" t="inlineStr">
        <is>
          <t>1. Brown the sausage; mix with the cooked pasta, marinara, pepper and seasoning.
2. Top with mozzarella.
3. Bake at 375°F for 20 minutes.</t>
        </is>
      </c>
      <c r="AC1341" s="4" t="inlineStr">
        <is>
          <t>["Brown the sausage; mix with the cooked pasta, marinara, pepper and seasoning.", "Top with mozzarella.", "Bake at 375°F for 20 minutes."]</t>
        </is>
      </c>
    </row>
    <row r="1342" ht="96" customHeight="1">
      <c r="A1342" s="2" t="inlineStr">
        <is>
          <t>DB-1341</t>
        </is>
      </c>
      <c r="B1342" s="3" t="inlineStr">
        <is>
          <t>Cheeseburger Soup</t>
        </is>
      </c>
      <c r="C1342" s="4" t="inlineStr">
        <is>
          <t>Soup &amp; Stew</t>
        </is>
      </c>
      <c r="D1342" s="4" t="inlineStr">
        <is>
          <t>American</t>
        </is>
      </c>
      <c r="E1342" s="2" t="n">
        <v>6</v>
      </c>
      <c r="F1342" s="2" t="n">
        <v>10</v>
      </c>
      <c r="G1342" s="2" t="n">
        <v>30</v>
      </c>
      <c r="H1342" s="2" t="n">
        <v>40</v>
      </c>
      <c r="I1342" s="4" t="inlineStr">
        <is>
          <t>cheeseburger-soup.jpg</t>
        </is>
      </c>
      <c r="J1342" s="3" t="inlineStr">
        <is>
          <t>Cheeseburger Soup, healthy food photography, plated, natural light</t>
        </is>
      </c>
      <c r="K1342" s="4" t="inlineStr"/>
      <c r="L1342" s="3" t="inlineStr">
        <is>
          <t>Ground beef 90% lean — 400 g (14.1 oz)
Potato, boiled, peeled — 300 g (10.6 oz)
Cheddar cheese — 100 g (3.5 oz)
Beef broth, low sodium — 600 g (21.2 oz)
Milk, 2% — 250 g (8.8 oz)
Yellow onion — 100 g (3.5 oz)
Carrot — 80 g (2.8 oz)
Yellow mustard — 10 g (0.4 oz)
Tomato paste — 20 g (0.7 oz)</t>
        </is>
      </c>
      <c r="M1342" s="4" t="inlineStr">
        <is>
          <t>[{"ingredient_id": "ground_beef", "name": "Ground beef 90% lean", "grams": 400.0, "note": ""}, {"ingredient_id": "potato_boiled", "name": "Potato, boiled, peeled", "grams": 300.0, "note": ""}, {"ingredient_id": "cheddar", "name": "Cheddar cheese", "grams": 100.0, "note": ""}, {"ingredient_id": "beef_broth", "name": "Beef broth, low sodium", "grams": 600.0, "note": ""}, {"ingredient_id": "milk", "name": "Milk, 2%", "grams": 250.0, "note": ""}, {"ingredient_id": "onion", "name": "Yellow onion", "grams": 100.0, "note": ""}, {"ingredient_id": "carrot", "name": "Carrot", "grams": 80.0, "note": ""}, {"ingredient_id": "yellow_mustard", "name": "Yellow mustard", "grams": 10.0, "note": ""}, {"ingredient_id": "tomato_paste", "name": "Tomato paste", "grams": 20.0, "note": ""}]</t>
        </is>
      </c>
      <c r="N1342" s="2" t="n">
        <v>275</v>
      </c>
      <c r="O1342" s="5" t="n">
        <v>21.3</v>
      </c>
      <c r="P1342" s="5" t="n">
        <v>13.4</v>
      </c>
      <c r="Q1342" s="5" t="n">
        <v>16.9</v>
      </c>
      <c r="R1342" s="5" t="n">
        <v>1.6</v>
      </c>
      <c r="S1342" s="5" t="n">
        <v>15.3</v>
      </c>
      <c r="T1342" s="2" t="n">
        <v>51</v>
      </c>
      <c r="U1342" s="2" t="inlineStr">
        <is>
          <t>low</t>
        </is>
      </c>
      <c r="V1342" s="5" t="n">
        <v>7.8</v>
      </c>
      <c r="W1342" s="2" t="inlineStr">
        <is>
          <t>low</t>
        </is>
      </c>
      <c r="X1342" s="3" t="inlineStr"/>
      <c r="Y1342" s="3" t="inlineStr">
        <is>
          <t>84% of this dish's available carbohydrate comes from ingredients with a published, measured GI; the rest uses conventional placeholders (see Ingredients sheet)</t>
        </is>
      </c>
      <c r="Z1342" s="2" t="n">
        <v>84</v>
      </c>
      <c r="AA1342" s="3" t="inlineStr">
        <is>
          <t>gluten-free, nut-free</t>
        </is>
      </c>
      <c r="AB1342" s="3" t="inlineStr">
        <is>
          <t>1. Brown the beef with the onion and carrot.
2. Add the potatoes, broth, mustard and paste and simmer 15 minutes.
3. Stir in the milk and cheddar.</t>
        </is>
      </c>
      <c r="AC1342" s="4" t="inlineStr">
        <is>
          <t>["Brown the beef with the onion and carrot.", "Add the potatoes, broth, mustard and paste and simmer 15 minutes.", "Stir in the milk and cheddar."]</t>
        </is>
      </c>
    </row>
    <row r="1343" ht="96" customHeight="1">
      <c r="A1343" s="2" t="inlineStr">
        <is>
          <t>DB-1342</t>
        </is>
      </c>
      <c r="B1343" s="3" t="inlineStr">
        <is>
          <t>Peanut Butter Banana Quesadilla</t>
        </is>
      </c>
      <c r="C1343" s="4" t="inlineStr">
        <is>
          <t>Breakfast</t>
        </is>
      </c>
      <c r="D1343" s="4" t="inlineStr">
        <is>
          <t>American</t>
        </is>
      </c>
      <c r="E1343" s="2" t="n">
        <v>2</v>
      </c>
      <c r="F1343" s="2" t="n">
        <v>3</v>
      </c>
      <c r="G1343" s="2" t="n">
        <v>5</v>
      </c>
      <c r="H1343" s="2" t="n">
        <v>8</v>
      </c>
      <c r="I1343" s="4" t="inlineStr">
        <is>
          <t>peanut-butter-banana-quesadilla.jpg</t>
        </is>
      </c>
      <c r="J1343" s="3" t="inlineStr">
        <is>
          <t>Peanut Butter Banana Quesadilla, healthy food photography, plated, natural light</t>
        </is>
      </c>
      <c r="K1343" s="4" t="inlineStr"/>
      <c r="L1343" s="3" t="inlineStr">
        <is>
          <t>Flour tortilla, 8-inch — 80 g (2.8 oz)
Peanut butter, natural — 30 g (1.1 oz)
Banana (small amount) — 100 g (3.5 oz)
Ground cinnamon — 1 g (0.0 oz)</t>
        </is>
      </c>
      <c r="M1343" s="4" t="inlineStr">
        <is>
          <t>[{"ingredient_id": "flour_tortilla", "name": "Flour tortilla, 8-inch", "grams": 80.0, "note": ""}, {"ingredient_id": "peanut_butter", "name": "Peanut butter, natural", "grams": 30.0, "note": ""}, {"ingredient_id": "banana", "name": "Banana (small amount)", "grams": 100.0, "note": ""}, {"ingredient_id": "cinnamon", "name": "Ground cinnamon", "grams": 1.0, "note": ""}]</t>
        </is>
      </c>
      <c r="N1343" s="2" t="n">
        <v>256</v>
      </c>
      <c r="O1343" s="5" t="n">
        <v>7.6</v>
      </c>
      <c r="P1343" s="5" t="n">
        <v>10.9</v>
      </c>
      <c r="Q1343" s="5" t="n">
        <v>34.7</v>
      </c>
      <c r="R1343" s="5" t="n">
        <v>3.9</v>
      </c>
      <c r="S1343" s="5" t="n">
        <v>30.8</v>
      </c>
      <c r="T1343" s="2" t="n">
        <v>38</v>
      </c>
      <c r="U1343" s="2" t="inlineStr">
        <is>
          <t>low</t>
        </is>
      </c>
      <c r="V1343" s="5" t="n">
        <v>11.7</v>
      </c>
      <c r="W1343" s="2" t="inlineStr">
        <is>
          <t>medium</t>
        </is>
      </c>
      <c r="X1343" s="3" t="inlineStr"/>
      <c r="Y1343" s="3" t="inlineStr">
        <is>
          <t>93% of this dish's available carbohydrate comes from ingredients with a published, measured GI; the rest uses conventional placeholders (see Ingredients sheet)</t>
        </is>
      </c>
      <c r="Z1343" s="2" t="n">
        <v>93</v>
      </c>
      <c r="AA1343" s="3" t="inlineStr">
        <is>
          <t>vegan, dairy-free</t>
        </is>
      </c>
      <c r="AB1343" s="3" t="inlineStr">
        <is>
          <t>1. Spread peanut butter and banana on half of each tortilla.
2. Fold and toast in a pan 2 minutes a side.</t>
        </is>
      </c>
      <c r="AC1343" s="4" t="inlineStr">
        <is>
          <t>["Spread peanut butter and banana on half of each tortilla.", "Fold and toast in a pan 2 minutes a side."]</t>
        </is>
      </c>
    </row>
    <row r="1344" ht="96" customHeight="1">
      <c r="A1344" s="2" t="inlineStr">
        <is>
          <t>DB-1343</t>
        </is>
      </c>
      <c r="B1344" s="3" t="inlineStr">
        <is>
          <t>Scrambled Egg Muffin Cups with Ham</t>
        </is>
      </c>
      <c r="C1344" s="4" t="inlineStr">
        <is>
          <t>Breakfast</t>
        </is>
      </c>
      <c r="D1344" s="4" t="inlineStr">
        <is>
          <t>American</t>
        </is>
      </c>
      <c r="E1344" s="2" t="n">
        <v>6</v>
      </c>
      <c r="F1344" s="2" t="n">
        <v>10</v>
      </c>
      <c r="G1344" s="2" t="n">
        <v>20</v>
      </c>
      <c r="H1344" s="2" t="n">
        <v>30</v>
      </c>
      <c r="I1344" s="4" t="inlineStr">
        <is>
          <t>scrambled-egg-muffin-cups-with-ham.jpg</t>
        </is>
      </c>
      <c r="J1344" s="3" t="inlineStr">
        <is>
          <t>Scrambled Egg Muffin Cups with Ham, healthy food photography, plated, natural light</t>
        </is>
      </c>
      <c r="K1344" s="4" t="inlineStr"/>
      <c r="L1344" s="3" t="inlineStr">
        <is>
          <t>Egg, large (50 g each) — 300 g (10.6 oz)
Ham, lean — 100 g (3.5 oz)
Cheddar cheese — 50 g (1.8 oz)
Bell pepper — 60 g (2.1 oz)
Spinach — 40 g (1.4 oz)</t>
        </is>
      </c>
      <c r="M1344" s="4" t="inlineStr">
        <is>
          <t>[{"ingredient_id": "egg", "name": "Egg, large (50 g each)", "grams": 300.0, "note": ""}, {"ingredient_id": "ham", "name": "Ham, lean", "grams": 100.0, "note": ""}, {"ingredient_id": "cheddar", "name": "Cheddar cheese", "grams": 50.0, "note": ""}, {"ingredient_id": "bell_pepper", "name": "Bell pepper", "grams": 60.0, "note": ""}, {"ingredient_id": "spinach", "name": "Spinach", "grams": 40.0, "note": ""}]</t>
        </is>
      </c>
      <c r="N1344" s="2" t="n">
        <v>134</v>
      </c>
      <c r="O1344" s="5" t="n">
        <v>12</v>
      </c>
      <c r="P1344" s="5" t="n">
        <v>8.6</v>
      </c>
      <c r="Q1344" s="5" t="n">
        <v>1.5</v>
      </c>
      <c r="R1344" s="5" t="n">
        <v>0.4</v>
      </c>
      <c r="S1344" s="5" t="n">
        <v>1.2</v>
      </c>
      <c r="T1344" s="2" t="n">
        <v>6</v>
      </c>
      <c r="U1344" s="2" t="inlineStr">
        <is>
          <t>low</t>
        </is>
      </c>
      <c r="V1344" s="5" t="n">
        <v>0.1</v>
      </c>
      <c r="W1344" s="2" t="inlineStr">
        <is>
          <t>low</t>
        </is>
      </c>
      <c r="X1344" s="3" t="inlineStr">
        <is>
          <t>Negligible carbohydrate (&lt;5 g net/serving): GI has little practical meaning, glycemic load is what matters.</t>
        </is>
      </c>
      <c r="Y1344" s="3" t="inlineStr">
        <is>
          <t>0% of this dish's available carbohydrate comes from ingredients with a published, measured GI; the rest uses conventional placeholders (see Ingredients sheet)</t>
        </is>
      </c>
      <c r="Z1344" s="2" t="n">
        <v>0</v>
      </c>
      <c r="AA1344" s="3" t="inlineStr">
        <is>
          <t>gluten-free, nut-free, low-carb, meal-prep</t>
        </is>
      </c>
      <c r="AB1344" s="3" t="inlineStr">
        <is>
          <t>1. Divide the chopped ham, pepper and spinach among six muffin cups.
2. Pour in the beaten eggs and top with cheddar.
3. Bake at 350°F for 18 to 20 minutes.</t>
        </is>
      </c>
      <c r="AC1344" s="4" t="inlineStr">
        <is>
          <t>["Divide the chopped ham, pepper and spinach among six muffin cups.", "Pour in the beaten eggs and top with cheddar.", "Bake at 350°F for 18 to 20 minutes."]</t>
        </is>
      </c>
    </row>
    <row r="1345" ht="96" customHeight="1">
      <c r="A1345" s="2" t="inlineStr">
        <is>
          <t>DB-1344</t>
        </is>
      </c>
      <c r="B1345" s="3" t="inlineStr">
        <is>
          <t>Yogurt-Dipped Frozen Berries</t>
        </is>
      </c>
      <c r="C1345" s="4" t="inlineStr">
        <is>
          <t>Snack &amp; Appetizer</t>
        </is>
      </c>
      <c r="D1345" s="4" t="inlineStr">
        <is>
          <t>American</t>
        </is>
      </c>
      <c r="E1345" s="2" t="n">
        <v>4</v>
      </c>
      <c r="F1345" s="2" t="n">
        <v>10</v>
      </c>
      <c r="G1345" s="2" t="n">
        <v>0</v>
      </c>
      <c r="H1345" s="2" t="n">
        <v>10</v>
      </c>
      <c r="I1345" s="4" t="inlineStr">
        <is>
          <t>yogurt-dipped-frozen-berries.jpg</t>
        </is>
      </c>
      <c r="J1345" s="3" t="inlineStr">
        <is>
          <t>Yogurt-Dipped Frozen Berries, healthy food photography, plated, natural light</t>
        </is>
      </c>
      <c r="K1345" s="4" t="inlineStr"/>
      <c r="L1345" s="3" t="inlineStr">
        <is>
          <t>Greek yogurt, plain 2% — 200 g (7.1 oz)
Blueberries — 150 g (5.3 oz)
Strawberries — 150 g (5.3 oz)
Vanilla extract — 2 g (0.1 oz)</t>
        </is>
      </c>
      <c r="M1345" s="4" t="inlineStr">
        <is>
          <t>[{"ingredient_id": "greek_yogurt", "name": "Greek yogurt, plain 2%", "grams": 200.0, "note": ""}, {"ingredient_id": "blueberries", "name": "Blueberries", "grams": 150.0, "note": ""}, {"ingredient_id": "strawberries", "name": "Strawberries", "grams": 150.0, "note": ""}, {"ingredient_id": "vanilla_extract", "name": "Vanilla extract", "grams": 2.0, "note": ""}]</t>
        </is>
      </c>
      <c r="N1345" s="2" t="n">
        <v>71</v>
      </c>
      <c r="O1345" s="5" t="n">
        <v>5.5</v>
      </c>
      <c r="P1345" s="5" t="n">
        <v>1.2</v>
      </c>
      <c r="Q1345" s="5" t="n">
        <v>10.4</v>
      </c>
      <c r="R1345" s="5" t="n">
        <v>1.6</v>
      </c>
      <c r="S1345" s="5" t="n">
        <v>8.699999999999999</v>
      </c>
      <c r="T1345" s="2" t="n">
        <v>40</v>
      </c>
      <c r="U1345" s="2" t="inlineStr">
        <is>
          <t>low</t>
        </is>
      </c>
      <c r="V1345" s="5" t="n">
        <v>3.5</v>
      </c>
      <c r="W1345" s="2" t="inlineStr">
        <is>
          <t>low</t>
        </is>
      </c>
      <c r="X1345" s="3" t="inlineStr"/>
      <c r="Y1345" s="3" t="inlineStr">
        <is>
          <t>99% of this dish's available carbohydrate comes from ingredients with a published, measured GI; the rest uses conventional placeholders (see Ingredients sheet)</t>
        </is>
      </c>
      <c r="Z1345" s="2" t="n">
        <v>99</v>
      </c>
      <c r="AA1345" s="3" t="inlineStr">
        <is>
          <t>vegetarian, gluten-free, nut-free, low-carb, no-cook</t>
        </is>
      </c>
      <c r="AB1345" s="3" t="inlineStr">
        <is>
          <t>1. Stir the vanilla into the yogurt.
2. Dip the berries and freeze on a tray 2 hours.</t>
        </is>
      </c>
      <c r="AC1345" s="4" t="inlineStr">
        <is>
          <t>["Stir the vanilla into the yogurt.", "Dip the berries and freeze on a tray 2 hours."]</t>
        </is>
      </c>
    </row>
    <row r="1346" ht="96" customHeight="1">
      <c r="A1346" s="2" t="inlineStr">
        <is>
          <t>DB-1345</t>
        </is>
      </c>
      <c r="B1346" s="3" t="inlineStr">
        <is>
          <t>Lunchbox Turkey Bento with Cheddar Roll-Ups and Blueberries</t>
        </is>
      </c>
      <c r="C1346" s="4" t="inlineStr">
        <is>
          <t>Snack &amp; Appetizer</t>
        </is>
      </c>
      <c r="D1346" s="4" t="inlineStr">
        <is>
          <t>American</t>
        </is>
      </c>
      <c r="E1346" s="2" t="n">
        <v>2</v>
      </c>
      <c r="F1346" s="2" t="n">
        <v>10</v>
      </c>
      <c r="G1346" s="2" t="n">
        <v>0</v>
      </c>
      <c r="H1346" s="2" t="n">
        <v>10</v>
      </c>
      <c r="I1346" s="4" t="inlineStr">
        <is>
          <t>lunchbox-turkey-bento-with-cheddar-roll-ups-and-blueberries.jpg</t>
        </is>
      </c>
      <c r="J1346" s="3" t="inlineStr">
        <is>
          <t>Lunchbox Turkey Bento with Cheddar Roll-Ups and Blueberries, healthy food photography, plated, natural light</t>
        </is>
      </c>
      <c r="K1346" s="4" t="inlineStr"/>
      <c r="L1346" s="3" t="inlineStr">
        <is>
          <t>Deli turkey breast, low sodium — 100 g (3.5 oz)
Cheddar cheese — 40 g (1.4 oz)
Cucumber — 100 g (3.5 oz)
Blueberries — 100 g (3.5 oz)
Almonds — 20 g (0.7 oz)
Whole grain seed crackers — 30 g (1.1 oz)</t>
        </is>
      </c>
      <c r="M1346" s="4" t="inlineStr">
        <is>
          <t>[{"ingredient_id": "deli_turkey", "name": "Deli turkey breast, low sodium", "grams": 100.0, "note": ""}, {"ingredient_id": "cheddar", "name": "Cheddar cheese", "grams": 40.0, "note": ""}, {"ingredient_id": "cucumber", "name": "Cucumber", "grams": 100.0, "note": ""}, {"ingredient_id": "blueberries", "name": "Blueberries", "grams": 100.0, "note": ""}, {"ingredient_id": "almonds", "name": "Almonds", "grams": 20.0, "note": ""}, {"ingredient_id": "whole_grain_crackers", "name": "Whole grain seed crackers", "grams": 30.0, "note": ""}]</t>
        </is>
      </c>
      <c r="N1346" s="2" t="n">
        <v>290</v>
      </c>
      <c r="O1346" s="5" t="n">
        <v>17.4</v>
      </c>
      <c r="P1346" s="5" t="n">
        <v>14.7</v>
      </c>
      <c r="Q1346" s="5" t="n">
        <v>23.4</v>
      </c>
      <c r="R1346" s="5" t="n">
        <v>4.2</v>
      </c>
      <c r="S1346" s="5" t="n">
        <v>19.2</v>
      </c>
      <c r="T1346" s="2" t="n">
        <v>43</v>
      </c>
      <c r="U1346" s="2" t="inlineStr">
        <is>
          <t>low</t>
        </is>
      </c>
      <c r="V1346" s="5" t="n">
        <v>8.300000000000001</v>
      </c>
      <c r="W1346" s="2" t="inlineStr">
        <is>
          <t>low</t>
        </is>
      </c>
      <c r="X1346" s="3" t="inlineStr"/>
      <c r="Y1346" s="3" t="inlineStr">
        <is>
          <t>75% of this dish's available carbohydrate comes from ingredients with a published, measured GI; the rest uses conventional placeholders (see Ingredients sheet)</t>
        </is>
      </c>
      <c r="Z1346" s="2" t="n">
        <v>75</v>
      </c>
      <c r="AA1346" s="3" t="inlineStr">
        <is>
          <t>no-cook</t>
        </is>
      </c>
      <c r="AB1346" s="3" t="inlineStr">
        <is>
          <t>1. Roll the turkey around cheddar sticks.
2. Pack with cucumber, blueberries, almonds and crackers.</t>
        </is>
      </c>
      <c r="AC1346" s="4" t="inlineStr">
        <is>
          <t>["Roll the turkey around cheddar sticks.", "Pack with cucumber, blueberries, almonds and crackers."]</t>
        </is>
      </c>
    </row>
    <row r="1347" ht="96" customHeight="1">
      <c r="A1347" s="2" t="inlineStr">
        <is>
          <t>DB-1346</t>
        </is>
      </c>
      <c r="B1347" s="3" t="inlineStr">
        <is>
          <t>Sloppy Joes on Hamburger Buns</t>
        </is>
      </c>
      <c r="C1347" s="4" t="inlineStr">
        <is>
          <t>Sandwiches &amp; Wraps</t>
        </is>
      </c>
      <c r="D1347" s="4" t="inlineStr">
        <is>
          <t>American</t>
        </is>
      </c>
      <c r="E1347" s="2" t="n">
        <v>6</v>
      </c>
      <c r="F1347" s="2" t="n">
        <v>10</v>
      </c>
      <c r="G1347" s="2" t="n">
        <v>25</v>
      </c>
      <c r="H1347" s="2" t="n">
        <v>35</v>
      </c>
      <c r="I1347" s="4" t="inlineStr">
        <is>
          <t>sloppy-joes-on-hamburger-buns.jpg</t>
        </is>
      </c>
      <c r="J1347" s="3" t="inlineStr">
        <is>
          <t>Sloppy Joes on Hamburger Buns, healthy food photography, plated, natural light</t>
        </is>
      </c>
      <c r="K1347" s="4" t="inlineStr"/>
      <c r="L1347" s="3" t="inlineStr">
        <is>
          <t>Ground beef 90% lean — 450 g (15.9 oz)
Tomato sauce, canned, no sugar added — 250 g (8.8 oz)
Yellow onion — 100 g (3.5 oz)
Bell pepper — 80 g (2.8 oz)
Yellow mustard — 10 g (0.4 oz)
Apple cider vinegar — 15 g (0.5 oz)
Hamburger bun, white — 360 g (12.7 oz)
Chili powder — 2 g (0.1 oz)</t>
        </is>
      </c>
      <c r="M1347" s="4" t="inlineStr">
        <is>
          <t>[{"ingredient_id": "ground_beef", "name": "Ground beef 90% lean", "grams": 450.0, "note": ""}, {"ingredient_id": "tomato_sauce", "name": "Tomato sauce, canned, no sugar added", "grams": 250.0, "note": ""}, {"ingredient_id": "onion", "name": "Yellow onion", "grams": 100.0, "note": ""}, {"ingredient_id": "bell_pepper", "name": "Bell pepper", "grams": 80.0, "note": ""}, {"ingredient_id": "yellow_mustard", "name": "Yellow mustard", "grams": 10.0, "note": ""}, {"ingredient_id": "apple_cider_vinegar", "name": "Apple cider vinegar", "grams": 15.0, "note": ""}, {"ingredient_id": "hamburger_bun", "name": "Hamburger bun, white", "grams": 360.0, "note": ""}, {"ingredient_id": "chili_powder", "name": "Chili powder", "grams": 2.0, "note": ""}]</t>
        </is>
      </c>
      <c r="N1347" s="2" t="n">
        <v>315</v>
      </c>
      <c r="O1347" s="5" t="n">
        <v>21.6</v>
      </c>
      <c r="P1347" s="5" t="n">
        <v>9.9</v>
      </c>
      <c r="Q1347" s="5" t="n">
        <v>34.4</v>
      </c>
      <c r="R1347" s="5" t="n">
        <v>2.7</v>
      </c>
      <c r="S1347" s="5" t="n">
        <v>31.6</v>
      </c>
      <c r="T1347" s="2" t="n">
        <v>58</v>
      </c>
      <c r="U1347" s="2" t="inlineStr">
        <is>
          <t>medium</t>
        </is>
      </c>
      <c r="V1347" s="5" t="n">
        <v>18.3</v>
      </c>
      <c r="W1347" s="2" t="inlineStr">
        <is>
          <t>medium</t>
        </is>
      </c>
      <c r="X1347" s="3" t="inlineStr">
        <is>
          <t>Medium-GI dish: keep to the stated portion and pair with the protein/fat in the recipe; GL per serving is the better guide.</t>
        </is>
      </c>
      <c r="Y1347" s="3" t="inlineStr">
        <is>
          <t>89% of this dish's available carbohydrate comes from ingredients with a published, measured GI; the rest uses conventional placeholders (see Ingredients sheet)</t>
        </is>
      </c>
      <c r="Z1347" s="2" t="n">
        <v>89</v>
      </c>
      <c r="AA1347" s="3" t="inlineStr">
        <is>
          <t>dairy-free, nut-free</t>
        </is>
      </c>
      <c r="AB1347" s="3" t="inlineStr">
        <is>
          <t>1. Brown the beef with the onion and pepper.
2. Add the sauce, mustard, vinegar and chili powder and simmer 12 minutes.
3. Spoon onto toasted buns.</t>
        </is>
      </c>
      <c r="AC1347" s="4" t="inlineStr">
        <is>
          <t>["Brown the beef with the onion and pepper.", "Add the sauce, mustard, vinegar and chili powder and simmer 12 minutes.", "Spoon onto toasted buns."]</t>
        </is>
      </c>
    </row>
    <row r="1348" ht="96" customHeight="1">
      <c r="A1348" s="2" t="inlineStr">
        <is>
          <t>DB-1347</t>
        </is>
      </c>
      <c r="B1348" s="3" t="inlineStr">
        <is>
          <t>Mac and Cheese Cups with Hidden Cauliflower</t>
        </is>
      </c>
      <c r="C1348" s="4" t="inlineStr">
        <is>
          <t>Vegetarian &amp; Vegan</t>
        </is>
      </c>
      <c r="D1348" s="4" t="inlineStr">
        <is>
          <t>American</t>
        </is>
      </c>
      <c r="E1348" s="2" t="n">
        <v>6</v>
      </c>
      <c r="F1348" s="2" t="n">
        <v>15</v>
      </c>
      <c r="G1348" s="2" t="n">
        <v>20</v>
      </c>
      <c r="H1348" s="2" t="n">
        <v>35</v>
      </c>
      <c r="I1348" s="4" t="inlineStr">
        <is>
          <t>mac-and-cheese-cups-with-hidden-cauliflower.jpg</t>
        </is>
      </c>
      <c r="J1348" s="3" t="inlineStr">
        <is>
          <t>Mac and Cheese Cups with Hidden Cauliflower, healthy food photography, plated, natural light</t>
        </is>
      </c>
      <c r="K1348" s="4" t="inlineStr"/>
      <c r="L1348" s="3" t="inlineStr">
        <is>
          <t>White pasta, cooked al dente — 360 g (12.7 oz)
Cauliflower — 300 g (10.6 oz)
Cheddar cheese — 150 g (5.3 oz)
Milk, 2% — 150 g (5.3 oz)
Egg, large (50 g each) — 50 g (1.8 oz)
Smoked paprika — 1 g (0.0 oz)</t>
        </is>
      </c>
      <c r="M1348" s="4" t="inlineStr">
        <is>
          <t>[{"ingredient_id": "white_pasta", "name": "White pasta, cooked al dente", "grams": 360.0, "note": ""}, {"ingredient_id": "cauliflower", "name": "Cauliflower", "grams": 300.0, "note": ""}, {"ingredient_id": "cheddar", "name": "Cheddar cheese", "grams": 150.0, "note": ""}, {"ingredient_id": "milk", "name": "Milk, 2%", "grams": 150.0, "note": ""}, {"ingredient_id": "egg", "name": "Egg, large (50 g each)", "grams": 50.0, "note": ""}, {"ingredient_id": "smoked_paprika", "name": "Smoked paprika", "grams": 1.0, "note": ""}]</t>
        </is>
      </c>
      <c r="N1348" s="2" t="n">
        <v>232</v>
      </c>
      <c r="O1348" s="5" t="n">
        <v>12.1</v>
      </c>
      <c r="P1348" s="5" t="n">
        <v>10.3</v>
      </c>
      <c r="Q1348" s="5" t="n">
        <v>22.6</v>
      </c>
      <c r="R1348" s="5" t="n">
        <v>2.1</v>
      </c>
      <c r="S1348" s="5" t="n">
        <v>20.5</v>
      </c>
      <c r="T1348" s="2" t="n">
        <v>44</v>
      </c>
      <c r="U1348" s="2" t="inlineStr">
        <is>
          <t>low</t>
        </is>
      </c>
      <c r="V1348" s="5" t="n">
        <v>9</v>
      </c>
      <c r="W1348" s="2" t="inlineStr">
        <is>
          <t>low</t>
        </is>
      </c>
      <c r="X1348" s="3" t="inlineStr"/>
      <c r="Y1348" s="3" t="inlineStr">
        <is>
          <t>91% of this dish's available carbohydrate comes from ingredients with a published, measured GI; the rest uses conventional placeholders (see Ingredients sheet)</t>
        </is>
      </c>
      <c r="Z1348" s="2" t="n">
        <v>91</v>
      </c>
      <c r="AA1348" s="3" t="inlineStr">
        <is>
          <t>vegetarian, nut-free, meal-prep</t>
        </is>
      </c>
      <c r="AB1348" s="3" t="inlineStr">
        <is>
          <t>1. Boil the pasta and cauliflower together; mash the cauliflower.
2. Stir with the cheddar, milk and egg.
3. Spoon into muffin cups and bake at 375°F for 15 minutes.</t>
        </is>
      </c>
      <c r="AC1348" s="4" t="inlineStr">
        <is>
          <t>["Boil the pasta and cauliflower together; mash the cauliflower.", "Stir with the cheddar, milk and egg.", "Spoon into muffin cups and bake at 375°F for 15 minutes."]</t>
        </is>
      </c>
    </row>
    <row r="1349" ht="96" customHeight="1">
      <c r="A1349" s="2" t="inlineStr">
        <is>
          <t>DB-1348</t>
        </is>
      </c>
      <c r="B1349" s="3" t="inlineStr">
        <is>
          <t>Taco Pizza on a Tortilla</t>
        </is>
      </c>
      <c r="C1349" s="4" t="inlineStr">
        <is>
          <t>Sandwiches &amp; Wraps</t>
        </is>
      </c>
      <c r="D1349" s="4" t="inlineStr">
        <is>
          <t>Tex-Mex</t>
        </is>
      </c>
      <c r="E1349" s="2" t="n">
        <v>3</v>
      </c>
      <c r="F1349" s="2" t="n">
        <v>10</v>
      </c>
      <c r="G1349" s="2" t="n">
        <v>12</v>
      </c>
      <c r="H1349" s="2" t="n">
        <v>22</v>
      </c>
      <c r="I1349" s="4" t="inlineStr">
        <is>
          <t>taco-pizza-on-a-tortilla.jpg</t>
        </is>
      </c>
      <c r="J1349" s="3" t="inlineStr">
        <is>
          <t>Taco Pizza on a Tortilla, healthy food photography, plated, natural light</t>
        </is>
      </c>
      <c r="K1349" s="4" t="inlineStr"/>
      <c r="L1349" s="3" t="inlineStr">
        <is>
          <t>Flour tortilla, 8-inch — 120 g (4.2 oz)
Ground turkey 93% lean — 200 g (7.1 oz)
Taco seasoning, low sodium — 8 g (0.3 oz)
Cheddar cheese — 70 g (2.5 oz)
Tomato — 100 g (3.5 oz)
Romaine lettuce — 50 g (1.8 oz)
Salsa, no sugar added — 60 g (2.1 oz)</t>
        </is>
      </c>
      <c r="M1349" s="4" t="inlineStr">
        <is>
          <t>[{"ingredient_id": "flour_tortilla", "name": "Flour tortilla, 8-inch", "grams": 120.0, "note": ""}, {"ingredient_id": "ground_turkey", "name": "Ground turkey 93% lean", "grams": 200.0, "note": ""}, {"ingredient_id": "taco_seasoning", "name": "Taco seasoning, low sodium", "grams": 8.0, "note": ""}, {"ingredient_id": "cheddar", "name": "Cheddar cheese", "grams": 70.0, "note": ""}, {"ingredient_id": "tomato", "name": "Tomato", "grams": 100.0, "note": ""}, {"ingredient_id": "romaine", "name": "Romaine lettuce", "grams": 50.0, "note": ""}, {"ingredient_id": "salsa", "name": "Salsa, no sugar added", "grams": 60.0, "note": ""}]</t>
        </is>
      </c>
      <c r="N1349" s="2" t="n">
        <v>340</v>
      </c>
      <c r="O1349" s="5" t="n">
        <v>22.2</v>
      </c>
      <c r="P1349" s="5" t="n">
        <v>16.6</v>
      </c>
      <c r="Q1349" s="5" t="n">
        <v>24.8</v>
      </c>
      <c r="R1349" s="5" t="n">
        <v>3.1</v>
      </c>
      <c r="S1349" s="5" t="n">
        <v>21.7</v>
      </c>
      <c r="T1349" s="2" t="n">
        <v>32</v>
      </c>
      <c r="U1349" s="2" t="inlineStr">
        <is>
          <t>low</t>
        </is>
      </c>
      <c r="V1349" s="5" t="n">
        <v>6.9</v>
      </c>
      <c r="W1349" s="2" t="inlineStr">
        <is>
          <t>low</t>
        </is>
      </c>
      <c r="X1349" s="3" t="inlineStr"/>
      <c r="Y1349" s="3" t="inlineStr">
        <is>
          <t>85% of this dish's available carbohydrate comes from ingredients with a published, measured GI; the rest uses conventional placeholders (see Ingredients sheet)</t>
        </is>
      </c>
      <c r="Z1349" s="2" t="n">
        <v>85</v>
      </c>
      <c r="AA1349" s="3" t="inlineStr">
        <is>
          <t>nut-free</t>
        </is>
      </c>
      <c r="AB1349" s="3" t="inlineStr">
        <is>
          <t>1. Brown the turkey with taco seasoning.
2. Crisp the tortillas, top with turkey and cheddar and bake 6 minutes.
3. Add tomato, lettuce and salsa.</t>
        </is>
      </c>
      <c r="AC1349" s="4" t="inlineStr">
        <is>
          <t>["Brown the turkey with taco seasoning.", "Crisp the tortillas, top with turkey and cheddar and bake 6 minutes.", "Add tomato, lettuce and salsa."]</t>
        </is>
      </c>
    </row>
    <row r="1350" ht="96" customHeight="1">
      <c r="A1350" s="2" t="inlineStr">
        <is>
          <t>DB-1349</t>
        </is>
      </c>
      <c r="B1350" s="3" t="inlineStr">
        <is>
          <t>Pigs in a Blanket with Turkey Franks</t>
        </is>
      </c>
      <c r="C1350" s="4" t="inlineStr">
        <is>
          <t>Snack &amp; Appetizer</t>
        </is>
      </c>
      <c r="D1350" s="4" t="inlineStr">
        <is>
          <t>American</t>
        </is>
      </c>
      <c r="E1350" s="2" t="n">
        <v>6</v>
      </c>
      <c r="F1350" s="2" t="n">
        <v>10</v>
      </c>
      <c r="G1350" s="2" t="n">
        <v>18</v>
      </c>
      <c r="H1350" s="2" t="n">
        <v>28</v>
      </c>
      <c r="I1350" s="4" t="inlineStr">
        <is>
          <t>pigs-in-a-blanket-with-turkey-franks.jpg</t>
        </is>
      </c>
      <c r="J1350" s="3" t="inlineStr">
        <is>
          <t>Pigs in a Blanket with Turkey Franks, healthy food photography, plated, natural light</t>
        </is>
      </c>
      <c r="K1350" s="4" t="inlineStr"/>
      <c r="L1350" s="3" t="inlineStr">
        <is>
          <t>Turkey sausage — 300 g (10.6 oz)
Flour tortilla, 8-inch — 150 g (5.3 oz)
Cheddar cheese — 40 g (1.4 oz)
Yellow mustard — 15 g (0.5 oz)</t>
        </is>
      </c>
      <c r="M1350" s="4" t="inlineStr">
        <is>
          <t>[{"ingredient_id": "turkey_sausage", "name": "Turkey sausage", "grams": 300.0, "note": ""}, {"ingredient_id": "flour_tortilla", "name": "Flour tortilla, 8-inch", "grams": 150.0, "note": ""}, {"ingredient_id": "cheddar", "name": "Cheddar cheese", "grams": 40.0, "note": ""}, {"ingredient_id": "yellow_mustard", "name": "Yellow mustard", "grams": 15.0, "note": ""}]</t>
        </is>
      </c>
      <c r="N1350" s="2" t="n">
        <v>182</v>
      </c>
      <c r="O1350" s="5" t="n">
        <v>11.2</v>
      </c>
      <c r="P1350" s="5" t="n">
        <v>9.300000000000001</v>
      </c>
      <c r="Q1350" s="5" t="n">
        <v>13.6</v>
      </c>
      <c r="R1350" s="5" t="n">
        <v>1</v>
      </c>
      <c r="S1350" s="5" t="n">
        <v>12.6</v>
      </c>
      <c r="T1350" s="2" t="n">
        <v>31</v>
      </c>
      <c r="U1350" s="2" t="inlineStr">
        <is>
          <t>low</t>
        </is>
      </c>
      <c r="V1350" s="5" t="n">
        <v>3.9</v>
      </c>
      <c r="W1350" s="2" t="inlineStr">
        <is>
          <t>low</t>
        </is>
      </c>
      <c r="X1350" s="3" t="inlineStr"/>
      <c r="Y1350" s="3" t="inlineStr">
        <is>
          <t>91% of this dish's available carbohydrate comes from ingredients with a published, measured GI; the rest uses conventional placeholders (see Ingredients sheet)</t>
        </is>
      </c>
      <c r="Z1350" s="2" t="n">
        <v>91</v>
      </c>
      <c r="AA1350" s="3" t="inlineStr">
        <is>
          <t>nut-free, low-carb</t>
        </is>
      </c>
      <c r="AB1350" s="3" t="inlineStr">
        <is>
          <t>1. Cut the tortillas into strips.
2. Wrap around cheese-topped sausage pieces.
3. Bake at 400°F for 15 minutes and serve with mustard.</t>
        </is>
      </c>
      <c r="AC1350" s="4" t="inlineStr">
        <is>
          <t>["Cut the tortillas into strips.", "Wrap around cheese-topped sausage pieces.", "Bake at 400°F for 15 minutes and serve with mustard."]</t>
        </is>
      </c>
    </row>
    <row r="1351" ht="96" customHeight="1">
      <c r="A1351" s="2" t="inlineStr">
        <is>
          <t>DB-1350</t>
        </is>
      </c>
      <c r="B1351" s="3" t="inlineStr">
        <is>
          <t>Apple Nachos with Peanut Butter and Pecans</t>
        </is>
      </c>
      <c r="C1351" s="4" t="inlineStr">
        <is>
          <t>Dessert</t>
        </is>
      </c>
      <c r="D1351" s="4" t="inlineStr">
        <is>
          <t>American</t>
        </is>
      </c>
      <c r="E1351" s="2" t="n">
        <v>4</v>
      </c>
      <c r="F1351" s="2" t="n">
        <v>10</v>
      </c>
      <c r="G1351" s="2" t="n">
        <v>0</v>
      </c>
      <c r="H1351" s="2" t="n">
        <v>10</v>
      </c>
      <c r="I1351" s="4" t="inlineStr">
        <is>
          <t>apple-nachos-with-peanut-butter-and-pecans.jpg</t>
        </is>
      </c>
      <c r="J1351" s="3" t="inlineStr">
        <is>
          <t>Apple Nachos with Peanut Butter and Pecans, healthy food photography, plated, natural light</t>
        </is>
      </c>
      <c r="K1351" s="4" t="inlineStr"/>
      <c r="L1351" s="3" t="inlineStr">
        <is>
          <t>Apple — 450 g (15.9 oz)
Peanut butter, natural — 48 g (1.7 oz)
Pecans — 24 g (0.8 oz)
Stevia-sweetened dark chocolate chips — 20 g (0.7 oz)
Ground cinnamon — 2 g (0.1 oz)</t>
        </is>
      </c>
      <c r="M1351" s="4" t="inlineStr">
        <is>
          <t>[{"ingredient_id": "apple", "name": "Apple", "grams": 450.0, "note": ""}, {"ingredient_id": "peanut_butter", "name": "Peanut butter, natural", "grams": 48.0, "note": ""}, {"ingredient_id": "pecans", "name": "Pecans", "grams": 24.0, "note": ""}, {"ingredient_id": "sugar_free_chocolate_chips", "name": "Stevia-sweetened dark chocolate chips", "grams": 20.0, "note": ""}, {"ingredient_id": "cinnamon", "name": "Ground cinnamon", "grams": 2.0, "note": ""}]</t>
        </is>
      </c>
      <c r="N1351" s="2" t="n">
        <v>195</v>
      </c>
      <c r="O1351" s="5" t="n">
        <v>4.2</v>
      </c>
      <c r="P1351" s="5" t="n">
        <v>12.7</v>
      </c>
      <c r="Q1351" s="5" t="n">
        <v>20.4</v>
      </c>
      <c r="R1351" s="5" t="n">
        <v>4.9</v>
      </c>
      <c r="S1351" s="5" t="n">
        <v>15.5</v>
      </c>
      <c r="T1351" s="2" t="n">
        <v>33</v>
      </c>
      <c r="U1351" s="2" t="inlineStr">
        <is>
          <t>low</t>
        </is>
      </c>
      <c r="V1351" s="5" t="n">
        <v>5.1</v>
      </c>
      <c r="W1351" s="2" t="inlineStr">
        <is>
          <t>low</t>
        </is>
      </c>
      <c r="X1351" s="3" t="inlineStr"/>
      <c r="Y1351" s="3" t="inlineStr">
        <is>
          <t>87% of this dish's available carbohydrate comes from ingredients with a published, measured GI; the rest uses conventional placeholders (see Ingredients sheet)</t>
        </is>
      </c>
      <c r="Z1351" s="2" t="n">
        <v>87</v>
      </c>
      <c r="AA1351" s="3" t="inlineStr">
        <is>
          <t>vegan, gluten-free, dairy-free, no-cook</t>
        </is>
      </c>
      <c r="AB1351" s="3" t="inlineStr">
        <is>
          <t>1. Slice the apples thin on a plate.
2. Drizzle with warmed peanut butter.
3. Scatter with pecans, chocolate and cinnamon.</t>
        </is>
      </c>
      <c r="AC1351" s="4" t="inlineStr">
        <is>
          <t>["Slice the apples thin on a plate.", "Drizzle with warmed peanut butter.", "Scatter with pecans, chocolate and cinnamon."]</t>
        </is>
      </c>
    </row>
    <row r="1352" ht="96" customHeight="1">
      <c r="A1352" s="2" t="inlineStr">
        <is>
          <t>DB-1351</t>
        </is>
      </c>
      <c r="B1352" s="3" t="inlineStr">
        <is>
          <t>Peanut Butter Oat Energy Bites</t>
        </is>
      </c>
      <c r="C1352" s="4" t="inlineStr">
        <is>
          <t>Snack &amp; Appetizer</t>
        </is>
      </c>
      <c r="D1352" s="4" t="inlineStr">
        <is>
          <t>American</t>
        </is>
      </c>
      <c r="E1352" s="2" t="n">
        <v>12</v>
      </c>
      <c r="F1352" s="2" t="n">
        <v>15</v>
      </c>
      <c r="G1352" s="2" t="n">
        <v>0</v>
      </c>
      <c r="H1352" s="2" t="n">
        <v>15</v>
      </c>
      <c r="I1352" s="4" t="inlineStr">
        <is>
          <t>peanut-butter-oat-energy-bites.jpg</t>
        </is>
      </c>
      <c r="J1352" s="3" t="inlineStr">
        <is>
          <t>Peanut Butter Oat Energy Bites, healthy food photography, plated, natural light</t>
        </is>
      </c>
      <c r="K1352" s="4" t="inlineStr"/>
      <c r="L1352" s="3" t="inlineStr">
        <is>
          <t>Rolled oats, dry — 120 g (4.2 oz)
Peanut butter, natural — 120 g (4.2 oz)
Chia seeds — 20 g (0.7 oz)
Stevia-sweetened dark chocolate chips — 30 g (1.1 oz)
Vanilla extract — 4 g (0.1 oz)
Ground cinnamon — 2 g (0.1 oz)</t>
        </is>
      </c>
      <c r="M1352" s="4" t="inlineStr">
        <is>
          <t>[{"ingredient_id": "rolled_oats", "name": "Rolled oats, dry", "grams": 120.0, "note": ""}, {"ingredient_id": "peanut_butter", "name": "Peanut butter, natural", "grams": 120.0, "note": ""}, {"ingredient_id": "chia_seeds", "name": "Chia seeds", "grams": 20.0, "note": ""}, {"ingredient_id": "sugar_free_chocolate_chips", "name": "Stevia-sweetened dark chocolate chips", "grams": 30.0, "note": ""}, {"ingredient_id": "vanilla_extract", "name": "Vanilla extract", "grams": 4.0, "note": ""}, {"ingredient_id": "cinnamon", "name": "Ground cinnamon", "grams": 2.0, "note": ""}]</t>
        </is>
      </c>
      <c r="N1352" s="2" t="n">
        <v>118</v>
      </c>
      <c r="O1352" s="5" t="n">
        <v>4.2</v>
      </c>
      <c r="P1352" s="5" t="n">
        <v>7.2</v>
      </c>
      <c r="Q1352" s="5" t="n">
        <v>10.2</v>
      </c>
      <c r="R1352" s="5" t="n">
        <v>2.6</v>
      </c>
      <c r="S1352" s="5" t="n">
        <v>7.6</v>
      </c>
      <c r="T1352" s="2" t="n">
        <v>47</v>
      </c>
      <c r="U1352" s="2" t="inlineStr">
        <is>
          <t>low</t>
        </is>
      </c>
      <c r="V1352" s="5" t="n">
        <v>3.6</v>
      </c>
      <c r="W1352" s="2" t="inlineStr">
        <is>
          <t>low</t>
        </is>
      </c>
      <c r="X1352" s="3" t="inlineStr"/>
      <c r="Y1352" s="3" t="inlineStr">
        <is>
          <t>79% of this dish's available carbohydrate comes from ingredients with a published, measured GI; the rest uses conventional placeholders (see Ingredients sheet)</t>
        </is>
      </c>
      <c r="Z1352" s="2" t="n">
        <v>79</v>
      </c>
      <c r="AA1352" s="3" t="inlineStr">
        <is>
          <t>vegan, dairy-free, low-carb, no-cook, meal-prep</t>
        </is>
      </c>
      <c r="AB1352" s="3" t="inlineStr">
        <is>
          <t>1. Mix everything.
2. Chill 20 minutes.
3. Roll into twelve balls.</t>
        </is>
      </c>
      <c r="AC1352" s="4" t="inlineStr">
        <is>
          <t>["Mix everything.", "Chill 20 minutes.", "Roll into twelve balls."]</t>
        </is>
      </c>
    </row>
    <row r="1353" ht="96" customHeight="1">
      <c r="A1353" s="2" t="inlineStr">
        <is>
          <t>DB-1352</t>
        </is>
      </c>
      <c r="B1353" s="3" t="inlineStr">
        <is>
          <t>Hummus and Veggie Snack Cups</t>
        </is>
      </c>
      <c r="C1353" s="4" t="inlineStr">
        <is>
          <t>Snack &amp; Appetizer</t>
        </is>
      </c>
      <c r="D1353" s="4" t="inlineStr">
        <is>
          <t>American</t>
        </is>
      </c>
      <c r="E1353" s="2" t="n">
        <v>4</v>
      </c>
      <c r="F1353" s="2" t="n">
        <v>10</v>
      </c>
      <c r="G1353" s="2" t="n">
        <v>0</v>
      </c>
      <c r="H1353" s="2" t="n">
        <v>10</v>
      </c>
      <c r="I1353" s="4" t="inlineStr">
        <is>
          <t>hummus-and-veggie-snack-cups.jpg</t>
        </is>
      </c>
      <c r="J1353" s="3" t="inlineStr">
        <is>
          <t>Hummus and Veggie Snack Cups, healthy food photography, plated, natural light</t>
        </is>
      </c>
      <c r="K1353" s="4" t="inlineStr"/>
      <c r="L1353" s="3" t="inlineStr">
        <is>
          <t>Hummus — 160 g (5.6 oz)
Carrot — 150 g (5.3 oz)
Cucumber — 150 g (5.3 oz)
Bell pepper — 150 g (5.3 oz)
Cherry tomatoes — 100 g (3.5 oz)</t>
        </is>
      </c>
      <c r="M1353" s="4" t="inlineStr">
        <is>
          <t>[{"ingredient_id": "hummus", "name": "Hummus", "grams": 160.0, "note": ""}, {"ingredient_id": "carrot", "name": "Carrot", "grams": 150.0, "note": ""}, {"ingredient_id": "cucumber", "name": "Cucumber", "grams": 150.0, "note": ""}, {"ingredient_id": "bell_pepper", "name": "Bell pepper", "grams": 150.0, "note": ""}, {"ingredient_id": "cherry_tomato", "name": "Cherry tomatoes", "grams": 100.0, "note": ""}]</t>
        </is>
      </c>
      <c r="N1353" s="2" t="n">
        <v>104</v>
      </c>
      <c r="O1353" s="5" t="n">
        <v>4.4</v>
      </c>
      <c r="P1353" s="5" t="n">
        <v>4.1</v>
      </c>
      <c r="Q1353" s="5" t="n">
        <v>13.8</v>
      </c>
      <c r="R1353" s="5" t="n">
        <v>4.7</v>
      </c>
      <c r="S1353" s="5" t="n">
        <v>9</v>
      </c>
      <c r="T1353" s="2" t="n">
        <v>22</v>
      </c>
      <c r="U1353" s="2" t="inlineStr">
        <is>
          <t>low</t>
        </is>
      </c>
      <c r="V1353" s="5" t="n">
        <v>2</v>
      </c>
      <c r="W1353" s="2" t="inlineStr">
        <is>
          <t>low</t>
        </is>
      </c>
      <c r="X1353" s="3" t="inlineStr"/>
      <c r="Y1353" s="3" t="inlineStr">
        <is>
          <t>64% of this dish's available carbohydrate comes from ingredients with a published, measured GI; the rest uses conventional placeholders (see Ingredients sheet)</t>
        </is>
      </c>
      <c r="Z1353" s="2" t="n">
        <v>64</v>
      </c>
      <c r="AA1353" s="3" t="inlineStr">
        <is>
          <t>vegan, gluten-free, dairy-free, nut-free, low-carb, no-cook</t>
        </is>
      </c>
      <c r="AB1353" s="3" t="inlineStr">
        <is>
          <t>1. Spoon hummus into four cups.
2. Stand the cut vegetables in each.</t>
        </is>
      </c>
      <c r="AC1353" s="4" t="inlineStr">
        <is>
          <t>["Spoon hummus into four cups.", "Stand the cut vegetables in each."]</t>
        </is>
      </c>
    </row>
    <row r="1354" ht="96" customHeight="1">
      <c r="A1354" s="2" t="inlineStr">
        <is>
          <t>DB-1353</t>
        </is>
      </c>
      <c r="B1354" s="3" t="inlineStr">
        <is>
          <t>Homemade Chicken Noodle Cups</t>
        </is>
      </c>
      <c r="C1354" s="4" t="inlineStr">
        <is>
          <t>Soup &amp; Stew</t>
        </is>
      </c>
      <c r="D1354" s="4" t="inlineStr">
        <is>
          <t>American</t>
        </is>
      </c>
      <c r="E1354" s="2" t="n">
        <v>4</v>
      </c>
      <c r="F1354" s="2" t="n">
        <v>10</v>
      </c>
      <c r="G1354" s="2" t="n">
        <v>15</v>
      </c>
      <c r="H1354" s="2" t="n">
        <v>25</v>
      </c>
      <c r="I1354" s="4" t="inlineStr">
        <is>
          <t>homemade-chicken-noodle-cups.jpg</t>
        </is>
      </c>
      <c r="J1354" s="3" t="inlineStr">
        <is>
          <t>Homemade Chicken Noodle Cups, healthy food photography, plated, natural light</t>
        </is>
      </c>
      <c r="K1354" s="4" t="inlineStr"/>
      <c r="L1354" s="3" t="inlineStr">
        <is>
          <t>Chicken breast, skinless — 250 g (8.8 oz)
Egg noodles, cooked — 200 g (7.1 oz)
Chicken broth, low sodium — 800 g (28.2 oz)
Carrot — 80 g (2.8 oz)
Celery — 40 g (1.4 oz)
Fresh parsley — 3 g (0.1 oz)</t>
        </is>
      </c>
      <c r="M1354" s="4" t="inlineStr">
        <is>
          <t>[{"ingredient_id": "chicken_breast", "name": "Chicken breast, skinless", "grams": 250.0, "note": ""}, {"ingredient_id": "egg_noodles", "name": "Egg noodles, cooked", "grams": 200.0, "note": ""}, {"ingredient_id": "chicken_broth", "name": "Chicken broth, low sodium", "grams": 800.0, "note": ""}, {"ingredient_id": "carrot", "name": "Carrot", "grams": 80.0, "note": ""}, {"ingredient_id": "celery", "name": "Celery", "grams": 40.0, "note": ""}, {"ingredient_id": "parsley", "name": "Fresh parsley", "grams": 3.0, "note": ""}]</t>
        </is>
      </c>
      <c r="N1354" s="2" t="n">
        <v>168</v>
      </c>
      <c r="O1354" s="5" t="n">
        <v>18.6</v>
      </c>
      <c r="P1354" s="5" t="n">
        <v>3.1</v>
      </c>
      <c r="Q1354" s="5" t="n">
        <v>15.8</v>
      </c>
      <c r="R1354" s="5" t="n">
        <v>1.3</v>
      </c>
      <c r="S1354" s="5" t="n">
        <v>14.4</v>
      </c>
      <c r="T1354" s="2" t="n">
        <v>53</v>
      </c>
      <c r="U1354" s="2" t="inlineStr">
        <is>
          <t>low</t>
        </is>
      </c>
      <c r="V1354" s="5" t="n">
        <v>7.6</v>
      </c>
      <c r="W1354" s="2" t="inlineStr">
        <is>
          <t>low</t>
        </is>
      </c>
      <c r="X1354" s="3" t="inlineStr"/>
      <c r="Y1354" s="3" t="inlineStr">
        <is>
          <t>92% of this dish's available carbohydrate comes from ingredients with a published, measured GI; the rest uses conventional placeholders (see Ingredients sheet)</t>
        </is>
      </c>
      <c r="Z1354" s="2" t="n">
        <v>92</v>
      </c>
      <c r="AA1354" s="3" t="inlineStr">
        <is>
          <t>dairy-free, nut-free, low-carb</t>
        </is>
      </c>
      <c r="AB1354" s="3" t="inlineStr">
        <is>
          <t>1. Simmer the chicken, carrot and celery in the broth for 12 minutes.
2. Shred the chicken, add the noodles and cook until tender.</t>
        </is>
      </c>
      <c r="AC1354" s="4" t="inlineStr">
        <is>
          <t>["Simmer the chicken, carrot and celery in the broth for 12 minutes.", "Shred the chicken, add the noodles and cook until tender."]</t>
        </is>
      </c>
    </row>
    <row r="1355" ht="96" customHeight="1">
      <c r="A1355" s="2" t="inlineStr">
        <is>
          <t>DB-1354</t>
        </is>
      </c>
      <c r="B1355" s="3" t="inlineStr">
        <is>
          <t>Corn Dog Muffins with Turkey Franks</t>
        </is>
      </c>
      <c r="C1355" s="4" t="inlineStr">
        <is>
          <t>Snack &amp; Appetizer</t>
        </is>
      </c>
      <c r="D1355" s="4" t="inlineStr">
        <is>
          <t>American</t>
        </is>
      </c>
      <c r="E1355" s="2" t="n">
        <v>6</v>
      </c>
      <c r="F1355" s="2" t="n">
        <v>15</v>
      </c>
      <c r="G1355" s="2" t="n">
        <v>20</v>
      </c>
      <c r="H1355" s="2" t="n">
        <v>35</v>
      </c>
      <c r="I1355" s="4" t="inlineStr">
        <is>
          <t>corn-dog-muffins-with-turkey-franks.jpg</t>
        </is>
      </c>
      <c r="J1355" s="3" t="inlineStr">
        <is>
          <t>Corn Dog Muffins with Turkey Franks, healthy food photography, plated, natural light</t>
        </is>
      </c>
      <c r="K1355" s="4" t="inlineStr"/>
      <c r="L1355" s="3" t="inlineStr">
        <is>
          <t>Turkey sausage — 300 g (10.6 oz)
Grits, cooked with water — 300 g (10.6 oz)
Egg, large (50 g each) — 100 g (3.5 oz)
Cheddar cheese — 40 g (1.4 oz)
Baking powder — 3 g (0.1 oz)
Milk, 2% — 100 g (3.5 oz)</t>
        </is>
      </c>
      <c r="M1355" s="4" t="inlineStr">
        <is>
          <t>[{"ingredient_id": "turkey_sausage", "name": "Turkey sausage", "grams": 300.0, "note": ""}, {"ingredient_id": "grits", "name": "Grits, cooked with water", "grams": 300.0, "note": ""}, {"ingredient_id": "egg", "name": "Egg, large (50 g each)", "grams": 100.0, "note": ""}, {"ingredient_id": "cheddar", "name": "Cheddar cheese", "grams": 40.0, "note": ""}, {"ingredient_id": "baking_powder", "name": "Baking powder", "grams": 3.0, "note": ""}, {"ingredient_id": "milk", "name": "Milk, 2%", "grams": 100.0, "note": ""}]</t>
        </is>
      </c>
      <c r="N1355" s="2" t="n">
        <v>166</v>
      </c>
      <c r="O1355" s="5" t="n">
        <v>12.3</v>
      </c>
      <c r="P1355" s="5" t="n">
        <v>9.300000000000001</v>
      </c>
      <c r="Q1355" s="5" t="n">
        <v>8.300000000000001</v>
      </c>
      <c r="R1355" s="5" t="n">
        <v>0.3</v>
      </c>
      <c r="S1355" s="5" t="n">
        <v>8</v>
      </c>
      <c r="T1355" s="2" t="n">
        <v>52</v>
      </c>
      <c r="U1355" s="2" t="inlineStr">
        <is>
          <t>low</t>
        </is>
      </c>
      <c r="V1355" s="5" t="n">
        <v>4.2</v>
      </c>
      <c r="W1355" s="2" t="inlineStr">
        <is>
          <t>low</t>
        </is>
      </c>
      <c r="X1355" s="3" t="inlineStr"/>
      <c r="Y1355" s="3" t="inlineStr">
        <is>
          <t>83% of this dish's available carbohydrate comes from ingredients with a published, measured GI; the rest uses conventional placeholders (see Ingredients sheet)</t>
        </is>
      </c>
      <c r="Z1355" s="2" t="n">
        <v>83</v>
      </c>
      <c r="AA1355" s="3" t="inlineStr">
        <is>
          <t>gluten-free, nut-free, low-carb</t>
        </is>
      </c>
      <c r="AB1355" s="3" t="inlineStr">
        <is>
          <t>1. Mix the cooked grits with egg, milk, cheddar and baking powder.
2. Press into muffin cups around sausage pieces.
3. Bake at 375°F for 18 to 20 minutes.</t>
        </is>
      </c>
      <c r="AC1355" s="4" t="inlineStr">
        <is>
          <t>["Mix the cooked grits with egg, milk, cheddar and baking powder.", "Press into muffin cups around sausage pieces.", "Bake at 375°F for 18 to 20 minutes."]</t>
        </is>
      </c>
    </row>
    <row r="1356" ht="96" customHeight="1">
      <c r="A1356" s="2" t="inlineStr">
        <is>
          <t>DB-1355</t>
        </is>
      </c>
      <c r="B1356" s="3" t="inlineStr">
        <is>
          <t>Cinnamon Apple Quesadilla</t>
        </is>
      </c>
      <c r="C1356" s="4" t="inlineStr">
        <is>
          <t>Dessert</t>
        </is>
      </c>
      <c r="D1356" s="4" t="inlineStr">
        <is>
          <t>American</t>
        </is>
      </c>
      <c r="E1356" s="2" t="n">
        <v>3</v>
      </c>
      <c r="F1356" s="2" t="n">
        <v>5</v>
      </c>
      <c r="G1356" s="2" t="n">
        <v>6</v>
      </c>
      <c r="H1356" s="2" t="n">
        <v>11</v>
      </c>
      <c r="I1356" s="4" t="inlineStr">
        <is>
          <t>cinnamon-apple-quesadilla.jpg</t>
        </is>
      </c>
      <c r="J1356" s="3" t="inlineStr">
        <is>
          <t>Cinnamon Apple Quesadilla, healthy food photography, plated, natural light</t>
        </is>
      </c>
      <c r="K1356" s="4" t="inlineStr"/>
      <c r="L1356" s="3" t="inlineStr">
        <is>
          <t>Flour tortilla, 8-inch — 120 g (4.2 oz)
Apple — 200 g (7.1 oz)
Cheddar cheese — 40 g (1.4 oz)
Ground cinnamon — 2 g (0.1 oz)
Butter — 10 g (0.4 oz)</t>
        </is>
      </c>
      <c r="M1356" s="4" t="inlineStr">
        <is>
          <t>[{"ingredient_id": "flour_tortilla", "name": "Flour tortilla, 8-inch", "grams": 120.0, "note": ""}, {"ingredient_id": "apple", "name": "Apple", "grams": 200.0, "note": ""}, {"ingredient_id": "cheddar", "name": "Cheddar cheese", "grams": 40.0, "note": ""}, {"ingredient_id": "cinnamon", "name": "Ground cinnamon", "grams": 2.0, "note": ""}, {"ingredient_id": "butter", "name": "Butter", "grams": 10.0, "note": ""}]</t>
        </is>
      </c>
      <c r="N1356" s="2" t="n">
        <v>236</v>
      </c>
      <c r="O1356" s="5" t="n">
        <v>6.6</v>
      </c>
      <c r="P1356" s="5" t="n">
        <v>10.4</v>
      </c>
      <c r="Q1356" s="5" t="n">
        <v>29.8</v>
      </c>
      <c r="R1356" s="5" t="n">
        <v>3.4</v>
      </c>
      <c r="S1356" s="5" t="n">
        <v>26.5</v>
      </c>
      <c r="T1356" s="2" t="n">
        <v>34</v>
      </c>
      <c r="U1356" s="2" t="inlineStr">
        <is>
          <t>low</t>
        </is>
      </c>
      <c r="V1356" s="5" t="n">
        <v>9</v>
      </c>
      <c r="W1356" s="2" t="inlineStr">
        <is>
          <t>low</t>
        </is>
      </c>
      <c r="X1356" s="3" t="inlineStr"/>
      <c r="Y1356" s="3" t="inlineStr">
        <is>
          <t>99% of this dish's available carbohydrate comes from ingredients with a published, measured GI; the rest uses conventional placeholders (see Ingredients sheet)</t>
        </is>
      </c>
      <c r="Z1356" s="2" t="n">
        <v>99</v>
      </c>
      <c r="AA1356" s="3" t="inlineStr">
        <is>
          <t>vegetarian, nut-free</t>
        </is>
      </c>
      <c r="AB1356" s="3" t="inlineStr">
        <is>
          <t>1. Cook the thin apple slices with cinnamon and butter 3 minutes.
2. Fill half of each tortilla with apple and cheddar and fold.
3. Toast 2 minutes a side.</t>
        </is>
      </c>
      <c r="AC1356" s="4" t="inlineStr">
        <is>
          <t>["Cook the thin apple slices with cinnamon and butter 3 minutes.", "Fill half of each tortilla with apple and cheddar and fold.", "Toast 2 minutes a side."]</t>
        </is>
      </c>
    </row>
    <row r="1357" ht="96" customHeight="1">
      <c r="A1357" s="2" t="inlineStr">
        <is>
          <t>DB-1356</t>
        </is>
      </c>
      <c r="B1357" s="3" t="inlineStr">
        <is>
          <t>Chocolate Banana Frozen Yogurt Pops</t>
        </is>
      </c>
      <c r="C1357" s="4" t="inlineStr">
        <is>
          <t>Dessert</t>
        </is>
      </c>
      <c r="D1357" s="4" t="inlineStr">
        <is>
          <t>American</t>
        </is>
      </c>
      <c r="E1357" s="2" t="n">
        <v>6</v>
      </c>
      <c r="F1357" s="2" t="n">
        <v>10</v>
      </c>
      <c r="G1357" s="2" t="n">
        <v>0</v>
      </c>
      <c r="H1357" s="2" t="n">
        <v>10</v>
      </c>
      <c r="I1357" s="4" t="inlineStr">
        <is>
          <t>chocolate-banana-frozen-yogurt-pops.jpg</t>
        </is>
      </c>
      <c r="J1357" s="3" t="inlineStr">
        <is>
          <t>Chocolate Banana Frozen Yogurt Pops, healthy food photography, plated, natural light</t>
        </is>
      </c>
      <c r="K1357" s="4" t="inlineStr"/>
      <c r="L1357" s="3" t="inlineStr">
        <is>
          <t>Greek yogurt, plain 2% — 360 g (12.7 oz)
Banana (small amount) — 150 g (5.3 oz)
Cocoa powder, unsweetened — 15 g (0.5 oz)
Vanilla extract — 3 g (0.1 oz)</t>
        </is>
      </c>
      <c r="M1357" s="4" t="inlineStr">
        <is>
          <t>[{"ingredient_id": "greek_yogurt", "name": "Greek yogurt, plain 2%", "grams": 360.0, "note": ""}, {"ingredient_id": "banana", "name": "Banana (small amount)", "grams": 150.0, "note": ""}, {"ingredient_id": "cocoa_powder", "name": "Cocoa powder, unsweetened", "grams": 15.0, "note": ""}, {"ingredient_id": "vanilla_extract", "name": "Vanilla extract", "grams": 3.0, "note": ""}]</t>
        </is>
      </c>
      <c r="N1357" s="2" t="n">
        <v>73</v>
      </c>
      <c r="O1357" s="5" t="n">
        <v>6.8</v>
      </c>
      <c r="P1357" s="5" t="n">
        <v>1.6</v>
      </c>
      <c r="Q1357" s="5" t="n">
        <v>9.699999999999999</v>
      </c>
      <c r="R1357" s="5" t="n">
        <v>1.5</v>
      </c>
      <c r="S1357" s="5" t="n">
        <v>8.199999999999999</v>
      </c>
      <c r="T1357" s="2" t="n">
        <v>37</v>
      </c>
      <c r="U1357" s="2" t="inlineStr">
        <is>
          <t>low</t>
        </is>
      </c>
      <c r="V1357" s="5" t="n">
        <v>3</v>
      </c>
      <c r="W1357" s="2" t="inlineStr">
        <is>
          <t>low</t>
        </is>
      </c>
      <c r="X1357" s="3" t="inlineStr"/>
      <c r="Y1357" s="3" t="inlineStr">
        <is>
          <t>92% of this dish's available carbohydrate comes from ingredients with a published, measured GI; the rest uses conventional placeholders (see Ingredients sheet)</t>
        </is>
      </c>
      <c r="Z1357" s="2" t="n">
        <v>92</v>
      </c>
      <c r="AA1357" s="3" t="inlineStr">
        <is>
          <t>vegetarian, gluten-free, nut-free, low-carb, no-cook</t>
        </is>
      </c>
      <c r="AB1357" s="3" t="inlineStr">
        <is>
          <t>1. Blend everything.
2. Pour into pop moulds and freeze 4 hours.</t>
        </is>
      </c>
      <c r="AC1357" s="4" t="inlineStr">
        <is>
          <t>["Blend everything.", "Pour into pop moulds and freeze 4 hours."]</t>
        </is>
      </c>
    </row>
    <row r="1358" ht="96" customHeight="1">
      <c r="A1358" s="2" t="inlineStr">
        <is>
          <t>DB-1357</t>
        </is>
      </c>
      <c r="B1358" s="3" t="inlineStr">
        <is>
          <t>Cheesy Broccoli Rice Cups</t>
        </is>
      </c>
      <c r="C1358" s="4" t="inlineStr">
        <is>
          <t>Side Dish</t>
        </is>
      </c>
      <c r="D1358" s="4" t="inlineStr">
        <is>
          <t>American</t>
        </is>
      </c>
      <c r="E1358" s="2" t="n">
        <v>6</v>
      </c>
      <c r="F1358" s="2" t="n">
        <v>10</v>
      </c>
      <c r="G1358" s="2" t="n">
        <v>20</v>
      </c>
      <c r="H1358" s="2" t="n">
        <v>30</v>
      </c>
      <c r="I1358" s="4" t="inlineStr">
        <is>
          <t>cheesy-broccoli-rice-cups.jpg</t>
        </is>
      </c>
      <c r="J1358" s="3" t="inlineStr">
        <is>
          <t>Cheesy Broccoli Rice Cups, healthy food photography, plated, natural light</t>
        </is>
      </c>
      <c r="K1358" s="4" t="inlineStr"/>
      <c r="L1358" s="3" t="inlineStr">
        <is>
          <t>White rice, long-grain, cooked — 360 g (12.7 oz)
Broccoli — 250 g (8.8 oz)
Cheddar cheese — 90 g (3.2 oz)
Egg, large (50 g each) — 50 g (1.8 oz)
Milk, 2% — 80 g (2.8 oz)</t>
        </is>
      </c>
      <c r="M1358" s="4" t="inlineStr">
        <is>
          <t>[{"ingredient_id": "white_rice", "name": "White rice, long-grain, cooked", "grams": 360.0, "note": ""}, {"ingredient_id": "broccoli", "name": "Broccoli", "grams": 250.0, "note": ""}, {"ingredient_id": "cheddar", "name": "Cheddar cheese", "grams": 90.0, "note": ""}, {"ingredient_id": "egg", "name": "Egg, large (50 g each)", "grams": 50.0, "note": ""}, {"ingredient_id": "milk", "name": "Milk, 2%", "grams": 80.0, "note": ""}]</t>
        </is>
      </c>
      <c r="N1358" s="2" t="n">
        <v>171</v>
      </c>
      <c r="O1358" s="5" t="n">
        <v>7.7</v>
      </c>
      <c r="P1358" s="5" t="n">
        <v>6.3</v>
      </c>
      <c r="Q1358" s="5" t="n">
        <v>20.4</v>
      </c>
      <c r="R1358" s="5" t="n">
        <v>1.3</v>
      </c>
      <c r="S1358" s="5" t="n">
        <v>19.1</v>
      </c>
      <c r="T1358" s="2" t="n">
        <v>69</v>
      </c>
      <c r="U1358" s="2" t="inlineStr">
        <is>
          <t>medium</t>
        </is>
      </c>
      <c r="V1358" s="5" t="n">
        <v>13.2</v>
      </c>
      <c r="W1358" s="2" t="inlineStr">
        <is>
          <t>medium</t>
        </is>
      </c>
      <c r="X1358" s="3" t="inlineStr">
        <is>
          <t>Medium-GI dish: keep to the stated portion and pair with the protein/fat in the recipe; GL per serving is the better guide.</t>
        </is>
      </c>
      <c r="Y1358" s="3" t="inlineStr">
        <is>
          <t>90% of this dish's available carbohydrate comes from ingredients with a published, measured GI; the rest uses conventional placeholders (see Ingredients sheet)</t>
        </is>
      </c>
      <c r="Z1358" s="2" t="n">
        <v>90</v>
      </c>
      <c r="AA1358" s="3" t="inlineStr">
        <is>
          <t>vegetarian, gluten-free, nut-free, meal-prep</t>
        </is>
      </c>
      <c r="AB1358" s="3" t="inlineStr">
        <is>
          <t>1. Mix the cooked rice, chopped broccoli, cheddar, egg and milk.
2. Press into muffin cups.
3. Bake at 375°F for 20 minutes.</t>
        </is>
      </c>
      <c r="AC1358" s="4" t="inlineStr">
        <is>
          <t>["Mix the cooked rice, chopped broccoli, cheddar, egg and milk.", "Press into muffin cups.", "Bake at 375°F for 20 minutes."]</t>
        </is>
      </c>
    </row>
    <row r="1359" ht="96" customHeight="1">
      <c r="A1359" s="2" t="inlineStr">
        <is>
          <t>DB-1358</t>
        </is>
      </c>
      <c r="B1359" s="3" t="inlineStr">
        <is>
          <t>Egg Salad Lettuce Cups for Lunch</t>
        </is>
      </c>
      <c r="C1359" s="4" t="inlineStr">
        <is>
          <t>Salad</t>
        </is>
      </c>
      <c r="D1359" s="4" t="inlineStr">
        <is>
          <t>American</t>
        </is>
      </c>
      <c r="E1359" s="2" t="n">
        <v>3</v>
      </c>
      <c r="F1359" s="2" t="n">
        <v>10</v>
      </c>
      <c r="G1359" s="2" t="n">
        <v>10</v>
      </c>
      <c r="H1359" s="2" t="n">
        <v>20</v>
      </c>
      <c r="I1359" s="4" t="inlineStr">
        <is>
          <t>egg-salad-lettuce-cups-for-lunch.jpg</t>
        </is>
      </c>
      <c r="J1359" s="3" t="inlineStr">
        <is>
          <t>Egg Salad Lettuce Cups for Lunch, healthy food photography, plated, natural light</t>
        </is>
      </c>
      <c r="K1359" s="4" t="inlineStr"/>
      <c r="L1359" s="3" t="inlineStr">
        <is>
          <t>Egg, large (50 g each) — 300 g (10.6 oz)
Greek yogurt, plain 2% — 60 g (2.1 oz)
Dijon mustard — 8 g (0.3 oz)
Celery — 40 g (1.4 oz)
Fresh chives — 4 g (0.1 oz)
Butter lettuce — 120 g (4.2 oz)
Paprika — 1 g (0.0 oz)</t>
        </is>
      </c>
      <c r="M1359" s="4" t="inlineStr">
        <is>
          <t>[{"ingredient_id": "egg", "name": "Egg, large (50 g each)", "grams": 300.0, "note": ""}, {"ingredient_id": "greek_yogurt", "name": "Greek yogurt, plain 2%", "grams": 60.0, "note": ""}, {"ingredient_id": "dijon", "name": "Dijon mustard", "grams": 8.0, "note": ""}, {"ingredient_id": "celery", "name": "Celery", "grams": 40.0, "note": ""}, {"ingredient_id": "chives", "name": "Fresh chives", "grams": 4.0, "note": ""}, {"ingredient_id": "butter_lettuce", "name": "Butter lettuce", "grams": 120.0, "note": ""}, {"ingredient_id": "paprika", "name": "Paprika", "grams": 1.0, "note": ""}]</t>
        </is>
      </c>
      <c r="N1359" s="2" t="n">
        <v>168</v>
      </c>
      <c r="O1359" s="5" t="n">
        <v>15.5</v>
      </c>
      <c r="P1359" s="5" t="n">
        <v>10.1</v>
      </c>
      <c r="Q1359" s="5" t="n">
        <v>3.2</v>
      </c>
      <c r="R1359" s="5" t="n">
        <v>0.9</v>
      </c>
      <c r="S1359" s="5" t="n">
        <v>2.3</v>
      </c>
      <c r="T1359" s="2" t="n">
        <v>9</v>
      </c>
      <c r="U1359" s="2" t="inlineStr">
        <is>
          <t>low</t>
        </is>
      </c>
      <c r="V1359" s="5" t="n">
        <v>0.2</v>
      </c>
      <c r="W1359" s="2" t="inlineStr">
        <is>
          <t>low</t>
        </is>
      </c>
      <c r="X1359" s="3" t="inlineStr">
        <is>
          <t>Negligible carbohydrate (&lt;5 g net/serving): GI has little practical meaning, glycemic load is what matters.</t>
        </is>
      </c>
      <c r="Y1359" s="3" t="inlineStr">
        <is>
          <t>35% of this dish's available carbohydrate comes from ingredients with a published, measured GI; the rest uses conventional placeholders (see Ingredients sheet)</t>
        </is>
      </c>
      <c r="Z1359" s="2" t="n">
        <v>35</v>
      </c>
      <c r="AA1359" s="3" t="inlineStr">
        <is>
          <t>vegetarian, gluten-free, nut-free, low-carb</t>
        </is>
      </c>
      <c r="AB1359" s="3" t="inlineStr">
        <is>
          <t>1. Hard-boil and chop the eggs.
2. Mix with yogurt, mustard, celery and chives.
3. Spoon into lettuce cups and dust with paprika.</t>
        </is>
      </c>
      <c r="AC1359" s="4" t="inlineStr">
        <is>
          <t>["Hard-boil and chop the eggs.", "Mix with yogurt, mustard, celery and chives.", "Spoon into lettuce cups and dust with paprika."]</t>
        </is>
      </c>
    </row>
    <row r="1360" ht="96" customHeight="1">
      <c r="A1360" s="2" t="inlineStr">
        <is>
          <t>DB-1359</t>
        </is>
      </c>
      <c r="B1360" s="3" t="inlineStr">
        <is>
          <t>Flourless Chocolate Brownies with Black Beans</t>
        </is>
      </c>
      <c r="C1360" s="4" t="inlineStr">
        <is>
          <t>Dessert</t>
        </is>
      </c>
      <c r="D1360" s="4" t="inlineStr">
        <is>
          <t>American</t>
        </is>
      </c>
      <c r="E1360" s="2" t="n">
        <v>12</v>
      </c>
      <c r="F1360" s="2" t="n">
        <v>10</v>
      </c>
      <c r="G1360" s="2" t="n">
        <v>25</v>
      </c>
      <c r="H1360" s="2" t="n">
        <v>35</v>
      </c>
      <c r="I1360" s="4" t="inlineStr">
        <is>
          <t>flourless-chocolate-brownies-with-black-beans.jpg</t>
        </is>
      </c>
      <c r="J1360" s="3" t="inlineStr">
        <is>
          <t>Flourless Chocolate Brownies with Black Beans, healthy food photography, plated, natural light</t>
        </is>
      </c>
      <c r="K1360" s="4" t="inlineStr"/>
      <c r="L1360" s="3" t="inlineStr">
        <is>
          <t>Black beans, cooked — 400 g (14.1 oz)
Egg, large (50 g each) — 150 g (5.3 oz)
Cocoa powder, unsweetened — 40 g (1.4 oz)
White sugar — 40 g (1.4 oz)
Butter — 40 g (1.4 oz)
Vanilla extract — 5 g (0.2 oz)
Baking powder — 4 g (0.1 oz)
Stevia-sweetened dark chocolate chips — 40 g (1.4 oz)</t>
        </is>
      </c>
      <c r="M1360" s="4" t="inlineStr">
        <is>
          <t>[{"ingredient_id": "black_beans", "name": "Black beans, cooked", "grams": 400.0, "note": ""}, {"ingredient_id": "egg", "name": "Egg, large (50 g each)", "grams": 150.0, "note": ""}, {"ingredient_id": "cocoa_powder", "name": "Cocoa powder, unsweetened", "grams": 40.0, "note": ""}, {"ingredient_id": "sugar_white", "name": "White sugar", "grams": 40.0, "note": ""}, {"ingredient_id": "butter", "name": "Butter", "grams": 40.0, "note": ""}, {"ingredient_id": "vanilla_extract", "name": "Vanilla extract", "grams": 5.0, "note": ""}, {"ingredient_id": "baking_powder", "name": "Baking powder", "grams": 4.0, "note": ""}, {"ingredient_id": "sugar_free_chocolate_chips", "name": "Stevia-sweetened dark chocolate chips", "grams": 40.0, "note": ""}]</t>
        </is>
      </c>
      <c r="N1360" s="2" t="n">
        <v>124</v>
      </c>
      <c r="O1360" s="5" t="n">
        <v>5.4</v>
      </c>
      <c r="P1360" s="5" t="n">
        <v>5.9</v>
      </c>
      <c r="Q1360" s="5" t="n">
        <v>14.1</v>
      </c>
      <c r="R1360" s="5" t="n">
        <v>4.4</v>
      </c>
      <c r="S1360" s="5" t="n">
        <v>9.699999999999999</v>
      </c>
      <c r="T1360" s="2" t="n">
        <v>39</v>
      </c>
      <c r="U1360" s="2" t="inlineStr">
        <is>
          <t>low</t>
        </is>
      </c>
      <c r="V1360" s="5" t="n">
        <v>3.8</v>
      </c>
      <c r="W1360" s="2" t="inlineStr">
        <is>
          <t>low</t>
        </is>
      </c>
      <c r="X1360" s="3" t="inlineStr"/>
      <c r="Y1360" s="3" t="inlineStr">
        <is>
          <t>89% of this dish's available carbohydrate comes from ingredients with a published, measured GI; the rest uses conventional placeholders (see Ingredients sheet)</t>
        </is>
      </c>
      <c r="Z1360" s="2" t="n">
        <v>89</v>
      </c>
      <c r="AA1360" s="3" t="inlineStr">
        <is>
          <t>vegetarian, gluten-free, nut-free, low-carb</t>
        </is>
      </c>
      <c r="AB1360" s="3" t="inlineStr">
        <is>
          <t>1. Blend the beans, eggs, cocoa, sugar, butter, vanilla and baking powder until smooth.
2. Fold in the chocolate chips.
3. Bake in a lined pan at 350°F for 22 to 25 minutes and cool before cutting.</t>
        </is>
      </c>
      <c r="AC1360" s="4" t="inlineStr">
        <is>
          <t>["Blend the beans, eggs, cocoa, sugar, butter, vanilla and baking powder until smooth.", "Fold in the chocolate chips.", "Bake in a lined pan at 350°F for 22 to 25 minutes and cool before cutting."]</t>
        </is>
      </c>
    </row>
    <row r="1361" ht="96" customHeight="1">
      <c r="A1361" s="2" t="inlineStr">
        <is>
          <t>DB-1360</t>
        </is>
      </c>
      <c r="B1361" s="3" t="inlineStr">
        <is>
          <t>Oatmeal Cranberry Cookies</t>
        </is>
      </c>
      <c r="C1361" s="4" t="inlineStr">
        <is>
          <t>Dessert</t>
        </is>
      </c>
      <c r="D1361" s="4" t="inlineStr">
        <is>
          <t>American</t>
        </is>
      </c>
      <c r="E1361" s="2" t="n">
        <v>14</v>
      </c>
      <c r="F1361" s="2" t="n">
        <v>10</v>
      </c>
      <c r="G1361" s="2" t="n">
        <v>12</v>
      </c>
      <c r="H1361" s="2" t="n">
        <v>22</v>
      </c>
      <c r="I1361" s="4" t="inlineStr">
        <is>
          <t>oatmeal-cranberry-cookies.jpg</t>
        </is>
      </c>
      <c r="J1361" s="3" t="inlineStr">
        <is>
          <t>Oatmeal Cranberry Cookies, healthy food photography, plated, natural light</t>
        </is>
      </c>
      <c r="K1361" s="4" t="inlineStr"/>
      <c r="L1361" s="3" t="inlineStr">
        <is>
          <t>Rolled oats, dry — 150 g (5.3 oz)
Oat flour — 60 g (2.1 oz)
Butter — 50 g (1.8 oz)
Egg, large (50 g each) — 50 g (1.8 oz)
Cranberries, fresh — 40 g (1.4 oz)
Ground cinnamon — 3 g (0.1 oz)
White sugar — 25 g (0.9 oz)
Baking powder — 3 g (0.1 oz)
Vanilla extract — 4 g (0.1 oz)</t>
        </is>
      </c>
      <c r="M1361" s="4" t="inlineStr">
        <is>
          <t>[{"ingredient_id": "rolled_oats", "name": "Rolled oats, dry", "grams": 150.0, "note": ""}, {"ingredient_id": "oat_flour", "name": "Oat flour", "grams": 60.0, "note": ""}, {"ingredient_id": "butter", "name": "Butter", "grams": 50.0, "note": ""}, {"ingredient_id": "egg", "name": "Egg, large (50 g each)", "grams": 50.0, "note": ""}, {"ingredient_id": "cranberries", "name": "Cranberries, fresh", "grams": 40.0, "note": ""}, {"ingredient_id": "cinnamon", "name": "Ground cinnamon", "grams": 3.0, "note": ""}, {"ingredient_id": "sugar_white", "name": "White sugar", "grams": 25.0, "note": ""}, {"ingredient_id": "baking_powder", "name": "Baking powder", "grams": 3.0, "note": ""}, {"ingredient_id": "vanilla_extract", "name": "Vanilla extract", "grams": 4.0, "note": ""}]</t>
        </is>
      </c>
      <c r="N1361" s="2" t="n">
        <v>99</v>
      </c>
      <c r="O1361" s="5" t="n">
        <v>2.5</v>
      </c>
      <c r="P1361" s="5" t="n">
        <v>4.3</v>
      </c>
      <c r="Q1361" s="5" t="n">
        <v>12.5</v>
      </c>
      <c r="R1361" s="5" t="n">
        <v>1.6</v>
      </c>
      <c r="S1361" s="5" t="n">
        <v>10.9</v>
      </c>
      <c r="T1361" s="2" t="n">
        <v>56</v>
      </c>
      <c r="U1361" s="2" t="inlineStr">
        <is>
          <t>medium</t>
        </is>
      </c>
      <c r="V1361" s="5" t="n">
        <v>6.1</v>
      </c>
      <c r="W1361" s="2" t="inlineStr">
        <is>
          <t>low</t>
        </is>
      </c>
      <c r="X1361" s="3" t="inlineStr">
        <is>
          <t>Medium-GI dish: keep to the stated portion and pair with the protein/fat in the recipe; GL per serving is the better guide.</t>
        </is>
      </c>
      <c r="Y1361" s="3" t="inlineStr">
        <is>
          <t>73% of this dish's available carbohydrate comes from ingredients with a published, measured GI; the rest uses conventional placeholders (see Ingredients sheet)</t>
        </is>
      </c>
      <c r="Z1361" s="2" t="n">
        <v>73</v>
      </c>
      <c r="AA1361" s="3" t="inlineStr">
        <is>
          <t>vegetarian, nut-free, low-carb</t>
        </is>
      </c>
      <c r="AB1361" s="3" t="inlineStr">
        <is>
          <t>1. Cream the butter and sugar, beat in the egg and vanilla.
2. Mix in the oats, oat flour, baking powder, cinnamon and cranberries.
3. Scoop and bake at 350°F for 10 to 12 minutes.</t>
        </is>
      </c>
      <c r="AC1361" s="4" t="inlineStr">
        <is>
          <t>["Cream the butter and sugar, beat in the egg and vanilla.", "Mix in the oats, oat flour, baking powder, cinnamon and cranberries.", "Scoop and bake at 350°F for 10 to 12 minutes."]</t>
        </is>
      </c>
    </row>
    <row r="1362" ht="96" customHeight="1">
      <c r="A1362" s="2" t="inlineStr">
        <is>
          <t>DB-1361</t>
        </is>
      </c>
      <c r="B1362" s="3" t="inlineStr">
        <is>
          <t>Peanut Butter Chocolate No-Bake Bars</t>
        </is>
      </c>
      <c r="C1362" s="4" t="inlineStr">
        <is>
          <t>Dessert</t>
        </is>
      </c>
      <c r="D1362" s="4" t="inlineStr">
        <is>
          <t>American</t>
        </is>
      </c>
      <c r="E1362" s="2" t="n">
        <v>12</v>
      </c>
      <c r="F1362" s="2" t="n">
        <v>10</v>
      </c>
      <c r="G1362" s="2" t="n">
        <v>0</v>
      </c>
      <c r="H1362" s="2" t="n">
        <v>10</v>
      </c>
      <c r="I1362" s="4" t="inlineStr">
        <is>
          <t>peanut-butter-chocolate-no-bake-bars.jpg</t>
        </is>
      </c>
      <c r="J1362" s="3" t="inlineStr">
        <is>
          <t>Peanut Butter Chocolate No-Bake Bars, healthy food photography, plated, natural light</t>
        </is>
      </c>
      <c r="K1362" s="4" t="inlineStr"/>
      <c r="L1362" s="3" t="inlineStr">
        <is>
          <t>Rolled oats, dry — 120 g (4.2 oz)
Peanut butter, natural — 150 g (5.3 oz)
Dark chocolate 85% — 50 g (1.8 oz)
Chia seeds — 20 g (0.7 oz)
Vanilla extract — 4 g (0.1 oz)
Monk fruit/erythritol sweetener — 8 g (0.3 oz)</t>
        </is>
      </c>
      <c r="M1362" s="4" t="inlineStr">
        <is>
          <t>[{"ingredient_id": "rolled_oats", "name": "Rolled oats, dry", "grams": 120.0, "note": ""}, {"ingredient_id": "peanut_butter", "name": "Peanut butter, natural", "grams": 150.0, "note": ""}, {"ingredient_id": "dark_chocolate", "name": "Dark chocolate 85%", "grams": 50.0, "note": ""}, {"ingredient_id": "chia_seeds", "name": "Chia seeds", "grams": 20.0, "note": ""}, {"ingredient_id": "vanilla_extract", "name": "Vanilla extract", "grams": 4.0, "note": ""}, {"ingredient_id": "monk_fruit_sweetener", "name": "Monk fruit/erythritol sweetener", "grams": 8.0, "note": ""}]</t>
        </is>
      </c>
      <c r="N1362" s="2" t="n">
        <v>145</v>
      </c>
      <c r="O1362" s="5" t="n">
        <v>5.2</v>
      </c>
      <c r="P1362" s="5" t="n">
        <v>9.300000000000001</v>
      </c>
      <c r="Q1362" s="5" t="n">
        <v>11.3</v>
      </c>
      <c r="R1362" s="5" t="n">
        <v>2.8</v>
      </c>
      <c r="S1362" s="5" t="n">
        <v>8.5</v>
      </c>
      <c r="T1362" s="2" t="n">
        <v>44</v>
      </c>
      <c r="U1362" s="2" t="inlineStr">
        <is>
          <t>low</t>
        </is>
      </c>
      <c r="V1362" s="5" t="n">
        <v>3.7</v>
      </c>
      <c r="W1362" s="2" t="inlineStr">
        <is>
          <t>low</t>
        </is>
      </c>
      <c r="X1362" s="3" t="inlineStr"/>
      <c r="Y1362" s="3" t="inlineStr">
        <is>
          <t>77% of this dish's available carbohydrate comes from ingredients with a published, measured GI; the rest uses conventional placeholders (see Ingredients sheet)</t>
        </is>
      </c>
      <c r="Z1362" s="2" t="n">
        <v>77</v>
      </c>
      <c r="AA1362" s="3" t="inlineStr">
        <is>
          <t>vegan, dairy-free, low-carb, no-cook</t>
        </is>
      </c>
      <c r="AB1362" s="3" t="inlineStr">
        <is>
          <t>1. Warm the peanut butter and stir in oats, chia, vanilla and sweetener.
2. Press into a lined pan.
3. Melt the chocolate over the top and chill 1 hour.</t>
        </is>
      </c>
      <c r="AC1362" s="4" t="inlineStr">
        <is>
          <t>["Warm the peanut butter and stir in oats, chia, vanilla and sweetener.", "Press into a lined pan.", "Melt the chocolate over the top and chill 1 hour."]</t>
        </is>
      </c>
    </row>
    <row r="1363" ht="96" customHeight="1">
      <c r="A1363" s="2" t="inlineStr">
        <is>
          <t>DB-1362</t>
        </is>
      </c>
      <c r="B1363" s="3" t="inlineStr">
        <is>
          <t>Lemon Ricotta Cheesecake Cups</t>
        </is>
      </c>
      <c r="C1363" s="4" t="inlineStr">
        <is>
          <t>Dessert</t>
        </is>
      </c>
      <c r="D1363" s="4" t="inlineStr">
        <is>
          <t>American</t>
        </is>
      </c>
      <c r="E1363" s="2" t="n">
        <v>6</v>
      </c>
      <c r="F1363" s="2" t="n">
        <v>10</v>
      </c>
      <c r="G1363" s="2" t="n">
        <v>0</v>
      </c>
      <c r="H1363" s="2" t="n">
        <v>10</v>
      </c>
      <c r="I1363" s="4" t="inlineStr">
        <is>
          <t>lemon-ricotta-cheesecake-cups.jpg</t>
        </is>
      </c>
      <c r="J1363" s="3" t="inlineStr">
        <is>
          <t>Lemon Ricotta Cheesecake Cups, healthy food photography, plated, natural light</t>
        </is>
      </c>
      <c r="K1363" s="4" t="inlineStr"/>
      <c r="L1363" s="3" t="inlineStr">
        <is>
          <t>Ricotta, part-skim — 300 g (10.6 oz)
Greek yogurt, plain 2% — 150 g (5.3 oz)
Lemon juice — 30 g (1.1 oz)
Vanilla extract — 4 g (0.1 oz)
Monk fruit/erythritol sweetener — 10 g (0.4 oz)
Blueberries — 100 g (3.5 oz)</t>
        </is>
      </c>
      <c r="M1363" s="4" t="inlineStr">
        <is>
          <t>[{"ingredient_id": "ricotta", "name": "Ricotta, part-skim", "grams": 300.0, "note": ""}, {"ingredient_id": "greek_yogurt", "name": "Greek yogurt, plain 2%", "grams": 150.0, "note": ""}, {"ingredient_id": "lemon_juice", "name": "Lemon juice", "grams": 30.0, "note": ""}, {"ingredient_id": "vanilla_extract", "name": "Vanilla extract", "grams": 4.0, "note": ""}, {"ingredient_id": "monk_fruit_sweetener", "name": "Monk fruit/erythritol sweetener", "grams": 10.0, "note": ""}, {"ingredient_id": "blueberries", "name": "Blueberries", "grams": 100.0, "note": ""}]</t>
        </is>
      </c>
      <c r="N1363" s="2" t="n">
        <v>100</v>
      </c>
      <c r="O1363" s="5" t="n">
        <v>8.1</v>
      </c>
      <c r="P1363" s="5" t="n">
        <v>4.6</v>
      </c>
      <c r="Q1363" s="5" t="n">
        <v>6.3</v>
      </c>
      <c r="R1363" s="5" t="n">
        <v>0.4</v>
      </c>
      <c r="S1363" s="5" t="n">
        <v>5.9</v>
      </c>
      <c r="T1363" s="2" t="n">
        <v>27</v>
      </c>
      <c r="U1363" s="2" t="inlineStr">
        <is>
          <t>low</t>
        </is>
      </c>
      <c r="V1363" s="5" t="n">
        <v>1.6</v>
      </c>
      <c r="W1363" s="2" t="inlineStr">
        <is>
          <t>low</t>
        </is>
      </c>
      <c r="X1363" s="3" t="inlineStr"/>
      <c r="Y1363" s="3" t="inlineStr">
        <is>
          <t>51% of this dish's available carbohydrate comes from ingredients with a published, measured GI; the rest uses conventional placeholders (see Ingredients sheet)</t>
        </is>
      </c>
      <c r="Z1363" s="2" t="n">
        <v>51</v>
      </c>
      <c r="AA1363" s="3" t="inlineStr">
        <is>
          <t>vegetarian, gluten-free, nut-free, low-carb, no-cook</t>
        </is>
      </c>
      <c r="AB1363" s="3" t="inlineStr">
        <is>
          <t>1. Whip the ricotta, yogurt, lemon juice, vanilla and sweetener until smooth.
2. Spoon into cups and chill 2 hours.
3. Top with blueberries.</t>
        </is>
      </c>
      <c r="AC1363" s="4" t="inlineStr">
        <is>
          <t>["Whip the ricotta, yogurt, lemon juice, vanilla and sweetener until smooth.", "Spoon into cups and chill 2 hours.", "Top with blueberries."]</t>
        </is>
      </c>
    </row>
    <row r="1364" ht="96" customHeight="1">
      <c r="A1364" s="2" t="inlineStr">
        <is>
          <t>DB-1363</t>
        </is>
      </c>
      <c r="B1364" s="3" t="inlineStr">
        <is>
          <t>New York-Style Crustless Cheesecake</t>
        </is>
      </c>
      <c r="C1364" s="4" t="inlineStr">
        <is>
          <t>Dessert</t>
        </is>
      </c>
      <c r="D1364" s="4" t="inlineStr">
        <is>
          <t>American</t>
        </is>
      </c>
      <c r="E1364" s="2" t="n">
        <v>10</v>
      </c>
      <c r="F1364" s="2" t="n">
        <v>15</v>
      </c>
      <c r="G1364" s="2" t="n">
        <v>50</v>
      </c>
      <c r="H1364" s="2" t="n">
        <v>65</v>
      </c>
      <c r="I1364" s="4" t="inlineStr">
        <is>
          <t>new-york-style-crustless-cheesecake.jpg</t>
        </is>
      </c>
      <c r="J1364" s="3" t="inlineStr">
        <is>
          <t>New York-Style Crustless Cheesecake, healthy food photography, plated, natural light</t>
        </is>
      </c>
      <c r="K1364" s="4" t="inlineStr"/>
      <c r="L1364" s="3" t="inlineStr">
        <is>
          <t>Cream cheese — 450 g (15.9 oz)
Greek yogurt, plain 2% — 200 g (7.1 oz)
Egg, large (50 g each) — 150 g (5.3 oz)
White sugar — 40 g (1.4 oz)
Vanilla extract — 6 g (0.2 oz)
Lemon juice — 15 g (0.5 oz)</t>
        </is>
      </c>
      <c r="M1364" s="4" t="inlineStr">
        <is>
          <t>[{"ingredient_id": "cream_cheese", "name": "Cream cheese", "grams": 450.0, "note": ""}, {"ingredient_id": "greek_yogurt", "name": "Greek yogurt, plain 2%", "grams": 200.0, "note": ""}, {"ingredient_id": "egg", "name": "Egg, large (50 g each)", "grams": 150.0, "note": ""}, {"ingredient_id": "sugar_white", "name": "White sugar", "grams": 40.0, "note": ""}, {"ingredient_id": "vanilla_extract", "name": "Vanilla extract", "grams": 6.0, "note": ""}, {"ingredient_id": "lemon_juice", "name": "Lemon juice", "grams": 15.0, "note": ""}]</t>
        </is>
      </c>
      <c r="N1364" s="2" t="n">
        <v>208</v>
      </c>
      <c r="O1364" s="5" t="n">
        <v>6.6</v>
      </c>
      <c r="P1364" s="5" t="n">
        <v>17.1</v>
      </c>
      <c r="Q1364" s="5" t="n">
        <v>6.9</v>
      </c>
      <c r="R1364" s="5" t="n">
        <v>0</v>
      </c>
      <c r="S1364" s="5" t="n">
        <v>6.9</v>
      </c>
      <c r="T1364" s="2" t="n">
        <v>38</v>
      </c>
      <c r="U1364" s="2" t="inlineStr">
        <is>
          <t>low</t>
        </is>
      </c>
      <c r="V1364" s="5" t="n">
        <v>2.6</v>
      </c>
      <c r="W1364" s="2" t="inlineStr">
        <is>
          <t>low</t>
        </is>
      </c>
      <c r="X1364" s="3" t="inlineStr"/>
      <c r="Y1364" s="3" t="inlineStr">
        <is>
          <t>70% of this dish's available carbohydrate comes from ingredients with a published, measured GI; the rest uses conventional placeholders (see Ingredients sheet)</t>
        </is>
      </c>
      <c r="Z1364" s="2" t="n">
        <v>70</v>
      </c>
      <c r="AA1364" s="3" t="inlineStr">
        <is>
          <t>vegetarian, gluten-free, nut-free, low-carb</t>
        </is>
      </c>
      <c r="AB1364" s="3" t="inlineStr">
        <is>
          <t>1. Beat the cream cheese, yogurt, sugar, vanilla and lemon until smooth, then the eggs.
2. Pour into a greased pan set in a water bath.
3. Bake at 325°F for 45 to 50 minutes and chill overnight.</t>
        </is>
      </c>
      <c r="AC1364" s="4" t="inlineStr">
        <is>
          <t>["Beat the cream cheese, yogurt, sugar, vanilla and lemon until smooth, then the eggs.", "Pour into a greased pan set in a water bath.", "Bake at 325°F for 45 to 50 minutes and chill overnight."]</t>
        </is>
      </c>
    </row>
    <row r="1365" ht="96" customHeight="1">
      <c r="A1365" s="2" t="inlineStr">
        <is>
          <t>DB-1364</t>
        </is>
      </c>
      <c r="B1365" s="3" t="inlineStr">
        <is>
          <t>Berry Cobbler with Oat Topping</t>
        </is>
      </c>
      <c r="C1365" s="4" t="inlineStr">
        <is>
          <t>Dessert</t>
        </is>
      </c>
      <c r="D1365" s="4" t="inlineStr">
        <is>
          <t>American</t>
        </is>
      </c>
      <c r="E1365" s="2" t="n">
        <v>8</v>
      </c>
      <c r="F1365" s="2" t="n">
        <v>15</v>
      </c>
      <c r="G1365" s="2" t="n">
        <v>35</v>
      </c>
      <c r="H1365" s="2" t="n">
        <v>50</v>
      </c>
      <c r="I1365" s="4" t="inlineStr">
        <is>
          <t>berry-cobbler-with-oat-topping.jpg</t>
        </is>
      </c>
      <c r="J1365" s="3" t="inlineStr">
        <is>
          <t>Berry Cobbler with Oat Topping, healthy food photography, plated, natural light</t>
        </is>
      </c>
      <c r="K1365" s="4" t="inlineStr"/>
      <c r="L1365" s="3" t="inlineStr">
        <is>
          <t>Mixed berries, frozen — 600 g (21.2 oz)
Rolled oats, dry — 100 g (3.5 oz)
Almond flour — 60 g (2.1 oz)
Butter — 40 g (1.4 oz)
Ground cinnamon — 3 g (0.1 oz)
White sugar — 20 g (0.7 oz)
Lemon juice — 10 g (0.4 oz)</t>
        </is>
      </c>
      <c r="M1365" s="4" t="inlineStr">
        <is>
          <t>[{"ingredient_id": "mixed_berries", "name": "Mixed berries, frozen", "grams": 600.0, "note": ""}, {"ingredient_id": "rolled_oats", "name": "Rolled oats, dry", "grams": 100.0, "note": ""}, {"ingredient_id": "almond_flour", "name": "Almond flour", "grams": 60.0, "note": ""}, {"ingredient_id": "butter", "name": "Butter", "grams": 40.0, "note": ""}, {"ingredient_id": "cinnamon", "name": "Ground cinnamon", "grams": 3.0, "note": ""}, {"ingredient_id": "sugar_white", "name": "White sugar", "grams": 20.0, "note": ""}, {"ingredient_id": "lemon_juice", "name": "Lemon juice", "grams": 10.0, "note": ""}]</t>
        </is>
      </c>
      <c r="N1365" s="2" t="n">
        <v>172</v>
      </c>
      <c r="O1365" s="5" t="n">
        <v>3.9</v>
      </c>
      <c r="P1365" s="5" t="n">
        <v>8.9</v>
      </c>
      <c r="Q1365" s="5" t="n">
        <v>21.2</v>
      </c>
      <c r="R1365" s="5" t="n">
        <v>5.4</v>
      </c>
      <c r="S1365" s="5" t="n">
        <v>15.9</v>
      </c>
      <c r="T1365" s="2" t="n">
        <v>50</v>
      </c>
      <c r="U1365" s="2" t="inlineStr">
        <is>
          <t>low</t>
        </is>
      </c>
      <c r="V1365" s="5" t="n">
        <v>7.9</v>
      </c>
      <c r="W1365" s="2" t="inlineStr">
        <is>
          <t>low</t>
        </is>
      </c>
      <c r="X1365" s="3" t="inlineStr"/>
      <c r="Y1365" s="3" t="inlineStr">
        <is>
          <t>61% of this dish's available carbohydrate comes from ingredients with a published, measured GI; the rest uses conventional placeholders (see Ingredients sheet)</t>
        </is>
      </c>
      <c r="Z1365" s="2" t="n">
        <v>61</v>
      </c>
      <c r="AA1365" s="3" t="inlineStr">
        <is>
          <t>vegetarian</t>
        </is>
      </c>
      <c r="AB1365" s="3" t="inlineStr">
        <is>
          <t>1. Toss the berries with lemon and half the sugar in a baking dish.
2. Rub the oats, almond flour, butter, cinnamon and remaining sugar into a crumble.
3. Cover the berries and bake at 350°F for 30 to 35 minutes.</t>
        </is>
      </c>
      <c r="AC1365" s="4" t="inlineStr">
        <is>
          <t>["Toss the berries with lemon and half the sugar in a baking dish.", "Rub the oats, almond flour, butter, cinnamon and remaining sugar into a crumble.", "Cover the berries and bake at 350°F for 30 to 35 minutes."]</t>
        </is>
      </c>
    </row>
    <row r="1366" ht="96" customHeight="1">
      <c r="A1366" s="2" t="inlineStr">
        <is>
          <t>DB-1365</t>
        </is>
      </c>
      <c r="B1366" s="3" t="inlineStr">
        <is>
          <t>Peach Crisp with Pecans</t>
        </is>
      </c>
      <c r="C1366" s="4" t="inlineStr">
        <is>
          <t>Dessert</t>
        </is>
      </c>
      <c r="D1366" s="4" t="inlineStr">
        <is>
          <t>American</t>
        </is>
      </c>
      <c r="E1366" s="2" t="n">
        <v>8</v>
      </c>
      <c r="F1366" s="2" t="n">
        <v>15</v>
      </c>
      <c r="G1366" s="2" t="n">
        <v>35</v>
      </c>
      <c r="H1366" s="2" t="n">
        <v>50</v>
      </c>
      <c r="I1366" s="4" t="inlineStr">
        <is>
          <t>peach-crisp-with-pecans.jpg</t>
        </is>
      </c>
      <c r="J1366" s="3" t="inlineStr">
        <is>
          <t>Peach Crisp with Pecans, healthy food photography, plated, natural light</t>
        </is>
      </c>
      <c r="K1366" s="4" t="inlineStr"/>
      <c r="L1366" s="3" t="inlineStr">
        <is>
          <t>Peach — 700 g (24.7 oz)
Rolled oats, dry — 90 g (3.2 oz)
Pecans — 40 g (1.4 oz)
Butter — 35 g (1.2 oz)
Ground cinnamon — 3 g (0.1 oz)
White sugar — 20 g (0.7 oz)</t>
        </is>
      </c>
      <c r="M1366" s="4" t="inlineStr">
        <is>
          <t>[{"ingredient_id": "peach", "name": "Peach", "grams": 700.0, "note": ""}, {"ingredient_id": "rolled_oats", "name": "Rolled oats, dry", "grams": 90.0, "note": ""}, {"ingredient_id": "pecans", "name": "Pecans", "grams": 40.0, "note": ""}, {"ingredient_id": "butter", "name": "Butter", "grams": 35.0, "note": ""}, {"ingredient_id": "cinnamon", "name": "Ground cinnamon", "grams": 3.0, "note": ""}, {"ingredient_id": "sugar_white", "name": "White sugar", "grams": 20.0, "note": ""}]</t>
        </is>
      </c>
      <c r="N1366" s="2" t="n">
        <v>154</v>
      </c>
      <c r="O1366" s="5" t="n">
        <v>2.8</v>
      </c>
      <c r="P1366" s="5" t="n">
        <v>8.1</v>
      </c>
      <c r="Q1366" s="5" t="n">
        <v>19.5</v>
      </c>
      <c r="R1366" s="5" t="n">
        <v>3.1</v>
      </c>
      <c r="S1366" s="5" t="n">
        <v>16.3</v>
      </c>
      <c r="T1366" s="2" t="n">
        <v>57</v>
      </c>
      <c r="U1366" s="2" t="inlineStr">
        <is>
          <t>medium</t>
        </is>
      </c>
      <c r="V1366" s="5" t="n">
        <v>9.300000000000001</v>
      </c>
      <c r="W1366" s="2" t="inlineStr">
        <is>
          <t>low</t>
        </is>
      </c>
      <c r="X1366" s="3" t="inlineStr">
        <is>
          <t>Medium-GI dish: keep to the stated portion and pair with the protein/fat in the recipe; GL per serving is the better guide.</t>
        </is>
      </c>
      <c r="Y1366" s="3" t="inlineStr">
        <is>
          <t>98% of this dish's available carbohydrate comes from ingredients with a published, measured GI; the rest uses conventional placeholders (see Ingredients sheet)</t>
        </is>
      </c>
      <c r="Z1366" s="2" t="n">
        <v>98</v>
      </c>
      <c r="AA1366" s="3" t="inlineStr">
        <is>
          <t>vegetarian</t>
        </is>
      </c>
      <c r="AB1366" s="3" t="inlineStr">
        <is>
          <t>1. Slice the peaches into a dish.
2. Rub the oats, pecans, butter, cinnamon and sugar into a crumble and spread on top.
3. Bake at 350°F for 30 to 35 minutes.</t>
        </is>
      </c>
      <c r="AC1366" s="4" t="inlineStr">
        <is>
          <t>["Slice the peaches into a dish.", "Rub the oats, pecans, butter, cinnamon and sugar into a crumble and spread on top.", "Bake at 350°F for 30 to 35 minutes."]</t>
        </is>
      </c>
    </row>
    <row r="1367" ht="96" customHeight="1">
      <c r="A1367" s="2" t="inlineStr">
        <is>
          <t>DB-1366</t>
        </is>
      </c>
      <c r="B1367" s="3" t="inlineStr">
        <is>
          <t>Baked Pears with Walnuts and Cinnamon</t>
        </is>
      </c>
      <c r="C1367" s="4" t="inlineStr">
        <is>
          <t>Dessert</t>
        </is>
      </c>
      <c r="D1367" s="4" t="inlineStr">
        <is>
          <t>American</t>
        </is>
      </c>
      <c r="E1367" s="2" t="n">
        <v>4</v>
      </c>
      <c r="F1367" s="2" t="n">
        <v>10</v>
      </c>
      <c r="G1367" s="2" t="n">
        <v>30</v>
      </c>
      <c r="H1367" s="2" t="n">
        <v>40</v>
      </c>
      <c r="I1367" s="4" t="inlineStr">
        <is>
          <t>baked-pears-with-walnuts-and-cinnamon.jpg</t>
        </is>
      </c>
      <c r="J1367" s="3" t="inlineStr">
        <is>
          <t>Baked Pears with Walnuts and Cinnamon, healthy food photography, plated, natural light</t>
        </is>
      </c>
      <c r="K1367" s="4" t="inlineStr"/>
      <c r="L1367" s="3" t="inlineStr">
        <is>
          <t>Pear — 600 g (21.2 oz)
Walnuts — 40 g (1.4 oz)
Ground cinnamon — 3 g (0.1 oz)
Butter — 15 g (0.5 oz)
Vanilla extract — 3 g (0.1 oz)
Greek yogurt, plain 2% — 120 g (4.2 oz)</t>
        </is>
      </c>
      <c r="M1367" s="4" t="inlineStr">
        <is>
          <t>[{"ingredient_id": "pear", "name": "Pear", "grams": 600.0, "note": ""}, {"ingredient_id": "walnuts", "name": "Walnuts", "grams": 40.0, "note": ""}, {"ingredient_id": "cinnamon", "name": "Ground cinnamon", "grams": 3.0, "note": ""}, {"ingredient_id": "butter", "name": "Butter", "grams": 15.0, "note": ""}, {"ingredient_id": "vanilla_extract", "name": "Vanilla extract", "grams": 3.0, "note": ""}, {"ingredient_id": "greek_yogurt", "name": "Greek yogurt, plain 2%", "grams": 120.0, "note": ""}]</t>
        </is>
      </c>
      <c r="N1367" s="2" t="n">
        <v>204</v>
      </c>
      <c r="O1367" s="5" t="n">
        <v>5.2</v>
      </c>
      <c r="P1367" s="5" t="n">
        <v>10.3</v>
      </c>
      <c r="Q1367" s="5" t="n">
        <v>25.8</v>
      </c>
      <c r="R1367" s="5" t="n">
        <v>5.7</v>
      </c>
      <c r="S1367" s="5" t="n">
        <v>20.1</v>
      </c>
      <c r="T1367" s="2" t="n">
        <v>26</v>
      </c>
      <c r="U1367" s="2" t="inlineStr">
        <is>
          <t>low</t>
        </is>
      </c>
      <c r="V1367" s="5" t="n">
        <v>5.2</v>
      </c>
      <c r="W1367" s="2" t="inlineStr">
        <is>
          <t>low</t>
        </is>
      </c>
      <c r="X1367" s="3" t="inlineStr"/>
      <c r="Y1367" s="3" t="inlineStr">
        <is>
          <t>95% of this dish's available carbohydrate comes from ingredients with a published, measured GI; the rest uses conventional placeholders (see Ingredients sheet)</t>
        </is>
      </c>
      <c r="Z1367" s="2" t="n">
        <v>95</v>
      </c>
      <c r="AA1367" s="3" t="inlineStr">
        <is>
          <t>vegetarian, gluten-free</t>
        </is>
      </c>
      <c r="AB1367" s="3" t="inlineStr">
        <is>
          <t>1. Halve and core the pears.
2. Fill with walnuts, cinnamon and butter.
3. Bake at 375°F for 25 to 30 minutes and serve with yogurt.</t>
        </is>
      </c>
      <c r="AC1367" s="4" t="inlineStr">
        <is>
          <t>["Halve and core the pears.", "Fill with walnuts, cinnamon and butter.", "Bake at 375°F for 25 to 30 minutes and serve with yogurt."]</t>
        </is>
      </c>
    </row>
    <row r="1368" ht="96" customHeight="1">
      <c r="A1368" s="2" t="inlineStr">
        <is>
          <t>DB-1367</t>
        </is>
      </c>
      <c r="B1368" s="3" t="inlineStr">
        <is>
          <t>Chocolate Peanut Butter Protein Pudding</t>
        </is>
      </c>
      <c r="C1368" s="4" t="inlineStr">
        <is>
          <t>Dessert</t>
        </is>
      </c>
      <c r="D1368" s="4" t="inlineStr">
        <is>
          <t>American</t>
        </is>
      </c>
      <c r="E1368" s="2" t="n">
        <v>3</v>
      </c>
      <c r="F1368" s="2" t="n">
        <v>5</v>
      </c>
      <c r="G1368" s="2" t="n">
        <v>0</v>
      </c>
      <c r="H1368" s="2" t="n">
        <v>5</v>
      </c>
      <c r="I1368" s="4" t="inlineStr">
        <is>
          <t>chocolate-peanut-butter-protein-pudding.jpg</t>
        </is>
      </c>
      <c r="J1368" s="3" t="inlineStr">
        <is>
          <t>Chocolate Peanut Butter Protein Pudding, healthy food photography, plated, natural light</t>
        </is>
      </c>
      <c r="K1368" s="4" t="inlineStr"/>
      <c r="L1368" s="3" t="inlineStr">
        <is>
          <t>Greek yogurt, plain 2% — 300 g (10.6 oz)
Cocoa powder, unsweetened — 15 g (0.5 oz)
Peanut butter, natural — 30 g (1.1 oz)
Monk fruit/erythritol sweetener — 6 g (0.2 oz)
Vanilla extract — 3 g (0.1 oz)</t>
        </is>
      </c>
      <c r="M1368" s="4" t="inlineStr">
        <is>
          <t>[{"ingredient_id": "greek_yogurt", "name": "Greek yogurt, plain 2%", "grams": 300.0, "note": ""}, {"ingredient_id": "cocoa_powder", "name": "Cocoa powder, unsweetened", "grams": 15.0, "note": ""}, {"ingredient_id": "peanut_butter", "name": "Peanut butter, natural", "grams": 30.0, "note": ""}, {"ingredient_id": "monk_fruit_sweetener", "name": "Monk fruit/erythritol sweetener", "grams": 6.0, "note": ""}, {"ingredient_id": "vanilla_extract", "name": "Vanilla extract", "grams": 3.0, "note": ""}]</t>
        </is>
      </c>
      <c r="N1368" s="2" t="n">
        <v>146</v>
      </c>
      <c r="O1368" s="5" t="n">
        <v>13.5</v>
      </c>
      <c r="P1368" s="5" t="n">
        <v>7.7</v>
      </c>
      <c r="Q1368" s="5" t="n">
        <v>9</v>
      </c>
      <c r="R1368" s="5" t="n">
        <v>2.2</v>
      </c>
      <c r="S1368" s="5" t="n">
        <v>6.8</v>
      </c>
      <c r="T1368" s="2" t="n">
        <v>13</v>
      </c>
      <c r="U1368" s="2" t="inlineStr">
        <is>
          <t>low</t>
        </is>
      </c>
      <c r="V1368" s="5" t="n">
        <v>0.9</v>
      </c>
      <c r="W1368" s="2" t="inlineStr">
        <is>
          <t>low</t>
        </is>
      </c>
      <c r="X1368" s="3" t="inlineStr"/>
      <c r="Y1368" s="3" t="inlineStr">
        <is>
          <t>59% of this dish's available carbohydrate comes from ingredients with a published, measured GI; the rest uses conventional placeholders (see Ingredients sheet)</t>
        </is>
      </c>
      <c r="Z1368" s="2" t="n">
        <v>59</v>
      </c>
      <c r="AA1368" s="3" t="inlineStr">
        <is>
          <t>vegetarian, gluten-free, low-carb, no-cook</t>
        </is>
      </c>
      <c r="AB1368" s="3" t="inlineStr">
        <is>
          <t>1. Whisk everything until smooth.
2. Chill 30 minutes.</t>
        </is>
      </c>
      <c r="AC1368" s="4" t="inlineStr">
        <is>
          <t>["Whisk everything until smooth.", "Chill 30 minutes."]</t>
        </is>
      </c>
    </row>
    <row r="1369" ht="96" customHeight="1">
      <c r="A1369" s="2" t="inlineStr">
        <is>
          <t>DB-1368</t>
        </is>
      </c>
      <c r="B1369" s="3" t="inlineStr">
        <is>
          <t>Vanilla Panna Cotta with Berry Compote</t>
        </is>
      </c>
      <c r="C1369" s="4" t="inlineStr">
        <is>
          <t>Dessert</t>
        </is>
      </c>
      <c r="D1369" s="4" t="inlineStr">
        <is>
          <t>Italian</t>
        </is>
      </c>
      <c r="E1369" s="2" t="n">
        <v>6</v>
      </c>
      <c r="F1369" s="2" t="n">
        <v>10</v>
      </c>
      <c r="G1369" s="2" t="n">
        <v>10</v>
      </c>
      <c r="H1369" s="2" t="n">
        <v>20</v>
      </c>
      <c r="I1369" s="4" t="inlineStr">
        <is>
          <t>vanilla-panna-cotta-with-berry-compote.jpg</t>
        </is>
      </c>
      <c r="J1369" s="3" t="inlineStr">
        <is>
          <t>Vanilla Panna Cotta with Berry Compote, healthy food photography, plated, natural light</t>
        </is>
      </c>
      <c r="K1369" s="4" t="inlineStr"/>
      <c r="L1369" s="3" t="inlineStr">
        <is>
          <t>Milk, 2% — 300 g (10.6 oz)
Heavy cream — 200 g (7.1 oz)
Unflavored gelatin — 8 g (0.3 oz)
Vanilla extract — 6 g (0.2 oz)
Monk fruit/erythritol sweetener — 10 g (0.4 oz)
Mixed berries, frozen — 200 g (7.1 oz)</t>
        </is>
      </c>
      <c r="M1369" s="4" t="inlineStr">
        <is>
          <t>[{"ingredient_id": "milk", "name": "Milk, 2%", "grams": 300.0, "note": ""}, {"ingredient_id": "heavy_cream", "name": "Heavy cream", "grams": 200.0, "note": ""}, {"ingredient_id": "gelatin", "name": "Unflavored gelatin", "grams": 8.0, "note": ""}, {"ingredient_id": "vanilla_extract", "name": "Vanilla extract", "grams": 6.0, "note": ""}, {"ingredient_id": "monk_fruit_sweetener", "name": "Monk fruit/erythritol sweetener", "grams": 10.0, "note": ""}, {"ingredient_id": "mixed_berries", "name": "Mixed berries, frozen", "grams": 200.0, "note": ""}]</t>
        </is>
      </c>
      <c r="N1369" s="2" t="n">
        <v>161</v>
      </c>
      <c r="O1369" s="5" t="n">
        <v>3.7</v>
      </c>
      <c r="P1369" s="5" t="n">
        <v>13.1</v>
      </c>
      <c r="Q1369" s="5" t="n">
        <v>7.2</v>
      </c>
      <c r="R1369" s="5" t="n">
        <v>1.3</v>
      </c>
      <c r="S1369" s="5" t="n">
        <v>5.9</v>
      </c>
      <c r="T1369" s="2" t="n">
        <v>27</v>
      </c>
      <c r="U1369" s="2" t="inlineStr">
        <is>
          <t>low</t>
        </is>
      </c>
      <c r="V1369" s="5" t="n">
        <v>1.6</v>
      </c>
      <c r="W1369" s="2" t="inlineStr">
        <is>
          <t>low</t>
        </is>
      </c>
      <c r="X1369" s="3" t="inlineStr"/>
      <c r="Y1369" s="3" t="inlineStr">
        <is>
          <t>41% of this dish's available carbohydrate comes from ingredients with a published, measured GI; the rest uses conventional placeholders (see Ingredients sheet)</t>
        </is>
      </c>
      <c r="Z1369" s="2" t="n">
        <v>41</v>
      </c>
      <c r="AA1369" s="3" t="inlineStr">
        <is>
          <t>vegetarian, gluten-free, nut-free, low-carb</t>
        </is>
      </c>
      <c r="AB1369" s="3" t="inlineStr">
        <is>
          <t>1. Bloom the gelatin in a little milk.
2. Warm the milk, cream, vanilla and sweetener and stir in the gelatin.
3. Pour into cups and chill 4 hours.
4. Simmer the berries briefly and spoon over.</t>
        </is>
      </c>
      <c r="AC1369" s="4" t="inlineStr">
        <is>
          <t>["Bloom the gelatin in a little milk.", "Warm the milk, cream, vanilla and sweetener and stir in the gelatin.", "Pour into cups and chill 4 hours.", "Simmer the berries briefly and spoon over."]</t>
        </is>
      </c>
    </row>
    <row r="1370" ht="96" customHeight="1">
      <c r="A1370" s="2" t="inlineStr">
        <is>
          <t>DB-1369</t>
        </is>
      </c>
      <c r="B1370" s="3" t="inlineStr">
        <is>
          <t>Coconut Macaroons without Added Sugar</t>
        </is>
      </c>
      <c r="C1370" s="4" t="inlineStr">
        <is>
          <t>Dessert</t>
        </is>
      </c>
      <c r="D1370" s="4" t="inlineStr">
        <is>
          <t>American</t>
        </is>
      </c>
      <c r="E1370" s="2" t="n">
        <v>12</v>
      </c>
      <c r="F1370" s="2" t="n">
        <v>10</v>
      </c>
      <c r="G1370" s="2" t="n">
        <v>15</v>
      </c>
      <c r="H1370" s="2" t="n">
        <v>25</v>
      </c>
      <c r="I1370" s="4" t="inlineStr">
        <is>
          <t>coconut-macaroons-without-added-sugar.jpg</t>
        </is>
      </c>
      <c r="J1370" s="3" t="inlineStr">
        <is>
          <t>Coconut Macaroons without Added Sugar, healthy food photography, plated, natural light</t>
        </is>
      </c>
      <c r="K1370" s="4" t="inlineStr"/>
      <c r="L1370" s="3" t="inlineStr">
        <is>
          <t>Coconut, unsweetened shredded — 150 g (5.3 oz)
Egg whites — 100 g (3.5 oz)
Monk fruit/erythritol sweetener — 15 g (0.5 oz)
Vanilla extract — 4 g (0.1 oz)
Salt — 1 g (0.0 oz)</t>
        </is>
      </c>
      <c r="M1370" s="4" t="inlineStr">
        <is>
          <t>[{"ingredient_id": "coconut_shredded", "name": "Coconut, unsweetened shredded", "grams": 150.0, "note": ""}, {"ingredient_id": "egg_white", "name": "Egg whites", "grams": 100.0, "note": ""}, {"ingredient_id": "monk_fruit_sweetener", "name": "Monk fruit/erythritol sweetener", "grams": 15.0, "note": ""}, {"ingredient_id": "vanilla_extract", "name": "Vanilla extract", "grams": 4.0, "note": ""}, {"ingredient_id": "salt", "name": "Salt", "grams": 1.0, "note": ""}]</t>
        </is>
      </c>
      <c r="N1370" s="2" t="n">
        <v>88</v>
      </c>
      <c r="O1370" s="5" t="n">
        <v>1.8</v>
      </c>
      <c r="P1370" s="5" t="n">
        <v>8.1</v>
      </c>
      <c r="Q1370" s="5" t="n">
        <v>3.1</v>
      </c>
      <c r="R1370" s="5" t="n">
        <v>2</v>
      </c>
      <c r="S1370" s="5" t="n">
        <v>1.1</v>
      </c>
      <c r="T1370" s="2" t="n">
        <v>41</v>
      </c>
      <c r="U1370" s="2" t="inlineStr">
        <is>
          <t>low</t>
        </is>
      </c>
      <c r="V1370" s="5" t="n">
        <v>0.5</v>
      </c>
      <c r="W1370" s="2" t="inlineStr">
        <is>
          <t>low</t>
        </is>
      </c>
      <c r="X1370" s="3" t="inlineStr">
        <is>
          <t>Negligible carbohydrate (&lt;5 g net/serving): GI has little practical meaning, glycemic load is what matters.</t>
        </is>
      </c>
      <c r="Y1370" s="3" t="inlineStr">
        <is>
          <t>0% of this dish's available carbohydrate comes from ingredients with a published, measured GI; the rest uses conventional placeholders (see Ingredients sheet)</t>
        </is>
      </c>
      <c r="Z1370" s="2" t="n">
        <v>0</v>
      </c>
      <c r="AA1370" s="3" t="inlineStr">
        <is>
          <t>vegetarian, gluten-free, dairy-free, nut-free, low-carb</t>
        </is>
      </c>
      <c r="AB1370" s="3" t="inlineStr">
        <is>
          <t>1. Mix everything.
2. Scoop twelve mounds onto a lined tray.
3. Bake at 325°F for 15 minutes.</t>
        </is>
      </c>
      <c r="AC1370" s="4" t="inlineStr">
        <is>
          <t>["Mix everything.", "Scoop twelve mounds onto a lined tray.", "Bake at 325°F for 15 minutes."]</t>
        </is>
      </c>
    </row>
    <row r="1371" ht="96" customHeight="1">
      <c r="A1371" s="2" t="inlineStr">
        <is>
          <t>DB-1370</t>
        </is>
      </c>
      <c r="B1371" s="3" t="inlineStr">
        <is>
          <t>Pumpkin Spice Muffins with Oat Flour</t>
        </is>
      </c>
      <c r="C1371" s="4" t="inlineStr">
        <is>
          <t>Dessert</t>
        </is>
      </c>
      <c r="D1371" s="4" t="inlineStr">
        <is>
          <t>American</t>
        </is>
      </c>
      <c r="E1371" s="2" t="n">
        <v>10</v>
      </c>
      <c r="F1371" s="2" t="n">
        <v>10</v>
      </c>
      <c r="G1371" s="2" t="n">
        <v>22</v>
      </c>
      <c r="H1371" s="2" t="n">
        <v>32</v>
      </c>
      <c r="I1371" s="4" t="inlineStr">
        <is>
          <t>pumpkin-spice-muffins-with-oat-flour.jpg</t>
        </is>
      </c>
      <c r="J1371" s="3" t="inlineStr">
        <is>
          <t>Pumpkin Spice Muffins with Oat Flour, healthy food photography, plated, natural light</t>
        </is>
      </c>
      <c r="K1371" s="4" t="inlineStr"/>
      <c r="L1371" s="3" t="inlineStr">
        <is>
          <t>Oat flour — 180 g (6.3 oz)
Pumpkin puree, canned — 200 g (7.1 oz)
Egg, large (50 g each) — 100 g (3.5 oz)
Pumpkin pie spice — 5 g (0.2 oz)
Baking powder — 6 g (0.2 oz)
White sugar — 25 g (0.9 oz)
Walnuts — 30 g (1.1 oz)
Milk, 2% — 60 g (2.1 oz)</t>
        </is>
      </c>
      <c r="M1371" s="4" t="inlineStr">
        <is>
          <t>[{"ingredient_id": "oat_flour", "name": "Oat flour", "grams": 180.0, "note": ""}, {"ingredient_id": "pumpkin_puree", "name": "Pumpkin puree, canned", "grams": 200.0, "note": ""}, {"ingredient_id": "egg", "name": "Egg, large (50 g each)", "grams": 100.0, "note": ""}, {"ingredient_id": "pumpkin_pie_spice", "name": "Pumpkin pie spice", "grams": 5.0, "note": ""}, {"ingredient_id": "baking_powder", "name": "Baking powder", "grams": 6.0, "note": ""}, {"ingredient_id": "sugar_white", "name": "White sugar", "grams": 25.0, "note": ""}, {"ingredient_id": "walnuts", "name": "Walnuts", "grams": 30.0, "note": ""}, {"ingredient_id": "milk", "name": "Milk, 2%", "grams": 60.0, "note": ""}]</t>
        </is>
      </c>
      <c r="N1371" s="2" t="n">
        <v>128</v>
      </c>
      <c r="O1371" s="5" t="n">
        <v>4.8</v>
      </c>
      <c r="P1371" s="5" t="n">
        <v>4.7</v>
      </c>
      <c r="Q1371" s="5" t="n">
        <v>17.3</v>
      </c>
      <c r="R1371" s="5" t="n">
        <v>2.1</v>
      </c>
      <c r="S1371" s="5" t="n">
        <v>15.2</v>
      </c>
      <c r="T1371" s="2" t="n">
        <v>55</v>
      </c>
      <c r="U1371" s="2" t="inlineStr">
        <is>
          <t>low</t>
        </is>
      </c>
      <c r="V1371" s="5" t="n">
        <v>8.4</v>
      </c>
      <c r="W1371" s="2" t="inlineStr">
        <is>
          <t>low</t>
        </is>
      </c>
      <c r="X1371" s="3" t="inlineStr"/>
      <c r="Y1371" s="3" t="inlineStr">
        <is>
          <t>25% of this dish's available carbohydrate comes from ingredients with a published, measured GI; the rest uses conventional placeholders (see Ingredients sheet)</t>
        </is>
      </c>
      <c r="Z1371" s="2" t="n">
        <v>25</v>
      </c>
      <c r="AA1371" s="3" t="inlineStr">
        <is>
          <t>vegetarian</t>
        </is>
      </c>
      <c r="AB1371" s="3" t="inlineStr">
        <is>
          <t>1. Whisk the pumpkin, eggs, milk and sugar.
2. Fold in the oat flour, spice and baking powder, then the walnuts.
3. Bake in a lined tin at 350°F for 20 to 22 minutes.</t>
        </is>
      </c>
      <c r="AC1371" s="4" t="inlineStr">
        <is>
          <t>["Whisk the pumpkin, eggs, milk and sugar.", "Fold in the oat flour, spice and baking powder, then the walnuts.", "Bake in a lined tin at 350°F for 20 to 22 minutes."]</t>
        </is>
      </c>
    </row>
    <row r="1372" ht="96" customHeight="1">
      <c r="A1372" s="2" t="inlineStr">
        <is>
          <t>DB-1371</t>
        </is>
      </c>
      <c r="B1372" s="3" t="inlineStr">
        <is>
          <t>Almond Flour Banana Muffins</t>
        </is>
      </c>
      <c r="C1372" s="4" t="inlineStr">
        <is>
          <t>Dessert</t>
        </is>
      </c>
      <c r="D1372" s="4" t="inlineStr">
        <is>
          <t>American</t>
        </is>
      </c>
      <c r="E1372" s="2" t="n">
        <v>10</v>
      </c>
      <c r="F1372" s="2" t="n">
        <v>10</v>
      </c>
      <c r="G1372" s="2" t="n">
        <v>22</v>
      </c>
      <c r="H1372" s="2" t="n">
        <v>32</v>
      </c>
      <c r="I1372" s="4" t="inlineStr">
        <is>
          <t>almond-flour-banana-muffins.jpg</t>
        </is>
      </c>
      <c r="J1372" s="3" t="inlineStr">
        <is>
          <t>Almond Flour Banana Muffins, healthy food photography, plated, natural light</t>
        </is>
      </c>
      <c r="K1372" s="4" t="inlineStr"/>
      <c r="L1372" s="3" t="inlineStr">
        <is>
          <t>Banana (small amount) — 250 g (8.8 oz)
Almond flour — 180 g (6.3 oz)
Egg, large (50 g each) — 100 g (3.5 oz)
Walnuts — 30 g (1.1 oz)
Baking powder — 5 g (0.2 oz)
Ground cinnamon — 3 g (0.1 oz)
Vanilla extract — 4 g (0.1 oz)</t>
        </is>
      </c>
      <c r="M1372" s="4" t="inlineStr">
        <is>
          <t>[{"ingredient_id": "banana", "name": "Banana (small amount)", "grams": 250.0, "note": ""}, {"ingredient_id": "almond_flour", "name": "Almond flour", "grams": 180.0, "note": ""}, {"ingredient_id": "egg", "name": "Egg, large (50 g each)", "grams": 100.0, "note": ""}, {"ingredient_id": "walnuts", "name": "Walnuts", "grams": 30.0, "note": ""}, {"ingredient_id": "baking_powder", "name": "Baking powder", "grams": 5.0, "note": ""}, {"ingredient_id": "cinnamon", "name": "Ground cinnamon", "grams": 3.0, "note": ""}, {"ingredient_id": "vanilla_extract", "name": "Vanilla extract", "grams": 4.0, "note": ""}]</t>
        </is>
      </c>
      <c r="N1372" s="2" t="n">
        <v>165</v>
      </c>
      <c r="O1372" s="5" t="n">
        <v>5.8</v>
      </c>
      <c r="P1372" s="5" t="n">
        <v>12</v>
      </c>
      <c r="Q1372" s="5" t="n">
        <v>10.5</v>
      </c>
      <c r="R1372" s="5" t="n">
        <v>3.2</v>
      </c>
      <c r="S1372" s="5" t="n">
        <v>7.3</v>
      </c>
      <c r="T1372" s="2" t="n">
        <v>40</v>
      </c>
      <c r="U1372" s="2" t="inlineStr">
        <is>
          <t>low</t>
        </is>
      </c>
      <c r="V1372" s="5" t="n">
        <v>2.9</v>
      </c>
      <c r="W1372" s="2" t="inlineStr">
        <is>
          <t>low</t>
        </is>
      </c>
      <c r="X1372" s="3" t="inlineStr"/>
      <c r="Y1372" s="3" t="inlineStr">
        <is>
          <t>70% of this dish's available carbohydrate comes from ingredients with a published, measured GI; the rest uses conventional placeholders (see Ingredients sheet)</t>
        </is>
      </c>
      <c r="Z1372" s="2" t="n">
        <v>70</v>
      </c>
      <c r="AA1372" s="3" t="inlineStr">
        <is>
          <t>vegetarian, gluten-free, dairy-free, low-carb</t>
        </is>
      </c>
      <c r="AB1372" s="3" t="inlineStr">
        <is>
          <t>1. Mash the bananas and beat in the eggs and vanilla.
2. Fold in the almond flour, baking powder, cinnamon and walnuts.
3. Bake in a lined tin at 350°F for 20 to 22 minutes.</t>
        </is>
      </c>
      <c r="AC1372" s="4" t="inlineStr">
        <is>
          <t>["Mash the bananas and beat in the eggs and vanilla.", "Fold in the almond flour, baking powder, cinnamon and walnuts.", "Bake in a lined tin at 350°F for 20 to 22 minutes."]</t>
        </is>
      </c>
    </row>
    <row r="1373" ht="96" customHeight="1">
      <c r="A1373" s="2" t="inlineStr">
        <is>
          <t>DB-1372</t>
        </is>
      </c>
      <c r="B1373" s="3" t="inlineStr">
        <is>
          <t>Apple Cinnamon Muffins with Oat Flour</t>
        </is>
      </c>
      <c r="C1373" s="4" t="inlineStr">
        <is>
          <t>Dessert</t>
        </is>
      </c>
      <c r="D1373" s="4" t="inlineStr">
        <is>
          <t>American</t>
        </is>
      </c>
      <c r="E1373" s="2" t="n">
        <v>10</v>
      </c>
      <c r="F1373" s="2" t="n">
        <v>10</v>
      </c>
      <c r="G1373" s="2" t="n">
        <v>22</v>
      </c>
      <c r="H1373" s="2" t="n">
        <v>32</v>
      </c>
      <c r="I1373" s="4" t="inlineStr">
        <is>
          <t>apple-cinnamon-muffins-with-oat-flour.jpg</t>
        </is>
      </c>
      <c r="J1373" s="3" t="inlineStr">
        <is>
          <t>Apple Cinnamon Muffins with Oat Flour, healthy food photography, plated, natural light</t>
        </is>
      </c>
      <c r="K1373" s="4" t="inlineStr"/>
      <c r="L1373" s="3" t="inlineStr">
        <is>
          <t>Oat flour — 180 g (6.3 oz)
Apple — 200 g (7.1 oz)
Egg, large (50 g each) — 100 g (3.5 oz)
Applesauce, unsweetened — 100 g (3.5 oz)
Ground cinnamon — 4 g (0.1 oz)
Baking powder — 6 g (0.2 oz)
Walnuts — 30 g (1.1 oz)</t>
        </is>
      </c>
      <c r="M1373" s="4" t="inlineStr">
        <is>
          <t>[{"ingredient_id": "oat_flour", "name": "Oat flour", "grams": 180.0, "note": ""}, {"ingredient_id": "apple", "name": "Apple", "grams": 200.0, "note": ""}, {"ingredient_id": "egg", "name": "Egg, large (50 g each)", "grams": 100.0, "note": ""}, {"ingredient_id": "applesauce", "name": "Applesauce, unsweetened", "grams": 100.0, "note": ""}, {"ingredient_id": "cinnamon", "name": "Ground cinnamon", "grams": 4.0, "note": ""}, {"ingredient_id": "baking_powder", "name": "Baking powder", "grams": 6.0, "note": ""}, {"ingredient_id": "walnuts", "name": "Walnuts", "grams": 30.0, "note": ""}]</t>
        </is>
      </c>
      <c r="N1373" s="2" t="n">
        <v>123</v>
      </c>
      <c r="O1373" s="5" t="n">
        <v>4.5</v>
      </c>
      <c r="P1373" s="5" t="n">
        <v>4.6</v>
      </c>
      <c r="Q1373" s="5" t="n">
        <v>16.8</v>
      </c>
      <c r="R1373" s="5" t="n">
        <v>2.2</v>
      </c>
      <c r="S1373" s="5" t="n">
        <v>14.6</v>
      </c>
      <c r="T1373" s="2" t="n">
        <v>49</v>
      </c>
      <c r="U1373" s="2" t="inlineStr">
        <is>
          <t>low</t>
        </is>
      </c>
      <c r="V1373" s="5" t="n">
        <v>7.1</v>
      </c>
      <c r="W1373" s="2" t="inlineStr">
        <is>
          <t>low</t>
        </is>
      </c>
      <c r="X1373" s="3" t="inlineStr"/>
      <c r="Y1373" s="3" t="inlineStr">
        <is>
          <t>16% of this dish's available carbohydrate comes from ingredients with a published, measured GI; the rest uses conventional placeholders (see Ingredients sheet)</t>
        </is>
      </c>
      <c r="Z1373" s="2" t="n">
        <v>16</v>
      </c>
      <c r="AA1373" s="3" t="inlineStr">
        <is>
          <t>vegetarian, dairy-free, low-carb</t>
        </is>
      </c>
      <c r="AB1373" s="3" t="inlineStr">
        <is>
          <t>1. Mix the eggs and applesauce.
2. Fold in the oat flour, cinnamon, baking powder, diced apple and walnuts.
3. Bake in a lined tin at 350°F for 20 to 22 minutes.</t>
        </is>
      </c>
      <c r="AC1373" s="4" t="inlineStr">
        <is>
          <t>["Mix the eggs and applesauce.", "Fold in the oat flour, cinnamon, baking powder, diced apple and walnuts.", "Bake in a lined tin at 350°F for 20 to 22 minutes."]</t>
        </is>
      </c>
    </row>
    <row r="1374" ht="96" customHeight="1">
      <c r="A1374" s="2" t="inlineStr">
        <is>
          <t>DB-1373</t>
        </is>
      </c>
      <c r="B1374" s="3" t="inlineStr">
        <is>
          <t>Chocolate Avocado Pudding Cups</t>
        </is>
      </c>
      <c r="C1374" s="4" t="inlineStr">
        <is>
          <t>Dessert</t>
        </is>
      </c>
      <c r="D1374" s="4" t="inlineStr">
        <is>
          <t>American</t>
        </is>
      </c>
      <c r="E1374" s="2" t="n">
        <v>4</v>
      </c>
      <c r="F1374" s="2" t="n">
        <v>5</v>
      </c>
      <c r="G1374" s="2" t="n">
        <v>0</v>
      </c>
      <c r="H1374" s="2" t="n">
        <v>5</v>
      </c>
      <c r="I1374" s="4" t="inlineStr">
        <is>
          <t>chocolate-avocado-pudding-cups.jpg</t>
        </is>
      </c>
      <c r="J1374" s="3" t="inlineStr">
        <is>
          <t>Chocolate Avocado Pudding Cups, healthy food photography, plated, natural light</t>
        </is>
      </c>
      <c r="K1374" s="4" t="inlineStr"/>
      <c r="L1374" s="3" t="inlineStr">
        <is>
          <t>Avocado — 250 g (8.8 oz)
Cocoa powder, unsweetened — 30 g (1.1 oz)
Almond milk, unsweetened — 100 g (3.5 oz)
Monk fruit/erythritol sweetener — 12 g (0.4 oz)
Vanilla extract — 4 g (0.1 oz)</t>
        </is>
      </c>
      <c r="M1374" s="4" t="inlineStr">
        <is>
          <t>[{"ingredient_id": "avocado", "name": "Avocado", "grams": 250.0, "note": ""}, {"ingredient_id": "cocoa_powder", "name": "Cocoa powder, unsweetened", "grams": 30.0, "note": ""}, {"ingredient_id": "almond_milk", "name": "Almond milk, unsweetened", "grams": 100.0, "note": ""}, {"ingredient_id": "monk_fruit_sweetener", "name": "Monk fruit/erythritol sweetener", "grams": 12.0, "note": ""}, {"ingredient_id": "vanilla_extract", "name": "Vanilla extract", "grams": 4.0, "note": ""}]</t>
        </is>
      </c>
      <c r="N1374" s="2" t="n">
        <v>124</v>
      </c>
      <c r="O1374" s="5" t="n">
        <v>2.9</v>
      </c>
      <c r="P1374" s="5" t="n">
        <v>10.7</v>
      </c>
      <c r="Q1374" s="5" t="n">
        <v>9.9</v>
      </c>
      <c r="R1374" s="5" t="n">
        <v>6.7</v>
      </c>
      <c r="S1374" s="5" t="n">
        <v>3.3</v>
      </c>
      <c r="T1374" s="2" t="n">
        <v>18</v>
      </c>
      <c r="U1374" s="2" t="inlineStr">
        <is>
          <t>low</t>
        </is>
      </c>
      <c r="V1374" s="5" t="n">
        <v>0.6</v>
      </c>
      <c r="W1374" s="2" t="inlineStr">
        <is>
          <t>low</t>
        </is>
      </c>
      <c r="X1374" s="3" t="inlineStr">
        <is>
          <t>Negligible carbohydrate (&lt;5 g net/serving): GI has little practical meaning, glycemic load is what matters.</t>
        </is>
      </c>
      <c r="Y1374" s="3" t="inlineStr">
        <is>
          <t>0% of this dish's available carbohydrate comes from ingredients with a published, measured GI; the rest uses conventional placeholders (see Ingredients sheet)</t>
        </is>
      </c>
      <c r="Z1374" s="2" t="n">
        <v>0</v>
      </c>
      <c r="AA1374" s="3" t="inlineStr">
        <is>
          <t>vegan, gluten-free, dairy-free, low-carb, no-cook</t>
        </is>
      </c>
      <c r="AB1374" s="3" t="inlineStr">
        <is>
          <t>1. Blend until silky.
2. Chill 1 hour.</t>
        </is>
      </c>
      <c r="AC1374" s="4" t="inlineStr">
        <is>
          <t>["Blend until silky.", "Chill 1 hour."]</t>
        </is>
      </c>
    </row>
    <row r="1375" ht="96" customHeight="1">
      <c r="A1375" s="2" t="inlineStr">
        <is>
          <t>DB-1374</t>
        </is>
      </c>
      <c r="B1375" s="3" t="inlineStr">
        <is>
          <t>Frozen Banana Soft Serve</t>
        </is>
      </c>
      <c r="C1375" s="4" t="inlineStr">
        <is>
          <t>Dessert</t>
        </is>
      </c>
      <c r="D1375" s="4" t="inlineStr">
        <is>
          <t>American</t>
        </is>
      </c>
      <c r="E1375" s="2" t="n">
        <v>2</v>
      </c>
      <c r="F1375" s="2" t="n">
        <v>5</v>
      </c>
      <c r="G1375" s="2" t="n">
        <v>0</v>
      </c>
      <c r="H1375" s="2" t="n">
        <v>5</v>
      </c>
      <c r="I1375" s="4" t="inlineStr">
        <is>
          <t>frozen-banana-soft-serve.jpg</t>
        </is>
      </c>
      <c r="J1375" s="3" t="inlineStr">
        <is>
          <t>Frozen Banana Soft Serve, healthy food photography, plated, natural light</t>
        </is>
      </c>
      <c r="K1375" s="4" t="inlineStr"/>
      <c r="L1375" s="3" t="inlineStr">
        <is>
          <t>Banana (small amount) — 240 g (8.5 oz)
Peanut butter, natural — 20 g (0.7 oz)
Vanilla extract — 2 g (0.1 oz)</t>
        </is>
      </c>
      <c r="M1375" s="4" t="inlineStr">
        <is>
          <t>[{"ingredient_id": "banana", "name": "Banana (small amount)", "grams": 240.0, "note": ""}, {"ingredient_id": "peanut_butter", "name": "Peanut butter, natural", "grams": 20.0, "note": ""}, {"ingredient_id": "vanilla_extract", "name": "Vanilla extract", "grams": 2.0, "note": ""}]</t>
        </is>
      </c>
      <c r="N1375" s="2" t="n">
        <v>168</v>
      </c>
      <c r="O1375" s="5" t="n">
        <v>3.8</v>
      </c>
      <c r="P1375" s="5" t="n">
        <v>5.4</v>
      </c>
      <c r="Q1375" s="5" t="n">
        <v>29.7</v>
      </c>
      <c r="R1375" s="5" t="n">
        <v>3.7</v>
      </c>
      <c r="S1375" s="5" t="n">
        <v>26</v>
      </c>
      <c r="T1375" s="2" t="n">
        <v>49</v>
      </c>
      <c r="U1375" s="2" t="inlineStr">
        <is>
          <t>low</t>
        </is>
      </c>
      <c r="V1375" s="5" t="n">
        <v>12.7</v>
      </c>
      <c r="W1375" s="2" t="inlineStr">
        <is>
          <t>medium</t>
        </is>
      </c>
      <c r="X1375" s="3" t="inlineStr"/>
      <c r="Y1375" s="3" t="inlineStr">
        <is>
          <t>94% of this dish's available carbohydrate comes from ingredients with a published, measured GI; the rest uses conventional placeholders (see Ingredients sheet)</t>
        </is>
      </c>
      <c r="Z1375" s="2" t="n">
        <v>94</v>
      </c>
      <c r="AA1375" s="3" t="inlineStr">
        <is>
          <t>vegan, gluten-free, dairy-free, no-cook</t>
        </is>
      </c>
      <c r="AB1375" s="3" t="inlineStr">
        <is>
          <t>1. Blend frozen banana slices with peanut butter and vanilla until creamy.</t>
        </is>
      </c>
      <c r="AC1375" s="4" t="inlineStr">
        <is>
          <t>["Blend frozen banana slices with peanut butter and vanilla until creamy."]</t>
        </is>
      </c>
    </row>
    <row r="1376" ht="96" customHeight="1">
      <c r="A1376" s="2" t="inlineStr">
        <is>
          <t>DB-1375</t>
        </is>
      </c>
      <c r="B1376" s="3" t="inlineStr">
        <is>
          <t>Strawberry Frozen Yogurt Bark</t>
        </is>
      </c>
      <c r="C1376" s="4" t="inlineStr">
        <is>
          <t>Dessert</t>
        </is>
      </c>
      <c r="D1376" s="4" t="inlineStr">
        <is>
          <t>American</t>
        </is>
      </c>
      <c r="E1376" s="2" t="n">
        <v>8</v>
      </c>
      <c r="F1376" s="2" t="n">
        <v>10</v>
      </c>
      <c r="G1376" s="2" t="n">
        <v>0</v>
      </c>
      <c r="H1376" s="2" t="n">
        <v>10</v>
      </c>
      <c r="I1376" s="4" t="inlineStr">
        <is>
          <t>strawberry-frozen-yogurt-bark.jpg</t>
        </is>
      </c>
      <c r="J1376" s="3" t="inlineStr">
        <is>
          <t>Strawberry Frozen Yogurt Bark, healthy food photography, plated, natural light</t>
        </is>
      </c>
      <c r="K1376" s="4" t="inlineStr"/>
      <c r="L1376" s="3" t="inlineStr">
        <is>
          <t>Greek yogurt, plain 2% — 400 g (14.1 oz)
Strawberries — 200 g (7.1 oz)
Pistachios, shelled — 30 g (1.1 oz)
Vanilla extract — 3 g (0.1 oz)
Monk fruit/erythritol sweetener — 6 g (0.2 oz)</t>
        </is>
      </c>
      <c r="M1376" s="4" t="inlineStr">
        <is>
          <t>[{"ingredient_id": "greek_yogurt", "name": "Greek yogurt, plain 2%", "grams": 400.0, "note": ""}, {"ingredient_id": "strawberries", "name": "Strawberries", "grams": 200.0, "note": ""}, {"ingredient_id": "pistachios", "name": "Pistachios, shelled", "grams": 30.0, "note": ""}, {"ingredient_id": "vanilla_extract", "name": "Vanilla extract", "grams": 3.0, "note": ""}, {"ingredient_id": "monk_fruit_sweetener", "name": "Monk fruit/erythritol sweetener", "grams": 6.0, "note": ""}]</t>
        </is>
      </c>
      <c r="N1376" s="2" t="n">
        <v>67</v>
      </c>
      <c r="O1376" s="5" t="n">
        <v>5.9</v>
      </c>
      <c r="P1376" s="5" t="n">
        <v>2.8</v>
      </c>
      <c r="Q1376" s="5" t="n">
        <v>5</v>
      </c>
      <c r="R1376" s="5" t="n">
        <v>0.9</v>
      </c>
      <c r="S1376" s="5" t="n">
        <v>4.1</v>
      </c>
      <c r="T1376" s="2" t="n">
        <v>24</v>
      </c>
      <c r="U1376" s="2" t="inlineStr">
        <is>
          <t>low</t>
        </is>
      </c>
      <c r="V1376" s="5" t="n">
        <v>1</v>
      </c>
      <c r="W1376" s="2" t="inlineStr">
        <is>
          <t>low</t>
        </is>
      </c>
      <c r="X1376" s="3" t="inlineStr">
        <is>
          <t>Negligible carbohydrate (&lt;5 g net/serving): GI has little practical meaning, glycemic load is what matters.</t>
        </is>
      </c>
      <c r="Y1376" s="3" t="inlineStr">
        <is>
          <t>99% of this dish's available carbohydrate comes from ingredients with a published, measured GI; the rest uses conventional placeholders (see Ingredients sheet)</t>
        </is>
      </c>
      <c r="Z1376" s="2" t="n">
        <v>99</v>
      </c>
      <c r="AA1376" s="3" t="inlineStr">
        <is>
          <t>vegetarian, gluten-free, low-carb, no-cook</t>
        </is>
      </c>
      <c r="AB1376" s="3" t="inlineStr">
        <is>
          <t>1. Stir the vanilla and sweetener into the yogurt and spread on a lined tray.
2. Top with chopped strawberries and pistachios.
3. Freeze 3 hours and break into pieces.</t>
        </is>
      </c>
      <c r="AC1376" s="4" t="inlineStr">
        <is>
          <t>["Stir the vanilla and sweetener into the yogurt and spread on a lined tray.", "Top with chopped strawberries and pistachios.", "Freeze 3 hours and break into pieces."]</t>
        </is>
      </c>
    </row>
    <row r="1377" ht="96" customHeight="1">
      <c r="A1377" s="2" t="inlineStr">
        <is>
          <t>DB-1376</t>
        </is>
      </c>
      <c r="B1377" s="3" t="inlineStr">
        <is>
          <t>Mixed Berry Chia Jam Parfait</t>
        </is>
      </c>
      <c r="C1377" s="4" t="inlineStr">
        <is>
          <t>Dessert</t>
        </is>
      </c>
      <c r="D1377" s="4" t="inlineStr">
        <is>
          <t>American</t>
        </is>
      </c>
      <c r="E1377" s="2" t="n">
        <v>4</v>
      </c>
      <c r="F1377" s="2" t="n">
        <v>10</v>
      </c>
      <c r="G1377" s="2" t="n">
        <v>8</v>
      </c>
      <c r="H1377" s="2" t="n">
        <v>18</v>
      </c>
      <c r="I1377" s="4" t="inlineStr">
        <is>
          <t>mixed-berry-chia-jam-parfait.jpg</t>
        </is>
      </c>
      <c r="J1377" s="3" t="inlineStr">
        <is>
          <t>Mixed Berry Chia Jam Parfait, healthy food photography, plated, natural light</t>
        </is>
      </c>
      <c r="K1377" s="4" t="inlineStr"/>
      <c r="L1377" s="3" t="inlineStr">
        <is>
          <t>Mixed berries, frozen — 300 g (10.6 oz)
Chia seeds — 30 g (1.1 oz)
Greek yogurt, plain 2% — 300 g (10.6 oz)
Vanilla extract — 3 g (0.1 oz)
Almonds — 20 g (0.7 oz)</t>
        </is>
      </c>
      <c r="M1377" s="4" t="inlineStr">
        <is>
          <t>[{"ingredient_id": "mixed_berries", "name": "Mixed berries, frozen", "grams": 300.0, "note": ""}, {"ingredient_id": "chia_seeds", "name": "Chia seeds", "grams": 30.0, "note": ""}, {"ingredient_id": "greek_yogurt", "name": "Greek yogurt, plain 2%", "grams": 300.0, "note": ""}, {"ingredient_id": "vanilla_extract", "name": "Vanilla extract", "grams": 3.0, "note": ""}, {"ingredient_id": "almonds", "name": "Almonds", "grams": 20.0, "note": ""}]</t>
        </is>
      </c>
      <c r="N1377" s="2" t="n">
        <v>156</v>
      </c>
      <c r="O1377" s="5" t="n">
        <v>10.4</v>
      </c>
      <c r="P1377" s="5" t="n">
        <v>6.6</v>
      </c>
      <c r="Q1377" s="5" t="n">
        <v>15.6</v>
      </c>
      <c r="R1377" s="5" t="n">
        <v>6.2</v>
      </c>
      <c r="S1377" s="5" t="n">
        <v>9.4</v>
      </c>
      <c r="T1377" s="2" t="n">
        <v>28</v>
      </c>
      <c r="U1377" s="2" t="inlineStr">
        <is>
          <t>low</t>
        </is>
      </c>
      <c r="V1377" s="5" t="n">
        <v>2.6</v>
      </c>
      <c r="W1377" s="2" t="inlineStr">
        <is>
          <t>low</t>
        </is>
      </c>
      <c r="X1377" s="3" t="inlineStr"/>
      <c r="Y1377" s="3" t="inlineStr">
        <is>
          <t>32% of this dish's available carbohydrate comes from ingredients with a published, measured GI; the rest uses conventional placeholders (see Ingredients sheet)</t>
        </is>
      </c>
      <c r="Z1377" s="2" t="n">
        <v>32</v>
      </c>
      <c r="AA1377" s="3" t="inlineStr">
        <is>
          <t>vegetarian, gluten-free, low-carb</t>
        </is>
      </c>
      <c r="AB1377" s="3" t="inlineStr">
        <is>
          <t>1. Mash and warm the berries and stir in the chia; chill into a jam.
2. Layer yogurt and jam in glasses.
3. Top with chopped almonds.</t>
        </is>
      </c>
      <c r="AC1377" s="4" t="inlineStr">
        <is>
          <t>["Mash and warm the berries and stir in the chia; chill into a jam.", "Layer yogurt and jam in glasses.", "Top with chopped almonds."]</t>
        </is>
      </c>
    </row>
    <row r="1378" ht="96" customHeight="1">
      <c r="A1378" s="2" t="inlineStr">
        <is>
          <t>DB-1377</t>
        </is>
      </c>
      <c r="B1378" s="3" t="inlineStr">
        <is>
          <t>Sweet Potato Brownie Bites</t>
        </is>
      </c>
      <c r="C1378" s="4" t="inlineStr">
        <is>
          <t>Dessert</t>
        </is>
      </c>
      <c r="D1378" s="4" t="inlineStr">
        <is>
          <t>American</t>
        </is>
      </c>
      <c r="E1378" s="2" t="n">
        <v>12</v>
      </c>
      <c r="F1378" s="2" t="n">
        <v>10</v>
      </c>
      <c r="G1378" s="2" t="n">
        <v>20</v>
      </c>
      <c r="H1378" s="2" t="n">
        <v>30</v>
      </c>
      <c r="I1378" s="4" t="inlineStr">
        <is>
          <t>sweet-potato-brownie-bites.jpg</t>
        </is>
      </c>
      <c r="J1378" s="3" t="inlineStr">
        <is>
          <t>Sweet Potato Brownie Bites, healthy food photography, plated, natural light</t>
        </is>
      </c>
      <c r="K1378" s="4" t="inlineStr"/>
      <c r="L1378" s="3" t="inlineStr">
        <is>
          <t>Sweet potato, boiled/simmered — 250 g (8.8 oz)
Almond butter — 100 g (3.5 oz)
Cocoa powder, unsweetened — 30 g (1.1 oz)
Egg, large (50 g each) — 50 g (1.8 oz)
Baking powder — 3 g (0.1 oz)
Vanilla extract — 4 g (0.1 oz)
Stevia-sweetened dark chocolate chips — 30 g (1.1 oz)</t>
        </is>
      </c>
      <c r="M1378" s="4" t="inlineStr">
        <is>
          <t>[{"ingredient_id": "sweet_potato", "name": "Sweet potato, boiled/simmered", "grams": 250.0, "note": ""}, {"ingredient_id": "almond_butter", "name": "Almond butter", "grams": 100.0, "note": ""}, {"ingredient_id": "cocoa_powder", "name": "Cocoa powder, unsweetened", "grams": 30.0, "note": ""}, {"ingredient_id": "egg", "name": "Egg, large (50 g each)", "grams": 50.0, "note": ""}, {"ingredient_id": "baking_powder", "name": "Baking powder", "grams": 3.0, "note": ""}, {"ingredient_id": "vanilla_extract", "name": "Vanilla extract", "grams": 4.0, "note": ""}, {"ingredient_id": "sugar_free_chocolate_chips", "name": "Stevia-sweetened dark chocolate chips", "grams": 30.0, "note": ""}]</t>
        </is>
      </c>
      <c r="N1378" s="2" t="n">
        <v>94</v>
      </c>
      <c r="O1378" s="5" t="n">
        <v>3.3</v>
      </c>
      <c r="P1378" s="5" t="n">
        <v>6.5</v>
      </c>
      <c r="Q1378" s="5" t="n">
        <v>7.8</v>
      </c>
      <c r="R1378" s="5" t="n">
        <v>2.6</v>
      </c>
      <c r="S1378" s="5" t="n">
        <v>5.3</v>
      </c>
      <c r="T1378" s="2" t="n">
        <v>36</v>
      </c>
      <c r="U1378" s="2" t="inlineStr">
        <is>
          <t>low</t>
        </is>
      </c>
      <c r="V1378" s="5" t="n">
        <v>1.9</v>
      </c>
      <c r="W1378" s="2" t="inlineStr">
        <is>
          <t>low</t>
        </is>
      </c>
      <c r="X1378" s="3" t="inlineStr"/>
      <c r="Y1378" s="3" t="inlineStr">
        <is>
          <t>71% of this dish's available carbohydrate comes from ingredients with a published, measured GI; the rest uses conventional placeholders (see Ingredients sheet)</t>
        </is>
      </c>
      <c r="Z1378" s="2" t="n">
        <v>71</v>
      </c>
      <c r="AA1378" s="3" t="inlineStr">
        <is>
          <t>vegetarian, gluten-free, dairy-free, low-carb</t>
        </is>
      </c>
      <c r="AB1378" s="3" t="inlineStr">
        <is>
          <t>1. Mash the cooked sweet potato with almond butter, egg, cocoa, baking powder and vanilla.
2. Fold in the chocolate chips.
3. Bake in a mini tin at 350°F for 18 to 20 minutes.</t>
        </is>
      </c>
      <c r="AC1378" s="4" t="inlineStr">
        <is>
          <t>["Mash the cooked sweet potato with almond butter, egg, cocoa, baking powder and vanilla.", "Fold in the chocolate chips.", "Bake in a mini tin at 350°F for 18 to 20 minutes."]</t>
        </is>
      </c>
    </row>
    <row r="1379" ht="96" customHeight="1">
      <c r="A1379" s="2" t="inlineStr">
        <is>
          <t>DB-1378</t>
        </is>
      </c>
      <c r="B1379" s="3" t="inlineStr">
        <is>
          <t>Cinnamon Baked Apple Chips</t>
        </is>
      </c>
      <c r="C1379" s="4" t="inlineStr">
        <is>
          <t>Snack &amp; Appetizer</t>
        </is>
      </c>
      <c r="D1379" s="4" t="inlineStr">
        <is>
          <t>American</t>
        </is>
      </c>
      <c r="E1379" s="2" t="n">
        <v>4</v>
      </c>
      <c r="F1379" s="2" t="n">
        <v>10</v>
      </c>
      <c r="G1379" s="2" t="n">
        <v>90</v>
      </c>
      <c r="H1379" s="2" t="n">
        <v>100</v>
      </c>
      <c r="I1379" s="4" t="inlineStr">
        <is>
          <t>cinnamon-baked-apple-chips.jpg</t>
        </is>
      </c>
      <c r="J1379" s="3" t="inlineStr">
        <is>
          <t>Cinnamon Baked Apple Chips, healthy food photography, plated, natural light</t>
        </is>
      </c>
      <c r="K1379" s="4" t="inlineStr"/>
      <c r="L1379" s="3" t="inlineStr">
        <is>
          <t>Apple — 500 g (17.6 oz)
Ground cinnamon — 3 g (0.1 oz)</t>
        </is>
      </c>
      <c r="M1379" s="4" t="inlineStr">
        <is>
          <t>[{"ingredient_id": "apple", "name": "Apple", "grams": 500.0, "note": ""}, {"ingredient_id": "cinnamon", "name": "Ground cinnamon", "grams": 3.0, "note": ""}]</t>
        </is>
      </c>
      <c r="N1379" s="2" t="n">
        <v>67</v>
      </c>
      <c r="O1379" s="5" t="n">
        <v>0.4</v>
      </c>
      <c r="P1379" s="5" t="n">
        <v>0.3</v>
      </c>
      <c r="Q1379" s="5" t="n">
        <v>18.1</v>
      </c>
      <c r="R1379" s="5" t="n">
        <v>3.4</v>
      </c>
      <c r="S1379" s="5" t="n">
        <v>14.7</v>
      </c>
      <c r="T1379" s="2" t="n">
        <v>36</v>
      </c>
      <c r="U1379" s="2" t="inlineStr">
        <is>
          <t>low</t>
        </is>
      </c>
      <c r="V1379" s="5" t="n">
        <v>5.3</v>
      </c>
      <c r="W1379" s="2" t="inlineStr">
        <is>
          <t>low</t>
        </is>
      </c>
      <c r="X1379" s="3" t="inlineStr"/>
      <c r="Y1379" s="3" t="inlineStr">
        <is>
          <t>99% of this dish's available carbohydrate comes from ingredients with a published, measured GI; the rest uses conventional placeholders (see Ingredients sheet)</t>
        </is>
      </c>
      <c r="Z1379" s="2" t="n">
        <v>99</v>
      </c>
      <c r="AA1379" s="3" t="inlineStr">
        <is>
          <t>vegan, gluten-free, dairy-free, nut-free, low-carb</t>
        </is>
      </c>
      <c r="AB1379" s="3" t="inlineStr">
        <is>
          <t>1. Slice the apples very thin.
2. Dust with cinnamon and arrange on lined trays.
3. Bake at 225°F for 80 to 90 minutes, turning once.</t>
        </is>
      </c>
      <c r="AC1379" s="4" t="inlineStr">
        <is>
          <t>["Slice the apples very thin.", "Dust with cinnamon and arrange on lined trays.", "Bake at 225°F for 80 to 90 minutes, turning once."]</t>
        </is>
      </c>
    </row>
    <row r="1380" ht="96" customHeight="1">
      <c r="A1380" s="2" t="inlineStr">
        <is>
          <t>DB-1379</t>
        </is>
      </c>
      <c r="B1380" s="3" t="inlineStr">
        <is>
          <t>Iced Coffee with Almond Milk and Cinnamon</t>
        </is>
      </c>
      <c r="C1380" s="4" t="inlineStr">
        <is>
          <t>Drinks &amp; Smoothies</t>
        </is>
      </c>
      <c r="D1380" s="4" t="inlineStr">
        <is>
          <t>American</t>
        </is>
      </c>
      <c r="E1380" s="2" t="n">
        <v>2</v>
      </c>
      <c r="F1380" s="2" t="n">
        <v>3</v>
      </c>
      <c r="G1380" s="2" t="n">
        <v>0</v>
      </c>
      <c r="H1380" s="2" t="n">
        <v>3</v>
      </c>
      <c r="I1380" s="4" t="inlineStr">
        <is>
          <t>iced-coffee-with-almond-milk-and-cinnamon.jpg</t>
        </is>
      </c>
      <c r="J1380" s="3" t="inlineStr">
        <is>
          <t>Iced Coffee with Almond Milk and Cinnamon, healthy food photography, plated, natural light</t>
        </is>
      </c>
      <c r="K1380" s="4" t="inlineStr"/>
      <c r="L1380" s="3" t="inlineStr">
        <is>
          <t>Brewed coffee / espresso — 400 g (14.1 oz)
Almond milk, unsweetened — 200 g (7.1 oz)
Ground cinnamon — 1 g (0.0 oz)
Vanilla extract — 2 g (0.1 oz)</t>
        </is>
      </c>
      <c r="M1380" s="4" t="inlineStr">
        <is>
          <t>[{"ingredient_id": "coffee", "name": "Brewed coffee / espresso", "grams": 400.0, "note": ""}, {"ingredient_id": "almond_milk", "name": "Almond milk, unsweetened", "grams": 200.0, "note": ""}, {"ingredient_id": "cinnamon", "name": "Ground cinnamon", "grams": 1.0, "note": ""}, {"ingredient_id": "vanilla_extract", "name": "Vanilla extract", "grams": 2.0, "note": ""}]</t>
        </is>
      </c>
      <c r="N1380" s="2" t="n">
        <v>21</v>
      </c>
      <c r="O1380" s="5" t="n">
        <v>0.8</v>
      </c>
      <c r="P1380" s="5" t="n">
        <v>1.2</v>
      </c>
      <c r="Q1380" s="5" t="n">
        <v>1.1</v>
      </c>
      <c r="R1380" s="5" t="n">
        <v>0.3</v>
      </c>
      <c r="S1380" s="5" t="n">
        <v>0.9</v>
      </c>
      <c r="T1380" s="2" t="n">
        <v>18</v>
      </c>
      <c r="U1380" s="2" t="inlineStr">
        <is>
          <t>low</t>
        </is>
      </c>
      <c r="V1380" s="5" t="n">
        <v>0.2</v>
      </c>
      <c r="W1380" s="2" t="inlineStr">
        <is>
          <t>low</t>
        </is>
      </c>
      <c r="X1380" s="3" t="inlineStr">
        <is>
          <t>Negligible carbohydrate (&lt;5 g net/serving): GI has little practical meaning, glycemic load is what matters.</t>
        </is>
      </c>
      <c r="Y1380" s="3" t="inlineStr">
        <is>
          <t>0% of this dish's available carbohydrate comes from ingredients with a published, measured GI; the rest uses conventional placeholders (see Ingredients sheet)</t>
        </is>
      </c>
      <c r="Z1380" s="2" t="n">
        <v>0</v>
      </c>
      <c r="AA1380" s="3" t="inlineStr">
        <is>
          <t>vegan, gluten-free, dairy-free, low-carb, no-cook</t>
        </is>
      </c>
      <c r="AB1380" s="3" t="inlineStr">
        <is>
          <t>1. Stir the cooled coffee with almond milk, cinnamon and vanilla.
2. Serve over ice.</t>
        </is>
      </c>
      <c r="AC1380" s="4" t="inlineStr">
        <is>
          <t>["Stir the cooled coffee with almond milk, cinnamon and vanilla.", "Serve over ice."]</t>
        </is>
      </c>
    </row>
    <row r="1381" ht="96" customHeight="1">
      <c r="A1381" s="2" t="inlineStr">
        <is>
          <t>DB-1380</t>
        </is>
      </c>
      <c r="B1381" s="3" t="inlineStr">
        <is>
          <t>Cold Brew with Cream</t>
        </is>
      </c>
      <c r="C1381" s="4" t="inlineStr">
        <is>
          <t>Drinks &amp; Smoothies</t>
        </is>
      </c>
      <c r="D1381" s="4" t="inlineStr">
        <is>
          <t>American</t>
        </is>
      </c>
      <c r="E1381" s="2" t="n">
        <v>2</v>
      </c>
      <c r="F1381" s="2" t="n">
        <v>2</v>
      </c>
      <c r="G1381" s="2" t="n">
        <v>0</v>
      </c>
      <c r="H1381" s="2" t="n">
        <v>2</v>
      </c>
      <c r="I1381" s="4" t="inlineStr">
        <is>
          <t>cold-brew-with-cream.jpg</t>
        </is>
      </c>
      <c r="J1381" s="3" t="inlineStr">
        <is>
          <t>Cold Brew with Cream, healthy food photography, plated, natural light</t>
        </is>
      </c>
      <c r="K1381" s="4" t="inlineStr"/>
      <c r="L1381" s="3" t="inlineStr">
        <is>
          <t>Brewed coffee / espresso — 400 g (14.1 oz)
Heavy cream — 30 g (1.1 oz)
Stevia (liquid) — 1 g (0.0 oz)</t>
        </is>
      </c>
      <c r="M1381" s="4" t="inlineStr">
        <is>
          <t>[{"ingredient_id": "coffee", "name": "Brewed coffee / espresso", "grams": 400.0, "note": ""}, {"ingredient_id": "heavy_cream", "name": "Heavy cream", "grams": 30.0, "note": ""}, {"ingredient_id": "stevia", "name": "Stevia (liquid)", "grams": 1.0, "note": ""}]</t>
        </is>
      </c>
      <c r="N1381" s="2" t="n">
        <v>53</v>
      </c>
      <c r="O1381" s="5" t="n">
        <v>0.5</v>
      </c>
      <c r="P1381" s="5" t="n">
        <v>5.4</v>
      </c>
      <c r="Q1381" s="5" t="n">
        <v>0.4</v>
      </c>
      <c r="R1381" s="5" t="n">
        <v>0</v>
      </c>
      <c r="S1381" s="5" t="n">
        <v>0.4</v>
      </c>
      <c r="T1381" s="2" t="n">
        <v>0</v>
      </c>
      <c r="U1381" s="2" t="inlineStr">
        <is>
          <t>low</t>
        </is>
      </c>
      <c r="V1381" s="5" t="n">
        <v>0</v>
      </c>
      <c r="W1381" s="2" t="inlineStr">
        <is>
          <t>low</t>
        </is>
      </c>
      <c r="X1381" s="3" t="inlineStr">
        <is>
          <t>Negligible carbohydrate (&lt;5 g net/serving): GI has little practical meaning, glycemic load is what matters.</t>
        </is>
      </c>
      <c r="Y1381" s="3" t="inlineStr">
        <is>
          <t>0% of this dish's available carbohydrate comes from ingredients with a published, measured GI; the rest uses conventional placeholders (see Ingredients sheet)</t>
        </is>
      </c>
      <c r="Z1381" s="2" t="n">
        <v>0</v>
      </c>
      <c r="AA1381" s="3" t="inlineStr">
        <is>
          <t>vegetarian, gluten-free, nut-free, low-carb, no-cook</t>
        </is>
      </c>
      <c r="AB1381" s="3" t="inlineStr">
        <is>
          <t>1. Pour the cold brew over ice.
2. Top with the cream and a little stevia.</t>
        </is>
      </c>
      <c r="AC1381" s="4" t="inlineStr">
        <is>
          <t>["Pour the cold brew over ice.", "Top with the cream and a little stevia."]</t>
        </is>
      </c>
    </row>
    <row r="1382" ht="96" customHeight="1">
      <c r="A1382" s="2" t="inlineStr">
        <is>
          <t>DB-1381</t>
        </is>
      </c>
      <c r="B1382" s="3" t="inlineStr">
        <is>
          <t>Homemade Hot Cocoa with Almond Milk</t>
        </is>
      </c>
      <c r="C1382" s="4" t="inlineStr">
        <is>
          <t>Drinks &amp; Smoothies</t>
        </is>
      </c>
      <c r="D1382" s="4" t="inlineStr">
        <is>
          <t>American</t>
        </is>
      </c>
      <c r="E1382" s="2" t="n">
        <v>2</v>
      </c>
      <c r="F1382" s="2" t="n">
        <v>3</v>
      </c>
      <c r="G1382" s="2" t="n">
        <v>5</v>
      </c>
      <c r="H1382" s="2" t="n">
        <v>8</v>
      </c>
      <c r="I1382" s="4" t="inlineStr">
        <is>
          <t>homemade-hot-cocoa-with-almond-milk.jpg</t>
        </is>
      </c>
      <c r="J1382" s="3" t="inlineStr">
        <is>
          <t>Homemade Hot Cocoa with Almond Milk, healthy food photography, plated, natural light</t>
        </is>
      </c>
      <c r="K1382" s="4" t="inlineStr"/>
      <c r="L1382" s="3" t="inlineStr">
        <is>
          <t>Almond milk, unsweetened — 500 g (17.6 oz)
Cocoa powder, unsweetened — 15 g (0.5 oz)
Monk fruit/erythritol sweetener — 6 g (0.2 oz)
Vanilla extract — 2 g (0.1 oz)
Ground cinnamon — 1 g (0.0 oz)</t>
        </is>
      </c>
      <c r="M1382" s="4" t="inlineStr">
        <is>
          <t>[{"ingredient_id": "almond_milk", "name": "Almond milk, unsweetened", "grams": 500.0, "note": ""}, {"ingredient_id": "cocoa_powder", "name": "Cocoa powder, unsweetened", "grams": 15.0, "note": ""}, {"ingredient_id": "monk_fruit_sweetener", "name": "Monk fruit/erythritol sweetener", "grams": 6.0, "note": ""}, {"ingredient_id": "vanilla_extract", "name": "Vanilla extract", "grams": 2.0, "note": ""}, {"ingredient_id": "cinnamon", "name": "Ground cinnamon", "grams": 1.0, "note": ""}]</t>
        </is>
      </c>
      <c r="N1382" s="2" t="n">
        <v>59</v>
      </c>
      <c r="O1382" s="5" t="n">
        <v>3</v>
      </c>
      <c r="P1382" s="5" t="n">
        <v>4.1</v>
      </c>
      <c r="Q1382" s="5" t="n">
        <v>6.4</v>
      </c>
      <c r="R1382" s="5" t="n">
        <v>2.7</v>
      </c>
      <c r="S1382" s="5" t="n">
        <v>3.6</v>
      </c>
      <c r="T1382" s="2" t="n">
        <v>21</v>
      </c>
      <c r="U1382" s="2" t="inlineStr">
        <is>
          <t>low</t>
        </is>
      </c>
      <c r="V1382" s="5" t="n">
        <v>0.8</v>
      </c>
      <c r="W1382" s="2" t="inlineStr">
        <is>
          <t>low</t>
        </is>
      </c>
      <c r="X1382" s="3" t="inlineStr">
        <is>
          <t>Negligible carbohydrate (&lt;5 g net/serving): GI has little practical meaning, glycemic load is what matters.</t>
        </is>
      </c>
      <c r="Y1382" s="3" t="inlineStr">
        <is>
          <t>0% of this dish's available carbohydrate comes from ingredients with a published, measured GI; the rest uses conventional placeholders (see Ingredients sheet)</t>
        </is>
      </c>
      <c r="Z1382" s="2" t="n">
        <v>0</v>
      </c>
      <c r="AA1382" s="3" t="inlineStr">
        <is>
          <t>vegan, gluten-free, dairy-free, low-carb</t>
        </is>
      </c>
      <c r="AB1382" s="3" t="inlineStr">
        <is>
          <t>1. Warm the almond milk and whisk in the cocoa, sweetener, vanilla and cinnamon.</t>
        </is>
      </c>
      <c r="AC1382" s="4" t="inlineStr">
        <is>
          <t>["Warm the almond milk and whisk in the cocoa, sweetener, vanilla and cinnamon."]</t>
        </is>
      </c>
    </row>
    <row r="1383" ht="96" customHeight="1">
      <c r="A1383" s="2" t="inlineStr">
        <is>
          <t>DB-1382</t>
        </is>
      </c>
      <c r="B1383" s="3" t="inlineStr">
        <is>
          <t>Strawberry Banana Smoothie with Yogurt</t>
        </is>
      </c>
      <c r="C1383" s="4" t="inlineStr">
        <is>
          <t>Drinks &amp; Smoothies</t>
        </is>
      </c>
      <c r="D1383" s="4" t="inlineStr">
        <is>
          <t>American</t>
        </is>
      </c>
      <c r="E1383" s="2" t="n">
        <v>2</v>
      </c>
      <c r="F1383" s="2" t="n">
        <v>5</v>
      </c>
      <c r="G1383" s="2" t="n">
        <v>0</v>
      </c>
      <c r="H1383" s="2" t="n">
        <v>5</v>
      </c>
      <c r="I1383" s="4" t="inlineStr">
        <is>
          <t>strawberry-banana-smoothie-with-yogurt.jpg</t>
        </is>
      </c>
      <c r="J1383" s="3" t="inlineStr">
        <is>
          <t>Strawberry Banana Smoothie with Yogurt, healthy food photography, plated, natural light</t>
        </is>
      </c>
      <c r="K1383" s="4" t="inlineStr"/>
      <c r="L1383" s="3" t="inlineStr">
        <is>
          <t>Strawberries — 150 g (5.3 oz)
Banana (small amount) — 100 g (3.5 oz)
Greek yogurt, plain 2% — 200 g (7.1 oz)
Milk, 2% — 150 g (5.3 oz)</t>
        </is>
      </c>
      <c r="M1383" s="4" t="inlineStr">
        <is>
          <t>[{"ingredient_id": "strawberries", "name": "Strawberries", "grams": 150.0, "note": ""}, {"ingredient_id": "banana", "name": "Banana (small amount)", "grams": 100.0, "note": ""}, {"ingredient_id": "greek_yogurt", "name": "Greek yogurt, plain 2%", "grams": 200.0, "note": ""}, {"ingredient_id": "milk", "name": "Milk, 2%", "grams": 150.0, "note": ""}]</t>
        </is>
      </c>
      <c r="N1383" s="2" t="n">
        <v>179</v>
      </c>
      <c r="O1383" s="5" t="n">
        <v>13.5</v>
      </c>
      <c r="P1383" s="5" t="n">
        <v>3.9</v>
      </c>
      <c r="Q1383" s="5" t="n">
        <v>24.9</v>
      </c>
      <c r="R1383" s="5" t="n">
        <v>2.8</v>
      </c>
      <c r="S1383" s="5" t="n">
        <v>22.1</v>
      </c>
      <c r="T1383" s="2" t="n">
        <v>38</v>
      </c>
      <c r="U1383" s="2" t="inlineStr">
        <is>
          <t>low</t>
        </is>
      </c>
      <c r="V1383" s="5" t="n">
        <v>8.4</v>
      </c>
      <c r="W1383" s="2" t="inlineStr">
        <is>
          <t>low</t>
        </is>
      </c>
      <c r="X1383" s="3" t="inlineStr"/>
      <c r="Y1383" s="3" t="inlineStr">
        <is>
          <t>100% of this dish's available carbohydrate comes from ingredients with a published, measured GI; the rest uses conventional placeholders (see Ingredients sheet)</t>
        </is>
      </c>
      <c r="Z1383" s="2" t="n">
        <v>100</v>
      </c>
      <c r="AA1383" s="3" t="inlineStr">
        <is>
          <t>vegetarian, gluten-free, nut-free, no-cook</t>
        </is>
      </c>
      <c r="AB1383" s="3" t="inlineStr">
        <is>
          <t>1. Blend everything until smooth.</t>
        </is>
      </c>
      <c r="AC1383" s="4" t="inlineStr">
        <is>
          <t>["Blend everything until smooth."]</t>
        </is>
      </c>
    </row>
    <row r="1384" ht="96" customHeight="1">
      <c r="A1384" s="2" t="inlineStr">
        <is>
          <t>DB-1383</t>
        </is>
      </c>
      <c r="B1384" s="3" t="inlineStr">
        <is>
          <t>Peach Ginger Smoothie</t>
        </is>
      </c>
      <c r="C1384" s="4" t="inlineStr">
        <is>
          <t>Drinks &amp; Smoothies</t>
        </is>
      </c>
      <c r="D1384" s="4" t="inlineStr">
        <is>
          <t>American</t>
        </is>
      </c>
      <c r="E1384" s="2" t="n">
        <v>2</v>
      </c>
      <c r="F1384" s="2" t="n">
        <v>5</v>
      </c>
      <c r="G1384" s="2" t="n">
        <v>0</v>
      </c>
      <c r="H1384" s="2" t="n">
        <v>5</v>
      </c>
      <c r="I1384" s="4" t="inlineStr">
        <is>
          <t>peach-ginger-smoothie.jpg</t>
        </is>
      </c>
      <c r="J1384" s="3" t="inlineStr">
        <is>
          <t>Peach Ginger Smoothie, healthy food photography, plated, natural light</t>
        </is>
      </c>
      <c r="K1384" s="4" t="inlineStr"/>
      <c r="L1384" s="3" t="inlineStr">
        <is>
          <t>Peach — 200 g (7.1 oz)
Greek yogurt, plain 2% — 200 g (7.1 oz)
Fresh ginger — 5 g (0.2 oz)
Almond milk, unsweetened — 150 g (5.3 oz)
Ground cinnamon — 1 g (0.0 oz)</t>
        </is>
      </c>
      <c r="M1384" s="4" t="inlineStr">
        <is>
          <t>[{"ingredient_id": "peach", "name": "Peach", "grams": 200.0, "note": ""}, {"ingredient_id": "greek_yogurt", "name": "Greek yogurt, plain 2%", "grams": 200.0, "note": ""}, {"ingredient_id": "ginger", "name": "Fresh ginger", "grams": 5.0, "note": ""}, {"ingredient_id": "almond_milk", "name": "Almond milk, unsweetened", "grams": 150.0, "note": ""}, {"ingredient_id": "cinnamon", "name": "Ground cinnamon", "grams": 1.0, "note": ""}]</t>
        </is>
      </c>
      <c r="N1384" s="2" t="n">
        <v>126</v>
      </c>
      <c r="O1384" s="5" t="n">
        <v>11.4</v>
      </c>
      <c r="P1384" s="5" t="n">
        <v>3.2</v>
      </c>
      <c r="Q1384" s="5" t="n">
        <v>14.8</v>
      </c>
      <c r="R1384" s="5" t="n">
        <v>1.8</v>
      </c>
      <c r="S1384" s="5" t="n">
        <v>13</v>
      </c>
      <c r="T1384" s="2" t="n">
        <v>40</v>
      </c>
      <c r="U1384" s="2" t="inlineStr">
        <is>
          <t>low</t>
        </is>
      </c>
      <c r="V1384" s="5" t="n">
        <v>5.2</v>
      </c>
      <c r="W1384" s="2" t="inlineStr">
        <is>
          <t>low</t>
        </is>
      </c>
      <c r="X1384" s="3" t="inlineStr"/>
      <c r="Y1384" s="3" t="inlineStr">
        <is>
          <t>92% of this dish's available carbohydrate comes from ingredients with a published, measured GI; the rest uses conventional placeholders (see Ingredients sheet)</t>
        </is>
      </c>
      <c r="Z1384" s="2" t="n">
        <v>92</v>
      </c>
      <c r="AA1384" s="3" t="inlineStr">
        <is>
          <t>vegetarian, gluten-free, low-carb, no-cook</t>
        </is>
      </c>
      <c r="AB1384" s="3" t="inlineStr">
        <is>
          <t>1. Blend everything until smooth.</t>
        </is>
      </c>
      <c r="AC1384" s="4" t="inlineStr">
        <is>
          <t>["Blend everything until smooth."]</t>
        </is>
      </c>
    </row>
    <row r="1385" ht="96" customHeight="1">
      <c r="A1385" s="2" t="inlineStr">
        <is>
          <t>DB-1384</t>
        </is>
      </c>
      <c r="B1385" s="3" t="inlineStr">
        <is>
          <t>Tropical Green Smoothie</t>
        </is>
      </c>
      <c r="C1385" s="4" t="inlineStr">
        <is>
          <t>Drinks &amp; Smoothies</t>
        </is>
      </c>
      <c r="D1385" s="4" t="inlineStr">
        <is>
          <t>American</t>
        </is>
      </c>
      <c r="E1385" s="2" t="n">
        <v>2</v>
      </c>
      <c r="F1385" s="2" t="n">
        <v>5</v>
      </c>
      <c r="G1385" s="2" t="n">
        <v>0</v>
      </c>
      <c r="H1385" s="2" t="n">
        <v>5</v>
      </c>
      <c r="I1385" s="4" t="inlineStr">
        <is>
          <t>tropical-green-smoothie.jpg</t>
        </is>
      </c>
      <c r="J1385" s="3" t="inlineStr">
        <is>
          <t>Tropical Green Smoothie, healthy food photography, plated, natural light</t>
        </is>
      </c>
      <c r="K1385" s="4" t="inlineStr"/>
      <c r="L1385" s="3" t="inlineStr">
        <is>
          <t>Spinach — 60 g (2.1 oz)
Pineapple — 120 g (4.2 oz)
Mango — 80 g (2.8 oz)
Coconut milk, canned light — 250 g (8.8 oz)
Lime juice — 10 g (0.4 oz)</t>
        </is>
      </c>
      <c r="M1385" s="4" t="inlineStr">
        <is>
          <t>[{"ingredient_id": "spinach", "name": "Spinach", "grams": 60.0, "note": ""}, {"ingredient_id": "pineapple", "name": "Pineapple", "grams": 120.0, "note": ""}, {"ingredient_id": "mango", "name": "Mango", "grams": 80.0, "note": ""}, {"ingredient_id": "coconut_milk_light", "name": "Coconut milk, canned light", "grams": 250.0, "note": ""}, {"ingredient_id": "lime_juice", "name": "Lime juice", "grams": 10.0, "note": ""}]</t>
        </is>
      </c>
      <c r="N1385" s="2" t="n">
        <v>147</v>
      </c>
      <c r="O1385" s="5" t="n">
        <v>2.4</v>
      </c>
      <c r="P1385" s="5" t="n">
        <v>7.8</v>
      </c>
      <c r="Q1385" s="5" t="n">
        <v>18.4</v>
      </c>
      <c r="R1385" s="5" t="n">
        <v>2.2</v>
      </c>
      <c r="S1385" s="5" t="n">
        <v>16.3</v>
      </c>
      <c r="T1385" s="2" t="n">
        <v>51</v>
      </c>
      <c r="U1385" s="2" t="inlineStr">
        <is>
          <t>low</t>
        </is>
      </c>
      <c r="V1385" s="5" t="n">
        <v>8.300000000000001</v>
      </c>
      <c r="W1385" s="2" t="inlineStr">
        <is>
          <t>low</t>
        </is>
      </c>
      <c r="X1385" s="3" t="inlineStr"/>
      <c r="Y1385" s="3" t="inlineStr">
        <is>
          <t>76% of this dish's available carbohydrate comes from ingredients with a published, measured GI; the rest uses conventional placeholders (see Ingredients sheet)</t>
        </is>
      </c>
      <c r="Z1385" s="2" t="n">
        <v>76</v>
      </c>
      <c r="AA1385" s="3" t="inlineStr">
        <is>
          <t>vegan, gluten-free, dairy-free, nut-free, no-cook</t>
        </is>
      </c>
      <c r="AB1385" s="3" t="inlineStr">
        <is>
          <t>1. Blend everything with ice until smooth.</t>
        </is>
      </c>
      <c r="AC1385" s="4" t="inlineStr">
        <is>
          <t>["Blend everything with ice until smooth."]</t>
        </is>
      </c>
    </row>
    <row r="1386" ht="96" customHeight="1">
      <c r="A1386" s="2" t="inlineStr">
        <is>
          <t>DB-1385</t>
        </is>
      </c>
      <c r="B1386" s="3" t="inlineStr">
        <is>
          <t>Chocolate Peanut Butter Smoothie</t>
        </is>
      </c>
      <c r="C1386" s="4" t="inlineStr">
        <is>
          <t>Drinks &amp; Smoothies</t>
        </is>
      </c>
      <c r="D1386" s="4" t="inlineStr">
        <is>
          <t>American</t>
        </is>
      </c>
      <c r="E1386" s="2" t="n">
        <v>2</v>
      </c>
      <c r="F1386" s="2" t="n">
        <v>5</v>
      </c>
      <c r="G1386" s="2" t="n">
        <v>0</v>
      </c>
      <c r="H1386" s="2" t="n">
        <v>5</v>
      </c>
      <c r="I1386" s="4" t="inlineStr">
        <is>
          <t>chocolate-peanut-butter-smoothie.jpg</t>
        </is>
      </c>
      <c r="J1386" s="3" t="inlineStr">
        <is>
          <t>Chocolate Peanut Butter Smoothie, healthy food photography, plated, natural light</t>
        </is>
      </c>
      <c r="K1386" s="4" t="inlineStr"/>
      <c r="L1386" s="3" t="inlineStr">
        <is>
          <t>Milk, 2% — 300 g (10.6 oz)
Banana (small amount) — 100 g (3.5 oz)
Peanut butter, natural — 30 g (1.1 oz)
Cocoa powder, unsweetened — 12 g (0.4 oz)
Greek yogurt, plain 2% — 100 g (3.5 oz)</t>
        </is>
      </c>
      <c r="M1386" s="4" t="inlineStr">
        <is>
          <t>[{"ingredient_id": "milk", "name": "Milk, 2%", "grams": 300.0, "note": ""}, {"ingredient_id": "banana", "name": "Banana (small amount)", "grams": 100.0, "note": ""}, {"ingredient_id": "peanut_butter", "name": "Peanut butter, natural", "grams": 30.0, "note": ""}, {"ingredient_id": "cocoa_powder", "name": "Cocoa powder, unsweetened", "grams": 12.0, "note": ""}, {"ingredient_id": "greek_yogurt", "name": "Greek yogurt, plain 2%", "grams": 100.0, "note": ""}]</t>
        </is>
      </c>
      <c r="N1386" s="2" t="n">
        <v>258</v>
      </c>
      <c r="O1386" s="5" t="n">
        <v>15.4</v>
      </c>
      <c r="P1386" s="5" t="n">
        <v>12.5</v>
      </c>
      <c r="Q1386" s="5" t="n">
        <v>27.2</v>
      </c>
      <c r="R1386" s="5" t="n">
        <v>4.2</v>
      </c>
      <c r="S1386" s="5" t="n">
        <v>23</v>
      </c>
      <c r="T1386" s="2" t="n">
        <v>35</v>
      </c>
      <c r="U1386" s="2" t="inlineStr">
        <is>
          <t>low</t>
        </is>
      </c>
      <c r="V1386" s="5" t="n">
        <v>8.1</v>
      </c>
      <c r="W1386" s="2" t="inlineStr">
        <is>
          <t>low</t>
        </is>
      </c>
      <c r="X1386" s="3" t="inlineStr"/>
      <c r="Y1386" s="3" t="inlineStr">
        <is>
          <t>84% of this dish's available carbohydrate comes from ingredients with a published, measured GI; the rest uses conventional placeholders (see Ingredients sheet)</t>
        </is>
      </c>
      <c r="Z1386" s="2" t="n">
        <v>84</v>
      </c>
      <c r="AA1386" s="3" t="inlineStr">
        <is>
          <t>vegetarian, gluten-free, no-cook</t>
        </is>
      </c>
      <c r="AB1386" s="3" t="inlineStr">
        <is>
          <t>1. Blend everything with ice until smooth.</t>
        </is>
      </c>
      <c r="AC1386" s="4" t="inlineStr">
        <is>
          <t>["Blend everything with ice until smooth."]</t>
        </is>
      </c>
    </row>
    <row r="1387" ht="96" customHeight="1">
      <c r="A1387" s="2" t="inlineStr">
        <is>
          <t>DB-1386</t>
        </is>
      </c>
      <c r="B1387" s="3" t="inlineStr">
        <is>
          <t>Blueberry Spinach Smoothie</t>
        </is>
      </c>
      <c r="C1387" s="4" t="inlineStr">
        <is>
          <t>Drinks &amp; Smoothies</t>
        </is>
      </c>
      <c r="D1387" s="4" t="inlineStr">
        <is>
          <t>American</t>
        </is>
      </c>
      <c r="E1387" s="2" t="n">
        <v>2</v>
      </c>
      <c r="F1387" s="2" t="n">
        <v>5</v>
      </c>
      <c r="G1387" s="2" t="n">
        <v>0</v>
      </c>
      <c r="H1387" s="2" t="n">
        <v>5</v>
      </c>
      <c r="I1387" s="4" t="inlineStr">
        <is>
          <t>blueberry-spinach-smoothie.jpg</t>
        </is>
      </c>
      <c r="J1387" s="3" t="inlineStr">
        <is>
          <t>Blueberry Spinach Smoothie, healthy food photography, plated, natural light</t>
        </is>
      </c>
      <c r="K1387" s="4" t="inlineStr"/>
      <c r="L1387" s="3" t="inlineStr">
        <is>
          <t>Blueberries — 150 g (5.3 oz)
Spinach — 60 g (2.1 oz)
Greek yogurt, plain 2% — 200 g (7.1 oz)
Almond milk, unsweetened — 200 g (7.1 oz)
Chia seeds — 10 g (0.4 oz)</t>
        </is>
      </c>
      <c r="M1387" s="4" t="inlineStr">
        <is>
          <t>[{"ingredient_id": "blueberries", "name": "Blueberries", "grams": 150.0, "note": ""}, {"ingredient_id": "spinach", "name": "Spinach", "grams": 60.0, "note": ""}, {"ingredient_id": "greek_yogurt", "name": "Greek yogurt, plain 2%", "grams": 200.0, "note": ""}, {"ingredient_id": "almond_milk", "name": "Almond milk, unsweetened", "grams": 200.0, "note": ""}, {"ingredient_id": "chia_seeds", "name": "Chia seeds", "grams": 10.0, "note": ""}]</t>
        </is>
      </c>
      <c r="N1387" s="2" t="n">
        <v>162</v>
      </c>
      <c r="O1387" s="5" t="n">
        <v>12.8</v>
      </c>
      <c r="P1387" s="5" t="n">
        <v>5.1</v>
      </c>
      <c r="Q1387" s="5" t="n">
        <v>18.7</v>
      </c>
      <c r="R1387" s="5" t="n">
        <v>4.2</v>
      </c>
      <c r="S1387" s="5" t="n">
        <v>14.5</v>
      </c>
      <c r="T1387" s="2" t="n">
        <v>38</v>
      </c>
      <c r="U1387" s="2" t="inlineStr">
        <is>
          <t>low</t>
        </is>
      </c>
      <c r="V1387" s="5" t="n">
        <v>5.5</v>
      </c>
      <c r="W1387" s="2" t="inlineStr">
        <is>
          <t>low</t>
        </is>
      </c>
      <c r="X1387" s="3" t="inlineStr"/>
      <c r="Y1387" s="3" t="inlineStr">
        <is>
          <t>90% of this dish's available carbohydrate comes from ingredients with a published, measured GI; the rest uses conventional placeholders (see Ingredients sheet)</t>
        </is>
      </c>
      <c r="Z1387" s="2" t="n">
        <v>90</v>
      </c>
      <c r="AA1387" s="3" t="inlineStr">
        <is>
          <t>vegetarian, gluten-free, low-carb, no-cook</t>
        </is>
      </c>
      <c r="AB1387" s="3" t="inlineStr">
        <is>
          <t>1. Blend everything until smooth.</t>
        </is>
      </c>
      <c r="AC1387" s="4" t="inlineStr">
        <is>
          <t>["Blend everything until smooth."]</t>
        </is>
      </c>
    </row>
    <row r="1388" ht="96" customHeight="1">
      <c r="A1388" s="2" t="inlineStr">
        <is>
          <t>DB-1387</t>
        </is>
      </c>
      <c r="B1388" s="3" t="inlineStr">
        <is>
          <t>Pumpkin Pie Smoothie</t>
        </is>
      </c>
      <c r="C1388" s="4" t="inlineStr">
        <is>
          <t>Drinks &amp; Smoothies</t>
        </is>
      </c>
      <c r="D1388" s="4" t="inlineStr">
        <is>
          <t>American</t>
        </is>
      </c>
      <c r="E1388" s="2" t="n">
        <v>2</v>
      </c>
      <c r="F1388" s="2" t="n">
        <v>5</v>
      </c>
      <c r="G1388" s="2" t="n">
        <v>0</v>
      </c>
      <c r="H1388" s="2" t="n">
        <v>5</v>
      </c>
      <c r="I1388" s="4" t="inlineStr">
        <is>
          <t>pumpkin-pie-smoothie.jpg</t>
        </is>
      </c>
      <c r="J1388" s="3" t="inlineStr">
        <is>
          <t>Pumpkin Pie Smoothie, healthy food photography, plated, natural light</t>
        </is>
      </c>
      <c r="K1388" s="4" t="inlineStr"/>
      <c r="L1388" s="3" t="inlineStr">
        <is>
          <t>Pumpkin puree, canned — 150 g (5.3 oz)
Greek yogurt, plain 2% — 200 g (7.1 oz)
Almond milk, unsweetened — 200 g (7.1 oz)
Pumpkin pie spice — 3 g (0.1 oz)
Vanilla extract — 3 g (0.1 oz)
Banana (small amount) — 50 g (1.8 oz)</t>
        </is>
      </c>
      <c r="M1388" s="4" t="inlineStr">
        <is>
          <t>[{"ingredient_id": "pumpkin_puree", "name": "Pumpkin puree, canned", "grams": 150.0, "note": ""}, {"ingredient_id": "greek_yogurt", "name": "Greek yogurt, plain 2%", "grams": 200.0, "note": ""}, {"ingredient_id": "almond_milk", "name": "Almond milk, unsweetened", "grams": 200.0, "note": ""}, {"ingredient_id": "pumpkin_pie_spice", "name": "Pumpkin pie spice", "grams": 3.0, "note": ""}, {"ingredient_id": "vanilla_extract", "name": "Vanilla extract", "grams": 3.0, "note": ""}, {"ingredient_id": "banana", "name": "Banana (small amount)", "grams": 50.0, "note": ""}]</t>
        </is>
      </c>
      <c r="N1388" s="2" t="n">
        <v>145</v>
      </c>
      <c r="O1388" s="5" t="n">
        <v>11.8</v>
      </c>
      <c r="P1388" s="5" t="n">
        <v>3.4</v>
      </c>
      <c r="Q1388" s="5" t="n">
        <v>17.7</v>
      </c>
      <c r="R1388" s="5" t="n">
        <v>3.3</v>
      </c>
      <c r="S1388" s="5" t="n">
        <v>14.4</v>
      </c>
      <c r="T1388" s="2" t="n">
        <v>43</v>
      </c>
      <c r="U1388" s="2" t="inlineStr">
        <is>
          <t>low</t>
        </is>
      </c>
      <c r="V1388" s="5" t="n">
        <v>6.2</v>
      </c>
      <c r="W1388" s="2" t="inlineStr">
        <is>
          <t>low</t>
        </is>
      </c>
      <c r="X1388" s="3" t="inlineStr"/>
      <c r="Y1388" s="3" t="inlineStr">
        <is>
          <t>89% of this dish's available carbohydrate comes from ingredients with a published, measured GI; the rest uses conventional placeholders (see Ingredients sheet)</t>
        </is>
      </c>
      <c r="Z1388" s="2" t="n">
        <v>89</v>
      </c>
      <c r="AA1388" s="3" t="inlineStr">
        <is>
          <t>vegetarian, gluten-free, low-carb, no-cook</t>
        </is>
      </c>
      <c r="AB1388" s="3" t="inlineStr">
        <is>
          <t>1. Blend everything with ice until smooth.</t>
        </is>
      </c>
      <c r="AC1388" s="4" t="inlineStr">
        <is>
          <t>["Blend everything with ice until smooth."]</t>
        </is>
      </c>
    </row>
    <row r="1389" ht="96" customHeight="1">
      <c r="A1389" s="2" t="inlineStr">
        <is>
          <t>DB-1388</t>
        </is>
      </c>
      <c r="B1389" s="3" t="inlineStr">
        <is>
          <t>Iced Tea Lemonade, Unsweetened</t>
        </is>
      </c>
      <c r="C1389" s="4" t="inlineStr">
        <is>
          <t>Drinks &amp; Smoothies</t>
        </is>
      </c>
      <c r="D1389" s="4" t="inlineStr">
        <is>
          <t>American</t>
        </is>
      </c>
      <c r="E1389" s="2" t="n">
        <v>4</v>
      </c>
      <c r="F1389" s="2" t="n">
        <v>5</v>
      </c>
      <c r="G1389" s="2" t="n">
        <v>0</v>
      </c>
      <c r="H1389" s="2" t="n">
        <v>5</v>
      </c>
      <c r="I1389" s="4" t="inlineStr">
        <is>
          <t>iced-tea-lemonade-unsweetened.jpg</t>
        </is>
      </c>
      <c r="J1389" s="3" t="inlineStr">
        <is>
          <t>Iced Tea Lemonade, Unsweetened, healthy food photography, plated, natural light</t>
        </is>
      </c>
      <c r="K1389" s="4" t="inlineStr"/>
      <c r="L1389" s="3" t="inlineStr">
        <is>
          <t>Brewed green tea — 600 g (21.2 oz)
Lemon juice — 100 g (3.5 oz)
Water / ice — 300 g (10.6 oz)
Fresh mint — 4 g (0.1 oz)
Stevia (liquid) — 1 g (0.0 oz)</t>
        </is>
      </c>
      <c r="M1389" s="4" t="inlineStr">
        <is>
          <t>[{"ingredient_id": "green_tea", "name": "Brewed green tea", "grams": 600.0, "note": ""}, {"ingredient_id": "lemon_juice", "name": "Lemon juice", "grams": 100.0, "note": ""}, {"ingredient_id": "water", "name": "Water / ice", "grams": 300.0, "note": ""}, {"ingredient_id": "mint", "name": "Fresh mint", "grams": 4.0, "note": ""}, {"ingredient_id": "stevia", "name": "Stevia (liquid)", "grams": 1.0, "note": ""}]</t>
        </is>
      </c>
      <c r="N1389" s="2" t="n">
        <v>6</v>
      </c>
      <c r="O1389" s="5" t="n">
        <v>0.1</v>
      </c>
      <c r="P1389" s="5" t="n">
        <v>0.1</v>
      </c>
      <c r="Q1389" s="5" t="n">
        <v>1.8</v>
      </c>
      <c r="R1389" s="5" t="n">
        <v>0.1</v>
      </c>
      <c r="S1389" s="5" t="n">
        <v>1.7</v>
      </c>
      <c r="T1389" s="2" t="n">
        <v>20</v>
      </c>
      <c r="U1389" s="2" t="inlineStr">
        <is>
          <t>low</t>
        </is>
      </c>
      <c r="V1389" s="5" t="n">
        <v>0.3</v>
      </c>
      <c r="W1389" s="2" t="inlineStr">
        <is>
          <t>low</t>
        </is>
      </c>
      <c r="X1389" s="3" t="inlineStr">
        <is>
          <t>Negligible carbohydrate (&lt;5 g net/serving): GI has little practical meaning, glycemic load is what matters.</t>
        </is>
      </c>
      <c r="Y1389" s="3" t="inlineStr">
        <is>
          <t>0% of this dish's available carbohydrate comes from ingredients with a published, measured GI; the rest uses conventional placeholders (see Ingredients sheet)</t>
        </is>
      </c>
      <c r="Z1389" s="2" t="n">
        <v>0</v>
      </c>
      <c r="AA1389" s="3" t="inlineStr">
        <is>
          <t>vegan, gluten-free, dairy-free, nut-free, low-carb, no-cook</t>
        </is>
      </c>
      <c r="AB1389" s="3" t="inlineStr">
        <is>
          <t>1. Combine the chilled tea, lemon juice and water.
2. Add mint and a pinch of stevia and serve over ice.</t>
        </is>
      </c>
      <c r="AC1389" s="4" t="inlineStr">
        <is>
          <t>["Combine the chilled tea, lemon juice and water.", "Add mint and a pinch of stevia and serve over ice."]</t>
        </is>
      </c>
    </row>
    <row r="1390" ht="96" customHeight="1">
      <c r="A1390" s="2" t="inlineStr">
        <is>
          <t>DB-1389</t>
        </is>
      </c>
      <c r="B1390" s="3" t="inlineStr">
        <is>
          <t>Cucumber Lime Agua Fresca</t>
        </is>
      </c>
      <c r="C1390" s="4" t="inlineStr">
        <is>
          <t>Drinks &amp; Smoothies</t>
        </is>
      </c>
      <c r="D1390" s="4" t="inlineStr">
        <is>
          <t>Mexican</t>
        </is>
      </c>
      <c r="E1390" s="2" t="n">
        <v>4</v>
      </c>
      <c r="F1390" s="2" t="n">
        <v>5</v>
      </c>
      <c r="G1390" s="2" t="n">
        <v>0</v>
      </c>
      <c r="H1390" s="2" t="n">
        <v>5</v>
      </c>
      <c r="I1390" s="4" t="inlineStr">
        <is>
          <t>cucumber-lime-agua-fresca.jpg</t>
        </is>
      </c>
      <c r="J1390" s="3" t="inlineStr">
        <is>
          <t>Cucumber Lime Agua Fresca, healthy food photography, plated, natural light</t>
        </is>
      </c>
      <c r="K1390" s="4" t="inlineStr"/>
      <c r="L1390" s="3" t="inlineStr">
        <is>
          <t>Cucumber — 250 g (8.8 oz)
Lime juice — 60 g (2.1 oz)
Water / ice — 700 g (24.7 oz)
Monk fruit/erythritol sweetener — 8 g (0.3 oz)
Fresh mint — 4 g (0.1 oz)</t>
        </is>
      </c>
      <c r="M1390" s="4" t="inlineStr">
        <is>
          <t>[{"ingredient_id": "cucumber", "name": "Cucumber", "grams": 250.0, "note": ""}, {"ingredient_id": "lime_juice", "name": "Lime juice", "grams": 60.0, "note": ""}, {"ingredient_id": "water", "name": "Water / ice", "grams": 700.0, "note": ""}, {"ingredient_id": "monk_fruit_sweetener", "name": "Monk fruit/erythritol sweetener", "grams": 8.0, "note": ""}, {"ingredient_id": "mint", "name": "Fresh mint", "grams": 4.0, "note": ""}]</t>
        </is>
      </c>
      <c r="N1390" s="2" t="n">
        <v>14</v>
      </c>
      <c r="O1390" s="5" t="n">
        <v>0.5</v>
      </c>
      <c r="P1390" s="5" t="n">
        <v>0.1</v>
      </c>
      <c r="Q1390" s="5" t="n">
        <v>3.6</v>
      </c>
      <c r="R1390" s="5" t="n">
        <v>0.4</v>
      </c>
      <c r="S1390" s="5" t="n">
        <v>3.2</v>
      </c>
      <c r="T1390" s="2" t="n">
        <v>17</v>
      </c>
      <c r="U1390" s="2" t="inlineStr">
        <is>
          <t>low</t>
        </is>
      </c>
      <c r="V1390" s="5" t="n">
        <v>0.5</v>
      </c>
      <c r="W1390" s="2" t="inlineStr">
        <is>
          <t>low</t>
        </is>
      </c>
      <c r="X1390" s="3" t="inlineStr">
        <is>
          <t>Negligible carbohydrate (&lt;5 g net/serving): GI has little practical meaning, glycemic load is what matters.</t>
        </is>
      </c>
      <c r="Y1390" s="3" t="inlineStr">
        <is>
          <t>0% of this dish's available carbohydrate comes from ingredients with a published, measured GI; the rest uses conventional placeholders (see Ingredients sheet)</t>
        </is>
      </c>
      <c r="Z1390" s="2" t="n">
        <v>0</v>
      </c>
      <c r="AA1390" s="3" t="inlineStr">
        <is>
          <t>vegan, gluten-free, dairy-free, nut-free, low-carb, no-cook</t>
        </is>
      </c>
      <c r="AB1390" s="3" t="inlineStr">
        <is>
          <t>1. Blend the cucumber with lime juice, sweetener and a little water.
2. Strain, add the rest of the water and chill with mint.</t>
        </is>
      </c>
      <c r="AC1390" s="4" t="inlineStr">
        <is>
          <t>["Blend the cucumber with lime juice, sweetener and a little water.", "Strain, add the rest of the water and chill with mint."]</t>
        </is>
      </c>
    </row>
    <row r="1391" ht="96" customHeight="1">
      <c r="A1391" s="2" t="inlineStr">
        <is>
          <t>DB-1390</t>
        </is>
      </c>
      <c r="B1391" s="3" t="inlineStr">
        <is>
          <t>Strawberry Mint Sparkling Cooler</t>
        </is>
      </c>
      <c r="C1391" s="4" t="inlineStr">
        <is>
          <t>Drinks &amp; Smoothies</t>
        </is>
      </c>
      <c r="D1391" s="4" t="inlineStr">
        <is>
          <t>American</t>
        </is>
      </c>
      <c r="E1391" s="2" t="n">
        <v>4</v>
      </c>
      <c r="F1391" s="2" t="n">
        <v>5</v>
      </c>
      <c r="G1391" s="2" t="n">
        <v>0</v>
      </c>
      <c r="H1391" s="2" t="n">
        <v>5</v>
      </c>
      <c r="I1391" s="4" t="inlineStr">
        <is>
          <t>strawberry-mint-sparkling-cooler.jpg</t>
        </is>
      </c>
      <c r="J1391" s="3" t="inlineStr">
        <is>
          <t>Strawberry Mint Sparkling Cooler, healthy food photography, plated, natural light</t>
        </is>
      </c>
      <c r="K1391" s="4" t="inlineStr"/>
      <c r="L1391" s="3" t="inlineStr">
        <is>
          <t>Strawberries — 200 g (7.1 oz)
Sparkling water — 600 g (21.2 oz)
Lime juice — 30 g (1.1 oz)
Fresh mint — 6 g (0.2 oz)
Stevia (liquid) — 1 g (0.0 oz)</t>
        </is>
      </c>
      <c r="M1391" s="4" t="inlineStr">
        <is>
          <t>[{"ingredient_id": "strawberries", "name": "Strawberries", "grams": 200.0, "note": ""}, {"ingredient_id": "sparkling_water", "name": "Sparkling water", "grams": 600.0, "note": ""}, {"ingredient_id": "lime_juice", "name": "Lime juice", "grams": 30.0, "note": ""}, {"ingredient_id": "mint", "name": "Fresh mint", "grams": 6.0, "note": ""}, {"ingredient_id": "stevia", "name": "Stevia (liquid)", "grams": 1.0, "note": ""}]</t>
        </is>
      </c>
      <c r="N1391" s="2" t="n">
        <v>19</v>
      </c>
      <c r="O1391" s="5" t="n">
        <v>0.4</v>
      </c>
      <c r="P1391" s="5" t="n">
        <v>0.2</v>
      </c>
      <c r="Q1391" s="5" t="n">
        <v>4.6</v>
      </c>
      <c r="R1391" s="5" t="n">
        <v>1.1</v>
      </c>
      <c r="S1391" s="5" t="n">
        <v>3.5</v>
      </c>
      <c r="T1391" s="2" t="n">
        <v>36</v>
      </c>
      <c r="U1391" s="2" t="inlineStr">
        <is>
          <t>low</t>
        </is>
      </c>
      <c r="V1391" s="5" t="n">
        <v>1.3</v>
      </c>
      <c r="W1391" s="2" t="inlineStr">
        <is>
          <t>low</t>
        </is>
      </c>
      <c r="X1391" s="3" t="inlineStr">
        <is>
          <t>Negligible carbohydrate (&lt;5 g net/serving): GI has little practical meaning, glycemic load is what matters.</t>
        </is>
      </c>
      <c r="Y1391" s="3" t="inlineStr">
        <is>
          <t>82% of this dish's available carbohydrate comes from ingredients with a published, measured GI; the rest uses conventional placeholders (see Ingredients sheet)</t>
        </is>
      </c>
      <c r="Z1391" s="2" t="n">
        <v>82</v>
      </c>
      <c r="AA1391" s="3" t="inlineStr">
        <is>
          <t>vegan, gluten-free, dairy-free, nut-free, low-carb, no-cook</t>
        </is>
      </c>
      <c r="AB1391" s="3" t="inlineStr">
        <is>
          <t>1. Muddle the strawberries with lime, mint and stevia.
2. Top with sparkling water over ice.</t>
        </is>
      </c>
      <c r="AC1391" s="4" t="inlineStr">
        <is>
          <t>["Muddle the strawberries with lime, mint and stevia.", "Top with sparkling water over ice."]</t>
        </is>
      </c>
    </row>
    <row r="1392" ht="96" customHeight="1">
      <c r="A1392" s="2" t="inlineStr">
        <is>
          <t>DB-1391</t>
        </is>
      </c>
      <c r="B1392" s="3" t="inlineStr">
        <is>
          <t>Golden Milk with Cinnamon and Black Pepper</t>
        </is>
      </c>
      <c r="C1392" s="4" t="inlineStr">
        <is>
          <t>Drinks &amp; Smoothies</t>
        </is>
      </c>
      <c r="D1392" s="4" t="inlineStr">
        <is>
          <t>American</t>
        </is>
      </c>
      <c r="E1392" s="2" t="n">
        <v>2</v>
      </c>
      <c r="F1392" s="2" t="n">
        <v>3</v>
      </c>
      <c r="G1392" s="2" t="n">
        <v>5</v>
      </c>
      <c r="H1392" s="2" t="n">
        <v>8</v>
      </c>
      <c r="I1392" s="4" t="inlineStr">
        <is>
          <t>golden-milk-with-cinnamon-and-black-pepper.jpg</t>
        </is>
      </c>
      <c r="J1392" s="3" t="inlineStr">
        <is>
          <t>Golden Milk with Cinnamon and Black Pepper, healthy food photography, plated, natural light</t>
        </is>
      </c>
      <c r="K1392" s="4" t="inlineStr"/>
      <c r="L1392" s="3" t="inlineStr">
        <is>
          <t>Milk, 2% — 400 g (14.1 oz)
Ground turmeric — 3 g (0.1 oz)
Ground cinnamon — 2 g (0.1 oz)
Fresh ginger — 3 g (0.1 oz)
Black pepper — 1 g (0.0 oz)
Vanilla extract — 2 g (0.1 oz)</t>
        </is>
      </c>
      <c r="M1392" s="4" t="inlineStr">
        <is>
          <t>[{"ingredient_id": "milk", "name": "Milk, 2%", "grams": 400.0, "note": ""}, {"ingredient_id": "turmeric", "name": "Ground turmeric", "grams": 3.0, "note": ""}, {"ingredient_id": "cinnamon", "name": "Ground cinnamon", "grams": 2.0, "note": ""}, {"ingredient_id": "ginger", "name": "Fresh ginger", "grams": 3.0, "note": ""}, {"ingredient_id": "black_pepper", "name": "Black pepper", "grams": 1.0, "note": ""}, {"ingredient_id": "vanilla_extract", "name": "Vanilla extract", "grams": 2.0, "note": ""}]</t>
        </is>
      </c>
      <c r="N1392" s="2" t="n">
        <v>112</v>
      </c>
      <c r="O1392" s="5" t="n">
        <v>6.9</v>
      </c>
      <c r="P1392" s="5" t="n">
        <v>4.1</v>
      </c>
      <c r="Q1392" s="5" t="n">
        <v>12.1</v>
      </c>
      <c r="R1392" s="5" t="n">
        <v>1</v>
      </c>
      <c r="S1392" s="5" t="n">
        <v>11.1</v>
      </c>
      <c r="T1392" s="2" t="n">
        <v>25</v>
      </c>
      <c r="U1392" s="2" t="inlineStr">
        <is>
          <t>low</t>
        </is>
      </c>
      <c r="V1392" s="5" t="n">
        <v>2.8</v>
      </c>
      <c r="W1392" s="2" t="inlineStr">
        <is>
          <t>low</t>
        </is>
      </c>
      <c r="X1392" s="3" t="inlineStr"/>
      <c r="Y1392" s="3" t="inlineStr">
        <is>
          <t>86% of this dish's available carbohydrate comes from ingredients with a published, measured GI; the rest uses conventional placeholders (see Ingredients sheet)</t>
        </is>
      </c>
      <c r="Z1392" s="2" t="n">
        <v>86</v>
      </c>
      <c r="AA1392" s="3" t="inlineStr">
        <is>
          <t>vegetarian, gluten-free, nut-free, low-carb</t>
        </is>
      </c>
      <c r="AB1392" s="3" t="inlineStr">
        <is>
          <t>1. Warm the milk with the spices and whisk until frothy.</t>
        </is>
      </c>
      <c r="AC1392" s="4" t="inlineStr">
        <is>
          <t>["Warm the milk with the spices and whisk until frothy."]</t>
        </is>
      </c>
    </row>
    <row r="1393" ht="96" customHeight="1">
      <c r="A1393" s="2" t="inlineStr">
        <is>
          <t>DB-1392</t>
        </is>
      </c>
      <c r="B1393" s="3" t="inlineStr">
        <is>
          <t>Protein Coffee Shake</t>
        </is>
      </c>
      <c r="C1393" s="4" t="inlineStr">
        <is>
          <t>Drinks &amp; Smoothies</t>
        </is>
      </c>
      <c r="D1393" s="4" t="inlineStr">
        <is>
          <t>American</t>
        </is>
      </c>
      <c r="E1393" s="2" t="n">
        <v>1</v>
      </c>
      <c r="F1393" s="2" t="n">
        <v>3</v>
      </c>
      <c r="G1393" s="2" t="n">
        <v>0</v>
      </c>
      <c r="H1393" s="2" t="n">
        <v>3</v>
      </c>
      <c r="I1393" s="4" t="inlineStr">
        <is>
          <t>protein-coffee-shake.jpg</t>
        </is>
      </c>
      <c r="J1393" s="3" t="inlineStr">
        <is>
          <t>Protein Coffee Shake, healthy food photography, plated, natural light</t>
        </is>
      </c>
      <c r="K1393" s="4" t="inlineStr"/>
      <c r="L1393" s="3" t="inlineStr">
        <is>
          <t>Brewed coffee / espresso — 200 g (7.1 oz)
Whey protein powder, unsweetened — 30 g (1.1 oz)
Almond milk, unsweetened — 150 g (5.3 oz)
Cocoa powder, unsweetened — 5 g (0.2 oz)</t>
        </is>
      </c>
      <c r="M1393" s="4" t="inlineStr">
        <is>
          <t>[{"ingredient_id": "coffee", "name": "Brewed coffee / espresso", "grams": 200.0, "note": ""}, {"ingredient_id": "whey_protein", "name": "Whey protein powder, unsweetened", "grams": 30.0, "note": ""}, {"ingredient_id": "almond_milk", "name": "Almond milk, unsweetened", "grams": 150.0, "note": ""}, {"ingredient_id": "cocoa_powder", "name": "Cocoa powder, unsweetened", "grams": 5.0, "note": ""}]</t>
        </is>
      </c>
      <c r="N1393" s="2" t="n">
        <v>150</v>
      </c>
      <c r="O1393" s="5" t="n">
        <v>25.5</v>
      </c>
      <c r="P1393" s="5" t="n">
        <v>4</v>
      </c>
      <c r="Q1393" s="5" t="n">
        <v>6.2</v>
      </c>
      <c r="R1393" s="5" t="n">
        <v>2</v>
      </c>
      <c r="S1393" s="5" t="n">
        <v>4.2</v>
      </c>
      <c r="T1393" s="2" t="n">
        <v>26</v>
      </c>
      <c r="U1393" s="2" t="inlineStr">
        <is>
          <t>low</t>
        </is>
      </c>
      <c r="V1393" s="5" t="n">
        <v>1.1</v>
      </c>
      <c r="W1393" s="2" t="inlineStr">
        <is>
          <t>low</t>
        </is>
      </c>
      <c r="X1393" s="3" t="inlineStr">
        <is>
          <t>Negligible carbohydrate (&lt;5 g net/serving): GI has little practical meaning, glycemic load is what matters.</t>
        </is>
      </c>
      <c r="Y1393" s="3" t="inlineStr">
        <is>
          <t>49% of this dish's available carbohydrate comes from ingredients with a published, measured GI; the rest uses conventional placeholders (see Ingredients sheet)</t>
        </is>
      </c>
      <c r="Z1393" s="2" t="n">
        <v>49</v>
      </c>
      <c r="AA1393" s="3" t="inlineStr">
        <is>
          <t>vegetarian, gluten-free, low-carb, high-protein, no-cook</t>
        </is>
      </c>
      <c r="AB1393" s="3" t="inlineStr">
        <is>
          <t>1. Blend everything with ice.</t>
        </is>
      </c>
      <c r="AC1393" s="4" t="inlineStr">
        <is>
          <t>["Blend everything with ice."]</t>
        </is>
      </c>
    </row>
    <row r="1394" ht="96" customHeight="1">
      <c r="A1394" s="2" t="inlineStr">
        <is>
          <t>DB-1393</t>
        </is>
      </c>
      <c r="B1394" s="3" t="inlineStr">
        <is>
          <t>Almond Joy Protein Shake</t>
        </is>
      </c>
      <c r="C1394" s="4" t="inlineStr">
        <is>
          <t>Drinks &amp; Smoothies</t>
        </is>
      </c>
      <c r="D1394" s="4" t="inlineStr">
        <is>
          <t>American</t>
        </is>
      </c>
      <c r="E1394" s="2" t="n">
        <v>1</v>
      </c>
      <c r="F1394" s="2" t="n">
        <v>3</v>
      </c>
      <c r="G1394" s="2" t="n">
        <v>0</v>
      </c>
      <c r="H1394" s="2" t="n">
        <v>3</v>
      </c>
      <c r="I1394" s="4" t="inlineStr">
        <is>
          <t>almond-joy-protein-shake.jpg</t>
        </is>
      </c>
      <c r="J1394" s="3" t="inlineStr">
        <is>
          <t>Almond Joy Protein Shake, healthy food photography, plated, natural light</t>
        </is>
      </c>
      <c r="K1394" s="4" t="inlineStr"/>
      <c r="L1394" s="3" t="inlineStr">
        <is>
          <t>Almond milk, unsweetened — 250 g (8.8 oz)
Whey protein powder, unsweetened — 30 g (1.1 oz)
Coconut, unsweetened shredded — 10 g (0.4 oz)
Cocoa powder, unsweetened — 8 g (0.3 oz)
Almond butter — 15 g (0.5 oz)</t>
        </is>
      </c>
      <c r="M1394" s="4" t="inlineStr">
        <is>
          <t>[{"ingredient_id": "almond_milk", "name": "Almond milk, unsweetened", "grams": 250.0, "note": ""}, {"ingredient_id": "whey_protein", "name": "Whey protein powder, unsweetened", "grams": 30.0, "note": ""}, {"ingredient_id": "coconut_shredded", "name": "Coconut, unsweetened shredded", "grams": 10.0, "note": ""}, {"ingredient_id": "cocoa_powder", "name": "Cocoa powder, unsweetened", "grams": 8.0, "note": ""}, {"ingredient_id": "almond_butter", "name": "Almond butter", "grams": 15.0, "note": ""}]</t>
        </is>
      </c>
      <c r="N1394" s="2" t="n">
        <v>328</v>
      </c>
      <c r="O1394" s="5" t="n">
        <v>30.3</v>
      </c>
      <c r="P1394" s="5" t="n">
        <v>20.5</v>
      </c>
      <c r="Q1394" s="5" t="n">
        <v>13.8</v>
      </c>
      <c r="R1394" s="5" t="n">
        <v>6</v>
      </c>
      <c r="S1394" s="5" t="n">
        <v>7.8</v>
      </c>
      <c r="T1394" s="2" t="n">
        <v>25</v>
      </c>
      <c r="U1394" s="2" t="inlineStr">
        <is>
          <t>low</t>
        </is>
      </c>
      <c r="V1394" s="5" t="n">
        <v>1.9</v>
      </c>
      <c r="W1394" s="2" t="inlineStr">
        <is>
          <t>low</t>
        </is>
      </c>
      <c r="X1394" s="3" t="inlineStr"/>
      <c r="Y1394" s="3" t="inlineStr">
        <is>
          <t>27% of this dish's available carbohydrate comes from ingredients with a published, measured GI; the rest uses conventional placeholders (see Ingredients sheet)</t>
        </is>
      </c>
      <c r="Z1394" s="2" t="n">
        <v>27</v>
      </c>
      <c r="AA1394" s="3" t="inlineStr">
        <is>
          <t>vegetarian, gluten-free, low-carb, high-protein, no-cook</t>
        </is>
      </c>
      <c r="AB1394" s="3" t="inlineStr">
        <is>
          <t>1. Blend everything with ice.</t>
        </is>
      </c>
      <c r="AC1394" s="4" t="inlineStr">
        <is>
          <t>["Blend everything with ice."]</t>
        </is>
      </c>
    </row>
    <row r="1395" ht="96" customHeight="1">
      <c r="A1395" s="2" t="inlineStr">
        <is>
          <t>DB-1394</t>
        </is>
      </c>
      <c r="B1395" s="3" t="inlineStr">
        <is>
          <t>Mint Chocolate Chip Green Shake</t>
        </is>
      </c>
      <c r="C1395" s="4" t="inlineStr">
        <is>
          <t>Drinks &amp; Smoothies</t>
        </is>
      </c>
      <c r="D1395" s="4" t="inlineStr">
        <is>
          <t>American</t>
        </is>
      </c>
      <c r="E1395" s="2" t="n">
        <v>2</v>
      </c>
      <c r="F1395" s="2" t="n">
        <v>5</v>
      </c>
      <c r="G1395" s="2" t="n">
        <v>0</v>
      </c>
      <c r="H1395" s="2" t="n">
        <v>5</v>
      </c>
      <c r="I1395" s="4" t="inlineStr">
        <is>
          <t>mint-chocolate-chip-green-shake.jpg</t>
        </is>
      </c>
      <c r="J1395" s="3" t="inlineStr">
        <is>
          <t>Mint Chocolate Chip Green Shake, healthy food photography, plated, natural light</t>
        </is>
      </c>
      <c r="K1395" s="4" t="inlineStr"/>
      <c r="L1395" s="3" t="inlineStr">
        <is>
          <t>Spinach — 50 g (1.8 oz)
Avocado — 70 g (2.5 oz)
Almond milk, unsweetened — 300 g (10.6 oz)
Fresh mint — 6 g (0.2 oz)
Stevia-sweetened dark chocolate chips — 15 g (0.5 oz)
Monk fruit/erythritol sweetener — 6 g (0.2 oz)</t>
        </is>
      </c>
      <c r="M1395" s="4" t="inlineStr">
        <is>
          <t>[{"ingredient_id": "spinach", "name": "Spinach", "grams": 50.0, "note": ""}, {"ingredient_id": "avocado", "name": "Avocado", "grams": 70.0, "note": ""}, {"ingredient_id": "almond_milk", "name": "Almond milk, unsweetened", "grams": 300.0, "note": ""}, {"ingredient_id": "mint", "name": "Fresh mint", "grams": 6.0, "note": ""}, {"ingredient_id": "sugar_free_chocolate_chips", "name": "Stevia-sweetened dark chocolate chips", "grams": 15.0, "note": ""}, {"ingredient_id": "monk_fruit_sweetener", "name": "Monk fruit/erythritol sweetener", "grams": 6.0, "note": ""}]</t>
        </is>
      </c>
      <c r="N1395" s="2" t="n">
        <v>121</v>
      </c>
      <c r="O1395" s="5" t="n">
        <v>2.9</v>
      </c>
      <c r="P1395" s="5" t="n">
        <v>10.3</v>
      </c>
      <c r="Q1395" s="5" t="n">
        <v>6.5</v>
      </c>
      <c r="R1395" s="5" t="n">
        <v>4</v>
      </c>
      <c r="S1395" s="5" t="n">
        <v>2.5</v>
      </c>
      <c r="T1395" s="2" t="n">
        <v>20</v>
      </c>
      <c r="U1395" s="2" t="inlineStr">
        <is>
          <t>low</t>
        </is>
      </c>
      <c r="V1395" s="5" t="n">
        <v>0.5</v>
      </c>
      <c r="W1395" s="2" t="inlineStr">
        <is>
          <t>low</t>
        </is>
      </c>
      <c r="X1395" s="3" t="inlineStr">
        <is>
          <t>Negligible carbohydrate (&lt;5 g net/serving): GI has little practical meaning, glycemic load is what matters.</t>
        </is>
      </c>
      <c r="Y1395" s="3" t="inlineStr">
        <is>
          <t>24% of this dish's available carbohydrate comes from ingredients with a published, measured GI; the rest uses conventional placeholders (see Ingredients sheet)</t>
        </is>
      </c>
      <c r="Z1395" s="2" t="n">
        <v>24</v>
      </c>
      <c r="AA1395" s="3" t="inlineStr">
        <is>
          <t>vegan, gluten-free, dairy-free, low-carb, no-cook</t>
        </is>
      </c>
      <c r="AB1395" s="3" t="inlineStr">
        <is>
          <t>1. Blend everything with ice until smooth.</t>
        </is>
      </c>
      <c r="AC1395" s="4" t="inlineStr">
        <is>
          <t>["Blend everything with ice until smooth."]</t>
        </is>
      </c>
    </row>
    <row r="1396" ht="96" customHeight="1">
      <c r="A1396" s="2" t="inlineStr">
        <is>
          <t>DB-1395</t>
        </is>
      </c>
      <c r="B1396" s="3" t="inlineStr">
        <is>
          <t>Kefir Berry Lassi</t>
        </is>
      </c>
      <c r="C1396" s="4" t="inlineStr">
        <is>
          <t>Drinks &amp; Smoothies</t>
        </is>
      </c>
      <c r="D1396" s="4" t="inlineStr">
        <is>
          <t>Indian</t>
        </is>
      </c>
      <c r="E1396" s="2" t="n">
        <v>2</v>
      </c>
      <c r="F1396" s="2" t="n">
        <v>5</v>
      </c>
      <c r="G1396" s="2" t="n">
        <v>0</v>
      </c>
      <c r="H1396" s="2" t="n">
        <v>5</v>
      </c>
      <c r="I1396" s="4" t="inlineStr">
        <is>
          <t>kefir-berry-lassi.jpg</t>
        </is>
      </c>
      <c r="J1396" s="3" t="inlineStr">
        <is>
          <t>Kefir Berry Lassi, healthy food photography, plated, natural light</t>
        </is>
      </c>
      <c r="K1396" s="4" t="inlineStr"/>
      <c r="L1396" s="3" t="inlineStr">
        <is>
          <t>Kefir, plain — 300 g (10.6 oz)
Mixed berries, frozen — 150 g (5.3 oz)
Ground cardamom — 1 g (0.0 oz)
Monk fruit/erythritol sweetener — 4 g (0.1 oz)</t>
        </is>
      </c>
      <c r="M1396" s="4" t="inlineStr">
        <is>
          <t>[{"ingredient_id": "kefir", "name": "Kefir, plain", "grams": 300.0, "note": ""}, {"ingredient_id": "mixed_berries", "name": "Mixed berries, frozen", "grams": 150.0, "note": ""}, {"ingredient_id": "cardamom", "name": "Ground cardamom", "grams": 1.0, "note": ""}, {"ingredient_id": "monk_fruit_sweetener", "name": "Monk fruit/erythritol sweetener", "grams": 4.0, "note": ""}]</t>
        </is>
      </c>
      <c r="N1396" s="2" t="n">
        <v>97</v>
      </c>
      <c r="O1396" s="5" t="n">
        <v>5.6</v>
      </c>
      <c r="P1396" s="5" t="n">
        <v>1.8</v>
      </c>
      <c r="Q1396" s="5" t="n">
        <v>14.6</v>
      </c>
      <c r="R1396" s="5" t="n">
        <v>3.1</v>
      </c>
      <c r="S1396" s="5" t="n">
        <v>11.4</v>
      </c>
      <c r="T1396" s="2" t="n">
        <v>37</v>
      </c>
      <c r="U1396" s="2" t="inlineStr">
        <is>
          <t>low</t>
        </is>
      </c>
      <c r="V1396" s="5" t="n">
        <v>4.2</v>
      </c>
      <c r="W1396" s="2" t="inlineStr">
        <is>
          <t>low</t>
        </is>
      </c>
      <c r="X1396" s="3" t="inlineStr"/>
      <c r="Y1396" s="3" t="inlineStr">
        <is>
          <t>52% of this dish's available carbohydrate comes from ingredients with a published, measured GI; the rest uses conventional placeholders (see Ingredients sheet)</t>
        </is>
      </c>
      <c r="Z1396" s="2" t="n">
        <v>52</v>
      </c>
      <c r="AA1396" s="3" t="inlineStr">
        <is>
          <t>vegetarian, gluten-free, nut-free, low-carb, no-cook</t>
        </is>
      </c>
      <c r="AB1396" s="3" t="inlineStr">
        <is>
          <t>1. Blend everything until smooth.</t>
        </is>
      </c>
      <c r="AC1396" s="4" t="inlineStr">
        <is>
          <t>["Blend everything until smooth."]</t>
        </is>
      </c>
    </row>
    <row r="1397" ht="96" customHeight="1">
      <c r="A1397" s="2" t="inlineStr">
        <is>
          <t>DB-1396</t>
        </is>
      </c>
      <c r="B1397" s="3" t="inlineStr">
        <is>
          <t>Ginger Turmeric Wellness Tea</t>
        </is>
      </c>
      <c r="C1397" s="4" t="inlineStr">
        <is>
          <t>Drinks &amp; Smoothies</t>
        </is>
      </c>
      <c r="D1397" s="4" t="inlineStr">
        <is>
          <t>American</t>
        </is>
      </c>
      <c r="E1397" s="2" t="n">
        <v>2</v>
      </c>
      <c r="F1397" s="2" t="n">
        <v>3</v>
      </c>
      <c r="G1397" s="2" t="n">
        <v>8</v>
      </c>
      <c r="H1397" s="2" t="n">
        <v>11</v>
      </c>
      <c r="I1397" s="4" t="inlineStr">
        <is>
          <t>ginger-turmeric-wellness-tea.jpg</t>
        </is>
      </c>
      <c r="J1397" s="3" t="inlineStr">
        <is>
          <t>Ginger Turmeric Wellness Tea, healthy food photography, plated, natural light</t>
        </is>
      </c>
      <c r="K1397" s="4" t="inlineStr"/>
      <c r="L1397" s="3" t="inlineStr">
        <is>
          <t>Water / ice — 500 g (17.6 oz)
Fresh ginger — 10 g (0.4 oz)
Ground turmeric — 2 g (0.1 oz)
Lemon juice — 20 g (0.7 oz)
Black pepper — 1 g (0.0 oz)</t>
        </is>
      </c>
      <c r="M1397" s="4" t="inlineStr">
        <is>
          <t>[{"ingredient_id": "water", "name": "Water / ice", "grams": 500.0, "note": ""}, {"ingredient_id": "ginger", "name": "Fresh ginger", "grams": 10.0, "note": ""}, {"ingredient_id": "turmeric", "name": "Ground turmeric", "grams": 2.0, "note": ""}, {"ingredient_id": "lemon_juice", "name": "Lemon juice", "grams": 20.0, "note": ""}, {"ingredient_id": "black_pepper", "name": "Black pepper", "grams": 1.0, "note": ""}]</t>
        </is>
      </c>
      <c r="N1397" s="2" t="n">
        <v>11</v>
      </c>
      <c r="O1397" s="5" t="n">
        <v>0.3</v>
      </c>
      <c r="P1397" s="5" t="n">
        <v>0.1</v>
      </c>
      <c r="Q1397" s="5" t="n">
        <v>2.6</v>
      </c>
      <c r="R1397" s="5" t="n">
        <v>0.5</v>
      </c>
      <c r="S1397" s="5" t="n">
        <v>2.1</v>
      </c>
      <c r="T1397" s="2" t="n">
        <v>17</v>
      </c>
      <c r="U1397" s="2" t="inlineStr">
        <is>
          <t>low</t>
        </is>
      </c>
      <c r="V1397" s="5" t="n">
        <v>0.4</v>
      </c>
      <c r="W1397" s="2" t="inlineStr">
        <is>
          <t>low</t>
        </is>
      </c>
      <c r="X1397" s="3" t="inlineStr">
        <is>
          <t>Negligible carbohydrate (&lt;5 g net/serving): GI has little practical meaning, glycemic load is what matters.</t>
        </is>
      </c>
      <c r="Y1397" s="3" t="inlineStr">
        <is>
          <t>0% of this dish's available carbohydrate comes from ingredients with a published, measured GI; the rest uses conventional placeholders (see Ingredients sheet)</t>
        </is>
      </c>
      <c r="Z1397" s="2" t="n">
        <v>0</v>
      </c>
      <c r="AA1397" s="3" t="inlineStr">
        <is>
          <t>vegan, gluten-free, dairy-free, nut-free, low-carb</t>
        </is>
      </c>
      <c r="AB1397" s="3" t="inlineStr">
        <is>
          <t>1. Simmer the ginger and turmeric in the water for 8 minutes.
2. Strain and add lemon and pepper.</t>
        </is>
      </c>
      <c r="AC1397" s="4" t="inlineStr">
        <is>
          <t>["Simmer the ginger and turmeric in the water for 8 minutes.", "Strain and add lemon and pepper."]</t>
        </is>
      </c>
    </row>
    <row r="1398" ht="96" customHeight="1">
      <c r="A1398" s="2" t="inlineStr">
        <is>
          <t>DB-1397</t>
        </is>
      </c>
      <c r="B1398" s="3" t="inlineStr">
        <is>
          <t>Spiced Apple Cider Warm Drink, Unsweetened</t>
        </is>
      </c>
      <c r="C1398" s="4" t="inlineStr">
        <is>
          <t>Drinks &amp; Smoothies</t>
        </is>
      </c>
      <c r="D1398" s="4" t="inlineStr">
        <is>
          <t>American</t>
        </is>
      </c>
      <c r="E1398" s="2" t="n">
        <v>4</v>
      </c>
      <c r="F1398" s="2" t="n">
        <v>5</v>
      </c>
      <c r="G1398" s="2" t="n">
        <v>15</v>
      </c>
      <c r="H1398" s="2" t="n">
        <v>20</v>
      </c>
      <c r="I1398" s="4" t="inlineStr">
        <is>
          <t>spiced-apple-cider-warm-drink-unsweetened.jpg</t>
        </is>
      </c>
      <c r="J1398" s="3" t="inlineStr">
        <is>
          <t>Spiced Apple Cider Warm Drink, Unsweetened, healthy food photography, plated, natural light</t>
        </is>
      </c>
      <c r="K1398" s="4" t="inlineStr"/>
      <c r="L1398" s="3" t="inlineStr">
        <is>
          <t>Apple — 300 g (10.6 oz)
Water / ice — 800 g (28.2 oz)
Ground cinnamon — 3 g (0.1 oz)
Orange — 60 g (2.1 oz)
Fresh ginger — 5 g (0.2 oz)
Star anise — 1 g (0.0 oz)</t>
        </is>
      </c>
      <c r="M1398" s="4" t="inlineStr">
        <is>
          <t>[{"ingredient_id": "apple", "name": "Apple", "grams": 300.0, "note": ""}, {"ingredient_id": "water", "name": "Water / ice", "grams": 800.0, "note": ""}, {"ingredient_id": "cinnamon", "name": "Ground cinnamon", "grams": 3.0, "note": ""}, {"ingredient_id": "orange", "name": "Orange", "grams": 60.0, "note": ""}, {"ingredient_id": "ginger", "name": "Fresh ginger", "grams": 5.0, "note": ""}, {"ingredient_id": "star_anise", "name": "Star anise", "grams": 1.0, "note": ""}]</t>
        </is>
      </c>
      <c r="N1398" s="2" t="n">
        <v>50</v>
      </c>
      <c r="O1398" s="5" t="n">
        <v>0.5</v>
      </c>
      <c r="P1398" s="5" t="n">
        <v>0.2</v>
      </c>
      <c r="Q1398" s="5" t="n">
        <v>13.3</v>
      </c>
      <c r="R1398" s="5" t="n">
        <v>2.6</v>
      </c>
      <c r="S1398" s="5" t="n">
        <v>10.6</v>
      </c>
      <c r="T1398" s="2" t="n">
        <v>36</v>
      </c>
      <c r="U1398" s="2" t="inlineStr">
        <is>
          <t>low</t>
        </is>
      </c>
      <c r="V1398" s="5" t="n">
        <v>3.8</v>
      </c>
      <c r="W1398" s="2" t="inlineStr">
        <is>
          <t>low</t>
        </is>
      </c>
      <c r="X1398" s="3" t="inlineStr"/>
      <c r="Y1398" s="3" t="inlineStr">
        <is>
          <t>95% of this dish's available carbohydrate comes from ingredients with a published, measured GI; the rest uses conventional placeholders (see Ingredients sheet)</t>
        </is>
      </c>
      <c r="Z1398" s="2" t="n">
        <v>95</v>
      </c>
      <c r="AA1398" s="3" t="inlineStr">
        <is>
          <t>vegan, gluten-free, dairy-free, nut-free, low-carb</t>
        </is>
      </c>
      <c r="AB1398" s="3" t="inlineStr">
        <is>
          <t>1. Simmer the sliced apple, orange and spices in the water 15 minutes.
2. Strain and serve warm.</t>
        </is>
      </c>
      <c r="AC1398" s="4" t="inlineStr">
        <is>
          <t>["Simmer the sliced apple, orange and spices in the water 15 minutes.", "Strain and serve warm."]</t>
        </is>
      </c>
    </row>
    <row r="1399" ht="96" customHeight="1">
      <c r="A1399" s="2" t="inlineStr">
        <is>
          <t>DB-1398</t>
        </is>
      </c>
      <c r="B1399" s="3" t="inlineStr">
        <is>
          <t>Cinnamon Dolce Latte with Almond Milk</t>
        </is>
      </c>
      <c r="C1399" s="4" t="inlineStr">
        <is>
          <t>Drinks &amp; Smoothies</t>
        </is>
      </c>
      <c r="D1399" s="4" t="inlineStr">
        <is>
          <t>American</t>
        </is>
      </c>
      <c r="E1399" s="2" t="n">
        <v>2</v>
      </c>
      <c r="F1399" s="2" t="n">
        <v>3</v>
      </c>
      <c r="G1399" s="2" t="n">
        <v>5</v>
      </c>
      <c r="H1399" s="2" t="n">
        <v>8</v>
      </c>
      <c r="I1399" s="4" t="inlineStr">
        <is>
          <t>cinnamon-dolce-latte-with-almond-milk.jpg</t>
        </is>
      </c>
      <c r="J1399" s="3" t="inlineStr">
        <is>
          <t>Cinnamon Dolce Latte with Almond Milk, healthy food photography, plated, natural light</t>
        </is>
      </c>
      <c r="K1399" s="4" t="inlineStr"/>
      <c r="L1399" s="3" t="inlineStr">
        <is>
          <t>Brewed coffee / espresso — 150 g (5.3 oz)
Almond milk, unsweetened — 300 g (10.6 oz)
Ground cinnamon — 2 g (0.1 oz)
Vanilla extract — 3 g (0.1 oz)
Monk fruit/erythritol sweetener — 4 g (0.1 oz)</t>
        </is>
      </c>
      <c r="M1399" s="4" t="inlineStr">
        <is>
          <t>[{"ingredient_id": "coffee", "name": "Brewed coffee / espresso", "grams": 150.0, "note": ""}, {"ingredient_id": "almond_milk", "name": "Almond milk, unsweetened", "grams": 300.0, "note": ""}, {"ingredient_id": "cinnamon", "name": "Ground cinnamon", "grams": 2.0, "note": ""}, {"ingredient_id": "vanilla_extract", "name": "Vanilla extract", "grams": 3.0, "note": ""}, {"ingredient_id": "monk_fruit_sweetener", "name": "Monk fruit/erythritol sweetener", "grams": 4.0, "note": ""}]</t>
        </is>
      </c>
      <c r="N1399" s="2" t="n">
        <v>30</v>
      </c>
      <c r="O1399" s="5" t="n">
        <v>1</v>
      </c>
      <c r="P1399" s="5" t="n">
        <v>1.8</v>
      </c>
      <c r="Q1399" s="5" t="n">
        <v>1.9</v>
      </c>
      <c r="R1399" s="5" t="n">
        <v>0.5</v>
      </c>
      <c r="S1399" s="5" t="n">
        <v>1.4</v>
      </c>
      <c r="T1399" s="2" t="n">
        <v>17</v>
      </c>
      <c r="U1399" s="2" t="inlineStr">
        <is>
          <t>low</t>
        </is>
      </c>
      <c r="V1399" s="5" t="n">
        <v>0.2</v>
      </c>
      <c r="W1399" s="2" t="inlineStr">
        <is>
          <t>low</t>
        </is>
      </c>
      <c r="X1399" s="3" t="inlineStr">
        <is>
          <t>Negligible carbohydrate (&lt;5 g net/serving): GI has little practical meaning, glycemic load is what matters.</t>
        </is>
      </c>
      <c r="Y1399" s="3" t="inlineStr">
        <is>
          <t>0% of this dish's available carbohydrate comes from ingredients with a published, measured GI; the rest uses conventional placeholders (see Ingredients sheet)</t>
        </is>
      </c>
      <c r="Z1399" s="2" t="n">
        <v>0</v>
      </c>
      <c r="AA1399" s="3" t="inlineStr">
        <is>
          <t>vegan, gluten-free, dairy-free, low-carb</t>
        </is>
      </c>
      <c r="AB1399" s="3" t="inlineStr">
        <is>
          <t>1. Warm the almond milk with cinnamon, vanilla and sweetener and froth.
2. Pour over the coffee.</t>
        </is>
      </c>
      <c r="AC1399" s="4" t="inlineStr">
        <is>
          <t>["Warm the almond milk with cinnamon, vanilla and sweetener and froth.", "Pour over the coffee."]</t>
        </is>
      </c>
    </row>
    <row r="1400" ht="96" customHeight="1">
      <c r="A1400" s="2" t="inlineStr">
        <is>
          <t>DB-1399</t>
        </is>
      </c>
      <c r="B1400" s="3" t="inlineStr">
        <is>
          <t>Vegan Chili with Three Beans</t>
        </is>
      </c>
      <c r="C1400" s="4" t="inlineStr">
        <is>
          <t>Vegetarian &amp; Vegan</t>
        </is>
      </c>
      <c r="D1400" s="4" t="inlineStr">
        <is>
          <t>American</t>
        </is>
      </c>
      <c r="E1400" s="2" t="n">
        <v>6</v>
      </c>
      <c r="F1400" s="2" t="n">
        <v>15</v>
      </c>
      <c r="G1400" s="2" t="n">
        <v>40</v>
      </c>
      <c r="H1400" s="2" t="n">
        <v>55</v>
      </c>
      <c r="I1400" s="4" t="inlineStr">
        <is>
          <t>vegan-chili-with-three-beans.jpg</t>
        </is>
      </c>
      <c r="J1400" s="3" t="inlineStr">
        <is>
          <t>Vegan Chili with Three Beans, healthy food photography, plated, natural light</t>
        </is>
      </c>
      <c r="K1400" s="4" t="inlineStr"/>
      <c r="L1400" s="3" t="inlineStr">
        <is>
          <t>Kidney beans, cooked — 250 g (8.8 oz)
Black beans, cooked — 250 g (8.8 oz)
Pinto beans, cooked — 250 g (8.8 oz)
Diced tomatoes, canned — 400 g (14.1 oz)
Bell pepper — 150 g (5.3 oz)
Yellow onion — 150 g (5.3 oz)
Chili powder — 12 g (0.4 oz)
Ground cumin — 4 g (0.1 oz)
Garlic — 8 g (0.3 oz)
Vegetable broth, low sodium — 300 g (10.6 oz)
Extra-virgin olive oil — 15 g (0.5 oz)</t>
        </is>
      </c>
      <c r="M1400" s="4" t="inlineStr">
        <is>
          <t>[{"ingredient_id": "kidney_beans", "name": "Kidney beans, cooked", "grams": 250.0, "note": ""}, {"ingredient_id": "black_beans", "name": "Black beans, cooked", "grams": 250.0, "note": ""}, {"ingredient_id": "pinto_beans", "name": "Pinto beans, cooked", "grams": 250.0, "note": ""}, {"ingredient_id": "diced_tomatoes", "name": "Diced tomatoes, canned", "grams": 400.0, "note": ""}, {"ingredient_id": "bell_pepper", "name": "Bell pepper", "grams": 150.0, "note": ""}, {"ingredient_id": "onion", "name": "Yellow onion", "grams": 150.0, "note": ""}, {"ingredient_id": "chili_powder", "name": "Chili powder", "grams": 12.0, "note": ""}, {"ingredient_id": "cumin", "name": "Ground cumin", "grams": 4.0, "note": ""}, {"ingredient_id": "garlic", "name": "Garlic", "grams": 8.0, "note": ""}, {"ingredient_id": "vegetable_broth", "name": "Vegetable broth, low sodium", "grams": 300.0, "note": ""}, {"ingredient_id": "olive_oil", "name": "Extra-virgin olive oil", "grams": 15.0, "note": ""}]</t>
        </is>
      </c>
      <c r="N1400" s="2" t="n">
        <v>237</v>
      </c>
      <c r="O1400" s="5" t="n">
        <v>13.1</v>
      </c>
      <c r="P1400" s="5" t="n">
        <v>3.9</v>
      </c>
      <c r="Q1400" s="5" t="n">
        <v>39.8</v>
      </c>
      <c r="R1400" s="5" t="n">
        <v>12.8</v>
      </c>
      <c r="S1400" s="5" t="n">
        <v>27.1</v>
      </c>
      <c r="T1400" s="2" t="n">
        <v>30</v>
      </c>
      <c r="U1400" s="2" t="inlineStr">
        <is>
          <t>low</t>
        </is>
      </c>
      <c r="V1400" s="5" t="n">
        <v>8.1</v>
      </c>
      <c r="W1400" s="2" t="inlineStr">
        <is>
          <t>low</t>
        </is>
      </c>
      <c r="X1400" s="3" t="inlineStr"/>
      <c r="Y1400" s="3" t="inlineStr">
        <is>
          <t>75% of this dish's available carbohydrate comes from ingredients with a published, measured GI; the rest uses conventional placeholders (see Ingredients sheet)</t>
        </is>
      </c>
      <c r="Z1400" s="2" t="n">
        <v>75</v>
      </c>
      <c r="AA1400" s="3" t="inlineStr">
        <is>
          <t>vegan, gluten-free, dairy-free, nut-free, high-fiber</t>
        </is>
      </c>
      <c r="AB1400" s="3" t="inlineStr">
        <is>
          <t>1. Soften the onion, pepper and garlic in oil.
2. Add the spices, tomatoes, beans and broth.
3. Simmer 30 minutes.</t>
        </is>
      </c>
      <c r="AC1400" s="4" t="inlineStr">
        <is>
          <t>["Soften the onion, pepper and garlic in oil.", "Add the spices, tomatoes, beans and broth.", "Simmer 30 minutes."]</t>
        </is>
      </c>
    </row>
    <row r="1401" ht="96" customHeight="1">
      <c r="A1401" s="2" t="inlineStr">
        <is>
          <t>DB-1400</t>
        </is>
      </c>
      <c r="B1401" s="3" t="inlineStr">
        <is>
          <t>Lentil Shepherd's Pie with Mashed Potato Crust</t>
        </is>
      </c>
      <c r="C1401" s="4" t="inlineStr">
        <is>
          <t>Vegetarian &amp; Vegan</t>
        </is>
      </c>
      <c r="D1401" s="4" t="inlineStr">
        <is>
          <t>American</t>
        </is>
      </c>
      <c r="E1401" s="2" t="n">
        <v>6</v>
      </c>
      <c r="F1401" s="2" t="n">
        <v>20</v>
      </c>
      <c r="G1401" s="2" t="n">
        <v>40</v>
      </c>
      <c r="H1401" s="2" t="n">
        <v>60</v>
      </c>
      <c r="I1401" s="4" t="inlineStr">
        <is>
          <t>lentil-shepherd-s-pie-with-mashed-potato-crust.jpg</t>
        </is>
      </c>
      <c r="J1401" s="3" t="inlineStr">
        <is>
          <t>Lentil Shepherd's Pie with Mashed Potato Crust, healthy food photography, plated, natural light</t>
        </is>
      </c>
      <c r="K1401" s="4" t="inlineStr"/>
      <c r="L1401" s="3" t="inlineStr">
        <is>
          <t>Lentils, cooked — 300 g (10.6 oz)
Potato, boiled, peeled — 720 g (25.4 oz)
Carrot — 150 g (5.3 oz)
Green peas — 100 g (3.5 oz)
Yellow onion — 120 g (4.2 oz)
Tomato paste — 30 g (1.1 oz)
Vegetable broth, low sodium — 300 g (10.6 oz)
Milk, 2% — 80 g (2.8 oz)
Butter — 20 g (0.7 oz)
Fresh thyme — 2 g (0.1 oz)</t>
        </is>
      </c>
      <c r="M1401" s="4" t="inlineStr">
        <is>
          <t>[{"ingredient_id": "lentils", "name": "Lentils, cooked", "grams": 300.0, "note": ""}, {"ingredient_id": "potato_boiled", "name": "Potato, boiled, peeled", "grams": 720.0, "note": ""}, {"ingredient_id": "carrot", "name": "Carrot", "grams": 150.0, "note": ""}, {"ingredient_id": "green_peas", "name": "Green peas", "grams": 100.0, "note": ""}, {"ingredient_id": "onion", "name": "Yellow onion", "grams": 120.0, "note": ""}, {"ingredient_id": "tomato_paste", "name": "Tomato paste", "grams": 30.0, "note": ""}, {"ingredient_id": "vegetable_broth", "name": "Vegetable broth, low sodium", "grams": 300.0, "note": ""}, {"ingredient_id": "milk", "name": "Milk, 2%", "grams": 80.0, "note": ""}, {"ingredient_id": "butter", "name": "Butter", "grams": 20.0, "note": ""}, {"ingredient_id": "thyme", "name": "Fresh thyme", "grams": 2.0, "note": ""}]</t>
        </is>
      </c>
      <c r="N1401" s="2" t="n">
        <v>240</v>
      </c>
      <c r="O1401" s="5" t="n">
        <v>9.1</v>
      </c>
      <c r="P1401" s="5" t="n">
        <v>3.6</v>
      </c>
      <c r="Q1401" s="5" t="n">
        <v>44.8</v>
      </c>
      <c r="R1401" s="5" t="n">
        <v>8</v>
      </c>
      <c r="S1401" s="5" t="n">
        <v>36.8</v>
      </c>
      <c r="T1401" s="2" t="n">
        <v>54</v>
      </c>
      <c r="U1401" s="2" t="inlineStr">
        <is>
          <t>low</t>
        </is>
      </c>
      <c r="V1401" s="5" t="n">
        <v>19.9</v>
      </c>
      <c r="W1401" s="2" t="inlineStr">
        <is>
          <t>medium</t>
        </is>
      </c>
      <c r="X1401" s="3" t="inlineStr"/>
      <c r="Y1401" s="3" t="inlineStr">
        <is>
          <t>92% of this dish's available carbohydrate comes from ingredients with a published, measured GI; the rest uses conventional placeholders (see Ingredients sheet)</t>
        </is>
      </c>
      <c r="Z1401" s="2" t="n">
        <v>92</v>
      </c>
      <c r="AA1401" s="3" t="inlineStr">
        <is>
          <t>vegetarian, gluten-free, nut-free, high-fiber</t>
        </is>
      </c>
      <c r="AB1401" s="3" t="inlineStr">
        <is>
          <t>1. Simmer the lentils with the carrot, onion, paste, broth and thyme until tender; add peas.
2. Mash the potatoes with milk and butter.
3. Top the lentils with the mash and bake at 400°F for 20 minutes.</t>
        </is>
      </c>
      <c r="AC1401" s="4" t="inlineStr">
        <is>
          <t>["Simmer the lentils with the carrot, onion, paste, broth and thyme until tender; add peas.", "Mash the potatoes with milk and butter.", "Top the lentils with the mash and bake at 400°F for 20 minutes."]</t>
        </is>
      </c>
    </row>
    <row r="1402" ht="96" customHeight="1">
      <c r="A1402" s="2" t="inlineStr">
        <is>
          <t>DB-1401</t>
        </is>
      </c>
      <c r="B1402" s="3" t="inlineStr">
        <is>
          <t>Black Bean and Sweet Potato Enchiladas</t>
        </is>
      </c>
      <c r="C1402" s="4" t="inlineStr">
        <is>
          <t>Vegetarian &amp; Vegan</t>
        </is>
      </c>
      <c r="D1402" s="4" t="inlineStr">
        <is>
          <t>Tex-Mex</t>
        </is>
      </c>
      <c r="E1402" s="2" t="n">
        <v>5</v>
      </c>
      <c r="F1402" s="2" t="n">
        <v>20</v>
      </c>
      <c r="G1402" s="2" t="n">
        <v>30</v>
      </c>
      <c r="H1402" s="2" t="n">
        <v>50</v>
      </c>
      <c r="I1402" s="4" t="inlineStr">
        <is>
          <t>black-bean-and-sweet-potato-enchiladas.jpg</t>
        </is>
      </c>
      <c r="J1402" s="3" t="inlineStr">
        <is>
          <t>Black Bean and Sweet Potato Enchiladas, healthy food photography, plated, natural light</t>
        </is>
      </c>
      <c r="K1402" s="4" t="inlineStr"/>
      <c r="L1402" s="3" t="inlineStr">
        <is>
          <t>Corn tortilla — 250 g (8.8 oz)
Black beans, cooked — 250 g (8.8 oz)
Sweet potato, baked/roasted — 300 g (10.6 oz)
Red enchilada sauce, no sugar added — 300 g (10.6 oz)
Cheddar cheese — 100 g (3.5 oz)
Yellow onion — 80 g (2.8 oz)
Fresh cilantro — 5 g (0.2 oz)</t>
        </is>
      </c>
      <c r="M1402" s="4" t="inlineStr">
        <is>
          <t>[{"ingredient_id": "corn_tortilla", "name": "Corn tortilla", "grams": 250.0, "note": ""}, {"ingredient_id": "black_beans", "name": "Black beans, cooked", "grams": 250.0, "note": ""}, {"ingredient_id": "sweet_potato_roasted", "name": "Sweet potato, baked/roasted", "grams": 300.0, "note": ""}, {"ingredient_id": "enchilada_sauce", "name": "Red enchilada sauce, no sugar added", "grams": 300.0, "note": ""}, {"ingredient_id": "cheddar", "name": "Cheddar cheese", "grams": 100.0, "note": ""}, {"ingredient_id": "onion", "name": "Yellow onion", "grams": 80.0, "note": ""}, {"ingredient_id": "cilantro", "name": "Fresh cilantro", "grams": 5.0, "note": ""}]</t>
        </is>
      </c>
      <c r="N1402" s="2" t="n">
        <v>338</v>
      </c>
      <c r="O1402" s="5" t="n">
        <v>13.7</v>
      </c>
      <c r="P1402" s="5" t="n">
        <v>9.6</v>
      </c>
      <c r="Q1402" s="5" t="n">
        <v>51.1</v>
      </c>
      <c r="R1402" s="5" t="n">
        <v>10.2</v>
      </c>
      <c r="S1402" s="5" t="n">
        <v>40.9</v>
      </c>
      <c r="T1402" s="2" t="n">
        <v>53</v>
      </c>
      <c r="U1402" s="2" t="inlineStr">
        <is>
          <t>low</t>
        </is>
      </c>
      <c r="V1402" s="5" t="n">
        <v>21.7</v>
      </c>
      <c r="W1402" s="2" t="inlineStr">
        <is>
          <t>high</t>
        </is>
      </c>
      <c r="X1402" s="3" t="inlineStr"/>
      <c r="Y1402" s="3" t="inlineStr">
        <is>
          <t>91% of this dish's available carbohydrate comes from ingredients with a published, measured GI; the rest uses conventional placeholders (see Ingredients sheet)</t>
        </is>
      </c>
      <c r="Z1402" s="2" t="n">
        <v>91</v>
      </c>
      <c r="AA1402" s="3" t="inlineStr">
        <is>
          <t>vegetarian, gluten-free, nut-free, high-fiber</t>
        </is>
      </c>
      <c r="AB1402" s="3" t="inlineStr">
        <is>
          <t>1. Mix the beans, mashed sweet potato and onion.
2. Fill the tortillas, roll and pack in a dish.
3. Cover with sauce and cheddar and bake at 375°F for 20 minutes.</t>
        </is>
      </c>
      <c r="AC1402" s="4" t="inlineStr">
        <is>
          <t>["Mix the beans, mashed sweet potato and onion.", "Fill the tortillas, roll and pack in a dish.", "Cover with sauce and cheddar and bake at 375°F for 20 minutes."]</t>
        </is>
      </c>
    </row>
    <row r="1403" ht="96" customHeight="1">
      <c r="A1403" s="2" t="inlineStr">
        <is>
          <t>DB-1402</t>
        </is>
      </c>
      <c r="B1403" s="3" t="inlineStr">
        <is>
          <t>Eggplant and Chickpea Curry</t>
        </is>
      </c>
      <c r="C1403" s="4" t="inlineStr">
        <is>
          <t>Vegetarian &amp; Vegan</t>
        </is>
      </c>
      <c r="D1403" s="4" t="inlineStr">
        <is>
          <t>Indian</t>
        </is>
      </c>
      <c r="E1403" s="2" t="n">
        <v>5</v>
      </c>
      <c r="F1403" s="2" t="n">
        <v>15</v>
      </c>
      <c r="G1403" s="2" t="n">
        <v>30</v>
      </c>
      <c r="H1403" s="2" t="n">
        <v>45</v>
      </c>
      <c r="I1403" s="4" t="inlineStr">
        <is>
          <t>eggplant-and-chickpea-curry.jpg</t>
        </is>
      </c>
      <c r="J1403" s="3" t="inlineStr">
        <is>
          <t>Eggplant and Chickpea Curry, healthy food photography, plated, natural light</t>
        </is>
      </c>
      <c r="K1403" s="4" t="inlineStr"/>
      <c r="L1403" s="3" t="inlineStr">
        <is>
          <t>Eggplant — 450 g (15.9 oz)
Chickpeas, cooked — 300 g (10.6 oz)
Diced tomatoes, canned — 400 g (14.1 oz)
Yellow onion — 120 g (4.2 oz)
Coconut milk, canned light — 200 g (7.1 oz)
Curry powder — 8 g (0.3 oz)
Garlic — 8 g (0.3 oz)
Fresh ginger — 8 g (0.3 oz)
Extra-virgin olive oil — 15 g (0.5 oz)
Fresh cilantro — 5 g (0.2 oz)</t>
        </is>
      </c>
      <c r="M1403" s="4" t="inlineStr">
        <is>
          <t>[{"ingredient_id": "eggplant", "name": "Eggplant", "grams": 450.0, "note": ""}, {"ingredient_id": "chickpeas", "name": "Chickpeas, cooked", "grams": 300.0, "note": ""}, {"ingredient_id": "diced_tomatoes", "name": "Diced tomatoes, canned", "grams": 400.0, "note": ""}, {"ingredient_id": "onion", "name": "Yellow onion", "grams": 120.0, "note": ""}, {"ingredient_id": "coconut_milk_light", "name": "Coconut milk, canned light", "grams": 200.0, "note": ""}, {"ingredient_id": "curry_powder", "name": "Curry powder", "grams": 8.0, "note": ""}, {"ingredient_id": "garlic", "name": "Garlic", "grams": 8.0, "note": ""}, {"ingredient_id": "ginger", "name": "Fresh ginger", "grams": 8.0, "note": ""}, {"ingredient_id": "olive_oil", "name": "Extra-virgin olive oil", "grams": 15.0, "note": ""}, {"ingredient_id": "cilantro", "name": "Fresh cilantro", "grams": 5.0, "note": ""}]</t>
        </is>
      </c>
      <c r="N1403" s="2" t="n">
        <v>213</v>
      </c>
      <c r="O1403" s="5" t="n">
        <v>8.1</v>
      </c>
      <c r="P1403" s="5" t="n">
        <v>7.6</v>
      </c>
      <c r="Q1403" s="5" t="n">
        <v>30.6</v>
      </c>
      <c r="R1403" s="5" t="n">
        <v>9.800000000000001</v>
      </c>
      <c r="S1403" s="5" t="n">
        <v>20.8</v>
      </c>
      <c r="T1403" s="2" t="n">
        <v>32</v>
      </c>
      <c r="U1403" s="2" t="inlineStr">
        <is>
          <t>low</t>
        </is>
      </c>
      <c r="V1403" s="5" t="n">
        <v>6.7</v>
      </c>
      <c r="W1403" s="2" t="inlineStr">
        <is>
          <t>low</t>
        </is>
      </c>
      <c r="X1403" s="3" t="inlineStr"/>
      <c r="Y1403" s="3" t="inlineStr">
        <is>
          <t>56% of this dish's available carbohydrate comes from ingredients with a published, measured GI; the rest uses conventional placeholders (see Ingredients sheet)</t>
        </is>
      </c>
      <c r="Z1403" s="2" t="n">
        <v>56</v>
      </c>
      <c r="AA1403" s="3" t="inlineStr">
        <is>
          <t>vegan, gluten-free, dairy-free, nut-free, high-fiber</t>
        </is>
      </c>
      <c r="AB1403" s="3" t="inlineStr">
        <is>
          <t>1. Brown the cubed eggplant in oil and set aside.
2. Soften the onion, garlic and ginger with the curry powder.
3. Add the tomatoes, chickpeas, coconut milk and eggplant and simmer 20 minutes.</t>
        </is>
      </c>
      <c r="AC1403" s="4" t="inlineStr">
        <is>
          <t>["Brown the cubed eggplant in oil and set aside.", "Soften the onion, garlic and ginger with the curry powder.", "Add the tomatoes, chickpeas, coconut milk and eggplant and simmer 20 minutes."]</t>
        </is>
      </c>
    </row>
    <row r="1404" ht="96" customHeight="1">
      <c r="A1404" s="2" t="inlineStr">
        <is>
          <t>DB-1403</t>
        </is>
      </c>
      <c r="B1404" s="3" t="inlineStr">
        <is>
          <t>Tofu Scramble Breakfast Burrito Bowl</t>
        </is>
      </c>
      <c r="C1404" s="4" t="inlineStr">
        <is>
          <t>Vegetarian &amp; Vegan</t>
        </is>
      </c>
      <c r="D1404" s="4" t="inlineStr">
        <is>
          <t>Tex-Mex</t>
        </is>
      </c>
      <c r="E1404" s="2" t="n">
        <v>3</v>
      </c>
      <c r="F1404" s="2" t="n">
        <v>10</v>
      </c>
      <c r="G1404" s="2" t="n">
        <v>12</v>
      </c>
      <c r="H1404" s="2" t="n">
        <v>22</v>
      </c>
      <c r="I1404" s="4" t="inlineStr">
        <is>
          <t>tofu-scramble-breakfast-burrito-bowl.jpg</t>
        </is>
      </c>
      <c r="J1404" s="3" t="inlineStr">
        <is>
          <t>Tofu Scramble Breakfast Burrito Bowl, healthy food photography, plated, natural light</t>
        </is>
      </c>
      <c r="K1404" s="4" t="inlineStr"/>
      <c r="L1404" s="3" t="inlineStr">
        <is>
          <t>Tofu, extra-firm — 350 g (12.3 oz)
Black beans, cooked — 150 g (5.3 oz)
Bell pepper — 100 g (3.5 oz)
Salsa, no sugar added — 100 g (3.5 oz)
Avocado — 100 g (3.5 oz)
Ground turmeric — 1 g (0.0 oz)
Ground cumin — 2 g (0.1 oz)
Extra-virgin olive oil — 10 g (0.4 oz)
White rice, long-grain, cooked — 240 g (8.5 oz)</t>
        </is>
      </c>
      <c r="M1404" s="4" t="inlineStr">
        <is>
          <t>[{"ingredient_id": "tofu", "name": "Tofu, extra-firm", "grams": 350.0, "note": ""}, {"ingredient_id": "black_beans", "name": "Black beans, cooked", "grams": 150.0, "note": ""}, {"ingredient_id": "bell_pepper", "name": "Bell pepper", "grams": 100.0, "note": ""}, {"ingredient_id": "salsa", "name": "Salsa, no sugar added", "grams": 100.0, "note": ""}, {"ingredient_id": "avocado", "name": "Avocado", "grams": 100.0, "note": ""}, {"ingredient_id": "turmeric", "name": "Ground turmeric", "grams": 1.0, "note": ""}, {"ingredient_id": "cumin", "name": "Ground cumin", "grams": 2.0, "note": ""}, {"ingredient_id": "olive_oil", "name": "Extra-virgin olive oil", "grams": 10.0, "note": ""}, {"ingredient_id": "white_rice", "name": "White rice, long-grain, cooked", "grams": 240.0, "note": ""}]</t>
        </is>
      </c>
      <c r="N1404" s="2" t="n">
        <v>446</v>
      </c>
      <c r="O1404" s="5" t="n">
        <v>28.1</v>
      </c>
      <c r="P1404" s="5" t="n">
        <v>19.6</v>
      </c>
      <c r="Q1404" s="5" t="n">
        <v>45.4</v>
      </c>
      <c r="R1404" s="5" t="n">
        <v>10.6</v>
      </c>
      <c r="S1404" s="5" t="n">
        <v>34.9</v>
      </c>
      <c r="T1404" s="2" t="n">
        <v>58</v>
      </c>
      <c r="U1404" s="2" t="inlineStr">
        <is>
          <t>medium</t>
        </is>
      </c>
      <c r="V1404" s="5" t="n">
        <v>20.2</v>
      </c>
      <c r="W1404" s="2" t="inlineStr">
        <is>
          <t>high</t>
        </is>
      </c>
      <c r="X1404" s="3" t="inlineStr">
        <is>
          <t>Medium-GI dish: keep to the stated portion and pair with the protein/fat in the recipe; GL per serving is the better guide.</t>
        </is>
      </c>
      <c r="Y1404" s="3" t="inlineStr">
        <is>
          <t>85% of this dish's available carbohydrate comes from ingredients with a published, measured GI; the rest uses conventional placeholders (see Ingredients sheet)</t>
        </is>
      </c>
      <c r="Z1404" s="2" t="n">
        <v>85</v>
      </c>
      <c r="AA1404" s="3" t="inlineStr">
        <is>
          <t>vegan, gluten-free, dairy-free, nut-free, high-protein, high-fiber</t>
        </is>
      </c>
      <c r="AB1404" s="3" t="inlineStr">
        <is>
          <t>1. Crumble the tofu and sauté with the pepper, turmeric and cumin in oil.
2. Warm the beans and rice.
3. Build bowls and top with salsa and avocado.</t>
        </is>
      </c>
      <c r="AC1404" s="4" t="inlineStr">
        <is>
          <t>["Crumble the tofu and sauté with the pepper, turmeric and cumin in oil.", "Warm the beans and rice.", "Build bowls and top with salsa and avocado."]</t>
        </is>
      </c>
    </row>
    <row r="1405" ht="96" customHeight="1">
      <c r="A1405" s="2" t="inlineStr">
        <is>
          <t>DB-1404</t>
        </is>
      </c>
      <c r="B1405" s="3" t="inlineStr">
        <is>
          <t>Peanut Tofu Stir-Fry with Broccoli</t>
        </is>
      </c>
      <c r="C1405" s="4" t="inlineStr">
        <is>
          <t>Vegetarian &amp; Vegan</t>
        </is>
      </c>
      <c r="D1405" s="4" t="inlineStr">
        <is>
          <t>Asian</t>
        </is>
      </c>
      <c r="E1405" s="2" t="n">
        <v>4</v>
      </c>
      <c r="F1405" s="2" t="n">
        <v>15</v>
      </c>
      <c r="G1405" s="2" t="n">
        <v>15</v>
      </c>
      <c r="H1405" s="2" t="n">
        <v>30</v>
      </c>
      <c r="I1405" s="4" t="inlineStr">
        <is>
          <t>peanut-tofu-stir-fry-with-broccoli.jpg</t>
        </is>
      </c>
      <c r="J1405" s="3" t="inlineStr">
        <is>
          <t>Peanut Tofu Stir-Fry with Broccoli, healthy food photography, plated, natural light</t>
        </is>
      </c>
      <c r="K1405" s="4" t="inlineStr"/>
      <c r="L1405" s="3" t="inlineStr">
        <is>
          <t>Tofu, extra-firm — 400 g (14.1 oz)
Broccoli — 350 g (12.3 oz)
Peanut butter, natural — 40 g (1.4 oz)
Soy sauce, low sodium — 30 g (1.1 oz)
Rice vinegar, unseasoned — 15 g (0.5 oz)
Fresh ginger — 8 g (0.3 oz)
Garlic — 6 g (0.2 oz)
Red pepper flakes — 1 g (0.0 oz)
Extra-virgin olive oil — 15 g (0.5 oz)</t>
        </is>
      </c>
      <c r="M1405" s="4" t="inlineStr">
        <is>
          <t>[{"ingredient_id": "tofu", "name": "Tofu, extra-firm", "grams": 400.0, "note": ""}, {"ingredient_id": "broccoli", "name": "Broccoli", "grams": 350.0, "note": ""}, {"ingredient_id": "peanut_butter", "name": "Peanut butter, natural", "grams": 40.0, "note": ""}, {"ingredient_id": "soy_sauce", "name": "Soy sauce, low sodium", "grams": 30.0, "note": ""}, {"ingredient_id": "rice_vinegar", "name": "Rice vinegar, unseasoned", "grams": 15.0, "note": ""}, {"ingredient_id": "ginger", "name": "Fresh ginger", "grams": 8.0, "note": ""}, {"ingredient_id": "garlic", "name": "Garlic", "grams": 6.0, "note": ""}, {"ingredient_id": "red_pepper_flakes", "name": "Red pepper flakes", "grams": 1.0, "note": ""}, {"ingredient_id": "olive_oil", "name": "Extra-virgin olive oil", "grams": 15.0, "note": ""}]</t>
        </is>
      </c>
      <c r="N1405" s="2" t="n">
        <v>275</v>
      </c>
      <c r="O1405" s="5" t="n">
        <v>22.7</v>
      </c>
      <c r="P1405" s="5" t="n">
        <v>18.2</v>
      </c>
      <c r="Q1405" s="5" t="n">
        <v>12.2</v>
      </c>
      <c r="R1405" s="5" t="n">
        <v>5.1</v>
      </c>
      <c r="S1405" s="5" t="n">
        <v>7.1</v>
      </c>
      <c r="T1405" s="2" t="n">
        <v>16</v>
      </c>
      <c r="U1405" s="2" t="inlineStr">
        <is>
          <t>low</t>
        </is>
      </c>
      <c r="V1405" s="5" t="n">
        <v>1.1</v>
      </c>
      <c r="W1405" s="2" t="inlineStr">
        <is>
          <t>low</t>
        </is>
      </c>
      <c r="X1405" s="3" t="inlineStr"/>
      <c r="Y1405" s="3" t="inlineStr">
        <is>
          <t>0% of this dish's available carbohydrate comes from ingredients with a published, measured GI; the rest uses conventional placeholders (see Ingredients sheet)</t>
        </is>
      </c>
      <c r="Z1405" s="2" t="n">
        <v>0</v>
      </c>
      <c r="AA1405" s="3" t="inlineStr">
        <is>
          <t>vegan, dairy-free, low-carb</t>
        </is>
      </c>
      <c r="AB1405" s="3" t="inlineStr">
        <is>
          <t>1. Brown the cubed tofu in oil.
2. Stir-fry the broccoli, garlic and ginger.
3. Whisk the peanut butter with soy sauce, vinegar and pepper flakes and toss everything together.</t>
        </is>
      </c>
      <c r="AC1405" s="4" t="inlineStr">
        <is>
          <t>["Brown the cubed tofu in oil.", "Stir-fry the broccoli, garlic and ginger.", "Whisk the peanut butter with soy sauce, vinegar and pepper flakes and toss everything together."]</t>
        </is>
      </c>
    </row>
    <row r="1406" ht="96" customHeight="1">
      <c r="A1406" s="2" t="inlineStr">
        <is>
          <t>DB-1405</t>
        </is>
      </c>
      <c r="B1406" s="3" t="inlineStr">
        <is>
          <t>Chickpea Salad Sandwich Filling in Lettuce Cups</t>
        </is>
      </c>
      <c r="C1406" s="4" t="inlineStr">
        <is>
          <t>Vegetarian &amp; Vegan</t>
        </is>
      </c>
      <c r="D1406" s="4" t="inlineStr">
        <is>
          <t>American</t>
        </is>
      </c>
      <c r="E1406" s="2" t="n">
        <v>4</v>
      </c>
      <c r="F1406" s="2" t="n">
        <v>10</v>
      </c>
      <c r="G1406" s="2" t="n">
        <v>0</v>
      </c>
      <c r="H1406" s="2" t="n">
        <v>10</v>
      </c>
      <c r="I1406" s="4" t="inlineStr">
        <is>
          <t>chickpea-salad-sandwich-filling-in-lettuce-cups.jpg</t>
        </is>
      </c>
      <c r="J1406" s="3" t="inlineStr">
        <is>
          <t>Chickpea Salad Sandwich Filling in Lettuce Cups, healthy food photography, plated, natural light</t>
        </is>
      </c>
      <c r="K1406" s="4" t="inlineStr"/>
      <c r="L1406" s="3" t="inlineStr">
        <is>
          <t>Chickpeas, cooked — 400 g (14.1 oz)
Greek yogurt, plain 2% — 80 g (2.8 oz)
Celery — 50 g (1.8 oz)
Red onion — 30 g (1.1 oz)
Dijon mustard — 10 g (0.4 oz)
Lemon juice — 15 g (0.5 oz)
Fresh dill — 4 g (0.1 oz)
Butter lettuce — 120 g (4.2 oz)</t>
        </is>
      </c>
      <c r="M1406" s="4" t="inlineStr">
        <is>
          <t>[{"ingredient_id": "chickpeas", "name": "Chickpeas, cooked", "grams": 400.0, "note": ""}, {"ingredient_id": "greek_yogurt", "name": "Greek yogurt, plain 2%", "grams": 80.0, "note": ""}, {"ingredient_id": "celery", "name": "Celery", "grams": 50.0, "note": ""}, {"ingredient_id": "red_onion", "name": "Red onion", "grams": 30.0, "note": ""}, {"ingredient_id": "dijon", "name": "Dijon mustard", "grams": 10.0, "note": ""}, {"ingredient_id": "lemon_juice", "name": "Lemon juice", "grams": 15.0, "note": ""}, {"ingredient_id": "dill", "name": "Fresh dill", "grams": 4.0, "note": ""}, {"ingredient_id": "butter_lettuce", "name": "Butter lettuce", "grams": 120.0, "note": ""}]</t>
        </is>
      </c>
      <c r="N1406" s="2" t="n">
        <v>190</v>
      </c>
      <c r="O1406" s="5" t="n">
        <v>11.6</v>
      </c>
      <c r="P1406" s="5" t="n">
        <v>3.2</v>
      </c>
      <c r="Q1406" s="5" t="n">
        <v>30</v>
      </c>
      <c r="R1406" s="5" t="n">
        <v>8.4</v>
      </c>
      <c r="S1406" s="5" t="n">
        <v>21.6</v>
      </c>
      <c r="T1406" s="2" t="n">
        <v>36</v>
      </c>
      <c r="U1406" s="2" t="inlineStr">
        <is>
          <t>low</t>
        </is>
      </c>
      <c r="V1406" s="5" t="n">
        <v>7.8</v>
      </c>
      <c r="W1406" s="2" t="inlineStr">
        <is>
          <t>low</t>
        </is>
      </c>
      <c r="X1406" s="3" t="inlineStr"/>
      <c r="Y1406" s="3" t="inlineStr">
        <is>
          <t>93% of this dish's available carbohydrate comes from ingredients with a published, measured GI; the rest uses conventional placeholders (see Ingredients sheet)</t>
        </is>
      </c>
      <c r="Z1406" s="2" t="n">
        <v>93</v>
      </c>
      <c r="AA1406" s="3" t="inlineStr">
        <is>
          <t>vegetarian, gluten-free, nut-free, high-fiber, no-cook</t>
        </is>
      </c>
      <c r="AB1406" s="3" t="inlineStr">
        <is>
          <t>1. Mash the chickpeas roughly.
2. Mix with yogurt, celery, onion, mustard, lemon and dill.
3. Serve in lettuce cups.</t>
        </is>
      </c>
      <c r="AC1406" s="4" t="inlineStr">
        <is>
          <t>["Mash the chickpeas roughly.", "Mix with yogurt, celery, onion, mustard, lemon and dill.", "Serve in lettuce cups."]</t>
        </is>
      </c>
    </row>
    <row r="1407" ht="96" customHeight="1">
      <c r="A1407" s="2" t="inlineStr">
        <is>
          <t>DB-1406</t>
        </is>
      </c>
      <c r="B1407" s="3" t="inlineStr">
        <is>
          <t>Stuffed Bell Peppers with Quinoa and Black Beans</t>
        </is>
      </c>
      <c r="C1407" s="4" t="inlineStr">
        <is>
          <t>Vegetarian &amp; Vegan</t>
        </is>
      </c>
      <c r="D1407" s="4" t="inlineStr">
        <is>
          <t>Tex-Mex</t>
        </is>
      </c>
      <c r="E1407" s="2" t="n">
        <v>4</v>
      </c>
      <c r="F1407" s="2" t="n">
        <v>15</v>
      </c>
      <c r="G1407" s="2" t="n">
        <v>40</v>
      </c>
      <c r="H1407" s="2" t="n">
        <v>55</v>
      </c>
      <c r="I1407" s="4" t="inlineStr">
        <is>
          <t>stuffed-bell-peppers-with-quinoa-and-black-beans.jpg</t>
        </is>
      </c>
      <c r="J1407" s="3" t="inlineStr">
        <is>
          <t>Stuffed Bell Peppers with Quinoa and Black Beans, healthy food photography, plated, natural light</t>
        </is>
      </c>
      <c r="K1407" s="4" t="inlineStr"/>
      <c r="L1407" s="3" t="inlineStr">
        <is>
          <t>Bell pepper — 600 g (21.2 oz)
Quinoa, cooked — 300 g (10.6 oz)
Black beans, cooked — 200 g (7.1 oz)
Sweet corn kernels — 100 g (3.5 oz)
Diced tomatoes, canned — 200 g (7.1 oz)
Ground cumin — 3 g (0.1 oz)
Chili powder — 3 g (0.1 oz)
Cheddar cheese — 60 g (2.1 oz)</t>
        </is>
      </c>
      <c r="M1407" s="4" t="inlineStr">
        <is>
          <t>[{"ingredient_id": "bell_pepper", "name": "Bell pepper", "grams": 600.0, "note": ""}, {"ingredient_id": "quinoa", "name": "Quinoa, cooked", "grams": 300.0, "note": ""}, {"ingredient_id": "black_beans", "name": "Black beans, cooked", "grams": 200.0, "note": ""}, {"ingredient_id": "corn", "name": "Sweet corn kernels", "grams": 100.0, "note": ""}, {"ingredient_id": "diced_tomatoes", "name": "Diced tomatoes, canned", "grams": 200.0, "note": ""}, {"ingredient_id": "cumin", "name": "Ground cumin", "grams": 3.0, "note": ""}, {"ingredient_id": "chili_powder", "name": "Chili powder", "grams": 3.0, "note": ""}, {"ingredient_id": "cheddar", "name": "Cheddar cheese", "grams": 60.0, "note": ""}]</t>
        </is>
      </c>
      <c r="N1407" s="2" t="n">
        <v>301</v>
      </c>
      <c r="O1407" s="5" t="n">
        <v>14.4</v>
      </c>
      <c r="P1407" s="5" t="n">
        <v>7.8</v>
      </c>
      <c r="Q1407" s="5" t="n">
        <v>44.8</v>
      </c>
      <c r="R1407" s="5" t="n">
        <v>11.4</v>
      </c>
      <c r="S1407" s="5" t="n">
        <v>33.4</v>
      </c>
      <c r="T1407" s="2" t="n">
        <v>39</v>
      </c>
      <c r="U1407" s="2" t="inlineStr">
        <is>
          <t>low</t>
        </is>
      </c>
      <c r="V1407" s="5" t="n">
        <v>13</v>
      </c>
      <c r="W1407" s="2" t="inlineStr">
        <is>
          <t>medium</t>
        </is>
      </c>
      <c r="X1407" s="3" t="inlineStr"/>
      <c r="Y1407" s="3" t="inlineStr">
        <is>
          <t>76% of this dish's available carbohydrate comes from ingredients with a published, measured GI; the rest uses conventional placeholders (see Ingredients sheet)</t>
        </is>
      </c>
      <c r="Z1407" s="2" t="n">
        <v>76</v>
      </c>
      <c r="AA1407" s="3" t="inlineStr">
        <is>
          <t>vegetarian, gluten-free, nut-free, high-fiber</t>
        </is>
      </c>
      <c r="AB1407" s="3" t="inlineStr">
        <is>
          <t>1. Mix the quinoa, beans, corn, tomatoes and spices.
2. Fill the halved peppers and top with cheddar.
3. Bake at 375°F for 30 minutes.</t>
        </is>
      </c>
      <c r="AC1407" s="4" t="inlineStr">
        <is>
          <t>["Mix the quinoa, beans, corn, tomatoes and spices.", "Fill the halved peppers and top with cheddar.", "Bake at 375°F for 30 minutes."]</t>
        </is>
      </c>
    </row>
    <row r="1408" ht="96" customHeight="1">
      <c r="A1408" s="2" t="inlineStr">
        <is>
          <t>DB-1407</t>
        </is>
      </c>
      <c r="B1408" s="3" t="inlineStr">
        <is>
          <t>Cauliflower Steak with Chimichurri</t>
        </is>
      </c>
      <c r="C1408" s="4" t="inlineStr">
        <is>
          <t>Vegetarian &amp; Vegan</t>
        </is>
      </c>
      <c r="D1408" s="4" t="inlineStr">
        <is>
          <t>Argentinian</t>
        </is>
      </c>
      <c r="E1408" s="2" t="n">
        <v>4</v>
      </c>
      <c r="F1408" s="2" t="n">
        <v>15</v>
      </c>
      <c r="G1408" s="2" t="n">
        <v>25</v>
      </c>
      <c r="H1408" s="2" t="n">
        <v>40</v>
      </c>
      <c r="I1408" s="4" t="inlineStr">
        <is>
          <t>cauliflower-steak-with-chimichurri.jpg</t>
        </is>
      </c>
      <c r="J1408" s="3" t="inlineStr">
        <is>
          <t>Cauliflower Steak with Chimichurri, healthy food photography, plated, natural light</t>
        </is>
      </c>
      <c r="K1408" s="4" t="inlineStr"/>
      <c r="L1408" s="3" t="inlineStr">
        <is>
          <t>Cauliflower — 800 g (28.2 oz)
Fresh parsley — 30 g (1.1 oz)
Garlic — 8 g (0.3 oz)
Red wine vinegar — 25 g (0.9 oz)
Extra-virgin olive oil — 45 g (1.6 oz)
Red pepper flakes — 1 g (0.0 oz)
Dried oregano — 2 g (0.1 oz)</t>
        </is>
      </c>
      <c r="M1408" s="4" t="inlineStr">
        <is>
          <t>[{"ingredient_id": "cauliflower", "name": "Cauliflower", "grams": 800.0, "note": ""}, {"ingredient_id": "parsley", "name": "Fresh parsley", "grams": 30.0, "note": ""}, {"ingredient_id": "garlic", "name": "Garlic", "grams": 8.0, "note": ""}, {"ingredient_id": "red_wine_vinegar", "name": "Red wine vinegar", "grams": 25.0, "note": ""}, {"ingredient_id": "olive_oil", "name": "Extra-virgin olive oil", "grams": 45.0, "note": ""}, {"ingredient_id": "red_pepper_flakes", "name": "Red pepper flakes", "grams": 1.0, "note": ""}, {"ingredient_id": "oregano", "name": "Dried oregano", "grams": 2.0, "note": ""}]</t>
        </is>
      </c>
      <c r="N1408" s="2" t="n">
        <v>158</v>
      </c>
      <c r="O1408" s="5" t="n">
        <v>4.2</v>
      </c>
      <c r="P1408" s="5" t="n">
        <v>12</v>
      </c>
      <c r="Q1408" s="5" t="n">
        <v>11.6</v>
      </c>
      <c r="R1408" s="5" t="n">
        <v>4.6</v>
      </c>
      <c r="S1408" s="5" t="n">
        <v>7.1</v>
      </c>
      <c r="T1408" s="2" t="n">
        <v>16</v>
      </c>
      <c r="U1408" s="2" t="inlineStr">
        <is>
          <t>low</t>
        </is>
      </c>
      <c r="V1408" s="5" t="n">
        <v>1.1</v>
      </c>
      <c r="W1408" s="2" t="inlineStr">
        <is>
          <t>low</t>
        </is>
      </c>
      <c r="X1408" s="3" t="inlineStr"/>
      <c r="Y1408" s="3" t="inlineStr">
        <is>
          <t>0% of this dish's available carbohydrate comes from ingredients with a published, measured GI; the rest uses conventional placeholders (see Ingredients sheet)</t>
        </is>
      </c>
      <c r="Z1408" s="2" t="n">
        <v>0</v>
      </c>
      <c r="AA1408" s="3" t="inlineStr">
        <is>
          <t>vegan, gluten-free, dairy-free, nut-free, low-carb</t>
        </is>
      </c>
      <c r="AB1408" s="3" t="inlineStr">
        <is>
          <t>1. Slice the cauliflower into thick steaks and roast with half the oil at 425°F for 25 minutes.
2. Chop the parsley and mix with garlic, vinegar, remaining oil and oregano.
3. Spoon over the steaks.</t>
        </is>
      </c>
      <c r="AC1408" s="4" t="inlineStr">
        <is>
          <t>["Slice the cauliflower into thick steaks and roast with half the oil at 425°F for 25 minutes.", "Chop the parsley and mix with garlic, vinegar, remaining oil and oregano.", "Spoon over the steaks."]</t>
        </is>
      </c>
    </row>
    <row r="1409" ht="96" customHeight="1">
      <c r="A1409" s="2" t="inlineStr">
        <is>
          <t>DB-1408</t>
        </is>
      </c>
      <c r="B1409" s="3" t="inlineStr">
        <is>
          <t>Portobello Fajita Wraps</t>
        </is>
      </c>
      <c r="C1409" s="4" t="inlineStr">
        <is>
          <t>Vegetarian &amp; Vegan</t>
        </is>
      </c>
      <c r="D1409" s="4" t="inlineStr">
        <is>
          <t>Tex-Mex</t>
        </is>
      </c>
      <c r="E1409" s="2" t="n">
        <v>4</v>
      </c>
      <c r="F1409" s="2" t="n">
        <v>15</v>
      </c>
      <c r="G1409" s="2" t="n">
        <v>12</v>
      </c>
      <c r="H1409" s="2" t="n">
        <v>27</v>
      </c>
      <c r="I1409" s="4" t="inlineStr">
        <is>
          <t>portobello-fajita-wraps.jpg</t>
        </is>
      </c>
      <c r="J1409" s="3" t="inlineStr">
        <is>
          <t>Portobello Fajita Wraps, healthy food photography, plated, natural light</t>
        </is>
      </c>
      <c r="K1409" s="4" t="inlineStr"/>
      <c r="L1409" s="3" t="inlineStr">
        <is>
          <t>Portobello mushrooms — 400 g (14.1 oz)
Bell pepper — 250 g (8.8 oz)
Yellow onion — 120 g (4.2 oz)
Flour tortilla, 8-inch — 240 g (8.5 oz)
Taco seasoning, low sodium — 10 g (0.4 oz)
Avocado — 100 g (3.5 oz)
Lime juice — 15 g (0.5 oz)
Extra-virgin olive oil — 15 g (0.5 oz)</t>
        </is>
      </c>
      <c r="M1409" s="4" t="inlineStr">
        <is>
          <t>[{"ingredient_id": "portobello", "name": "Portobello mushrooms", "grams": 400.0, "note": ""}, {"ingredient_id": "bell_pepper", "name": "Bell pepper", "grams": 250.0, "note": ""}, {"ingredient_id": "onion", "name": "Yellow onion", "grams": 120.0, "note": ""}, {"ingredient_id": "flour_tortilla", "name": "Flour tortilla, 8-inch", "grams": 240.0, "note": ""}, {"ingredient_id": "taco_seasoning", "name": "Taco seasoning, low sodium", "grams": 10.0, "note": ""}, {"ingredient_id": "avocado", "name": "Avocado", "grams": 100.0, "note": ""}, {"ingredient_id": "lime_juice", "name": "Lime juice", "grams": 15.0, "note": ""}, {"ingredient_id": "olive_oil", "name": "Extra-virgin olive oil", "grams": 15.0, "note": ""}]</t>
        </is>
      </c>
      <c r="N1409" s="2" t="n">
        <v>319</v>
      </c>
      <c r="O1409" s="5" t="n">
        <v>8.699999999999999</v>
      </c>
      <c r="P1409" s="5" t="n">
        <v>13.1</v>
      </c>
      <c r="Q1409" s="5" t="n">
        <v>43.9</v>
      </c>
      <c r="R1409" s="5" t="n">
        <v>7.5</v>
      </c>
      <c r="S1409" s="5" t="n">
        <v>36.4</v>
      </c>
      <c r="T1409" s="2" t="n">
        <v>29</v>
      </c>
      <c r="U1409" s="2" t="inlineStr">
        <is>
          <t>low</t>
        </is>
      </c>
      <c r="V1409" s="5" t="n">
        <v>10.5</v>
      </c>
      <c r="W1409" s="2" t="inlineStr">
        <is>
          <t>medium</t>
        </is>
      </c>
      <c r="X1409" s="3" t="inlineStr"/>
      <c r="Y1409" s="3" t="inlineStr">
        <is>
          <t>76% of this dish's available carbohydrate comes from ingredients with a published, measured GI; the rest uses conventional placeholders (see Ingredients sheet)</t>
        </is>
      </c>
      <c r="Z1409" s="2" t="n">
        <v>76</v>
      </c>
      <c r="AA1409" s="3" t="inlineStr">
        <is>
          <t>vegan, dairy-free, nut-free, high-fiber</t>
        </is>
      </c>
      <c r="AB1409" s="3" t="inlineStr">
        <is>
          <t>1. Slice the mushrooms, peppers and onion and sauté in oil with the seasoning.
2. Warm the tortillas.
3. Fill with vegetables and avocado and finish with lime.</t>
        </is>
      </c>
      <c r="AC1409" s="4" t="inlineStr">
        <is>
          <t>["Slice the mushrooms, peppers and onion and sauté in oil with the seasoning.", "Warm the tortillas.", "Fill with vegetables and avocado and finish with lime."]</t>
        </is>
      </c>
    </row>
    <row r="1410" ht="96" customHeight="1">
      <c r="A1410" s="2" t="inlineStr">
        <is>
          <t>DB-1409</t>
        </is>
      </c>
      <c r="B1410" s="3" t="inlineStr">
        <is>
          <t>Mediterranean Chickpea Bowls</t>
        </is>
      </c>
      <c r="C1410" s="4" t="inlineStr">
        <is>
          <t>Vegetarian &amp; Vegan</t>
        </is>
      </c>
      <c r="D1410" s="4" t="inlineStr">
        <is>
          <t>Mediterranean</t>
        </is>
      </c>
      <c r="E1410" s="2" t="n">
        <v>4</v>
      </c>
      <c r="F1410" s="2" t="n">
        <v>15</v>
      </c>
      <c r="G1410" s="2" t="n">
        <v>10</v>
      </c>
      <c r="H1410" s="2" t="n">
        <v>25</v>
      </c>
      <c r="I1410" s="4" t="inlineStr">
        <is>
          <t>mediterranean-chickpea-bowls.jpg</t>
        </is>
      </c>
      <c r="J1410" s="3" t="inlineStr">
        <is>
          <t>Mediterranean Chickpea Bowls, healthy food photography, plated, natural light</t>
        </is>
      </c>
      <c r="K1410" s="4" t="inlineStr"/>
      <c r="L1410" s="3" t="inlineStr">
        <is>
          <t>Chickpeas, cooked — 400 g (14.1 oz)
Cucumber — 150 g (5.3 oz)
Cherry tomatoes — 150 g (5.3 oz)
Red onion — 40 g (1.4 oz)
Feta cheese — 60 g (2.1 oz)
Olives (kalamata/green) — 40 g (1.4 oz)
Quinoa, cooked — 300 g (10.6 oz)
Lemon juice — 25 g (0.9 oz)
Extra-virgin olive oil — 25 g (0.9 oz)</t>
        </is>
      </c>
      <c r="M1410" s="4" t="inlineStr">
        <is>
          <t>[{"ingredient_id": "chickpeas", "name": "Chickpeas, cooked", "grams": 400.0, "note": ""}, {"ingredient_id": "cucumber", "name": "Cucumber", "grams": 150.0, "note": ""}, {"ingredient_id": "cherry_tomato", "name": "Cherry tomatoes", "grams": 150.0, "note": ""}, {"ingredient_id": "red_onion", "name": "Red onion", "grams": 40.0, "note": ""}, {"ingredient_id": "feta", "name": "Feta cheese", "grams": 60.0, "note": ""}, {"ingredient_id": "olives", "name": "Olives (kalamata/green)", "grams": 40.0, "note": ""}, {"ingredient_id": "quinoa", "name": "Quinoa, cooked", "grams": 300.0, "note": ""}, {"ingredient_id": "lemon_juice", "name": "Lemon juice", "grams": 25.0, "note": ""}, {"ingredient_id": "olive_oil", "name": "Extra-virgin olive oil", "grams": 25.0, "note": ""}]</t>
        </is>
      </c>
      <c r="N1410" s="2" t="n">
        <v>378</v>
      </c>
      <c r="O1410" s="5" t="n">
        <v>15.1</v>
      </c>
      <c r="P1410" s="5" t="n">
        <v>14.7</v>
      </c>
      <c r="Q1410" s="5" t="n">
        <v>48.1</v>
      </c>
      <c r="R1410" s="5" t="n">
        <v>10.8</v>
      </c>
      <c r="S1410" s="5" t="n">
        <v>37.3</v>
      </c>
      <c r="T1410" s="2" t="n">
        <v>41</v>
      </c>
      <c r="U1410" s="2" t="inlineStr">
        <is>
          <t>low</t>
        </is>
      </c>
      <c r="V1410" s="5" t="n">
        <v>15.3</v>
      </c>
      <c r="W1410" s="2" t="inlineStr">
        <is>
          <t>medium</t>
        </is>
      </c>
      <c r="X1410" s="3" t="inlineStr"/>
      <c r="Y1410" s="3" t="inlineStr">
        <is>
          <t>89% of this dish's available carbohydrate comes from ingredients with a published, measured GI; the rest uses conventional placeholders (see Ingredients sheet)</t>
        </is>
      </c>
      <c r="Z1410" s="2" t="n">
        <v>89</v>
      </c>
      <c r="AA1410" s="3" t="inlineStr">
        <is>
          <t>vegetarian, gluten-free, nut-free, high-fiber</t>
        </is>
      </c>
      <c r="AB1410" s="3" t="inlineStr">
        <is>
          <t>1. Roast or warm the chickpeas.
2. Build bowls from quinoa, chickpeas, cucumber, tomatoes, onion, olives and feta.
3. Dress with lemon and oil.</t>
        </is>
      </c>
      <c r="AC1410" s="4" t="inlineStr">
        <is>
          <t>["Roast or warm the chickpeas.", "Build bowls from quinoa, chickpeas, cucumber, tomatoes, onion, olives and feta.", "Dress with lemon and oil."]</t>
        </is>
      </c>
    </row>
    <row r="1411" ht="96" customHeight="1">
      <c r="A1411" s="2" t="inlineStr">
        <is>
          <t>DB-1410</t>
        </is>
      </c>
      <c r="B1411" s="3" t="inlineStr">
        <is>
          <t>Lentil Bolognese over Zucchini Noodles</t>
        </is>
      </c>
      <c r="C1411" s="4" t="inlineStr">
        <is>
          <t>Vegetarian &amp; Vegan</t>
        </is>
      </c>
      <c r="D1411" s="4" t="inlineStr">
        <is>
          <t>Italian</t>
        </is>
      </c>
      <c r="E1411" s="2" t="n">
        <v>4</v>
      </c>
      <c r="F1411" s="2" t="n">
        <v>10</v>
      </c>
      <c r="G1411" s="2" t="n">
        <v>30</v>
      </c>
      <c r="H1411" s="2" t="n">
        <v>40</v>
      </c>
      <c r="I1411" s="4" t="inlineStr">
        <is>
          <t>lentil-bolognese-over-zucchini-noodles.jpg</t>
        </is>
      </c>
      <c r="J1411" s="3" t="inlineStr">
        <is>
          <t>Lentil Bolognese over Zucchini Noodles, healthy food photography, plated, natural light</t>
        </is>
      </c>
      <c r="K1411" s="4" t="inlineStr"/>
      <c r="L1411" s="3" t="inlineStr">
        <is>
          <t>Lentils, cooked — 250 g (8.8 oz)
Marinara sauce, no sugar added — 400 g (14.1 oz)
Zucchini noodles (zoodles) — 500 g (17.6 oz)
Yellow onion — 100 g (3.5 oz)
Carrot — 80 g (2.8 oz)
Garlic — 6 g (0.2 oz)
Italian seasoning — 3 g (0.1 oz)
Parmesan, grated — 30 g (1.1 oz)</t>
        </is>
      </c>
      <c r="M1411" s="4" t="inlineStr">
        <is>
          <t>[{"ingredient_id": "lentils", "name": "Lentils, cooked", "grams": 250.0, "note": ""}, {"ingredient_id": "marinara", "name": "Marinara sauce, no sugar added", "grams": 400.0, "note": ""}, {"ingredient_id": "zucchini_noodles", "name": "Zucchini noodles (zoodles)", "grams": 500.0, "note": ""}, {"ingredient_id": "onion", "name": "Yellow onion", "grams": 100.0, "note": ""}, {"ingredient_id": "carrot", "name": "Carrot", "grams": 80.0, "note": ""}, {"ingredient_id": "garlic", "name": "Garlic", "grams": 6.0, "note": ""}, {"ingredient_id": "italian_seasoning", "name": "Italian seasoning", "grams": 3.0, "note": ""}, {"ingredient_id": "parmesan", "name": "Parmesan, grated", "grams": 30.0, "note": ""}]</t>
        </is>
      </c>
      <c r="N1411" s="2" t="n">
        <v>193</v>
      </c>
      <c r="O1411" s="5" t="n">
        <v>12.1</v>
      </c>
      <c r="P1411" s="5" t="n">
        <v>5.4</v>
      </c>
      <c r="Q1411" s="5" t="n">
        <v>26.9</v>
      </c>
      <c r="R1411" s="5" t="n">
        <v>9</v>
      </c>
      <c r="S1411" s="5" t="n">
        <v>17.9</v>
      </c>
      <c r="T1411" s="2" t="n">
        <v>30</v>
      </c>
      <c r="U1411" s="2" t="inlineStr">
        <is>
          <t>low</t>
        </is>
      </c>
      <c r="V1411" s="5" t="n">
        <v>5.4</v>
      </c>
      <c r="W1411" s="2" t="inlineStr">
        <is>
          <t>low</t>
        </is>
      </c>
      <c r="X1411" s="3" t="inlineStr"/>
      <c r="Y1411" s="3" t="inlineStr">
        <is>
          <t>69% of this dish's available carbohydrate comes from ingredients with a published, measured GI; the rest uses conventional placeholders (see Ingredients sheet)</t>
        </is>
      </c>
      <c r="Z1411" s="2" t="n">
        <v>69</v>
      </c>
      <c r="AA1411" s="3" t="inlineStr">
        <is>
          <t>vegetarian, gluten-free, nut-free, high-fiber</t>
        </is>
      </c>
      <c r="AB1411" s="3" t="inlineStr">
        <is>
          <t>1. Simmer the cooked lentils with the onion, carrot, garlic, marinara and seasoning for 20 minutes.
2. Warm the zucchini noodles briefly.
3. Serve topped with parmesan.</t>
        </is>
      </c>
      <c r="AC1411" s="4" t="inlineStr">
        <is>
          <t>["Simmer the cooked lentils with the onion, carrot, garlic, marinara and seasoning for 20 minutes.", "Warm the zucchini noodles briefly.", "Serve topped with parmesan."]</t>
        </is>
      </c>
    </row>
    <row r="1412" ht="96" customHeight="1">
      <c r="A1412" s="2" t="inlineStr">
        <is>
          <t>DB-1411</t>
        </is>
      </c>
      <c r="B1412" s="3" t="inlineStr">
        <is>
          <t>Spinach and Ricotta Stuffed Mushrooms</t>
        </is>
      </c>
      <c r="C1412" s="4" t="inlineStr">
        <is>
          <t>Vegetarian &amp; Vegan</t>
        </is>
      </c>
      <c r="D1412" s="4" t="inlineStr">
        <is>
          <t>Italian</t>
        </is>
      </c>
      <c r="E1412" s="2" t="n">
        <v>4</v>
      </c>
      <c r="F1412" s="2" t="n">
        <v>15</v>
      </c>
      <c r="G1412" s="2" t="n">
        <v>25</v>
      </c>
      <c r="H1412" s="2" t="n">
        <v>40</v>
      </c>
      <c r="I1412" s="4" t="inlineStr">
        <is>
          <t>spinach-and-ricotta-stuffed-mushrooms.jpg</t>
        </is>
      </c>
      <c r="J1412" s="3" t="inlineStr">
        <is>
          <t>Spinach and Ricotta Stuffed Mushrooms, healthy food photography, plated, natural light</t>
        </is>
      </c>
      <c r="K1412" s="4" t="inlineStr"/>
      <c r="L1412" s="3" t="inlineStr">
        <is>
          <t>Portobello mushrooms — 480 g (16.9 oz)
Ricotta, part-skim — 200 g (7.1 oz)
Spinach — 150 g (5.3 oz)
Parmesan, grated — 30 g (1.1 oz)
Garlic — 6 g (0.2 oz)
Egg, large (50 g each) — 50 g (1.8 oz)</t>
        </is>
      </c>
      <c r="M1412" s="4" t="inlineStr">
        <is>
          <t>[{"ingredient_id": "portobello", "name": "Portobello mushrooms", "grams": 480.0, "note": ""}, {"ingredient_id": "ricotta", "name": "Ricotta, part-skim", "grams": 200.0, "note": ""}, {"ingredient_id": "spinach", "name": "Spinach", "grams": 150.0, "note": ""}, {"ingredient_id": "parmesan", "name": "Parmesan, grated", "grams": 30.0, "note": ""}, {"ingredient_id": "garlic", "name": "Garlic", "grams": 6.0, "note": ""}, {"ingredient_id": "egg", "name": "Egg, large (50 g each)", "grams": 50.0, "note": ""}]</t>
        </is>
      </c>
      <c r="N1412" s="2" t="n">
        <v>156</v>
      </c>
      <c r="O1412" s="5" t="n">
        <v>13.6</v>
      </c>
      <c r="P1412" s="5" t="n">
        <v>8</v>
      </c>
      <c r="Q1412" s="5" t="n">
        <v>9.4</v>
      </c>
      <c r="R1412" s="5" t="n">
        <v>2.4</v>
      </c>
      <c r="S1412" s="5" t="n">
        <v>7</v>
      </c>
      <c r="T1412" s="2" t="n">
        <v>15</v>
      </c>
      <c r="U1412" s="2" t="inlineStr">
        <is>
          <t>low</t>
        </is>
      </c>
      <c r="V1412" s="5" t="n">
        <v>1</v>
      </c>
      <c r="W1412" s="2" t="inlineStr">
        <is>
          <t>low</t>
        </is>
      </c>
      <c r="X1412" s="3" t="inlineStr"/>
      <c r="Y1412" s="3" t="inlineStr">
        <is>
          <t>0% of this dish's available carbohydrate comes from ingredients with a published, measured GI; the rest uses conventional placeholders (see Ingredients sheet)</t>
        </is>
      </c>
      <c r="Z1412" s="2" t="n">
        <v>0</v>
      </c>
      <c r="AA1412" s="3" t="inlineStr">
        <is>
          <t>vegetarian, gluten-free, nut-free, low-carb</t>
        </is>
      </c>
      <c r="AB1412" s="3" t="inlineStr">
        <is>
          <t>1. Wilt the spinach with garlic and mix with the ricotta, egg and parmesan.
2. Fill the caps.
3. Bake at 400°F for 20 minutes.</t>
        </is>
      </c>
      <c r="AC1412" s="4" t="inlineStr">
        <is>
          <t>["Wilt the spinach with garlic and mix with the ricotta, egg and parmesan.", "Fill the caps.", "Bake at 400°F for 20 minutes."]</t>
        </is>
      </c>
    </row>
    <row r="1413" ht="96" customHeight="1">
      <c r="A1413" s="2" t="inlineStr">
        <is>
          <t>DB-1412</t>
        </is>
      </c>
      <c r="B1413" s="3" t="inlineStr">
        <is>
          <t>Black Bean Burger Bowls with Avocado Crema</t>
        </is>
      </c>
      <c r="C1413" s="4" t="inlineStr">
        <is>
          <t>Vegetarian &amp; Vegan</t>
        </is>
      </c>
      <c r="D1413" s="4" t="inlineStr">
        <is>
          <t>Tex-Mex</t>
        </is>
      </c>
      <c r="E1413" s="2" t="n">
        <v>4</v>
      </c>
      <c r="F1413" s="2" t="n">
        <v>15</v>
      </c>
      <c r="G1413" s="2" t="n">
        <v>15</v>
      </c>
      <c r="H1413" s="2" t="n">
        <v>30</v>
      </c>
      <c r="I1413" s="4" t="inlineStr">
        <is>
          <t>black-bean-burger-bowls-with-avocado-crema.jpg</t>
        </is>
      </c>
      <c r="J1413" s="3" t="inlineStr">
        <is>
          <t>Black Bean Burger Bowls with Avocado Crema, healthy food photography, plated, natural light</t>
        </is>
      </c>
      <c r="K1413" s="4" t="inlineStr"/>
      <c r="L1413" s="3" t="inlineStr">
        <is>
          <t>Black beans, cooked — 400 g (14.1 oz)
Rolled oats, dry — 50 g (1.8 oz)
Egg, large (50 g each) — 50 g (1.8 oz)
Ground cumin — 2 g (0.1 oz)
Smoked paprika — 2 g (0.1 oz)
Avocado — 100 g (3.5 oz)
Greek yogurt, plain 2% — 80 g (2.8 oz)
Lime juice — 15 g (0.5 oz)
Romaine lettuce — 120 g (4.2 oz)
Tomato — 120 g (4.2 oz)</t>
        </is>
      </c>
      <c r="M1413" s="4" t="inlineStr">
        <is>
          <t>[{"ingredient_id": "black_beans", "name": "Black beans, cooked", "grams": 400.0, "note": ""}, {"ingredient_id": "rolled_oats", "name": "Rolled oats, dry", "grams": 50.0, "note": ""}, {"ingredient_id": "egg", "name": "Egg, large (50 g each)", "grams": 50.0, "note": ""}, {"ingredient_id": "cumin", "name": "Ground cumin", "grams": 2.0, "note": ""}, {"ingredient_id": "smoked_paprika", "name": "Smoked paprika", "grams": 2.0, "note": ""}, {"ingredient_id": "avocado", "name": "Avocado", "grams": 100.0, "note": ""}, {"ingredient_id": "greek_yogurt", "name": "Greek yogurt, plain 2%", "grams": 80.0, "note": ""}, {"ingredient_id": "lime_juice", "name": "Lime juice", "grams": 15.0, "note": ""}, {"ingredient_id": "romaine", "name": "Romaine lettuce", "grams": 120.0, "note": ""}, {"ingredient_id": "tomato", "name": "Tomato", "grams": 120.0, "note": ""}]</t>
        </is>
      </c>
      <c r="N1413" s="2" t="n">
        <v>267</v>
      </c>
      <c r="O1413" s="5" t="n">
        <v>15.4</v>
      </c>
      <c r="P1413" s="5" t="n">
        <v>7</v>
      </c>
      <c r="Q1413" s="5" t="n">
        <v>38.2</v>
      </c>
      <c r="R1413" s="5" t="n">
        <v>12.9</v>
      </c>
      <c r="S1413" s="5" t="n">
        <v>25.3</v>
      </c>
      <c r="T1413" s="2" t="n">
        <v>36</v>
      </c>
      <c r="U1413" s="2" t="inlineStr">
        <is>
          <t>low</t>
        </is>
      </c>
      <c r="V1413" s="5" t="n">
        <v>9.1</v>
      </c>
      <c r="W1413" s="2" t="inlineStr">
        <is>
          <t>low</t>
        </is>
      </c>
      <c r="X1413" s="3" t="inlineStr"/>
      <c r="Y1413" s="3" t="inlineStr">
        <is>
          <t>91% of this dish's available carbohydrate comes from ingredients with a published, measured GI; the rest uses conventional placeholders (see Ingredients sheet)</t>
        </is>
      </c>
      <c r="Z1413" s="2" t="n">
        <v>91</v>
      </c>
      <c r="AA1413" s="3" t="inlineStr">
        <is>
          <t>vegetarian, nut-free, high-fiber</t>
        </is>
      </c>
      <c r="AB1413" s="3" t="inlineStr">
        <is>
          <t>1. Mash the beans with oats, egg and spices and form four patties; pan-fry 5 minutes a side.
2. Blend the avocado, yogurt and lime into a crema.
3. Serve the patties over romaine and tomato with the crema.</t>
        </is>
      </c>
      <c r="AC1413" s="4" t="inlineStr">
        <is>
          <t>["Mash the beans with oats, egg and spices and form four patties; pan-fry 5 minutes a side.", "Blend the avocado, yogurt and lime into a crema.", "Serve the patties over romaine and tomato with the crema."]</t>
        </is>
      </c>
    </row>
    <row r="1414" ht="96" customHeight="1">
      <c r="A1414" s="2" t="inlineStr">
        <is>
          <t>DB-1413</t>
        </is>
      </c>
      <c r="B1414" s="3" t="inlineStr">
        <is>
          <t>Edamame and Vegetable Stir-Fry with Brown Rice</t>
        </is>
      </c>
      <c r="C1414" s="4" t="inlineStr">
        <is>
          <t>Vegetarian &amp; Vegan</t>
        </is>
      </c>
      <c r="D1414" s="4" t="inlineStr">
        <is>
          <t>Asian</t>
        </is>
      </c>
      <c r="E1414" s="2" t="n">
        <v>4</v>
      </c>
      <c r="F1414" s="2" t="n">
        <v>10</v>
      </c>
      <c r="G1414" s="2" t="n">
        <v>12</v>
      </c>
      <c r="H1414" s="2" t="n">
        <v>22</v>
      </c>
      <c r="I1414" s="4" t="inlineStr">
        <is>
          <t>edamame-and-vegetable-stir-fry-with-brown-rice.jpg</t>
        </is>
      </c>
      <c r="J1414" s="3" t="inlineStr">
        <is>
          <t>Edamame and Vegetable Stir-Fry with Brown Rice, healthy food photography, plated, natural light</t>
        </is>
      </c>
      <c r="K1414" s="4" t="inlineStr"/>
      <c r="L1414" s="3" t="inlineStr">
        <is>
          <t>Edamame, shelled, cooked — 300 g (10.6 oz)
Broccoli — 250 g (8.8 oz)
Carrot — 100 g (3.5 oz)
Bell pepper — 100 g (3.5 oz)
Soy sauce, low sodium — 30 g (1.1 oz)
Fresh ginger — 8 g (0.3 oz)
Garlic — 6 g (0.2 oz)
Toasted sesame oil — 8 g (0.3 oz)
Brown rice, cooked — 360 g (12.7 oz)</t>
        </is>
      </c>
      <c r="M1414" s="4" t="inlineStr">
        <is>
          <t>[{"ingredient_id": "edamame", "name": "Edamame, shelled, cooked", "grams": 300.0, "note": ""}, {"ingredient_id": "broccoli", "name": "Broccoli", "grams": 250.0, "note": ""}, {"ingredient_id": "carrot", "name": "Carrot", "grams": 100.0, "note": ""}, {"ingredient_id": "bell_pepper", "name": "Bell pepper", "grams": 100.0, "note": ""}, {"ingredient_id": "soy_sauce", "name": "Soy sauce, low sodium", "grams": 30.0, "note": ""}, {"ingredient_id": "ginger", "name": "Fresh ginger", "grams": 8.0, "note": ""}, {"ingredient_id": "garlic", "name": "Garlic", "grams": 6.0, "note": ""}, {"ingredient_id": "sesame_oil", "name": "Toasted sesame oil", "grams": 8.0, "note": ""}, {"ingredient_id": "brown_rice", "name": "Brown rice, cooked", "grams": 360.0, "note": ""}]</t>
        </is>
      </c>
      <c r="N1414" s="2" t="n">
        <v>256</v>
      </c>
      <c r="O1414" s="5" t="n">
        <v>14</v>
      </c>
      <c r="P1414" s="5" t="n">
        <v>6.9</v>
      </c>
      <c r="Q1414" s="5" t="n">
        <v>37.6</v>
      </c>
      <c r="R1414" s="5" t="n">
        <v>8.4</v>
      </c>
      <c r="S1414" s="5" t="n">
        <v>29.3</v>
      </c>
      <c r="T1414" s="2" t="n">
        <v>53</v>
      </c>
      <c r="U1414" s="2" t="inlineStr">
        <is>
          <t>low</t>
        </is>
      </c>
      <c r="V1414" s="5" t="n">
        <v>15.5</v>
      </c>
      <c r="W1414" s="2" t="inlineStr">
        <is>
          <t>medium</t>
        </is>
      </c>
      <c r="X1414" s="3" t="inlineStr"/>
      <c r="Y1414" s="3" t="inlineStr">
        <is>
          <t>74% of this dish's available carbohydrate comes from ingredients with a published, measured GI; the rest uses conventional placeholders (see Ingredients sheet)</t>
        </is>
      </c>
      <c r="Z1414" s="2" t="n">
        <v>74</v>
      </c>
      <c r="AA1414" s="3" t="inlineStr">
        <is>
          <t>vegan, dairy-free, nut-free, high-fiber</t>
        </is>
      </c>
      <c r="AB1414" s="3" t="inlineStr">
        <is>
          <t>1. Stir-fry the vegetables, garlic and ginger in a little sesame oil.
2. Add the edamame and soy sauce.
3. Serve over rice.</t>
        </is>
      </c>
      <c r="AC1414" s="4" t="inlineStr">
        <is>
          <t>["Stir-fry the vegetables, garlic and ginger in a little sesame oil.", "Add the edamame and soy sauce.", "Serve over rice."]</t>
        </is>
      </c>
    </row>
    <row r="1415" ht="96" customHeight="1">
      <c r="A1415" s="2" t="inlineStr">
        <is>
          <t>DB-1414</t>
        </is>
      </c>
      <c r="B1415" s="3" t="inlineStr">
        <is>
          <t>Tempeh Tacos with Cabbage Slaw</t>
        </is>
      </c>
      <c r="C1415" s="4" t="inlineStr">
        <is>
          <t>Vegetarian &amp; Vegan</t>
        </is>
      </c>
      <c r="D1415" s="4" t="inlineStr">
        <is>
          <t>Tex-Mex</t>
        </is>
      </c>
      <c r="E1415" s="2" t="n">
        <v>4</v>
      </c>
      <c r="F1415" s="2" t="n">
        <v>15</v>
      </c>
      <c r="G1415" s="2" t="n">
        <v>12</v>
      </c>
      <c r="H1415" s="2" t="n">
        <v>27</v>
      </c>
      <c r="I1415" s="4" t="inlineStr">
        <is>
          <t>tempeh-tacos-with-cabbage-slaw.jpg</t>
        </is>
      </c>
      <c r="J1415" s="3" t="inlineStr">
        <is>
          <t>Tempeh Tacos with Cabbage Slaw, healthy food photography, plated, natural light</t>
        </is>
      </c>
      <c r="K1415" s="4" t="inlineStr"/>
      <c r="L1415" s="3" t="inlineStr">
        <is>
          <t>Tempeh — 300 g (10.6 oz)
Corn tortilla — 240 g (8.5 oz)
Taco seasoning, low sodium — 10 g (0.4 oz)
Red cabbage — 150 g (5.3 oz)
Lime juice — 25 g (0.9 oz)
Fresh cilantro — 8 g (0.3 oz)
Avocado — 100 g (3.5 oz)
Extra-virgin olive oil — 15 g (0.5 oz)</t>
        </is>
      </c>
      <c r="M1415" s="4" t="inlineStr">
        <is>
          <t>[{"ingredient_id": "tempeh", "name": "Tempeh", "grams": 300.0, "note": ""}, {"ingredient_id": "corn_tortilla", "name": "Corn tortilla", "grams": 240.0, "note": ""}, {"ingredient_id": "taco_seasoning", "name": "Taco seasoning, low sodium", "grams": 10.0, "note": ""}, {"ingredient_id": "red_cabbage", "name": "Red cabbage", "grams": 150.0, "note": ""}, {"ingredient_id": "lime_juice", "name": "Lime juice", "grams": 25.0, "note": ""}, {"ingredient_id": "cilantro", "name": "Fresh cilantro", "grams": 8.0, "note": ""}, {"ingredient_id": "avocado", "name": "Avocado", "grams": 100.0, "note": ""}, {"ingredient_id": "olive_oil", "name": "Extra-virgin olive oil", "grams": 15.0, "note": ""}]</t>
        </is>
      </c>
      <c r="N1415" s="2" t="n">
        <v>369</v>
      </c>
      <c r="O1415" s="5" t="n">
        <v>19.8</v>
      </c>
      <c r="P1415" s="5" t="n">
        <v>17.8</v>
      </c>
      <c r="Q1415" s="5" t="n">
        <v>39.9</v>
      </c>
      <c r="R1415" s="5" t="n">
        <v>11.4</v>
      </c>
      <c r="S1415" s="5" t="n">
        <v>28.4</v>
      </c>
      <c r="T1415" s="2" t="n">
        <v>45</v>
      </c>
      <c r="U1415" s="2" t="inlineStr">
        <is>
          <t>low</t>
        </is>
      </c>
      <c r="V1415" s="5" t="n">
        <v>12.8</v>
      </c>
      <c r="W1415" s="2" t="inlineStr">
        <is>
          <t>medium</t>
        </is>
      </c>
      <c r="X1415" s="3" t="inlineStr"/>
      <c r="Y1415" s="3" t="inlineStr">
        <is>
          <t>82% of this dish's available carbohydrate comes from ingredients with a published, measured GI; the rest uses conventional placeholders (see Ingredients sheet)</t>
        </is>
      </c>
      <c r="Z1415" s="2" t="n">
        <v>82</v>
      </c>
      <c r="AA1415" s="3" t="inlineStr">
        <is>
          <t>vegan, gluten-free, dairy-free, nut-free, high-fiber</t>
        </is>
      </c>
      <c r="AB1415" s="3" t="inlineStr">
        <is>
          <t>1. Crumble the tempeh and brown in oil with the seasoning.
2. Toss the cabbage with lime and cilantro.
3. Fill warm tortillas with tempeh, slaw and avocado.</t>
        </is>
      </c>
      <c r="AC1415" s="4" t="inlineStr">
        <is>
          <t>["Crumble the tempeh and brown in oil with the seasoning.", "Toss the cabbage with lime and cilantro.", "Fill warm tortillas with tempeh, slaw and avocado."]</t>
        </is>
      </c>
    </row>
    <row r="1416" ht="96" customHeight="1">
      <c r="A1416" s="2" t="inlineStr">
        <is>
          <t>DB-1415</t>
        </is>
      </c>
      <c r="B1416" s="3" t="inlineStr">
        <is>
          <t>Creamy Tomato Basil Pasta with White Beans</t>
        </is>
      </c>
      <c r="C1416" s="4" t="inlineStr">
        <is>
          <t>Vegetarian &amp; Vegan</t>
        </is>
      </c>
      <c r="D1416" s="4" t="inlineStr">
        <is>
          <t>Italian</t>
        </is>
      </c>
      <c r="E1416" s="2" t="n">
        <v>4</v>
      </c>
      <c r="F1416" s="2" t="n">
        <v>10</v>
      </c>
      <c r="G1416" s="2" t="n">
        <v>20</v>
      </c>
      <c r="H1416" s="2" t="n">
        <v>30</v>
      </c>
      <c r="I1416" s="4" t="inlineStr">
        <is>
          <t>creamy-tomato-basil-pasta-with-white-beans.jpg</t>
        </is>
      </c>
      <c r="J1416" s="3" t="inlineStr">
        <is>
          <t>Creamy Tomato Basil Pasta with White Beans, healthy food photography, plated, natural light</t>
        </is>
      </c>
      <c r="K1416" s="4" t="inlineStr"/>
      <c r="L1416" s="3" t="inlineStr">
        <is>
          <t>White pasta, cooked al dente — 400 g (14.1 oz)
Cannellini beans, cooked — 250 g (8.8 oz)
Crushed tomatoes, canned — 400 g (14.1 oz)
Fresh basil — 10 g (0.4 oz)
Garlic — 8 g (0.3 oz)
Heavy cream — 60 g (2.1 oz)
Parmesan, grated — 30 g (1.1 oz)
Extra-virgin olive oil — 15 g (0.5 oz)</t>
        </is>
      </c>
      <c r="M1416" s="4" t="inlineStr">
        <is>
          <t>[{"ingredient_id": "white_pasta", "name": "White pasta, cooked al dente", "grams": 400.0, "note": ""}, {"ingredient_id": "white_beans", "name": "Cannellini beans, cooked", "grams": 250.0, "note": ""}, {"ingredient_id": "crushed_tomatoes", "name": "Crushed tomatoes, canned", "grams": 400.0, "note": ""}, {"ingredient_id": "basil", "name": "Fresh basil", "grams": 10.0, "note": ""}, {"ingredient_id": "garlic", "name": "Garlic", "grams": 8.0, "note": ""}, {"ingredient_id": "heavy_cream", "name": "Heavy cream", "grams": 60.0, "note": ""}, {"ingredient_id": "parmesan", "name": "Parmesan, grated", "grams": 30.0, "note": ""}, {"ingredient_id": "olive_oil", "name": "Extra-virgin olive oil", "grams": 15.0, "note": ""}]</t>
        </is>
      </c>
      <c r="N1416" s="2" t="n">
        <v>396</v>
      </c>
      <c r="O1416" s="5" t="n">
        <v>16.8</v>
      </c>
      <c r="P1416" s="5" t="n">
        <v>12.8</v>
      </c>
      <c r="Q1416" s="5" t="n">
        <v>54.8</v>
      </c>
      <c r="R1416" s="5" t="n">
        <v>7.7</v>
      </c>
      <c r="S1416" s="5" t="n">
        <v>47.1</v>
      </c>
      <c r="T1416" s="2" t="n">
        <v>42</v>
      </c>
      <c r="U1416" s="2" t="inlineStr">
        <is>
          <t>low</t>
        </is>
      </c>
      <c r="V1416" s="5" t="n">
        <v>19.8</v>
      </c>
      <c r="W1416" s="2" t="inlineStr">
        <is>
          <t>medium</t>
        </is>
      </c>
      <c r="X1416" s="3" t="inlineStr"/>
      <c r="Y1416" s="3" t="inlineStr">
        <is>
          <t>86% of this dish's available carbohydrate comes from ingredients with a published, measured GI; the rest uses conventional placeholders (see Ingredients sheet)</t>
        </is>
      </c>
      <c r="Z1416" s="2" t="n">
        <v>86</v>
      </c>
      <c r="AA1416" s="3" t="inlineStr">
        <is>
          <t>vegetarian, nut-free, high-fiber</t>
        </is>
      </c>
      <c r="AB1416" s="3" t="inlineStr">
        <is>
          <t>1. Cook the pasta.
2. Simmer the garlic, tomatoes and beans, stir in the cream and basil.
3. Toss with the pasta and parmesan.</t>
        </is>
      </c>
      <c r="AC1416" s="4" t="inlineStr">
        <is>
          <t>["Cook the pasta.", "Simmer the garlic, tomatoes and beans, stir in the cream and basil.", "Toss with the pasta and parmesan."]</t>
        </is>
      </c>
    </row>
    <row r="1417" ht="96" customHeight="1">
      <c r="A1417" s="2" t="inlineStr">
        <is>
          <t>DB-1416</t>
        </is>
      </c>
      <c r="B1417" s="3" t="inlineStr">
        <is>
          <t>Sweet Potato and Black Bean Chili</t>
        </is>
      </c>
      <c r="C1417" s="4" t="inlineStr">
        <is>
          <t>Vegetarian &amp; Vegan</t>
        </is>
      </c>
      <c r="D1417" s="4" t="inlineStr">
        <is>
          <t>American</t>
        </is>
      </c>
      <c r="E1417" s="2" t="n">
        <v>6</v>
      </c>
      <c r="F1417" s="2" t="n">
        <v>15</v>
      </c>
      <c r="G1417" s="2" t="n">
        <v>40</v>
      </c>
      <c r="H1417" s="2" t="n">
        <v>55</v>
      </c>
      <c r="I1417" s="4" t="inlineStr">
        <is>
          <t>sweet-potato-and-black-bean-chili.jpg</t>
        </is>
      </c>
      <c r="J1417" s="3" t="inlineStr">
        <is>
          <t>Sweet Potato and Black Bean Chili, healthy food photography, plated, natural light</t>
        </is>
      </c>
      <c r="K1417" s="4" t="inlineStr"/>
      <c r="L1417" s="3" t="inlineStr">
        <is>
          <t>Sweet potato, boiled/simmered — 400 g (14.1 oz)
Black beans, cooked — 400 g (14.1 oz)
Diced tomatoes, canned — 400 g (14.1 oz)
Yellow onion — 120 g (4.2 oz)
Chili powder — 12 g (0.4 oz)
Ground cumin — 4 g (0.1 oz)
Garlic — 8 g (0.3 oz)
Vegetable broth, low sodium — 400 g (14.1 oz)
Lime juice — 15 g (0.5 oz)</t>
        </is>
      </c>
      <c r="M1417" s="4" t="inlineStr">
        <is>
          <t>[{"ingredient_id": "sweet_potato", "name": "Sweet potato, boiled/simmered", "grams": 400.0, "note": ""}, {"ingredient_id": "black_beans", "name": "Black beans, cooked", "grams": 400.0, "note": ""}, {"ingredient_id": "diced_tomatoes", "name": "Diced tomatoes, canned", "grams": 400.0, "note": ""}, {"ingredient_id": "onion", "name": "Yellow onion", "grams": 120.0, "note": ""}, {"ingredient_id": "chili_powder", "name": "Chili powder", "grams": 12.0, "note": ""}, {"ingredient_id": "cumin", "name": "Ground cumin", "grams": 4.0, "note": ""}, {"ingredient_id": "garlic", "name": "Garlic", "grams": 8.0, "note": ""}, {"ingredient_id": "vegetable_broth", "name": "Vegetable broth, low sodium", "grams": 400.0, "note": ""}, {"ingredient_id": "lime_juice", "name": "Lime juice", "grams": 15.0, "note": ""}]</t>
        </is>
      </c>
      <c r="N1417" s="2" t="n">
        <v>185</v>
      </c>
      <c r="O1417" s="5" t="n">
        <v>8.800000000000001</v>
      </c>
      <c r="P1417" s="5" t="n">
        <v>1.1</v>
      </c>
      <c r="Q1417" s="5" t="n">
        <v>37.3</v>
      </c>
      <c r="R1417" s="5" t="n">
        <v>9.9</v>
      </c>
      <c r="S1417" s="5" t="n">
        <v>27.3</v>
      </c>
      <c r="T1417" s="2" t="n">
        <v>35</v>
      </c>
      <c r="U1417" s="2" t="inlineStr">
        <is>
          <t>low</t>
        </is>
      </c>
      <c r="V1417" s="5" t="n">
        <v>9.6</v>
      </c>
      <c r="W1417" s="2" t="inlineStr">
        <is>
          <t>low</t>
        </is>
      </c>
      <c r="X1417" s="3" t="inlineStr"/>
      <c r="Y1417" s="3" t="inlineStr">
        <is>
          <t>78% of this dish's available carbohydrate comes from ingredients with a published, measured GI; the rest uses conventional placeholders (see Ingredients sheet)</t>
        </is>
      </c>
      <c r="Z1417" s="2" t="n">
        <v>78</v>
      </c>
      <c r="AA1417" s="3" t="inlineStr">
        <is>
          <t>vegan, gluten-free, dairy-free, nut-free, high-fiber</t>
        </is>
      </c>
      <c r="AB1417" s="3" t="inlineStr">
        <is>
          <t>1. Soften the onion and garlic, add the spices.
2. Add the sweet potato, beans, tomatoes and broth and simmer 30 minutes.
3. Finish with lime.</t>
        </is>
      </c>
      <c r="AC1417" s="4" t="inlineStr">
        <is>
          <t>["Soften the onion and garlic, add the spices.", "Add the sweet potato, beans, tomatoes and broth and simmer 30 minutes.", "Finish with lime."]</t>
        </is>
      </c>
    </row>
    <row r="1418" ht="96" customHeight="1">
      <c r="A1418" s="2" t="inlineStr">
        <is>
          <t>DB-1417</t>
        </is>
      </c>
      <c r="B1418" s="3" t="inlineStr">
        <is>
          <t>Falafel Bowls with Tahini Sauce</t>
        </is>
      </c>
      <c r="C1418" s="4" t="inlineStr">
        <is>
          <t>Vegetarian &amp; Vegan</t>
        </is>
      </c>
      <c r="D1418" s="4" t="inlineStr">
        <is>
          <t>Middle Eastern</t>
        </is>
      </c>
      <c r="E1418" s="2" t="n">
        <v>4</v>
      </c>
      <c r="F1418" s="2" t="n">
        <v>20</v>
      </c>
      <c r="G1418" s="2" t="n">
        <v>25</v>
      </c>
      <c r="H1418" s="2" t="n">
        <v>45</v>
      </c>
      <c r="I1418" s="4" t="inlineStr">
        <is>
          <t>falafel-bowls-with-tahini-sauce.jpg</t>
        </is>
      </c>
      <c r="J1418" s="3" t="inlineStr">
        <is>
          <t>Falafel Bowls with Tahini Sauce, healthy food photography, plated, natural light</t>
        </is>
      </c>
      <c r="K1418" s="4" t="inlineStr"/>
      <c r="L1418" s="3" t="inlineStr">
        <is>
          <t>Chickpeas, cooked — 400 g (14.1 oz)
Fresh parsley — 40 g (1.4 oz)
Yellow onion — 60 g (2.1 oz)
Garlic — 8 g (0.3 oz)
Ground cumin — 3 g (0.1 oz)
Oat flour — 40 g (1.4 oz)
Tahini — 40 g (1.4 oz)
Lemon juice — 30 g (1.1 oz)
Cucumber — 150 g (5.3 oz)
Tomato — 150 g (5.3 oz)
Quinoa, cooked — 300 g (10.6 oz)
Extra-virgin olive oil — 20 g (0.7 oz)</t>
        </is>
      </c>
      <c r="M1418" s="4" t="inlineStr">
        <is>
          <t>[{"ingredient_id": "chickpeas", "name": "Chickpeas, cooked", "grams": 400.0, "note": ""}, {"ingredient_id": "parsley", "name": "Fresh parsley", "grams": 40.0, "note": ""}, {"ingredient_id": "onion", "name": "Yellow onion", "grams": 60.0, "note": ""}, {"ingredient_id": "garlic", "name": "Garlic", "grams": 8.0, "note": ""}, {"ingredient_id": "cumin", "name": "Ground cumin", "grams": 3.0, "note": ""}, {"ingredient_id": "oat_flour", "name": "Oat flour", "grams": 40.0, "note": ""}, {"ingredient_id": "tahini", "name": "Tahini", "grams": 40.0, "note": ""}, {"ingredient_id": "lemon_juice", "name": "Lemon juice", "grams": 30.0, "note": ""}, {"ingredient_id": "cucumber", "name": "Cucumber", "grams": 150.0, "note": ""}, {"ingredient_id": "tomato", "name": "Tomato", "grams": 150.0, "note": ""}, {"ingredient_id": "quinoa", "name": "Quinoa, cooked", "grams": 300.0, "note": ""}, {"ingredient_id": "olive_oil", "name": "Extra-virgin olive oil", "grams": 20.0, "note": ""}]</t>
        </is>
      </c>
      <c r="N1418" s="2" t="n">
        <v>428</v>
      </c>
      <c r="O1418" s="5" t="n">
        <v>16.8</v>
      </c>
      <c r="P1418" s="5" t="n">
        <v>15.7</v>
      </c>
      <c r="Q1418" s="5" t="n">
        <v>57.8</v>
      </c>
      <c r="R1418" s="5" t="n">
        <v>12.6</v>
      </c>
      <c r="S1418" s="5" t="n">
        <v>45.2</v>
      </c>
      <c r="T1418" s="2" t="n">
        <v>43</v>
      </c>
      <c r="U1418" s="2" t="inlineStr">
        <is>
          <t>low</t>
        </is>
      </c>
      <c r="V1418" s="5" t="n">
        <v>19.4</v>
      </c>
      <c r="W1418" s="2" t="inlineStr">
        <is>
          <t>medium</t>
        </is>
      </c>
      <c r="X1418" s="3" t="inlineStr"/>
      <c r="Y1418" s="3" t="inlineStr">
        <is>
          <t>73% of this dish's available carbohydrate comes from ingredients with a published, measured GI; the rest uses conventional placeholders (see Ingredients sheet)</t>
        </is>
      </c>
      <c r="Z1418" s="2" t="n">
        <v>73</v>
      </c>
      <c r="AA1418" s="3" t="inlineStr">
        <is>
          <t>vegan, dairy-free, nut-free, high-fiber</t>
        </is>
      </c>
      <c r="AB1418" s="3" t="inlineStr">
        <is>
          <t>1. Pulse the chickpeas, parsley, onion, garlic, cumin and oat flour and shape patties.
2. Bake on an oiled tray at 400°F for 25 minutes.
3. Whisk the tahini with lemon and a little water.
4. Serve over quinoa with cucumber and tomato.</t>
        </is>
      </c>
      <c r="AC1418" s="4" t="inlineStr">
        <is>
          <t>["Pulse the chickpeas, parsley, onion, garlic, cumin and oat flour and shape patties.", "Bake on an oiled tray at 400°F for 25 minutes.", "Whisk the tahini with lemon and a little water.", "Serve over quinoa with cucumber and tomato."]</t>
        </is>
      </c>
    </row>
    <row r="1419" ht="96" customHeight="1">
      <c r="A1419" s="2" t="inlineStr">
        <is>
          <t>DB-1418</t>
        </is>
      </c>
      <c r="B1419" s="3" t="inlineStr">
        <is>
          <t>Vegetable Lo Mein with Tofu</t>
        </is>
      </c>
      <c r="C1419" s="4" t="inlineStr">
        <is>
          <t>Vegetarian &amp; Vegan</t>
        </is>
      </c>
      <c r="D1419" s="4" t="inlineStr">
        <is>
          <t>Chinese-American</t>
        </is>
      </c>
      <c r="E1419" s="2" t="n">
        <v>4</v>
      </c>
      <c r="F1419" s="2" t="n">
        <v>15</v>
      </c>
      <c r="G1419" s="2" t="n">
        <v>12</v>
      </c>
      <c r="H1419" s="2" t="n">
        <v>27</v>
      </c>
      <c r="I1419" s="4" t="inlineStr">
        <is>
          <t>vegetable-lo-mein-with-tofu.jpg</t>
        </is>
      </c>
      <c r="J1419" s="3" t="inlineStr">
        <is>
          <t>Vegetable Lo Mein with Tofu, healthy food photography, plated, natural light</t>
        </is>
      </c>
      <c r="K1419" s="4" t="inlineStr"/>
      <c r="L1419" s="3" t="inlineStr">
        <is>
          <t>Egg noodles, cooked — 400 g (14.1 oz)
Tofu, extra-firm — 250 g (8.8 oz)
Green cabbage — 200 g (7.1 oz)
Carrot — 100 g (3.5 oz)
Mung bean sprouts — 100 g (3.5 oz)
Soy sauce, low sodium — 35 g (1.2 oz)
Toasted sesame oil — 10 g (0.4 oz)
Garlic — 6 g (0.2 oz)
Fresh ginger — 6 g (0.2 oz)
Extra-virgin olive oil — 15 g (0.5 oz)</t>
        </is>
      </c>
      <c r="M1419" s="4" t="inlineStr">
        <is>
          <t>[{"ingredient_id": "egg_noodles", "name": "Egg noodles, cooked", "grams": 400.0, "note": ""}, {"ingredient_id": "tofu", "name": "Tofu, extra-firm", "grams": 250.0,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"olive_oil", "name": "Extra-virgin olive oil", "grams": 15.0, "note": ""}]</t>
        </is>
      </c>
      <c r="N1419" s="2" t="n">
        <v>321</v>
      </c>
      <c r="O1419" s="5" t="n">
        <v>17.6</v>
      </c>
      <c r="P1419" s="5" t="n">
        <v>14.1</v>
      </c>
      <c r="Q1419" s="5" t="n">
        <v>34.9</v>
      </c>
      <c r="R1419" s="5" t="n">
        <v>5</v>
      </c>
      <c r="S1419" s="5" t="n">
        <v>29.9</v>
      </c>
      <c r="T1419" s="2" t="n">
        <v>52</v>
      </c>
      <c r="U1419" s="2" t="inlineStr">
        <is>
          <t>low</t>
        </is>
      </c>
      <c r="V1419" s="5" t="n">
        <v>15.5</v>
      </c>
      <c r="W1419" s="2" t="inlineStr">
        <is>
          <t>medium</t>
        </is>
      </c>
      <c r="X1419" s="3" t="inlineStr"/>
      <c r="Y1419" s="3" t="inlineStr">
        <is>
          <t>85% of this dish's available carbohydrate comes from ingredients with a published, measured GI; the rest uses conventional placeholders (see Ingredients sheet)</t>
        </is>
      </c>
      <c r="Z1419" s="2" t="n">
        <v>85</v>
      </c>
      <c r="AA1419" s="3" t="inlineStr">
        <is>
          <t>vegetarian, dairy-free, nut-free</t>
        </is>
      </c>
      <c r="AB1419" s="3" t="inlineStr">
        <is>
          <t>1. Boil the noodles.
2. Brown the tofu in oil, add the vegetables, garlic and ginger.
3. Toss with the noodles, soy sauce and sesame oil.</t>
        </is>
      </c>
      <c r="AC1419" s="4" t="inlineStr">
        <is>
          <t>["Boil the noodles.", "Brown the tofu in oil, add the vegetables, garlic and ginger.", "Toss with the noodles, soy sauce and sesame oil."]</t>
        </is>
      </c>
    </row>
    <row r="1420" ht="96" customHeight="1">
      <c r="A1420" s="2" t="inlineStr">
        <is>
          <t>DB-1419</t>
        </is>
      </c>
      <c r="B1420" s="3" t="inlineStr">
        <is>
          <t>Caprese Stuffed Portobello Caps</t>
        </is>
      </c>
      <c r="C1420" s="4" t="inlineStr">
        <is>
          <t>Vegetarian &amp; Vegan</t>
        </is>
      </c>
      <c r="D1420" s="4" t="inlineStr">
        <is>
          <t>Italian</t>
        </is>
      </c>
      <c r="E1420" s="2" t="n">
        <v>4</v>
      </c>
      <c r="F1420" s="2" t="n">
        <v>10</v>
      </c>
      <c r="G1420" s="2" t="n">
        <v>20</v>
      </c>
      <c r="H1420" s="2" t="n">
        <v>30</v>
      </c>
      <c r="I1420" s="4" t="inlineStr">
        <is>
          <t>caprese-stuffed-portobello-caps.jpg</t>
        </is>
      </c>
      <c r="J1420" s="3" t="inlineStr">
        <is>
          <t>Caprese Stuffed Portobello Caps, healthy food photography, plated, natural light</t>
        </is>
      </c>
      <c r="K1420" s="4" t="inlineStr"/>
      <c r="L1420" s="3" t="inlineStr">
        <is>
          <t>Portobello mushrooms — 480 g (16.9 oz)
Mozzarella, part-skim — 120 g (4.2 oz)
Cherry tomatoes — 200 g (7.1 oz)
Fresh basil — 10 g (0.4 oz)
Balsamic vinegar — 15 g (0.5 oz)
Extra-virgin olive oil — 15 g (0.5 oz)
Garlic — 4 g (0.1 oz)</t>
        </is>
      </c>
      <c r="M1420" s="4" t="inlineStr">
        <is>
          <t>[{"ingredient_id": "portobello", "name": "Portobello mushrooms", "grams": 480.0, "note": ""}, {"ingredient_id": "mozzarella", "name": "Mozzarella, part-skim", "grams": 120.0, "note": ""}, {"ingredient_id": "cherry_tomato", "name": "Cherry tomatoes", "grams": 200.0, "note": ""}, {"ingredient_id": "basil", "name": "Fresh basil", "grams": 10.0, "note": ""}, {"ingredient_id": "balsamic_vinegar", "name": "Balsamic vinegar", "grams": 15.0, "note": ""}, {"ingredient_id": "olive_oil", "name": "Extra-virgin olive oil", "grams": 15.0, "note": ""}, {"ingredient_id": "garlic", "name": "Garlic", "grams": 4.0, "note": ""}]</t>
        </is>
      </c>
      <c r="N1420" s="2" t="n">
        <v>150</v>
      </c>
      <c r="O1420" s="5" t="n">
        <v>10.3</v>
      </c>
      <c r="P1420" s="5" t="n">
        <v>9.199999999999999</v>
      </c>
      <c r="Q1420" s="5" t="n">
        <v>8.6</v>
      </c>
      <c r="R1420" s="5" t="n">
        <v>2.2</v>
      </c>
      <c r="S1420" s="5" t="n">
        <v>6.3</v>
      </c>
      <c r="T1420" s="2" t="n">
        <v>16</v>
      </c>
      <c r="U1420" s="2" t="inlineStr">
        <is>
          <t>low</t>
        </is>
      </c>
      <c r="V1420" s="5" t="n">
        <v>1</v>
      </c>
      <c r="W1420" s="2" t="inlineStr">
        <is>
          <t>low</t>
        </is>
      </c>
      <c r="X1420" s="3" t="inlineStr"/>
      <c r="Y1420" s="3" t="inlineStr">
        <is>
          <t>0% of this dish's available carbohydrate comes from ingredients with a published, measured GI; the rest uses conventional placeholders (see Ingredients sheet)</t>
        </is>
      </c>
      <c r="Z1420" s="2" t="n">
        <v>0</v>
      </c>
      <c r="AA1420" s="3" t="inlineStr">
        <is>
          <t>vegetarian, gluten-free, nut-free, low-carb</t>
        </is>
      </c>
      <c r="AB1420" s="3" t="inlineStr">
        <is>
          <t>1. Brush the caps with oil and roast 8 minutes.
2. Fill with tomatoes, garlic and mozzarella.
3. Bake 10 minutes more and finish with basil and balsamic.</t>
        </is>
      </c>
      <c r="AC1420" s="4" t="inlineStr">
        <is>
          <t>["Brush the caps with oil and roast 8 minutes.", "Fill with tomatoes, garlic and mozzarella.", "Bake 10 minutes more and finish with basil and balsamic."]</t>
        </is>
      </c>
    </row>
    <row r="1421" ht="96" customHeight="1">
      <c r="A1421" s="2" t="inlineStr">
        <is>
          <t>DB-1420</t>
        </is>
      </c>
      <c r="B1421" s="3" t="inlineStr">
        <is>
          <t>Quinoa Black Bean Salad Jars</t>
        </is>
      </c>
      <c r="C1421" s="4" t="inlineStr">
        <is>
          <t>Salad</t>
        </is>
      </c>
      <c r="D1421" s="4" t="inlineStr">
        <is>
          <t>Tex-Mex</t>
        </is>
      </c>
      <c r="E1421" s="2" t="n">
        <v>4</v>
      </c>
      <c r="F1421" s="2" t="n">
        <v>15</v>
      </c>
      <c r="G1421" s="2" t="n">
        <v>0</v>
      </c>
      <c r="H1421" s="2" t="n">
        <v>15</v>
      </c>
      <c r="I1421" s="4" t="inlineStr">
        <is>
          <t>quinoa-black-bean-salad-jars.jpg</t>
        </is>
      </c>
      <c r="J1421" s="3" t="inlineStr">
        <is>
          <t>Quinoa Black Bean Salad Jars, healthy food photography, plated, natural light</t>
        </is>
      </c>
      <c r="K1421" s="4" t="inlineStr"/>
      <c r="L1421" s="3" t="inlineStr">
        <is>
          <t>Quinoa, cooked — 400 g (14.1 oz)
Black beans, cooked — 200 g (7.1 oz)
Sweet corn kernels — 100 g (3.5 oz)
Cherry tomatoes — 150 g (5.3 oz)
Avocado — 100 g (3.5 oz)
Lime juice — 25 g (0.9 oz)
Fresh cilantro — 8 g (0.3 oz)
Extra-virgin olive oil — 20 g (0.7 oz)</t>
        </is>
      </c>
      <c r="M1421" s="4" t="inlineStr">
        <is>
          <t>[{"ingredient_id": "quinoa", "name": "Quinoa, cooked", "grams": 400.0, "note": ""}, {"ingredient_id": "black_beans", "name": "Black beans, cooked", "grams": 200.0, "note": ""}, {"ingredient_id": "corn", "name": "Sweet corn kernels", "grams": 100.0, "note": ""}, {"ingredient_id": "cherry_tomato", "name": "Cherry tomatoes", "grams": 150.0, "note": ""}, {"ingredient_id": "avocado", "name": "Avocado", "grams": 100.0, "note": ""}, {"ingredient_id": "lime_juice", "name": "Lime juice", "grams": 25.0, "note": ""}, {"ingredient_id": "cilantro", "name": "Fresh cilantro", "grams": 8.0, "note": ""}, {"ingredient_id": "olive_oil", "name": "Extra-virgin olive oil", "grams": 20.0, "note": ""}]</t>
        </is>
      </c>
      <c r="N1421" s="2" t="n">
        <v>300</v>
      </c>
      <c r="O1421" s="5" t="n">
        <v>10.6</v>
      </c>
      <c r="P1421" s="5" t="n">
        <v>11.3</v>
      </c>
      <c r="Q1421" s="5" t="n">
        <v>41.8</v>
      </c>
      <c r="R1421" s="5" t="n">
        <v>10</v>
      </c>
      <c r="S1421" s="5" t="n">
        <v>31.8</v>
      </c>
      <c r="T1421" s="2" t="n">
        <v>45</v>
      </c>
      <c r="U1421" s="2" t="inlineStr">
        <is>
          <t>low</t>
        </is>
      </c>
      <c r="V1421" s="5" t="n">
        <v>14.3</v>
      </c>
      <c r="W1421" s="2" t="inlineStr">
        <is>
          <t>medium</t>
        </is>
      </c>
      <c r="X1421" s="3" t="inlineStr"/>
      <c r="Y1421" s="3" t="inlineStr">
        <is>
          <t>94% of this dish's available carbohydrate comes from ingredients with a published, measured GI; the rest uses conventional placeholders (see Ingredients sheet)</t>
        </is>
      </c>
      <c r="Z1421" s="2" t="n">
        <v>94</v>
      </c>
      <c r="AA1421" s="3" t="inlineStr">
        <is>
          <t>vegan, gluten-free, dairy-free, nut-free, high-fiber, meal-prep</t>
        </is>
      </c>
      <c r="AB1421" s="3" t="inlineStr">
        <is>
          <t>1. Mix the quinoa, beans, corn and tomatoes.
2. Dress with lime and oil, fold in cilantro and avocado.
3. Pack in jars.</t>
        </is>
      </c>
      <c r="AC1421" s="4" t="inlineStr">
        <is>
          <t>["Mix the quinoa, beans, corn and tomatoes.", "Dress with lime and oil, fold in cilantro and avocado.", "Pack in jars."]</t>
        </is>
      </c>
    </row>
    <row r="1422" ht="96" customHeight="1">
      <c r="A1422" s="2" t="inlineStr">
        <is>
          <t>DB-1421</t>
        </is>
      </c>
      <c r="B1422" s="3" t="inlineStr">
        <is>
          <t>Roasted Cauliflower and Chickpea Tacos</t>
        </is>
      </c>
      <c r="C1422" s="4" t="inlineStr">
        <is>
          <t>Vegetarian &amp; Vegan</t>
        </is>
      </c>
      <c r="D1422" s="4" t="inlineStr">
        <is>
          <t>Tex-Mex</t>
        </is>
      </c>
      <c r="E1422" s="2" t="n">
        <v>4</v>
      </c>
      <c r="F1422" s="2" t="n">
        <v>15</v>
      </c>
      <c r="G1422" s="2" t="n">
        <v>25</v>
      </c>
      <c r="H1422" s="2" t="n">
        <v>40</v>
      </c>
      <c r="I1422" s="4" t="inlineStr">
        <is>
          <t>roasted-cauliflower-and-chickpea-tacos.jpg</t>
        </is>
      </c>
      <c r="J1422" s="3" t="inlineStr">
        <is>
          <t>Roasted Cauliflower and Chickpea Tacos, healthy food photography, plated, natural light</t>
        </is>
      </c>
      <c r="K1422" s="4" t="inlineStr"/>
      <c r="L1422" s="3" t="inlineStr">
        <is>
          <t>Cauliflower — 400 g (14.1 oz)
Chickpeas, cooked — 250 g (8.8 oz)
Corn tortilla — 240 g (8.5 oz)
Chili powder — 5 g (0.2 oz)
Ground cumin — 3 g (0.1 oz)
Lime juice — 20 g (0.7 oz)
Avocado — 100 g (3.5 oz)
Fresh cilantro — 6 g (0.2 oz)
Extra-virgin olive oil — 20 g (0.7 oz)</t>
        </is>
      </c>
      <c r="M1422" s="4" t="inlineStr">
        <is>
          <t>[{"ingredient_id": "cauliflower", "name": "Cauliflower", "grams": 400.0, "note": ""}, {"ingredient_id": "chickpeas", "name": "Chickpeas, cooked", "grams": 250.0, "note": ""}, {"ingredient_id": "corn_tortilla", "name": "Corn tortilla", "grams": 240.0, "note": ""}, {"ingredient_id": "chili_powder", "name": "Chili powder", "grams": 5.0, "note": ""}, {"ingredient_id": "cumin", "name": "Ground cumin", "grams": 3.0, "note": ""}, {"ingredient_id": "lime_juice", "name": "Lime juice", "grams": 20.0, "note": ""}, {"ingredient_id": "avocado", "name": "Avocado", "grams": 100.0, "note": ""}, {"ingredient_id": "cilantro", "name": "Fresh cilantro", "grams": 6.0, "note": ""}, {"ingredient_id": "olive_oil", "name": "Extra-virgin olive oil", "grams": 20.0, "note": ""}]</t>
        </is>
      </c>
      <c r="N1422" s="2" t="n">
        <v>350</v>
      </c>
      <c r="O1422" s="5" t="n">
        <v>11.7</v>
      </c>
      <c r="P1422" s="5" t="n">
        <v>12.8</v>
      </c>
      <c r="Q1422" s="5" t="n">
        <v>52.4</v>
      </c>
      <c r="R1422" s="5" t="n">
        <v>12.8</v>
      </c>
      <c r="S1422" s="5" t="n">
        <v>39.6</v>
      </c>
      <c r="T1422" s="2" t="n">
        <v>44</v>
      </c>
      <c r="U1422" s="2" t="inlineStr">
        <is>
          <t>low</t>
        </is>
      </c>
      <c r="V1422" s="5" t="n">
        <v>17.4</v>
      </c>
      <c r="W1422" s="2" t="inlineStr">
        <is>
          <t>medium</t>
        </is>
      </c>
      <c r="X1422" s="3" t="inlineStr"/>
      <c r="Y1422" s="3" t="inlineStr">
        <is>
          <t>89% of this dish's available carbohydrate comes from ingredients with a published, measured GI; the rest uses conventional placeholders (see Ingredients sheet)</t>
        </is>
      </c>
      <c r="Z1422" s="2" t="n">
        <v>89</v>
      </c>
      <c r="AA1422" s="3" t="inlineStr">
        <is>
          <t>vegan, gluten-free, dairy-free, nut-free, high-fiber</t>
        </is>
      </c>
      <c r="AB1422" s="3" t="inlineStr">
        <is>
          <t>1. Roast the cauliflower and chickpeas with oil and spices at 425°F for 25 minutes.
2. Warm the tortillas.
3. Fill with the roasted vegetables, avocado, lime and cilantro.</t>
        </is>
      </c>
      <c r="AC1422" s="4" t="inlineStr">
        <is>
          <t>["Roast the cauliflower and chickpeas with oil and spices at 425°F for 25 minutes.", "Warm the tortillas.", "Fill with the roasted vegetables, avocado, lime and cilantro."]</t>
        </is>
      </c>
    </row>
    <row r="1423" ht="96" customHeight="1">
      <c r="A1423" s="2" t="inlineStr">
        <is>
          <t>DB-1422</t>
        </is>
      </c>
      <c r="B1423" s="3" t="inlineStr">
        <is>
          <t>Garlic Roasted Green Beans with Almonds</t>
        </is>
      </c>
      <c r="C1423" s="4" t="inlineStr">
        <is>
          <t>Side Dish</t>
        </is>
      </c>
      <c r="D1423" s="4" t="inlineStr">
        <is>
          <t>American</t>
        </is>
      </c>
      <c r="E1423" s="2" t="n">
        <v>4</v>
      </c>
      <c r="F1423" s="2" t="n">
        <v>10</v>
      </c>
      <c r="G1423" s="2" t="n">
        <v>20</v>
      </c>
      <c r="H1423" s="2" t="n">
        <v>30</v>
      </c>
      <c r="I1423" s="4" t="inlineStr">
        <is>
          <t>garlic-roasted-green-beans-with-almonds.jpg</t>
        </is>
      </c>
      <c r="J1423" s="3" t="inlineStr">
        <is>
          <t>Garlic Roasted Green Beans with Almonds, healthy food photography, plated, natural light</t>
        </is>
      </c>
      <c r="K1423" s="4" t="inlineStr"/>
      <c r="L1423" s="3" t="inlineStr">
        <is>
          <t>Green beans — 500 g (17.6 oz)
Almonds — 30 g (1.1 oz)
Garlic — 8 g (0.3 oz)
Extra-virgin olive oil — 20 g (0.7 oz)
Lemon juice — 15 g (0.5 oz)</t>
        </is>
      </c>
      <c r="M1423" s="4" t="inlineStr">
        <is>
          <t>[{"ingredient_id": "green_beans", "name": "Green beans", "grams": 500.0, "note": ""}, {"ingredient_id": "almonds", "name": "Almonds", "grams": 30.0, "note": ""}, {"ingredient_id": "garlic", "name": "Garlic", "grams": 8.0, "note": ""}, {"ingredient_id": "olive_oil", "name": "Extra-virgin olive oil", "grams": 20.0, "note": ""}, {"ingredient_id": "lemon_juice", "name": "Lemon juice", "grams": 15.0, "note": ""}]</t>
        </is>
      </c>
      <c r="N1423" s="2" t="n">
        <v>130</v>
      </c>
      <c r="O1423" s="5" t="n">
        <v>4</v>
      </c>
      <c r="P1423" s="5" t="n">
        <v>9</v>
      </c>
      <c r="Q1423" s="5" t="n">
        <v>11.3</v>
      </c>
      <c r="R1423" s="5" t="n">
        <v>4.4</v>
      </c>
      <c r="S1423" s="5" t="n">
        <v>7</v>
      </c>
      <c r="T1423" s="2" t="n">
        <v>17</v>
      </c>
      <c r="U1423" s="2" t="inlineStr">
        <is>
          <t>low</t>
        </is>
      </c>
      <c r="V1423" s="5" t="n">
        <v>1.2</v>
      </c>
      <c r="W1423" s="2" t="inlineStr">
        <is>
          <t>low</t>
        </is>
      </c>
      <c r="X1423" s="3" t="inlineStr"/>
      <c r="Y1423" s="3" t="inlineStr">
        <is>
          <t>0% of this dish's available carbohydrate comes from ingredients with a published, measured GI; the rest uses conventional placeholders (see Ingredients sheet)</t>
        </is>
      </c>
      <c r="Z1423" s="2" t="n">
        <v>0</v>
      </c>
      <c r="AA1423" s="3" t="inlineStr">
        <is>
          <t>vegan, gluten-free, dairy-free, low-carb</t>
        </is>
      </c>
      <c r="AB1423" s="3" t="inlineStr">
        <is>
          <t>1. Toss the beans with oil and garlic and roast at 425°F for 18 minutes.
2. Top with almonds and lemon.</t>
        </is>
      </c>
      <c r="AC1423" s="4" t="inlineStr">
        <is>
          <t>["Toss the beans with oil and garlic and roast at 425°F for 18 minutes.", "Top with almonds and lemon."]</t>
        </is>
      </c>
    </row>
    <row r="1424" ht="96" customHeight="1">
      <c r="A1424" s="2" t="inlineStr">
        <is>
          <t>DB-1423</t>
        </is>
      </c>
      <c r="B1424" s="3" t="inlineStr">
        <is>
          <t>Lemon Parmesan Asparagus</t>
        </is>
      </c>
      <c r="C1424" s="4" t="inlineStr">
        <is>
          <t>Side Dish</t>
        </is>
      </c>
      <c r="D1424" s="4" t="inlineStr">
        <is>
          <t>American</t>
        </is>
      </c>
      <c r="E1424" s="2" t="n">
        <v>4</v>
      </c>
      <c r="F1424" s="2" t="n">
        <v>5</v>
      </c>
      <c r="G1424" s="2" t="n">
        <v>12</v>
      </c>
      <c r="H1424" s="2" t="n">
        <v>17</v>
      </c>
      <c r="I1424" s="4" t="inlineStr">
        <is>
          <t>lemon-parmesan-asparagus.jpg</t>
        </is>
      </c>
      <c r="J1424" s="3" t="inlineStr">
        <is>
          <t>Lemon Parmesan Asparagus, healthy food photography, plated, natural light</t>
        </is>
      </c>
      <c r="K1424" s="4" t="inlineStr"/>
      <c r="L1424" s="3" t="inlineStr">
        <is>
          <t>Asparagus — 500 g (17.6 oz)
Parmesan, grated — 30 g (1.1 oz)
Lemon juice — 20 g (0.7 oz)
Extra-virgin olive oil — 15 g (0.5 oz)
Garlic — 4 g (0.1 oz)</t>
        </is>
      </c>
      <c r="M1424" s="4" t="inlineStr">
        <is>
          <t>[{"ingredient_id": "asparagus", "name": "Asparagus", "grams": 500.0, "note": ""}, {"ingredient_id": "parmesan", "name": "Parmesan, grated", "grams": 30.0, "note": ""}, {"ingredient_id": "lemon_juice", "name": "Lemon juice", "grams": 20.0, "note": ""}, {"ingredient_id": "olive_oil", "name": "Extra-virgin olive oil", "grams": 15.0, "note": ""}, {"ingredient_id": "garlic", "name": "Garlic", "grams": 4.0, "note": ""}]</t>
        </is>
      </c>
      <c r="N1424" s="2" t="n">
        <v>93</v>
      </c>
      <c r="O1424" s="5" t="n">
        <v>5.7</v>
      </c>
      <c r="P1424" s="5" t="n">
        <v>6.1</v>
      </c>
      <c r="Q1424" s="5" t="n">
        <v>5.8</v>
      </c>
      <c r="R1424" s="5" t="n">
        <v>2.7</v>
      </c>
      <c r="S1424" s="5" t="n">
        <v>3.2</v>
      </c>
      <c r="T1424" s="2" t="n">
        <v>16</v>
      </c>
      <c r="U1424" s="2" t="inlineStr">
        <is>
          <t>low</t>
        </is>
      </c>
      <c r="V1424" s="5" t="n">
        <v>0.5</v>
      </c>
      <c r="W1424" s="2" t="inlineStr">
        <is>
          <t>low</t>
        </is>
      </c>
      <c r="X1424" s="3" t="inlineStr">
        <is>
          <t>Negligible carbohydrate (&lt;5 g net/serving): GI has little practical meaning, glycemic load is what matters.</t>
        </is>
      </c>
      <c r="Y1424" s="3" t="inlineStr">
        <is>
          <t>0% of this dish's available carbohydrate comes from ingredients with a published, measured GI; the rest uses conventional placeholders (see Ingredients sheet)</t>
        </is>
      </c>
      <c r="Z1424" s="2" t="n">
        <v>0</v>
      </c>
      <c r="AA1424" s="3" t="inlineStr">
        <is>
          <t>vegetarian, gluten-free, nut-free, low-carb</t>
        </is>
      </c>
      <c r="AB1424" s="3" t="inlineStr">
        <is>
          <t>1. Roast the asparagus with oil and garlic at 425°F for 10 to 12 minutes.
2. Finish with lemon and parmesan.</t>
        </is>
      </c>
      <c r="AC1424" s="4" t="inlineStr">
        <is>
          <t>["Roast the asparagus with oil and garlic at 425°F for 10 to 12 minutes.", "Finish with lemon and parmesan."]</t>
        </is>
      </c>
    </row>
    <row r="1425" ht="96" customHeight="1">
      <c r="A1425" s="2" t="inlineStr">
        <is>
          <t>DB-1424</t>
        </is>
      </c>
      <c r="B1425" s="3" t="inlineStr">
        <is>
          <t>Sauteed Spinach with Garlic</t>
        </is>
      </c>
      <c r="C1425" s="4" t="inlineStr">
        <is>
          <t>Side Dish</t>
        </is>
      </c>
      <c r="D1425" s="4" t="inlineStr">
        <is>
          <t>American</t>
        </is>
      </c>
      <c r="E1425" s="2" t="n">
        <v>4</v>
      </c>
      <c r="F1425" s="2" t="n">
        <v>5</v>
      </c>
      <c r="G1425" s="2" t="n">
        <v>6</v>
      </c>
      <c r="H1425" s="2" t="n">
        <v>11</v>
      </c>
      <c r="I1425" s="4" t="inlineStr">
        <is>
          <t>sauteed-spinach-with-garlic.jpg</t>
        </is>
      </c>
      <c r="J1425" s="3" t="inlineStr">
        <is>
          <t>Sauteed Spinach with Garlic, healthy food photography, plated, natural light</t>
        </is>
      </c>
      <c r="K1425" s="4" t="inlineStr"/>
      <c r="L1425" s="3" t="inlineStr">
        <is>
          <t>Spinach — 500 g (17.6 oz)
Garlic — 10 g (0.4 oz)
Extra-virgin olive oil — 15 g (0.5 oz)
Lemon juice — 10 g (0.4 oz)
Red pepper flakes — 1 g (0.0 oz)</t>
        </is>
      </c>
      <c r="M1425" s="4" t="inlineStr">
        <is>
          <t>[{"ingredient_id": "spinach", "name": "Spinach", "grams": 500.0, "note": ""}, {"ingredient_id": "garlic", "name": "Garlic", "grams": 10.0, "note": ""}, {"ingredient_id": "olive_oil", "name": "Extra-virgin olive oil", "grams": 15.0, "note": ""}, {"ingredient_id": "lemon_juice", "name": "Lemon juice", "grams": 10.0, "note": ""}, {"ingredient_id": "red_pepper_flakes", "name": "Red pepper flakes", "grams": 1.0, "note": ""}]</t>
        </is>
      </c>
      <c r="N1425" s="2" t="n">
        <v>67</v>
      </c>
      <c r="O1425" s="5" t="n">
        <v>3.8</v>
      </c>
      <c r="P1425" s="5" t="n">
        <v>4.3</v>
      </c>
      <c r="Q1425" s="5" t="n">
        <v>5.6</v>
      </c>
      <c r="R1425" s="5" t="n">
        <v>2.9</v>
      </c>
      <c r="S1425" s="5" t="n">
        <v>2.8</v>
      </c>
      <c r="T1425" s="2" t="n">
        <v>19</v>
      </c>
      <c r="U1425" s="2" t="inlineStr">
        <is>
          <t>low</t>
        </is>
      </c>
      <c r="V1425" s="5" t="n">
        <v>0.5</v>
      </c>
      <c r="W1425" s="2" t="inlineStr">
        <is>
          <t>low</t>
        </is>
      </c>
      <c r="X1425" s="3" t="inlineStr">
        <is>
          <t>Negligible carbohydrate (&lt;5 g net/serving): GI has little practical meaning, glycemic load is what matters.</t>
        </is>
      </c>
      <c r="Y1425" s="3" t="inlineStr">
        <is>
          <t>0% of this dish's available carbohydrate comes from ingredients with a published, measured GI; the rest uses conventional placeholders (see Ingredients sheet)</t>
        </is>
      </c>
      <c r="Z1425" s="2" t="n">
        <v>0</v>
      </c>
      <c r="AA1425" s="3" t="inlineStr">
        <is>
          <t>vegan, gluten-free, dairy-free, nut-free, low-carb</t>
        </is>
      </c>
      <c r="AB1425" s="3" t="inlineStr">
        <is>
          <t>1. Sauté the garlic in oil.
2. Wilt the spinach and finish with lemon and pepper flakes.</t>
        </is>
      </c>
      <c r="AC1425" s="4" t="inlineStr">
        <is>
          <t>["Sauté the garlic in oil.", "Wilt the spinach and finish with lemon and pepper flakes."]</t>
        </is>
      </c>
    </row>
    <row r="1426" ht="96" customHeight="1">
      <c r="A1426" s="2" t="inlineStr">
        <is>
          <t>DB-1425</t>
        </is>
      </c>
      <c r="B1426" s="3" t="inlineStr">
        <is>
          <t>Zucchini Fritters with Greek Yogurt Dip</t>
        </is>
      </c>
      <c r="C1426" s="4" t="inlineStr">
        <is>
          <t>Side Dish</t>
        </is>
      </c>
      <c r="D1426" s="4" t="inlineStr">
        <is>
          <t>American</t>
        </is>
      </c>
      <c r="E1426" s="2" t="n">
        <v>4</v>
      </c>
      <c r="F1426" s="2" t="n">
        <v>15</v>
      </c>
      <c r="G1426" s="2" t="n">
        <v>12</v>
      </c>
      <c r="H1426" s="2" t="n">
        <v>27</v>
      </c>
      <c r="I1426" s="4" t="inlineStr">
        <is>
          <t>zucchini-fritters-with-greek-yogurt-dip.jpg</t>
        </is>
      </c>
      <c r="J1426" s="3" t="inlineStr">
        <is>
          <t>Zucchini Fritters with Greek Yogurt Dip, healthy food photography, plated, natural light</t>
        </is>
      </c>
      <c r="K1426" s="4" t="inlineStr"/>
      <c r="L1426" s="3" t="inlineStr">
        <is>
          <t>Zucchini — 450 g (15.9 oz)
Egg, large (50 g each) — 100 g (3.5 oz)
Almond flour — 40 g (1.4 oz)
Parmesan, grated — 25 g (0.9 oz)
Greek yogurt, plain 2% — 120 g (4.2 oz)
Fresh dill — 3 g (0.1 oz)
Extra-virgin olive oil — 20 g (0.7 oz)
Salt — 2 g (0.1 oz)</t>
        </is>
      </c>
      <c r="M1426" s="4" t="inlineStr">
        <is>
          <t>[{"ingredient_id": "zucchini", "name": "Zucchini", "grams": 450.0, "note": ""}, {"ingredient_id": "egg", "name": "Egg, large (50 g each)", "grams": 100.0, "note": ""}, {"ingredient_id": "almond_flour", "name": "Almond flour", "grams": 40.0, "note": ""}, {"ingredient_id": "parmesan", "name": "Parmesan, grated", "grams": 25.0, "note": ""}, {"ingredient_id": "greek_yogurt", "name": "Greek yogurt, plain 2%", "grams": 120.0, "note": ""}, {"ingredient_id": "dill", "name": "Fresh dill", "grams": 3.0, "note": ""}, {"ingredient_id": "olive_oil", "name": "Extra-virgin olive oil", "grams": 20.0, "note": ""}, {"ingredient_id": "salt", "name": "Salt", "grams": 2.0, "note": ""}]</t>
        </is>
      </c>
      <c r="N1426" s="2" t="n">
        <v>207</v>
      </c>
      <c r="O1426" s="5" t="n">
        <v>12</v>
      </c>
      <c r="P1426" s="5" t="n">
        <v>15.1</v>
      </c>
      <c r="Q1426" s="5" t="n">
        <v>7.3</v>
      </c>
      <c r="R1426" s="5" t="n">
        <v>2.3</v>
      </c>
      <c r="S1426" s="5" t="n">
        <v>4.9</v>
      </c>
      <c r="T1426" s="2" t="n">
        <v>13</v>
      </c>
      <c r="U1426" s="2" t="inlineStr">
        <is>
          <t>low</t>
        </is>
      </c>
      <c r="V1426" s="5" t="n">
        <v>0.6</v>
      </c>
      <c r="W1426" s="2" t="inlineStr">
        <is>
          <t>low</t>
        </is>
      </c>
      <c r="X1426" s="3" t="inlineStr">
        <is>
          <t>Negligible carbohydrate (&lt;5 g net/serving): GI has little practical meaning, glycemic load is what matters.</t>
        </is>
      </c>
      <c r="Y1426" s="3" t="inlineStr">
        <is>
          <t>24% of this dish's available carbohydrate comes from ingredients with a published, measured GI; the rest uses conventional placeholders (see Ingredients sheet)</t>
        </is>
      </c>
      <c r="Z1426" s="2" t="n">
        <v>24</v>
      </c>
      <c r="AA1426" s="3" t="inlineStr">
        <is>
          <t>vegetarian, gluten-free, low-carb</t>
        </is>
      </c>
      <c r="AB1426" s="3" t="inlineStr">
        <is>
          <t>1. Grate and squeeze the zucchini.
2. Mix with egg, almond flour, parmesan and salt and pan-fry small cakes in oil.
3. Stir the yogurt with dill for dipping.</t>
        </is>
      </c>
      <c r="AC1426" s="4" t="inlineStr">
        <is>
          <t>["Grate and squeeze the zucchini.", "Mix with egg, almond flour, parmesan and salt and pan-fry small cakes in oil.", "Stir the yogurt with dill for dipping."]</t>
        </is>
      </c>
    </row>
    <row r="1427" ht="96" customHeight="1">
      <c r="A1427" s="2" t="inlineStr">
        <is>
          <t>DB-1426</t>
        </is>
      </c>
      <c r="B1427" s="3" t="inlineStr">
        <is>
          <t>Broccoli Slaw with Peanut Dressing</t>
        </is>
      </c>
      <c r="C1427" s="4" t="inlineStr">
        <is>
          <t>Side Dish</t>
        </is>
      </c>
      <c r="D1427" s="4" t="inlineStr">
        <is>
          <t>Asian</t>
        </is>
      </c>
      <c r="E1427" s="2" t="n">
        <v>5</v>
      </c>
      <c r="F1427" s="2" t="n">
        <v>10</v>
      </c>
      <c r="G1427" s="2" t="n">
        <v>0</v>
      </c>
      <c r="H1427" s="2" t="n">
        <v>10</v>
      </c>
      <c r="I1427" s="4" t="inlineStr">
        <is>
          <t>broccoli-slaw-with-peanut-dressing.jpg</t>
        </is>
      </c>
      <c r="J1427" s="3" t="inlineStr">
        <is>
          <t>Broccoli Slaw with Peanut Dressing, healthy food photography, plated, natural light</t>
        </is>
      </c>
      <c r="K1427" s="4" t="inlineStr"/>
      <c r="L1427" s="3" t="inlineStr">
        <is>
          <t>Coleslaw mix (cabbage &amp; carrot) — 300 g (10.6 oz)
Broccoli — 150 g (5.3 oz)
Peanut butter, natural — 30 g (1.1 oz)
Soy sauce, low sodium — 15 g (0.5 oz)
Rice vinegar, unseasoned — 20 g (0.7 oz)
Lime juice — 15 g (0.5 oz)
Fresh ginger — 5 g (0.2 oz)
Carrot — 50 g (1.8 oz)</t>
        </is>
      </c>
      <c r="M1427" s="4" t="inlineStr">
        <is>
          <t>[{"ingredient_id": "coleslaw_mix", "name": "Coleslaw mix (cabbage &amp; carrot)", "grams": 300.0, "note": ""}, {"ingredient_id": "broccoli", "name": "Broccoli", "grams": 150.0, "note": ""}, {"ingredient_id": "peanut_butter", "name": "Peanut butter, natural", "grams": 30.0, "note": ""}, {"ingredient_id": "soy_sauce", "name": "Soy sauce, low sodium", "grams": 15.0, "note": ""}, {"ingredient_id": "rice_vinegar", "name": "Rice vinegar, unseasoned", "grams": 20.0, "note": ""}, {"ingredient_id": "lime_juice", "name": "Lime juice", "grams": 15.0, "note": ""}, {"ingredient_id": "ginger", "name": "Fresh ginger", "grams": 5.0, "note": ""}, {"ingredient_id": "carrot", "name": "Carrot", "grams": 50.0, "note": ""}]</t>
        </is>
      </c>
      <c r="N1427" s="2" t="n">
        <v>70</v>
      </c>
      <c r="O1427" s="5" t="n">
        <v>3.5</v>
      </c>
      <c r="P1427" s="5" t="n">
        <v>3.2</v>
      </c>
      <c r="Q1427" s="5" t="n">
        <v>8.300000000000001</v>
      </c>
      <c r="R1427" s="5" t="n">
        <v>2.9</v>
      </c>
      <c r="S1427" s="5" t="n">
        <v>5.4</v>
      </c>
      <c r="T1427" s="2" t="n">
        <v>18</v>
      </c>
      <c r="U1427" s="2" t="inlineStr">
        <is>
          <t>low</t>
        </is>
      </c>
      <c r="V1427" s="5" t="n">
        <v>1</v>
      </c>
      <c r="W1427" s="2" t="inlineStr">
        <is>
          <t>low</t>
        </is>
      </c>
      <c r="X1427" s="3" t="inlineStr"/>
      <c r="Y1427" s="3" t="inlineStr">
        <is>
          <t>13% of this dish's available carbohydrate comes from ingredients with a published, measured GI; the rest uses conventional placeholders (see Ingredients sheet)</t>
        </is>
      </c>
      <c r="Z1427" s="2" t="n">
        <v>13</v>
      </c>
      <c r="AA1427" s="3" t="inlineStr">
        <is>
          <t>vegan, dairy-free, low-carb, no-cook</t>
        </is>
      </c>
      <c r="AB1427" s="3" t="inlineStr">
        <is>
          <t>1. Whisk the peanut butter, soy sauce, vinegar, lime and ginger.
2. Toss with the slaw, shredded broccoli and carrot.</t>
        </is>
      </c>
      <c r="AC1427" s="4" t="inlineStr">
        <is>
          <t>["Whisk the peanut butter, soy sauce, vinegar, lime and ginger.", "Toss with the slaw, shredded broccoli and carrot."]</t>
        </is>
      </c>
    </row>
    <row r="1428" ht="96" customHeight="1">
      <c r="A1428" s="2" t="inlineStr">
        <is>
          <t>DB-1427</t>
        </is>
      </c>
      <c r="B1428" s="3" t="inlineStr">
        <is>
          <t>Mushroom Wild Rice Pilaf</t>
        </is>
      </c>
      <c r="C1428" s="4" t="inlineStr">
        <is>
          <t>Side Dish</t>
        </is>
      </c>
      <c r="D1428" s="4" t="inlineStr">
        <is>
          <t>American</t>
        </is>
      </c>
      <c r="E1428" s="2" t="n">
        <v>5</v>
      </c>
      <c r="F1428" s="2" t="n">
        <v>10</v>
      </c>
      <c r="G1428" s="2" t="n">
        <v>20</v>
      </c>
      <c r="H1428" s="2" t="n">
        <v>30</v>
      </c>
      <c r="I1428" s="4" t="inlineStr">
        <is>
          <t>mushroom-wild-rice-pilaf.jpg</t>
        </is>
      </c>
      <c r="J1428" s="3" t="inlineStr">
        <is>
          <t>Mushroom Wild Rice Pilaf, healthy food photography, plated, natural light</t>
        </is>
      </c>
      <c r="K1428" s="4" t="inlineStr"/>
      <c r="L1428" s="3" t="inlineStr">
        <is>
          <t>Wild rice, cooked — 450 g (15.9 oz)
Mushrooms (cremini/white) — 200 g (7.1 oz)
Yellow onion — 80 g (2.8 oz)
Vegetable broth, low sodium — 150 g (5.3 oz)
Fresh thyme — 2 g (0.1 oz)
Butter — 15 g (0.5 oz)
Pecans — 25 g (0.9 oz)</t>
        </is>
      </c>
      <c r="M1428" s="4" t="inlineStr">
        <is>
          <t>[{"ingredient_id": "wild_rice", "name": "Wild rice, cooked", "grams": 450.0, "note": ""}, {"ingredient_id": "mushrooms", "name": "Mushrooms (cremini/white)", "grams": 200.0, "note": ""}, {"ingredient_id": "onion", "name": "Yellow onion", "grams": 80.0, "note": ""}, {"ingredient_id": "vegetable_broth", "name": "Vegetable broth, low sodium", "grams": 150.0, "note": ""}, {"ingredient_id": "thyme", "name": "Fresh thyme", "grams": 2.0, "note": ""}, {"ingredient_id": "butter", "name": "Butter", "grams": 15.0, "note": ""}, {"ingredient_id": "pecans", "name": "Pecans", "grams": 25.0, "note": ""}]</t>
        </is>
      </c>
      <c r="N1428" s="2" t="n">
        <v>165</v>
      </c>
      <c r="O1428" s="5" t="n">
        <v>5.7</v>
      </c>
      <c r="P1428" s="5" t="n">
        <v>6.5</v>
      </c>
      <c r="Q1428" s="5" t="n">
        <v>23</v>
      </c>
      <c r="R1428" s="5" t="n">
        <v>2.8</v>
      </c>
      <c r="S1428" s="5" t="n">
        <v>20.1</v>
      </c>
      <c r="T1428" s="2" t="n">
        <v>51</v>
      </c>
      <c r="U1428" s="2" t="inlineStr">
        <is>
          <t>low</t>
        </is>
      </c>
      <c r="V1428" s="5" t="n">
        <v>10.3</v>
      </c>
      <c r="W1428" s="2" t="inlineStr">
        <is>
          <t>medium</t>
        </is>
      </c>
      <c r="X1428" s="3" t="inlineStr"/>
      <c r="Y1428" s="3" t="inlineStr">
        <is>
          <t>0% of this dish's available carbohydrate comes from ingredients with a published, measured GI; the rest uses conventional placeholders (see Ingredients sheet)</t>
        </is>
      </c>
      <c r="Z1428" s="2" t="n">
        <v>0</v>
      </c>
      <c r="AA1428" s="3" t="inlineStr">
        <is>
          <t>vegetarian, gluten-free</t>
        </is>
      </c>
      <c r="AB1428" s="3" t="inlineStr">
        <is>
          <t>1. Sauté the onion and mushrooms in butter with thyme.
2. Add the cooked wild rice and broth and heat through.
3. Top with toasted pecans.</t>
        </is>
      </c>
      <c r="AC1428" s="4" t="inlineStr">
        <is>
          <t>["Sauté the onion and mushrooms in butter with thyme.", "Add the cooked wild rice and broth and heat through.", "Top with toasted pecans."]</t>
        </is>
      </c>
    </row>
    <row r="1429" ht="96" customHeight="1">
      <c r="A1429" s="2" t="inlineStr">
        <is>
          <t>DB-1428</t>
        </is>
      </c>
      <c r="B1429" s="3" t="inlineStr">
        <is>
          <t>Quinoa Tabbouleh</t>
        </is>
      </c>
      <c r="C1429" s="4" t="inlineStr">
        <is>
          <t>Side Dish</t>
        </is>
      </c>
      <c r="D1429" s="4" t="inlineStr">
        <is>
          <t>Middle Eastern</t>
        </is>
      </c>
      <c r="E1429" s="2" t="n">
        <v>5</v>
      </c>
      <c r="F1429" s="2" t="n">
        <v>15</v>
      </c>
      <c r="G1429" s="2" t="n">
        <v>0</v>
      </c>
      <c r="H1429" s="2" t="n">
        <v>15</v>
      </c>
      <c r="I1429" s="4" t="inlineStr">
        <is>
          <t>quinoa-tabbouleh.jpg</t>
        </is>
      </c>
      <c r="J1429" s="3" t="inlineStr">
        <is>
          <t>Quinoa Tabbouleh, healthy food photography, plated, natural light</t>
        </is>
      </c>
      <c r="K1429" s="4" t="inlineStr"/>
      <c r="L1429" s="3" t="inlineStr">
        <is>
          <t>Quinoa, cooked — 350 g (12.3 oz)
Fresh parsley — 60 g (2.1 oz)
Tomato — 200 g (7.1 oz)
Cucumber — 100 g (3.5 oz)
Fresh mint — 10 g (0.4 oz)
Lemon juice — 40 g (1.4 oz)
Extra-virgin olive oil — 30 g (1.1 oz)</t>
        </is>
      </c>
      <c r="M1429" s="4" t="inlineStr">
        <is>
          <t>[{"ingredient_id": "quinoa", "name": "Quinoa, cooked", "grams": 350.0, "note": ""}, {"ingredient_id": "parsley", "name": "Fresh parsley", "grams": 60.0, "note": ""}, {"ingredient_id": "tomato", "name": "Tomato", "grams": 200.0, "note": ""}, {"ingredient_id": "cucumber", "name": "Cucumber", "grams": 100.0, "note": ""}, {"ingredient_id": "mint", "name": "Fresh mint", "grams": 10.0, "note": ""}, {"ingredient_id": "lemon_juice", "name": "Lemon juice", "grams": 40.0, "note": ""}, {"ingredient_id": "olive_oil", "name": "Extra-virgin olive oil", "grams": 30.0, "note": ""}]</t>
        </is>
      </c>
      <c r="N1429" s="2" t="n">
        <v>154</v>
      </c>
      <c r="O1429" s="5" t="n">
        <v>4</v>
      </c>
      <c r="P1429" s="5" t="n">
        <v>7.6</v>
      </c>
      <c r="Q1429" s="5" t="n">
        <v>18.5</v>
      </c>
      <c r="R1429" s="5" t="n">
        <v>3.1</v>
      </c>
      <c r="S1429" s="5" t="n">
        <v>15.4</v>
      </c>
      <c r="T1429" s="2" t="n">
        <v>47</v>
      </c>
      <c r="U1429" s="2" t="inlineStr">
        <is>
          <t>low</t>
        </is>
      </c>
      <c r="V1429" s="5" t="n">
        <v>7.2</v>
      </c>
      <c r="W1429" s="2" t="inlineStr">
        <is>
          <t>low</t>
        </is>
      </c>
      <c r="X1429" s="3" t="inlineStr"/>
      <c r="Y1429" s="3" t="inlineStr">
        <is>
          <t>83% of this dish's available carbohydrate comes from ingredients with a published, measured GI; the rest uses conventional placeholders (see Ingredients sheet)</t>
        </is>
      </c>
      <c r="Z1429" s="2" t="n">
        <v>83</v>
      </c>
      <c r="AA1429" s="3" t="inlineStr">
        <is>
          <t>vegan, gluten-free, dairy-free, nut-free, no-cook</t>
        </is>
      </c>
      <c r="AB1429" s="3" t="inlineStr">
        <is>
          <t>1. Chop the herbs and vegetables finely.
2. Toss with the quinoa, lemon and oil.</t>
        </is>
      </c>
      <c r="AC1429" s="4" t="inlineStr">
        <is>
          <t>["Chop the herbs and vegetables finely.", "Toss with the quinoa, lemon and oil."]</t>
        </is>
      </c>
    </row>
    <row r="1430" ht="96" customHeight="1">
      <c r="A1430" s="2" t="inlineStr">
        <is>
          <t>DB-1429</t>
        </is>
      </c>
      <c r="B1430" s="3" t="inlineStr">
        <is>
          <t>Cheddar Chive Cauliflower Biscuits</t>
        </is>
      </c>
      <c r="C1430" s="4" t="inlineStr">
        <is>
          <t>Side Dish</t>
        </is>
      </c>
      <c r="D1430" s="4" t="inlineStr">
        <is>
          <t>American</t>
        </is>
      </c>
      <c r="E1430" s="2" t="n">
        <v>8</v>
      </c>
      <c r="F1430" s="2" t="n">
        <v>15</v>
      </c>
      <c r="G1430" s="2" t="n">
        <v>20</v>
      </c>
      <c r="H1430" s="2" t="n">
        <v>35</v>
      </c>
      <c r="I1430" s="4" t="inlineStr">
        <is>
          <t>cheddar-chive-cauliflower-biscuits.jpg</t>
        </is>
      </c>
      <c r="J1430" s="3" t="inlineStr">
        <is>
          <t>Cheddar Chive Cauliflower Biscuits, healthy food photography, plated, natural light</t>
        </is>
      </c>
      <c r="K1430" s="4" t="inlineStr"/>
      <c r="L1430" s="3" t="inlineStr">
        <is>
          <t>Cauliflower rice — 300 g (10.6 oz)
Almond flour — 100 g (3.5 oz)
Cheddar cheese — 100 g (3.5 oz)
Egg, large (50 g each) — 100 g (3.5 oz)
Fresh chives — 8 g (0.3 oz)
Baking powder — 4 g (0.1 oz)
Garlic powder — 2 g (0.1 oz)</t>
        </is>
      </c>
      <c r="M1430" s="4" t="inlineStr">
        <is>
          <t>[{"ingredient_id": "cauliflower_rice", "name": "Cauliflower rice", "grams": 300.0, "note": ""}, {"ingredient_id": "almond_flour", "name": "Almond flour", "grams": 100.0, "note": ""}, {"ingredient_id": "cheddar", "name": "Cheddar cheese", "grams": 100.0, "note": ""}, {"ingredient_id": "egg", "name": "Egg, large (50 g each)", "grams": 100.0, "note": ""}, {"ingredient_id": "chives", "name": "Fresh chives", "grams": 8.0, "note": ""}, {"ingredient_id": "baking_powder", "name": "Baking powder", "grams": 4.0, "note": ""}, {"ingredient_id": "garlic_powder", "name": "Garlic powder", "grams": 2.0, "note": ""}]</t>
        </is>
      </c>
      <c r="N1430" s="2" t="n">
        <v>153</v>
      </c>
      <c r="O1430" s="5" t="n">
        <v>7.9</v>
      </c>
      <c r="P1430" s="5" t="n">
        <v>11.7</v>
      </c>
      <c r="Q1430" s="5" t="n">
        <v>5.1</v>
      </c>
      <c r="R1430" s="5" t="n">
        <v>2.3</v>
      </c>
      <c r="S1430" s="5" t="n">
        <v>2.8</v>
      </c>
      <c r="T1430" s="2" t="n">
        <v>13</v>
      </c>
      <c r="U1430" s="2" t="inlineStr">
        <is>
          <t>low</t>
        </is>
      </c>
      <c r="V1430" s="5" t="n">
        <v>0.4</v>
      </c>
      <c r="W1430" s="2" t="inlineStr">
        <is>
          <t>low</t>
        </is>
      </c>
      <c r="X1430" s="3" t="inlineStr">
        <is>
          <t>Negligible carbohydrate (&lt;5 g net/serving): GI has little practical meaning, glycemic load is what matters.</t>
        </is>
      </c>
      <c r="Y1430" s="3" t="inlineStr">
        <is>
          <t>0% of this dish's available carbohydrate comes from ingredients with a published, measured GI; the rest uses conventional placeholders (see Ingredients sheet)</t>
        </is>
      </c>
      <c r="Z1430" s="2" t="n">
        <v>0</v>
      </c>
      <c r="AA1430" s="3" t="inlineStr">
        <is>
          <t>vegetarian, gluten-free, low-carb</t>
        </is>
      </c>
      <c r="AB1430" s="3" t="inlineStr">
        <is>
          <t>1. Steam and squeeze the cauliflower rice dry.
2. Mix with the almond flour, cheddar, eggs, chives, baking powder and garlic powder.
3. Scoop eight biscuits and bake at 400°F for 18 to 20 minutes.</t>
        </is>
      </c>
      <c r="AC1430" s="4" t="inlineStr">
        <is>
          <t>["Steam and squeeze the cauliflower rice dry.", "Mix with the almond flour, cheddar, eggs, chives, baking powder and garlic powder.", "Scoop eight biscuits and bake at 400°F for 18 to 20 minutes."]</t>
        </is>
      </c>
    </row>
    <row r="1431" ht="96" customHeight="1">
      <c r="A1431" s="2" t="inlineStr">
        <is>
          <t>DB-1430</t>
        </is>
      </c>
      <c r="B1431" s="3" t="inlineStr">
        <is>
          <t>Spiced Roasted Carrots and Chickpeas</t>
        </is>
      </c>
      <c r="C1431" s="4" t="inlineStr">
        <is>
          <t>Side Dish</t>
        </is>
      </c>
      <c r="D1431" s="4" t="inlineStr">
        <is>
          <t>Middle Eastern</t>
        </is>
      </c>
      <c r="E1431" s="2" t="n">
        <v>5</v>
      </c>
      <c r="F1431" s="2" t="n">
        <v>10</v>
      </c>
      <c r="G1431" s="2" t="n">
        <v>30</v>
      </c>
      <c r="H1431" s="2" t="n">
        <v>40</v>
      </c>
      <c r="I1431" s="4" t="inlineStr">
        <is>
          <t>spiced-roasted-carrots-and-chickpeas.jpg</t>
        </is>
      </c>
      <c r="J1431" s="3" t="inlineStr">
        <is>
          <t>Spiced Roasted Carrots and Chickpeas, healthy food photography, plated, natural light</t>
        </is>
      </c>
      <c r="K1431" s="4" t="inlineStr"/>
      <c r="L1431" s="3" t="inlineStr">
        <is>
          <t>Carrot — 500 g (17.6 oz)
Chickpeas, cooked — 250 g (8.8 oz)
Extra-virgin olive oil — 25 g (0.9 oz)
Ground cumin — 3 g (0.1 oz)
Smoked paprika — 3 g (0.1 oz)
Greek yogurt, plain 2% — 100 g (3.5 oz)
Lemon juice — 15 g (0.5 oz)</t>
        </is>
      </c>
      <c r="M1431" s="4" t="inlineStr">
        <is>
          <t>[{"ingredient_id": "carrot", "name": "Carrot", "grams": 500.0, "note": ""}, {"ingredient_id": "chickpeas", "name": "Chickpeas, cooked", "grams": 250.0, "note": ""}, {"ingredient_id": "olive_oil", "name": "Extra-virgin olive oil", "grams": 25.0, "note": ""}, {"ingredient_id": "cumin", "name": "Ground cumin", "grams": 3.0, "note": ""}, {"ingredient_id": "smoked_paprika", "name": "Smoked paprika", "grams": 3.0, "note": ""}, {"ingredient_id": "greek_yogurt", "name": "Greek yogurt, plain 2%", "grams": 100.0, "note": ""}, {"ingredient_id": "lemon_juice", "name": "Lemon juice", "grams": 15.0, "note": ""}]</t>
        </is>
      </c>
      <c r="N1431" s="2" t="n">
        <v>186</v>
      </c>
      <c r="O1431" s="5" t="n">
        <v>7.6</v>
      </c>
      <c r="P1431" s="5" t="n">
        <v>7.1</v>
      </c>
      <c r="Q1431" s="5" t="n">
        <v>24.7</v>
      </c>
      <c r="R1431" s="5" t="n">
        <v>6.9</v>
      </c>
      <c r="S1431" s="5" t="n">
        <v>17.8</v>
      </c>
      <c r="T1431" s="2" t="n">
        <v>37</v>
      </c>
      <c r="U1431" s="2" t="inlineStr">
        <is>
          <t>low</t>
        </is>
      </c>
      <c r="V1431" s="5" t="n">
        <v>6.6</v>
      </c>
      <c r="W1431" s="2" t="inlineStr">
        <is>
          <t>low</t>
        </is>
      </c>
      <c r="X1431" s="3" t="inlineStr"/>
      <c r="Y1431" s="3" t="inlineStr">
        <is>
          <t>97% of this dish's available carbohydrate comes from ingredients with a published, measured GI; the rest uses conventional placeholders (see Ingredients sheet)</t>
        </is>
      </c>
      <c r="Z1431" s="2" t="n">
        <v>97</v>
      </c>
      <c r="AA1431" s="3" t="inlineStr">
        <is>
          <t>vegetarian, gluten-free, nut-free</t>
        </is>
      </c>
      <c r="AB1431" s="3" t="inlineStr">
        <is>
          <t>1. Roast the carrots and chickpeas with oil and spices at 425°F for 30 minutes.
2. Serve with yogurt thinned with lemon.</t>
        </is>
      </c>
      <c r="AC1431" s="4" t="inlineStr">
        <is>
          <t>["Roast the carrots and chickpeas with oil and spices at 425°F for 30 minutes.", "Serve with yogurt thinned with lemon."]</t>
        </is>
      </c>
    </row>
    <row r="1432" ht="96" customHeight="1">
      <c r="A1432" s="2" t="inlineStr">
        <is>
          <t>DB-1431</t>
        </is>
      </c>
      <c r="B1432" s="3" t="inlineStr">
        <is>
          <t>Oat Flour Banana Pancakes</t>
        </is>
      </c>
      <c r="C1432" s="4" t="inlineStr">
        <is>
          <t>Breakfast</t>
        </is>
      </c>
      <c r="D1432" s="4" t="inlineStr">
        <is>
          <t>American</t>
        </is>
      </c>
      <c r="E1432" s="2" t="n">
        <v>3</v>
      </c>
      <c r="F1432" s="2" t="n">
        <v>10</v>
      </c>
      <c r="G1432" s="2" t="n">
        <v>12</v>
      </c>
      <c r="H1432" s="2" t="n">
        <v>22</v>
      </c>
      <c r="I1432" s="4" t="inlineStr">
        <is>
          <t>oat-flour-banana-pancakes.jpg</t>
        </is>
      </c>
      <c r="J1432" s="3" t="inlineStr">
        <is>
          <t>Oat Flour Banana Pancakes, healthy food photography, plated, natural light</t>
        </is>
      </c>
      <c r="K1432" s="4" t="inlineStr"/>
      <c r="L1432" s="3" t="inlineStr">
        <is>
          <t>Oat flour — 120 g (4.2 oz)
Banana (small amount) — 150 g (5.3 oz)
Egg, large (50 g each) — 100 g (3.5 oz)
Milk, 2% — 120 g (4.2 oz)
Baking powder — 5 g (0.2 oz)
Ground cinnamon — 2 g (0.1 oz)
Butter — 10 g (0.4 oz)</t>
        </is>
      </c>
      <c r="M1432" s="4" t="inlineStr">
        <is>
          <t>[{"ingredient_id": "oat_flour", "name": "Oat flour", "grams": 120.0, "note": ""}, {"ingredient_id": "banana", "name": "Banana (small amount)", "grams": 150.0, "note": ""}, {"ingredient_id": "egg", "name": "Egg, large (50 g each)", "grams": 100.0, "note": ""}, {"ingredient_id": "milk", "name": "Milk, 2%", "grams": 120.0, "note": ""}, {"ingredient_id": "baking_powder", "name": "Baking powder", "grams": 5.0, "note": ""}, {"ingredient_id": "cinnamon", "name": "Ground cinnamon", "grams": 2.0, "note": ""}, {"ingredient_id": "butter", "name": "Butter", "grams": 10.0, "note": ""}]</t>
        </is>
      </c>
      <c r="N1432" s="2" t="n">
        <v>300</v>
      </c>
      <c r="O1432" s="5" t="n">
        <v>12.1</v>
      </c>
      <c r="P1432" s="5" t="n">
        <v>10.4</v>
      </c>
      <c r="Q1432" s="5" t="n">
        <v>41.1</v>
      </c>
      <c r="R1432" s="5" t="n">
        <v>4.3</v>
      </c>
      <c r="S1432" s="5" t="n">
        <v>36.8</v>
      </c>
      <c r="T1432" s="2" t="n">
        <v>51</v>
      </c>
      <c r="U1432" s="2" t="inlineStr">
        <is>
          <t>low</t>
        </is>
      </c>
      <c r="V1432" s="5" t="n">
        <v>18.8</v>
      </c>
      <c r="W1432" s="2" t="inlineStr">
        <is>
          <t>medium</t>
        </is>
      </c>
      <c r="X1432" s="3" t="inlineStr"/>
      <c r="Y1432" s="3" t="inlineStr">
        <is>
          <t>33% of this dish's available carbohydrate comes from ingredients with a published, measured GI; the rest uses conventional placeholders (see Ingredients sheet)</t>
        </is>
      </c>
      <c r="Z1432" s="2" t="n">
        <v>33</v>
      </c>
      <c r="AA1432" s="3" t="inlineStr">
        <is>
          <t>vegetarian, nut-free</t>
        </is>
      </c>
      <c r="AB1432" s="3" t="inlineStr">
        <is>
          <t>1. Mash the banana and whisk with eggs and milk.
2. Stir in the oat flour, baking powder and cinnamon.
3. Cook small pancakes in butter, 2 minutes a side.</t>
        </is>
      </c>
      <c r="AC1432" s="4" t="inlineStr">
        <is>
          <t>["Mash the banana and whisk with eggs and milk.", "Stir in the oat flour, baking powder and cinnamon.", "Cook small pancakes in butter, 2 minutes a side."]</t>
        </is>
      </c>
    </row>
    <row r="1433" ht="96" customHeight="1">
      <c r="A1433" s="2" t="inlineStr">
        <is>
          <t>DB-1432</t>
        </is>
      </c>
      <c r="B1433" s="3" t="inlineStr">
        <is>
          <t>Almond Flour Pancakes with Berries</t>
        </is>
      </c>
      <c r="C1433" s="4" t="inlineStr">
        <is>
          <t>Breakfast</t>
        </is>
      </c>
      <c r="D1433" s="4" t="inlineStr">
        <is>
          <t>American</t>
        </is>
      </c>
      <c r="E1433" s="2" t="n">
        <v>3</v>
      </c>
      <c r="F1433" s="2" t="n">
        <v>10</v>
      </c>
      <c r="G1433" s="2" t="n">
        <v>12</v>
      </c>
      <c r="H1433" s="2" t="n">
        <v>22</v>
      </c>
      <c r="I1433" s="4" t="inlineStr">
        <is>
          <t>almond-flour-pancakes-with-berries.jpg</t>
        </is>
      </c>
      <c r="J1433" s="3" t="inlineStr">
        <is>
          <t>Almond Flour Pancakes with Berries, healthy food photography, plated, natural light</t>
        </is>
      </c>
      <c r="K1433" s="4" t="inlineStr"/>
      <c r="L1433" s="3" t="inlineStr">
        <is>
          <t>Almond flour — 120 g (4.2 oz)
Egg, large (50 g each) — 150 g (5.3 oz)
Milk, 2% — 60 g (2.1 oz)
Baking powder — 4 g (0.1 oz)
Vanilla extract — 4 g (0.1 oz)
Mixed berries, frozen — 150 g (5.3 oz)
Butter — 10 g (0.4 oz)</t>
        </is>
      </c>
      <c r="M1433" s="4" t="inlineStr">
        <is>
          <t>[{"ingredient_id": "almond_flour", "name": "Almond flour", "grams": 120.0, "note": ""}, {"ingredient_id": "egg", "name": "Egg, large (50 g each)", "grams": 150.0, "note": ""}, {"ingredient_id": "milk", "name": "Milk, 2%", "grams": 60.0, "note": ""}, {"ingredient_id": "baking_powder", "name": "Baking powder", "grams": 4.0, "note": ""}, {"ingredient_id": "vanilla_extract", "name": "Vanilla extract", "grams": 4.0, "note": ""}, {"ingredient_id": "mixed_berries", "name": "Mixed berries, frozen", "grams": 150.0, "note": ""}, {"ingredient_id": "butter", "name": "Butter", "grams": 10.0, "note": ""}]</t>
        </is>
      </c>
      <c r="N1433" s="2" t="n">
        <v>368</v>
      </c>
      <c r="O1433" s="5" t="n">
        <v>15.8</v>
      </c>
      <c r="P1433" s="5" t="n">
        <v>28</v>
      </c>
      <c r="Q1433" s="5" t="n">
        <v>15.8</v>
      </c>
      <c r="R1433" s="5" t="n">
        <v>6.8</v>
      </c>
      <c r="S1433" s="5" t="n">
        <v>9</v>
      </c>
      <c r="T1433" s="2" t="n">
        <v>25</v>
      </c>
      <c r="U1433" s="2" t="inlineStr">
        <is>
          <t>low</t>
        </is>
      </c>
      <c r="V1433" s="5" t="n">
        <v>2.2</v>
      </c>
      <c r="W1433" s="2" t="inlineStr">
        <is>
          <t>low</t>
        </is>
      </c>
      <c r="X1433" s="3" t="inlineStr"/>
      <c r="Y1433" s="3" t="inlineStr">
        <is>
          <t>11% of this dish's available carbohydrate comes from ingredients with a published, measured GI; the rest uses conventional placeholders (see Ingredients sheet)</t>
        </is>
      </c>
      <c r="Z1433" s="2" t="n">
        <v>11</v>
      </c>
      <c r="AA1433" s="3" t="inlineStr">
        <is>
          <t>vegetarian, gluten-free, low-carb</t>
        </is>
      </c>
      <c r="AB1433" s="3" t="inlineStr">
        <is>
          <t>1. Whisk the eggs, milk and vanilla and stir in the almond flour and baking powder.
2. Cook small pancakes in butter.
3. Serve with berries.</t>
        </is>
      </c>
      <c r="AC1433" s="4" t="inlineStr">
        <is>
          <t>["Whisk the eggs, milk and vanilla and stir in the almond flour and baking powder.", "Cook small pancakes in butter.", "Serve with berries."]</t>
        </is>
      </c>
    </row>
    <row r="1434" ht="96" customHeight="1">
      <c r="A1434" s="2" t="inlineStr">
        <is>
          <t>DB-1433</t>
        </is>
      </c>
      <c r="B1434" s="3" t="inlineStr">
        <is>
          <t>Cottage Cheese Pancakes</t>
        </is>
      </c>
      <c r="C1434" s="4" t="inlineStr">
        <is>
          <t>Breakfast</t>
        </is>
      </c>
      <c r="D1434" s="4" t="inlineStr">
        <is>
          <t>American</t>
        </is>
      </c>
      <c r="E1434" s="2" t="n">
        <v>3</v>
      </c>
      <c r="F1434" s="2" t="n">
        <v>10</v>
      </c>
      <c r="G1434" s="2" t="n">
        <v>12</v>
      </c>
      <c r="H1434" s="2" t="n">
        <v>22</v>
      </c>
      <c r="I1434" s="4" t="inlineStr">
        <is>
          <t>cottage-cheese-pancakes.jpg</t>
        </is>
      </c>
      <c r="J1434" s="3" t="inlineStr">
        <is>
          <t>Cottage Cheese Pancakes, healthy food photography, plated, natural light</t>
        </is>
      </c>
      <c r="K1434" s="4" t="inlineStr"/>
      <c r="L1434" s="3" t="inlineStr">
        <is>
          <t>Cottage cheese, low-fat — 250 g (8.8 oz)
Egg, large (50 g each) — 150 g (5.3 oz)
Oat flour — 60 g (2.1 oz)
Vanilla extract — 3 g (0.1 oz)
Ground cinnamon — 2 g (0.1 oz)
Butter — 10 g (0.4 oz)
Strawberries — 150 g (5.3 oz)</t>
        </is>
      </c>
      <c r="M1434" s="4" t="inlineStr">
        <is>
          <t>[{"ingredient_id": "cottage_cheese", "name": "Cottage cheese, low-fat", "grams": 250.0, "note": ""}, {"ingredient_id": "egg", "name": "Egg, large (50 g each)", "grams": 150.0, "note": ""}, {"ingredient_id": "oat_flour", "name": "Oat flour", "grams": 60.0, "note": ""}, {"ingredient_id": "vanilla_extract", "name": "Vanilla extract", "grams": 3.0, "note": ""}, {"ingredient_id": "cinnamon", "name": "Ground cinnamon", "grams": 2.0, "note": ""}, {"ingredient_id": "butter", "name": "Butter", "grams": 10.0, "note": ""}, {"ingredient_id": "strawberries", "name": "Strawberries", "grams": 150.0, "note": ""}]</t>
        </is>
      </c>
      <c r="N1434" s="2" t="n">
        <v>267</v>
      </c>
      <c r="O1434" s="5" t="n">
        <v>18.9</v>
      </c>
      <c r="P1434" s="5" t="n">
        <v>11.3</v>
      </c>
      <c r="Q1434" s="5" t="n">
        <v>21.7</v>
      </c>
      <c r="R1434" s="5" t="n">
        <v>2.7</v>
      </c>
      <c r="S1434" s="5" t="n">
        <v>19</v>
      </c>
      <c r="T1434" s="2" t="n">
        <v>42</v>
      </c>
      <c r="U1434" s="2" t="inlineStr">
        <is>
          <t>low</t>
        </is>
      </c>
      <c r="V1434" s="5" t="n">
        <v>8</v>
      </c>
      <c r="W1434" s="2" t="inlineStr">
        <is>
          <t>low</t>
        </is>
      </c>
      <c r="X1434" s="3" t="inlineStr"/>
      <c r="Y1434" s="3" t="inlineStr">
        <is>
          <t>15% of this dish's available carbohydrate comes from ingredients with a published, measured GI; the rest uses conventional placeholders (see Ingredients sheet)</t>
        </is>
      </c>
      <c r="Z1434" s="2" t="n">
        <v>15</v>
      </c>
      <c r="AA1434" s="3" t="inlineStr">
        <is>
          <t>vegetarian, nut-free</t>
        </is>
      </c>
      <c r="AB1434" s="3" t="inlineStr">
        <is>
          <t>1. Blend the cottage cheese, eggs, oat flour, vanilla and cinnamon.
2. Cook in butter 2 to 3 minutes a side.
3. Serve with strawberries.</t>
        </is>
      </c>
      <c r="AC1434" s="4" t="inlineStr">
        <is>
          <t>["Blend the cottage cheese, eggs, oat flour, vanilla and cinnamon.", "Cook in butter 2 to 3 minutes a side.", "Serve with strawberries."]</t>
        </is>
      </c>
    </row>
    <row r="1435" ht="96" customHeight="1">
      <c r="A1435" s="2" t="inlineStr">
        <is>
          <t>DB-1434</t>
        </is>
      </c>
      <c r="B1435" s="3" t="inlineStr">
        <is>
          <t>Pumpkin Oat Pancakes</t>
        </is>
      </c>
      <c r="C1435" s="4" t="inlineStr">
        <is>
          <t>Breakfast</t>
        </is>
      </c>
      <c r="D1435" s="4" t="inlineStr">
        <is>
          <t>American</t>
        </is>
      </c>
      <c r="E1435" s="2" t="n">
        <v>4</v>
      </c>
      <c r="F1435" s="2" t="n">
        <v>10</v>
      </c>
      <c r="G1435" s="2" t="n">
        <v>14</v>
      </c>
      <c r="H1435" s="2" t="n">
        <v>24</v>
      </c>
      <c r="I1435" s="4" t="inlineStr">
        <is>
          <t>pumpkin-oat-pancakes.jpg</t>
        </is>
      </c>
      <c r="J1435" s="3" t="inlineStr">
        <is>
          <t>Pumpkin Oat Pancakes, healthy food photography, plated, natural light</t>
        </is>
      </c>
      <c r="K1435" s="4" t="inlineStr"/>
      <c r="L1435" s="3" t="inlineStr">
        <is>
          <t>Oat flour — 150 g (5.3 oz)
Pumpkin puree, canned — 120 g (4.2 oz)
Egg, large (50 g each) — 100 g (3.5 oz)
Milk, 2% — 150 g (5.3 oz)
Pumpkin pie spice — 3 g (0.1 oz)
Baking powder — 5 g (0.2 oz)
Butter — 10 g (0.4 oz)</t>
        </is>
      </c>
      <c r="M1435" s="4" t="inlineStr">
        <is>
          <t>[{"ingredient_id": "oat_flour", "name": "Oat flour", "grams": 150.0, "note": ""}, {"ingredient_id": "pumpkin_puree", "name": "Pumpkin puree, canned", "grams": 120.0, "note": ""}, {"ingredient_id": "egg", "name": "Egg, large (50 g each)", "grams": 100.0, "note": ""}, {"ingredient_id": "milk", "name": "Milk, 2%", "grams": 150.0, "note": ""}, {"ingredient_id": "pumpkin_pie_spice", "name": "Pumpkin pie spice", "grams": 3.0, "note": ""}, {"ingredient_id": "baking_powder", "name": "Baking powder", "grams": 5.0, "note": ""}, {"ingredient_id": "butter", "name": "Butter", "grams": 10.0, "note": ""}]</t>
        </is>
      </c>
      <c r="N1435" s="2" t="n">
        <v>237</v>
      </c>
      <c r="O1435" s="5" t="n">
        <v>10.4</v>
      </c>
      <c r="P1435" s="5" t="n">
        <v>8.6</v>
      </c>
      <c r="Q1435" s="5" t="n">
        <v>30</v>
      </c>
      <c r="R1435" s="5" t="n">
        <v>3.5</v>
      </c>
      <c r="S1435" s="5" t="n">
        <v>26.5</v>
      </c>
      <c r="T1435" s="2" t="n">
        <v>53</v>
      </c>
      <c r="U1435" s="2" t="inlineStr">
        <is>
          <t>low</t>
        </is>
      </c>
      <c r="V1435" s="5" t="n">
        <v>14</v>
      </c>
      <c r="W1435" s="2" t="inlineStr">
        <is>
          <t>medium</t>
        </is>
      </c>
      <c r="X1435" s="3" t="inlineStr"/>
      <c r="Y1435" s="3" t="inlineStr">
        <is>
          <t>12% of this dish's available carbohydrate comes from ingredients with a published, measured GI; the rest uses conventional placeholders (see Ingredients sheet)</t>
        </is>
      </c>
      <c r="Z1435" s="2" t="n">
        <v>12</v>
      </c>
      <c r="AA1435" s="3" t="inlineStr">
        <is>
          <t>vegetarian, nut-free</t>
        </is>
      </c>
      <c r="AB1435" s="3" t="inlineStr">
        <is>
          <t>1. Whisk the pumpkin, eggs and milk.
2. Stir in the oat flour, spice and baking powder.
3. Cook in butter 2 minutes a side.</t>
        </is>
      </c>
      <c r="AC1435" s="4" t="inlineStr">
        <is>
          <t>["Whisk the pumpkin, eggs and milk.", "Stir in the oat flour, spice and baking powder.", "Cook in butter 2 minutes a side."]</t>
        </is>
      </c>
    </row>
    <row r="1436" ht="96" customHeight="1">
      <c r="A1436" s="2" t="inlineStr">
        <is>
          <t>DB-1435</t>
        </is>
      </c>
      <c r="B1436" s="3" t="inlineStr">
        <is>
          <t>Protein Waffles from Oats and Eggs</t>
        </is>
      </c>
      <c r="C1436" s="4" t="inlineStr">
        <is>
          <t>Breakfast</t>
        </is>
      </c>
      <c r="D1436" s="4" t="inlineStr">
        <is>
          <t>American</t>
        </is>
      </c>
      <c r="E1436" s="2" t="n">
        <v>3</v>
      </c>
      <c r="F1436" s="2" t="n">
        <v>10</v>
      </c>
      <c r="G1436" s="2" t="n">
        <v>10</v>
      </c>
      <c r="H1436" s="2" t="n">
        <v>20</v>
      </c>
      <c r="I1436" s="4" t="inlineStr">
        <is>
          <t>protein-waffles-from-oats-and-eggs.jpg</t>
        </is>
      </c>
      <c r="J1436" s="3" t="inlineStr">
        <is>
          <t>Protein Waffles from Oats and Eggs, healthy food photography, plated, natural light</t>
        </is>
      </c>
      <c r="K1436" s="4" t="inlineStr"/>
      <c r="L1436" s="3" t="inlineStr">
        <is>
          <t>Rolled oats, dry — 90 g (3.2 oz)
Egg, large (50 g each) — 150 g (5.3 oz)
Greek yogurt, plain 2% — 120 g (4.2 oz)
Baking powder — 4 g (0.1 oz)
Vanilla extract — 4 g (0.1 oz)
Blueberries — 100 g (3.5 oz)</t>
        </is>
      </c>
      <c r="M1436" s="4" t="inlineStr">
        <is>
          <t>[{"ingredient_id": "rolled_oats", "name": "Rolled oats, dry", "grams": 90.0, "note": ""}, {"ingredient_id": "egg", "name": "Egg, large (50 g each)", "grams": 150.0, "note": ""}, {"ingredient_id": "greek_yogurt", "name": "Greek yogurt, plain 2%", "grams": 120.0, "note": ""}, {"ingredient_id": "baking_powder", "name": "Baking powder", "grams": 4.0, "note": ""}, {"ingredient_id": "vanilla_extract", "name": "Vanilla extract", "grams": 4.0, "note": ""}, {"ingredient_id": "blueberries", "name": "Blueberries", "grams": 100.0, "note": ""}]</t>
        </is>
      </c>
      <c r="N1436" s="2" t="n">
        <v>238</v>
      </c>
      <c r="O1436" s="5" t="n">
        <v>14.4</v>
      </c>
      <c r="P1436" s="5" t="n">
        <v>7.6</v>
      </c>
      <c r="Q1436" s="5" t="n">
        <v>27.7</v>
      </c>
      <c r="R1436" s="5" t="n">
        <v>3.8</v>
      </c>
      <c r="S1436" s="5" t="n">
        <v>23.9</v>
      </c>
      <c r="T1436" s="2" t="n">
        <v>51</v>
      </c>
      <c r="U1436" s="2" t="inlineStr">
        <is>
          <t>low</t>
        </is>
      </c>
      <c r="V1436" s="5" t="n">
        <v>12.2</v>
      </c>
      <c r="W1436" s="2" t="inlineStr">
        <is>
          <t>medium</t>
        </is>
      </c>
      <c r="X1436" s="3" t="inlineStr"/>
      <c r="Y1436" s="3" t="inlineStr">
        <is>
          <t>96% of this dish's available carbohydrate comes from ingredients with a published, measured GI; the rest uses conventional placeholders (see Ingredients sheet)</t>
        </is>
      </c>
      <c r="Z1436" s="2" t="n">
        <v>96</v>
      </c>
      <c r="AA1436" s="3" t="inlineStr">
        <is>
          <t>vegetarian, nut-free</t>
        </is>
      </c>
      <c r="AB1436" s="3" t="inlineStr">
        <is>
          <t>1. Blend the oats, eggs, yogurt, baking powder and vanilla.
2. Cook in a greased waffle iron.
3. Top with blueberries.</t>
        </is>
      </c>
      <c r="AC1436" s="4" t="inlineStr">
        <is>
          <t>["Blend the oats, eggs, yogurt, baking powder and vanilla.", "Cook in a greased waffle iron.", "Top with blueberries."]</t>
        </is>
      </c>
    </row>
    <row r="1437" ht="96" customHeight="1">
      <c r="A1437" s="2" t="inlineStr">
        <is>
          <t>DB-1436</t>
        </is>
      </c>
      <c r="B1437" s="3" t="inlineStr">
        <is>
          <t>Blueberry Oat Breakfast Muffins</t>
        </is>
      </c>
      <c r="C1437" s="4" t="inlineStr">
        <is>
          <t>Breakfast</t>
        </is>
      </c>
      <c r="D1437" s="4" t="inlineStr">
        <is>
          <t>American</t>
        </is>
      </c>
      <c r="E1437" s="2" t="n">
        <v>10</v>
      </c>
      <c r="F1437" s="2" t="n">
        <v>10</v>
      </c>
      <c r="G1437" s="2" t="n">
        <v>22</v>
      </c>
      <c r="H1437" s="2" t="n">
        <v>32</v>
      </c>
      <c r="I1437" s="4" t="inlineStr">
        <is>
          <t>blueberry-oat-breakfast-muffins.jpg</t>
        </is>
      </c>
      <c r="J1437" s="3" t="inlineStr">
        <is>
          <t>Blueberry Oat Breakfast Muffins, healthy food photography, plated, natural light</t>
        </is>
      </c>
      <c r="K1437" s="4" t="inlineStr"/>
      <c r="L1437" s="3" t="inlineStr">
        <is>
          <t>Oat flour — 180 g (6.3 oz)
Blueberries — 150 g (5.3 oz)
Egg, large (50 g each) — 100 g (3.5 oz)
Greek yogurt, plain 2% — 120 g (4.2 oz)
Baking powder — 6 g (0.2 oz)
Vanilla extract — 4 g (0.1 oz)
White sugar — 25 g (0.9 oz)</t>
        </is>
      </c>
      <c r="M1437" s="4" t="inlineStr">
        <is>
          <t>[{"ingredient_id": "oat_flour", "name": "Oat flour", "grams": 180.0, "note": ""}, {"ingredient_id": "blueberries", "name": "Blueberries", "grams": 150.0, "note": ""}, {"ingredient_id": "egg", "name": "Egg, large (50 g each)", "grams": 100.0, "note": ""}, {"ingredient_id": "greek_yogurt", "name": "Greek yogurt, plain 2%", "grams": 120.0, "note": ""}, {"ingredient_id": "baking_powder", "name": "Baking powder", "grams": 6.0, "note": ""}, {"ingredient_id": "vanilla_extract", "name": "Vanilla extract", "grams": 4.0, "note": ""}, {"ingredient_id": "sugar_white", "name": "White sugar", "grams": 25.0, "note": ""}]</t>
        </is>
      </c>
      <c r="N1437" s="2" t="n">
        <v>116</v>
      </c>
      <c r="O1437" s="5" t="n">
        <v>5.3</v>
      </c>
      <c r="P1437" s="5" t="n">
        <v>2.9</v>
      </c>
      <c r="Q1437" s="5" t="n">
        <v>17.3</v>
      </c>
      <c r="R1437" s="5" t="n">
        <v>1.5</v>
      </c>
      <c r="S1437" s="5" t="n">
        <v>15.8</v>
      </c>
      <c r="T1437" s="2" t="n">
        <v>54</v>
      </c>
      <c r="U1437" s="2" t="inlineStr">
        <is>
          <t>low</t>
        </is>
      </c>
      <c r="V1437" s="5" t="n">
        <v>8.5</v>
      </c>
      <c r="W1437" s="2" t="inlineStr">
        <is>
          <t>low</t>
        </is>
      </c>
      <c r="X1437" s="3" t="inlineStr"/>
      <c r="Y1437" s="3" t="inlineStr">
        <is>
          <t>30% of this dish's available carbohydrate comes from ingredients with a published, measured GI; the rest uses conventional placeholders (see Ingredients sheet)</t>
        </is>
      </c>
      <c r="Z1437" s="2" t="n">
        <v>30</v>
      </c>
      <c r="AA1437" s="3" t="inlineStr">
        <is>
          <t>vegetarian, nut-free, meal-prep</t>
        </is>
      </c>
      <c r="AB1437" s="3" t="inlineStr">
        <is>
          <t>1. Whisk the eggs, yogurt, vanilla and sugar.
2. Fold in the oat flour, baking powder and blueberries.
3. Bake in a lined tin at 350°F for 20 to 22 minutes.</t>
        </is>
      </c>
      <c r="AC1437" s="4" t="inlineStr">
        <is>
          <t>["Whisk the eggs, yogurt, vanilla and sugar.", "Fold in the oat flour, baking powder and blueberries.", "Bake in a lined tin at 350°F for 20 to 22 minutes."]</t>
        </is>
      </c>
    </row>
    <row r="1438" ht="96" customHeight="1">
      <c r="A1438" s="2" t="inlineStr">
        <is>
          <t>DB-1437</t>
        </is>
      </c>
      <c r="B1438" s="3" t="inlineStr">
        <is>
          <t>Zucchini Bread Oatmeal Bake</t>
        </is>
      </c>
      <c r="C1438" s="4" t="inlineStr">
        <is>
          <t>Breakfast</t>
        </is>
      </c>
      <c r="D1438" s="4" t="inlineStr">
        <is>
          <t>American</t>
        </is>
      </c>
      <c r="E1438" s="2" t="n">
        <v>6</v>
      </c>
      <c r="F1438" s="2" t="n">
        <v>10</v>
      </c>
      <c r="G1438" s="2" t="n">
        <v>35</v>
      </c>
      <c r="H1438" s="2" t="n">
        <v>45</v>
      </c>
      <c r="I1438" s="4" t="inlineStr">
        <is>
          <t>zucchini-bread-oatmeal-bake.jpg</t>
        </is>
      </c>
      <c r="J1438" s="3" t="inlineStr">
        <is>
          <t>Zucchini Bread Oatmeal Bake, healthy food photography, plated, natural light</t>
        </is>
      </c>
      <c r="K1438" s="4" t="inlineStr"/>
      <c r="L1438" s="3" t="inlineStr">
        <is>
          <t>Rolled oats, dry — 200 g (7.1 oz)
Zucchini — 250 g (8.8 oz)
Milk, 2% — 350 g (12.3 oz)
Egg, large (50 g each) — 100 g (3.5 oz)
Walnuts — 40 g (1.4 oz)
Ground cinnamon — 4 g (0.1 oz)
Baking powder — 4 g (0.1 oz)
Vanilla extract — 4 g (0.1 oz)</t>
        </is>
      </c>
      <c r="M1438" s="4" t="inlineStr">
        <is>
          <t>[{"ingredient_id": "rolled_oats", "name": "Rolled oats, dry", "grams": 200.0, "note": ""}, {"ingredient_id": "zucchini", "name": "Zucchini", "grams": 250.0, "note": ""}, {"ingredient_id": "milk", "name": "Milk, 2%", "grams": 350.0, "note": ""}, {"ingredient_id": "egg", "name": "Egg, large (50 g each)", "grams": 100.0, "note": ""}, {"ingredient_id": "walnuts", "name": "Walnuts", "grams": 40.0, "note": ""}, {"ingredient_id": "cinnamon", "name": "Ground cinnamon", "grams": 4.0, "note": ""}, {"ingredient_id": "baking_powder", "name": "Baking powder", "grams": 4.0, "note": ""}, {"ingredient_id": "vanilla_extract", "name": "Vanilla extract", "grams": 4.0, "note": ""}]</t>
        </is>
      </c>
      <c r="N1438" s="2" t="n">
        <v>234</v>
      </c>
      <c r="O1438" s="5" t="n">
        <v>9.9</v>
      </c>
      <c r="P1438" s="5" t="n">
        <v>9.4</v>
      </c>
      <c r="Q1438" s="5" t="n">
        <v>28.6</v>
      </c>
      <c r="R1438" s="5" t="n">
        <v>4.5</v>
      </c>
      <c r="S1438" s="5" t="n">
        <v>24.1</v>
      </c>
      <c r="T1438" s="2" t="n">
        <v>50</v>
      </c>
      <c r="U1438" s="2" t="inlineStr">
        <is>
          <t>low</t>
        </is>
      </c>
      <c r="V1438" s="5" t="n">
        <v>12</v>
      </c>
      <c r="W1438" s="2" t="inlineStr">
        <is>
          <t>medium</t>
        </is>
      </c>
      <c r="X1438" s="3" t="inlineStr"/>
      <c r="Y1438" s="3" t="inlineStr">
        <is>
          <t>92% of this dish's available carbohydrate comes from ingredients with a published, measured GI; the rest uses conventional placeholders (see Ingredients sheet)</t>
        </is>
      </c>
      <c r="Z1438" s="2" t="n">
        <v>92</v>
      </c>
      <c r="AA1438" s="3" t="inlineStr">
        <is>
          <t>vegetarian, meal-prep</t>
        </is>
      </c>
      <c r="AB1438" s="3" t="inlineStr">
        <is>
          <t>1. Mix everything and pour into a greased dish.
2. Bake at 350°F for 30 to 35 minutes.</t>
        </is>
      </c>
      <c r="AC1438" s="4" t="inlineStr">
        <is>
          <t>["Mix everything and pour into a greased dish.", "Bake at 350°F for 30 to 35 minutes."]</t>
        </is>
      </c>
    </row>
    <row r="1439" ht="96" customHeight="1">
      <c r="A1439" s="2" t="inlineStr">
        <is>
          <t>DB-1438</t>
        </is>
      </c>
      <c r="B1439" s="3" t="inlineStr">
        <is>
          <t>Sausage and Egg Breakfast Casserole</t>
        </is>
      </c>
      <c r="C1439" s="4" t="inlineStr">
        <is>
          <t>Breakfast</t>
        </is>
      </c>
      <c r="D1439" s="4" t="inlineStr">
        <is>
          <t>American</t>
        </is>
      </c>
      <c r="E1439" s="2" t="n">
        <v>8</v>
      </c>
      <c r="F1439" s="2" t="n">
        <v>15</v>
      </c>
      <c r="G1439" s="2" t="n">
        <v>40</v>
      </c>
      <c r="H1439" s="2" t="n">
        <v>55</v>
      </c>
      <c r="I1439" s="4" t="inlineStr">
        <is>
          <t>sausage-and-egg-breakfast-casserole.jpg</t>
        </is>
      </c>
      <c r="J1439" s="3" t="inlineStr">
        <is>
          <t>Sausage and Egg Breakfast Casserole, healthy food photography, plated, natural light</t>
        </is>
      </c>
      <c r="K1439" s="4" t="inlineStr"/>
      <c r="L1439" s="3" t="inlineStr">
        <is>
          <t>Egg, large (50 g each) — 400 g (14.1 oz)
Turkey sausage — 300 g (10.6 oz)
Milk, 2% — 250 g (8.8 oz)
Cheddar cheese — 120 g (4.2 oz)
Spinach — 150 g (5.3 oz)
Bell pepper — 120 g (4.2 oz)
Yellow onion — 80 g (2.8 oz)</t>
        </is>
      </c>
      <c r="M1439" s="4" t="inlineStr">
        <is>
          <t>[{"ingredient_id": "egg", "name": "Egg, large (50 g each)", "grams": 400.0, "note": ""}, {"ingredient_id": "turkey_sausage", "name": "Turkey sausage", "grams": 300.0, "note": ""}, {"ingredient_id": "milk", "name": "Milk, 2%", "grams": 250.0, "note": ""}, {"ingredient_id": "cheddar", "name": "Cheddar cheese", "grams": 120.0, "note": ""}, {"ingredient_id": "spinach", "name": "Spinach", "grams": 150.0, "note": ""}, {"ingredient_id": "bell_pepper", "name": "Bell pepper", "grams": 120.0, "note": ""}, {"ingredient_id": "onion", "name": "Yellow onion", "grams": 80.0, "note": ""}]</t>
        </is>
      </c>
      <c r="N1439" s="2" t="n">
        <v>219</v>
      </c>
      <c r="O1439" s="5" t="n">
        <v>17.2</v>
      </c>
      <c r="P1439" s="5" t="n">
        <v>14.2</v>
      </c>
      <c r="Q1439" s="5" t="n">
        <v>5.3</v>
      </c>
      <c r="R1439" s="5" t="n">
        <v>0.9</v>
      </c>
      <c r="S1439" s="5" t="n">
        <v>4.4</v>
      </c>
      <c r="T1439" s="2" t="n">
        <v>15</v>
      </c>
      <c r="U1439" s="2" t="inlineStr">
        <is>
          <t>low</t>
        </is>
      </c>
      <c r="V1439" s="5" t="n">
        <v>0.7</v>
      </c>
      <c r="W1439" s="2" t="inlineStr">
        <is>
          <t>low</t>
        </is>
      </c>
      <c r="X1439" s="3" t="inlineStr">
        <is>
          <t>Negligible carbohydrate (&lt;5 g net/serving): GI has little practical meaning, glycemic load is what matters.</t>
        </is>
      </c>
      <c r="Y1439" s="3" t="inlineStr">
        <is>
          <t>34% of this dish's available carbohydrate comes from ingredients with a published, measured GI; the rest uses conventional placeholders (see Ingredients sheet)</t>
        </is>
      </c>
      <c r="Z1439" s="2" t="n">
        <v>34</v>
      </c>
      <c r="AA1439" s="3" t="inlineStr">
        <is>
          <t>gluten-free, nut-free, low-carb, meal-prep</t>
        </is>
      </c>
      <c r="AB1439" s="3" t="inlineStr">
        <is>
          <t>1. Brown the sausage with the onion and pepper.
2. Layer with the spinach and cheddar in a dish.
3. Pour over the beaten eggs and milk and bake at 350°F for 35 to 40 minutes.</t>
        </is>
      </c>
      <c r="AC1439" s="4" t="inlineStr">
        <is>
          <t>["Brown the sausage with the onion and pepper.", "Layer with the spinach and cheddar in a dish.", "Pour over the beaten eggs and milk and bake at 350°F for 35 to 40 minutes."]</t>
        </is>
      </c>
    </row>
    <row r="1440" ht="96" customHeight="1">
      <c r="A1440" s="2" t="inlineStr">
        <is>
          <t>DB-1439</t>
        </is>
      </c>
      <c r="B1440" s="3" t="inlineStr">
        <is>
          <t>Ham and Cheese Egg Roll-Ups</t>
        </is>
      </c>
      <c r="C1440" s="4" t="inlineStr">
        <is>
          <t>Breakfast</t>
        </is>
      </c>
      <c r="D1440" s="4" t="inlineStr">
        <is>
          <t>American</t>
        </is>
      </c>
      <c r="E1440" s="2" t="n">
        <v>4</v>
      </c>
      <c r="F1440" s="2" t="n">
        <v>10</v>
      </c>
      <c r="G1440" s="2" t="n">
        <v>10</v>
      </c>
      <c r="H1440" s="2" t="n">
        <v>20</v>
      </c>
      <c r="I1440" s="4" t="inlineStr">
        <is>
          <t>ham-and-cheese-egg-roll-ups.jpg</t>
        </is>
      </c>
      <c r="J1440" s="3" t="inlineStr">
        <is>
          <t>Ham and Cheese Egg Roll-Ups, healthy food photography, plated, natural light</t>
        </is>
      </c>
      <c r="K1440" s="4" t="inlineStr"/>
      <c r="L1440" s="3" t="inlineStr">
        <is>
          <t>Egg, large (50 g each) — 300 g (10.6 oz)
Ham, lean — 120 g (4.2 oz)
Swiss cheese — 60 g (2.1 oz)
Fresh chives — 4 g (0.1 oz)
Butter — 10 g (0.4 oz)</t>
        </is>
      </c>
      <c r="M1440" s="4" t="inlineStr">
        <is>
          <t>[{"ingredient_id": "egg", "name": "Egg, large (50 g each)", "grams": 300.0, "note": ""}, {"ingredient_id": "ham", "name": "Ham, lean", "grams": 120.0, "note": ""}, {"ingredient_id": "swiss_cheese", "name": "Swiss cheese", "grams": 60.0, "note": ""}, {"ingredient_id": "chives", "name": "Fresh chives", "grams": 4.0, "note": ""}, {"ingredient_id": "butter", "name": "Butter", "grams": 10.0, "note": ""}]</t>
        </is>
      </c>
      <c r="N1440" s="2" t="n">
        <v>226</v>
      </c>
      <c r="O1440" s="5" t="n">
        <v>19.9</v>
      </c>
      <c r="P1440" s="5" t="n">
        <v>15.2</v>
      </c>
      <c r="Q1440" s="5" t="n">
        <v>1.2</v>
      </c>
      <c r="R1440" s="5" t="n">
        <v>0</v>
      </c>
      <c r="S1440" s="5" t="n">
        <v>1.2</v>
      </c>
      <c r="T1440" s="2" t="n">
        <v>0</v>
      </c>
      <c r="U1440" s="2" t="inlineStr">
        <is>
          <t>low</t>
        </is>
      </c>
      <c r="V1440" s="5" t="n">
        <v>0</v>
      </c>
      <c r="W1440" s="2" t="inlineStr">
        <is>
          <t>low</t>
        </is>
      </c>
      <c r="X1440" s="3" t="inlineStr">
        <is>
          <t>Negligible carbohydrate (&lt;5 g net/serving): GI has little practical meaning, glycemic load is what matters.</t>
        </is>
      </c>
      <c r="Y1440" s="3" t="inlineStr">
        <is>
          <t>0% of this dish's available carbohydrate comes from ingredients with a published, measured GI; the rest uses conventional placeholders (see Ingredients sheet)</t>
        </is>
      </c>
      <c r="Z1440" s="2" t="n">
        <v>0</v>
      </c>
      <c r="AA1440" s="3" t="inlineStr">
        <is>
          <t>gluten-free, nut-free, low-carb</t>
        </is>
      </c>
      <c r="AB1440" s="3" t="inlineStr">
        <is>
          <t>1. Cook thin omelets in butter.
2. Top each with ham and Swiss and roll.</t>
        </is>
      </c>
      <c r="AC1440" s="4" t="inlineStr">
        <is>
          <t>["Cook thin omelets in butter.", "Top each with ham and Swiss and roll."]</t>
        </is>
      </c>
    </row>
    <row r="1441" ht="96" customHeight="1">
      <c r="A1441" s="2" t="inlineStr">
        <is>
          <t>DB-1440</t>
        </is>
      </c>
      <c r="B1441" s="3" t="inlineStr">
        <is>
          <t>Spinach Feta Breakfast Wrap</t>
        </is>
      </c>
      <c r="C1441" s="4" t="inlineStr">
        <is>
          <t>Breakfast</t>
        </is>
      </c>
      <c r="D1441" s="4" t="inlineStr">
        <is>
          <t>Mediterranean</t>
        </is>
      </c>
      <c r="E1441" s="2" t="n">
        <v>2</v>
      </c>
      <c r="F1441" s="2" t="n">
        <v>5</v>
      </c>
      <c r="G1441" s="2" t="n">
        <v>8</v>
      </c>
      <c r="H1441" s="2" t="n">
        <v>13</v>
      </c>
      <c r="I1441" s="4" t="inlineStr">
        <is>
          <t>spinach-feta-breakfast-wrap.jpg</t>
        </is>
      </c>
      <c r="J1441" s="3" t="inlineStr">
        <is>
          <t>Spinach Feta Breakfast Wrap, healthy food photography, plated, natural light</t>
        </is>
      </c>
      <c r="K1441" s="4" t="inlineStr"/>
      <c r="L1441" s="3" t="inlineStr">
        <is>
          <t>Flour tortilla, 8-inch — 80 g (2.8 oz)
Egg, large (50 g each) — 150 g (5.3 oz)
Spinach — 60 g (2.1 oz)
Feta cheese — 40 g (1.4 oz)
Cherry tomatoes — 80 g (2.8 oz)
Extra-virgin olive oil — 10 g (0.4 oz)</t>
        </is>
      </c>
      <c r="M1441" s="4" t="inlineStr">
        <is>
          <t>[{"ingredient_id": "flour_tortilla", "name": "Flour tortilla, 8-inch", "grams": 80.0, "note": ""}, {"ingredient_id": "egg", "name": "Egg, large (50 g each)", "grams": 150.0, "note": ""}, {"ingredient_id": "spinach", "name": "Spinach", "grams": 60.0, "note": ""}, {"ingredient_id": "feta", "name": "Feta cheese", "grams": 40.0, "note": ""}, {"ingredient_id": "cherry_tomato", "name": "Cherry tomatoes", "grams": 80.0, "note": ""}, {"ingredient_id": "olive_oil", "name": "Extra-virgin olive oil", "grams": 10.0, "note": ""}]</t>
        </is>
      </c>
      <c r="N1441" s="2" t="n">
        <v>341</v>
      </c>
      <c r="O1441" s="5" t="n">
        <v>16.8</v>
      </c>
      <c r="P1441" s="5" t="n">
        <v>19.7</v>
      </c>
      <c r="Q1441" s="5" t="n">
        <v>23.7</v>
      </c>
      <c r="R1441" s="5" t="n">
        <v>2.5</v>
      </c>
      <c r="S1441" s="5" t="n">
        <v>21.2</v>
      </c>
      <c r="T1441" s="2" t="n">
        <v>31</v>
      </c>
      <c r="U1441" s="2" t="inlineStr">
        <is>
          <t>low</t>
        </is>
      </c>
      <c r="V1441" s="5" t="n">
        <v>6.6</v>
      </c>
      <c r="W1441" s="2" t="inlineStr">
        <is>
          <t>low</t>
        </is>
      </c>
      <c r="X1441" s="3" t="inlineStr"/>
      <c r="Y1441" s="3" t="inlineStr">
        <is>
          <t>87% of this dish's available carbohydrate comes from ingredients with a published, measured GI; the rest uses conventional placeholders (see Ingredients sheet)</t>
        </is>
      </c>
      <c r="Z1441" s="2" t="n">
        <v>87</v>
      </c>
      <c r="AA1441" s="3" t="inlineStr">
        <is>
          <t>vegetarian, nut-free</t>
        </is>
      </c>
      <c r="AB1441" s="3" t="inlineStr">
        <is>
          <t>1. Scramble the eggs with the spinach in oil.
2. Fill the tortillas with eggs, feta and tomato and roll.</t>
        </is>
      </c>
      <c r="AC1441" s="4" t="inlineStr">
        <is>
          <t>["Scramble the eggs with the spinach in oil.", "Fill the tortillas with eggs, feta and tomato and roll."]</t>
        </is>
      </c>
    </row>
    <row r="1442" ht="96" customHeight="1">
      <c r="A1442" s="2" t="inlineStr">
        <is>
          <t>DB-1441</t>
        </is>
      </c>
      <c r="B1442" s="3" t="inlineStr">
        <is>
          <t>Chilaquiles-Style Egg Skillet</t>
        </is>
      </c>
      <c r="C1442" s="4" t="inlineStr">
        <is>
          <t>Breakfast</t>
        </is>
      </c>
      <c r="D1442" s="4" t="inlineStr">
        <is>
          <t>Mexican</t>
        </is>
      </c>
      <c r="E1442" s="2" t="n">
        <v>3</v>
      </c>
      <c r="F1442" s="2" t="n">
        <v>10</v>
      </c>
      <c r="G1442" s="2" t="n">
        <v>15</v>
      </c>
      <c r="H1442" s="2" t="n">
        <v>25</v>
      </c>
      <c r="I1442" s="4" t="inlineStr">
        <is>
          <t>chilaquiles-style-egg-skillet.jpg</t>
        </is>
      </c>
      <c r="J1442" s="3" t="inlineStr">
        <is>
          <t>Chilaquiles-Style Egg Skillet, healthy food photography, plated, natural light</t>
        </is>
      </c>
      <c r="K1442" s="4" t="inlineStr"/>
      <c r="L1442" s="3" t="inlineStr">
        <is>
          <t>Corn tortilla — 120 g (4.2 oz)
Egg, large (50 g each) — 200 g (7.1 oz)
Salsa verde — 200 g (7.1 oz)
Cotija cheese — 30 g (1.1 oz)
Avocado — 100 g (3.5 oz)
Fresh cilantro — 5 g (0.2 oz)
Extra-virgin olive oil — 15 g (0.5 oz)</t>
        </is>
      </c>
      <c r="M1442" s="4" t="inlineStr">
        <is>
          <t>[{"ingredient_id": "corn_tortilla", "name": "Corn tortilla", "grams": 120.0, "note": ""}, {"ingredient_id": "egg", "name": "Egg, large (50 g each)", "grams": 200.0, "note": ""}, {"ingredient_id": "salsa_verde", "name": "Salsa verde", "grams": 200.0, "note": ""}, {"ingredient_id": "cotija", "name": "Cotija cheese", "grams": 30.0, "note": ""}, {"ingredient_id": "avocado", "name": "Avocado", "grams": 100.0, "note": ""}, {"ingredient_id": "cilantro", "name": "Fresh cilantro", "grams": 5.0, "note": ""}, {"ingredient_id": "olive_oil", "name": "Extra-virgin olive oil", "grams": 15.0, "note": ""}]</t>
        </is>
      </c>
      <c r="N1442" s="2" t="n">
        <v>337</v>
      </c>
      <c r="O1442" s="5" t="n">
        <v>14</v>
      </c>
      <c r="P1442" s="5" t="n">
        <v>20.8</v>
      </c>
      <c r="Q1442" s="5" t="n">
        <v>25.8</v>
      </c>
      <c r="R1442" s="5" t="n">
        <v>5.8</v>
      </c>
      <c r="S1442" s="5" t="n">
        <v>20</v>
      </c>
      <c r="T1442" s="2" t="n">
        <v>45</v>
      </c>
      <c r="U1442" s="2" t="inlineStr">
        <is>
          <t>low</t>
        </is>
      </c>
      <c r="V1442" s="5" t="n">
        <v>9</v>
      </c>
      <c r="W1442" s="2" t="inlineStr">
        <is>
          <t>low</t>
        </is>
      </c>
      <c r="X1442" s="3" t="inlineStr"/>
      <c r="Y1442" s="3" t="inlineStr">
        <is>
          <t>78% of this dish's available carbohydrate comes from ingredients with a published, measured GI; the rest uses conventional placeholders (see Ingredients sheet)</t>
        </is>
      </c>
      <c r="Z1442" s="2" t="n">
        <v>78</v>
      </c>
      <c r="AA1442" s="3" t="inlineStr">
        <is>
          <t>vegetarian, gluten-free, nut-free</t>
        </is>
      </c>
      <c r="AB1442" s="3" t="inlineStr">
        <is>
          <t>1. Crisp torn tortillas in oil.
2. Warm in the salsa, then top with fried eggs.
3. Finish with cotija, avocado and cilantro.</t>
        </is>
      </c>
      <c r="AC1442" s="4" t="inlineStr">
        <is>
          <t>["Crisp torn tortillas in oil.", "Warm in the salsa, then top with fried eggs.", "Finish with cotija, avocado and cilantro."]</t>
        </is>
      </c>
    </row>
    <row r="1443" ht="96" customHeight="1">
      <c r="A1443" s="2" t="inlineStr">
        <is>
          <t>DB-1442</t>
        </is>
      </c>
      <c r="B1443" s="3" t="inlineStr">
        <is>
          <t>Sweet Potato Breakfast Boats</t>
        </is>
      </c>
      <c r="C1443" s="4" t="inlineStr">
        <is>
          <t>Breakfast</t>
        </is>
      </c>
      <c r="D1443" s="4" t="inlineStr">
        <is>
          <t>American</t>
        </is>
      </c>
      <c r="E1443" s="2" t="n">
        <v>4</v>
      </c>
      <c r="F1443" s="2" t="n">
        <v>10</v>
      </c>
      <c r="G1443" s="2" t="n">
        <v>45</v>
      </c>
      <c r="H1443" s="2" t="n">
        <v>55</v>
      </c>
      <c r="I1443" s="4" t="inlineStr">
        <is>
          <t>sweet-potato-breakfast-boats.jpg</t>
        </is>
      </c>
      <c r="J1443" s="3" t="inlineStr">
        <is>
          <t>Sweet Potato Breakfast Boats, healthy food photography, plated, natural light</t>
        </is>
      </c>
      <c r="K1443" s="4" t="inlineStr"/>
      <c r="L1443" s="3" t="inlineStr">
        <is>
          <t>Sweet potato, boiled/simmered — 600 g (21.2 oz)
Egg, large (50 g each) — 200 g (7.1 oz)
Turkey sausage — 150 g (5.3 oz)
Spinach — 60 g (2.1 oz)
Cheddar cheese — 40 g (1.4 oz)</t>
        </is>
      </c>
      <c r="M1443" s="4" t="inlineStr">
        <is>
          <t>[{"ingredient_id": "sweet_potato", "name": "Sweet potato, boiled/simmered", "grams": 600.0, "note": ""}, {"ingredient_id": "egg", "name": "Egg, large (50 g each)", "grams": 200.0, "note": ""}, {"ingredient_id": "turkey_sausage", "name": "Turkey sausage", "grams": 150.0, "note": ""}, {"ingredient_id": "spinach", "name": "Spinach", "grams": 60.0, "note": ""}, {"ingredient_id": "cheddar", "name": "Cheddar cheese", "grams": 40.0, "note": ""}]</t>
        </is>
      </c>
      <c r="N1443" s="2" t="n">
        <v>302</v>
      </c>
      <c r="O1443" s="5" t="n">
        <v>17.1</v>
      </c>
      <c r="P1443" s="5" t="n">
        <v>12</v>
      </c>
      <c r="Q1443" s="5" t="n">
        <v>31.8</v>
      </c>
      <c r="R1443" s="5" t="n">
        <v>4.8</v>
      </c>
      <c r="S1443" s="5" t="n">
        <v>26.9</v>
      </c>
      <c r="T1443" s="2" t="n">
        <v>44</v>
      </c>
      <c r="U1443" s="2" t="inlineStr">
        <is>
          <t>low</t>
        </is>
      </c>
      <c r="V1443" s="5" t="n">
        <v>11.9</v>
      </c>
      <c r="W1443" s="2" t="inlineStr">
        <is>
          <t>medium</t>
        </is>
      </c>
      <c r="X1443" s="3" t="inlineStr"/>
      <c r="Y1443" s="3" t="inlineStr">
        <is>
          <t>95% of this dish's available carbohydrate comes from ingredients with a published, measured GI; the rest uses conventional placeholders (see Ingredients sheet)</t>
        </is>
      </c>
      <c r="Z1443" s="2" t="n">
        <v>95</v>
      </c>
      <c r="AA1443" s="3" t="inlineStr">
        <is>
          <t>gluten-free, nut-free</t>
        </is>
      </c>
      <c r="AB1443" s="3" t="inlineStr">
        <is>
          <t>1. Bake the halved sweet potatoes until tender and scoop a well.
2. Fill with sautéed sausage and spinach.
3. Crack an egg into each, top with cheddar and bake 12 minutes.</t>
        </is>
      </c>
      <c r="AC1443" s="4" t="inlineStr">
        <is>
          <t>["Bake the halved sweet potatoes until tender and scoop a well.", "Fill with sautéed sausage and spinach.", "Crack an egg into each, top with cheddar and bake 12 minutes."]</t>
        </is>
      </c>
    </row>
    <row r="1444" ht="96" customHeight="1">
      <c r="A1444" s="2" t="inlineStr">
        <is>
          <t>DB-1443</t>
        </is>
      </c>
      <c r="B1444" s="3" t="inlineStr">
        <is>
          <t>Greek Yogurt Breakfast Bowl with Nuts and Seeds</t>
        </is>
      </c>
      <c r="C1444" s="4" t="inlineStr">
        <is>
          <t>Breakfast</t>
        </is>
      </c>
      <c r="D1444" s="4" t="inlineStr">
        <is>
          <t>American</t>
        </is>
      </c>
      <c r="E1444" s="2" t="n">
        <v>2</v>
      </c>
      <c r="F1444" s="2" t="n">
        <v>5</v>
      </c>
      <c r="G1444" s="2" t="n">
        <v>0</v>
      </c>
      <c r="H1444" s="2" t="n">
        <v>5</v>
      </c>
      <c r="I1444" s="4" t="inlineStr">
        <is>
          <t>greek-yogurt-breakfast-bowl-with-nuts-and-seeds.jpg</t>
        </is>
      </c>
      <c r="J1444" s="3" t="inlineStr">
        <is>
          <t>Greek Yogurt Breakfast Bowl with Nuts and Seeds, healthy food photography, plated, natural light</t>
        </is>
      </c>
      <c r="K1444" s="4" t="inlineStr"/>
      <c r="L1444" s="3" t="inlineStr">
        <is>
          <t>Greek yogurt, plain 2% — 300 g (10.6 oz)
Blueberries — 100 g (3.5 oz)
Almonds — 20 g (0.7 oz)
Pumpkin seeds (pepitas) — 15 g (0.5 oz)
Chia seeds — 10 g (0.4 oz)
Ground cinnamon — 1 g (0.0 oz)</t>
        </is>
      </c>
      <c r="M1444" s="4" t="inlineStr">
        <is>
          <t>[{"ingredient_id": "greek_yogurt", "name": "Greek yogurt, plain 2%", "grams": 300.0, "note": ""}, {"ingredient_id": "blueberries", "name": "Blueberries", "grams": 100.0, "note": ""}, {"ingredient_id": "almonds", "name": "Almonds", "grams": 20.0, "note": ""}, {"ingredient_id": "pumpkin_seeds", "name": "Pumpkin seeds (pepitas)", "grams": 15.0, "note": ""}, {"ingredient_id": "chia_seeds", "name": "Chia seeds", "grams": 10.0, "note": ""}, {"ingredient_id": "cinnamon", "name": "Ground cinnamon", "grams": 1.0, "note": ""}]</t>
        </is>
      </c>
      <c r="N1444" s="2" t="n">
        <v>263</v>
      </c>
      <c r="O1444" s="5" t="n">
        <v>20.6</v>
      </c>
      <c r="P1444" s="5" t="n">
        <v>13.4</v>
      </c>
      <c r="Q1444" s="5" t="n">
        <v>18.8</v>
      </c>
      <c r="R1444" s="5" t="n">
        <v>4.9</v>
      </c>
      <c r="S1444" s="5" t="n">
        <v>13.9</v>
      </c>
      <c r="T1444" s="2" t="n">
        <v>30</v>
      </c>
      <c r="U1444" s="2" t="inlineStr">
        <is>
          <t>low</t>
        </is>
      </c>
      <c r="V1444" s="5" t="n">
        <v>4.2</v>
      </c>
      <c r="W1444" s="2" t="inlineStr">
        <is>
          <t>low</t>
        </is>
      </c>
      <c r="X1444" s="3" t="inlineStr"/>
      <c r="Y1444" s="3" t="inlineStr">
        <is>
          <t>87% of this dish's available carbohydrate comes from ingredients with a published, measured GI; the rest uses conventional placeholders (see Ingredients sheet)</t>
        </is>
      </c>
      <c r="Z1444" s="2" t="n">
        <v>87</v>
      </c>
      <c r="AA1444" s="3" t="inlineStr">
        <is>
          <t>vegetarian, gluten-free, low-carb, no-cook</t>
        </is>
      </c>
      <c r="AB1444" s="3" t="inlineStr">
        <is>
          <t>1. Spoon the yogurt into bowls.
2. Top with berries, almonds and seeds and dust with cinnamon.</t>
        </is>
      </c>
      <c r="AC1444" s="4" t="inlineStr">
        <is>
          <t>["Spoon the yogurt into bowls.", "Top with berries, almonds and seeds and dust with cinnamon."]</t>
        </is>
      </c>
    </row>
    <row r="1445" ht="96" customHeight="1">
      <c r="A1445" s="2" t="inlineStr">
        <is>
          <t>DB-1444</t>
        </is>
      </c>
      <c r="B1445" s="3" t="inlineStr">
        <is>
          <t>Peanut Butter Overnight Oats</t>
        </is>
      </c>
      <c r="C1445" s="4" t="inlineStr">
        <is>
          <t>Breakfast</t>
        </is>
      </c>
      <c r="D1445" s="4" t="inlineStr">
        <is>
          <t>American</t>
        </is>
      </c>
      <c r="E1445" s="2" t="n">
        <v>2</v>
      </c>
      <c r="F1445" s="2" t="n">
        <v>5</v>
      </c>
      <c r="G1445" s="2" t="n">
        <v>0</v>
      </c>
      <c r="H1445" s="2" t="n">
        <v>5</v>
      </c>
      <c r="I1445" s="4" t="inlineStr">
        <is>
          <t>peanut-butter-overnight-oats.jpg</t>
        </is>
      </c>
      <c r="J1445" s="3" t="inlineStr">
        <is>
          <t>Peanut Butter Overnight Oats, healthy food photography, plated, natural light</t>
        </is>
      </c>
      <c r="K1445" s="4" t="inlineStr"/>
      <c r="L1445" s="3" t="inlineStr">
        <is>
          <t>Rolled oats, dry — 60 g (2.1 oz)
Milk, 2% — 200 g (7.1 oz)
Peanut butter, natural — 30 g (1.1 oz)
Greek yogurt, plain 2% — 100 g (3.5 oz)
Chia seeds — 10 g (0.4 oz)
Banana (small amount) — 60 g (2.1 oz)</t>
        </is>
      </c>
      <c r="M1445" s="4" t="inlineStr">
        <is>
          <t>[{"ingredient_id": "rolled_oats", "name": "Rolled oats, dry", "grams": 60.0, "note": ""}, {"ingredient_id": "milk", "name": "Milk, 2%", "grams": 200.0, "note": ""}, {"ingredient_id": "peanut_butter", "name": "Peanut butter, natural", "grams": 30.0, "note": ""}, {"ingredient_id": "greek_yogurt", "name": "Greek yogurt, plain 2%", "grams": 100.0, "note": ""}, {"ingredient_id": "chia_seeds", "name": "Chia seeds", "grams": 10.0, "note": ""}, {"ingredient_id": "banana", "name": "Banana (small amount)", "grams": 60.0, "note": ""}]</t>
        </is>
      </c>
      <c r="N1445" s="2" t="n">
        <v>339</v>
      </c>
      <c r="O1445" s="5" t="n">
        <v>17.1</v>
      </c>
      <c r="P1445" s="5" t="n">
        <v>14.1</v>
      </c>
      <c r="Q1445" s="5" t="n">
        <v>39.2</v>
      </c>
      <c r="R1445" s="5" t="n">
        <v>6.4</v>
      </c>
      <c r="S1445" s="5" t="n">
        <v>32.8</v>
      </c>
      <c r="T1445" s="2" t="n">
        <v>45</v>
      </c>
      <c r="U1445" s="2" t="inlineStr">
        <is>
          <t>low</t>
        </is>
      </c>
      <c r="V1445" s="5" t="n">
        <v>14.8</v>
      </c>
      <c r="W1445" s="2" t="inlineStr">
        <is>
          <t>medium</t>
        </is>
      </c>
      <c r="X1445" s="3" t="inlineStr"/>
      <c r="Y1445" s="3" t="inlineStr">
        <is>
          <t>92% of this dish's available carbohydrate comes from ingredients with a published, measured GI; the rest uses conventional placeholders (see Ingredients sheet)</t>
        </is>
      </c>
      <c r="Z1445" s="2" t="n">
        <v>92</v>
      </c>
      <c r="AA1445" s="3" t="inlineStr">
        <is>
          <t>vegetarian, no-cook, meal-prep</t>
        </is>
      </c>
      <c r="AB1445" s="3" t="inlineStr">
        <is>
          <t>1. Stir the oats, milk, peanut butter, yogurt and chia in a jar.
2. Refrigerate overnight and top with banana.</t>
        </is>
      </c>
      <c r="AC1445" s="4" t="inlineStr">
        <is>
          <t>["Stir the oats, milk, peanut butter, yogurt and chia in a jar.", "Refrigerate overnight and top with banana."]</t>
        </is>
      </c>
    </row>
    <row r="1446" ht="96" customHeight="1">
      <c r="A1446" s="2" t="inlineStr">
        <is>
          <t>DB-1445</t>
        </is>
      </c>
      <c r="B1446" s="3" t="inlineStr">
        <is>
          <t>Savory Oatmeal with Egg and Spinach</t>
        </is>
      </c>
      <c r="C1446" s="4" t="inlineStr">
        <is>
          <t>Breakfast</t>
        </is>
      </c>
      <c r="D1446" s="4" t="inlineStr">
        <is>
          <t>American</t>
        </is>
      </c>
      <c r="E1446" s="2" t="n">
        <v>2</v>
      </c>
      <c r="F1446" s="2" t="n">
        <v>5</v>
      </c>
      <c r="G1446" s="2" t="n">
        <v>8</v>
      </c>
      <c r="H1446" s="2" t="n">
        <v>13</v>
      </c>
      <c r="I1446" s="4" t="inlineStr">
        <is>
          <t>savory-oatmeal-with-egg-and-spinach.jpg</t>
        </is>
      </c>
      <c r="J1446" s="3" t="inlineStr">
        <is>
          <t>Savory Oatmeal with Egg and Spinach, healthy food photography, plated, natural light</t>
        </is>
      </c>
      <c r="K1446" s="4" t="inlineStr"/>
      <c r="L1446" s="3" t="inlineStr">
        <is>
          <t>Rolled oats, dry — 80 g (2.8 oz)
Chicken broth, low sodium — 300 g (10.6 oz)
Egg, large (50 g each) — 100 g (3.5 oz)
Spinach — 60 g (2.1 oz)
Parmesan, grated — 20 g (0.7 oz)
Black pepper — 1 g (0.0 oz)</t>
        </is>
      </c>
      <c r="M1446" s="4" t="inlineStr">
        <is>
          <t>[{"ingredient_id": "rolled_oats", "name": "Rolled oats, dry", "grams": 80.0, "note": ""}, {"ingredient_id": "chicken_broth", "name": "Chicken broth, low sodium", "grams": 300.0, "note": ""}, {"ingredient_id": "egg", "name": "Egg, large (50 g each)", "grams": 100.0, "note": ""}, {"ingredient_id": "spinach", "name": "Spinach", "grams": 60.0, "note": ""}, {"ingredient_id": "parmesan", "name": "Parmesan, grated", "grams": 20.0, "note": ""}, {"ingredient_id": "black_pepper", "name": "Black pepper", "grams": 1.0, "note": ""}]</t>
        </is>
      </c>
      <c r="N1446" s="2" t="n">
        <v>285</v>
      </c>
      <c r="O1446" s="5" t="n">
        <v>17.7</v>
      </c>
      <c r="P1446" s="5" t="n">
        <v>10.7</v>
      </c>
      <c r="Q1446" s="5" t="n">
        <v>30.1</v>
      </c>
      <c r="R1446" s="5" t="n">
        <v>4.8</v>
      </c>
      <c r="S1446" s="5" t="n">
        <v>25.3</v>
      </c>
      <c r="T1446" s="2" t="n">
        <v>53</v>
      </c>
      <c r="U1446" s="2" t="inlineStr">
        <is>
          <t>low</t>
        </is>
      </c>
      <c r="V1446" s="5" t="n">
        <v>13.4</v>
      </c>
      <c r="W1446" s="2" t="inlineStr">
        <is>
          <t>medium</t>
        </is>
      </c>
      <c r="X1446" s="3" t="inlineStr"/>
      <c r="Y1446" s="3" t="inlineStr">
        <is>
          <t>92% of this dish's available carbohydrate comes from ingredients with a published, measured GI; the rest uses conventional placeholders (see Ingredients sheet)</t>
        </is>
      </c>
      <c r="Z1446" s="2" t="n">
        <v>92</v>
      </c>
      <c r="AA1446" s="3" t="inlineStr">
        <is>
          <t>vegetarian, nut-free</t>
        </is>
      </c>
      <c r="AB1446" s="3" t="inlineStr">
        <is>
          <t>1. Simmer the oats in the broth with the spinach.
2. Top with a poached or fried egg, parmesan and pepper.</t>
        </is>
      </c>
      <c r="AC1446" s="4" t="inlineStr">
        <is>
          <t>["Simmer the oats in the broth with the spinach.", "Top with a poached or fried egg, parmesan and pepper."]</t>
        </is>
      </c>
    </row>
    <row r="1447" ht="96" customHeight="1">
      <c r="A1447" s="2" t="inlineStr">
        <is>
          <t>DB-1446</t>
        </is>
      </c>
      <c r="B1447" s="3" t="inlineStr">
        <is>
          <t>Breakfast Sausage Patties with Apple</t>
        </is>
      </c>
      <c r="C1447" s="4" t="inlineStr">
        <is>
          <t>Breakfast</t>
        </is>
      </c>
      <c r="D1447" s="4" t="inlineStr">
        <is>
          <t>American</t>
        </is>
      </c>
      <c r="E1447" s="2" t="n">
        <v>4</v>
      </c>
      <c r="F1447" s="2" t="n">
        <v>10</v>
      </c>
      <c r="G1447" s="2" t="n">
        <v>12</v>
      </c>
      <c r="H1447" s="2" t="n">
        <v>22</v>
      </c>
      <c r="I1447" s="4" t="inlineStr">
        <is>
          <t>breakfast-sausage-patties-with-apple.jpg</t>
        </is>
      </c>
      <c r="J1447" s="3" t="inlineStr">
        <is>
          <t>Breakfast Sausage Patties with Apple, healthy food photography, plated, natural light</t>
        </is>
      </c>
      <c r="K1447" s="4" t="inlineStr"/>
      <c r="L1447" s="3" t="inlineStr">
        <is>
          <t>Ground turkey 93% lean — 400 g (14.1 oz)
Apple — 100 g (3.5 oz)
Fresh sage — 3 g (0.1 oz)
Fresh thyme — 2 g (0.1 oz)
Salt — 3 g (0.1 oz)
Extra-virgin olive oil — 10 g (0.4 oz)</t>
        </is>
      </c>
      <c r="M1447" s="4" t="inlineStr">
        <is>
          <t>[{"ingredient_id": "ground_turkey", "name": "Ground turkey 93% lean", "grams": 400.0, "note": ""}, {"ingredient_id": "apple", "name": "Apple", "grams": 100.0, "note": ""}, {"ingredient_id": "sage", "name": "Fresh sage", "grams": 3.0, "note": ""}, {"ingredient_id": "thyme", "name": "Fresh thyme", "grams": 2.0, "note": ""}, {"ingredient_id": "salt", "name": "Salt", "grams": 3.0, "note": ""}, {"ingredient_id": "olive_oil", "name": "Extra-virgin olive oil", "grams": 10.0, "note": ""}]</t>
        </is>
      </c>
      <c r="N1447" s="2" t="n">
        <v>188</v>
      </c>
      <c r="O1447" s="5" t="n">
        <v>18.9</v>
      </c>
      <c r="P1447" s="5" t="n">
        <v>10.7</v>
      </c>
      <c r="Q1447" s="5" t="n">
        <v>4.1</v>
      </c>
      <c r="R1447" s="5" t="n">
        <v>1</v>
      </c>
      <c r="S1447" s="5" t="n">
        <v>3.1</v>
      </c>
      <c r="T1447" s="2" t="n">
        <v>35</v>
      </c>
      <c r="U1447" s="2" t="inlineStr">
        <is>
          <t>low</t>
        </is>
      </c>
      <c r="V1447" s="5" t="n">
        <v>1.1</v>
      </c>
      <c r="W1447" s="2" t="inlineStr">
        <is>
          <t>low</t>
        </is>
      </c>
      <c r="X1447" s="3" t="inlineStr">
        <is>
          <t>Negligible carbohydrate (&lt;5 g net/serving): GI has little practical meaning, glycemic load is what matters.</t>
        </is>
      </c>
      <c r="Y1447" s="3" t="inlineStr">
        <is>
          <t>94% of this dish's available carbohydrate comes from ingredients with a published, measured GI; the rest uses conventional placeholders (see Ingredients sheet)</t>
        </is>
      </c>
      <c r="Z1447" s="2" t="n">
        <v>94</v>
      </c>
      <c r="AA1447" s="3" t="inlineStr">
        <is>
          <t>gluten-free, dairy-free, nut-free, low-carb</t>
        </is>
      </c>
      <c r="AB1447" s="3" t="inlineStr">
        <is>
          <t>1. Mix the turkey with grated apple, sage, thyme and salt.
2. Shape eight small patties.
3. Pan-fry in oil 5 to 6 minutes a side.</t>
        </is>
      </c>
      <c r="AC1447" s="4" t="inlineStr">
        <is>
          <t>["Mix the turkey with grated apple, sage, thyme and salt.", "Shape eight small patties.", "Pan-fry in oil 5 to 6 minutes a side."]</t>
        </is>
      </c>
    </row>
    <row r="1448" ht="96" customHeight="1">
      <c r="A1448" s="2" t="inlineStr">
        <is>
          <t>DB-1447</t>
        </is>
      </c>
      <c r="B1448" s="3" t="inlineStr">
        <is>
          <t>Cheddar Broccoli Egg Cups</t>
        </is>
      </c>
      <c r="C1448" s="4" t="inlineStr">
        <is>
          <t>Breakfast</t>
        </is>
      </c>
      <c r="D1448" s="4" t="inlineStr">
        <is>
          <t>American</t>
        </is>
      </c>
      <c r="E1448" s="2" t="n">
        <v>6</v>
      </c>
      <c r="F1448" s="2" t="n">
        <v>10</v>
      </c>
      <c r="G1448" s="2" t="n">
        <v>20</v>
      </c>
      <c r="H1448" s="2" t="n">
        <v>30</v>
      </c>
      <c r="I1448" s="4" t="inlineStr">
        <is>
          <t>cheddar-broccoli-egg-cups.jpg</t>
        </is>
      </c>
      <c r="J1448" s="3" t="inlineStr">
        <is>
          <t>Cheddar Broccoli Egg Cups, healthy food photography, plated, natural light</t>
        </is>
      </c>
      <c r="K1448" s="4" t="inlineStr"/>
      <c r="L1448" s="3" t="inlineStr">
        <is>
          <t>Egg, large (50 g each) — 300 g (10.6 oz)
Broccoli — 150 g (5.3 oz)
Cheddar cheese — 70 g (2.5 oz)
Milk, 2% — 60 g (2.1 oz)
Black pepper — 1 g (0.0 oz)</t>
        </is>
      </c>
      <c r="M1448" s="4" t="inlineStr">
        <is>
          <t>[{"ingredient_id": "egg", "name": "Egg, large (50 g each)", "grams": 300.0, "note": ""}, {"ingredient_id": "broccoli", "name": "Broccoli", "grams": 150.0, "note": ""}, {"ingredient_id": "cheddar", "name": "Cheddar cheese", "grams": 70.0, "note": ""}, {"ingredient_id": "milk", "name": "Milk, 2%", "grams": 60.0, "note": ""}, {"ingredient_id": "black_pepper", "name": "Black pepper", "grams": 1.0, "note": ""}]</t>
        </is>
      </c>
      <c r="N1448" s="2" t="n">
        <v>132</v>
      </c>
      <c r="O1448" s="5" t="n">
        <v>10</v>
      </c>
      <c r="P1448" s="5" t="n">
        <v>8.9</v>
      </c>
      <c r="Q1448" s="5" t="n">
        <v>2.7</v>
      </c>
      <c r="R1448" s="5" t="n">
        <v>0.7</v>
      </c>
      <c r="S1448" s="5" t="n">
        <v>2</v>
      </c>
      <c r="T1448" s="2" t="n">
        <v>14</v>
      </c>
      <c r="U1448" s="2" t="inlineStr">
        <is>
          <t>low</t>
        </is>
      </c>
      <c r="V1448" s="5" t="n">
        <v>0.3</v>
      </c>
      <c r="W1448" s="2" t="inlineStr">
        <is>
          <t>low</t>
        </is>
      </c>
      <c r="X1448" s="3" t="inlineStr">
        <is>
          <t>Negligible carbohydrate (&lt;5 g net/serving): GI has little practical meaning, glycemic load is what matters.</t>
        </is>
      </c>
      <c r="Y1448" s="3" t="inlineStr">
        <is>
          <t>23% of this dish's available carbohydrate comes from ingredients with a published, measured GI; the rest uses conventional placeholders (see Ingredients sheet)</t>
        </is>
      </c>
      <c r="Z1448" s="2" t="n">
        <v>23</v>
      </c>
      <c r="AA1448" s="3" t="inlineStr">
        <is>
          <t>vegetarian, gluten-free, nut-free, low-carb, meal-prep</t>
        </is>
      </c>
      <c r="AB1448" s="3" t="inlineStr">
        <is>
          <t>1. Divide the chopped broccoli and cheddar among six muffin cups.
2. Pour in the eggs whisked with milk and pepper.
3. Bake at 350°F for 18 to 20 minutes.</t>
        </is>
      </c>
      <c r="AC1448" s="4" t="inlineStr">
        <is>
          <t>["Divide the chopped broccoli and cheddar among six muffin cups.", "Pour in the eggs whisked with milk and pepper.", "Bake at 350°F for 18 to 20 minutes."]</t>
        </is>
      </c>
    </row>
    <row r="1449" ht="96" customHeight="1">
      <c r="A1449" s="2" t="inlineStr">
        <is>
          <t>DB-1448</t>
        </is>
      </c>
      <c r="B1449" s="3" t="inlineStr">
        <is>
          <t>Sheet Pan Sausage with Potatoes and Green Beans</t>
        </is>
      </c>
      <c r="C1449" s="4" t="inlineStr">
        <is>
          <t>Poultry</t>
        </is>
      </c>
      <c r="D1449" s="4" t="inlineStr">
        <is>
          <t>American</t>
        </is>
      </c>
      <c r="E1449" s="2" t="n">
        <v>4</v>
      </c>
      <c r="F1449" s="2" t="n">
        <v>10</v>
      </c>
      <c r="G1449" s="2" t="n">
        <v>30</v>
      </c>
      <c r="H1449" s="2" t="n">
        <v>40</v>
      </c>
      <c r="I1449" s="4" t="inlineStr">
        <is>
          <t>sheet-pan-sausage-with-potatoes-and-green-beans.jpg</t>
        </is>
      </c>
      <c r="J1449" s="3" t="inlineStr">
        <is>
          <t>Sheet Pan Sausage with Potatoes and Green Beans, healthy food photography, plated, natural light</t>
        </is>
      </c>
      <c r="K1449" s="4" t="inlineStr"/>
      <c r="L1449" s="3" t="inlineStr">
        <is>
          <t>Chicken sausage — 400 g (14.1 oz)
Potato, boiled, peeled — 400 g (14.1 oz)
Green beans — 300 g (10.6 oz)
Extra-virgin olive oil — 20 g (0.7 oz)
Garlic — 6 g (0.2 oz)
Italian seasoning — 3 g (0.1 oz)</t>
        </is>
      </c>
      <c r="M1449" s="4" t="inlineStr">
        <is>
          <t>[{"ingredient_id": "chicken_sausage", "name": "Chicken sausage", "grams": 400.0, "note": ""}, {"ingredient_id": "potato_boiled", "name": "Potato, boiled, peeled", "grams": 400.0, "note": ""}, {"ingredient_id": "green_beans", "name": "Green beans", "grams": 300.0, "note": ""}, {"ingredient_id": "olive_oil", "name": "Extra-virgin olive oil", "grams": 20.0, "note": ""}, {"ingredient_id": "garlic", "name": "Garlic", "grams": 6.0, "note": ""}, {"ingredient_id": "italian_seasoning", "name": "Italian seasoning", "grams": 3.0, "note": ""}]</t>
        </is>
      </c>
      <c r="N1449" s="2" t="n">
        <v>335</v>
      </c>
      <c r="O1449" s="5" t="n">
        <v>18.5</v>
      </c>
      <c r="P1449" s="5" t="n">
        <v>16.3</v>
      </c>
      <c r="Q1449" s="5" t="n">
        <v>29.8</v>
      </c>
      <c r="R1449" s="5" t="n">
        <v>3.9</v>
      </c>
      <c r="S1449" s="5" t="n">
        <v>25.9</v>
      </c>
      <c r="T1449" s="2" t="n">
        <v>54</v>
      </c>
      <c r="U1449" s="2" t="inlineStr">
        <is>
          <t>low</t>
        </is>
      </c>
      <c r="V1449" s="5" t="n">
        <v>14</v>
      </c>
      <c r="W1449" s="2" t="inlineStr">
        <is>
          <t>medium</t>
        </is>
      </c>
      <c r="X1449" s="3" t="inlineStr"/>
      <c r="Y1449" s="3" t="inlineStr">
        <is>
          <t>77% of this dish's available carbohydrate comes from ingredients with a published, measured GI; the rest uses conventional placeholders (see Ingredients sheet)</t>
        </is>
      </c>
      <c r="Z1449" s="2" t="n">
        <v>77</v>
      </c>
      <c r="AA1449" s="3" t="inlineStr">
        <is>
          <t>gluten-free, dairy-free, nut-free, one-pan</t>
        </is>
      </c>
      <c r="AB1449" s="3" t="inlineStr">
        <is>
          <t>1. Toss everything on a tray with oil, garlic and seasoning.
2. Roast at 425°F for 25 to 30 minutes.</t>
        </is>
      </c>
      <c r="AC1449" s="4" t="inlineStr">
        <is>
          <t>["Toss everything on a tray with oil, garlic and seasoning.", "Roast at 425°F for 25 to 30 minutes."]</t>
        </is>
      </c>
    </row>
    <row r="1450" ht="96" customHeight="1">
      <c r="A1450" s="2" t="inlineStr">
        <is>
          <t>DB-1449</t>
        </is>
      </c>
      <c r="B1450" s="3" t="inlineStr">
        <is>
          <t>Sheet Pan Salmon with Brussels Sprouts</t>
        </is>
      </c>
      <c r="C1450" s="4" t="inlineStr">
        <is>
          <t>Seafood</t>
        </is>
      </c>
      <c r="D1450" s="4" t="inlineStr">
        <is>
          <t>American</t>
        </is>
      </c>
      <c r="E1450" s="2" t="n">
        <v>4</v>
      </c>
      <c r="F1450" s="2" t="n">
        <v>10</v>
      </c>
      <c r="G1450" s="2" t="n">
        <v>22</v>
      </c>
      <c r="H1450" s="2" t="n">
        <v>32</v>
      </c>
      <c r="I1450" s="4" t="inlineStr">
        <is>
          <t>sheet-pan-salmon-with-brussels-sprouts.jpg</t>
        </is>
      </c>
      <c r="J1450" s="3" t="inlineStr">
        <is>
          <t>Sheet Pan Salmon with Brussels Sprouts, healthy food photography, plated, natural light</t>
        </is>
      </c>
      <c r="K1450" s="4" t="inlineStr"/>
      <c r="L1450" s="3" t="inlineStr">
        <is>
          <t>Salmon fillet — 560 g (19.8 oz)
Brussels sprouts — 450 g (15.9 oz)
Extra-virgin olive oil — 25 g (0.9 oz)
Dijon mustard — 20 g (0.7 oz)
Lemon (with juice &amp; zest) — 60 g (2.1 oz)
Garlic — 4 g (0.1 oz)</t>
        </is>
      </c>
      <c r="M1450" s="4" t="inlineStr">
        <is>
          <t>[{"ingredient_id": "salmon", "name": "Salmon fillet", "grams": 560.0, "note": ""}, {"ingredient_id": "brussels_sprouts", "name": "Brussels sprouts", "grams": 450.0, "note": ""}, {"ingredient_id": "olive_oil", "name": "Extra-virgin olive oil", "grams": 25.0, "note": ""}, {"ingredient_id": "dijon", "name": "Dijon mustard", "grams": 20.0, "note": ""}, {"ingredient_id": "lemon", "name": "Lemon (with juice &amp; zest)", "grams": 60.0, "note": ""}, {"ingredient_id": "garlic", "name": "Garlic", "grams": 4.0, "note": ""}]</t>
        </is>
      </c>
      <c r="N1450" s="2" t="n">
        <v>404</v>
      </c>
      <c r="O1450" s="5" t="n">
        <v>32.3</v>
      </c>
      <c r="P1450" s="5" t="n">
        <v>25</v>
      </c>
      <c r="Q1450" s="5" t="n">
        <v>12.1</v>
      </c>
      <c r="R1450" s="5" t="n">
        <v>4.9</v>
      </c>
      <c r="S1450" s="5" t="n">
        <v>7.2</v>
      </c>
      <c r="T1450" s="2" t="n">
        <v>16</v>
      </c>
      <c r="U1450" s="2" t="inlineStr">
        <is>
          <t>low</t>
        </is>
      </c>
      <c r="V1450" s="5" t="n">
        <v>1.2</v>
      </c>
      <c r="W1450" s="2" t="inlineStr">
        <is>
          <t>low</t>
        </is>
      </c>
      <c r="X1450" s="3" t="inlineStr"/>
      <c r="Y1450" s="3" t="inlineStr">
        <is>
          <t>0% of this dish's available carbohydrate comes from ingredients with a published, measured GI; the rest uses conventional placeholders (see Ingredients sheet)</t>
        </is>
      </c>
      <c r="Z1450" s="2" t="n">
        <v>0</v>
      </c>
      <c r="AA1450" s="3" t="inlineStr">
        <is>
          <t>pescatarian, gluten-free, dairy-free, nut-free, low-carb, high-protein, one-pan</t>
        </is>
      </c>
      <c r="AB1450" s="3" t="inlineStr">
        <is>
          <t>1. Roast the halved sprouts with oil at 425°F for 10 minutes.
2. Add the salmon brushed with mustard and garlic and roast 12 minutes more.
3. Serve with lemon.</t>
        </is>
      </c>
      <c r="AC1450" s="4" t="inlineStr">
        <is>
          <t>["Roast the halved sprouts with oil at 425°F for 10 minutes.", "Add the salmon brushed with mustard and garlic and roast 12 minutes more.", "Serve with lemon."]</t>
        </is>
      </c>
    </row>
    <row r="1451" ht="96" customHeight="1">
      <c r="A1451" s="2" t="inlineStr">
        <is>
          <t>DB-1450</t>
        </is>
      </c>
      <c r="B1451" s="3" t="inlineStr">
        <is>
          <t>Sheet Pan Shrimp and Vegetable Bake</t>
        </is>
      </c>
      <c r="C1451" s="4" t="inlineStr">
        <is>
          <t>Seafood</t>
        </is>
      </c>
      <c r="D1451" s="4" t="inlineStr">
        <is>
          <t>American</t>
        </is>
      </c>
      <c r="E1451" s="2" t="n">
        <v>4</v>
      </c>
      <c r="F1451" s="2" t="n">
        <v>10</v>
      </c>
      <c r="G1451" s="2" t="n">
        <v>15</v>
      </c>
      <c r="H1451" s="2" t="n">
        <v>25</v>
      </c>
      <c r="I1451" s="4" t="inlineStr">
        <is>
          <t>sheet-pan-shrimp-and-vegetable-bake.jpg</t>
        </is>
      </c>
      <c r="J1451" s="3" t="inlineStr">
        <is>
          <t>Sheet Pan Shrimp and Vegetable Bake, healthy food photography, plated, natural light</t>
        </is>
      </c>
      <c r="K1451" s="4" t="inlineStr"/>
      <c r="L1451" s="3" t="inlineStr">
        <is>
          <t>Shrimp, peeled — 500 g (17.6 oz)
Zucchini — 250 g (8.8 oz)
Bell pepper — 200 g (7.1 oz)
Cherry tomatoes — 200 g (7.1 oz)
Extra-virgin olive oil — 25 g (0.9 oz)
Old Bay seasoning — 5 g (0.2 oz)
Lemon juice — 20 g (0.7 oz)</t>
        </is>
      </c>
      <c r="M1451" s="4" t="inlineStr">
        <is>
          <t>[{"ingredient_id": "shrimp", "name": "Shrimp, peeled", "grams": 500.0, "note": ""}, {"ingredient_id": "zucchini", "name": "Zucchini", "grams": 250.0, "note": ""}, {"ingredient_id": "bell_pepper", "name": "Bell pepper", "grams": 200.0, "note": ""}, {"ingredient_id": "cherry_tomato", "name": "Cherry tomatoes", "grams": 200.0, "note": ""}, {"ingredient_id": "olive_oil", "name": "Extra-virgin olive oil", "grams": 25.0, "note": ""}, {"ingredient_id": "old_bay", "name": "Old Bay seasoning", "grams": 5.0, "note": ""}, {"ingredient_id": "lemon_juice", "name": "Lemon juice", "grams": 20.0, "note": ""}]</t>
        </is>
      </c>
      <c r="N1451" s="2" t="n">
        <v>201</v>
      </c>
      <c r="O1451" s="5" t="n">
        <v>26.8</v>
      </c>
      <c r="P1451" s="5" t="n">
        <v>7.4</v>
      </c>
      <c r="Q1451" s="5" t="n">
        <v>7.9</v>
      </c>
      <c r="R1451" s="5" t="n">
        <v>2.6</v>
      </c>
      <c r="S1451" s="5" t="n">
        <v>5.3</v>
      </c>
      <c r="T1451" s="2" t="n">
        <v>15</v>
      </c>
      <c r="U1451" s="2" t="inlineStr">
        <is>
          <t>low</t>
        </is>
      </c>
      <c r="V1451" s="5" t="n">
        <v>0.8</v>
      </c>
      <c r="W1451" s="2" t="inlineStr">
        <is>
          <t>low</t>
        </is>
      </c>
      <c r="X1451" s="3" t="inlineStr"/>
      <c r="Y1451" s="3" t="inlineStr">
        <is>
          <t>0% of this dish's available carbohydrate comes from ingredients with a published, measured GI; the rest uses conventional placeholders (see Ingredients sheet)</t>
        </is>
      </c>
      <c r="Z1451" s="2" t="n">
        <v>0</v>
      </c>
      <c r="AA1451" s="3" t="inlineStr">
        <is>
          <t>pescatarian, gluten-free, dairy-free, nut-free, low-carb, high-protein, one-pan</t>
        </is>
      </c>
      <c r="AB1451" s="3" t="inlineStr">
        <is>
          <t>1. Toss the vegetables with oil and Old Bay and roast at 425°F for 10 minutes.
2. Add the shrimp and roast 5 minutes more.
3. Finish with lemon.</t>
        </is>
      </c>
      <c r="AC1451" s="4" t="inlineStr">
        <is>
          <t>["Toss the vegetables with oil and Old Bay and roast at 425°F for 10 minutes.", "Add the shrimp and roast 5 minutes more.", "Finish with lemon."]</t>
        </is>
      </c>
    </row>
    <row r="1452" ht="96" customHeight="1">
      <c r="A1452" s="2" t="inlineStr">
        <is>
          <t>DB-1451</t>
        </is>
      </c>
      <c r="B1452" s="3" t="inlineStr">
        <is>
          <t>Slow Cooker Chicken Tortilla Chili</t>
        </is>
      </c>
      <c r="C1452" s="4" t="inlineStr">
        <is>
          <t>Soup &amp; Stew</t>
        </is>
      </c>
      <c r="D1452" s="4" t="inlineStr">
        <is>
          <t>Tex-Mex</t>
        </is>
      </c>
      <c r="E1452" s="2" t="n">
        <v>6</v>
      </c>
      <c r="F1452" s="2" t="n">
        <v>10</v>
      </c>
      <c r="G1452" s="2" t="n">
        <v>360</v>
      </c>
      <c r="H1452" s="2" t="n">
        <v>370</v>
      </c>
      <c r="I1452" s="4" t="inlineStr">
        <is>
          <t>slow-cooker-chicken-tortilla-chili.jpg</t>
        </is>
      </c>
      <c r="J1452" s="3" t="inlineStr">
        <is>
          <t>Slow Cooker Chicken Tortilla Chili, healthy food photography, plated, natural light</t>
        </is>
      </c>
      <c r="K1452" s="4" t="inlineStr"/>
      <c r="L1452" s="3" t="inlineStr">
        <is>
          <t>Chicken breast, skinless — 600 g (21.2 oz)
Black beans, cooked — 250 g (8.8 oz)
Sweet corn kernels — 120 g (4.2 oz)
Diced tomatoes, canned — 400 g (14.1 oz)
Yellow onion — 120 g (4.2 oz)
Taco seasoning, low sodium — 14 g (0.5 oz)
Chicken broth, low sodium — 300 g (10.6 oz)
Lime juice — 20 g (0.7 oz)</t>
        </is>
      </c>
      <c r="M1452" s="4" t="inlineStr">
        <is>
          <t>[{"ingredient_id": "chicken_breast", "name": "Chicken breast, skinless", "grams": 600.0, "note": ""}, {"ingredient_id": "black_beans", "name": "Black beans, cooked", "grams": 250.0, "note": ""}, {"ingredient_id": "corn", "name": "Sweet corn kernels", "grams": 120.0, "note": ""}, {"ingredient_id": "diced_tomatoes", "name": "Diced tomatoes, canned", "grams": 400.0, "note": ""}, {"ingredient_id": "onion", "name": "Yellow onion", "grams": 120.0, "note": ""}, {"ingredient_id": "taco_seasoning", "name": "Taco seasoning, low sodium", "grams": 14.0, "note": ""}, {"ingredient_id": "chicken_broth", "name": "Chicken broth, low sodium", "grams": 300.0, "note": ""}, {"ingredient_id": "lime_juice", "name": "Lime juice", "grams": 20.0, "note": ""}]</t>
        </is>
      </c>
      <c r="N1452" s="2" t="n">
        <v>228</v>
      </c>
      <c r="O1452" s="5" t="n">
        <v>28.6</v>
      </c>
      <c r="P1452" s="5" t="n">
        <v>3.5</v>
      </c>
      <c r="Q1452" s="5" t="n">
        <v>20.7</v>
      </c>
      <c r="R1452" s="5" t="n">
        <v>6.1</v>
      </c>
      <c r="S1452" s="5" t="n">
        <v>14.6</v>
      </c>
      <c r="T1452" s="2" t="n">
        <v>33</v>
      </c>
      <c r="U1452" s="2" t="inlineStr">
        <is>
          <t>low</t>
        </is>
      </c>
      <c r="V1452" s="5" t="n">
        <v>4.8</v>
      </c>
      <c r="W1452" s="2" t="inlineStr">
        <is>
          <t>low</t>
        </is>
      </c>
      <c r="X1452" s="3" t="inlineStr"/>
      <c r="Y1452" s="3" t="inlineStr">
        <is>
          <t>65% of this dish's available carbohydrate comes from ingredients with a published, measured GI; the rest uses conventional placeholders (see Ingredients sheet)</t>
        </is>
      </c>
      <c r="Z1452" s="2" t="n">
        <v>65</v>
      </c>
      <c r="AA1452" s="3" t="inlineStr">
        <is>
          <t>gluten-free, dairy-free, nut-free, low-carb, high-protein, slow-cooker</t>
        </is>
      </c>
      <c r="AB1452" s="3" t="inlineStr">
        <is>
          <t>1. Combine everything except the lime in the slow cooker.
2. Cook on low 6 hours.
3. Shred the chicken and finish with lime.</t>
        </is>
      </c>
      <c r="AC1452" s="4" t="inlineStr">
        <is>
          <t>["Combine everything except the lime in the slow cooker.", "Cook on low 6 hours.", "Shred the chicken and finish with lime."]</t>
        </is>
      </c>
    </row>
    <row r="1453" ht="96" customHeight="1">
      <c r="A1453" s="2" t="inlineStr">
        <is>
          <t>DB-1452</t>
        </is>
      </c>
      <c r="B1453" s="3" t="inlineStr">
        <is>
          <t>Slow Cooker Pot Roast Chili with Beans</t>
        </is>
      </c>
      <c r="C1453" s="4" t="inlineStr">
        <is>
          <t>Soup &amp; Stew</t>
        </is>
      </c>
      <c r="D1453" s="4" t="inlineStr">
        <is>
          <t>American</t>
        </is>
      </c>
      <c r="E1453" s="2" t="n">
        <v>8</v>
      </c>
      <c r="F1453" s="2" t="n">
        <v>15</v>
      </c>
      <c r="G1453" s="2" t="n">
        <v>420</v>
      </c>
      <c r="H1453" s="2" t="n">
        <v>435</v>
      </c>
      <c r="I1453" s="4" t="inlineStr">
        <is>
          <t>slow-cooker-pot-roast-chili-with-beans.jpg</t>
        </is>
      </c>
      <c r="J1453" s="3" t="inlineStr">
        <is>
          <t>Slow Cooker Pot Roast Chili with Beans, healthy food photography, plated, natural light</t>
        </is>
      </c>
      <c r="K1453" s="4" t="inlineStr"/>
      <c r="L1453" s="3" t="inlineStr">
        <is>
          <t>Beef chuck roast, trimmed — 800 g (28.2 oz)
Kidney beans, cooked — 300 g (10.6 oz)
Diced tomatoes, canned — 500 g (17.6 oz)
Yellow onion — 150 g (5.3 oz)
Chili powder — 14 g (0.5 oz)
Ground cumin — 4 g (0.1 oz)
Garlic — 8 g (0.3 oz)
Beef broth, low sodium — 300 g (10.6 oz)</t>
        </is>
      </c>
      <c r="M1453" s="4" t="inlineStr">
        <is>
          <t>[{"ingredient_id": "beef_chuck", "name": "Beef chuck roast, trimmed", "grams": 800.0, "note": ""}, {"ingredient_id": "kidney_beans", "name": "Kidney beans, cooked", "grams": 300.0, "note": ""}, {"ingredient_id": "diced_tomatoes", "name": "Diced tomatoes, canned", "grams": 500.0, "note": ""}, {"ingredient_id": "onion", "name": "Yellow onion", "grams": 150.0, "note": ""}, {"ingredient_id": "chili_powder", "name": "Chili powder", "grams": 14.0, "note": ""}, {"ingredient_id": "cumin", "name": "Ground cumin", "grams": 4.0, "note": ""}, {"ingredient_id": "garlic", "name": "Garlic", "grams": 8.0, "note": ""}, {"ingredient_id": "beef_broth", "name": "Beef broth, low sodium", "grams": 300.0, "note": ""}]</t>
        </is>
      </c>
      <c r="N1453" s="2" t="n">
        <v>261</v>
      </c>
      <c r="O1453" s="5" t="n">
        <v>25.1</v>
      </c>
      <c r="P1453" s="5" t="n">
        <v>11.8</v>
      </c>
      <c r="Q1453" s="5" t="n">
        <v>15</v>
      </c>
      <c r="R1453" s="5" t="n">
        <v>4.3</v>
      </c>
      <c r="S1453" s="5" t="n">
        <v>10.7</v>
      </c>
      <c r="T1453" s="2" t="n">
        <v>30</v>
      </c>
      <c r="U1453" s="2" t="inlineStr">
        <is>
          <t>low</t>
        </is>
      </c>
      <c r="V1453" s="5" t="n">
        <v>3.2</v>
      </c>
      <c r="W1453" s="2" t="inlineStr">
        <is>
          <t>low</t>
        </is>
      </c>
      <c r="X1453" s="3" t="inlineStr"/>
      <c r="Y1453" s="3" t="inlineStr">
        <is>
          <t>58% of this dish's available carbohydrate comes from ingredients with a published, measured GI; the rest uses conventional placeholders (see Ingredients sheet)</t>
        </is>
      </c>
      <c r="Z1453" s="2" t="n">
        <v>58</v>
      </c>
      <c r="AA1453" s="3" t="inlineStr">
        <is>
          <t>gluten-free, dairy-free, nut-free, low-carb, high-protein, slow-cooker</t>
        </is>
      </c>
      <c r="AB1453" s="3" t="inlineStr">
        <is>
          <t>1. Combine everything in the slow cooker.
2. Cook on low 7 hours and shred the beef.</t>
        </is>
      </c>
      <c r="AC1453" s="4" t="inlineStr">
        <is>
          <t>["Combine everything in the slow cooker.", "Cook on low 7 hours and shred the beef."]</t>
        </is>
      </c>
    </row>
    <row r="1454" ht="96" customHeight="1">
      <c r="A1454" s="2" t="inlineStr">
        <is>
          <t>DB-1453</t>
        </is>
      </c>
      <c r="B1454" s="3" t="inlineStr">
        <is>
          <t>Slow Cooker Turkey Meatballs in Marinara</t>
        </is>
      </c>
      <c r="C1454" s="4" t="inlineStr">
        <is>
          <t>Poultry</t>
        </is>
      </c>
      <c r="D1454" s="4" t="inlineStr">
        <is>
          <t>Italian</t>
        </is>
      </c>
      <c r="E1454" s="2" t="n">
        <v>6</v>
      </c>
      <c r="F1454" s="2" t="n">
        <v>20</v>
      </c>
      <c r="G1454" s="2" t="n">
        <v>240</v>
      </c>
      <c r="H1454" s="2" t="n">
        <v>260</v>
      </c>
      <c r="I1454" s="4" t="inlineStr">
        <is>
          <t>slow-cooker-turkey-meatballs-in-marinara.jpg</t>
        </is>
      </c>
      <c r="J1454" s="3" t="inlineStr">
        <is>
          <t>Slow Cooker Turkey Meatballs in Marinara, healthy food photography, plated, natural light</t>
        </is>
      </c>
      <c r="K1454" s="4" t="inlineStr"/>
      <c r="L1454" s="3" t="inlineStr">
        <is>
          <t>Ground turkey 93% lean — 650 g (22.9 oz)
Egg, large (50 g each) — 50 g (1.8 oz)
Parmesan, grated — 40 g (1.4 oz)
Marinara sauce, no sugar added — 600 g (21.2 oz)
Italian seasoning — 3 g (0.1 oz)
Garlic — 6 g (0.2 oz)
Yellow onion — 60 g (2.1 oz)</t>
        </is>
      </c>
      <c r="M1454" s="4" t="inlineStr">
        <is>
          <t>[{"ingredient_id": "ground_turkey", "name": "Ground turkey 93% lean", "grams": 650.0, "note": ""}, {"ingredient_id": "egg", "name": "Egg, large (50 g each)", "grams": 50.0, "note": ""}, {"ingredient_id": "parmesan", "name": "Parmesan, grated", "grams": 40.0, "note": ""}, {"ingredient_id": "marinara", "name": "Marinara sauce, no sugar added", "grams": 600.0, "note": ""}, {"ingredient_id": "italian_seasoning", "name": "Italian seasoning", "grams": 3.0, "note": ""}, {"ingredient_id": "garlic", "name": "Garlic", "grams": 6.0, "note": ""}, {"ingredient_id": "onion", "name": "Yellow onion", "grams": 60.0, "note": ""}]</t>
        </is>
      </c>
      <c r="N1454" s="2" t="n">
        <v>255</v>
      </c>
      <c r="O1454" s="5" t="n">
        <v>25.6</v>
      </c>
      <c r="P1454" s="5" t="n">
        <v>13.9</v>
      </c>
      <c r="Q1454" s="5" t="n">
        <v>6.9</v>
      </c>
      <c r="R1454" s="5" t="n">
        <v>1.9</v>
      </c>
      <c r="S1454" s="5" t="n">
        <v>5</v>
      </c>
      <c r="T1454" s="2" t="n">
        <v>29</v>
      </c>
      <c r="U1454" s="2" t="inlineStr">
        <is>
          <t>low</t>
        </is>
      </c>
      <c r="V1454" s="5" t="n">
        <v>1.5</v>
      </c>
      <c r="W1454" s="2" t="inlineStr">
        <is>
          <t>low</t>
        </is>
      </c>
      <c r="X1454" s="3" t="inlineStr"/>
      <c r="Y1454" s="3" t="inlineStr">
        <is>
          <t>70% of this dish's available carbohydrate comes from ingredients with a published, measured GI; the rest uses conventional placeholders (see Ingredients sheet)</t>
        </is>
      </c>
      <c r="Z1454" s="2" t="n">
        <v>70</v>
      </c>
      <c r="AA1454" s="3" t="inlineStr">
        <is>
          <t>gluten-free, nut-free, low-carb, high-protein, slow-cooker</t>
        </is>
      </c>
      <c r="AB1454" s="3" t="inlineStr">
        <is>
          <t>1. Mix the turkey with egg, parmesan, onion, garlic and seasoning and shape meatballs.
2. Cook in the marinara on low 4 hours.</t>
        </is>
      </c>
      <c r="AC1454" s="4" t="inlineStr">
        <is>
          <t>["Mix the turkey with egg, parmesan, onion, garlic and seasoning and shape meatballs.", "Cook in the marinara on low 4 hours."]</t>
        </is>
      </c>
    </row>
    <row r="1455" ht="96" customHeight="1">
      <c r="A1455" s="2" t="inlineStr">
        <is>
          <t>DB-1454</t>
        </is>
      </c>
      <c r="B1455" s="3" t="inlineStr">
        <is>
          <t>Air Fryer Chicken Thighs with Smoked Paprika</t>
        </is>
      </c>
      <c r="C1455" s="4" t="inlineStr">
        <is>
          <t>Poultry</t>
        </is>
      </c>
      <c r="D1455" s="4" t="inlineStr">
        <is>
          <t>American</t>
        </is>
      </c>
      <c r="E1455" s="2" t="n">
        <v>4</v>
      </c>
      <c r="F1455" s="2" t="n">
        <v>5</v>
      </c>
      <c r="G1455" s="2" t="n">
        <v>22</v>
      </c>
      <c r="H1455" s="2" t="n">
        <v>27</v>
      </c>
      <c r="I1455" s="4" t="inlineStr">
        <is>
          <t>air-fryer-chicken-thighs-with-smoked-paprika.jpg</t>
        </is>
      </c>
      <c r="J1455" s="3" t="inlineStr">
        <is>
          <t>Air Fryer Chicken Thighs with Smoked Paprika, healthy food photography, plated, natural light</t>
        </is>
      </c>
      <c r="K1455" s="4" t="inlineStr"/>
      <c r="L1455" s="3" t="inlineStr">
        <is>
          <t>Chicken thigh, skinless boneless — 700 g (24.7 oz)
Smoked paprika — 5 g (0.2 oz)
Garlic powder — 3 g (0.1 oz)
Extra-virgin olive oil — 15 g (0.5 oz)
Salt — 3 g (0.1 oz)
Green beans — 300 g (10.6 oz)</t>
        </is>
      </c>
      <c r="M1455" s="4" t="inlineStr">
        <is>
          <t>[{"ingredient_id": "chicken_thigh", "name": "Chicken thigh, skinless boneless", "grams": 700.0, "note": ""}, {"ingredient_id": "smoked_paprika", "name": "Smoked paprika", "grams": 5.0, "note": ""}, {"ingredient_id": "garlic_powder", "name": "Garlic powder", "grams": 3.0, "note": ""}, {"ingredient_id": "olive_oil", "name": "Extra-virgin olive oil", "grams": 15.0, "note": ""}, {"ingredient_id": "salt", "name": "Salt", "grams": 3.0, "note": ""}, {"ingredient_id": "green_beans", "name": "Green beans", "grams": 300.0, "note": ""}]</t>
        </is>
      </c>
      <c r="N1455" s="2" t="n">
        <v>274</v>
      </c>
      <c r="O1455" s="5" t="n">
        <v>36.1</v>
      </c>
      <c r="P1455" s="5" t="n">
        <v>11.2</v>
      </c>
      <c r="Q1455" s="5" t="n">
        <v>6.5</v>
      </c>
      <c r="R1455" s="5" t="n">
        <v>2.5</v>
      </c>
      <c r="S1455" s="5" t="n">
        <v>3.9</v>
      </c>
      <c r="T1455" s="2" t="n">
        <v>15</v>
      </c>
      <c r="U1455" s="2" t="inlineStr">
        <is>
          <t>low</t>
        </is>
      </c>
      <c r="V1455" s="5" t="n">
        <v>0.6</v>
      </c>
      <c r="W1455" s="2" t="inlineStr">
        <is>
          <t>low</t>
        </is>
      </c>
      <c r="X1455" s="3" t="inlineStr">
        <is>
          <t>Negligible carbohydrate (&lt;5 g net/serving): GI has little practical meaning, glycemic load is what matters.</t>
        </is>
      </c>
      <c r="Y1455" s="3" t="inlineStr">
        <is>
          <t>0% of this dish's available carbohydrate comes from ingredients with a published, measured GI; the rest uses conventional placeholders (see Ingredients sheet)</t>
        </is>
      </c>
      <c r="Z1455" s="2" t="n">
        <v>0</v>
      </c>
      <c r="AA1455" s="3" t="inlineStr">
        <is>
          <t>gluten-free, dairy-free, nut-free, low-carb, high-protein</t>
        </is>
      </c>
      <c r="AB1455" s="3" t="inlineStr">
        <is>
          <t>1. Rub the chicken with oil and spices.
2. Air fry at 380°F for 20 minutes, turning once.
3. Serve with steamed green beans.</t>
        </is>
      </c>
      <c r="AC1455" s="4" t="inlineStr">
        <is>
          <t>["Rub the chicken with oil and spices.", "Air fry at 380°F for 20 minutes, turning once.", "Serve with steamed green beans."]</t>
        </is>
      </c>
    </row>
    <row r="1456" ht="96" customHeight="1">
      <c r="A1456" s="2" t="inlineStr">
        <is>
          <t>DB-1455</t>
        </is>
      </c>
      <c r="B1456" s="3" t="inlineStr">
        <is>
          <t>Air Fryer Salmon with Lemon and Dill</t>
        </is>
      </c>
      <c r="C1456" s="4" t="inlineStr">
        <is>
          <t>Seafood</t>
        </is>
      </c>
      <c r="D1456" s="4" t="inlineStr">
        <is>
          <t>American</t>
        </is>
      </c>
      <c r="E1456" s="2" t="n">
        <v>4</v>
      </c>
      <c r="F1456" s="2" t="n">
        <v>5</v>
      </c>
      <c r="G1456" s="2" t="n">
        <v>10</v>
      </c>
      <c r="H1456" s="2" t="n">
        <v>15</v>
      </c>
      <c r="I1456" s="4" t="inlineStr">
        <is>
          <t>air-fryer-salmon-with-lemon-and-dill.jpg</t>
        </is>
      </c>
      <c r="J1456" s="3" t="inlineStr">
        <is>
          <t>Air Fryer Salmon with Lemon and Dill, healthy food photography, plated, natural light</t>
        </is>
      </c>
      <c r="K1456" s="4" t="inlineStr"/>
      <c r="L1456" s="3" t="inlineStr">
        <is>
          <t>Salmon fillet — 560 g (19.8 oz)
Lemon (with juice &amp; zest) — 60 g (2.1 oz)
Fresh dill — 4 g (0.1 oz)
Extra-virgin olive oil — 15 g (0.5 oz)
Garlic powder — 2 g (0.1 oz)
Asparagus — 300 g (10.6 oz)</t>
        </is>
      </c>
      <c r="M1456" s="4" t="inlineStr">
        <is>
          <t>[{"ingredient_id": "salmon", "name": "Salmon fillet", "grams": 560.0, "note": ""}, {"ingredient_id": "lemon", "name": "Lemon (with juice &amp; zest)", "grams": 60.0, "note": ""}, {"ingredient_id": "dill", "name": "Fresh dill", "grams": 4.0, "note": ""}, {"ingredient_id": "olive_oil", "name": "Extra-virgin olive oil", "grams": 15.0, "note": ""}, {"ingredient_id": "garlic_powder", "name": "Garlic powder", "grams": 2.0, "note": ""}, {"ingredient_id": "asparagus", "name": "Asparagus", "grams": 300.0, "note": ""}]</t>
        </is>
      </c>
      <c r="N1456" s="2" t="n">
        <v>346</v>
      </c>
      <c r="O1456" s="5" t="n">
        <v>29.9</v>
      </c>
      <c r="P1456" s="5" t="n">
        <v>22.1</v>
      </c>
      <c r="Q1456" s="5" t="n">
        <v>4.8</v>
      </c>
      <c r="R1456" s="5" t="n">
        <v>2.1</v>
      </c>
      <c r="S1456" s="5" t="n">
        <v>2.7</v>
      </c>
      <c r="T1456" s="2" t="n">
        <v>17</v>
      </c>
      <c r="U1456" s="2" t="inlineStr">
        <is>
          <t>low</t>
        </is>
      </c>
      <c r="V1456" s="5" t="n">
        <v>0.5</v>
      </c>
      <c r="W1456" s="2" t="inlineStr">
        <is>
          <t>low</t>
        </is>
      </c>
      <c r="X1456" s="3" t="inlineStr">
        <is>
          <t>Negligible carbohydrate (&lt;5 g net/serving): GI has little practical meaning, glycemic load is what matters.</t>
        </is>
      </c>
      <c r="Y1456" s="3" t="inlineStr">
        <is>
          <t>0% of this dish's available carbohydrate comes from ingredients with a published, measured GI; the rest uses conventional placeholders (see Ingredients sheet)</t>
        </is>
      </c>
      <c r="Z1456" s="2" t="n">
        <v>0</v>
      </c>
      <c r="AA1456" s="3" t="inlineStr">
        <is>
          <t>pescatarian, gluten-free, dairy-free, nut-free, low-carb, high-protein</t>
        </is>
      </c>
      <c r="AB1456" s="3" t="inlineStr">
        <is>
          <t>1. Brush the salmon with oil and seasoning.
2. Air fry at 390°F for 8 to 10 minutes.
3. Serve with lemon, dill and roasted asparagus.</t>
        </is>
      </c>
      <c r="AC1456" s="4" t="inlineStr">
        <is>
          <t>["Brush the salmon with oil and seasoning.", "Air fry at 390°F for 8 to 10 minutes.", "Serve with lemon, dill and roasted asparagus."]</t>
        </is>
      </c>
    </row>
    <row r="1457" ht="96" customHeight="1">
      <c r="A1457" s="2" t="inlineStr">
        <is>
          <t>DB-1456</t>
        </is>
      </c>
      <c r="B1457" s="3" t="inlineStr">
        <is>
          <t>Air Fryer Cauliflower Wings</t>
        </is>
      </c>
      <c r="C1457" s="4" t="inlineStr">
        <is>
          <t>Snack &amp; Appetizer</t>
        </is>
      </c>
      <c r="D1457" s="4" t="inlineStr">
        <is>
          <t>American</t>
        </is>
      </c>
      <c r="E1457" s="2" t="n">
        <v>4</v>
      </c>
      <c r="F1457" s="2" t="n">
        <v>10</v>
      </c>
      <c r="G1457" s="2" t="n">
        <v>18</v>
      </c>
      <c r="H1457" s="2" t="n">
        <v>28</v>
      </c>
      <c r="I1457" s="4" t="inlineStr">
        <is>
          <t>air-fryer-cauliflower-wings.jpg</t>
        </is>
      </c>
      <c r="J1457" s="3" t="inlineStr">
        <is>
          <t>Air Fryer Cauliflower Wings, healthy food photography, plated, natural light</t>
        </is>
      </c>
      <c r="K1457" s="4" t="inlineStr"/>
      <c r="L1457" s="3" t="inlineStr">
        <is>
          <t>Cauliflower — 450 g (15.9 oz)
Hot sauce (Tabasco/Frank's) — 40 g (1.4 oz)
Extra-virgin olive oil — 15 g (0.5 oz)
Garlic powder — 3 g (0.1 oz)
Almond flour — 30 g (1.1 oz)
Greek yogurt, plain 2% — 100 g (3.5 oz)
Fresh dill — 3 g (0.1 oz)</t>
        </is>
      </c>
      <c r="M1457" s="4" t="inlineStr">
        <is>
          <t>[{"ingredient_id": "cauliflower", "name": "Cauliflower", "grams": 450.0, "note": ""}, {"ingredient_id": "hot_sauce", "name": "Hot sauce (Tabasco/Frank's)", "grams": 40.0, "note": ""}, {"ingredient_id": "olive_oil", "name": "Extra-virgin olive oil", "grams": 15.0, "note": ""}, {"ingredient_id": "garlic_powder", "name": "Garlic powder", "grams": 3.0, "note": ""}, {"ingredient_id": "almond_flour", "name": "Almond flour", "grams": 30.0, "note": ""}, {"ingredient_id": "greek_yogurt", "name": "Greek yogurt, plain 2%", "grams": 100.0, "note": ""}, {"ingredient_id": "dill", "name": "Fresh dill", "grams": 3.0, "note": ""}]</t>
        </is>
      </c>
      <c r="N1457" s="2" t="n">
        <v>128</v>
      </c>
      <c r="O1457" s="5" t="n">
        <v>6.4</v>
      </c>
      <c r="P1457" s="5" t="n">
        <v>8.4</v>
      </c>
      <c r="Q1457" s="5" t="n">
        <v>9</v>
      </c>
      <c r="R1457" s="5" t="n">
        <v>3.3</v>
      </c>
      <c r="S1457" s="5" t="n">
        <v>5.7</v>
      </c>
      <c r="T1457" s="2" t="n">
        <v>14</v>
      </c>
      <c r="U1457" s="2" t="inlineStr">
        <is>
          <t>low</t>
        </is>
      </c>
      <c r="V1457" s="5" t="n">
        <v>0.8</v>
      </c>
      <c r="W1457" s="2" t="inlineStr">
        <is>
          <t>low</t>
        </is>
      </c>
      <c r="X1457" s="3" t="inlineStr"/>
      <c r="Y1457" s="3" t="inlineStr">
        <is>
          <t>17% of this dish's available carbohydrate comes from ingredients with a published, measured GI; the rest uses conventional placeholders (see Ingredients sheet)</t>
        </is>
      </c>
      <c r="Z1457" s="2" t="n">
        <v>17</v>
      </c>
      <c r="AA1457" s="3" t="inlineStr">
        <is>
          <t>vegetarian, gluten-free, low-carb</t>
        </is>
      </c>
      <c r="AB1457" s="3" t="inlineStr">
        <is>
          <t>1. Toss the florets with oil, almond flour and garlic powder.
2. Air fry at 400°F for 15 minutes.
3. Toss with hot sauce and serve with a yogurt dill dip.</t>
        </is>
      </c>
      <c r="AC1457" s="4" t="inlineStr">
        <is>
          <t>["Toss the florets with oil, almond flour and garlic powder.", "Air fry at 400°F for 15 minutes.", "Toss with hot sauce and serve with a yogurt dill dip."]</t>
        </is>
      </c>
    </row>
    <row r="1458" ht="96" customHeight="1">
      <c r="A1458" s="2" t="inlineStr">
        <is>
          <t>DB-1457</t>
        </is>
      </c>
      <c r="B1458" s="3" t="inlineStr">
        <is>
          <t>Air Fryer Shrimp with Garlic and Lime</t>
        </is>
      </c>
      <c r="C1458" s="4" t="inlineStr">
        <is>
          <t>Seafood</t>
        </is>
      </c>
      <c r="D1458" s="4" t="inlineStr">
        <is>
          <t>American</t>
        </is>
      </c>
      <c r="E1458" s="2" t="n">
        <v>3</v>
      </c>
      <c r="F1458" s="2" t="n">
        <v>5</v>
      </c>
      <c r="G1458" s="2" t="n">
        <v>8</v>
      </c>
      <c r="H1458" s="2" t="n">
        <v>13</v>
      </c>
      <c r="I1458" s="4" t="inlineStr">
        <is>
          <t>air-fryer-shrimp-with-garlic-and-lime.jpg</t>
        </is>
      </c>
      <c r="J1458" s="3" t="inlineStr">
        <is>
          <t>Air Fryer Shrimp with Garlic and Lime, healthy food photography, plated, natural light</t>
        </is>
      </c>
      <c r="K1458" s="4" t="inlineStr"/>
      <c r="L1458" s="3" t="inlineStr">
        <is>
          <t>Shrimp, peeled — 450 g (15.9 oz)
Garlic — 8 g (0.3 oz)
Lime juice — 25 g (0.9 oz)
Extra-virgin olive oil — 15 g (0.5 oz)
Smoked paprika — 2 g (0.1 oz)
Salt — 2 g (0.1 oz)</t>
        </is>
      </c>
      <c r="M1458" s="4" t="inlineStr">
        <is>
          <t>[{"ingredient_id": "shrimp", "name": "Shrimp, peeled", "grams": 450.0, "note": ""}, {"ingredient_id": "garlic", "name": "Garlic", "grams": 8.0, "note": ""}, {"ingredient_id": "lime_juice", "name": "Lime juice", "grams": 25.0, "note": ""}, {"ingredient_id": "olive_oil", "name": "Extra-virgin olive oil", "grams": 15.0, "note": ""}, {"ingredient_id": "smoked_paprika", "name": "Smoked paprika", "grams": 2.0, "note": ""}, {"ingredient_id": "salt", "name": "Salt", "grams": 2.0, "note": ""}]</t>
        </is>
      </c>
      <c r="N1458" s="2" t="n">
        <v>180</v>
      </c>
      <c r="O1458" s="5" t="n">
        <v>30.3</v>
      </c>
      <c r="P1458" s="5" t="n">
        <v>5.9</v>
      </c>
      <c r="Q1458" s="5" t="n">
        <v>1.9</v>
      </c>
      <c r="R1458" s="5" t="n">
        <v>0.3</v>
      </c>
      <c r="S1458" s="5" t="n">
        <v>1.6</v>
      </c>
      <c r="T1458" s="2" t="n">
        <v>25</v>
      </c>
      <c r="U1458" s="2" t="inlineStr">
        <is>
          <t>low</t>
        </is>
      </c>
      <c r="V1458" s="5" t="n">
        <v>0.4</v>
      </c>
      <c r="W1458" s="2" t="inlineStr">
        <is>
          <t>low</t>
        </is>
      </c>
      <c r="X1458" s="3" t="inlineStr">
        <is>
          <t>Negligible carbohydrate (&lt;5 g net/serving): GI has little practical meaning, glycemic load is what matters.</t>
        </is>
      </c>
      <c r="Y1458" s="3" t="inlineStr">
        <is>
          <t>0% of this dish's available carbohydrate comes from ingredients with a published, measured GI; the rest uses conventional placeholders (see Ingredients sheet)</t>
        </is>
      </c>
      <c r="Z1458" s="2" t="n">
        <v>0</v>
      </c>
      <c r="AA1458" s="3" t="inlineStr">
        <is>
          <t>pescatarian, gluten-free, dairy-free, nut-free, low-carb, high-protein</t>
        </is>
      </c>
      <c r="AB1458" s="3" t="inlineStr">
        <is>
          <t>1. Toss the shrimp with oil, garlic, lime and spices.
2. Air fry at 400°F for 6 to 8 minutes.</t>
        </is>
      </c>
      <c r="AC1458" s="4" t="inlineStr">
        <is>
          <t>["Toss the shrimp with oil, garlic, lime and spices.", "Air fry at 400°F for 6 to 8 minutes."]</t>
        </is>
      </c>
    </row>
    <row r="1459" ht="96" customHeight="1">
      <c r="A1459" s="2" t="inlineStr">
        <is>
          <t>DB-1458</t>
        </is>
      </c>
      <c r="B1459" s="3" t="inlineStr">
        <is>
          <t>Air Fryer Turkey Meatballs</t>
        </is>
      </c>
      <c r="C1459" s="4" t="inlineStr">
        <is>
          <t>Snack &amp; Appetizer</t>
        </is>
      </c>
      <c r="D1459" s="4" t="inlineStr">
        <is>
          <t>Italian</t>
        </is>
      </c>
      <c r="E1459" s="2" t="n">
        <v>5</v>
      </c>
      <c r="F1459" s="2" t="n">
        <v>15</v>
      </c>
      <c r="G1459" s="2" t="n">
        <v>12</v>
      </c>
      <c r="H1459" s="2" t="n">
        <v>27</v>
      </c>
      <c r="I1459" s="4" t="inlineStr">
        <is>
          <t>air-fryer-turkey-meatballs.jpg</t>
        </is>
      </c>
      <c r="J1459" s="3" t="inlineStr">
        <is>
          <t>Air Fryer Turkey Meatballs, healthy food photography, plated, natural light</t>
        </is>
      </c>
      <c r="K1459" s="4" t="inlineStr"/>
      <c r="L1459" s="3" t="inlineStr">
        <is>
          <t>Ground turkey 93% lean — 500 g (17.6 oz)
Egg, large (50 g each) — 50 g (1.8 oz)
Parmesan, grated — 30 g (1.1 oz)
Italian seasoning — 3 g (0.1 oz)
Garlic — 6 g (0.2 oz)
Oat bran, dry — 25 g (0.9 oz)</t>
        </is>
      </c>
      <c r="M1459" s="4" t="inlineStr">
        <is>
          <t>[{"ingredient_id": "ground_turkey", "name": "Ground turkey 93% lean", "grams": 500.0, "note": ""}, {"ingredient_id": "egg", "name": "Egg, large (50 g each)", "grams": 50.0, "note": ""}, {"ingredient_id": "parmesan", "name": "Parmesan, grated", "grams": 30.0, "note": ""}, {"ingredient_id": "italian_seasoning", "name": "Italian seasoning", "grams": 3.0, "note": ""}, {"ingredient_id": "garlic", "name": "Garlic", "grams": 6.0, "note": ""}, {"ingredient_id": "oat_bran", "name": "Oat bran, dry", "grams": 25.0, "note": ""}]</t>
        </is>
      </c>
      <c r="N1459" s="2" t="n">
        <v>206</v>
      </c>
      <c r="O1459" s="5" t="n">
        <v>23.2</v>
      </c>
      <c r="P1459" s="5" t="n">
        <v>11.1</v>
      </c>
      <c r="Q1459" s="5" t="n">
        <v>4.4</v>
      </c>
      <c r="R1459" s="5" t="n">
        <v>1</v>
      </c>
      <c r="S1459" s="5" t="n">
        <v>3.4</v>
      </c>
      <c r="T1459" s="2" t="n">
        <v>45</v>
      </c>
      <c r="U1459" s="2" t="inlineStr">
        <is>
          <t>low</t>
        </is>
      </c>
      <c r="V1459" s="5" t="n">
        <v>1.5</v>
      </c>
      <c r="W1459" s="2" t="inlineStr">
        <is>
          <t>low</t>
        </is>
      </c>
      <c r="X1459" s="3" t="inlineStr">
        <is>
          <t>Negligible carbohydrate (&lt;5 g net/serving): GI has little practical meaning, glycemic load is what matters.</t>
        </is>
      </c>
      <c r="Y1459" s="3" t="inlineStr">
        <is>
          <t>75% of this dish's available carbohydrate comes from ingredients with a published, measured GI; the rest uses conventional placeholders (see Ingredients sheet)</t>
        </is>
      </c>
      <c r="Z1459" s="2" t="n">
        <v>75</v>
      </c>
      <c r="AA1459" s="3" t="inlineStr">
        <is>
          <t>nut-free, low-carb</t>
        </is>
      </c>
      <c r="AB1459" s="3" t="inlineStr">
        <is>
          <t>1. Mix everything and shape twenty meatballs.
2. Air fry at 380°F for 10 to 12 minutes.</t>
        </is>
      </c>
      <c r="AC1459" s="4" t="inlineStr">
        <is>
          <t>["Mix everything and shape twenty meatballs.", "Air fry at 380°F for 10 to 12 minutes."]</t>
        </is>
      </c>
    </row>
    <row r="1460" ht="96" customHeight="1">
      <c r="A1460" s="2" t="inlineStr">
        <is>
          <t>DB-1459</t>
        </is>
      </c>
      <c r="B1460" s="3" t="inlineStr">
        <is>
          <t>Air Fryer Brussels Sprouts with Bacon</t>
        </is>
      </c>
      <c r="C1460" s="4" t="inlineStr">
        <is>
          <t>Side Dish</t>
        </is>
      </c>
      <c r="D1460" s="4" t="inlineStr">
        <is>
          <t>American</t>
        </is>
      </c>
      <c r="E1460" s="2" t="n">
        <v>4</v>
      </c>
      <c r="F1460" s="2" t="n">
        <v>5</v>
      </c>
      <c r="G1460" s="2" t="n">
        <v>15</v>
      </c>
      <c r="H1460" s="2" t="n">
        <v>20</v>
      </c>
      <c r="I1460" s="4" t="inlineStr">
        <is>
          <t>air-fryer-brussels-sprouts-with-bacon.jpg</t>
        </is>
      </c>
      <c r="J1460" s="3" t="inlineStr">
        <is>
          <t>Air Fryer Brussels Sprouts with Bacon, healthy food photography, plated, natural light</t>
        </is>
      </c>
      <c r="K1460" s="4" t="inlineStr"/>
      <c r="L1460" s="3" t="inlineStr">
        <is>
          <t>Brussels sprouts — 450 g (15.9 oz)
Bacon — 40 g (1.4 oz)
Extra-virgin olive oil — 10 g (0.4 oz)
Balsamic vinegar — 10 g (0.4 oz)</t>
        </is>
      </c>
      <c r="M1460" s="4" t="inlineStr">
        <is>
          <t>[{"ingredient_id": "brussels_sprouts", "name": "Brussels sprouts", "grams": 450.0, "note": ""}, {"ingredient_id": "bacon", "name": "Bacon", "grams": 40.0, "note": ""}, {"ingredient_id": "olive_oil", "name": "Extra-virgin olive oil", "grams": 10.0, "note": ""}, {"ingredient_id": "balsamic_vinegar", "name": "Balsamic vinegar", "grams": 10.0, "note": ""}]</t>
        </is>
      </c>
      <c r="N1460" s="2" t="n">
        <v>127</v>
      </c>
      <c r="O1460" s="5" t="n">
        <v>7.5</v>
      </c>
      <c r="P1460" s="5" t="n">
        <v>7</v>
      </c>
      <c r="Q1460" s="5" t="n">
        <v>10.7</v>
      </c>
      <c r="R1460" s="5" t="n">
        <v>4.3</v>
      </c>
      <c r="S1460" s="5" t="n">
        <v>6.4</v>
      </c>
      <c r="T1460" s="2" t="n">
        <v>16</v>
      </c>
      <c r="U1460" s="2" t="inlineStr">
        <is>
          <t>low</t>
        </is>
      </c>
      <c r="V1460" s="5" t="n">
        <v>1</v>
      </c>
      <c r="W1460" s="2" t="inlineStr">
        <is>
          <t>low</t>
        </is>
      </c>
      <c r="X1460" s="3" t="inlineStr"/>
      <c r="Y1460" s="3" t="inlineStr">
        <is>
          <t>0% of this dish's available carbohydrate comes from ingredients with a published, measured GI; the rest uses conventional placeholders (see Ingredients sheet)</t>
        </is>
      </c>
      <c r="Z1460" s="2" t="n">
        <v>0</v>
      </c>
      <c r="AA1460" s="3" t="inlineStr">
        <is>
          <t>gluten-free, dairy-free, nut-free, low-carb</t>
        </is>
      </c>
      <c r="AB1460" s="3" t="inlineStr">
        <is>
          <t>1. Toss the halved sprouts with oil and chopped bacon.
2. Air fry at 380°F for 12 to 15 minutes and finish with balsamic.</t>
        </is>
      </c>
      <c r="AC1460" s="4" t="inlineStr">
        <is>
          <t>["Toss the halved sprouts with oil and chopped bacon.", "Air fry at 380°F for 12 to 15 minutes and finish with balsamic."]</t>
        </is>
      </c>
    </row>
    <row r="1461" ht="96" customHeight="1">
      <c r="A1461" s="2" t="inlineStr">
        <is>
          <t>DB-1460</t>
        </is>
      </c>
      <c r="B1461" s="3" t="inlineStr">
        <is>
          <t>Roast Beef and Horseradish Wrap</t>
        </is>
      </c>
      <c r="C1461" s="4" t="inlineStr">
        <is>
          <t>Sandwiches &amp; Wraps</t>
        </is>
      </c>
      <c r="D1461" s="4" t="inlineStr">
        <is>
          <t>American</t>
        </is>
      </c>
      <c r="E1461" s="2" t="n">
        <v>2</v>
      </c>
      <c r="F1461" s="2" t="n">
        <v>5</v>
      </c>
      <c r="G1461" s="2" t="n">
        <v>0</v>
      </c>
      <c r="H1461" s="2" t="n">
        <v>5</v>
      </c>
      <c r="I1461" s="4" t="inlineStr">
        <is>
          <t>roast-beef-and-horseradish-wrap.jpg</t>
        </is>
      </c>
      <c r="J1461" s="3" t="inlineStr">
        <is>
          <t>Roast Beef and Horseradish Wrap, healthy food photography, plated, natural light</t>
        </is>
      </c>
      <c r="K1461" s="4" t="inlineStr"/>
      <c r="L1461" s="3" t="inlineStr">
        <is>
          <t>Flour tortilla, 8-inch — 80 g (2.8 oz)
Beef sirloin, trimmed — 150 g (5.3 oz)
Romaine lettuce — 40 g (1.4 oz)
Tomato — 80 g (2.8 oz)
Greek yogurt, plain 2% — 40 g (1.4 oz)
Dijon mustard — 10 g (0.4 oz)</t>
        </is>
      </c>
      <c r="M1461" s="4" t="inlineStr">
        <is>
          <t>[{"ingredient_id": "flour_tortilla", "name": "Flour tortilla, 8-inch", "grams": 80.0, "note": ""}, {"ingredient_id": "beef_sirloin", "name": "Beef sirloin, trimmed", "grams": 150.0, "note": ""}, {"ingredient_id": "romaine", "name": "Romaine lettuce", "grams": 40.0, "note": ""}, {"ingredient_id": "tomato", "name": "Tomato", "grams": 80.0, "note": ""}, {"ingredient_id": "greek_yogurt", "name": "Greek yogurt, plain 2%", "grams": 40.0, "note": ""}, {"ingredient_id": "dijon", "name": "Dijon mustard", "grams": 10.0, "note": ""}]</t>
        </is>
      </c>
      <c r="N1461" s="2" t="n">
        <v>248</v>
      </c>
      <c r="O1461" s="5" t="n">
        <v>22.6</v>
      </c>
      <c r="P1461" s="5" t="n">
        <v>7.3</v>
      </c>
      <c r="Q1461" s="5" t="n">
        <v>23</v>
      </c>
      <c r="R1461" s="5" t="n">
        <v>2.5</v>
      </c>
      <c r="S1461" s="5" t="n">
        <v>20.6</v>
      </c>
      <c r="T1461" s="2" t="n">
        <v>32</v>
      </c>
      <c r="U1461" s="2" t="inlineStr">
        <is>
          <t>low</t>
        </is>
      </c>
      <c r="V1461" s="5" t="n">
        <v>6.6</v>
      </c>
      <c r="W1461" s="2" t="inlineStr">
        <is>
          <t>low</t>
        </is>
      </c>
      <c r="X1461" s="3" t="inlineStr"/>
      <c r="Y1461" s="3" t="inlineStr">
        <is>
          <t>93% of this dish's available carbohydrate comes from ingredients with a published, measured GI; the rest uses conventional placeholders (see Ingredients sheet)</t>
        </is>
      </c>
      <c r="Z1461" s="2" t="n">
        <v>93</v>
      </c>
      <c r="AA1461" s="3" t="inlineStr">
        <is>
          <t>nut-free, no-cook</t>
        </is>
      </c>
      <c r="AB1461" s="3" t="inlineStr">
        <is>
          <t>1. Spread the tortillas with yogurt mixed with mustard.
2. Layer sliced roast beef, lettuce and tomato and roll.</t>
        </is>
      </c>
      <c r="AC1461" s="4" t="inlineStr">
        <is>
          <t>["Spread the tortillas with yogurt mixed with mustard.", "Layer sliced roast beef, lettuce and tomato and roll."]</t>
        </is>
      </c>
    </row>
    <row r="1462" ht="96" customHeight="1">
      <c r="A1462" s="2" t="inlineStr">
        <is>
          <t>DB-1461</t>
        </is>
      </c>
      <c r="B1462" s="3" t="inlineStr">
        <is>
          <t>Turkey Avocado Ranch Wrap</t>
        </is>
      </c>
      <c r="C1462" s="4" t="inlineStr">
        <is>
          <t>Sandwiches &amp; Wraps</t>
        </is>
      </c>
      <c r="D1462" s="4" t="inlineStr">
        <is>
          <t>American</t>
        </is>
      </c>
      <c r="E1462" s="2" t="n">
        <v>2</v>
      </c>
      <c r="F1462" s="2" t="n">
        <v>5</v>
      </c>
      <c r="G1462" s="2" t="n">
        <v>0</v>
      </c>
      <c r="H1462" s="2" t="n">
        <v>5</v>
      </c>
      <c r="I1462" s="4" t="inlineStr">
        <is>
          <t>turkey-avocado-ranch-wrap.jpg</t>
        </is>
      </c>
      <c r="J1462" s="3" t="inlineStr">
        <is>
          <t>Turkey Avocado Ranch Wrap, healthy food photography, plated, natural light</t>
        </is>
      </c>
      <c r="K1462" s="4" t="inlineStr"/>
      <c r="L1462" s="3" t="inlineStr">
        <is>
          <t>Flour tortilla, 8-inch — 80 g (2.8 oz)
Deli turkey breast, low sodium — 120 g (4.2 oz)
Avocado — 80 g (2.8 oz)
Romaine lettuce — 40 g (1.4 oz)
Tomato — 60 g (2.1 oz)
Greek yogurt, plain 2% — 40 g (1.4 oz)
Ranch seasoning (dry) — 3 g (0.1 oz)</t>
        </is>
      </c>
      <c r="M1462" s="4" t="inlineStr">
        <is>
          <t>[{"ingredient_id": "flour_tortilla", "name": "Flour tortilla, 8-inch", "grams": 80.0, "note": ""}, {"ingredient_id": "deli_turkey", "name": "Deli turkey breast, low sodium", "grams": 120.0, "note": ""}, {"ingredient_id": "avocado", "name": "Avocado", "grams": 80.0, "note": ""}, {"ingredient_id": "romaine", "name": "Romaine lettuce", "grams": 40.0, "note": ""}, {"ingredient_id": "tomato", "name": "Tomato", "grams": 60.0, "note": ""}, {"ingredient_id": "greek_yogurt", "name": "Greek yogurt, plain 2%", "grams": 40.0, "note": ""}, {"ingredient_id": "ranch_seasoning", "name": "Ranch seasoning (dry)", "grams": 3.0, "note": ""}]</t>
        </is>
      </c>
      <c r="N1462" s="2" t="n">
        <v>277</v>
      </c>
      <c r="O1462" s="5" t="n">
        <v>16.9</v>
      </c>
      <c r="P1462" s="5" t="n">
        <v>10.7</v>
      </c>
      <c r="Q1462" s="5" t="n">
        <v>29</v>
      </c>
      <c r="R1462" s="5" t="n">
        <v>5.2</v>
      </c>
      <c r="S1462" s="5" t="n">
        <v>23.8</v>
      </c>
      <c r="T1462" s="2" t="n">
        <v>28</v>
      </c>
      <c r="U1462" s="2" t="inlineStr">
        <is>
          <t>low</t>
        </is>
      </c>
      <c r="V1462" s="5" t="n">
        <v>6.7</v>
      </c>
      <c r="W1462" s="2" t="inlineStr">
        <is>
          <t>low</t>
        </is>
      </c>
      <c r="X1462" s="3" t="inlineStr"/>
      <c r="Y1462" s="3" t="inlineStr">
        <is>
          <t>81% of this dish's available carbohydrate comes from ingredients with a published, measured GI; the rest uses conventional placeholders (see Ingredients sheet)</t>
        </is>
      </c>
      <c r="Z1462" s="2" t="n">
        <v>81</v>
      </c>
      <c r="AA1462" s="3" t="inlineStr">
        <is>
          <t>nut-free, no-cook</t>
        </is>
      </c>
      <c r="AB1462" s="3" t="inlineStr">
        <is>
          <t>1. Stir the yogurt with the ranch seasoning.
2. Fill the tortillas with turkey, avocado, lettuce and tomato.
3. Roll and halve.</t>
        </is>
      </c>
      <c r="AC1462" s="4" t="inlineStr">
        <is>
          <t>["Stir the yogurt with the ranch seasoning.", "Fill the tortillas with turkey, avocado, lettuce and tomato.", "Roll and halve."]</t>
        </is>
      </c>
    </row>
    <row r="1463" ht="96" customHeight="1">
      <c r="A1463" s="2" t="inlineStr">
        <is>
          <t>DB-1462</t>
        </is>
      </c>
      <c r="B1463" s="3" t="inlineStr">
        <is>
          <t>Grilled Chicken Pesto Panini</t>
        </is>
      </c>
      <c r="C1463" s="4" t="inlineStr">
        <is>
          <t>Sandwiches &amp; Wraps</t>
        </is>
      </c>
      <c r="D1463" s="4" t="inlineStr">
        <is>
          <t>Italian</t>
        </is>
      </c>
      <c r="E1463" s="2" t="n">
        <v>2</v>
      </c>
      <c r="F1463" s="2" t="n">
        <v>10</v>
      </c>
      <c r="G1463" s="2" t="n">
        <v>8</v>
      </c>
      <c r="H1463" s="2" t="n">
        <v>18</v>
      </c>
      <c r="I1463" s="4" t="inlineStr">
        <is>
          <t>grilled-chicken-pesto-panini.jpg</t>
        </is>
      </c>
      <c r="J1463" s="3" t="inlineStr">
        <is>
          <t>Grilled Chicken Pesto Panini, healthy food photography, plated, natural light</t>
        </is>
      </c>
      <c r="K1463" s="4" t="inlineStr"/>
      <c r="L1463" s="3" t="inlineStr">
        <is>
          <t>White bread — 100 g (3.5 oz)
Chicken breast, skinless — 200 g (7.1 oz)
Basil pesto — 30 g (1.1 oz)
Mozzarella, part-skim — 50 g (1.8 oz)
Tomato — 80 g (2.8 oz)
Extra-virgin olive oil — 5 g (0.2 oz)</t>
        </is>
      </c>
      <c r="M1463" s="4" t="inlineStr">
        <is>
          <t>[{"ingredient_id": "white_bread", "name": "White bread", "grams": 100.0, "note": ""}, {"ingredient_id": "chicken_breast", "name": "Chicken breast, skinless", "grams": 200.0, "note": ""}, {"ingredient_id": "pesto", "name": "Basil pesto", "grams": 30.0, "note": ""}, {"ingredient_id": "mozzarella", "name": "Mozzarella, part-skim", "grams": 50.0, "note": ""}, {"ingredient_id": "tomato", "name": "Tomato", "grams": 80.0, "note": ""}, {"ingredient_id": "olive_oil", "name": "Extra-virgin olive oil", "grams": 5.0, "note": ""}]</t>
        </is>
      </c>
      <c r="N1463" s="2" t="n">
        <v>406</v>
      </c>
      <c r="O1463" s="5" t="n">
        <v>34.3</v>
      </c>
      <c r="P1463" s="5" t="n">
        <v>17</v>
      </c>
      <c r="Q1463" s="5" t="n">
        <v>27.8</v>
      </c>
      <c r="R1463" s="5" t="n">
        <v>1.9</v>
      </c>
      <c r="S1463" s="5" t="n">
        <v>25.9</v>
      </c>
      <c r="T1463" s="2" t="n">
        <v>66</v>
      </c>
      <c r="U1463" s="2" t="inlineStr">
        <is>
          <t>medium</t>
        </is>
      </c>
      <c r="V1463" s="5" t="n">
        <v>17.1</v>
      </c>
      <c r="W1463" s="2" t="inlineStr">
        <is>
          <t>medium</t>
        </is>
      </c>
      <c r="X1463" s="3" t="inlineStr">
        <is>
          <t>Medium-GI dish: keep to the stated portion and pair with the protein/fat in the recipe; GL per serving is the better guide.</t>
        </is>
      </c>
      <c r="Y1463" s="3" t="inlineStr">
        <is>
          <t>91% of this dish's available carbohydrate comes from ingredients with a published, measured GI; the rest uses conventional placeholders (see Ingredients sheet)</t>
        </is>
      </c>
      <c r="Z1463" s="2" t="n">
        <v>91</v>
      </c>
      <c r="AA1463" s="3" t="inlineStr">
        <is>
          <t>high-protein</t>
        </is>
      </c>
      <c r="AB1463" s="3" t="inlineStr">
        <is>
          <t>1. Grill and slice the chicken.
2. Layer on the bread with pesto, mozzarella and tomato.
3. Press in a hot pan until golden on both sides.</t>
        </is>
      </c>
      <c r="AC1463" s="4" t="inlineStr">
        <is>
          <t>["Grill and slice the chicken.", "Layer on the bread with pesto, mozzarella and tomato.", "Press in a hot pan until golden on both sides."]</t>
        </is>
      </c>
    </row>
    <row r="1464" ht="96" customHeight="1">
      <c r="A1464" s="2" t="inlineStr">
        <is>
          <t>DB-1463</t>
        </is>
      </c>
      <c r="B1464" s="3" t="inlineStr">
        <is>
          <t>Caprese Sandwich on Ezekiel Bread</t>
        </is>
      </c>
      <c r="C1464" s="4" t="inlineStr">
        <is>
          <t>Sandwiches &amp; Wraps</t>
        </is>
      </c>
      <c r="D1464" s="4" t="inlineStr">
        <is>
          <t>Italian</t>
        </is>
      </c>
      <c r="E1464" s="2" t="n">
        <v>2</v>
      </c>
      <c r="F1464" s="2" t="n">
        <v>5</v>
      </c>
      <c r="G1464" s="2" t="n">
        <v>0</v>
      </c>
      <c r="H1464" s="2" t="n">
        <v>5</v>
      </c>
      <c r="I1464" s="4" t="inlineStr">
        <is>
          <t>caprese-sandwich-on-ezekiel-bread.jpg</t>
        </is>
      </c>
      <c r="J1464" s="3" t="inlineStr">
        <is>
          <t>Caprese Sandwich on Ezekiel Bread, healthy food photography, plated, natural light</t>
        </is>
      </c>
      <c r="K1464" s="4" t="inlineStr"/>
      <c r="L1464" s="3" t="inlineStr">
        <is>
          <t>Sprouted grain bread (Ezekiel-style) — 100 g (3.5 oz)
Mozzarella, part-skim — 80 g (2.8 oz)
Tomato — 150 g (5.3 oz)
Fresh basil — 8 g (0.3 oz)
Balsamic vinegar — 10 g (0.4 oz)
Extra-virgin olive oil — 10 g (0.4 oz)</t>
        </is>
      </c>
      <c r="M1464" s="4" t="inlineStr">
        <is>
          <t>[{"ingredient_id": "ezekiel_bread", "name": "Sprouted grain bread (Ezekiel-style)", "grams": 100.0, "note": ""}, {"ingredient_id": "mozzarella", "name": "Mozzarella, part-skim", "grams": 80.0, "note": ""}, {"ingredient_id": "tomato", "name": "Tomato", "grams": 150.0, "note": ""}, {"ingredient_id": "basil", "name": "Fresh basil", "grams": 8.0, "note": ""}, {"ingredient_id": "balsamic_vinegar", "name": "Balsamic vinegar", "grams": 10.0, "note": ""}, {"ingredient_id": "olive_oil", "name": "Extra-virgin olive oil", "grams": 10.0, "note": ""}]</t>
        </is>
      </c>
      <c r="N1464" s="2" t="n">
        <v>282</v>
      </c>
      <c r="O1464" s="5" t="n">
        <v>16.4</v>
      </c>
      <c r="P1464" s="5" t="n">
        <v>12.3</v>
      </c>
      <c r="Q1464" s="5" t="n">
        <v>27.1</v>
      </c>
      <c r="R1464" s="5" t="n">
        <v>5.5</v>
      </c>
      <c r="S1464" s="5" t="n">
        <v>21.6</v>
      </c>
      <c r="T1464" s="2" t="n">
        <v>53</v>
      </c>
      <c r="U1464" s="2" t="inlineStr">
        <is>
          <t>low</t>
        </is>
      </c>
      <c r="V1464" s="5" t="n">
        <v>11.5</v>
      </c>
      <c r="W1464" s="2" t="inlineStr">
        <is>
          <t>medium</t>
        </is>
      </c>
      <c r="X1464" s="3" t="inlineStr"/>
      <c r="Y1464" s="3" t="inlineStr">
        <is>
          <t>81% of this dish's available carbohydrate comes from ingredients with a published, measured GI; the rest uses conventional placeholders (see Ingredients sheet)</t>
        </is>
      </c>
      <c r="Z1464" s="2" t="n">
        <v>81</v>
      </c>
      <c r="AA1464" s="3" t="inlineStr">
        <is>
          <t>vegetarian, gluten-free, nut-free, no-cook</t>
        </is>
      </c>
      <c r="AB1464" s="3" t="inlineStr">
        <is>
          <t>1. Toast the bread.
2. Layer mozzarella, tomato and basil and drizzle with oil and balsamic.</t>
        </is>
      </c>
      <c r="AC1464" s="4" t="inlineStr">
        <is>
          <t>["Toast the bread.", "Layer mozzarella, tomato and basil and drizzle with oil and balsamic."]</t>
        </is>
      </c>
    </row>
    <row r="1465" ht="96" customHeight="1">
      <c r="A1465" s="2" t="inlineStr">
        <is>
          <t>DB-1464</t>
        </is>
      </c>
      <c r="B1465" s="3" t="inlineStr">
        <is>
          <t>Hummus and Roasted Vegetable Sandwich</t>
        </is>
      </c>
      <c r="C1465" s="4" t="inlineStr">
        <is>
          <t>Sandwiches &amp; Wraps</t>
        </is>
      </c>
      <c r="D1465" s="4" t="inlineStr">
        <is>
          <t>American</t>
        </is>
      </c>
      <c r="E1465" s="2" t="n">
        <v>2</v>
      </c>
      <c r="F1465" s="2" t="n">
        <v>10</v>
      </c>
      <c r="G1465" s="2" t="n">
        <v>15</v>
      </c>
      <c r="H1465" s="2" t="n">
        <v>25</v>
      </c>
      <c r="I1465" s="4" t="inlineStr">
        <is>
          <t>hummus-and-roasted-vegetable-sandwich.jpg</t>
        </is>
      </c>
      <c r="J1465" s="3" t="inlineStr">
        <is>
          <t>Hummus and Roasted Vegetable Sandwich, healthy food photography, plated, natural light</t>
        </is>
      </c>
      <c r="K1465" s="4" t="inlineStr"/>
      <c r="L1465" s="3" t="inlineStr">
        <is>
          <t>Whole wheat bread (100% whole wheat) — 100 g (3.5 oz)
Hummus — 80 g (2.8 oz)
Zucchini — 150 g (5.3 oz)
Bell pepper — 100 g (3.5 oz)
Red onion — 40 g (1.4 oz)
Extra-virgin olive oil — 10 g (0.4 oz)
Arugula — 20 g (0.7 oz)</t>
        </is>
      </c>
      <c r="M1465" s="4" t="inlineStr">
        <is>
          <t>[{"ingredient_id": "whole_grain_bread", "name": "Whole wheat bread (100% whole wheat)", "grams": 100.0, "note": ""}, {"ingredient_id": "hummus", "name": "Hummus", "grams": 80.0, "note": ""}, {"ingredient_id": "zucchini", "name": "Zucchini", "grams": 150.0, "note": ""}, {"ingredient_id": "bell_pepper", "name": "Bell pepper", "grams": 100.0, "note": ""}, {"ingredient_id": "red_onion", "name": "Red onion", "grams": 40.0, "note": ""}, {"ingredient_id": "olive_oil", "name": "Extra-virgin olive oil", "grams": 10.0, "note": ""}, {"ingredient_id": "arugula", "name": "Arugula", "grams": 20.0, "note": ""}]</t>
        </is>
      </c>
      <c r="N1465" s="2" t="n">
        <v>274</v>
      </c>
      <c r="O1465" s="5" t="n">
        <v>11.1</v>
      </c>
      <c r="P1465" s="5" t="n">
        <v>11.1</v>
      </c>
      <c r="Q1465" s="5" t="n">
        <v>34.7</v>
      </c>
      <c r="R1465" s="5" t="n">
        <v>8</v>
      </c>
      <c r="S1465" s="5" t="n">
        <v>26.7</v>
      </c>
      <c r="T1465" s="2" t="n">
        <v>53</v>
      </c>
      <c r="U1465" s="2" t="inlineStr">
        <is>
          <t>low</t>
        </is>
      </c>
      <c r="V1465" s="5" t="n">
        <v>14.2</v>
      </c>
      <c r="W1465" s="2" t="inlineStr">
        <is>
          <t>medium</t>
        </is>
      </c>
      <c r="X1465" s="3" t="inlineStr"/>
      <c r="Y1465" s="3" t="inlineStr">
        <is>
          <t>80% of this dish's available carbohydrate comes from ingredients with a published, measured GI; the rest uses conventional placeholders (see Ingredients sheet)</t>
        </is>
      </c>
      <c r="Z1465" s="2" t="n">
        <v>80</v>
      </c>
      <c r="AA1465" s="3" t="inlineStr">
        <is>
          <t>vegan, dairy-free, nut-free, high-fiber</t>
        </is>
      </c>
      <c r="AB1465" s="3" t="inlineStr">
        <is>
          <t>1. Roast the sliced vegetables in oil at 425°F for 15 minutes.
2. Spread the bread with hummus and pile on the vegetables and arugula.</t>
        </is>
      </c>
      <c r="AC1465" s="4" t="inlineStr">
        <is>
          <t>["Roast the sliced vegetables in oil at 425°F for 15 minutes.", "Spread the bread with hummus and pile on the vegetables and arugula."]</t>
        </is>
      </c>
    </row>
    <row r="1466" ht="96" customHeight="1">
      <c r="A1466" s="2" t="inlineStr">
        <is>
          <t>DB-1465</t>
        </is>
      </c>
      <c r="B1466" s="3" t="inlineStr">
        <is>
          <t>Egg and Avocado Breakfast Sandwich on English Muffin</t>
        </is>
      </c>
      <c r="C1466" s="4" t="inlineStr">
        <is>
          <t>Sandwiches &amp; Wraps</t>
        </is>
      </c>
      <c r="D1466" s="4" t="inlineStr">
        <is>
          <t>American</t>
        </is>
      </c>
      <c r="E1466" s="2" t="n">
        <v>2</v>
      </c>
      <c r="F1466" s="2" t="n">
        <v>5</v>
      </c>
      <c r="G1466" s="2" t="n">
        <v>6</v>
      </c>
      <c r="H1466" s="2" t="n">
        <v>11</v>
      </c>
      <c r="I1466" s="4" t="inlineStr">
        <is>
          <t>egg-and-avocado-breakfast-sandwich-on-english-muffin.jpg</t>
        </is>
      </c>
      <c r="J1466" s="3" t="inlineStr">
        <is>
          <t>Egg and Avocado Breakfast Sandwich on English Muffin, healthy food photography, plated, natural light</t>
        </is>
      </c>
      <c r="K1466" s="4" t="inlineStr"/>
      <c r="L1466" s="3" t="inlineStr">
        <is>
          <t>Whole wheat English muffin — 114 g (4.0 oz)
Egg, large (50 g each) — 100 g (3.5 oz)
Avocado — 80 g (2.8 oz)
Tomato — 60 g (2.1 oz)
Spinach — 20 g (0.7 oz)
Black pepper — 1 g (0.0 oz)</t>
        </is>
      </c>
      <c r="M1466" s="4" t="inlineStr">
        <is>
          <t>[{"ingredient_id": "whole_wheat_english_muffin", "name": "Whole wheat English muffin", "grams": 114.0, "note": ""}, {"ingredient_id": "egg", "name": "Egg, large (50 g each)", "grams": 100.0, "note": ""}, {"ingredient_id": "avocado", "name": "Avocado", "grams": 80.0, "note": ""}, {"ingredient_id": "tomato", "name": "Tomato", "grams": 60.0, "note": ""}, {"ingredient_id": "spinach", "name": "Spinach", "grams": 20.0, "note": ""}, {"ingredient_id": "black_pepper", "name": "Black pepper", "grams": 1.0, "note": ""}]</t>
        </is>
      </c>
      <c r="N1466" s="2" t="n">
        <v>270</v>
      </c>
      <c r="O1466" s="5" t="n">
        <v>12.8</v>
      </c>
      <c r="P1466" s="5" t="n">
        <v>12</v>
      </c>
      <c r="Q1466" s="5" t="n">
        <v>31.2</v>
      </c>
      <c r="R1466" s="5" t="n">
        <v>7.4</v>
      </c>
      <c r="S1466" s="5" t="n">
        <v>23.9</v>
      </c>
      <c r="T1466" s="2" t="n">
        <v>42</v>
      </c>
      <c r="U1466" s="2" t="inlineStr">
        <is>
          <t>low</t>
        </is>
      </c>
      <c r="V1466" s="5" t="n">
        <v>10</v>
      </c>
      <c r="W1466" s="2" t="inlineStr">
        <is>
          <t>low</t>
        </is>
      </c>
      <c r="X1466" s="3" t="inlineStr"/>
      <c r="Y1466" s="3" t="inlineStr">
        <is>
          <t>91% of this dish's available carbohydrate comes from ingredients with a published, measured GI; the rest uses conventional placeholders (see Ingredients sheet)</t>
        </is>
      </c>
      <c r="Z1466" s="2" t="n">
        <v>91</v>
      </c>
      <c r="AA1466" s="3" t="inlineStr">
        <is>
          <t>vegetarian, dairy-free, nut-free, high-fiber</t>
        </is>
      </c>
      <c r="AB1466" s="3" t="inlineStr">
        <is>
          <t>1. Toast the muffins and fry the eggs.
2. Layer avocado, spinach, tomato and egg.</t>
        </is>
      </c>
      <c r="AC1466" s="4" t="inlineStr">
        <is>
          <t>["Toast the muffins and fry the eggs.", "Layer avocado, spinach, tomato and egg."]</t>
        </is>
      </c>
    </row>
    <row r="1467" ht="96" customHeight="1">
      <c r="A1467" s="2" t="inlineStr">
        <is>
          <t>DB-1466</t>
        </is>
      </c>
      <c r="B1467" s="3" t="inlineStr">
        <is>
          <t>Tuna Salad Stuffed Avocado</t>
        </is>
      </c>
      <c r="C1467" s="4" t="inlineStr">
        <is>
          <t>Salad</t>
        </is>
      </c>
      <c r="D1467" s="4" t="inlineStr">
        <is>
          <t>American</t>
        </is>
      </c>
      <c r="E1467" s="2" t="n">
        <v>2</v>
      </c>
      <c r="F1467" s="2" t="n">
        <v>10</v>
      </c>
      <c r="G1467" s="2" t="n">
        <v>0</v>
      </c>
      <c r="H1467" s="2" t="n">
        <v>10</v>
      </c>
      <c r="I1467" s="4" t="inlineStr">
        <is>
          <t>tuna-salad-stuffed-avocado.jpg</t>
        </is>
      </c>
      <c r="J1467" s="3" t="inlineStr">
        <is>
          <t>Tuna Salad Stuffed Avocado, healthy food photography, plated, natural light</t>
        </is>
      </c>
      <c r="K1467" s="4" t="inlineStr"/>
      <c r="L1467" s="3" t="inlineStr">
        <is>
          <t>Tuna, canned in water — 180 g (6.3 oz)
Avocado — 250 g (8.8 oz)
Celery — 30 g (1.1 oz)
Greek yogurt, plain 2% — 50 g (1.8 oz)
Dijon mustard — 8 g (0.3 oz)
Lemon juice — 15 g (0.5 oz)
Fresh chives — 4 g (0.1 oz)</t>
        </is>
      </c>
      <c r="M1467" s="4" t="inlineStr">
        <is>
          <t>[{"ingredient_id": "tuna_canned", "name": "Tuna, canned in water", "grams": 180.0, "note": ""}, {"ingredient_id": "avocado", "name": "Avocado", "grams": 250.0, "note": ""}, {"ingredient_id": "celery", "name": "Celery", "grams": 30.0, "note": ""}, {"ingredient_id": "greek_yogurt", "name": "Greek yogurt, plain 2%", "grams": 50.0, "note": ""}, {"ingredient_id": "dijon", "name": "Dijon mustard", "grams": 8.0, "note": ""}, {"ingredient_id": "lemon_juice", "name": "Lemon juice", "grams": 15.0, "note": ""}, {"ingredient_id": "chives", "name": "Fresh chives", "grams": 4.0, "note": ""}]</t>
        </is>
      </c>
      <c r="N1467" s="2" t="n">
        <v>330</v>
      </c>
      <c r="O1467" s="5" t="n">
        <v>28.8</v>
      </c>
      <c r="P1467" s="5" t="n">
        <v>20.3</v>
      </c>
      <c r="Q1467" s="5" t="n">
        <v>12.9</v>
      </c>
      <c r="R1467" s="5" t="n">
        <v>8.800000000000001</v>
      </c>
      <c r="S1467" s="5" t="n">
        <v>4.1</v>
      </c>
      <c r="T1467" s="2" t="n">
        <v>15</v>
      </c>
      <c r="U1467" s="2" t="inlineStr">
        <is>
          <t>low</t>
        </is>
      </c>
      <c r="V1467" s="5" t="n">
        <v>0.6</v>
      </c>
      <c r="W1467" s="2" t="inlineStr">
        <is>
          <t>low</t>
        </is>
      </c>
      <c r="X1467" s="3" t="inlineStr">
        <is>
          <t>Negligible carbohydrate (&lt;5 g net/serving): GI has little practical meaning, glycemic load is what matters.</t>
        </is>
      </c>
      <c r="Y1467" s="3" t="inlineStr">
        <is>
          <t>25% of this dish's available carbohydrate comes from ingredients with a published, measured GI; the rest uses conventional placeholders (see Ingredients sheet)</t>
        </is>
      </c>
      <c r="Z1467" s="2" t="n">
        <v>25</v>
      </c>
      <c r="AA1467" s="3" t="inlineStr">
        <is>
          <t>pescatarian, gluten-free, nut-free, low-carb, high-protein, high-fiber, no-cook</t>
        </is>
      </c>
      <c r="AB1467" s="3" t="inlineStr">
        <is>
          <t>1. Mix the tuna with celery, yogurt, mustard, lemon and chives.
2. Fill the halved avocados.</t>
        </is>
      </c>
      <c r="AC1467" s="4" t="inlineStr">
        <is>
          <t>["Mix the tuna with celery, yogurt, mustard, lemon and chives.", "Fill the halved avocados."]</t>
        </is>
      </c>
    </row>
    <row r="1468" ht="96" customHeight="1">
      <c r="A1468" s="2" t="inlineStr">
        <is>
          <t>DB-1467</t>
        </is>
      </c>
      <c r="B1468" s="3" t="inlineStr">
        <is>
          <t>Chicken Caesar Salad with Yogurt Dressing</t>
        </is>
      </c>
      <c r="C1468" s="4" t="inlineStr">
        <is>
          <t>Salad</t>
        </is>
      </c>
      <c r="D1468" s="4" t="inlineStr">
        <is>
          <t>American</t>
        </is>
      </c>
      <c r="E1468" s="2" t="n">
        <v>3</v>
      </c>
      <c r="F1468" s="2" t="n">
        <v>10</v>
      </c>
      <c r="G1468" s="2" t="n">
        <v>10</v>
      </c>
      <c r="H1468" s="2" t="n">
        <v>20</v>
      </c>
      <c r="I1468" s="4" t="inlineStr">
        <is>
          <t>chicken-caesar-salad-with-yogurt-dressing.jpg</t>
        </is>
      </c>
      <c r="J1468" s="3" t="inlineStr">
        <is>
          <t>Chicken Caesar Salad with Yogurt Dressing, healthy food photography, plated, natural light</t>
        </is>
      </c>
      <c r="K1468" s="4" t="inlineStr"/>
      <c r="L1468" s="3" t="inlineStr">
        <is>
          <t>Chicken breast, skinless — 360 g (12.7 oz)
Romaine lettuce — 250 g (8.8 oz)
Parmesan, grated — 40 g (1.4 oz)
Greek yogurt, plain 2% — 80 g (2.8 oz)
Lemon juice — 25 g (0.9 oz)
Garlic — 4 g (0.1 oz)
Dijon mustard — 8 g (0.3 oz)
Extra-virgin olive oil — 15 g (0.5 oz)
Anchovies, canned — 8 g (0.3 oz)</t>
        </is>
      </c>
      <c r="M1468" s="4" t="inlineStr">
        <is>
          <t>[{"ingredient_id": "chicken_breast", "name": "Chicken breast, skinless", "grams": 360.0, "note": ""}, {"ingredient_id": "romaine", "name": "Romaine lettuce", "grams": 250.0,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15.0, "note": ""}, {"ingredient_id": "anchovies", "name": "Anchovies, canned", "grams": 8.0, "note": ""}]</t>
        </is>
      </c>
      <c r="N1468" s="2" t="n">
        <v>290</v>
      </c>
      <c r="O1468" s="5" t="n">
        <v>36.7</v>
      </c>
      <c r="P1468" s="5" t="n">
        <v>13.1</v>
      </c>
      <c r="Q1468" s="5" t="n">
        <v>5.5</v>
      </c>
      <c r="R1468" s="5" t="n">
        <v>1.9</v>
      </c>
      <c r="S1468" s="5" t="n">
        <v>3.6</v>
      </c>
      <c r="T1468" s="2" t="n">
        <v>14</v>
      </c>
      <c r="U1468" s="2" t="inlineStr">
        <is>
          <t>low</t>
        </is>
      </c>
      <c r="V1468" s="5" t="n">
        <v>0.5</v>
      </c>
      <c r="W1468" s="2" t="inlineStr">
        <is>
          <t>low</t>
        </is>
      </c>
      <c r="X1468" s="3" t="inlineStr">
        <is>
          <t>Negligible carbohydrate (&lt;5 g net/serving): GI has little practical meaning, glycemic load is what matters.</t>
        </is>
      </c>
      <c r="Y1468" s="3" t="inlineStr">
        <is>
          <t>30% of this dish's available carbohydrate comes from ingredients with a published, measured GI; the rest uses conventional placeholders (see Ingredients sheet)</t>
        </is>
      </c>
      <c r="Z1468" s="2" t="n">
        <v>30</v>
      </c>
      <c r="AA1468" s="3" t="inlineStr">
        <is>
          <t>gluten-free, nut-free, low-carb, high-protein</t>
        </is>
      </c>
      <c r="AB1468" s="3" t="inlineStr">
        <is>
          <t>1. Grill and slice the chicken.
2. Blend the yogurt, lemon, garlic, mustard, oil and anchovy into a dressing.
3. Toss with the romaine and top with chicken and parmesan.</t>
        </is>
      </c>
      <c r="AC1468" s="4" t="inlineStr">
        <is>
          <t>["Grill and slice the chicken.", "Blend the yogurt, lemon, garlic, mustard, oil and anchovy into a dressing.", "Toss with the romaine and top with chicken and parmesan."]</t>
        </is>
      </c>
    </row>
    <row r="1469" ht="96" customHeight="1">
      <c r="A1469" s="2" t="inlineStr">
        <is>
          <t>DB-1468</t>
        </is>
      </c>
      <c r="B1469" s="3" t="inlineStr">
        <is>
          <t>Greek Chicken Salad with Tzatziki</t>
        </is>
      </c>
      <c r="C1469" s="4" t="inlineStr">
        <is>
          <t>Salad</t>
        </is>
      </c>
      <c r="D1469" s="4" t="inlineStr">
        <is>
          <t>Greek</t>
        </is>
      </c>
      <c r="E1469" s="2" t="n">
        <v>3</v>
      </c>
      <c r="F1469" s="2" t="n">
        <v>15</v>
      </c>
      <c r="G1469" s="2" t="n">
        <v>10</v>
      </c>
      <c r="H1469" s="2" t="n">
        <v>25</v>
      </c>
      <c r="I1469" s="4" t="inlineStr">
        <is>
          <t>greek-chicken-salad-with-tzatziki.jpg</t>
        </is>
      </c>
      <c r="J1469" s="3" t="inlineStr">
        <is>
          <t>Greek Chicken Salad with Tzatziki, healthy food photography, plated, natural light</t>
        </is>
      </c>
      <c r="K1469" s="4" t="inlineStr"/>
      <c r="L1469" s="3" t="inlineStr">
        <is>
          <t>Chicken breast, skinless — 360 g (12.7 oz)
Romaine lettuce — 200 g (7.1 oz)
Cucumber — 150 g (5.3 oz)
Tomato — 150 g (5.3 oz)
Red onion — 40 g (1.4 oz)
Olives (kalamata/green) — 40 g (1.4 oz)
Feta cheese — 50 g (1.8 oz)
Greek yogurt, plain 2% — 100 g (3.5 oz)
Lemon juice — 20 g (0.7 oz)
Garlic — 4 g (0.1 oz)</t>
        </is>
      </c>
      <c r="M1469" s="4" t="inlineStr">
        <is>
          <t>[{"ingredient_id": "chicken_breast", "name": "Chicken breast, skinless", "grams": 360.0, "note": ""}, {"ingredient_id": "romaine", "name": "Romaine lettuce", "grams": 200.0, "note": ""}, {"ingredient_id": "cucumber", "name": "Cucumber", "grams": 150.0, "note": ""}, {"ingredient_id": "tomato", "name": "Tomato", "grams": 150.0, "note": ""}, {"ingredient_id": "red_onion", "name": "Red onion", "grams": 40.0, "note": ""}, {"ingredient_id": "olives", "name": "Olives (kalamata/green)", "grams": 40.0, "note": ""}, {"ingredient_id": "feta", "name": "Feta cheese", "grams": 50.0, "note": ""}, {"ingredient_id": "greek_yogurt", "name": "Greek yogurt, plain 2%", "grams": 100.0, "note": ""}, {"ingredient_id": "lemon_juice", "name": "Lemon juice", "grams": 20.0, "note": ""}, {"ingredient_id": "garlic", "name": "Garlic", "grams": 4.0, "note": ""}]</t>
        </is>
      </c>
      <c r="N1469" s="2" t="n">
        <v>264</v>
      </c>
      <c r="O1469" s="5" t="n">
        <v>34.6</v>
      </c>
      <c r="P1469" s="5" t="n">
        <v>9.1</v>
      </c>
      <c r="Q1469" s="5" t="n">
        <v>10.9</v>
      </c>
      <c r="R1469" s="5" t="n">
        <v>3</v>
      </c>
      <c r="S1469" s="5" t="n">
        <v>7.9</v>
      </c>
      <c r="T1469" s="2" t="n">
        <v>14</v>
      </c>
      <c r="U1469" s="2" t="inlineStr">
        <is>
          <t>low</t>
        </is>
      </c>
      <c r="V1469" s="5" t="n">
        <v>1.1</v>
      </c>
      <c r="W1469" s="2" t="inlineStr">
        <is>
          <t>low</t>
        </is>
      </c>
      <c r="X1469" s="3" t="inlineStr"/>
      <c r="Y1469" s="3" t="inlineStr">
        <is>
          <t>17% of this dish's available carbohydrate comes from ingredients with a published, measured GI; the rest uses conventional placeholders (see Ingredients sheet)</t>
        </is>
      </c>
      <c r="Z1469" s="2" t="n">
        <v>17</v>
      </c>
      <c r="AA1469" s="3" t="inlineStr">
        <is>
          <t>gluten-free, nut-free, low-carb, high-protein</t>
        </is>
      </c>
      <c r="AB1469" s="3" t="inlineStr">
        <is>
          <t>1. Grill and slice the chicken.
2. Arrange the vegetables, olives and feta.
3. Mix the yogurt, lemon and garlic into a tzatziki and spoon on top.</t>
        </is>
      </c>
      <c r="AC1469" s="4" t="inlineStr">
        <is>
          <t>["Grill and slice the chicken.", "Arrange the vegetables, olives and feta.", "Mix the yogurt, lemon and garlic into a tzatziki and spoon on top."]</t>
        </is>
      </c>
    </row>
    <row r="1470" ht="96" customHeight="1">
      <c r="A1470" s="2" t="inlineStr">
        <is>
          <t>DB-1469</t>
        </is>
      </c>
      <c r="B1470" s="3" t="inlineStr">
        <is>
          <t>Asian Chicken Salad with Sesame Dressing</t>
        </is>
      </c>
      <c r="C1470" s="4" t="inlineStr">
        <is>
          <t>Salad</t>
        </is>
      </c>
      <c r="D1470" s="4" t="inlineStr">
        <is>
          <t>Asian</t>
        </is>
      </c>
      <c r="E1470" s="2" t="n">
        <v>3</v>
      </c>
      <c r="F1470" s="2" t="n">
        <v>15</v>
      </c>
      <c r="G1470" s="2" t="n">
        <v>0</v>
      </c>
      <c r="H1470" s="2" t="n">
        <v>15</v>
      </c>
      <c r="I1470" s="4" t="inlineStr">
        <is>
          <t>asian-chicken-salad-with-sesame-dressing.jpg</t>
        </is>
      </c>
      <c r="J1470" s="3" t="inlineStr">
        <is>
          <t>Asian Chicken Salad with Sesame Dressing, healthy food photography, plated, natural light</t>
        </is>
      </c>
      <c r="K1470" s="4" t="inlineStr"/>
      <c r="L1470" s="3" t="inlineStr">
        <is>
          <t>Rotisserie chicken, skin removed — 300 g (10.6 oz)
Napa cabbage — 200 g (7.1 oz)
Carrot — 80 g (2.8 oz)
Edamame, shelled, cooked — 100 g (3.5 oz)
Green onions (scallions) — 30 g (1.1 oz)
Rice vinegar, unseasoned — 20 g (0.7 oz)
Soy sauce, low sodium — 20 g (0.7 oz)
Toasted sesame oil — 10 g (0.4 oz)
Peanut butter, natural — 15 g (0.5 oz)
Fresh ginger — 5 g (0.2 oz)</t>
        </is>
      </c>
      <c r="M1470" s="4" t="inlineStr">
        <is>
          <t>[{"ingredient_id": "rotisserie_chicken", "name": "Rotisserie chicken, skin removed", "grams": 300.0, "note": ""}, {"ingredient_id": "napa_cabbage", "name": "Napa cabbage", "grams": 200.0, "note": ""}, {"ingredient_id": "carrot", "name": "Carrot", "grams": 80.0, "note": ""}, {"ingredient_id": "edamame", "name": "Edamame, shelled, cooked", "grams": 100.0, "note": ""}, {"ingredient_id": "green_onion", "name": "Green onions (scallions)", "grams": 30.0, "note": ""}, {"ingredient_id": "rice_vinegar", "name": "Rice vinegar, unseasoned", "grams": 20.0, "note": ""}, {"ingredient_id": "soy_sauce", "name": "Soy sauce, low sodium", "grams": 20.0, "note": ""}, {"ingredient_id": "sesame_oil", "name": "Toasted sesame oil", "grams": 10.0, "note": ""}, {"ingredient_id": "peanut_butter", "name": "Peanut butter, natural", "grams": 15.0, "note": ""}, {"ingredient_id": "ginger", "name": "Fresh ginger", "grams": 5.0, "note": ""}]</t>
        </is>
      </c>
      <c r="N1470" s="2" t="n">
        <v>290</v>
      </c>
      <c r="O1470" s="5" t="n">
        <v>30</v>
      </c>
      <c r="P1470" s="5" t="n">
        <v>14.7</v>
      </c>
      <c r="Q1470" s="5" t="n">
        <v>10.1</v>
      </c>
      <c r="R1470" s="5" t="n">
        <v>3.9</v>
      </c>
      <c r="S1470" s="5" t="n">
        <v>6.2</v>
      </c>
      <c r="T1470" s="2" t="n">
        <v>23</v>
      </c>
      <c r="U1470" s="2" t="inlineStr">
        <is>
          <t>low</t>
        </is>
      </c>
      <c r="V1470" s="5" t="n">
        <v>1.4</v>
      </c>
      <c r="W1470" s="2" t="inlineStr">
        <is>
          <t>low</t>
        </is>
      </c>
      <c r="X1470" s="3" t="inlineStr"/>
      <c r="Y1470" s="3" t="inlineStr">
        <is>
          <t>29% of this dish's available carbohydrate comes from ingredients with a published, measured GI; the rest uses conventional placeholders (see Ingredients sheet)</t>
        </is>
      </c>
      <c r="Z1470" s="2" t="n">
        <v>29</v>
      </c>
      <c r="AA1470" s="3" t="inlineStr">
        <is>
          <t>dairy-free, low-carb, high-protein, no-cook</t>
        </is>
      </c>
      <c r="AB1470" s="3" t="inlineStr">
        <is>
          <t>1. Shred the chicken and combine with cabbage, carrot, edamame and green onion.
2. Whisk the vinegar, soy sauce, sesame oil, peanut butter and ginger and toss through.</t>
        </is>
      </c>
      <c r="AC1470" s="4" t="inlineStr">
        <is>
          <t>["Shred the chicken and combine with cabbage, carrot, edamame and green onion.", "Whisk the vinegar, soy sauce, sesame oil, peanut butter and ginger and toss through."]</t>
        </is>
      </c>
    </row>
    <row r="1471" ht="96" customHeight="1">
      <c r="A1471" s="2" t="inlineStr">
        <is>
          <t>DB-1470</t>
        </is>
      </c>
      <c r="B1471" s="3" t="inlineStr">
        <is>
          <t>Spinach Strawberry Salad with Pecans</t>
        </is>
      </c>
      <c r="C1471" s="4" t="inlineStr">
        <is>
          <t>Salad</t>
        </is>
      </c>
      <c r="D1471" s="4" t="inlineStr">
        <is>
          <t>American</t>
        </is>
      </c>
      <c r="E1471" s="2" t="n">
        <v>4</v>
      </c>
      <c r="F1471" s="2" t="n">
        <v>10</v>
      </c>
      <c r="G1471" s="2" t="n">
        <v>0</v>
      </c>
      <c r="H1471" s="2" t="n">
        <v>10</v>
      </c>
      <c r="I1471" s="4" t="inlineStr">
        <is>
          <t>spinach-strawberry-salad-with-pecans.jpg</t>
        </is>
      </c>
      <c r="J1471" s="3" t="inlineStr">
        <is>
          <t>Spinach Strawberry Salad with Pecans, healthy food photography, plated, natural light</t>
        </is>
      </c>
      <c r="K1471" s="4" t="inlineStr"/>
      <c r="L1471" s="3" t="inlineStr">
        <is>
          <t>Spinach — 150 g (5.3 oz)
Strawberries — 200 g (7.1 oz)
Pecans — 30 g (1.1 oz)
Goat cheese — 40 g (1.4 oz)
Red onion — 30 g (1.1 oz)
Balsamic vinegar — 15 g (0.5 oz)
Extra-virgin olive oil — 20 g (0.7 oz)</t>
        </is>
      </c>
      <c r="M1471" s="4" t="inlineStr">
        <is>
          <t>[{"ingredient_id": "spinach", "name": "Spinach", "grams": 150.0, "note": ""}, {"ingredient_id": "strawberries", "name": "Strawberries", "grams": 200.0, "note": ""}, {"ingredient_id": "pecans", "name": "Pecans", "grams": 30.0, "note": ""}, {"ingredient_id": "goat_cheese", "name": "Goat cheese", "grams": 40.0, "note": ""}, {"ingredient_id": "red_onion", "name": "Red onion", "grams": 30.0, "note": ""}, {"ingredient_id": "balsamic_vinegar", "name": "Balsamic vinegar", "grams": 15.0, "note": ""}, {"ingredient_id": "olive_oil", "name": "Extra-virgin olive oil", "grams": 20.0, "note": ""}]</t>
        </is>
      </c>
      <c r="N1471" s="2" t="n">
        <v>163</v>
      </c>
      <c r="O1471" s="5" t="n">
        <v>4.4</v>
      </c>
      <c r="P1471" s="5" t="n">
        <v>13.7</v>
      </c>
      <c r="Q1471" s="5" t="n">
        <v>7.6</v>
      </c>
      <c r="R1471" s="5" t="n">
        <v>2.7</v>
      </c>
      <c r="S1471" s="5" t="n">
        <v>4.9</v>
      </c>
      <c r="T1471" s="2" t="n">
        <v>32</v>
      </c>
      <c r="U1471" s="2" t="inlineStr">
        <is>
          <t>low</t>
        </is>
      </c>
      <c r="V1471" s="5" t="n">
        <v>1.6</v>
      </c>
      <c r="W1471" s="2" t="inlineStr">
        <is>
          <t>low</t>
        </is>
      </c>
      <c r="X1471" s="3" t="inlineStr">
        <is>
          <t>Negligible carbohydrate (&lt;5 g net/serving): GI has little practical meaning, glycemic load is what matters.</t>
        </is>
      </c>
      <c r="Y1471" s="3" t="inlineStr">
        <is>
          <t>58% of this dish's available carbohydrate comes from ingredients with a published, measured GI; the rest uses conventional placeholders (see Ingredients sheet)</t>
        </is>
      </c>
      <c r="Z1471" s="2" t="n">
        <v>58</v>
      </c>
      <c r="AA1471" s="3" t="inlineStr">
        <is>
          <t>vegetarian, gluten-free, low-carb, no-cook</t>
        </is>
      </c>
      <c r="AB1471" s="3" t="inlineStr">
        <is>
          <t>1. Toss the spinach with strawberries, onion and pecans.
2. Dress with balsamic and oil and top with goat cheese.</t>
        </is>
      </c>
      <c r="AC1471" s="4" t="inlineStr">
        <is>
          <t>["Toss the spinach with strawberries, onion and pecans.", "Dress with balsamic and oil and top with goat cheese."]</t>
        </is>
      </c>
    </row>
    <row r="1472" ht="96" customHeight="1">
      <c r="A1472" s="2" t="inlineStr">
        <is>
          <t>DB-1471</t>
        </is>
      </c>
      <c r="B1472" s="3" t="inlineStr">
        <is>
          <t>Kale Caesar with Chickpea Croutons</t>
        </is>
      </c>
      <c r="C1472" s="4" t="inlineStr">
        <is>
          <t>Salad</t>
        </is>
      </c>
      <c r="D1472" s="4" t="inlineStr">
        <is>
          <t>American</t>
        </is>
      </c>
      <c r="E1472" s="2" t="n">
        <v>4</v>
      </c>
      <c r="F1472" s="2" t="n">
        <v>15</v>
      </c>
      <c r="G1472" s="2" t="n">
        <v>20</v>
      </c>
      <c r="H1472" s="2" t="n">
        <v>35</v>
      </c>
      <c r="I1472" s="4" t="inlineStr">
        <is>
          <t>kale-caesar-with-chickpea-croutons.jpg</t>
        </is>
      </c>
      <c r="J1472" s="3" t="inlineStr">
        <is>
          <t>Kale Caesar with Chickpea Croutons, healthy food photography, plated, natural light</t>
        </is>
      </c>
      <c r="K1472" s="4" t="inlineStr"/>
      <c r="L1472" s="3" t="inlineStr">
        <is>
          <t>Kale — 200 g (7.1 oz)
Chickpeas, cooked — 200 g (7.1 oz)
Parmesan, grated — 40 g (1.4 oz)
Greek yogurt, plain 2% — 80 g (2.8 oz)
Lemon juice — 25 g (0.9 oz)
Garlic — 4 g (0.1 oz)
Dijon mustard — 8 g (0.3 oz)
Extra-virgin olive oil — 20 g (0.7 oz)</t>
        </is>
      </c>
      <c r="M1472" s="4" t="inlineStr">
        <is>
          <t>[{"ingredient_id": "kale", "name": "Kale", "grams": 200.0, "note": ""}, {"ingredient_id": "chickpeas", "name": "Chickpeas, cooked", "grams": 200.0,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20.0, "note": ""}]</t>
        </is>
      </c>
      <c r="N1472" s="2" t="n">
        <v>213</v>
      </c>
      <c r="O1472" s="5" t="n">
        <v>12.6</v>
      </c>
      <c r="P1472" s="5" t="n">
        <v>10.1</v>
      </c>
      <c r="Q1472" s="5" t="n">
        <v>20</v>
      </c>
      <c r="R1472" s="5" t="n">
        <v>5.7</v>
      </c>
      <c r="S1472" s="5" t="n">
        <v>14.3</v>
      </c>
      <c r="T1472" s="2" t="n">
        <v>30</v>
      </c>
      <c r="U1472" s="2" t="inlineStr">
        <is>
          <t>low</t>
        </is>
      </c>
      <c r="V1472" s="5" t="n">
        <v>4.3</v>
      </c>
      <c r="W1472" s="2" t="inlineStr">
        <is>
          <t>low</t>
        </is>
      </c>
      <c r="X1472" s="3" t="inlineStr"/>
      <c r="Y1472" s="3" t="inlineStr">
        <is>
          <t>74% of this dish's available carbohydrate comes from ingredients with a published, measured GI; the rest uses conventional placeholders (see Ingredients sheet)</t>
        </is>
      </c>
      <c r="Z1472" s="2" t="n">
        <v>74</v>
      </c>
      <c r="AA1472" s="3" t="inlineStr">
        <is>
          <t>vegetarian, gluten-free, nut-free, low-carb</t>
        </is>
      </c>
      <c r="AB1472" s="3" t="inlineStr">
        <is>
          <t>1. Roast the chickpeas with a little oil at 425°F for 20 minutes.
2. Massage the kale with the yogurt, lemon, garlic, mustard and oil.
3. Top with parmesan and the chickpeas.</t>
        </is>
      </c>
      <c r="AC1472" s="4" t="inlineStr">
        <is>
          <t>["Roast the chickpeas with a little oil at 425°F for 20 minutes.", "Massage the kale with the yogurt, lemon, garlic, mustard and oil.", "Top with parmesan and the chickpeas."]</t>
        </is>
      </c>
    </row>
    <row r="1473" ht="96" customHeight="1">
      <c r="A1473" s="2" t="inlineStr">
        <is>
          <t>DB-1472</t>
        </is>
      </c>
      <c r="B1473" s="3" t="inlineStr">
        <is>
          <t>Roasted Sweet Potato and Black Bean Salad</t>
        </is>
      </c>
      <c r="C1473" s="4" t="inlineStr">
        <is>
          <t>Salad</t>
        </is>
      </c>
      <c r="D1473" s="4" t="inlineStr">
        <is>
          <t>Tex-Mex</t>
        </is>
      </c>
      <c r="E1473" s="2" t="n">
        <v>4</v>
      </c>
      <c r="F1473" s="2" t="n">
        <v>15</v>
      </c>
      <c r="G1473" s="2" t="n">
        <v>25</v>
      </c>
      <c r="H1473" s="2" t="n">
        <v>40</v>
      </c>
      <c r="I1473" s="4" t="inlineStr">
        <is>
          <t>roasted-sweet-potato-and-black-bean-salad.jpg</t>
        </is>
      </c>
      <c r="J1473" s="3" t="inlineStr">
        <is>
          <t>Roasted Sweet Potato and Black Bean Salad, healthy food photography, plated, natural light</t>
        </is>
      </c>
      <c r="K1473" s="4" t="inlineStr"/>
      <c r="L1473" s="3" t="inlineStr">
        <is>
          <t>Sweet potato, baked/roasted — 400 g (14.1 oz)
Black beans, cooked — 200 g (7.1 oz)
Arugula — 80 g (2.8 oz)
Red onion — 40 g (1.4 oz)
Lime juice — 25 g (0.9 oz)
Ground cumin — 2 g (0.1 oz)
Extra-virgin olive oil — 20 g (0.7 oz)
Fresh cilantro — 6 g (0.2 oz)</t>
        </is>
      </c>
      <c r="M1473" s="4" t="inlineStr">
        <is>
          <t>[{"ingredient_id": "sweet_potato_roasted", "name": "Sweet potato, baked/roasted", "grams": 400.0, "note": ""}, {"ingredient_id": "black_beans", "name": "Black beans, cooked", "grams": 200.0, "note": ""}, {"ingredient_id": "arugula", "name": "Arugula", "grams": 80.0, "note": ""}, {"ingredient_id": "red_onion", "name": "Red onion", "grams": 40.0, "note": ""}, {"ingredient_id": "lime_juice", "name": "Lime juice", "grams": 25.0, "note": ""}, {"ingredient_id": "cumin", "name": "Ground cumin", "grams": 2.0, "note": ""}, {"ingredient_id": "olive_oil", "name": "Extra-virgin olive oil", "grams": 20.0, "note": ""}, {"ingredient_id": "cilantro", "name": "Fresh cilantro", "grams": 6.0, "note": ""}]</t>
        </is>
      </c>
      <c r="N1473" s="2" t="n">
        <v>209</v>
      </c>
      <c r="O1473" s="5" t="n">
        <v>6.8</v>
      </c>
      <c r="P1473" s="5" t="n">
        <v>5.6</v>
      </c>
      <c r="Q1473" s="5" t="n">
        <v>34.3</v>
      </c>
      <c r="R1473" s="5" t="n">
        <v>8</v>
      </c>
      <c r="S1473" s="5" t="n">
        <v>26.4</v>
      </c>
      <c r="T1473" s="2" t="n">
        <v>65</v>
      </c>
      <c r="U1473" s="2" t="inlineStr">
        <is>
          <t>medium</t>
        </is>
      </c>
      <c r="V1473" s="5" t="n">
        <v>17.1</v>
      </c>
      <c r="W1473" s="2" t="inlineStr">
        <is>
          <t>medium</t>
        </is>
      </c>
      <c r="X1473" s="3" t="inlineStr">
        <is>
          <t>Medium-GI dish: keep to the stated portion and pair with the protein/fat in the recipe; GL per serving is the better guide.</t>
        </is>
      </c>
      <c r="Y1473" s="3" t="inlineStr">
        <is>
          <t>93% of this dish's available carbohydrate comes from ingredients with a published, measured GI; the rest uses conventional placeholders (see Ingredients sheet)</t>
        </is>
      </c>
      <c r="Z1473" s="2" t="n">
        <v>93</v>
      </c>
      <c r="AA1473" s="3" t="inlineStr">
        <is>
          <t>vegan, gluten-free, dairy-free, nut-free, high-fiber</t>
        </is>
      </c>
      <c r="AB1473" s="3" t="inlineStr">
        <is>
          <t>1. Toss the sweet potato with oil and cumin and roast at 425°F for 25 minutes.
2. Combine with beans, arugula and onion.
3. Dress with lime and cilantro.</t>
        </is>
      </c>
      <c r="AC1473" s="4" t="inlineStr">
        <is>
          <t>["Toss the sweet potato with oil and cumin and roast at 425°F for 25 minutes.", "Combine with beans, arugula and onion.", "Dress with lime and cilantro."]</t>
        </is>
      </c>
    </row>
    <row r="1474" ht="96" customHeight="1">
      <c r="A1474" s="2" t="inlineStr">
        <is>
          <t>DB-1473</t>
        </is>
      </c>
      <c r="B1474" s="3" t="inlineStr">
        <is>
          <t>Cucumber Dill Chicken Salad Cups</t>
        </is>
      </c>
      <c r="C1474" s="4" t="inlineStr">
        <is>
          <t>Salad</t>
        </is>
      </c>
      <c r="D1474" s="4" t="inlineStr">
        <is>
          <t>American</t>
        </is>
      </c>
      <c r="E1474" s="2" t="n">
        <v>4</v>
      </c>
      <c r="F1474" s="2" t="n">
        <v>10</v>
      </c>
      <c r="G1474" s="2" t="n">
        <v>0</v>
      </c>
      <c r="H1474" s="2" t="n">
        <v>10</v>
      </c>
      <c r="I1474" s="4" t="inlineStr">
        <is>
          <t>cucumber-dill-chicken-salad-cups.jpg</t>
        </is>
      </c>
      <c r="J1474" s="3" t="inlineStr">
        <is>
          <t>Cucumber Dill Chicken Salad Cups, healthy food photography, plated, natural light</t>
        </is>
      </c>
      <c r="K1474" s="4" t="inlineStr"/>
      <c r="L1474" s="3" t="inlineStr">
        <is>
          <t>Rotisserie chicken, skin removed — 300 g (10.6 oz)
Cucumber — 250 g (8.8 oz)
Greek yogurt, plain 2% — 80 g (2.8 oz)
Fresh dill — 5 g (0.2 oz)
Lemon juice — 15 g (0.5 oz)
Red onion — 30 g (1.1 oz)</t>
        </is>
      </c>
      <c r="M1474" s="4" t="inlineStr">
        <is>
          <t>[{"ingredient_id": "rotisserie_chicken", "name": "Rotisserie chicken, skin removed", "grams": 300.0, "note": ""}, {"ingredient_id": "cucumber", "name": "Cucumber", "grams": 250.0, "note": ""}, {"ingredient_id": "greek_yogurt", "name": "Greek yogurt, plain 2%", "grams": 80.0, "note": ""}, {"ingredient_id": "dill", "name": "Fresh dill", "grams": 5.0, "note": ""}, {"ingredient_id": "lemon_juice", "name": "Lemon juice", "grams": 15.0, "note": ""}, {"ingredient_id": "red_onion", "name": "Red onion", "grams": 30.0, "note": ""}]</t>
        </is>
      </c>
      <c r="N1474" s="2" t="n">
        <v>148</v>
      </c>
      <c r="O1474" s="5" t="n">
        <v>19.8</v>
      </c>
      <c r="P1474" s="5" t="n">
        <v>5.7</v>
      </c>
      <c r="Q1474" s="5" t="n">
        <v>4.1</v>
      </c>
      <c r="R1474" s="5" t="n">
        <v>0.5</v>
      </c>
      <c r="S1474" s="5" t="n">
        <v>3.6</v>
      </c>
      <c r="T1474" s="2" t="n">
        <v>14</v>
      </c>
      <c r="U1474" s="2" t="inlineStr">
        <is>
          <t>low</t>
        </is>
      </c>
      <c r="V1474" s="5" t="n">
        <v>0.5</v>
      </c>
      <c r="W1474" s="2" t="inlineStr">
        <is>
          <t>low</t>
        </is>
      </c>
      <c r="X1474" s="3" t="inlineStr">
        <is>
          <t>Negligible carbohydrate (&lt;5 g net/serving): GI has little practical meaning, glycemic load is what matters.</t>
        </is>
      </c>
      <c r="Y1474" s="3" t="inlineStr">
        <is>
          <t>22% of this dish's available carbohydrate comes from ingredients with a published, measured GI; the rest uses conventional placeholders (see Ingredients sheet)</t>
        </is>
      </c>
      <c r="Z1474" s="2" t="n">
        <v>22</v>
      </c>
      <c r="AA1474" s="3" t="inlineStr">
        <is>
          <t>gluten-free, nut-free, low-carb, no-cook</t>
        </is>
      </c>
      <c r="AB1474" s="3" t="inlineStr">
        <is>
          <t>1. Shred the chicken and mix with yogurt, dill, lemon and onion.
2. Spoon into thick cucumber cups.</t>
        </is>
      </c>
      <c r="AC1474" s="4" t="inlineStr">
        <is>
          <t>["Shred the chicken and mix with yogurt, dill, lemon and onion.", "Spoon into thick cucumber cups."]</t>
        </is>
      </c>
    </row>
    <row r="1475" ht="96" customHeight="1">
      <c r="A1475" s="2" t="inlineStr">
        <is>
          <t>DB-1474</t>
        </is>
      </c>
      <c r="B1475" s="3" t="inlineStr">
        <is>
          <t>Wedge Salad with Blue Cheese and Tomatoes</t>
        </is>
      </c>
      <c r="C1475" s="4" t="inlineStr">
        <is>
          <t>Salad</t>
        </is>
      </c>
      <c r="D1475" s="4" t="inlineStr">
        <is>
          <t>American</t>
        </is>
      </c>
      <c r="E1475" s="2" t="n">
        <v>4</v>
      </c>
      <c r="F1475" s="2" t="n">
        <v>10</v>
      </c>
      <c r="G1475" s="2" t="n">
        <v>0</v>
      </c>
      <c r="H1475" s="2" t="n">
        <v>10</v>
      </c>
      <c r="I1475" s="4" t="inlineStr">
        <is>
          <t>wedge-salad-with-blue-cheese-and-tomatoes.jpg</t>
        </is>
      </c>
      <c r="J1475" s="3" t="inlineStr">
        <is>
          <t>Wedge Salad with Blue Cheese and Tomatoes, healthy food photography, plated, natural light</t>
        </is>
      </c>
      <c r="K1475" s="4" t="inlineStr"/>
      <c r="L1475" s="3" t="inlineStr">
        <is>
          <t>Iceberg lettuce — 400 g (14.1 oz)
Blue cheese, crumbled — 50 g (1.8 oz)
Cherry tomatoes — 150 g (5.3 oz)
Red onion — 30 g (1.1 oz)
Bacon — 30 g (1.1 oz)
Greek yogurt, plain 2% — 80 g (2.8 oz)
Lemon juice — 10 g (0.4 oz)</t>
        </is>
      </c>
      <c r="M1475" s="4" t="inlineStr">
        <is>
          <t>[{"ingredient_id": "iceberg", "name": "Iceberg lettuce", "grams": 400.0, "note": ""}, {"ingredient_id": "blue_cheese", "name": "Blue cheese, crumbled", "grams": 50.0, "note": ""}, {"ingredient_id": "cherry_tomato", "name": "Cherry tomatoes", "grams": 150.0, "note": ""}, {"ingredient_id": "red_onion", "name": "Red onion", "grams": 30.0, "note": ""}, {"ingredient_id": "bacon", "name": "Bacon", "grams": 30.0, "note": ""}, {"ingredient_id": "greek_yogurt", "name": "Greek yogurt, plain 2%", "grams": 80.0, "note": ""}, {"ingredient_id": "lemon_juice", "name": "Lemon juice", "grams": 10.0, "note": ""}]</t>
        </is>
      </c>
      <c r="N1475" s="2" t="n">
        <v>124</v>
      </c>
      <c r="O1475" s="5" t="n">
        <v>8.699999999999999</v>
      </c>
      <c r="P1475" s="5" t="n">
        <v>7.4</v>
      </c>
      <c r="Q1475" s="5" t="n">
        <v>6.5</v>
      </c>
      <c r="R1475" s="5" t="n">
        <v>1.8</v>
      </c>
      <c r="S1475" s="5" t="n">
        <v>4.7</v>
      </c>
      <c r="T1475" s="2" t="n">
        <v>13</v>
      </c>
      <c r="U1475" s="2" t="inlineStr">
        <is>
          <t>low</t>
        </is>
      </c>
      <c r="V1475" s="5" t="n">
        <v>0.6</v>
      </c>
      <c r="W1475" s="2" t="inlineStr">
        <is>
          <t>low</t>
        </is>
      </c>
      <c r="X1475" s="3" t="inlineStr">
        <is>
          <t>Negligible carbohydrate (&lt;5 g net/serving): GI has little practical meaning, glycemic load is what matters.</t>
        </is>
      </c>
      <c r="Y1475" s="3" t="inlineStr">
        <is>
          <t>17% of this dish's available carbohydrate comes from ingredients with a published, measured GI; the rest uses conventional placeholders (see Ingredients sheet)</t>
        </is>
      </c>
      <c r="Z1475" s="2" t="n">
        <v>17</v>
      </c>
      <c r="AA1475" s="3" t="inlineStr">
        <is>
          <t>gluten-free, nut-free, low-carb</t>
        </is>
      </c>
      <c r="AB1475" s="3" t="inlineStr">
        <is>
          <t>1. Cut the lettuce into wedges.
2. Blend the blue cheese, yogurt and lemon into a dressing.
3. Top with tomatoes, onion and crisp bacon.</t>
        </is>
      </c>
      <c r="AC1475" s="4" t="inlineStr">
        <is>
          <t>["Cut the lettuce into wedges.", "Blend the blue cheese, yogurt and lemon into a dressing.", "Top with tomatoes, onion and crisp bacon."]</t>
        </is>
      </c>
    </row>
    <row r="1476" ht="96" customHeight="1">
      <c r="A1476" s="2" t="inlineStr">
        <is>
          <t>DB-1475</t>
        </is>
      </c>
      <c r="B1476" s="3" t="inlineStr">
        <is>
          <t>Marinated Mushroom and Artichoke Salad</t>
        </is>
      </c>
      <c r="C1476" s="4" t="inlineStr">
        <is>
          <t>Salad</t>
        </is>
      </c>
      <c r="D1476" s="4" t="inlineStr">
        <is>
          <t>Italian</t>
        </is>
      </c>
      <c r="E1476" s="2" t="n">
        <v>4</v>
      </c>
      <c r="F1476" s="2" t="n">
        <v>10</v>
      </c>
      <c r="G1476" s="2" t="n">
        <v>0</v>
      </c>
      <c r="H1476" s="2" t="n">
        <v>10</v>
      </c>
      <c r="I1476" s="4" t="inlineStr">
        <is>
          <t>marinated-mushroom-and-artichoke-salad.jpg</t>
        </is>
      </c>
      <c r="J1476" s="3" t="inlineStr">
        <is>
          <t>Marinated Mushroom and Artichoke Salad, healthy food photography, plated, natural light</t>
        </is>
      </c>
      <c r="K1476" s="4" t="inlineStr"/>
      <c r="L1476" s="3" t="inlineStr">
        <is>
          <t>Mushrooms (cremini/white) — 250 g (8.8 oz)
Artichoke hearts, canned in water — 200 g (7.1 oz)
Cherry tomatoes — 150 g (5.3 oz)
Red wine vinegar — 30 g (1.1 oz)
Extra-virgin olive oil — 30 g (1.1 oz)
Italian seasoning — 2 g (0.1 oz)
Fresh parsley — 6 g (0.2 oz)</t>
        </is>
      </c>
      <c r="M1476" s="4" t="inlineStr">
        <is>
          <t>[{"ingredient_id": "mushrooms", "name": "Mushrooms (cremini/white)", "grams": 250.0, "note": ""}, {"ingredient_id": "artichoke_hearts", "name": "Artichoke hearts, canned in water", "grams": 200.0, "note": ""}, {"ingredient_id": "cherry_tomato", "name": "Cherry tomatoes", "grams": 150.0, "note": ""}, {"ingredient_id": "red_wine_vinegar", "name": "Red wine vinegar", "grams": 30.0, "note": ""}, {"ingredient_id": "olive_oil", "name": "Extra-virgin olive oil", "grams": 30.0, "note": ""}, {"ingredient_id": "italian_seasoning", "name": "Italian seasoning", "grams": 2.0, "note": ""}, {"ingredient_id": "parsley", "name": "Fresh parsley", "grams": 6.0, "note": ""}]</t>
        </is>
      </c>
      <c r="N1476" s="2" t="n">
        <v>114</v>
      </c>
      <c r="O1476" s="5" t="n">
        <v>4</v>
      </c>
      <c r="P1476" s="5" t="n">
        <v>7.9</v>
      </c>
      <c r="Q1476" s="5" t="n">
        <v>9.199999999999999</v>
      </c>
      <c r="R1476" s="5" t="n">
        <v>4</v>
      </c>
      <c r="S1476" s="5" t="n">
        <v>5.2</v>
      </c>
      <c r="T1476" s="2" t="n">
        <v>15</v>
      </c>
      <c r="U1476" s="2" t="inlineStr">
        <is>
          <t>low</t>
        </is>
      </c>
      <c r="V1476" s="5" t="n">
        <v>0.8</v>
      </c>
      <c r="W1476" s="2" t="inlineStr">
        <is>
          <t>low</t>
        </is>
      </c>
      <c r="X1476" s="3" t="inlineStr"/>
      <c r="Y1476" s="3" t="inlineStr">
        <is>
          <t>0% of this dish's available carbohydrate comes from ingredients with a published, measured GI; the rest uses conventional placeholders (see Ingredients sheet)</t>
        </is>
      </c>
      <c r="Z1476" s="2" t="n">
        <v>0</v>
      </c>
      <c r="AA1476" s="3" t="inlineStr">
        <is>
          <t>vegan, gluten-free, dairy-free, nut-free, low-carb, no-cook</t>
        </is>
      </c>
      <c r="AB1476" s="3" t="inlineStr">
        <is>
          <t>1. Toss everything with the vinegar, oil and seasoning.
2. Marinate 30 minutes.</t>
        </is>
      </c>
      <c r="AC1476" s="4" t="inlineStr">
        <is>
          <t>["Toss everything with the vinegar, oil and seasoning.", "Marinate 30 minutes."]</t>
        </is>
      </c>
    </row>
    <row r="1477" ht="96" customHeight="1">
      <c r="A1477" s="2" t="inlineStr">
        <is>
          <t>DB-1476</t>
        </is>
      </c>
      <c r="B1477" s="3" t="inlineStr">
        <is>
          <t>Taco Salad with Lime Crema</t>
        </is>
      </c>
      <c r="C1477" s="4" t="inlineStr">
        <is>
          <t>Salad</t>
        </is>
      </c>
      <c r="D1477" s="4" t="inlineStr">
        <is>
          <t>Tex-Mex</t>
        </is>
      </c>
      <c r="E1477" s="2" t="n">
        <v>4</v>
      </c>
      <c r="F1477" s="2" t="n">
        <v>15</v>
      </c>
      <c r="G1477" s="2" t="n">
        <v>12</v>
      </c>
      <c r="H1477" s="2" t="n">
        <v>27</v>
      </c>
      <c r="I1477" s="4" t="inlineStr">
        <is>
          <t>taco-salad-with-lime-crema.jpg</t>
        </is>
      </c>
      <c r="J1477" s="3" t="inlineStr">
        <is>
          <t>Taco Salad with Lime Crema, healthy food photography, plated, natural light</t>
        </is>
      </c>
      <c r="K1477" s="4" t="inlineStr"/>
      <c r="L1477" s="3" t="inlineStr">
        <is>
          <t>Ground beef 90% lean — 400 g (14.1 oz)
Taco seasoning, low sodium — 12 g (0.4 oz)
Romaine lettuce — 250 g (8.8 oz)
Black beans, cooked — 150 g (5.3 oz)
Tomato — 150 g (5.3 oz)
Cheddar cheese — 50 g (1.8 oz)
Avocado — 100 g (3.5 oz)
Greek yogurt, plain 2% — 80 g (2.8 oz)
Lime juice — 20 g (0.7 oz)</t>
        </is>
      </c>
      <c r="M1477" s="4" t="inlineStr">
        <is>
          <t>[{"ingredient_id": "ground_beef", "name": "Ground beef 90% lean", "grams": 400.0, "note": ""}, {"ingredient_id": "taco_seasoning", "name": "Taco seasoning, low sodium", "grams": 12.0, "note": ""}, {"ingredient_id": "romaine", "name": "Romaine lettuce", "grams": 250.0, "note": ""}, {"ingredient_id": "black_beans", "name": "Black beans, cooked", "grams": 150.0, "note": ""}, {"ingredient_id": "tomato", "name": "Tomato", "grams": 150.0, "note": ""}, {"ingredient_id": "cheddar", "name": "Cheddar cheese", "grams": 50.0, "note": ""}, {"ingredient_id": "avocado", "name": "Avocado", "grams": 100.0, "note": ""}, {"ingredient_id": "greek_yogurt", "name": "Greek yogurt, plain 2%", "grams": 80.0, "note": ""}, {"ingredient_id": "lime_juice", "name": "Lime juice", "grams": 20.0, "note": ""}]</t>
        </is>
      </c>
      <c r="N1477" s="2" t="n">
        <v>358</v>
      </c>
      <c r="O1477" s="5" t="n">
        <v>30.1</v>
      </c>
      <c r="P1477" s="5" t="n">
        <v>19</v>
      </c>
      <c r="Q1477" s="5" t="n">
        <v>17.6</v>
      </c>
      <c r="R1477" s="5" t="n">
        <v>7.5</v>
      </c>
      <c r="S1477" s="5" t="n">
        <v>10.1</v>
      </c>
      <c r="T1477" s="2" t="n">
        <v>23</v>
      </c>
      <c r="U1477" s="2" t="inlineStr">
        <is>
          <t>low</t>
        </is>
      </c>
      <c r="V1477" s="5" t="n">
        <v>2.3</v>
      </c>
      <c r="W1477" s="2" t="inlineStr">
        <is>
          <t>low</t>
        </is>
      </c>
      <c r="X1477" s="3" t="inlineStr"/>
      <c r="Y1477" s="3" t="inlineStr">
        <is>
          <t>64% of this dish's available carbohydrate comes from ingredients with a published, measured GI; the rest uses conventional placeholders (see Ingredients sheet)</t>
        </is>
      </c>
      <c r="Z1477" s="2" t="n">
        <v>64</v>
      </c>
      <c r="AA1477" s="3" t="inlineStr">
        <is>
          <t>gluten-free, nut-free, low-carb, high-protein, high-fiber</t>
        </is>
      </c>
      <c r="AB1477" s="3" t="inlineStr">
        <is>
          <t>1. Brown the beef with the seasoning.
2. Arrange the romaine, beans, tomato and avocado in bowls.
3. Add the beef and cheddar and top with yogurt stirred with lime.</t>
        </is>
      </c>
      <c r="AC1477" s="4" t="inlineStr">
        <is>
          <t>["Brown the beef with the seasoning.", "Arrange the romaine, beans, tomato and avocado in bowls.", "Add the beef and cheddar and top with yogurt stirred with lime."]</t>
        </is>
      </c>
    </row>
    <row r="1478" ht="96" customHeight="1">
      <c r="A1478" s="2" t="inlineStr">
        <is>
          <t>DB-1477</t>
        </is>
      </c>
      <c r="B1478" s="3" t="inlineStr">
        <is>
          <t>Antipasto Skewers</t>
        </is>
      </c>
      <c r="C1478" s="4" t="inlineStr">
        <is>
          <t>Snack &amp; Appetizer</t>
        </is>
      </c>
      <c r="D1478" s="4" t="inlineStr">
        <is>
          <t>Italian</t>
        </is>
      </c>
      <c r="E1478" s="2" t="n">
        <v>6</v>
      </c>
      <c r="F1478" s="2" t="n">
        <v>15</v>
      </c>
      <c r="G1478" s="2" t="n">
        <v>0</v>
      </c>
      <c r="H1478" s="2" t="n">
        <v>15</v>
      </c>
      <c r="I1478" s="4" t="inlineStr">
        <is>
          <t>antipasto-skewers.jpg</t>
        </is>
      </c>
      <c r="J1478" s="3" t="inlineStr">
        <is>
          <t>Antipasto Skewers, healthy food photography, plated, natural light</t>
        </is>
      </c>
      <c r="K1478" s="4" t="inlineStr"/>
      <c r="L1478" s="3" t="inlineStr">
        <is>
          <t>Mozzarella, part-skim — 120 g (4.2 oz)
Cherry tomatoes — 150 g (5.3 oz)
Olives (kalamata/green) — 60 g (2.1 oz)
Artichoke hearts, canned in water — 120 g (4.2 oz)
Fresh basil — 8 g (0.3 oz)
Balsamic vinegar — 10 g (0.4 oz)
Extra-virgin olive oil — 10 g (0.4 oz)</t>
        </is>
      </c>
      <c r="M1478" s="4" t="inlineStr">
        <is>
          <t>[{"ingredient_id": "mozzarella", "name": "Mozzarella, part-skim", "grams": 120.0, "note": ""}, {"ingredient_id": "cherry_tomato", "name": "Cherry tomatoes", "grams": 150.0, "note": ""}, {"ingredient_id": "olives", "name": "Olives (kalamata/green)", "grams": 60.0, "note": ""}, {"ingredient_id": "artichoke_hearts", "name": "Artichoke hearts, canned in water", "grams": 120.0, "note": ""}, {"ingredient_id": "basil", "name": "Fresh basil", "grams": 8.0, "note": ""}, {"ingredient_id": "balsamic_vinegar", "name": "Balsamic vinegar", "grams": 10.0, "note": ""}, {"ingredient_id": "olive_oil", "name": "Extra-virgin olive oil", "grams": 10.0, "note": ""}]</t>
        </is>
      </c>
      <c r="N1478" s="2" t="n">
        <v>93</v>
      </c>
      <c r="O1478" s="5" t="n">
        <v>5.8</v>
      </c>
      <c r="P1478" s="5" t="n">
        <v>6.1</v>
      </c>
      <c r="Q1478" s="5" t="n">
        <v>4.6</v>
      </c>
      <c r="R1478" s="5" t="n">
        <v>1.7</v>
      </c>
      <c r="S1478" s="5" t="n">
        <v>2.9</v>
      </c>
      <c r="T1478" s="2" t="n">
        <v>14</v>
      </c>
      <c r="U1478" s="2" t="inlineStr">
        <is>
          <t>low</t>
        </is>
      </c>
      <c r="V1478" s="5" t="n">
        <v>0.4</v>
      </c>
      <c r="W1478" s="2" t="inlineStr">
        <is>
          <t>low</t>
        </is>
      </c>
      <c r="X1478" s="3" t="inlineStr">
        <is>
          <t>Negligible carbohydrate (&lt;5 g net/serving): GI has little practical meaning, glycemic load is what matters.</t>
        </is>
      </c>
      <c r="Y1478" s="3" t="inlineStr">
        <is>
          <t>0% of this dish's available carbohydrate comes from ingredients with a published, measured GI; the rest uses conventional placeholders (see Ingredients sheet)</t>
        </is>
      </c>
      <c r="Z1478" s="2" t="n">
        <v>0</v>
      </c>
      <c r="AA1478" s="3" t="inlineStr">
        <is>
          <t>vegetarian, gluten-free, nut-free, low-carb, no-cook</t>
        </is>
      </c>
      <c r="AB1478" s="3" t="inlineStr">
        <is>
          <t>1. Thread the mozzarella, tomatoes, olives, artichokes and basil onto skewers.
2. Drizzle with balsamic and oil.</t>
        </is>
      </c>
      <c r="AC1478" s="4" t="inlineStr">
        <is>
          <t>["Thread the mozzarella, tomatoes, olives, artichokes and basil onto skewers.", "Drizzle with balsamic and oil."]</t>
        </is>
      </c>
    </row>
    <row r="1479" ht="96" customHeight="1">
      <c r="A1479" s="2" t="inlineStr">
        <is>
          <t>DB-1478</t>
        </is>
      </c>
      <c r="B1479" s="3" t="inlineStr">
        <is>
          <t>Buffalo Chicken Thigh Bites with Celery and Blue Cheese</t>
        </is>
      </c>
      <c r="C1479" s="4" t="inlineStr">
        <is>
          <t>Snack &amp; Appetizer</t>
        </is>
      </c>
      <c r="D1479" s="4" t="inlineStr">
        <is>
          <t>American</t>
        </is>
      </c>
      <c r="E1479" s="2" t="n">
        <v>4</v>
      </c>
      <c r="F1479" s="2" t="n">
        <v>10</v>
      </c>
      <c r="G1479" s="2" t="n">
        <v>45</v>
      </c>
      <c r="H1479" s="2" t="n">
        <v>55</v>
      </c>
      <c r="I1479" s="4" t="inlineStr">
        <is>
          <t>buffalo-chicken-thigh-bites-with-celery-and-blue-cheese.jpg</t>
        </is>
      </c>
      <c r="J1479" s="3" t="inlineStr">
        <is>
          <t>Buffalo Chicken Thigh Bites with Celery and Blue Cheese, healthy food photography, plated, natural light</t>
        </is>
      </c>
      <c r="K1479" s="4" t="inlineStr"/>
      <c r="L1479" s="3" t="inlineStr">
        <is>
          <t>Chicken thigh, skinless boneless — 800 g (28.2 oz)
Hot sauce (Tabasco/Frank's) — 60 g (2.1 oz)
Butter — 20 g (0.7 oz)
Baking powder — 4 g (0.1 oz)
Garlic powder — 3 g (0.1 oz)
Celery — 120 g (4.2 oz)
Blue cheese, crumbled — 30 g (1.1 oz)</t>
        </is>
      </c>
      <c r="M1479" s="4" t="inlineStr">
        <is>
          <t>[{"ingredient_id": "chicken_thigh", "name": "Chicken thigh, skinless boneless", "grams": 800.0, "note": ""}, {"ingredient_id": "hot_sauce", "name": "Hot sauce (Tabasco/Frank's)", "grams": 60.0, "note": ""}, {"ingredient_id": "butter", "name": "Butter", "grams": 20.0, "note": ""}, {"ingredient_id": "baking_powder", "name": "Baking powder", "grams": 4.0, "note": ""}, {"ingredient_id": "garlic_powder", "name": "Garlic powder", "grams": 3.0, "note": ""}, {"ingredient_id": "celery", "name": "Celery", "grams": 120.0, "note": ""}, {"ingredient_id": "blue_cheese", "name": "Blue cheese, crumbled", "grams": 30.0, "note": ""}]</t>
        </is>
      </c>
      <c r="N1479" s="2" t="n">
        <v>314</v>
      </c>
      <c r="O1479" s="5" t="n">
        <v>41.4</v>
      </c>
      <c r="P1479" s="5" t="n">
        <v>14.6</v>
      </c>
      <c r="Q1479" s="5" t="n">
        <v>2.2</v>
      </c>
      <c r="R1479" s="5" t="n">
        <v>0.6</v>
      </c>
      <c r="S1479" s="5" t="n">
        <v>1.6</v>
      </c>
      <c r="T1479" s="2" t="n">
        <v>11</v>
      </c>
      <c r="U1479" s="2" t="inlineStr">
        <is>
          <t>low</t>
        </is>
      </c>
      <c r="V1479" s="5" t="n">
        <v>0.2</v>
      </c>
      <c r="W1479" s="2" t="inlineStr">
        <is>
          <t>low</t>
        </is>
      </c>
      <c r="X1479" s="3" t="inlineStr">
        <is>
          <t>Negligible carbohydrate (&lt;5 g net/serving): GI has little practical meaning, glycemic load is what matters.</t>
        </is>
      </c>
      <c r="Y1479" s="3" t="inlineStr">
        <is>
          <t>0% of this dish's available carbohydrate comes from ingredients with a published, measured GI; the rest uses conventional placeholders (see Ingredients sheet)</t>
        </is>
      </c>
      <c r="Z1479" s="2" t="n">
        <v>0</v>
      </c>
      <c r="AA1479" s="3" t="inlineStr">
        <is>
          <t>gluten-free, nut-free, low-carb, high-protein</t>
        </is>
      </c>
      <c r="AB1479" s="3" t="inlineStr">
        <is>
          <t>1. Toss the chicken with baking powder and garlic powder and bake at 425°F for 40 minutes.
2. Toss with melted butter and hot sauce.
3. Serve with celery and blue cheese.</t>
        </is>
      </c>
      <c r="AC1479" s="4" t="inlineStr">
        <is>
          <t>["Toss the chicken with baking powder and garlic powder and bake at 425°F for 40 minutes.", "Toss with melted butter and hot sauce.", "Serve with celery and blue cheese."]</t>
        </is>
      </c>
    </row>
    <row r="1480" ht="96" customHeight="1">
      <c r="A1480" s="2" t="inlineStr">
        <is>
          <t>DB-1479</t>
        </is>
      </c>
      <c r="B1480" s="3" t="inlineStr">
        <is>
          <t>Caprese Dip with Veggie Dippers</t>
        </is>
      </c>
      <c r="C1480" s="4" t="inlineStr">
        <is>
          <t>Snack &amp; Appetizer</t>
        </is>
      </c>
      <c r="D1480" s="4" t="inlineStr">
        <is>
          <t>Italian</t>
        </is>
      </c>
      <c r="E1480" s="2" t="n">
        <v>6</v>
      </c>
      <c r="F1480" s="2" t="n">
        <v>10</v>
      </c>
      <c r="G1480" s="2" t="n">
        <v>15</v>
      </c>
      <c r="H1480" s="2" t="n">
        <v>25</v>
      </c>
      <c r="I1480" s="4" t="inlineStr">
        <is>
          <t>caprese-dip-with-veggie-dippers.jpg</t>
        </is>
      </c>
      <c r="J1480" s="3" t="inlineStr">
        <is>
          <t>Caprese Dip with Veggie Dippers, healthy food photography, plated, natural light</t>
        </is>
      </c>
      <c r="K1480" s="4" t="inlineStr"/>
      <c r="L1480" s="3" t="inlineStr">
        <is>
          <t>Cream cheese — 120 g (4.2 oz)
Mozzarella, part-skim — 100 g (3.5 oz)
Cherry tomatoes — 150 g (5.3 oz)
Fresh basil — 8 g (0.3 oz)
Garlic — 4 g (0.1 oz)
Cucumber — 200 g (7.1 oz)
Carrot — 150 g (5.3 oz)</t>
        </is>
      </c>
      <c r="M1480" s="4" t="inlineStr">
        <is>
          <t>[{"ingredient_id": "cream_cheese", "name": "Cream cheese", "grams": 120.0, "note": ""}, {"ingredient_id": "mozzarella", "name": "Mozzarella, part-skim", "grams": 100.0, "note": ""}, {"ingredient_id": "cherry_tomato", "name": "Cherry tomatoes", "grams": 150.0, "note": ""}, {"ingredient_id": "basil", "name": "Fresh basil", "grams": 8.0, "note": ""}, {"ingredient_id": "garlic", "name": "Garlic", "grams": 4.0, "note": ""}, {"ingredient_id": "cucumber", "name": "Cucumber", "grams": 200.0, "note": ""}, {"ingredient_id": "carrot", "name": "Carrot", "grams": 150.0, "note": ""}]</t>
        </is>
      </c>
      <c r="N1480" s="2" t="n">
        <v>132</v>
      </c>
      <c r="O1480" s="5" t="n">
        <v>6</v>
      </c>
      <c r="P1480" s="5" t="n">
        <v>9.6</v>
      </c>
      <c r="Q1480" s="5" t="n">
        <v>6.1</v>
      </c>
      <c r="R1480" s="5" t="n">
        <v>1.2</v>
      </c>
      <c r="S1480" s="5" t="n">
        <v>4.9</v>
      </c>
      <c r="T1480" s="2" t="n">
        <v>20</v>
      </c>
      <c r="U1480" s="2" t="inlineStr">
        <is>
          <t>low</t>
        </is>
      </c>
      <c r="V1480" s="5" t="n">
        <v>1</v>
      </c>
      <c r="W1480" s="2" t="inlineStr">
        <is>
          <t>low</t>
        </is>
      </c>
      <c r="X1480" s="3" t="inlineStr">
        <is>
          <t>Negligible carbohydrate (&lt;5 g net/serving): GI has little practical meaning, glycemic load is what matters.</t>
        </is>
      </c>
      <c r="Y1480" s="3" t="inlineStr">
        <is>
          <t>34% of this dish's available carbohydrate comes from ingredients with a published, measured GI; the rest uses conventional placeholders (see Ingredients sheet)</t>
        </is>
      </c>
      <c r="Z1480" s="2" t="n">
        <v>34</v>
      </c>
      <c r="AA1480" s="3" t="inlineStr">
        <is>
          <t>vegetarian, gluten-free, nut-free, low-carb</t>
        </is>
      </c>
      <c r="AB1480" s="3" t="inlineStr">
        <is>
          <t>1. Mix the cream cheese, mozzarella, chopped tomatoes, basil and garlic in a dish.
2. Bake at 375°F for 15 minutes.
3. Serve with the vegetables.</t>
        </is>
      </c>
      <c r="AC1480" s="4" t="inlineStr">
        <is>
          <t>["Mix the cream cheese, mozzarella, chopped tomatoes, basil and garlic in a dish.", "Bake at 375°F for 15 minutes.", "Serve with the vegetables."]</t>
        </is>
      </c>
    </row>
    <row r="1481" ht="96" customHeight="1">
      <c r="A1481" s="2" t="inlineStr">
        <is>
          <t>DB-1480</t>
        </is>
      </c>
      <c r="B1481" s="3" t="inlineStr">
        <is>
          <t>Edamame with Sea Salt and Lime</t>
        </is>
      </c>
      <c r="C1481" s="4" t="inlineStr">
        <is>
          <t>Snack &amp; Appetizer</t>
        </is>
      </c>
      <c r="D1481" s="4" t="inlineStr">
        <is>
          <t>Japanese</t>
        </is>
      </c>
      <c r="E1481" s="2" t="n">
        <v>4</v>
      </c>
      <c r="F1481" s="2" t="n">
        <v>3</v>
      </c>
      <c r="G1481" s="2" t="n">
        <v>5</v>
      </c>
      <c r="H1481" s="2" t="n">
        <v>8</v>
      </c>
      <c r="I1481" s="4" t="inlineStr">
        <is>
          <t>edamame-with-sea-salt-and-lime.jpg</t>
        </is>
      </c>
      <c r="J1481" s="3" t="inlineStr">
        <is>
          <t>Edamame with Sea Salt and Lime, healthy food photography, plated, natural light</t>
        </is>
      </c>
      <c r="K1481" s="4" t="inlineStr"/>
      <c r="L1481" s="3" t="inlineStr">
        <is>
          <t>Edamame, shelled, cooked — 400 g (14.1 oz)
Lime juice — 15 g (0.5 oz)
Salt — 2 g (0.1 oz)</t>
        </is>
      </c>
      <c r="M1481" s="4" t="inlineStr">
        <is>
          <t>[{"ingredient_id": "edamame", "name": "Edamame, shelled, cooked", "grams": 400.0, "note": ""}, {"ingredient_id": "lime_juice", "name": "Lime juice", "grams": 15.0, "note": ""}, {"ingredient_id": "salt", "name": "Salt", "grams": 2.0, "note": ""}]</t>
        </is>
      </c>
      <c r="N1481" s="2" t="n">
        <v>122</v>
      </c>
      <c r="O1481" s="5" t="n">
        <v>12</v>
      </c>
      <c r="P1481" s="5" t="n">
        <v>5</v>
      </c>
      <c r="Q1481" s="5" t="n">
        <v>9.300000000000001</v>
      </c>
      <c r="R1481" s="5" t="n">
        <v>5</v>
      </c>
      <c r="S1481" s="5" t="n">
        <v>4.3</v>
      </c>
      <c r="T1481" s="2" t="n">
        <v>18</v>
      </c>
      <c r="U1481" s="2" t="inlineStr">
        <is>
          <t>low</t>
        </is>
      </c>
      <c r="V1481" s="5" t="n">
        <v>0.8</v>
      </c>
      <c r="W1481" s="2" t="inlineStr">
        <is>
          <t>low</t>
        </is>
      </c>
      <c r="X1481" s="3" t="inlineStr">
        <is>
          <t>Negligible carbohydrate (&lt;5 g net/serving): GI has little practical meaning, glycemic load is what matters.</t>
        </is>
      </c>
      <c r="Y1481" s="3" t="inlineStr">
        <is>
          <t>0% of this dish's available carbohydrate comes from ingredients with a published, measured GI; the rest uses conventional placeholders (see Ingredients sheet)</t>
        </is>
      </c>
      <c r="Z1481" s="2" t="n">
        <v>0</v>
      </c>
      <c r="AA1481" s="3" t="inlineStr">
        <is>
          <t>vegan, gluten-free, dairy-free, nut-free, low-carb</t>
        </is>
      </c>
      <c r="AB1481" s="3" t="inlineStr">
        <is>
          <t>1. Boil the edamame 5 minutes.
2. Toss with lime and salt.</t>
        </is>
      </c>
      <c r="AC1481" s="4" t="inlineStr">
        <is>
          <t>["Boil the edamame 5 minutes.", "Toss with lime and salt."]</t>
        </is>
      </c>
    </row>
    <row r="1482" ht="96" customHeight="1">
      <c r="A1482" s="2" t="inlineStr">
        <is>
          <t>DB-1481</t>
        </is>
      </c>
      <c r="B1482" s="3" t="inlineStr">
        <is>
          <t>Roasted Red Pepper Hummus with Crudités</t>
        </is>
      </c>
      <c r="C1482" s="4" t="inlineStr">
        <is>
          <t>Snack &amp; Appetizer</t>
        </is>
      </c>
      <c r="D1482" s="4" t="inlineStr">
        <is>
          <t>Middle Eastern</t>
        </is>
      </c>
      <c r="E1482" s="2" t="n">
        <v>6</v>
      </c>
      <c r="F1482" s="2" t="n">
        <v>10</v>
      </c>
      <c r="G1482" s="2" t="n">
        <v>0</v>
      </c>
      <c r="H1482" s="2" t="n">
        <v>10</v>
      </c>
      <c r="I1482" s="4" t="inlineStr">
        <is>
          <t>roasted-red-pepper-hummus-with-crudit-s.jpg</t>
        </is>
      </c>
      <c r="J1482" s="3" t="inlineStr">
        <is>
          <t>Roasted Red Pepper Hummus with Crudités, healthy food photography, plated, natural light</t>
        </is>
      </c>
      <c r="K1482" s="4" t="inlineStr"/>
      <c r="L1482" s="3" t="inlineStr">
        <is>
          <t>Chickpeas, cooked — 300 g (10.6 oz)
Roasted red peppers, jarred — 100 g (3.5 oz)
Tahini — 40 g (1.4 oz)
Lemon juice — 30 g (1.1 oz)
Garlic — 6 g (0.2 oz)
Extra-virgin olive oil — 20 g (0.7 oz)
Cucumber — 200 g (7.1 oz)
Carrot — 150 g (5.3 oz)
Bell pepper — 150 g (5.3 oz)</t>
        </is>
      </c>
      <c r="M1482" s="4" t="inlineStr">
        <is>
          <t>[{"ingredient_id": "chickpeas", "name": "Chickpeas, cooked", "grams": 300.0, "note": ""}, {"ingredient_id": "roasted_red_pepper", "name": "Roasted red peppers, jarred", "grams": 100.0, "note": ""}, {"ingredient_id": "tahini", "name": "Tahini", "grams": 40.0, "note": ""}, {"ingredient_id": "lemon_juice", "name": "Lemon juice", "grams": 30.0, "note": ""}, {"ingredient_id": "garlic", "name": "Garlic", "grams": 6.0, "note": ""}, {"ingredient_id": "olive_oil", "name": "Extra-virgin olive oil", "grams": 20.0, "note": ""}, {"ingredient_id": "cucumber", "name": "Cucumber", "grams": 200.0, "note": ""}, {"ingredient_id": "carrot", "name": "Carrot", "grams": 150.0, "note": ""}, {"ingredient_id": "bell_pepper", "name": "Bell pepper", "grams": 150.0, "note": ""}]</t>
        </is>
      </c>
      <c r="N1482" s="2" t="n">
        <v>182</v>
      </c>
      <c r="O1482" s="5" t="n">
        <v>6.5</v>
      </c>
      <c r="P1482" s="5" t="n">
        <v>8.5</v>
      </c>
      <c r="Q1482" s="5" t="n">
        <v>21.7</v>
      </c>
      <c r="R1482" s="5" t="n">
        <v>6.2</v>
      </c>
      <c r="S1482" s="5" t="n">
        <v>15.5</v>
      </c>
      <c r="T1482" s="2" t="n">
        <v>34</v>
      </c>
      <c r="U1482" s="2" t="inlineStr">
        <is>
          <t>low</t>
        </is>
      </c>
      <c r="V1482" s="5" t="n">
        <v>5.3</v>
      </c>
      <c r="W1482" s="2" t="inlineStr">
        <is>
          <t>low</t>
        </is>
      </c>
      <c r="X1482" s="3" t="inlineStr"/>
      <c r="Y1482" s="3" t="inlineStr">
        <is>
          <t>73% of this dish's available carbohydrate comes from ingredients with a published, measured GI; the rest uses conventional placeholders (see Ingredients sheet)</t>
        </is>
      </c>
      <c r="Z1482" s="2" t="n">
        <v>73</v>
      </c>
      <c r="AA1482" s="3" t="inlineStr">
        <is>
          <t>vegan, gluten-free, dairy-free, nut-free, no-cook</t>
        </is>
      </c>
      <c r="AB1482" s="3" t="inlineStr">
        <is>
          <t>1. Blend the chickpeas, red pepper, tahini, lemon, garlic and oil until smooth.
2. Serve with the vegetables.</t>
        </is>
      </c>
      <c r="AC1482" s="4" t="inlineStr">
        <is>
          <t>["Blend the chickpeas, red pepper, tahini, lemon, garlic and oil until smooth.", "Serve with the vegetables."]</t>
        </is>
      </c>
    </row>
    <row r="1483" ht="96" customHeight="1">
      <c r="A1483" s="2" t="inlineStr">
        <is>
          <t>DB-1482</t>
        </is>
      </c>
      <c r="B1483" s="3" t="inlineStr">
        <is>
          <t>Stuffed Mini Peppers with Cream Cheese and Chives</t>
        </is>
      </c>
      <c r="C1483" s="4" t="inlineStr">
        <is>
          <t>Snack &amp; Appetizer</t>
        </is>
      </c>
      <c r="D1483" s="4" t="inlineStr">
        <is>
          <t>American</t>
        </is>
      </c>
      <c r="E1483" s="2" t="n">
        <v>6</v>
      </c>
      <c r="F1483" s="2" t="n">
        <v>10</v>
      </c>
      <c r="G1483" s="2" t="n">
        <v>0</v>
      </c>
      <c r="H1483" s="2" t="n">
        <v>10</v>
      </c>
      <c r="I1483" s="4" t="inlineStr">
        <is>
          <t>stuffed-mini-peppers-with-cream-cheese-and-chives.jpg</t>
        </is>
      </c>
      <c r="J1483" s="3" t="inlineStr">
        <is>
          <t>Stuffed Mini Peppers with Cream Cheese and Chives, healthy food photography, plated, natural light</t>
        </is>
      </c>
      <c r="K1483" s="4" t="inlineStr"/>
      <c r="L1483" s="3" t="inlineStr">
        <is>
          <t>Bell pepper — 360 g (12.7 oz)
Cream cheese — 120 g (4.2 oz)
Fresh chives — 8 g (0.3 oz)
Garlic powder — 2 g (0.1 oz)
Everything bagel seasoning — 4 g (0.1 oz)</t>
        </is>
      </c>
      <c r="M1483" s="4" t="inlineStr">
        <is>
          <t>[{"ingredient_id": "bell_pepper", "name": "Bell pepper", "grams": 360.0, "note": ""}, {"ingredient_id": "cream_cheese", "name": "Cream cheese", "grams": 120.0, "note": ""}, {"ingredient_id": "chives", "name": "Fresh chives", "grams": 8.0, "note": ""}, {"ingredient_id": "garlic_powder", "name": "Garlic powder", "grams": 2.0, "note": ""}, {"ingredient_id": "everything_seasoning", "name": "Everything bagel seasoning", "grams": 4.0, "note": ""}]</t>
        </is>
      </c>
      <c r="N1483" s="2" t="n">
        <v>91</v>
      </c>
      <c r="O1483" s="5" t="n">
        <v>2</v>
      </c>
      <c r="P1483" s="5" t="n">
        <v>7.1</v>
      </c>
      <c r="Q1483" s="5" t="n">
        <v>4.9</v>
      </c>
      <c r="R1483" s="5" t="n">
        <v>1.4</v>
      </c>
      <c r="S1483" s="5" t="n">
        <v>3.5</v>
      </c>
      <c r="T1483" s="2" t="n">
        <v>12</v>
      </c>
      <c r="U1483" s="2" t="inlineStr">
        <is>
          <t>low</t>
        </is>
      </c>
      <c r="V1483" s="5" t="n">
        <v>0.4</v>
      </c>
      <c r="W1483" s="2" t="inlineStr">
        <is>
          <t>low</t>
        </is>
      </c>
      <c r="X1483" s="3" t="inlineStr">
        <is>
          <t>Negligible carbohydrate (&lt;5 g net/serving): GI has little practical meaning, glycemic load is what matters.</t>
        </is>
      </c>
      <c r="Y1483" s="3" t="inlineStr">
        <is>
          <t>0% of this dish's available carbohydrate comes from ingredients with a published, measured GI; the rest uses conventional placeholders (see Ingredients sheet)</t>
        </is>
      </c>
      <c r="Z1483" s="2" t="n">
        <v>0</v>
      </c>
      <c r="AA1483" s="3" t="inlineStr">
        <is>
          <t>vegetarian, gluten-free, nut-free, low-carb, no-cook</t>
        </is>
      </c>
      <c r="AB1483" s="3" t="inlineStr">
        <is>
          <t>1. Halve and seed the mini peppers.
2. Mix the cream cheese with chives and garlic powder.
3. Fill and dust with everything seasoning.</t>
        </is>
      </c>
      <c r="AC1483" s="4" t="inlineStr">
        <is>
          <t>["Halve and seed the mini peppers.", "Mix the cream cheese with chives and garlic powder.", "Fill and dust with everything seasoning."]</t>
        </is>
      </c>
    </row>
    <row r="1484" ht="96" customHeight="1">
      <c r="A1484" s="2" t="inlineStr">
        <is>
          <t>DB-1483</t>
        </is>
      </c>
      <c r="B1484" s="3" t="inlineStr">
        <is>
          <t>Spicy Roasted Chickpea Crunch</t>
        </is>
      </c>
      <c r="C1484" s="4" t="inlineStr">
        <is>
          <t>Snack &amp; Appetizer</t>
        </is>
      </c>
      <c r="D1484" s="4" t="inlineStr">
        <is>
          <t>American</t>
        </is>
      </c>
      <c r="E1484" s="2" t="n">
        <v>5</v>
      </c>
      <c r="F1484" s="2" t="n">
        <v>5</v>
      </c>
      <c r="G1484" s="2" t="n">
        <v>30</v>
      </c>
      <c r="H1484" s="2" t="n">
        <v>35</v>
      </c>
      <c r="I1484" s="4" t="inlineStr">
        <is>
          <t>spicy-roasted-chickpea-crunch.jpg</t>
        </is>
      </c>
      <c r="J1484" s="3" t="inlineStr">
        <is>
          <t>Spicy Roasted Chickpea Crunch, healthy food photography, plated, natural light</t>
        </is>
      </c>
      <c r="K1484" s="4" t="inlineStr"/>
      <c r="L1484" s="3" t="inlineStr">
        <is>
          <t>Chickpeas, cooked — 400 g (14.1 oz)
Extra-virgin olive oil — 15 g (0.5 oz)
Chili powder — 3 g (0.1 oz)
Smoked paprika — 2 g (0.1 oz)
Garlic powder — 2 g (0.1 oz)
Salt — 2 g (0.1 oz)</t>
        </is>
      </c>
      <c r="M1484" s="4" t="inlineStr">
        <is>
          <t>[{"ingredient_id": "chickpeas", "name": "Chickpeas, cooked", "grams": 400.0, "note": ""}, {"ingredient_id": "olive_oil", "name": "Extra-virgin olive oil", "grams": 15.0, "note": ""}, {"ingredient_id": "chili_powder", "name": "Chili powder", "grams": 3.0, "note": ""}, {"ingredient_id": "smoked_paprika", "name": "Smoked paprika", "grams": 2.0, "note": ""}, {"ingredient_id": "garlic_powder", "name": "Garlic powder", "grams": 2.0, "note": ""}, {"ingredient_id": "salt", "name": "Salt", "grams": 2.0, "note": ""}]</t>
        </is>
      </c>
      <c r="N1484" s="2" t="n">
        <v>162</v>
      </c>
      <c r="O1484" s="5" t="n">
        <v>7.3</v>
      </c>
      <c r="P1484" s="5" t="n">
        <v>5.2</v>
      </c>
      <c r="Q1484" s="5" t="n">
        <v>22.4</v>
      </c>
      <c r="R1484" s="5" t="n">
        <v>6.5</v>
      </c>
      <c r="S1484" s="5" t="n">
        <v>15.9</v>
      </c>
      <c r="T1484" s="2" t="n">
        <v>37</v>
      </c>
      <c r="U1484" s="2" t="inlineStr">
        <is>
          <t>low</t>
        </is>
      </c>
      <c r="V1484" s="5" t="n">
        <v>5.9</v>
      </c>
      <c r="W1484" s="2" t="inlineStr">
        <is>
          <t>low</t>
        </is>
      </c>
      <c r="X1484" s="3" t="inlineStr"/>
      <c r="Y1484" s="3" t="inlineStr">
        <is>
          <t>97% of this dish's available carbohydrate comes from ingredients with a published, measured GI; the rest uses conventional placeholders (see Ingredients sheet)</t>
        </is>
      </c>
      <c r="Z1484" s="2" t="n">
        <v>97</v>
      </c>
      <c r="AA1484" s="3" t="inlineStr">
        <is>
          <t>vegan, gluten-free, dairy-free, nut-free</t>
        </is>
      </c>
      <c r="AB1484" s="3" t="inlineStr">
        <is>
          <t>1. Dry the chickpeas well and toss with oil and spices.
2. Roast at 400°F for 25 to 30 minutes until crisp.</t>
        </is>
      </c>
      <c r="AC1484" s="4" t="inlineStr">
        <is>
          <t>["Dry the chickpeas well and toss with oil and spices.", "Roast at 400°F for 25 to 30 minutes until crisp."]</t>
        </is>
      </c>
    </row>
    <row r="1485" ht="96" customHeight="1">
      <c r="A1485" s="2" t="inlineStr">
        <is>
          <t>DB-1484</t>
        </is>
      </c>
      <c r="B1485" s="3" t="inlineStr">
        <is>
          <t>Cheddar and Apple Slices with Walnuts</t>
        </is>
      </c>
      <c r="C1485" s="4" t="inlineStr">
        <is>
          <t>Snack &amp; Appetizer</t>
        </is>
      </c>
      <c r="D1485" s="4" t="inlineStr">
        <is>
          <t>American</t>
        </is>
      </c>
      <c r="E1485" s="2" t="n">
        <v>2</v>
      </c>
      <c r="F1485" s="2" t="n">
        <v>5</v>
      </c>
      <c r="G1485" s="2" t="n">
        <v>0</v>
      </c>
      <c r="H1485" s="2" t="n">
        <v>5</v>
      </c>
      <c r="I1485" s="4" t="inlineStr">
        <is>
          <t>cheddar-and-apple-slices-with-walnuts.jpg</t>
        </is>
      </c>
      <c r="J1485" s="3" t="inlineStr">
        <is>
          <t>Cheddar and Apple Slices with Walnuts, healthy food photography, plated, natural light</t>
        </is>
      </c>
      <c r="K1485" s="4" t="inlineStr"/>
      <c r="L1485" s="3" t="inlineStr">
        <is>
          <t>Apple — 200 g (7.1 oz)
Cheddar cheese — 50 g (1.8 oz)
Walnuts — 20 g (0.7 oz)</t>
        </is>
      </c>
      <c r="M1485" s="4" t="inlineStr">
        <is>
          <t>[{"ingredient_id": "apple", "name": "Apple", "grams": 200.0, "note": ""}, {"ingredient_id": "cheddar", "name": "Cheddar cheese", "grams": 50.0, "note": ""}, {"ingredient_id": "walnuts", "name": "Walnuts", "grams": 20.0, "note": ""}]</t>
        </is>
      </c>
      <c r="N1485" s="2" t="n">
        <v>218</v>
      </c>
      <c r="O1485" s="5" t="n">
        <v>7.5</v>
      </c>
      <c r="P1485" s="5" t="n">
        <v>14.9</v>
      </c>
      <c r="Q1485" s="5" t="n">
        <v>15.7</v>
      </c>
      <c r="R1485" s="5" t="n">
        <v>3.1</v>
      </c>
      <c r="S1485" s="5" t="n">
        <v>12.7</v>
      </c>
      <c r="T1485" s="2" t="n">
        <v>34</v>
      </c>
      <c r="U1485" s="2" t="inlineStr">
        <is>
          <t>low</t>
        </is>
      </c>
      <c r="V1485" s="5" t="n">
        <v>4.3</v>
      </c>
      <c r="W1485" s="2" t="inlineStr">
        <is>
          <t>low</t>
        </is>
      </c>
      <c r="X1485" s="3" t="inlineStr"/>
      <c r="Y1485" s="3" t="inlineStr">
        <is>
          <t>92% of this dish's available carbohydrate comes from ingredients with a published, measured GI; the rest uses conventional placeholders (see Ingredients sheet)</t>
        </is>
      </c>
      <c r="Z1485" s="2" t="n">
        <v>92</v>
      </c>
      <c r="AA1485" s="3" t="inlineStr">
        <is>
          <t>vegetarian, gluten-free, low-carb, no-cook</t>
        </is>
      </c>
      <c r="AB1485" s="3" t="inlineStr">
        <is>
          <t>1. Slice the apple and cheddar.
2. Serve with the walnuts.</t>
        </is>
      </c>
      <c r="AC1485" s="4" t="inlineStr">
        <is>
          <t>["Slice the apple and cheddar.", "Serve with the walnuts."]</t>
        </is>
      </c>
    </row>
    <row r="1486" ht="96" customHeight="1">
      <c r="A1486" s="2" t="inlineStr">
        <is>
          <t>DB-1485</t>
        </is>
      </c>
      <c r="B1486" s="3" t="inlineStr">
        <is>
          <t>Cottage Cheese with Cherry Tomatoes and Everything Seasoning</t>
        </is>
      </c>
      <c r="C1486" s="4" t="inlineStr">
        <is>
          <t>Snack &amp; Appetizer</t>
        </is>
      </c>
      <c r="D1486" s="4" t="inlineStr">
        <is>
          <t>American</t>
        </is>
      </c>
      <c r="E1486" s="2" t="n">
        <v>2</v>
      </c>
      <c r="F1486" s="2" t="n">
        <v>3</v>
      </c>
      <c r="G1486" s="2" t="n">
        <v>0</v>
      </c>
      <c r="H1486" s="2" t="n">
        <v>3</v>
      </c>
      <c r="I1486" s="4" t="inlineStr">
        <is>
          <t>cottage-cheese-with-cherry-tomatoes-and-everything-seasoning.jpg</t>
        </is>
      </c>
      <c r="J1486" s="3" t="inlineStr">
        <is>
          <t>Cottage Cheese with Cherry Tomatoes and Everything Seasoning, healthy food photography, plated, natural light</t>
        </is>
      </c>
      <c r="K1486" s="4" t="inlineStr"/>
      <c r="L1486" s="3" t="inlineStr">
        <is>
          <t>Cottage cheese, low-fat — 300 g (10.6 oz)
Cherry tomatoes — 120 g (4.2 oz)
Everything bagel seasoning — 4 g (0.1 oz)
Extra-virgin olive oil — 5 g (0.2 oz)</t>
        </is>
      </c>
      <c r="M1486" s="4" t="inlineStr">
        <is>
          <t>[{"ingredient_id": "cottage_cheese", "name": "Cottage cheese, low-fat", "grams": 300.0, "note": ""}, {"ingredient_id": "cherry_tomato", "name": "Cherry tomatoes", "grams": 120.0, "note": ""}, {"ingredient_id": "everything_seasoning", "name": "Everything bagel seasoning", "grams": 4.0, "note": ""}, {"ingredient_id": "olive_oil", "name": "Extra-virgin olive oil", "grams": 5.0, "note": ""}]</t>
        </is>
      </c>
      <c r="N1486" s="2" t="n">
        <v>166</v>
      </c>
      <c r="O1486" s="5" t="n">
        <v>17.3</v>
      </c>
      <c r="P1486" s="5" t="n">
        <v>6.5</v>
      </c>
      <c r="Q1486" s="5" t="n">
        <v>9.4</v>
      </c>
      <c r="R1486" s="5" t="n">
        <v>0.9</v>
      </c>
      <c r="S1486" s="5" t="n">
        <v>8.5</v>
      </c>
      <c r="T1486" s="2" t="n">
        <v>11</v>
      </c>
      <c r="U1486" s="2" t="inlineStr">
        <is>
          <t>low</t>
        </is>
      </c>
      <c r="V1486" s="5" t="n">
        <v>0.9</v>
      </c>
      <c r="W1486" s="2" t="inlineStr">
        <is>
          <t>low</t>
        </is>
      </c>
      <c r="X1486" s="3" t="inlineStr"/>
      <c r="Y1486" s="3" t="inlineStr">
        <is>
          <t>0% of this dish's available carbohydrate comes from ingredients with a published, measured GI; the rest uses conventional placeholders (see Ingredients sheet)</t>
        </is>
      </c>
      <c r="Z1486" s="2" t="n">
        <v>0</v>
      </c>
      <c r="AA1486" s="3" t="inlineStr">
        <is>
          <t>vegetarian, gluten-free, nut-free, low-carb, no-cook</t>
        </is>
      </c>
      <c r="AB1486" s="3" t="inlineStr">
        <is>
          <t>1. Top the cottage cheese with halved tomatoes.
2. Finish with oil and everything seasoning.</t>
        </is>
      </c>
      <c r="AC1486" s="4" t="inlineStr">
        <is>
          <t>["Top the cottage cheese with halved tomatoes.", "Finish with oil and everything seasoning."]</t>
        </is>
      </c>
    </row>
    <row r="1487" ht="96" customHeight="1">
      <c r="A1487" s="2" t="inlineStr">
        <is>
          <t>DB-1486</t>
        </is>
      </c>
      <c r="B1487" s="3" t="inlineStr">
        <is>
          <t>Creamy Cauliflower and Leek Soup</t>
        </is>
      </c>
      <c r="C1487" s="4" t="inlineStr">
        <is>
          <t>Soup &amp; Stew</t>
        </is>
      </c>
      <c r="D1487" s="4" t="inlineStr">
        <is>
          <t>American</t>
        </is>
      </c>
      <c r="E1487" s="2" t="n">
        <v>5</v>
      </c>
      <c r="F1487" s="2" t="n">
        <v>10</v>
      </c>
      <c r="G1487" s="2" t="n">
        <v>25</v>
      </c>
      <c r="H1487" s="2" t="n">
        <v>35</v>
      </c>
      <c r="I1487" s="4" t="inlineStr">
        <is>
          <t>creamy-cauliflower-and-leek-soup.jpg</t>
        </is>
      </c>
      <c r="J1487" s="3" t="inlineStr">
        <is>
          <t>Creamy Cauliflower and Leek Soup, healthy food photography, plated, natural light</t>
        </is>
      </c>
      <c r="K1487" s="4" t="inlineStr"/>
      <c r="L1487" s="3" t="inlineStr">
        <is>
          <t>Cauliflower — 600 g (21.2 oz)
Leek — 150 g (5.3 oz)
Vegetable broth, low sodium — 600 g (21.2 oz)
Milk, 2% — 150 g (5.3 oz)
Garlic — 4 g (0.1 oz)
Extra-virgin olive oil — 15 g (0.5 oz)
Ground nutmeg — 1 g (0.0 oz)</t>
        </is>
      </c>
      <c r="M1487" s="4" t="inlineStr">
        <is>
          <t>[{"ingredient_id": "cauliflower", "name": "Cauliflower", "grams": 600.0, "note": ""}, {"ingredient_id": "leek", "name": "Leek", "grams": 150.0, "note": ""}, {"ingredient_id": "vegetable_broth", "name": "Vegetable broth, low sodium", "grams": 600.0, "note": ""}, {"ingredient_id": "milk", "name": "Milk, 2%", "grams": 150.0, "note": ""}, {"ingredient_id": "garlic", "name": "Garlic", "grams": 4.0, "note": ""}, {"ingredient_id": "olive_oil", "name": "Extra-virgin olive oil", "grams": 15.0, "note": ""}, {"ingredient_id": "nutmeg", "name": "Ground nutmeg", "grams": 1.0, "note": ""}]</t>
        </is>
      </c>
      <c r="N1487" s="2" t="n">
        <v>102</v>
      </c>
      <c r="O1487" s="5" t="n">
        <v>4.4</v>
      </c>
      <c r="P1487" s="5" t="n">
        <v>4.4</v>
      </c>
      <c r="Q1487" s="5" t="n">
        <v>13.8</v>
      </c>
      <c r="R1487" s="5" t="n">
        <v>3</v>
      </c>
      <c r="S1487" s="5" t="n">
        <v>10.8</v>
      </c>
      <c r="T1487" s="2" t="n">
        <v>14</v>
      </c>
      <c r="U1487" s="2" t="inlineStr">
        <is>
          <t>low</t>
        </is>
      </c>
      <c r="V1487" s="5" t="n">
        <v>1.5</v>
      </c>
      <c r="W1487" s="2" t="inlineStr">
        <is>
          <t>low</t>
        </is>
      </c>
      <c r="X1487" s="3" t="inlineStr"/>
      <c r="Y1487" s="3" t="inlineStr">
        <is>
          <t>13% of this dish's available carbohydrate comes from ingredients with a published, measured GI; the rest uses conventional placeholders (see Ingredients sheet)</t>
        </is>
      </c>
      <c r="Z1487" s="2" t="n">
        <v>13</v>
      </c>
      <c r="AA1487" s="3" t="inlineStr">
        <is>
          <t>vegetarian, gluten-free, nut-free, low-carb</t>
        </is>
      </c>
      <c r="AB1487" s="3" t="inlineStr">
        <is>
          <t>1. Soften the leek and garlic in oil.
2. Add the cauliflower and broth and simmer 15 minutes.
3. Blend with the milk and nutmeg.</t>
        </is>
      </c>
      <c r="AC1487" s="4" t="inlineStr">
        <is>
          <t>["Soften the leek and garlic in oil.", "Add the cauliflower and broth and simmer 15 minutes.", "Blend with the milk and nutmeg."]</t>
        </is>
      </c>
    </row>
    <row r="1488" ht="96" customHeight="1">
      <c r="A1488" s="2" t="inlineStr">
        <is>
          <t>DB-1487</t>
        </is>
      </c>
      <c r="B1488" s="3" t="inlineStr">
        <is>
          <t>Lentil and Spinach Soup</t>
        </is>
      </c>
      <c r="C1488" s="4" t="inlineStr">
        <is>
          <t>Soup &amp; Stew</t>
        </is>
      </c>
      <c r="D1488" s="4" t="inlineStr">
        <is>
          <t>Mediterranean</t>
        </is>
      </c>
      <c r="E1488" s="2" t="n">
        <v>6</v>
      </c>
      <c r="F1488" s="2" t="n">
        <v>10</v>
      </c>
      <c r="G1488" s="2" t="n">
        <v>35</v>
      </c>
      <c r="H1488" s="2" t="n">
        <v>45</v>
      </c>
      <c r="I1488" s="4" t="inlineStr">
        <is>
          <t>lentil-and-spinach-soup.jpg</t>
        </is>
      </c>
      <c r="J1488" s="3" t="inlineStr">
        <is>
          <t>Lentil and Spinach Soup, healthy food photography, plated, natural light</t>
        </is>
      </c>
      <c r="K1488" s="4" t="inlineStr"/>
      <c r="L1488" s="3" t="inlineStr">
        <is>
          <t>Lentils, cooked — 300 g (10.6 oz)
Spinach — 150 g (5.3 oz)
Diced tomatoes, canned — 300 g (10.6 oz)
Carrot — 100 g (3.5 oz)
Celery — 80 g (2.8 oz)
Yellow onion — 100 g (3.5 oz)
Vegetable broth, low sodium — 900 g (31.7 oz)
Ground cumin — 3 g (0.1 oz)
Lemon juice — 20 g (0.7 oz)
Garlic — 6 g (0.2 oz)</t>
        </is>
      </c>
      <c r="M1488" s="4" t="inlineStr">
        <is>
          <t>[{"ingredient_id": "lentils", "name": "Lentils, cooked", "grams": 300.0, "note": ""}, {"ingredient_id": "spinach", "name": "Spinach", "grams": 150.0, "note": ""}, {"ingredient_id": "diced_tomatoes", "name": "Diced tomatoes, canned", "grams": 300.0, "note": ""}, {"ingredient_id": "carrot", "name": "Carrot", "grams": 100.0, "note": ""}, {"ingredient_id": "celery", "name": "Celery", "grams": 80.0, "note": ""}, {"ingredient_id": "onion", "name": "Yellow onion", "grams": 100.0, "note": ""}, {"ingredient_id": "vegetable_broth", "name": "Vegetable broth, low sodium", "grams": 900.0, "note": ""}, {"ingredient_id": "cumin", "name": "Ground cumin", "grams": 3.0, "note": ""}, {"ingredient_id": "lemon_juice", "name": "Lemon juice", "grams": 20.0, "note": ""}, {"ingredient_id": "garlic", "name": "Garlic", "grams": 6.0, "note": ""}]</t>
        </is>
      </c>
      <c r="N1488" s="2" t="n">
        <v>107</v>
      </c>
      <c r="O1488" s="5" t="n">
        <v>7.2</v>
      </c>
      <c r="P1488" s="5" t="n">
        <v>0.9</v>
      </c>
      <c r="Q1488" s="5" t="n">
        <v>20</v>
      </c>
      <c r="R1488" s="5" t="n">
        <v>6.3</v>
      </c>
      <c r="S1488" s="5" t="n">
        <v>13.7</v>
      </c>
      <c r="T1488" s="2" t="n">
        <v>27</v>
      </c>
      <c r="U1488" s="2" t="inlineStr">
        <is>
          <t>low</t>
        </is>
      </c>
      <c r="V1488" s="5" t="n">
        <v>3.7</v>
      </c>
      <c r="W1488" s="2" t="inlineStr">
        <is>
          <t>low</t>
        </is>
      </c>
      <c r="X1488" s="3" t="inlineStr"/>
      <c r="Y1488" s="3" t="inlineStr">
        <is>
          <t>52% of this dish's available carbohydrate comes from ingredients with a published, measured GI; the rest uses conventional placeholders (see Ingredients sheet)</t>
        </is>
      </c>
      <c r="Z1488" s="2" t="n">
        <v>52</v>
      </c>
      <c r="AA1488" s="3" t="inlineStr">
        <is>
          <t>vegan, gluten-free, dairy-free, nut-free, low-carb</t>
        </is>
      </c>
      <c r="AB1488" s="3" t="inlineStr">
        <is>
          <t>1. Soften the onion, carrot, celery and garlic.
2. Add the lentils, tomatoes, broth and cumin and simmer 25 minutes.
3. Stir in the spinach and lemon.</t>
        </is>
      </c>
      <c r="AC1488" s="4" t="inlineStr">
        <is>
          <t>["Soften the onion, carrot, celery and garlic.", "Add the lentils, tomatoes, broth and cumin and simmer 25 minutes.", "Stir in the spinach and lemon."]</t>
        </is>
      </c>
    </row>
    <row r="1489" ht="96" customHeight="1">
      <c r="A1489" s="2" t="inlineStr">
        <is>
          <t>DB-1488</t>
        </is>
      </c>
      <c r="B1489" s="3" t="inlineStr">
        <is>
          <t>Butternut Squash Soup with Sage</t>
        </is>
      </c>
      <c r="C1489" s="4" t="inlineStr">
        <is>
          <t>Soup &amp; Stew</t>
        </is>
      </c>
      <c r="D1489" s="4" t="inlineStr">
        <is>
          <t>American</t>
        </is>
      </c>
      <c r="E1489" s="2" t="n">
        <v>5</v>
      </c>
      <c r="F1489" s="2" t="n">
        <v>10</v>
      </c>
      <c r="G1489" s="2" t="n">
        <v>30</v>
      </c>
      <c r="H1489" s="2" t="n">
        <v>40</v>
      </c>
      <c r="I1489" s="4" t="inlineStr">
        <is>
          <t>butternut-squash-soup-with-sage.jpg</t>
        </is>
      </c>
      <c r="J1489" s="3" t="inlineStr">
        <is>
          <t>Butternut Squash Soup with Sage, healthy food photography, plated, natural light</t>
        </is>
      </c>
      <c r="K1489" s="4" t="inlineStr"/>
      <c r="L1489" s="3" t="inlineStr">
        <is>
          <t>Butternut squash — 700 g (24.7 oz)
Yellow onion — 100 g (3.5 oz)
Vegetable broth, low sodium — 600 g (21.2 oz)
Fresh sage — 3 g (0.1 oz)
Heavy cream — 50 g (1.8 oz)
Extra-virgin olive oil — 15 g (0.5 oz)</t>
        </is>
      </c>
      <c r="M1489" s="4" t="inlineStr">
        <is>
          <t>[{"ingredient_id": "butternut_squash", "name": "Butternut squash", "grams": 700.0, "note": ""}, {"ingredient_id": "onion", "name": "Yellow onion", "grams": 100.0, "note": ""}, {"ingredient_id": "vegetable_broth", "name": "Vegetable broth, low sodium", "grams": 600.0, "note": ""}, {"ingredient_id": "sage", "name": "Fresh sage", "grams": 3.0, "note": ""}, {"ingredient_id": "heavy_cream", "name": "Heavy cream", "grams": 50.0, "note": ""}, {"ingredient_id": "olive_oil", "name": "Extra-virgin olive oil", "grams": 15.0, "note": ""}]</t>
        </is>
      </c>
      <c r="N1489" s="2" t="n">
        <v>143</v>
      </c>
      <c r="O1489" s="5" t="n">
        <v>2.5</v>
      </c>
      <c r="P1489" s="5" t="n">
        <v>7.1</v>
      </c>
      <c r="Q1489" s="5" t="n">
        <v>21.1</v>
      </c>
      <c r="R1489" s="5" t="n">
        <v>3.4</v>
      </c>
      <c r="S1489" s="5" t="n">
        <v>17.7</v>
      </c>
      <c r="T1489" s="2" t="n">
        <v>42</v>
      </c>
      <c r="U1489" s="2" t="inlineStr">
        <is>
          <t>low</t>
        </is>
      </c>
      <c r="V1489" s="5" t="n">
        <v>7.5</v>
      </c>
      <c r="W1489" s="2" t="inlineStr">
        <is>
          <t>low</t>
        </is>
      </c>
      <c r="X1489" s="3" t="inlineStr"/>
      <c r="Y1489" s="3" t="inlineStr">
        <is>
          <t>79% of this dish's available carbohydrate comes from ingredients with a published, measured GI; the rest uses conventional placeholders (see Ingredients sheet)</t>
        </is>
      </c>
      <c r="Z1489" s="2" t="n">
        <v>79</v>
      </c>
      <c r="AA1489" s="3" t="inlineStr">
        <is>
          <t>vegetarian, gluten-free, nut-free</t>
        </is>
      </c>
      <c r="AB1489" s="3" t="inlineStr">
        <is>
          <t>1. Roast the squash at 425°F for 25 minutes.
2. Soften the onion in oil, add the squash, broth and sage and simmer 10 minutes.
3. Blend with the cream.</t>
        </is>
      </c>
      <c r="AC1489" s="4" t="inlineStr">
        <is>
          <t>["Roast the squash at 425°F for 25 minutes.", "Soften the onion in oil, add the squash, broth and sage and simmer 10 minutes.", "Blend with the cream."]</t>
        </is>
      </c>
    </row>
    <row r="1490" ht="96" customHeight="1">
      <c r="A1490" s="2" t="inlineStr">
        <is>
          <t>DB-1489</t>
        </is>
      </c>
      <c r="B1490" s="3" t="inlineStr">
        <is>
          <t>Chicken Zucchini Noodle Soup</t>
        </is>
      </c>
      <c r="C1490" s="4" t="inlineStr">
        <is>
          <t>Soup &amp; Stew</t>
        </is>
      </c>
      <c r="D1490" s="4" t="inlineStr">
        <is>
          <t>American</t>
        </is>
      </c>
      <c r="E1490" s="2" t="n">
        <v>5</v>
      </c>
      <c r="F1490" s="2" t="n">
        <v>10</v>
      </c>
      <c r="G1490" s="2" t="n">
        <v>25</v>
      </c>
      <c r="H1490" s="2" t="n">
        <v>35</v>
      </c>
      <c r="I1490" s="4" t="inlineStr">
        <is>
          <t>chicken-zucchini-noodle-soup.jpg</t>
        </is>
      </c>
      <c r="J1490" s="3" t="inlineStr">
        <is>
          <t>Chicken Zucchini Noodle Soup, healthy food photography, plated, natural light</t>
        </is>
      </c>
      <c r="K1490" s="4" t="inlineStr"/>
      <c r="L1490" s="3" t="inlineStr">
        <is>
          <t>Chicken breast, skinless — 400 g (14.1 oz)
Zucchini noodles (zoodles) — 350 g (12.3 oz)
Chicken broth, low sodium — 1000 g (35.3 oz)
Carrot — 100 g (3.5 oz)
Celery — 80 g (2.8 oz)
Yellow onion — 80 g (2.8 oz)
Fresh parsley — 5 g (0.2 oz)</t>
        </is>
      </c>
      <c r="M1490" s="4" t="inlineStr">
        <is>
          <t>[{"ingredient_id": "chicken_breast", "name": "Chicken breast, skinless", "grams": 400.0, "note": ""}, {"ingredient_id": "zucchini_noodles", "name": "Zucchini noodles (zoodles)", "grams": 350.0, "note": ""}, {"ingredient_id": "chicken_broth", "name": "Chicken broth, low sodium", "grams": 1000.0, "note": ""}, {"ingredient_id": "carrot", "name": "Carrot", "grams": 100.0, "note": ""}, {"ingredient_id": "celery", "name": "Celery", "grams": 80.0, "note": ""}, {"ingredient_id": "onion", "name": "Yellow onion", "grams": 80.0, "note": ""}, {"ingredient_id": "parsley", "name": "Fresh parsley", "grams": 5.0, "note": ""}]</t>
        </is>
      </c>
      <c r="N1490" s="2" t="n">
        <v>139</v>
      </c>
      <c r="O1490" s="5" t="n">
        <v>21.3</v>
      </c>
      <c r="P1490" s="5" t="n">
        <v>2.8</v>
      </c>
      <c r="Q1490" s="5" t="n">
        <v>7.1</v>
      </c>
      <c r="R1490" s="5" t="n">
        <v>1.8</v>
      </c>
      <c r="S1490" s="5" t="n">
        <v>5.3</v>
      </c>
      <c r="T1490" s="2" t="n">
        <v>18</v>
      </c>
      <c r="U1490" s="2" t="inlineStr">
        <is>
          <t>low</t>
        </is>
      </c>
      <c r="V1490" s="5" t="n">
        <v>1</v>
      </c>
      <c r="W1490" s="2" t="inlineStr">
        <is>
          <t>low</t>
        </is>
      </c>
      <c r="X1490" s="3" t="inlineStr"/>
      <c r="Y1490" s="3" t="inlineStr">
        <is>
          <t>26% of this dish's available carbohydrate comes from ingredients with a published, measured GI; the rest uses conventional placeholders (see Ingredients sheet)</t>
        </is>
      </c>
      <c r="Z1490" s="2" t="n">
        <v>26</v>
      </c>
      <c r="AA1490" s="3" t="inlineStr">
        <is>
          <t>gluten-free, dairy-free, nut-free, low-carb</t>
        </is>
      </c>
      <c r="AB1490" s="3" t="inlineStr">
        <is>
          <t>1. Simmer the chicken and vegetables in the broth 20 minutes.
2. Shred the chicken, add the zucchini noodles and heat 2 minutes.</t>
        </is>
      </c>
      <c r="AC1490" s="4" t="inlineStr">
        <is>
          <t>["Simmer the chicken and vegetables in the broth 20 minutes.", "Shred the chicken, add the zucchini noodles and heat 2 minutes."]</t>
        </is>
      </c>
    </row>
    <row r="1491" ht="96" customHeight="1">
      <c r="A1491" s="2" t="inlineStr">
        <is>
          <t>DB-1490</t>
        </is>
      </c>
      <c r="B1491" s="3" t="inlineStr">
        <is>
          <t>Miso Mushroom Soup with Tofu</t>
        </is>
      </c>
      <c r="C1491" s="4" t="inlineStr">
        <is>
          <t>Soup &amp; Stew</t>
        </is>
      </c>
      <c r="D1491" s="4" t="inlineStr">
        <is>
          <t>Japanese</t>
        </is>
      </c>
      <c r="E1491" s="2" t="n">
        <v>4</v>
      </c>
      <c r="F1491" s="2" t="n">
        <v>10</v>
      </c>
      <c r="G1491" s="2" t="n">
        <v>15</v>
      </c>
      <c r="H1491" s="2" t="n">
        <v>25</v>
      </c>
      <c r="I1491" s="4" t="inlineStr">
        <is>
          <t>miso-mushroom-soup-with-tofu.jpg</t>
        </is>
      </c>
      <c r="J1491" s="3" t="inlineStr">
        <is>
          <t>Miso Mushroom Soup with Tofu, healthy food photography, plated, natural light</t>
        </is>
      </c>
      <c r="K1491" s="4" t="inlineStr"/>
      <c r="L1491" s="3" t="inlineStr">
        <is>
          <t>Shiitake mushrooms — 150 g (5.3 oz)
Tofu, extra-firm — 200 g (7.1 oz)
White miso paste — 40 g (1.4 oz)
Vegetable broth, low sodium — 800 g (28.2 oz)
Green onions (scallions) — 30 g (1.1 oz)
Fresh ginger — 6 g (0.2 oz)
Spinach — 80 g (2.8 oz)</t>
        </is>
      </c>
      <c r="M1491" s="4" t="inlineStr">
        <is>
          <t>[{"ingredient_id": "shiitake", "name": "Shiitake mushrooms", "grams": 150.0, "note": ""}, {"ingredient_id": "tofu", "name": "Tofu, extra-firm", "grams": 200.0, "note": ""}, {"ingredient_id": "miso", "name": "White miso paste", "grams": 40.0, "note": ""}, {"ingredient_id": "vegetable_broth", "name": "Vegetable broth, low sodium", "grams": 800.0, "note": ""}, {"ingredient_id": "green_onion", "name": "Green onions (scallions)", "grams": 30.0, "note": ""}, {"ingredient_id": "ginger", "name": "Fresh ginger", "grams": 6.0, "note": ""}, {"ingredient_id": "spinach", "name": "Spinach", "grams": 80.0, "note": ""}]</t>
        </is>
      </c>
      <c r="N1491" s="2" t="n">
        <v>129</v>
      </c>
      <c r="O1491" s="5" t="n">
        <v>12.3</v>
      </c>
      <c r="P1491" s="5" t="n">
        <v>5.8</v>
      </c>
      <c r="Q1491" s="5" t="n">
        <v>11.2</v>
      </c>
      <c r="R1491" s="5" t="n">
        <v>3.1</v>
      </c>
      <c r="S1491" s="5" t="n">
        <v>8.1</v>
      </c>
      <c r="T1491" s="2" t="n">
        <v>13</v>
      </c>
      <c r="U1491" s="2" t="inlineStr">
        <is>
          <t>low</t>
        </is>
      </c>
      <c r="V1491" s="5" t="n">
        <v>1.1</v>
      </c>
      <c r="W1491" s="2" t="inlineStr">
        <is>
          <t>low</t>
        </is>
      </c>
      <c r="X1491" s="3" t="inlineStr"/>
      <c r="Y1491" s="3" t="inlineStr">
        <is>
          <t>0% of this dish's available carbohydrate comes from ingredients with a published, measured GI; the rest uses conventional placeholders (see Ingredients sheet)</t>
        </is>
      </c>
      <c r="Z1491" s="2" t="n">
        <v>0</v>
      </c>
      <c r="AA1491" s="3" t="inlineStr">
        <is>
          <t>vegan, dairy-free, nut-free, low-carb</t>
        </is>
      </c>
      <c r="AB1491" s="3" t="inlineStr">
        <is>
          <t>1. Simmer the mushrooms and ginger in the broth 8 minutes.
2. Add the tofu and spinach.
3. Whisk in the miso off the heat and finish with green onion.</t>
        </is>
      </c>
      <c r="AC1491" s="4" t="inlineStr">
        <is>
          <t>["Simmer the mushrooms and ginger in the broth 8 minutes.", "Add the tofu and spinach.", "Whisk in the miso off the heat and finish with green onion."]</t>
        </is>
      </c>
    </row>
    <row r="1492" ht="96" customHeight="1">
      <c r="A1492" s="2" t="inlineStr">
        <is>
          <t>DB-1491</t>
        </is>
      </c>
      <c r="B1492" s="3" t="inlineStr">
        <is>
          <t>Tomato Basil Soup with White Beans</t>
        </is>
      </c>
      <c r="C1492" s="4" t="inlineStr">
        <is>
          <t>Soup &amp; Stew</t>
        </is>
      </c>
      <c r="D1492" s="4" t="inlineStr">
        <is>
          <t>Italian</t>
        </is>
      </c>
      <c r="E1492" s="2" t="n">
        <v>5</v>
      </c>
      <c r="F1492" s="2" t="n">
        <v>10</v>
      </c>
      <c r="G1492" s="2" t="n">
        <v>25</v>
      </c>
      <c r="H1492" s="2" t="n">
        <v>35</v>
      </c>
      <c r="I1492" s="4" t="inlineStr">
        <is>
          <t>tomato-basil-soup-with-white-beans.jpg</t>
        </is>
      </c>
      <c r="J1492" s="3" t="inlineStr">
        <is>
          <t>Tomato Basil Soup with White Beans, healthy food photography, plated, natural light</t>
        </is>
      </c>
      <c r="K1492" s="4" t="inlineStr"/>
      <c r="L1492" s="3" t="inlineStr">
        <is>
          <t>Crushed tomatoes, canned — 600 g (21.2 oz)
Cannellini beans, cooked — 250 g (8.8 oz)
Vegetable broth, low sodium — 400 g (14.1 oz)
Yellow onion — 100 g (3.5 oz)
Garlic — 6 g (0.2 oz)
Fresh basil — 10 g (0.4 oz)
Extra-virgin olive oil — 15 g (0.5 oz)</t>
        </is>
      </c>
      <c r="M1492" s="4" t="inlineStr">
        <is>
          <t>[{"ingredient_id": "crushed_tomatoes", "name": "Crushed tomatoes, canned", "grams": 600.0, "note": ""}, {"ingredient_id": "white_beans", "name": "Cannellini beans, cooked", "grams": 250.0, "note": ""}, {"ingredient_id": "vegetable_broth", "name": "Vegetable broth, low sodium", "grams": 400.0, "note": ""}, {"ingredient_id": "onion", "name": "Yellow onion", "grams": 100.0, "note": ""}, {"ingredient_id": "garlic", "name": "Garlic", "grams": 6.0, "note": ""}, {"ingredient_id": "basil", "name": "Fresh basil", "grams": 10.0, "note": ""}, {"ingredient_id": "olive_oil", "name": "Extra-virgin olive oil", "grams": 15.0, "note": ""}]</t>
        </is>
      </c>
      <c r="N1492" s="2" t="n">
        <v>151</v>
      </c>
      <c r="O1492" s="5" t="n">
        <v>7.5</v>
      </c>
      <c r="P1492" s="5" t="n">
        <v>3.8</v>
      </c>
      <c r="Q1492" s="5" t="n">
        <v>24.4</v>
      </c>
      <c r="R1492" s="5" t="n">
        <v>5.8</v>
      </c>
      <c r="S1492" s="5" t="n">
        <v>18.6</v>
      </c>
      <c r="T1492" s="2" t="n">
        <v>29</v>
      </c>
      <c r="U1492" s="2" t="inlineStr">
        <is>
          <t>low</t>
        </is>
      </c>
      <c r="V1492" s="5" t="n">
        <v>5.4</v>
      </c>
      <c r="W1492" s="2" t="inlineStr">
        <is>
          <t>low</t>
        </is>
      </c>
      <c r="X1492" s="3" t="inlineStr"/>
      <c r="Y1492" s="3" t="inlineStr">
        <is>
          <t>50% of this dish's available carbohydrate comes from ingredients with a published, measured GI; the rest uses conventional placeholders (see Ingredients sheet)</t>
        </is>
      </c>
      <c r="Z1492" s="2" t="n">
        <v>50</v>
      </c>
      <c r="AA1492" s="3" t="inlineStr">
        <is>
          <t>vegan, gluten-free, dairy-free, nut-free</t>
        </is>
      </c>
      <c r="AB1492" s="3" t="inlineStr">
        <is>
          <t>1. Soften the onion and garlic in oil.
2. Add the tomatoes, beans and broth and simmer 15 minutes.
3. Blend and finish with basil.</t>
        </is>
      </c>
      <c r="AC1492" s="4" t="inlineStr">
        <is>
          <t>["Soften the onion and garlic in oil.", "Add the tomatoes, beans and broth and simmer 15 minutes.", "Blend and finish with basil."]</t>
        </is>
      </c>
    </row>
    <row r="1493" ht="96" customHeight="1">
      <c r="A1493" s="2" t="inlineStr">
        <is>
          <t>DB-1492</t>
        </is>
      </c>
      <c r="B1493" s="3" t="inlineStr">
        <is>
          <t>Turkey Vegetable Soup with Kale</t>
        </is>
      </c>
      <c r="C1493" s="4" t="inlineStr">
        <is>
          <t>Soup &amp; Stew</t>
        </is>
      </c>
      <c r="D1493" s="4" t="inlineStr">
        <is>
          <t>American</t>
        </is>
      </c>
      <c r="E1493" s="2" t="n">
        <v>6</v>
      </c>
      <c r="F1493" s="2" t="n">
        <v>10</v>
      </c>
      <c r="G1493" s="2" t="n">
        <v>30</v>
      </c>
      <c r="H1493" s="2" t="n">
        <v>40</v>
      </c>
      <c r="I1493" s="4" t="inlineStr">
        <is>
          <t>turkey-vegetable-soup-with-kale.jpg</t>
        </is>
      </c>
      <c r="J1493" s="3" t="inlineStr">
        <is>
          <t>Turkey Vegetable Soup with Kale, healthy food photography, plated, natural light</t>
        </is>
      </c>
      <c r="K1493" s="4" t="inlineStr"/>
      <c r="L1493" s="3" t="inlineStr">
        <is>
          <t>Ground turkey 93% lean — 400 g (14.1 oz)
Kale — 120 g (4.2 oz)
Carrot — 120 g (4.2 oz)
Celery — 80 g (2.8 oz)
Yellow onion — 100 g (3.5 oz)
Diced tomatoes, canned — 300 g (10.6 oz)
Chicken broth, low sodium — 900 g (31.7 oz)
Italian seasoning — 3 g (0.1 oz)</t>
        </is>
      </c>
      <c r="M1493" s="4" t="inlineStr">
        <is>
          <t>[{"ingredient_id": "ground_turkey", "name": "Ground turkey 93% lean", "grams": 400.0, "note": ""}, {"ingredient_id": "kale", "name": "Kale", "grams": 120.0, "note": ""}, {"ingredient_id": "carrot", "name": "Carrot", "grams": 120.0, "note": ""}, {"ingredient_id": "celery", "name": "Celery", "grams": 80.0, "note": ""}, {"ingredient_id": "onion", "name": "Yellow onion", "grams": 100.0, "note": ""}, {"ingredient_id": "diced_tomatoes", "name": "Diced tomatoes, canned", "grams": 300.0, "note": ""}, {"ingredient_id": "chicken_broth", "name": "Chicken broth, low sodium", "grams": 900.0, "note": ""}, {"ingredient_id": "italian_seasoning", "name": "Italian seasoning", "grams": 3.0, "note": ""}]</t>
        </is>
      </c>
      <c r="N1493" s="2" t="n">
        <v>151</v>
      </c>
      <c r="O1493" s="5" t="n">
        <v>15.9</v>
      </c>
      <c r="P1493" s="5" t="n">
        <v>6</v>
      </c>
      <c r="Q1493" s="5" t="n">
        <v>9.199999999999999</v>
      </c>
      <c r="R1493" s="5" t="n">
        <v>2.7</v>
      </c>
      <c r="S1493" s="5" t="n">
        <v>6.5</v>
      </c>
      <c r="T1493" s="2" t="n">
        <v>24</v>
      </c>
      <c r="U1493" s="2" t="inlineStr">
        <is>
          <t>low</t>
        </is>
      </c>
      <c r="V1493" s="5" t="n">
        <v>1.6</v>
      </c>
      <c r="W1493" s="2" t="inlineStr">
        <is>
          <t>low</t>
        </is>
      </c>
      <c r="X1493" s="3" t="inlineStr"/>
      <c r="Y1493" s="3" t="inlineStr">
        <is>
          <t>21% of this dish's available carbohydrate comes from ingredients with a published, measured GI; the rest uses conventional placeholders (see Ingredients sheet)</t>
        </is>
      </c>
      <c r="Z1493" s="2" t="n">
        <v>21</v>
      </c>
      <c r="AA1493" s="3" t="inlineStr">
        <is>
          <t>gluten-free, dairy-free, nut-free, low-carb</t>
        </is>
      </c>
      <c r="AB1493" s="3" t="inlineStr">
        <is>
          <t>1. Brown the turkey with the onion.
2. Add the vegetables, tomatoes, broth and seasoning and simmer 25 minutes.
3. Stir in the kale for the last 5.</t>
        </is>
      </c>
      <c r="AC1493" s="4" t="inlineStr">
        <is>
          <t>["Brown the turkey with the onion.", "Add the vegetables, tomatoes, broth and seasoning and simmer 25 minutes.", "Stir in the kale for the last 5."]</t>
        </is>
      </c>
    </row>
    <row r="1494" ht="96" customHeight="1">
      <c r="A1494" s="2" t="inlineStr">
        <is>
          <t>DB-1493</t>
        </is>
      </c>
      <c r="B1494" s="3" t="inlineStr">
        <is>
          <t>Garlic Herb Pork Tenderloin Medallions</t>
        </is>
      </c>
      <c r="C1494" s="4" t="inlineStr">
        <is>
          <t>Beef, Pork &amp; Lamb</t>
        </is>
      </c>
      <c r="D1494" s="4" t="inlineStr">
        <is>
          <t>American</t>
        </is>
      </c>
      <c r="E1494" s="2" t="n">
        <v>4</v>
      </c>
      <c r="F1494" s="2" t="n">
        <v>10</v>
      </c>
      <c r="G1494" s="2" t="n">
        <v>18</v>
      </c>
      <c r="H1494" s="2" t="n">
        <v>28</v>
      </c>
      <c r="I1494" s="4" t="inlineStr">
        <is>
          <t>garlic-herb-pork-tenderloin-medallions.jpg</t>
        </is>
      </c>
      <c r="J1494" s="3" t="inlineStr">
        <is>
          <t>Garlic Herb Pork Tenderloin Medallions, healthy food photography, plated, natural light</t>
        </is>
      </c>
      <c r="K1494" s="4" t="inlineStr"/>
      <c r="L1494" s="3" t="inlineStr">
        <is>
          <t>Pork tenderloin — 600 g (21.2 oz)
Garlic — 10 g (0.4 oz)
Fresh rosemary — 3 g (0.1 oz)
Fresh thyme — 2 g (0.1 oz)
Extra-virgin olive oil — 20 g (0.7 oz)
Dijon mustard — 15 g (0.5 oz)
Asparagus — 300 g (10.6 oz)</t>
        </is>
      </c>
      <c r="M1494" s="4" t="inlineStr">
        <is>
          <t>[{"ingredient_id": "pork_tenderloin", "name": "Pork tenderloin", "grams": 600.0, "note": ""}, {"ingredient_id": "garlic", "name": "Garlic", "grams": 10.0, "note": ""}, {"ingredient_id": "rosemary", "name": "Fresh rosemary", "grams": 3.0, "note": ""}, {"ingredient_id": "thyme", "name": "Fresh thyme", "grams": 2.0, "note": ""}, {"ingredient_id": "olive_oil", "name": "Extra-virgin olive oil", "grams": 20.0, "note": ""}, {"ingredient_id": "dijon", "name": "Dijon mustard", "grams": 15.0, "note": ""}, {"ingredient_id": "asparagus", "name": "Asparagus", "grams": 300.0, "note": ""}]</t>
        </is>
      </c>
      <c r="N1494" s="2" t="n">
        <v>247</v>
      </c>
      <c r="O1494" s="5" t="n">
        <v>33.5</v>
      </c>
      <c r="P1494" s="5" t="n">
        <v>10.5</v>
      </c>
      <c r="Q1494" s="5" t="n">
        <v>4.2</v>
      </c>
      <c r="R1494" s="5" t="n">
        <v>1.9</v>
      </c>
      <c r="S1494" s="5" t="n">
        <v>2.3</v>
      </c>
      <c r="T1494" s="2" t="n">
        <v>20</v>
      </c>
      <c r="U1494" s="2" t="inlineStr">
        <is>
          <t>low</t>
        </is>
      </c>
      <c r="V1494" s="5" t="n">
        <v>0.5</v>
      </c>
      <c r="W1494" s="2" t="inlineStr">
        <is>
          <t>low</t>
        </is>
      </c>
      <c r="X1494" s="3" t="inlineStr">
        <is>
          <t>Negligible carbohydrate (&lt;5 g net/serving): GI has little practical meaning, glycemic load is what matters.</t>
        </is>
      </c>
      <c r="Y1494" s="3" t="inlineStr">
        <is>
          <t>0% of this dish's available carbohydrate comes from ingredients with a published, measured GI; the rest uses conventional placeholders (see Ingredients sheet)</t>
        </is>
      </c>
      <c r="Z1494" s="2" t="n">
        <v>0</v>
      </c>
      <c r="AA1494" s="3" t="inlineStr">
        <is>
          <t>gluten-free, dairy-free, nut-free, low-carb, high-protein</t>
        </is>
      </c>
      <c r="AB1494" s="3" t="inlineStr">
        <is>
          <t>1. Slice the pork into medallions and rub with garlic, herbs and mustard.
2. Sear in oil 3 minutes a side.
3. Roast the asparagus alongside for 10 minutes.</t>
        </is>
      </c>
      <c r="AC1494" s="4" t="inlineStr">
        <is>
          <t>["Slice the pork into medallions and rub with garlic, herbs and mustard.", "Sear in oil 3 minutes a side.", "Roast the asparagus alongside for 10 minutes."]</t>
        </is>
      </c>
    </row>
    <row r="1495" ht="96" customHeight="1">
      <c r="A1495" s="2" t="inlineStr">
        <is>
          <t>DB-1494</t>
        </is>
      </c>
      <c r="B1495" s="3" t="inlineStr">
        <is>
          <t>Pork Chops with Mushroom Pan Sauce</t>
        </is>
      </c>
      <c r="C1495" s="4" t="inlineStr">
        <is>
          <t>Beef, Pork &amp; Lamb</t>
        </is>
      </c>
      <c r="D1495" s="4" t="inlineStr">
        <is>
          <t>American</t>
        </is>
      </c>
      <c r="E1495" s="2" t="n">
        <v>4</v>
      </c>
      <c r="F1495" s="2" t="n">
        <v>10</v>
      </c>
      <c r="G1495" s="2" t="n">
        <v>25</v>
      </c>
      <c r="H1495" s="2" t="n">
        <v>35</v>
      </c>
      <c r="I1495" s="4" t="inlineStr">
        <is>
          <t>pork-chops-with-mushroom-pan-sauce.jpg</t>
        </is>
      </c>
      <c r="J1495" s="3" t="inlineStr">
        <is>
          <t>Pork Chops with Mushroom Pan Sauce, healthy food photography, plated, natural light</t>
        </is>
      </c>
      <c r="K1495" s="4" t="inlineStr"/>
      <c r="L1495" s="3" t="inlineStr">
        <is>
          <t>Pork loin chop, trimmed — 600 g (21.2 oz)
Mushrooms (cremini/white) — 250 g (8.8 oz)
Chicken broth, low sodium — 150 g (5.3 oz)
Fresh thyme — 2 g (0.1 oz)
Garlic — 6 g (0.2 oz)
Butter — 15 g (0.5 oz)
Extra-virgin olive oil — 10 g (0.4 oz)</t>
        </is>
      </c>
      <c r="M1495" s="4" t="inlineStr">
        <is>
          <t>[{"ingredient_id": "pork_chop", "name": "Pork loin chop, trimmed", "grams": 600.0, "note": ""}, {"ingredient_id": "mushrooms", "name": "Mushrooms (cremini/white)", "grams": 250.0, "note": ""}, {"ingredient_id": "chicken_broth", "name": "Chicken broth, low sodium", "grams": 150.0, "note": ""}, {"ingredient_id": "thyme", "name": "Fresh thyme", "grams": 2.0, "note": ""}, {"ingredient_id": "garlic", "name": "Garlic", "grams": 6.0, "note": ""}, {"ingredient_id": "butter", "name": "Butter", "grams": 15.0, "note": ""}, {"ingredient_id": "olive_oil", "name": "Extra-virgin olive oil", "grams": 10.0, "note": ""}]</t>
        </is>
      </c>
      <c r="N1495" s="2" t="n">
        <v>293</v>
      </c>
      <c r="O1495" s="5" t="n">
        <v>35.5</v>
      </c>
      <c r="P1495" s="5" t="n">
        <v>15.6</v>
      </c>
      <c r="Q1495" s="5" t="n">
        <v>2.9</v>
      </c>
      <c r="R1495" s="5" t="n">
        <v>0.7</v>
      </c>
      <c r="S1495" s="5" t="n">
        <v>2.1</v>
      </c>
      <c r="T1495" s="2" t="n">
        <v>17</v>
      </c>
      <c r="U1495" s="2" t="inlineStr">
        <is>
          <t>low</t>
        </is>
      </c>
      <c r="V1495" s="5" t="n">
        <v>0.4</v>
      </c>
      <c r="W1495" s="2" t="inlineStr">
        <is>
          <t>low</t>
        </is>
      </c>
      <c r="X1495" s="3" t="inlineStr">
        <is>
          <t>Negligible carbohydrate (&lt;5 g net/serving): GI has little practical meaning, glycemic load is what matters.</t>
        </is>
      </c>
      <c r="Y1495" s="3" t="inlineStr">
        <is>
          <t>0% of this dish's available carbohydrate comes from ingredients with a published, measured GI; the rest uses conventional placeholders (see Ingredients sheet)</t>
        </is>
      </c>
      <c r="Z1495" s="2" t="n">
        <v>0</v>
      </c>
      <c r="AA1495" s="3" t="inlineStr">
        <is>
          <t>gluten-free, nut-free, low-carb, high-protein</t>
        </is>
      </c>
      <c r="AB1495" s="3" t="inlineStr">
        <is>
          <t>1. Sear the seasoned chops in oil; set aside.
2. Brown the mushrooms and garlic in butter, add broth and thyme and reduce.
3. Return the chops and simmer 6 minutes.</t>
        </is>
      </c>
      <c r="AC1495" s="4" t="inlineStr">
        <is>
          <t>["Sear the seasoned chops in oil; set aside.", "Brown the mushrooms and garlic in butter, add broth and thyme and reduce.", "Return the chops and simmer 6 minutes."]</t>
        </is>
      </c>
    </row>
    <row r="1496" ht="96" customHeight="1">
      <c r="A1496" s="2" t="inlineStr">
        <is>
          <t>DB-1495</t>
        </is>
      </c>
      <c r="B1496" s="3" t="inlineStr">
        <is>
          <t>Grilled Sirloin with Chimichurri and Roasted Zucchini</t>
        </is>
      </c>
      <c r="C1496" s="4" t="inlineStr">
        <is>
          <t>Beef, Pork &amp; Lamb</t>
        </is>
      </c>
      <c r="D1496" s="4" t="inlineStr">
        <is>
          <t>Argentinian</t>
        </is>
      </c>
      <c r="E1496" s="2" t="n">
        <v>4</v>
      </c>
      <c r="F1496" s="2" t="n">
        <v>15</v>
      </c>
      <c r="G1496" s="2" t="n">
        <v>15</v>
      </c>
      <c r="H1496" s="2" t="n">
        <v>30</v>
      </c>
      <c r="I1496" s="4" t="inlineStr">
        <is>
          <t>grilled-sirloin-with-chimichurri-and-roasted-zucchini.jpg</t>
        </is>
      </c>
      <c r="J1496" s="3" t="inlineStr">
        <is>
          <t>Grilled Sirloin with Chimichurri and Roasted Zucchini, healthy food photography, plated, natural light</t>
        </is>
      </c>
      <c r="K1496" s="4" t="inlineStr"/>
      <c r="L1496" s="3" t="inlineStr">
        <is>
          <t>Beef sirloin, trimmed — 560 g (19.8 oz)
Fresh parsley — 30 g (1.1 oz)
Garlic — 6 g (0.2 oz)
Red wine vinegar — 20 g (0.7 oz)
Extra-virgin olive oil — 40 g (1.4 oz)
Zucchini — 350 g (12.3 oz)
Dried oregano — 2 g (0.1 oz)</t>
        </is>
      </c>
      <c r="M1496" s="4" t="inlineStr">
        <is>
          <t>[{"ingredient_id": "beef_sirloin", "name": "Beef sirloin, trimmed", "grams": 560.0, "note": ""}, {"ingredient_id": "parsley", "name": "Fresh parsley", "grams": 30.0, "note": ""}, {"ingredient_id": "garlic", "name": "Garlic", "grams": 6.0, "note": ""}, {"ingredient_id": "red_wine_vinegar", "name": "Red wine vinegar", "grams": 20.0, "note": ""}, {"ingredient_id": "olive_oil", "name": "Extra-virgin olive oil", "grams": 40.0, "note": ""}, {"ingredient_id": "zucchini", "name": "Zucchini", "grams": 350.0, "note": ""}, {"ingredient_id": "oregano", "name": "Dried oregano", "grams": 2.0, "note": ""}]</t>
        </is>
      </c>
      <c r="N1496" s="2" t="n">
        <v>292</v>
      </c>
      <c r="O1496" s="5" t="n">
        <v>32.2</v>
      </c>
      <c r="P1496" s="5" t="n">
        <v>16.7</v>
      </c>
      <c r="Q1496" s="5" t="n">
        <v>4</v>
      </c>
      <c r="R1496" s="5" t="n">
        <v>1.4</v>
      </c>
      <c r="S1496" s="5" t="n">
        <v>2.7</v>
      </c>
      <c r="T1496" s="2" t="n">
        <v>18</v>
      </c>
      <c r="U1496" s="2" t="inlineStr">
        <is>
          <t>low</t>
        </is>
      </c>
      <c r="V1496" s="5" t="n">
        <v>0.5</v>
      </c>
      <c r="W1496" s="2" t="inlineStr">
        <is>
          <t>low</t>
        </is>
      </c>
      <c r="X1496" s="3" t="inlineStr">
        <is>
          <t>Negligible carbohydrate (&lt;5 g net/serving): GI has little practical meaning, glycemic load is what matters.</t>
        </is>
      </c>
      <c r="Y1496" s="3" t="inlineStr">
        <is>
          <t>0% of this dish's available carbohydrate comes from ingredients with a published, measured GI; the rest uses conventional placeholders (see Ingredients sheet)</t>
        </is>
      </c>
      <c r="Z1496" s="2" t="n">
        <v>0</v>
      </c>
      <c r="AA1496" s="3" t="inlineStr">
        <is>
          <t>gluten-free, dairy-free, nut-free, low-carb, high-protein</t>
        </is>
      </c>
      <c r="AB1496" s="3" t="inlineStr">
        <is>
          <t>1. Grill the steak to taste and rest.
2. Chop the parsley with garlic, vinegar, oil and oregano.
3. Roast the zucchini slices and serve everything together.</t>
        </is>
      </c>
      <c r="AC1496" s="4" t="inlineStr">
        <is>
          <t>["Grill the steak to taste and rest.", "Chop the parsley with garlic, vinegar, oil and oregano.", "Roast the zucchini slices and serve everything together."]</t>
        </is>
      </c>
    </row>
    <row r="1497" ht="96" customHeight="1">
      <c r="A1497" s="2" t="inlineStr">
        <is>
          <t>DB-1496</t>
        </is>
      </c>
      <c r="B1497" s="3" t="inlineStr">
        <is>
          <t>Italian Beef Stew with Peppers and Tomatoes</t>
        </is>
      </c>
      <c r="C1497" s="4" t="inlineStr">
        <is>
          <t>Beef, Pork &amp; Lamb</t>
        </is>
      </c>
      <c r="D1497" s="4" t="inlineStr">
        <is>
          <t>Italian</t>
        </is>
      </c>
      <c r="E1497" s="2" t="n">
        <v>6</v>
      </c>
      <c r="F1497" s="2" t="n">
        <v>20</v>
      </c>
      <c r="G1497" s="2" t="n">
        <v>110</v>
      </c>
      <c r="H1497" s="2" t="n">
        <v>130</v>
      </c>
      <c r="I1497" s="4" t="inlineStr">
        <is>
          <t>italian-beef-stew-with-peppers-and-tomatoes.jpg</t>
        </is>
      </c>
      <c r="J1497" s="3" t="inlineStr">
        <is>
          <t>Italian Beef Stew with Peppers and Tomatoes, healthy food photography, plated, natural light</t>
        </is>
      </c>
      <c r="K1497" s="4" t="inlineStr"/>
      <c r="L1497" s="3" t="inlineStr">
        <is>
          <t>Beef chuck roast, trimmed — 800 g (28.2 oz)
Bell pepper — 250 g (8.8 oz)
Diced tomatoes, canned — 400 g (14.1 oz)
Yellow onion — 150 g (5.3 oz)
Garlic — 8 g (0.3 oz)
Beef broth, low sodium — 300 g (10.6 oz)
Italian seasoning — 4 g (0.1 oz)
Extra-virgin olive oil — 15 g (0.5 oz)</t>
        </is>
      </c>
      <c r="M1497" s="4" t="inlineStr">
        <is>
          <t>[{"ingredient_id": "beef_chuck", "name": "Beef chuck roast, trimmed", "grams": 800.0, "note": ""}, {"ingredient_id": "bell_pepper", "name": "Bell pepper", "grams": 250.0, "note": ""}, {"ingredient_id": "diced_tomatoes", "name": "Diced tomatoes, canned", "grams": 400.0, "note": ""}, {"ingredient_id": "onion", "name": "Yellow onion", "grams": 150.0, "note": ""}, {"ingredient_id": "garlic", "name": "Garlic", "grams": 8.0, "note": ""}, {"ingredient_id": "beef_broth", "name": "Beef broth, low sodium", "grams": 300.0, "note": ""}, {"ingredient_id": "italian_seasoning", "name": "Italian seasoning", "grams": 4.0, "note": ""}, {"ingredient_id": "olive_oil", "name": "Extra-virgin olive oil", "grams": 15.0, "note": ""}]</t>
        </is>
      </c>
      <c r="N1497" s="2" t="n">
        <v>308</v>
      </c>
      <c r="O1497" s="5" t="n">
        <v>29</v>
      </c>
      <c r="P1497" s="5" t="n">
        <v>17.6</v>
      </c>
      <c r="Q1497" s="5" t="n">
        <v>9.300000000000001</v>
      </c>
      <c r="R1497" s="5" t="n">
        <v>2.6</v>
      </c>
      <c r="S1497" s="5" t="n">
        <v>6.6</v>
      </c>
      <c r="T1497" s="2" t="n">
        <v>22</v>
      </c>
      <c r="U1497" s="2" t="inlineStr">
        <is>
          <t>low</t>
        </is>
      </c>
      <c r="V1497" s="5" t="n">
        <v>1.5</v>
      </c>
      <c r="W1497" s="2" t="inlineStr">
        <is>
          <t>low</t>
        </is>
      </c>
      <c r="X1497" s="3" t="inlineStr"/>
      <c r="Y1497" s="3" t="inlineStr">
        <is>
          <t>0% of this dish's available carbohydrate comes from ingredients with a published, measured GI; the rest uses conventional placeholders (see Ingredients sheet)</t>
        </is>
      </c>
      <c r="Z1497" s="2" t="n">
        <v>0</v>
      </c>
      <c r="AA1497" s="3" t="inlineStr">
        <is>
          <t>gluten-free, dairy-free, nut-free, low-carb, high-protein</t>
        </is>
      </c>
      <c r="AB1497" s="3" t="inlineStr">
        <is>
          <t>1. Brown the cubed beef in oil.
2. Add the onion, garlic, peppers, tomatoes, broth and seasoning.
3. Simmer covered 100 minutes until tender.</t>
        </is>
      </c>
      <c r="AC1497" s="4" t="inlineStr">
        <is>
          <t>["Brown the cubed beef in oil.", "Add the onion, garlic, peppers, tomatoes, broth and seasoning.", "Simmer covered 100 minutes until tender."]</t>
        </is>
      </c>
    </row>
    <row r="1498" ht="96" customHeight="1">
      <c r="A1498" s="2" t="inlineStr">
        <is>
          <t>DB-1497</t>
        </is>
      </c>
      <c r="B1498" s="3" t="inlineStr">
        <is>
          <t>Steak Tips with Garlic Butter Mushrooms</t>
        </is>
      </c>
      <c r="C1498" s="4" t="inlineStr">
        <is>
          <t>Beef, Pork &amp; Lamb</t>
        </is>
      </c>
      <c r="D1498" s="4" t="inlineStr">
        <is>
          <t>American</t>
        </is>
      </c>
      <c r="E1498" s="2" t="n">
        <v>4</v>
      </c>
      <c r="F1498" s="2" t="n">
        <v>10</v>
      </c>
      <c r="G1498" s="2" t="n">
        <v>15</v>
      </c>
      <c r="H1498" s="2" t="n">
        <v>25</v>
      </c>
      <c r="I1498" s="4" t="inlineStr">
        <is>
          <t>steak-tips-with-garlic-butter-mushrooms.jpg</t>
        </is>
      </c>
      <c r="J1498" s="3" t="inlineStr">
        <is>
          <t>Steak Tips with Garlic Butter Mushrooms, healthy food photography, plated, natural light</t>
        </is>
      </c>
      <c r="K1498" s="4" t="inlineStr"/>
      <c r="L1498" s="3" t="inlineStr">
        <is>
          <t>Beef sirloin, trimmed — 560 g (19.8 oz)
Mushrooms (cremini/white) — 300 g (10.6 oz)
Garlic — 8 g (0.3 oz)
Butter — 30 g (1.1 oz)
Fresh parsley — 5 g (0.2 oz)
Salt — 3 g (0.1 oz)</t>
        </is>
      </c>
      <c r="M1498" s="4" t="inlineStr">
        <is>
          <t>[{"ingredient_id": "beef_sirloin", "name": "Beef sirloin, trimmed", "grams": 560.0, "note": ""}, {"ingredient_id": "mushrooms", "name": "Mushrooms (cremini/white)", "grams": 300.0, "note": ""}, {"ingredient_id": "garlic", "name": "Garlic", "grams": 8.0, "note": ""}, {"ingredient_id": "butter", "name": "Butter", "grams": 30.0, "note": ""}, {"ingredient_id": "parsley", "name": "Fresh parsley", "grams": 5.0, "note": ""}, {"ingredient_id": "salt", "name": "Salt", "grams": 3.0, "note": ""}]</t>
        </is>
      </c>
      <c r="N1498" s="2" t="n">
        <v>256</v>
      </c>
      <c r="O1498" s="5" t="n">
        <v>33.4</v>
      </c>
      <c r="P1498" s="5" t="n">
        <v>12.6</v>
      </c>
      <c r="Q1498" s="5" t="n">
        <v>3.2</v>
      </c>
      <c r="R1498" s="5" t="n">
        <v>0.8</v>
      </c>
      <c r="S1498" s="5" t="n">
        <v>2.4</v>
      </c>
      <c r="T1498" s="2" t="n">
        <v>19</v>
      </c>
      <c r="U1498" s="2" t="inlineStr">
        <is>
          <t>low</t>
        </is>
      </c>
      <c r="V1498" s="5" t="n">
        <v>0.5</v>
      </c>
      <c r="W1498" s="2" t="inlineStr">
        <is>
          <t>low</t>
        </is>
      </c>
      <c r="X1498" s="3" t="inlineStr">
        <is>
          <t>Negligible carbohydrate (&lt;5 g net/serving): GI has little practical meaning, glycemic load is what matters.</t>
        </is>
      </c>
      <c r="Y1498" s="3" t="inlineStr">
        <is>
          <t>0% of this dish's available carbohydrate comes from ingredients with a published, measured GI; the rest uses conventional placeholders (see Ingredients sheet)</t>
        </is>
      </c>
      <c r="Z1498" s="2" t="n">
        <v>0</v>
      </c>
      <c r="AA1498" s="3" t="inlineStr">
        <is>
          <t>gluten-free, nut-free, low-carb, high-protein</t>
        </is>
      </c>
      <c r="AB1498" s="3" t="inlineStr">
        <is>
          <t>1. Sear the cubed steak in a hot pan, 2 minutes a side, and set aside.
2. Brown the mushrooms in butter with garlic.
3. Return the steak and finish with parsley.</t>
        </is>
      </c>
      <c r="AC1498" s="4" t="inlineStr">
        <is>
          <t>["Sear the cubed steak in a hot pan, 2 minutes a side, and set aside.", "Brown the mushrooms in butter with garlic.", "Return the steak and finish with parsley."]</t>
        </is>
      </c>
    </row>
    <row r="1499" ht="96" customHeight="1">
      <c r="A1499" s="2" t="inlineStr">
        <is>
          <t>DB-1498</t>
        </is>
      </c>
      <c r="B1499" s="3" t="inlineStr">
        <is>
          <t>Beef and Vegetable Kebabs</t>
        </is>
      </c>
      <c r="C1499" s="4" t="inlineStr">
        <is>
          <t>Beef, Pork &amp; Lamb</t>
        </is>
      </c>
      <c r="D1499" s="4" t="inlineStr">
        <is>
          <t>Middle Eastern</t>
        </is>
      </c>
      <c r="E1499" s="2" t="n">
        <v>4</v>
      </c>
      <c r="F1499" s="2" t="n">
        <v>20</v>
      </c>
      <c r="G1499" s="2" t="n">
        <v>12</v>
      </c>
      <c r="H1499" s="2" t="n">
        <v>32</v>
      </c>
      <c r="I1499" s="4" t="inlineStr">
        <is>
          <t>beef-and-vegetable-kebabs.jpg</t>
        </is>
      </c>
      <c r="J1499" s="3" t="inlineStr">
        <is>
          <t>Beef and Vegetable Kebabs, healthy food photography, plated, natural light</t>
        </is>
      </c>
      <c r="K1499" s="4" t="inlineStr"/>
      <c r="L1499" s="3" t="inlineStr">
        <is>
          <t>Beef sirloin, trimmed — 500 g (17.6 oz)
Bell pepper — 200 g (7.1 oz)
Red onion — 100 g (3.5 oz)
Zucchini — 200 g (7.1 oz)
Extra-virgin olive oil — 25 g (0.9 oz)
Ground cumin — 3 g (0.1 oz)
Paprika — 3 g (0.1 oz)
Lemon juice — 20 g (0.7 oz)</t>
        </is>
      </c>
      <c r="M1499" s="4" t="inlineStr">
        <is>
          <t>[{"ingredient_id": "beef_sirloin", "name": "Beef sirloin, trimmed", "grams": 500.0, "note": ""}, {"ingredient_id": "bell_pepper", "name": "Bell pepper", "grams": 200.0, "note": ""}, {"ingredient_id": "red_onion", "name": "Red onion", "grams": 100.0, "note": ""}, {"ingredient_id": "zucchini", "name": "Zucchini", "grams": 200.0, "note": ""}, {"ingredient_id": "olive_oil", "name": "Extra-virgin olive oil", "grams": 25.0, "note": ""}, {"ingredient_id": "cumin", "name": "Ground cumin", "grams": 3.0, "note": ""}, {"ingredient_id": "paprika", "name": "Paprika", "grams": 3.0, "note": ""}, {"ingredient_id": "lemon_juice", "name": "Lemon juice", "grams": 20.0, "note": ""}]</t>
        </is>
      </c>
      <c r="N1499" s="2" t="n">
        <v>258</v>
      </c>
      <c r="O1499" s="5" t="n">
        <v>29.1</v>
      </c>
      <c r="P1499" s="5" t="n">
        <v>12.5</v>
      </c>
      <c r="Q1499" s="5" t="n">
        <v>8</v>
      </c>
      <c r="R1499" s="5" t="n">
        <v>2.3</v>
      </c>
      <c r="S1499" s="5" t="n">
        <v>5.6</v>
      </c>
      <c r="T1499" s="2" t="n">
        <v>15</v>
      </c>
      <c r="U1499" s="2" t="inlineStr">
        <is>
          <t>low</t>
        </is>
      </c>
      <c r="V1499" s="5" t="n">
        <v>0.8</v>
      </c>
      <c r="W1499" s="2" t="inlineStr">
        <is>
          <t>low</t>
        </is>
      </c>
      <c r="X1499" s="3" t="inlineStr"/>
      <c r="Y1499" s="3" t="inlineStr">
        <is>
          <t>0% of this dish's available carbohydrate comes from ingredients with a published, measured GI; the rest uses conventional placeholders (see Ingredients sheet)</t>
        </is>
      </c>
      <c r="Z1499" s="2" t="n">
        <v>0</v>
      </c>
      <c r="AA1499" s="3" t="inlineStr">
        <is>
          <t>gluten-free, dairy-free, nut-free, low-carb, high-protein</t>
        </is>
      </c>
      <c r="AB1499" s="3" t="inlineStr">
        <is>
          <t>1. Marinate the beef cubes in oil, spices and lemon.
2. Thread onto skewers with the vegetables.
3. Grill 10 to 12 minutes, turning.</t>
        </is>
      </c>
      <c r="AC1499" s="4" t="inlineStr">
        <is>
          <t>["Marinate the beef cubes in oil, spices and lemon.", "Thread onto skewers with the vegetables.", "Grill 10 to 12 minutes, turning."]</t>
        </is>
      </c>
    </row>
    <row r="1500" ht="96" customHeight="1">
      <c r="A1500" s="2" t="inlineStr">
        <is>
          <t>DB-1499</t>
        </is>
      </c>
      <c r="B1500" s="3" t="inlineStr">
        <is>
          <t>Lamb Burgers with Feta and Cucumber Yogurt</t>
        </is>
      </c>
      <c r="C1500" s="4" t="inlineStr">
        <is>
          <t>Beef, Pork &amp; Lamb</t>
        </is>
      </c>
      <c r="D1500" s="4" t="inlineStr">
        <is>
          <t>Greek</t>
        </is>
      </c>
      <c r="E1500" s="2" t="n">
        <v>4</v>
      </c>
      <c r="F1500" s="2" t="n">
        <v>15</v>
      </c>
      <c r="G1500" s="2" t="n">
        <v>12</v>
      </c>
      <c r="H1500" s="2" t="n">
        <v>27</v>
      </c>
      <c r="I1500" s="4" t="inlineStr">
        <is>
          <t>lamb-burgers-with-feta-and-cucumber-yogurt.jpg</t>
        </is>
      </c>
      <c r="J1500" s="3" t="inlineStr">
        <is>
          <t>Lamb Burgers with Feta and Cucumber Yogurt, healthy food photography, plated, natural light</t>
        </is>
      </c>
      <c r="K1500" s="4" t="inlineStr"/>
      <c r="L1500" s="3" t="inlineStr">
        <is>
          <t>Ground lamb — 500 g (17.6 oz)
Feta cheese — 60 g (2.1 oz)
Greek yogurt, plain 2% — 120 g (4.2 oz)
Cucumber — 100 g (3.5 oz)
Fresh mint — 6 g (0.2 oz)
Garlic — 6 g (0.2 oz)
Ground cumin — 2 g (0.1 oz)
Romaine lettuce — 100 g (3.5 oz)</t>
        </is>
      </c>
      <c r="M1500" s="4" t="inlineStr">
        <is>
          <t>[{"ingredient_id": "ground_lamb", "name": "Ground lamb", "grams": 500.0, "note": ""}, {"ingredient_id": "feta", "name": "Feta cheese", "grams": 60.0, "note": ""}, {"ingredient_id": "greek_yogurt", "name": "Greek yogurt, plain 2%", "grams": 120.0, "note": ""}, {"ingredient_id": "cucumber", "name": "Cucumber", "grams": 100.0, "note": ""}, {"ingredient_id": "mint", "name": "Fresh mint", "grams": 6.0, "note": ""}, {"ingredient_id": "garlic", "name": "Garlic", "grams": 6.0, "note": ""}, {"ingredient_id": "cumin", "name": "Ground cumin", "grams": 2.0, "note": ""}, {"ingredient_id": "romaine", "name": "Romaine lettuce", "grams": 100.0, "note": ""}]</t>
        </is>
      </c>
      <c r="N1500" s="2" t="n">
        <v>427</v>
      </c>
      <c r="O1500" s="5" t="n">
        <v>27.1</v>
      </c>
      <c r="P1500" s="5" t="n">
        <v>32.7</v>
      </c>
      <c r="Q1500" s="5" t="n">
        <v>4.4</v>
      </c>
      <c r="R1500" s="5" t="n">
        <v>0.8</v>
      </c>
      <c r="S1500" s="5" t="n">
        <v>3.5</v>
      </c>
      <c r="T1500" s="2" t="n">
        <v>13</v>
      </c>
      <c r="U1500" s="2" t="inlineStr">
        <is>
          <t>low</t>
        </is>
      </c>
      <c r="V1500" s="5" t="n">
        <v>0.5</v>
      </c>
      <c r="W1500" s="2" t="inlineStr">
        <is>
          <t>low</t>
        </is>
      </c>
      <c r="X1500" s="3" t="inlineStr">
        <is>
          <t>Negligible carbohydrate (&lt;5 g net/serving): GI has little practical meaning, glycemic load is what matters.</t>
        </is>
      </c>
      <c r="Y1500" s="3" t="inlineStr">
        <is>
          <t>34% of this dish's available carbohydrate comes from ingredients with a published, measured GI; the rest uses conventional placeholders (see Ingredients sheet)</t>
        </is>
      </c>
      <c r="Z1500" s="2" t="n">
        <v>34</v>
      </c>
      <c r="AA1500" s="3" t="inlineStr">
        <is>
          <t>gluten-free, nut-free, low-carb, high-protein</t>
        </is>
      </c>
      <c r="AB1500" s="3" t="inlineStr">
        <is>
          <t>1. Mix the lamb with feta, garlic, cumin and half the mint and shape four patties.
2. Grill 5 minutes a side.
3. Stir the yogurt with grated cucumber and the rest of the mint.
4. Serve in lettuce with the sauce.</t>
        </is>
      </c>
      <c r="AC1500" s="4" t="inlineStr">
        <is>
          <t>["Mix the lamb with feta, garlic, cumin and half the mint and shape four patties.", "Grill 5 minutes a side.", "Stir the yogurt with grated cucumber and the rest of the mint.", "Serve in lettuce with the sauce."]</t>
        </is>
      </c>
    </row>
    <row r="1501" ht="96" customHeight="1">
      <c r="A1501" s="2" t="inlineStr">
        <is>
          <t>DB-1500</t>
        </is>
      </c>
      <c r="B1501" s="3" t="inlineStr">
        <is>
          <t>Slow Cooker Lamb Shoulder with Rosemary and Garlic</t>
        </is>
      </c>
      <c r="C1501" s="4" t="inlineStr">
        <is>
          <t>Beef, Pork &amp; Lamb</t>
        </is>
      </c>
      <c r="D1501" s="4" t="inlineStr">
        <is>
          <t>American</t>
        </is>
      </c>
      <c r="E1501" s="2" t="n">
        <v>6</v>
      </c>
      <c r="F1501" s="2" t="n">
        <v>15</v>
      </c>
      <c r="G1501" s="2" t="n">
        <v>420</v>
      </c>
      <c r="H1501" s="2" t="n">
        <v>435</v>
      </c>
      <c r="I1501" s="4" t="inlineStr">
        <is>
          <t>slow-cooker-lamb-shoulder-with-rosemary-and-garlic.jpg</t>
        </is>
      </c>
      <c r="J1501" s="3" t="inlineStr">
        <is>
          <t>Slow Cooker Lamb Shoulder with Rosemary and Garlic, healthy food photography, plated, natural light</t>
        </is>
      </c>
      <c r="K1501" s="4" t="inlineStr"/>
      <c r="L1501" s="3" t="inlineStr">
        <is>
          <t>Lamb leg, trimmed — 1000 g (35.3 oz)
Fresh rosemary — 4 g (0.1 oz)
Garlic — 12 g (0.4 oz)
Yellow onion — 150 g (5.3 oz)
Beef broth, low sodium — 200 g (7.1 oz)
Lemon juice — 20 g (0.7 oz)
Carrot — 250 g (8.8 oz)</t>
        </is>
      </c>
      <c r="M1501" s="4" t="inlineStr">
        <is>
          <t>[{"ingredient_id": "lamb_leg", "name": "Lamb leg, trimmed", "grams": 1000.0, "note": ""}, {"ingredient_id": "rosemary", "name": "Fresh rosemary", "grams": 4.0, "note": ""}, {"ingredient_id": "garlic", "name": "Garlic", "grams": 12.0, "note": ""}, {"ingredient_id": "onion", "name": "Yellow onion", "grams": 150.0, "note": ""}, {"ingredient_id": "beef_broth", "name": "Beef broth, low sodium", "grams": 200.0, "note": ""}, {"ingredient_id": "lemon_juice", "name": "Lemon juice", "grams": 20.0, "note": ""}, {"ingredient_id": "carrot", "name": "Carrot", "grams": 250.0, "note": ""}]</t>
        </is>
      </c>
      <c r="N1501" s="2" t="n">
        <v>301</v>
      </c>
      <c r="O1501" s="5" t="n">
        <v>34.6</v>
      </c>
      <c r="P1501" s="5" t="n">
        <v>15.2</v>
      </c>
      <c r="Q1501" s="5" t="n">
        <v>7.5</v>
      </c>
      <c r="R1501" s="5" t="n">
        <v>1.7</v>
      </c>
      <c r="S1501" s="5" t="n">
        <v>5.7</v>
      </c>
      <c r="T1501" s="2" t="n">
        <v>28</v>
      </c>
      <c r="U1501" s="2" t="inlineStr">
        <is>
          <t>low</t>
        </is>
      </c>
      <c r="V1501" s="5" t="n">
        <v>1.6</v>
      </c>
      <c r="W1501" s="2" t="inlineStr">
        <is>
          <t>low</t>
        </is>
      </c>
      <c r="X1501" s="3" t="inlineStr"/>
      <c r="Y1501" s="3" t="inlineStr">
        <is>
          <t>49% of this dish's available carbohydrate comes from ingredients with a published, measured GI; the rest uses conventional placeholders (see Ingredients sheet)</t>
        </is>
      </c>
      <c r="Z1501" s="2" t="n">
        <v>49</v>
      </c>
      <c r="AA1501" s="3" t="inlineStr">
        <is>
          <t>gluten-free, dairy-free, nut-free, low-carb, high-protein, slow-cooker</t>
        </is>
      </c>
      <c r="AB1501" s="3" t="inlineStr">
        <is>
          <t>1. Stud the lamb with garlic and rosemary.
2. Set on the onion and carrots in the slow cooker with broth and lemon.
3. Cook on low 7 hours.</t>
        </is>
      </c>
      <c r="AC1501" s="4" t="inlineStr">
        <is>
          <t>["Stud the lamb with garlic and rosemary.", "Set on the onion and carrots in the slow cooker with broth and lemon.", "Cook on low 7 hours."]</t>
        </is>
      </c>
    </row>
    <row r="1502" ht="96" customHeight="1">
      <c r="A1502" s="2" t="inlineStr">
        <is>
          <t>DB-1501</t>
        </is>
      </c>
      <c r="B1502" s="3" t="inlineStr">
        <is>
          <t>Greek Lamb Meatballs in Tomato Sauce</t>
        </is>
      </c>
      <c r="C1502" s="4" t="inlineStr">
        <is>
          <t>Beef, Pork &amp; Lamb</t>
        </is>
      </c>
      <c r="D1502" s="4" t="inlineStr">
        <is>
          <t>Greek</t>
        </is>
      </c>
      <c r="E1502" s="2" t="n">
        <v>5</v>
      </c>
      <c r="F1502" s="2" t="n">
        <v>20</v>
      </c>
      <c r="G1502" s="2" t="n">
        <v>25</v>
      </c>
      <c r="H1502" s="2" t="n">
        <v>45</v>
      </c>
      <c r="I1502" s="4" t="inlineStr">
        <is>
          <t>greek-lamb-meatballs-in-tomato-sauce.jpg</t>
        </is>
      </c>
      <c r="J1502" s="3" t="inlineStr">
        <is>
          <t>Greek Lamb Meatballs in Tomato Sauce, healthy food photography, plated, natural light</t>
        </is>
      </c>
      <c r="K1502" s="4" t="inlineStr"/>
      <c r="L1502" s="3" t="inlineStr">
        <is>
          <t>Ground lamb — 450 g (15.9 oz)
Egg, large (50 g each) — 50 g (1.8 oz)
Oat bran, dry — 30 g (1.1 oz)
Marinara sauce, no sugar added — 400 g (14.1 oz)
Dried oregano — 3 g (0.1 oz)
Garlic — 6 g (0.2 oz)
Feta cheese — 40 g (1.4 oz)
Fresh parsley — 5 g (0.2 oz)</t>
        </is>
      </c>
      <c r="M1502" s="4" t="inlineStr">
        <is>
          <t>[{"ingredient_id": "ground_lamb", "name": "Ground lamb", "grams": 450.0, "note": ""}, {"ingredient_id": "egg", "name": "Egg, large (50 g each)", "grams": 50.0, "note": ""}, {"ingredient_id": "oat_bran", "name": "Oat bran, dry", "grams": 30.0, "note": ""}, {"ingredient_id": "marinara", "name": "Marinara sauce, no sugar added", "grams": 400.0, "note": ""}, {"ingredient_id": "oregano", "name": "Dried oregano", "grams": 3.0, "note": ""}, {"ingredient_id": "garlic", "name": "Garlic", "grams": 6.0, "note": ""}, {"ingredient_id": "feta", "name": "Feta cheese", "grams": 40.0, "note": ""}, {"ingredient_id": "parsley", "name": "Fresh parsley", "grams": 5.0, "note": ""}]</t>
        </is>
      </c>
      <c r="N1502" s="2" t="n">
        <v>344</v>
      </c>
      <c r="O1502" s="5" t="n">
        <v>20.1</v>
      </c>
      <c r="P1502" s="5" t="n">
        <v>25.8</v>
      </c>
      <c r="Q1502" s="5" t="n">
        <v>9.199999999999999</v>
      </c>
      <c r="R1502" s="5" t="n">
        <v>2.4</v>
      </c>
      <c r="S1502" s="5" t="n">
        <v>6.8</v>
      </c>
      <c r="T1502" s="2" t="n">
        <v>41</v>
      </c>
      <c r="U1502" s="2" t="inlineStr">
        <is>
          <t>low</t>
        </is>
      </c>
      <c r="V1502" s="5" t="n">
        <v>2.8</v>
      </c>
      <c r="W1502" s="2" t="inlineStr">
        <is>
          <t>low</t>
        </is>
      </c>
      <c r="X1502" s="3" t="inlineStr"/>
      <c r="Y1502" s="3" t="inlineStr">
        <is>
          <t>86% of this dish's available carbohydrate comes from ingredients with a published, measured GI; the rest uses conventional placeholders (see Ingredients sheet)</t>
        </is>
      </c>
      <c r="Z1502" s="2" t="n">
        <v>86</v>
      </c>
      <c r="AA1502" s="3" t="inlineStr">
        <is>
          <t>nut-free, low-carb</t>
        </is>
      </c>
      <c r="AB1502" s="3" t="inlineStr">
        <is>
          <t>1. Mix the lamb, egg, oat bran, garlic and oregano and shape meatballs.
2. Brown, then simmer in the marinara 15 minutes.
3. Top with feta and parsley.</t>
        </is>
      </c>
      <c r="AC1502" s="4" t="inlineStr">
        <is>
          <t>["Mix the lamb, egg, oat bran, garlic and oregano and shape meatballs.", "Brown, then simmer in the marinara 15 minutes.", "Top with feta and parsley."]</t>
        </is>
      </c>
    </row>
    <row r="1503" ht="96" customHeight="1">
      <c r="A1503" s="2" t="inlineStr">
        <is>
          <t>DB-1502</t>
        </is>
      </c>
      <c r="B1503" s="3" t="inlineStr">
        <is>
          <t>Ground Beef and Cabbage Skillet</t>
        </is>
      </c>
      <c r="C1503" s="4" t="inlineStr">
        <is>
          <t>Beef, Pork &amp; Lamb</t>
        </is>
      </c>
      <c r="D1503" s="4" t="inlineStr">
        <is>
          <t>American</t>
        </is>
      </c>
      <c r="E1503" s="2" t="n">
        <v>4</v>
      </c>
      <c r="F1503" s="2" t="n">
        <v>10</v>
      </c>
      <c r="G1503" s="2" t="n">
        <v>20</v>
      </c>
      <c r="H1503" s="2" t="n">
        <v>30</v>
      </c>
      <c r="I1503" s="4" t="inlineStr">
        <is>
          <t>ground-beef-and-cabbage-skillet.jpg</t>
        </is>
      </c>
      <c r="J1503" s="3" t="inlineStr">
        <is>
          <t>Ground Beef and Cabbage Skillet, healthy food photography, plated, natural light</t>
        </is>
      </c>
      <c r="K1503" s="4" t="inlineStr"/>
      <c r="L1503" s="3" t="inlineStr">
        <is>
          <t>Ground beef 90% lean — 450 g (15.9 oz)
Green cabbage — 500 g (17.6 oz)
Yellow onion — 100 g (3.5 oz)
Garlic — 6 g (0.2 oz)
Tomato paste — 30 g (1.1 oz)
Beef broth, low sodium — 100 g (3.5 oz)
Smoked paprika — 2 g (0.1 oz)</t>
        </is>
      </c>
      <c r="M1503" s="4" t="inlineStr">
        <is>
          <t>[{"ingredient_id": "ground_beef", "name": "Ground beef 90% lean", "grams": 450.0, "note": ""}, {"ingredient_id": "cabbage", "name": "Green cabbage", "grams": 500.0, "note": ""}, {"ingredient_id": "onion", "name": "Yellow onion", "grams": 100.0, "note": ""}, {"ingredient_id": "garlic", "name": "Garlic", "grams": 6.0, "note": ""}, {"ingredient_id": "tomato_paste", "name": "Tomato paste", "grams": 30.0, "note": ""}, {"ingredient_id": "beef_broth", "name": "Beef broth, low sodium", "grams": 100.0, "note": ""}, {"ingredient_id": "smoked_paprika", "name": "Smoked paprika", "grams": 2.0, "note": ""}]</t>
        </is>
      </c>
      <c r="N1503" s="2" t="n">
        <v>251</v>
      </c>
      <c r="O1503" s="5" t="n">
        <v>25.2</v>
      </c>
      <c r="P1503" s="5" t="n">
        <v>11.6</v>
      </c>
      <c r="Q1503" s="5" t="n">
        <v>11.9</v>
      </c>
      <c r="R1503" s="5" t="n">
        <v>4.1</v>
      </c>
      <c r="S1503" s="5" t="n">
        <v>7.8</v>
      </c>
      <c r="T1503" s="2" t="n">
        <v>19</v>
      </c>
      <c r="U1503" s="2" t="inlineStr">
        <is>
          <t>low</t>
        </is>
      </c>
      <c r="V1503" s="5" t="n">
        <v>1.5</v>
      </c>
      <c r="W1503" s="2" t="inlineStr">
        <is>
          <t>low</t>
        </is>
      </c>
      <c r="X1503" s="3" t="inlineStr"/>
      <c r="Y1503" s="3" t="inlineStr">
        <is>
          <t>0% of this dish's available carbohydrate comes from ingredients with a published, measured GI; the rest uses conventional placeholders (see Ingredients sheet)</t>
        </is>
      </c>
      <c r="Z1503" s="2" t="n">
        <v>0</v>
      </c>
      <c r="AA1503" s="3" t="inlineStr">
        <is>
          <t>gluten-free, dairy-free, nut-free, low-carb, high-protein, one-pan</t>
        </is>
      </c>
      <c r="AB1503" s="3" t="inlineStr">
        <is>
          <t>1. Brown the beef with the onion and garlic.
2. Add the cabbage, paste, broth and paprika.
3. Cook covered 12 minutes.</t>
        </is>
      </c>
      <c r="AC1503" s="4" t="inlineStr">
        <is>
          <t>["Brown the beef with the onion and garlic.", "Add the cabbage, paste, broth and paprika.", "Cook covered 12 minutes."]</t>
        </is>
      </c>
    </row>
    <row r="1504" ht="96" customHeight="1">
      <c r="A1504" s="2" t="inlineStr">
        <is>
          <t>DB-1503</t>
        </is>
      </c>
      <c r="B1504" s="3" t="inlineStr">
        <is>
          <t>Taco-Stuffed Zucchini Boats</t>
        </is>
      </c>
      <c r="C1504" s="4" t="inlineStr">
        <is>
          <t>Beef, Pork &amp; Lamb</t>
        </is>
      </c>
      <c r="D1504" s="4" t="inlineStr">
        <is>
          <t>Tex-Mex</t>
        </is>
      </c>
      <c r="E1504" s="2" t="n">
        <v>4</v>
      </c>
      <c r="F1504" s="2" t="n">
        <v>15</v>
      </c>
      <c r="G1504" s="2" t="n">
        <v>30</v>
      </c>
      <c r="H1504" s="2" t="n">
        <v>45</v>
      </c>
      <c r="I1504" s="4" t="inlineStr">
        <is>
          <t>taco-stuffed-zucchini-boats.jpg</t>
        </is>
      </c>
      <c r="J1504" s="3" t="inlineStr">
        <is>
          <t>Taco-Stuffed Zucchini Boats, healthy food photography, plated, natural light</t>
        </is>
      </c>
      <c r="K1504" s="4" t="inlineStr"/>
      <c r="L1504" s="3" t="inlineStr">
        <is>
          <t>Zucchini — 700 g (24.7 oz)
Ground beef 90% lean — 350 g (12.3 oz)
Taco seasoning, low sodium — 10 g (0.4 oz)
Tomato sauce, canned, no sugar added — 100 g (3.5 oz)
Cheddar cheese — 70 g (2.5 oz)
Fresh cilantro — 5 g (0.2 oz)</t>
        </is>
      </c>
      <c r="M1504" s="4" t="inlineStr">
        <is>
          <t>[{"ingredient_id": "zucchini", "name": "Zucchini", "grams": 700.0, "note": ""}, {"ingredient_id": "ground_beef", "name": "Ground beef 90% lean", "grams": 350.0, "note": ""}, {"ingredient_id": "taco_seasoning", "name": "Taco seasoning, low sodium", "grams": 10.0, "note": ""}, {"ingredient_id": "tomato_sauce", "name": "Tomato sauce, canned, no sugar added", "grams": 100.0, "note": ""}, {"ingredient_id": "cheddar", "name": "Cheddar cheese", "grams": 70.0, "note": ""}, {"ingredient_id": "cilantro", "name": "Fresh cilantro", "grams": 5.0, "note": ""}]</t>
        </is>
      </c>
      <c r="N1504" s="2" t="n">
        <v>268</v>
      </c>
      <c r="O1504" s="5" t="n">
        <v>24.2</v>
      </c>
      <c r="P1504" s="5" t="n">
        <v>15.3</v>
      </c>
      <c r="Q1504" s="5" t="n">
        <v>8.4</v>
      </c>
      <c r="R1504" s="5" t="n">
        <v>2.8</v>
      </c>
      <c r="S1504" s="5" t="n">
        <v>5.6</v>
      </c>
      <c r="T1504" s="2" t="n">
        <v>18</v>
      </c>
      <c r="U1504" s="2" t="inlineStr">
        <is>
          <t>low</t>
        </is>
      </c>
      <c r="V1504" s="5" t="n">
        <v>1</v>
      </c>
      <c r="W1504" s="2" t="inlineStr">
        <is>
          <t>low</t>
        </is>
      </c>
      <c r="X1504" s="3" t="inlineStr"/>
      <c r="Y1504" s="3" t="inlineStr">
        <is>
          <t>0% of this dish's available carbohydrate comes from ingredients with a published, measured GI; the rest uses conventional placeholders (see Ingredients sheet)</t>
        </is>
      </c>
      <c r="Z1504" s="2" t="n">
        <v>0</v>
      </c>
      <c r="AA1504" s="3" t="inlineStr">
        <is>
          <t>gluten-free, nut-free, low-carb</t>
        </is>
      </c>
      <c r="AB1504" s="3" t="inlineStr">
        <is>
          <t>1. Halve and scoop out the zucchini.
2. Brown the beef with the seasoning and sauce.
3. Fill the boats, top with cheddar and bake at 400°F for 25 minutes.</t>
        </is>
      </c>
      <c r="AC1504" s="4" t="inlineStr">
        <is>
          <t>["Halve and scoop out the zucchini.", "Brown the beef with the seasoning and sauce.", "Fill the boats, top with cheddar and bake at 400°F for 25 minutes."]</t>
        </is>
      </c>
    </row>
    <row r="1505" ht="96" customHeight="1">
      <c r="A1505" s="2" t="inlineStr">
        <is>
          <t>DB-1504</t>
        </is>
      </c>
      <c r="B1505" s="3" t="inlineStr">
        <is>
          <t>Beef Stir-Fry with Snap Peas and Peppers</t>
        </is>
      </c>
      <c r="C1505" s="4" t="inlineStr">
        <is>
          <t>Beef, Pork &amp; Lamb</t>
        </is>
      </c>
      <c r="D1505" s="4" t="inlineStr">
        <is>
          <t>Chinese-American</t>
        </is>
      </c>
      <c r="E1505" s="2" t="n">
        <v>4</v>
      </c>
      <c r="F1505" s="2" t="n">
        <v>15</v>
      </c>
      <c r="G1505" s="2" t="n">
        <v>10</v>
      </c>
      <c r="H1505" s="2" t="n">
        <v>25</v>
      </c>
      <c r="I1505" s="4" t="inlineStr">
        <is>
          <t>beef-stir-fry-with-snap-peas-and-peppers.jpg</t>
        </is>
      </c>
      <c r="J1505" s="3" t="inlineStr">
        <is>
          <t>Beef Stir-Fry with Snap Peas and Peppers, healthy food photography, plated, natural light</t>
        </is>
      </c>
      <c r="K1505" s="4" t="inlineStr"/>
      <c r="L1505" s="3" t="inlineStr">
        <is>
          <t>Flank steak — 450 g (15.9 oz)
Sugar snap peas — 200 g (7.1 oz)
Bell pepper — 200 g (7.1 oz)
Soy sauce, low sodium — 30 g (1.1 oz)
Garlic — 6 g (0.2 oz)
Fresh ginger — 6 g (0.2 oz)
Toasted sesame oil — 8 g (0.3 oz)
Extra-virgin olive oil — 15 g (0.5 oz)
Arrowroot starch — 8 g (0.3 oz)</t>
        </is>
      </c>
      <c r="M1505" s="4" t="inlineStr">
        <is>
          <t>[{"ingredient_id": "flank_steak", "name": "Flank steak", "grams": 450.0, "note": ""}, {"ingredient_id": "snap_peas", "name": "Sugar snap peas", "grams": 200.0, "note": ""}, {"ingredient_id": "bell_pepper", "name": "Bell pepper", "grams": 200.0, "note": ""}, {"ingredient_id": "soy_sauce", "name": "Soy sauce, low sodium", "grams": 30.0, "note": ""}, {"ingredient_id": "garlic", "name": "Garlic", "grams": 6.0, "note": ""}, {"ingredient_id": "ginger", "name": "Fresh ginger", "grams": 6.0, "note": ""}, {"ingredient_id": "sesame_oil", "name": "Toasted sesame oil", "grams": 8.0, "note": ""}, {"ingredient_id": "olive_oil", "name": "Extra-virgin olive oil", "grams": 15.0, "note": ""}, {"ingredient_id": "arrowroot", "name": "Arrowroot starch", "grams": 8.0, "note": ""}]</t>
        </is>
      </c>
      <c r="N1505" s="2" t="n">
        <v>271</v>
      </c>
      <c r="O1505" s="5" t="n">
        <v>26.3</v>
      </c>
      <c r="P1505" s="5" t="n">
        <v>13.9</v>
      </c>
      <c r="Q1505" s="5" t="n">
        <v>9.699999999999999</v>
      </c>
      <c r="R1505" s="5" t="n">
        <v>2.5</v>
      </c>
      <c r="S1505" s="5" t="n">
        <v>7.1</v>
      </c>
      <c r="T1505" s="2" t="n">
        <v>28</v>
      </c>
      <c r="U1505" s="2" t="inlineStr">
        <is>
          <t>low</t>
        </is>
      </c>
      <c r="V1505" s="5" t="n">
        <v>2</v>
      </c>
      <c r="W1505" s="2" t="inlineStr">
        <is>
          <t>low</t>
        </is>
      </c>
      <c r="X1505" s="3" t="inlineStr"/>
      <c r="Y1505" s="3" t="inlineStr">
        <is>
          <t>24% of this dish's available carbohydrate comes from ingredients with a published, measured GI; the rest uses conventional placeholders (see Ingredients sheet)</t>
        </is>
      </c>
      <c r="Z1505" s="2" t="n">
        <v>24</v>
      </c>
      <c r="AA1505" s="3" t="inlineStr">
        <is>
          <t>dairy-free, nut-free, low-carb, high-protein</t>
        </is>
      </c>
      <c r="AB1505" s="3" t="inlineStr">
        <is>
          <t>1. Toss the sliced steak in arrowroot and sear in oil.
2. Stir-fry the vegetables with garlic and ginger.
3. Combine with soy sauce and sesame oil.</t>
        </is>
      </c>
      <c r="AC1505" s="4" t="inlineStr">
        <is>
          <t>["Toss the sliced steak in arrowroot and sear in oil.", "Stir-fry the vegetables with garlic and ginger.", "Combine with soy sauce and sesame oil."]</t>
        </is>
      </c>
    </row>
    <row r="1506" ht="96" customHeight="1">
      <c r="A1506" s="2" t="inlineStr">
        <is>
          <t>DB-1505</t>
        </is>
      </c>
      <c r="B1506" s="3" t="inlineStr">
        <is>
          <t>Meatball Marinara Bake with Zucchini Noodles</t>
        </is>
      </c>
      <c r="C1506" s="4" t="inlineStr">
        <is>
          <t>Beef, Pork &amp; Lamb</t>
        </is>
      </c>
      <c r="D1506" s="4" t="inlineStr">
        <is>
          <t>Italian</t>
        </is>
      </c>
      <c r="E1506" s="2" t="n">
        <v>4</v>
      </c>
      <c r="F1506" s="2" t="n">
        <v>20</v>
      </c>
      <c r="G1506" s="2" t="n">
        <v>30</v>
      </c>
      <c r="H1506" s="2" t="n">
        <v>50</v>
      </c>
      <c r="I1506" s="4" t="inlineStr">
        <is>
          <t>meatball-marinara-bake-with-zucchini-noodles.jpg</t>
        </is>
      </c>
      <c r="J1506" s="3" t="inlineStr">
        <is>
          <t>Meatball Marinara Bake with Zucchini Noodles, healthy food photography, plated, natural light</t>
        </is>
      </c>
      <c r="K1506" s="4" t="inlineStr"/>
      <c r="L1506" s="3" t="inlineStr">
        <is>
          <t>Ground beef 90% lean — 350 g (12.3 oz)
Ground pork, lean — 150 g (5.3 oz)
Egg, large (50 g each) — 50 g (1.8 oz)
Parmesan, grated — 30 g (1.1 oz)
Marinara sauce, no sugar added — 350 g (12.3 oz)
Zucchini noodles (zoodles) — 450 g (15.9 oz)
Mozzarella, part-skim — 80 g (2.8 oz)
Italian seasoning — 3 g (0.1 oz)</t>
        </is>
      </c>
      <c r="M1506" s="4" t="inlineStr">
        <is>
          <t>[{"ingredient_id": "ground_beef", "name": "Ground beef 90% lean", "grams": 350.0, "note": ""}, {"ingredient_id": "ground_pork", "name": "Ground pork, lean", "grams": 150.0, "note": ""}, {"ingredient_id": "egg", "name": "Egg, large (50 g each)", "grams": 50.0, "note": ""}, {"ingredient_id": "parmesan", "name": "Parmesan, grated", "grams": 30.0, "note": ""}, {"ingredient_id": "marinara", "name": "Marinara sauce, no sugar added", "grams": 350.0, "note": ""}, {"ingredient_id": "zucchini_noodles", "name": "Zucchini noodles (zoodles)", "grams": 450.0, "note": ""}, {"ingredient_id": "mozzarella", "name": "Mozzarella, part-skim", "grams": 80.0, "note": ""}, {"ingredient_id": "italian_seasoning", "name": "Italian seasoning", "grams": 3.0, "note": ""}]</t>
        </is>
      </c>
      <c r="N1506" s="2" t="n">
        <v>385</v>
      </c>
      <c r="O1506" s="5" t="n">
        <v>36.6</v>
      </c>
      <c r="P1506" s="5" t="n">
        <v>22.4</v>
      </c>
      <c r="Q1506" s="5" t="n">
        <v>9.4</v>
      </c>
      <c r="R1506" s="5" t="n">
        <v>2.8</v>
      </c>
      <c r="S1506" s="5" t="n">
        <v>6.6</v>
      </c>
      <c r="T1506" s="2" t="n">
        <v>22</v>
      </c>
      <c r="U1506" s="2" t="inlineStr">
        <is>
          <t>low</t>
        </is>
      </c>
      <c r="V1506" s="5" t="n">
        <v>1.5</v>
      </c>
      <c r="W1506" s="2" t="inlineStr">
        <is>
          <t>low</t>
        </is>
      </c>
      <c r="X1506" s="3" t="inlineStr"/>
      <c r="Y1506" s="3" t="inlineStr">
        <is>
          <t>46% of this dish's available carbohydrate comes from ingredients with a published, measured GI; the rest uses conventional placeholders (see Ingredients sheet)</t>
        </is>
      </c>
      <c r="Z1506" s="2" t="n">
        <v>46</v>
      </c>
      <c r="AA1506" s="3" t="inlineStr">
        <is>
          <t>gluten-free, nut-free, low-carb, high-protein</t>
        </is>
      </c>
      <c r="AB1506" s="3" t="inlineStr">
        <is>
          <t>1. Mix the meats, egg, parmesan and seasoning and shape meatballs.
2. Bake in the marinara at 400°F for 20 minutes.
3. Top with mozzarella and serve over the zucchini noodles.</t>
        </is>
      </c>
      <c r="AC1506" s="4" t="inlineStr">
        <is>
          <t>["Mix the meats, egg, parmesan and seasoning and shape meatballs.", "Bake in the marinara at 400°F for 20 minutes.", "Top with mozzarella and serve over the zucchini noodles."]</t>
        </is>
      </c>
    </row>
    <row r="1507" ht="96" customHeight="1">
      <c r="A1507" s="2" t="inlineStr">
        <is>
          <t>DB-1506</t>
        </is>
      </c>
      <c r="B1507" s="3" t="inlineStr">
        <is>
          <t>Pork Carnitas Bowls with Cabbage and Lime</t>
        </is>
      </c>
      <c r="C1507" s="4" t="inlineStr">
        <is>
          <t>Beef, Pork &amp; Lamb</t>
        </is>
      </c>
      <c r="D1507" s="4" t="inlineStr">
        <is>
          <t>Mexican</t>
        </is>
      </c>
      <c r="E1507" s="2" t="n">
        <v>6</v>
      </c>
      <c r="F1507" s="2" t="n">
        <v>15</v>
      </c>
      <c r="G1507" s="2" t="n">
        <v>420</v>
      </c>
      <c r="H1507" s="2" t="n">
        <v>435</v>
      </c>
      <c r="I1507" s="4" t="inlineStr">
        <is>
          <t>pork-carnitas-bowls-with-cabbage-and-lime.jpg</t>
        </is>
      </c>
      <c r="J1507" s="3" t="inlineStr">
        <is>
          <t>Pork Carnitas Bowls with Cabbage and Lime, healthy food photography, plated, natural light</t>
        </is>
      </c>
      <c r="K1507" s="4" t="inlineStr"/>
      <c r="L1507" s="3" t="inlineStr">
        <is>
          <t>Pork shoulder, trimmed — 900 g (31.7 oz)
Orange — 100 g (3.5 oz)
Lime juice — 40 g (1.4 oz)
Ground cumin — 4 g (0.1 oz)
Dried oregano — 3 g (0.1 oz)
Garlic — 8 g (0.3 oz)
Red cabbage — 250 g (8.8 oz)
Fresh cilantro — 8 g (0.3 oz)
Avocado — 120 g (4.2 oz)</t>
        </is>
      </c>
      <c r="M1507" s="4" t="inlineStr">
        <is>
          <t>[{"ingredient_id": "pork_shoulder", "name": "Pork shoulder, trimmed", "grams": 900.0, "note": ""}, {"ingredient_id": "orange", "name": "Orange", "grams": 100.0, "note": ""}, {"ingredient_id": "lime_juice", "name": "Lime juice", "grams": 40.0, "note": ""}, {"ingredient_id": "cumin", "name": "Ground cumin", "grams": 4.0, "note": ""}, {"ingredient_id": "oregano", "name": "Dried oregano", "grams": 3.0, "note": ""}, {"ingredient_id": "garlic", "name": "Garlic", "grams": 8.0, "note": ""}, {"ingredient_id": "red_cabbage", "name": "Red cabbage", "grams": 250.0, "note": ""}, {"ingredient_id": "cilantro", "name": "Fresh cilantro", "grams": 8.0, "note": ""}, {"ingredient_id": "avocado", "name": "Avocado", "grams": 120.0, "note": ""}]</t>
        </is>
      </c>
      <c r="N1507" s="2" t="n">
        <v>361</v>
      </c>
      <c r="O1507" s="5" t="n">
        <v>29.9</v>
      </c>
      <c r="P1507" s="5" t="n">
        <v>24.3</v>
      </c>
      <c r="Q1507" s="5" t="n">
        <v>8.5</v>
      </c>
      <c r="R1507" s="5" t="n">
        <v>3</v>
      </c>
      <c r="S1507" s="5" t="n">
        <v>5.5</v>
      </c>
      <c r="T1507" s="2" t="n">
        <v>25</v>
      </c>
      <c r="U1507" s="2" t="inlineStr">
        <is>
          <t>low</t>
        </is>
      </c>
      <c r="V1507" s="5" t="n">
        <v>1.4</v>
      </c>
      <c r="W1507" s="2" t="inlineStr">
        <is>
          <t>low</t>
        </is>
      </c>
      <c r="X1507" s="3" t="inlineStr"/>
      <c r="Y1507" s="3" t="inlineStr">
        <is>
          <t>29% of this dish's available carbohydrate comes from ingredients with a published, measured GI; the rest uses conventional placeholders (see Ingredients sheet)</t>
        </is>
      </c>
      <c r="Z1507" s="2" t="n">
        <v>29</v>
      </c>
      <c r="AA1507" s="3" t="inlineStr">
        <is>
          <t>gluten-free, dairy-free, nut-free, low-carb, high-protein, slow-cooker</t>
        </is>
      </c>
      <c r="AB1507" s="3" t="inlineStr">
        <is>
          <t>1. Rub the pork with the spices and slow cook with orange juice and garlic for 7 hours.
2. Shred and crisp under the broiler.
3. Serve over cabbage with lime, avocado and cilantro.</t>
        </is>
      </c>
      <c r="AC1507" s="4" t="inlineStr">
        <is>
          <t>["Rub the pork with the spices and slow cook with orange juice and garlic for 7 hours.", "Shred and crisp under the broiler.", "Serve over cabbage with lime, avocado and cilantro."]</t>
        </is>
      </c>
    </row>
    <row r="1508" ht="96" customHeight="1">
      <c r="A1508" s="2" t="inlineStr">
        <is>
          <t>DB-1507</t>
        </is>
      </c>
      <c r="B1508" s="3" t="inlineStr">
        <is>
          <t>Pozole Rojo with Pork</t>
        </is>
      </c>
      <c r="C1508" s="4" t="inlineStr">
        <is>
          <t>Soup &amp; Stew</t>
        </is>
      </c>
      <c r="D1508" s="4" t="inlineStr">
        <is>
          <t>Mexican</t>
        </is>
      </c>
      <c r="E1508" s="2" t="n">
        <v>6</v>
      </c>
      <c r="F1508" s="2" t="n">
        <v>20</v>
      </c>
      <c r="G1508" s="2" t="n">
        <v>90</v>
      </c>
      <c r="H1508" s="2" t="n">
        <v>110</v>
      </c>
      <c r="I1508" s="4" t="inlineStr">
        <is>
          <t>pozole-rojo-with-pork.jpg</t>
        </is>
      </c>
      <c r="J1508" s="3" t="inlineStr">
        <is>
          <t>Pozole Rojo with Pork, healthy food photography, plated, natural light</t>
        </is>
      </c>
      <c r="K1508" s="4" t="inlineStr"/>
      <c r="L1508" s="3" t="inlineStr">
        <is>
          <t>Pork shoulder, trimmed — 600 g (21.2 oz)
Cannellini beans, cooked — 300 g (10.6 oz)
Chicken broth, low sodium — 1000 g (35.3 oz)
Chili powder — 12 g (0.4 oz)
Yellow onion — 120 g (4.2 oz)
Garlic — 8 g (0.3 oz)
Green cabbage — 150 g (5.3 oz)
Radishes — 60 g (2.1 oz)
Lime juice — 30 g (1.1 oz)
Dried oregano — 3 g (0.1 oz)</t>
        </is>
      </c>
      <c r="M1508" s="4" t="inlineStr">
        <is>
          <t>[{"ingredient_id": "pork_shoulder", "name": "Pork shoulder, trimmed", "grams": 600.0, "note": ""}, {"ingredient_id": "white_beans", "name": "Cannellini beans, cooked", "grams": 300.0, "note": ""}, {"ingredient_id": "chicken_broth", "name": "Chicken broth, low sodium", "grams": 1000.0, "note": ""}, {"ingredient_id": "chili_powder", "name": "Chili powder", "grams": 12.0, "note": ""}, {"ingredient_id": "onion", "name": "Yellow onion", "grams": 120.0, "note": ""}, {"ingredient_id": "garlic", "name": "Garlic", "grams": 8.0, "note": ""}, {"ingredient_id": "cabbage", "name": "Green cabbage", "grams": 150.0, "note": ""}, {"ingredient_id": "radish", "name": "Radishes", "grams": 60.0, "note": ""}, {"ingredient_id": "lime_juice", "name": "Lime juice", "grams": 30.0, "note": ""}, {"ingredient_id": "oregano", "name": "Dried oregano", "grams": 3.0, "note": ""}]</t>
        </is>
      </c>
      <c r="N1508" s="2" t="n">
        <v>307</v>
      </c>
      <c r="O1508" s="5" t="n">
        <v>26.6</v>
      </c>
      <c r="P1508" s="5" t="n">
        <v>14.9</v>
      </c>
      <c r="Q1508" s="5" t="n">
        <v>19.2</v>
      </c>
      <c r="R1508" s="5" t="n">
        <v>5.2</v>
      </c>
      <c r="S1508" s="5" t="n">
        <v>14</v>
      </c>
      <c r="T1508" s="2" t="n">
        <v>25</v>
      </c>
      <c r="U1508" s="2" t="inlineStr">
        <is>
          <t>low</t>
        </is>
      </c>
      <c r="V1508" s="5" t="n">
        <v>3.5</v>
      </c>
      <c r="W1508" s="2" t="inlineStr">
        <is>
          <t>low</t>
        </is>
      </c>
      <c r="X1508" s="3" t="inlineStr"/>
      <c r="Y1508" s="3" t="inlineStr">
        <is>
          <t>67% of this dish's available carbohydrate comes from ingredients with a published, measured GI; the rest uses conventional placeholders (see Ingredients sheet)</t>
        </is>
      </c>
      <c r="Z1508" s="2" t="n">
        <v>67</v>
      </c>
      <c r="AA1508" s="3" t="inlineStr">
        <is>
          <t>gluten-free, dairy-free, nut-free, low-carb, high-protein</t>
        </is>
      </c>
      <c r="AB1508" s="3" t="inlineStr">
        <is>
          <t>1. Simmer the pork with the onion, garlic, chili powder, oregano and broth for 70 minutes.
2. Add the beans and cook 15 minutes.
3. Serve with cabbage, radish and lime.</t>
        </is>
      </c>
      <c r="AC1508" s="4" t="inlineStr">
        <is>
          <t>["Simmer the pork with the onion, garlic, chili powder, oregano and broth for 70 minutes.", "Add the beans and cook 15 minutes.", "Serve with cabbage, radish and lime."]</t>
        </is>
      </c>
    </row>
    <row r="1509" ht="96" customHeight="1">
      <c r="A1509" s="2" t="inlineStr">
        <is>
          <t>DB-1508</t>
        </is>
      </c>
      <c r="B1509" s="3" t="inlineStr">
        <is>
          <t>Barbacoa-Style Beef Tacos</t>
        </is>
      </c>
      <c r="C1509" s="4" t="inlineStr">
        <is>
          <t>Beef, Pork &amp; Lamb</t>
        </is>
      </c>
      <c r="D1509" s="4" t="inlineStr">
        <is>
          <t>Mexican</t>
        </is>
      </c>
      <c r="E1509" s="2" t="n">
        <v>6</v>
      </c>
      <c r="F1509" s="2" t="n">
        <v>15</v>
      </c>
      <c r="G1509" s="2" t="n">
        <v>420</v>
      </c>
      <c r="H1509" s="2" t="n">
        <v>435</v>
      </c>
      <c r="I1509" s="4" t="inlineStr">
        <is>
          <t>barbacoa-style-beef-tacos.jpg</t>
        </is>
      </c>
      <c r="J1509" s="3" t="inlineStr">
        <is>
          <t>Barbacoa-Style Beef Tacos, healthy food photography, plated, natural light</t>
        </is>
      </c>
      <c r="K1509" s="4" t="inlineStr"/>
      <c r="L1509" s="3" t="inlineStr">
        <is>
          <t>Beef chuck roast, trimmed — 900 g (31.7 oz)
Chipotle peppers in adobo — 40 g (1.4 oz)
Lime juice — 40 g (1.4 oz)
Ground cumin — 4 g (0.1 oz)
Garlic — 8 g (0.3 oz)
Yellow onion — 100 g (3.5 oz)
Corn tortilla — 300 g (10.6 oz)
Fresh cilantro — 8 g (0.3 oz)</t>
        </is>
      </c>
      <c r="M1509" s="4" t="inlineStr">
        <is>
          <t>[{"ingredient_id": "beef_chuck", "name": "Beef chuck roast, trimmed", "grams": 900.0, "note": ""}, {"ingredient_id": "chipotle_adobo", "name": "Chipotle peppers in adobo", "grams": 40.0, "note": ""}, {"ingredient_id": "lime_juice", "name": "Lime juice", "grams": 40.0, "note": ""}, {"ingredient_id": "cumin", "name": "Ground cumin", "grams": 4.0, "note": ""}, {"ingredient_id": "garlic", "name": "Garlic", "grams": 8.0, "note": ""}, {"ingredient_id": "onion", "name": "Yellow onion", "grams": 100.0, "note": ""}, {"ingredient_id": "corn_tortilla", "name": "Corn tortilla", "grams": 300.0, "note": ""}, {"ingredient_id": "cilantro", "name": "Fresh cilantro", "grams": 8.0, "note": ""}]</t>
        </is>
      </c>
      <c r="N1509" s="2" t="n">
        <v>397</v>
      </c>
      <c r="O1509" s="5" t="n">
        <v>33.4</v>
      </c>
      <c r="P1509" s="5" t="n">
        <v>18.2</v>
      </c>
      <c r="Q1509" s="5" t="n">
        <v>26.3</v>
      </c>
      <c r="R1509" s="5" t="n">
        <v>3.9</v>
      </c>
      <c r="S1509" s="5" t="n">
        <v>22.5</v>
      </c>
      <c r="T1509" s="2" t="n">
        <v>48</v>
      </c>
      <c r="U1509" s="2" t="inlineStr">
        <is>
          <t>low</t>
        </is>
      </c>
      <c r="V1509" s="5" t="n">
        <v>10.8</v>
      </c>
      <c r="W1509" s="2" t="inlineStr">
        <is>
          <t>medium</t>
        </is>
      </c>
      <c r="X1509" s="3" t="inlineStr"/>
      <c r="Y1509" s="3" t="inlineStr">
        <is>
          <t>86% of this dish's available carbohydrate comes from ingredients with a published, measured GI; the rest uses conventional placeholders (see Ingredients sheet)</t>
        </is>
      </c>
      <c r="Z1509" s="2" t="n">
        <v>86</v>
      </c>
      <c r="AA1509" s="3" t="inlineStr">
        <is>
          <t>gluten-free, dairy-free, nut-free, high-protein, slow-cooker</t>
        </is>
      </c>
      <c r="AB1509" s="3" t="inlineStr">
        <is>
          <t>1. Slow cook the beef with chipotle, lime, cumin, garlic and onion for 7 hours.
2. Shred and serve in warm tortillas with cilantro.</t>
        </is>
      </c>
      <c r="AC1509" s="4" t="inlineStr">
        <is>
          <t>["Slow cook the beef with chipotle, lime, cumin, garlic and onion for 7 hours.", "Shred and serve in warm tortillas with cilantro."]</t>
        </is>
      </c>
    </row>
    <row r="1510" ht="96" customHeight="1">
      <c r="A1510" s="2" t="inlineStr">
        <is>
          <t>DB-1509</t>
        </is>
      </c>
      <c r="B1510" s="3" t="inlineStr">
        <is>
          <t>Grilled Pork Souvlaki with Tzatziki</t>
        </is>
      </c>
      <c r="C1510" s="4" t="inlineStr">
        <is>
          <t>Beef, Pork &amp; Lamb</t>
        </is>
      </c>
      <c r="D1510" s="4" t="inlineStr">
        <is>
          <t>Greek</t>
        </is>
      </c>
      <c r="E1510" s="2" t="n">
        <v>4</v>
      </c>
      <c r="F1510" s="2" t="n">
        <v>20</v>
      </c>
      <c r="G1510" s="2" t="n">
        <v>12</v>
      </c>
      <c r="H1510" s="2" t="n">
        <v>32</v>
      </c>
      <c r="I1510" s="4" t="inlineStr">
        <is>
          <t>grilled-pork-souvlaki-with-tzatziki.jpg</t>
        </is>
      </c>
      <c r="J1510" s="3" t="inlineStr">
        <is>
          <t>Grilled Pork Souvlaki with Tzatziki, healthy food photography, plated, natural light</t>
        </is>
      </c>
      <c r="K1510" s="4" t="inlineStr"/>
      <c r="L1510" s="3" t="inlineStr">
        <is>
          <t>Pork tenderloin — 560 g (19.8 oz)
Lemon juice — 30 g (1.1 oz)
Garlic — 8 g (0.3 oz)
Dried oregano — 3 g (0.1 oz)
Extra-virgin olive oil — 25 g (0.9 oz)
Greek yogurt, plain 2% — 150 g (5.3 oz)
Cucumber — 100 g (3.5 oz)
Fresh dill — 4 g (0.1 oz)
Whole wheat pita — 160 g (5.6 oz)</t>
        </is>
      </c>
      <c r="M1510" s="4" t="inlineStr">
        <is>
          <t>[{"ingredient_id": "pork_tenderloin", "name": "Pork tenderloin", "grams": 560.0, "note": ""}, {"ingredient_id": "lemon_juice", "name": "Lemon juice", "grams": 30.0, "note": ""}, {"ingredient_id": "garlic", "name": "Garlic", "grams": 8.0, "note": ""}, {"ingredient_id": "oregano", "name": "Dried oregano", "grams": 3.0, "note": ""}, {"ingredient_id": "olive_oil", "name": "Extra-virgin olive oil", "grams": 25.0, "note": ""}, {"ingredient_id": "greek_yogurt", "name": "Greek yogurt, plain 2%", "grams": 150.0, "note": ""}, {"ingredient_id": "cucumber", "name": "Cucumber", "grams": 100.0, "note": ""}, {"ingredient_id": "dill", "name": "Fresh dill", "grams": 4.0, "note": ""}, {"ingredient_id": "whole_wheat_pita", "name": "Whole wheat pita", "grams": 160.0, "note": ""}]</t>
        </is>
      </c>
      <c r="N1510" s="2" t="n">
        <v>368</v>
      </c>
      <c r="O1510" s="5" t="n">
        <v>37.6</v>
      </c>
      <c r="P1510" s="5" t="n">
        <v>13</v>
      </c>
      <c r="Q1510" s="5" t="n">
        <v>26.2</v>
      </c>
      <c r="R1510" s="5" t="n">
        <v>3.5</v>
      </c>
      <c r="S1510" s="5" t="n">
        <v>22.7</v>
      </c>
      <c r="T1510" s="2" t="n">
        <v>51</v>
      </c>
      <c r="U1510" s="2" t="inlineStr">
        <is>
          <t>low</t>
        </is>
      </c>
      <c r="V1510" s="5" t="n">
        <v>11.6</v>
      </c>
      <c r="W1510" s="2" t="inlineStr">
        <is>
          <t>medium</t>
        </is>
      </c>
      <c r="X1510" s="3" t="inlineStr"/>
      <c r="Y1510" s="3" t="inlineStr">
        <is>
          <t>91% of this dish's available carbohydrate comes from ingredients with a published, measured GI; the rest uses conventional placeholders (see Ingredients sheet)</t>
        </is>
      </c>
      <c r="Z1510" s="2" t="n">
        <v>91</v>
      </c>
      <c r="AA1510" s="3" t="inlineStr">
        <is>
          <t>nut-free, high-protein</t>
        </is>
      </c>
      <c r="AB1510" s="3" t="inlineStr">
        <is>
          <t>1. Marinate the pork cubes in lemon, garlic, oregano and oil.
2. Skewer and grill 10 to 12 minutes.
3. Mix the yogurt with grated cucumber, dill and garlic.
4. Serve in warm pitas.</t>
        </is>
      </c>
      <c r="AC1510" s="4" t="inlineStr">
        <is>
          <t>["Marinate the pork cubes in lemon, garlic, oregano and oil.", "Skewer and grill 10 to 12 minutes.", "Mix the yogurt with grated cucumber, dill and garlic.", "Serve in warm pitas."]</t>
        </is>
      </c>
    </row>
    <row r="1511" ht="96" customHeight="1">
      <c r="A1511" s="2" t="inlineStr">
        <is>
          <t>DB-1510</t>
        </is>
      </c>
      <c r="B1511" s="3" t="inlineStr">
        <is>
          <t>Italian Sausage with Peppers and Onions over Polenta-Style Grits</t>
        </is>
      </c>
      <c r="C1511" s="4" t="inlineStr">
        <is>
          <t>Beef, Pork &amp; Lamb</t>
        </is>
      </c>
      <c r="D1511" s="4" t="inlineStr">
        <is>
          <t>Italian</t>
        </is>
      </c>
      <c r="E1511" s="2" t="n">
        <v>4</v>
      </c>
      <c r="F1511" s="2" t="n">
        <v>10</v>
      </c>
      <c r="G1511" s="2" t="n">
        <v>30</v>
      </c>
      <c r="H1511" s="2" t="n">
        <v>40</v>
      </c>
      <c r="I1511" s="4" t="inlineStr">
        <is>
          <t>italian-sausage-with-peppers-and-onions-over-polenta-style-grits.jpg</t>
        </is>
      </c>
      <c r="J1511" s="3" t="inlineStr">
        <is>
          <t>Italian Sausage with Peppers and Onions over Polenta-Style Grits, healthy food photography, plated, natural light</t>
        </is>
      </c>
      <c r="K1511" s="4" t="inlineStr"/>
      <c r="L1511" s="3" t="inlineStr">
        <is>
          <t>Turkey sausage — 400 g (14.1 oz)
Bell pepper — 250 g (8.8 oz)
Yellow onion — 150 g (5.3 oz)
Marinara sauce, no sugar added — 200 g (7.1 oz)
Grits, cooked with water — 450 g (15.9 oz)
Parmesan, grated — 30 g (1.1 oz)
Extra-virgin olive oil — 10 g (0.4 oz)</t>
        </is>
      </c>
      <c r="M1511" s="4" t="inlineStr">
        <is>
          <t>[{"ingredient_id": "turkey_sausage", "name": "Turkey sausage", "grams": 400.0, "note": ""}, {"ingredient_id": "bell_pepper", "name": "Bell pepper", "grams": 250.0, "note": ""}, {"ingredient_id": "onion", "name": "Yellow onion", "grams": 150.0, "note": ""}, {"ingredient_id": "marinara", "name": "Marinara sauce, no sugar added", "grams": 200.0, "note": ""}, {"ingredient_id": "grits", "name": "Grits, cooked with water", "grams": 450.0, "note": ""}, {"ingredient_id": "parmesan", "name": "Parmesan, grated", "grams": 30.0, "note": ""}, {"ingredient_id": "olive_oil", "name": "Extra-virgin olive oil", "grams": 10.0, "note": ""}]</t>
        </is>
      </c>
      <c r="N1511" s="2" t="n">
        <v>332</v>
      </c>
      <c r="O1511" s="5" t="n">
        <v>21</v>
      </c>
      <c r="P1511" s="5" t="n">
        <v>16.5</v>
      </c>
      <c r="Q1511" s="5" t="n">
        <v>26</v>
      </c>
      <c r="R1511" s="5" t="n">
        <v>3.5</v>
      </c>
      <c r="S1511" s="5" t="n">
        <v>22.5</v>
      </c>
      <c r="T1511" s="2" t="n">
        <v>46</v>
      </c>
      <c r="U1511" s="2" t="inlineStr">
        <is>
          <t>low</t>
        </is>
      </c>
      <c r="V1511" s="5" t="n">
        <v>10.3</v>
      </c>
      <c r="W1511" s="2" t="inlineStr">
        <is>
          <t>medium</t>
        </is>
      </c>
      <c r="X1511" s="3" t="inlineStr"/>
      <c r="Y1511" s="3" t="inlineStr">
        <is>
          <t>66% of this dish's available carbohydrate comes from ingredients with a published, measured GI; the rest uses conventional placeholders (see Ingredients sheet)</t>
        </is>
      </c>
      <c r="Z1511" s="2" t="n">
        <v>66</v>
      </c>
      <c r="AA1511" s="3" t="inlineStr">
        <is>
          <t>gluten-free, nut-free</t>
        </is>
      </c>
      <c r="AB1511" s="3" t="inlineStr">
        <is>
          <t>1. Brown the sausage in oil.
2. Add the peppers, onion and marinara and simmer 15 minutes.
3. Serve over grits stirred with parmesan.</t>
        </is>
      </c>
      <c r="AC1511" s="4" t="inlineStr">
        <is>
          <t>["Brown the sausage in oil.", "Add the peppers, onion and marinara and simmer 15 minutes.", "Serve over grits stirred with parmesan."]</t>
        </is>
      </c>
    </row>
    <row r="1512" ht="96" customHeight="1">
      <c r="A1512" s="2" t="inlineStr">
        <is>
          <t>DB-1511</t>
        </is>
      </c>
      <c r="B1512" s="3" t="inlineStr">
        <is>
          <t>Pork Chops with Sauteed Apples and Onions</t>
        </is>
      </c>
      <c r="C1512" s="4" t="inlineStr">
        <is>
          <t>Beef, Pork &amp; Lamb</t>
        </is>
      </c>
      <c r="D1512" s="4" t="inlineStr">
        <is>
          <t>American</t>
        </is>
      </c>
      <c r="E1512" s="2" t="n">
        <v>4</v>
      </c>
      <c r="F1512" s="2" t="n">
        <v>10</v>
      </c>
      <c r="G1512" s="2" t="n">
        <v>25</v>
      </c>
      <c r="H1512" s="2" t="n">
        <v>35</v>
      </c>
      <c r="I1512" s="4" t="inlineStr">
        <is>
          <t>pork-chops-with-sauteed-apples-and-onions.jpg</t>
        </is>
      </c>
      <c r="J1512" s="3" t="inlineStr">
        <is>
          <t>Pork Chops with Sauteed Apples and Onions, healthy food photography, plated, natural light</t>
        </is>
      </c>
      <c r="K1512" s="4" t="inlineStr"/>
      <c r="L1512" s="3" t="inlineStr">
        <is>
          <t>Pork loin chop, trimmed — 600 g (21.2 oz)
Apple — 250 g (8.8 oz)
Yellow onion — 150 g (5.3 oz)
Apple cider vinegar — 15 g (0.5 oz)
Fresh thyme — 2 g (0.1 oz)
Butter — 15 g (0.5 oz)
Extra-virgin olive oil — 10 g (0.4 oz)</t>
        </is>
      </c>
      <c r="M1512" s="4" t="inlineStr">
        <is>
          <t>[{"ingredient_id": "pork_chop", "name": "Pork loin chop, trimmed", "grams": 600.0, "note": ""}, {"ingredient_id": "apple", "name": "Apple", "grams": 250.0, "note": ""}, {"ingredient_id": "onion", "name": "Yellow onion", "grams": 150.0, "note": ""}, {"ingredient_id": "apple_cider_vinegar", "name": "Apple cider vinegar", "grams": 15.0, "note": ""}, {"ingredient_id": "thyme", "name": "Fresh thyme", "grams": 2.0, "note": ""}, {"ingredient_id": "butter", "name": "Butter", "grams": 15.0, "note": ""}, {"ingredient_id": "olive_oil", "name": "Extra-virgin olive oil", "grams": 10.0, "note": ""}]</t>
        </is>
      </c>
      <c r="N1512" s="2" t="n">
        <v>323</v>
      </c>
      <c r="O1512" s="5" t="n">
        <v>33.7</v>
      </c>
      <c r="P1512" s="5" t="n">
        <v>15.5</v>
      </c>
      <c r="Q1512" s="5" t="n">
        <v>12.4</v>
      </c>
      <c r="R1512" s="5" t="n">
        <v>2.2</v>
      </c>
      <c r="S1512" s="5" t="n">
        <v>10.2</v>
      </c>
      <c r="T1512" s="2" t="n">
        <v>30</v>
      </c>
      <c r="U1512" s="2" t="inlineStr">
        <is>
          <t>low</t>
        </is>
      </c>
      <c r="V1512" s="5" t="n">
        <v>3.1</v>
      </c>
      <c r="W1512" s="2" t="inlineStr">
        <is>
          <t>low</t>
        </is>
      </c>
      <c r="X1512" s="3" t="inlineStr"/>
      <c r="Y1512" s="3" t="inlineStr">
        <is>
          <t>71% of this dish's available carbohydrate comes from ingredients with a published, measured GI; the rest uses conventional placeholders (see Ingredients sheet)</t>
        </is>
      </c>
      <c r="Z1512" s="2" t="n">
        <v>71</v>
      </c>
      <c r="AA1512" s="3" t="inlineStr">
        <is>
          <t>gluten-free, nut-free, low-carb, high-protein</t>
        </is>
      </c>
      <c r="AB1512" s="3" t="inlineStr">
        <is>
          <t>1. Sear the chops in oil; set aside.
2. Cook the apple and onion in butter with thyme.
3. Add the vinegar, return the chops and simmer 6 minutes.</t>
        </is>
      </c>
      <c r="AC1512" s="4" t="inlineStr">
        <is>
          <t>["Sear the chops in oil; set aside.", "Cook the apple and onion in butter with thyme.", "Add the vinegar, return the chops and simmer 6 minutes."]</t>
        </is>
      </c>
    </row>
    <row r="1513" ht="96" customHeight="1">
      <c r="A1513" s="2" t="inlineStr">
        <is>
          <t>DB-1512</t>
        </is>
      </c>
      <c r="B1513" s="3" t="inlineStr">
        <is>
          <t>Corned Beef-Style Brisket with Cabbage and Carrots</t>
        </is>
      </c>
      <c r="C1513" s="4" t="inlineStr">
        <is>
          <t>Beef, Pork &amp; Lamb</t>
        </is>
      </c>
      <c r="D1513" s="4" t="inlineStr">
        <is>
          <t>American</t>
        </is>
      </c>
      <c r="E1513" s="2" t="n">
        <v>6</v>
      </c>
      <c r="F1513" s="2" t="n">
        <v>15</v>
      </c>
      <c r="G1513" s="2" t="n">
        <v>180</v>
      </c>
      <c r="H1513" s="2" t="n">
        <v>195</v>
      </c>
      <c r="I1513" s="4" t="inlineStr">
        <is>
          <t>corned-beef-style-brisket-with-cabbage-and-carrots.jpg</t>
        </is>
      </c>
      <c r="J1513" s="3" t="inlineStr">
        <is>
          <t>Corned Beef-Style Brisket with Cabbage and Carrots, healthy food photography, plated, natural light</t>
        </is>
      </c>
      <c r="K1513" s="4" t="inlineStr"/>
      <c r="L1513" s="3" t="inlineStr">
        <is>
          <t>Beef chuck roast, trimmed — 900 g (31.7 oz)
Green cabbage — 600 g (21.2 oz)
Carrot — 250 g (8.8 oz)
New potatoes, boiled — 300 g (10.6 oz)
Yellow onion — 120 g (4.2 oz)
Bay leaves — 2 g (0.1 oz)
Black pepper — 2 g (0.1 oz)
Beef broth, low sodium — 600 g (21.2 oz)
Apple cider vinegar — 30 g (1.1 oz)</t>
        </is>
      </c>
      <c r="M1513" s="4" t="inlineStr">
        <is>
          <t>[{"ingredient_id": "beef_chuck", "name": "Beef chuck roast, trimmed", "grams": 900.0, "note": ""}, {"ingredient_id": "cabbage", "name": "Green cabbage", "grams": 600.0, "note": ""}, {"ingredient_id": "carrot", "name": "Carrot", "grams": 250.0, "note": ""}, {"ingredient_id": "new_potato", "name": "New potatoes, boiled", "grams": 300.0, "note": ""}, {"ingredient_id": "onion", "name": "Yellow onion", "grams": 120.0, "note": ""}, {"ingredient_id": "bay_leaf", "name": "Bay leaves", "grams": 2.0, "note": ""}, {"ingredient_id": "black_pepper", "name": "Black pepper", "grams": 2.0, "note": ""}, {"ingredient_id": "beef_broth", "name": "Beef broth, low sodium", "grams": 600.0, "note": ""}, {"ingredient_id": "apple_cider_vinegar", "name": "Apple cider vinegar", "grams": 30.0, "note": ""}]</t>
        </is>
      </c>
      <c r="N1513" s="2" t="n">
        <v>374</v>
      </c>
      <c r="O1513" s="5" t="n">
        <v>34.2</v>
      </c>
      <c r="P1513" s="5" t="n">
        <v>17</v>
      </c>
      <c r="Q1513" s="5" t="n">
        <v>22.6</v>
      </c>
      <c r="R1513" s="5" t="n">
        <v>5.1</v>
      </c>
      <c r="S1513" s="5" t="n">
        <v>17.5</v>
      </c>
      <c r="T1513" s="2" t="n">
        <v>48</v>
      </c>
      <c r="U1513" s="2" t="inlineStr">
        <is>
          <t>low</t>
        </is>
      </c>
      <c r="V1513" s="5" t="n">
        <v>8.4</v>
      </c>
      <c r="W1513" s="2" t="inlineStr">
        <is>
          <t>low</t>
        </is>
      </c>
      <c r="X1513" s="3" t="inlineStr"/>
      <c r="Y1513" s="3" t="inlineStr">
        <is>
          <t>68% of this dish's available carbohydrate comes from ingredients with a published, measured GI; the rest uses conventional placeholders (see Ingredients sheet)</t>
        </is>
      </c>
      <c r="Z1513" s="2" t="n">
        <v>68</v>
      </c>
      <c r="AA1513" s="3" t="inlineStr">
        <is>
          <t>gluten-free, dairy-free, nut-free, high-protein</t>
        </is>
      </c>
      <c r="AB1513" s="3" t="inlineStr">
        <is>
          <t>1. Simmer the beef in the broth with vinegar, onion, bay and pepper for 2 hours.
2. Add the potatoes and carrots for 30 minutes, then the cabbage for the last 20.</t>
        </is>
      </c>
      <c r="AC1513" s="4" t="inlineStr">
        <is>
          <t>["Simmer the beef in the broth with vinegar, onion, bay and pepper for 2 hours.", "Add the potatoes and carrots for 30 minutes, then the cabbage for the last 20."]</t>
        </is>
      </c>
    </row>
    <row r="1514" ht="96" customHeight="1">
      <c r="A1514" s="2" t="inlineStr">
        <is>
          <t>DB-1513</t>
        </is>
      </c>
      <c r="B1514" s="3" t="inlineStr">
        <is>
          <t>Salisbury Steak with Mushroom Gravy</t>
        </is>
      </c>
      <c r="C1514" s="4" t="inlineStr">
        <is>
          <t>Beef, Pork &amp; Lamb</t>
        </is>
      </c>
      <c r="D1514" s="4" t="inlineStr">
        <is>
          <t>American</t>
        </is>
      </c>
      <c r="E1514" s="2" t="n">
        <v>5</v>
      </c>
      <c r="F1514" s="2" t="n">
        <v>15</v>
      </c>
      <c r="G1514" s="2" t="n">
        <v>30</v>
      </c>
      <c r="H1514" s="2" t="n">
        <v>45</v>
      </c>
      <c r="I1514" s="4" t="inlineStr">
        <is>
          <t>salisbury-steak-with-mushroom-gravy.jpg</t>
        </is>
      </c>
      <c r="J1514" s="3" t="inlineStr">
        <is>
          <t>Salisbury Steak with Mushroom Gravy, healthy food photography, plated, natural light</t>
        </is>
      </c>
      <c r="K1514" s="4" t="inlineStr"/>
      <c r="L1514" s="3" t="inlineStr">
        <is>
          <t>Ground beef 90% lean — 600 g (21.2 oz)
Mushrooms (cremini/white) — 250 g (8.8 oz)
Yellow onion — 100 g (3.5 oz)
Egg, large (50 g each) — 50 g (1.8 oz)
Oat bran, dry — 30 g (1.1 oz)
Beef broth, low sodium — 300 g (10.6 oz)
Arrowroot starch — 10 g (0.4 oz)
Dijon mustard — 10 g (0.4 oz)</t>
        </is>
      </c>
      <c r="M1514" s="4" t="inlineStr">
        <is>
          <t>[{"ingredient_id": "ground_beef", "name": "Ground beef 90% lean", "grams": 600.0, "note": ""}, {"ingredient_id": "mushrooms", "name": "Mushrooms (cremini/white)", "grams": 250.0, "note": ""}, {"ingredient_id": "onion", "name": "Yellow onion", "grams": 100.0, "note": ""}, {"ingredient_id": "egg", "name": "Egg, large (50 g each)", "grams": 50.0, "note": ""}, {"ingredient_id": "oat_bran", "name": "Oat bran, dry", "grams": 30.0, "note": ""}, {"ingredient_id": "beef_broth", "name": "Beef broth, low sodium", "grams": 300.0, "note": ""}, {"ingredient_id": "arrowroot", "name": "Arrowroot starch", "grams": 10.0, "note": ""}, {"ingredient_id": "dijon", "name": "Dijon mustard", "grams": 10.0, "note": ""}]</t>
        </is>
      </c>
      <c r="N1514" s="2" t="n">
        <v>272</v>
      </c>
      <c r="O1514" s="5" t="n">
        <v>28.9</v>
      </c>
      <c r="P1514" s="5" t="n">
        <v>13.7</v>
      </c>
      <c r="Q1514" s="5" t="n">
        <v>9.6</v>
      </c>
      <c r="R1514" s="5" t="n">
        <v>1.9</v>
      </c>
      <c r="S1514" s="5" t="n">
        <v>7.8</v>
      </c>
      <c r="T1514" s="2" t="n">
        <v>41</v>
      </c>
      <c r="U1514" s="2" t="inlineStr">
        <is>
          <t>low</t>
        </is>
      </c>
      <c r="V1514" s="5" t="n">
        <v>3.2</v>
      </c>
      <c r="W1514" s="2" t="inlineStr">
        <is>
          <t>low</t>
        </is>
      </c>
      <c r="X1514" s="3" t="inlineStr"/>
      <c r="Y1514" s="3" t="inlineStr">
        <is>
          <t>61% of this dish's available carbohydrate comes from ingredients with a published, measured GI; the rest uses conventional placeholders (see Ingredients sheet)</t>
        </is>
      </c>
      <c r="Z1514" s="2" t="n">
        <v>61</v>
      </c>
      <c r="AA1514" s="3" t="inlineStr">
        <is>
          <t>dairy-free, nut-free, low-carb, high-protein</t>
        </is>
      </c>
      <c r="AB1514" s="3" t="inlineStr">
        <is>
          <t>1. Mix the beef, egg, oat bran and mustard and form oval patties; brown.
2. Cook the onion and mushrooms in the pan, add broth thickened with arrowroot.
3. Return the patties and simmer 15 minutes.</t>
        </is>
      </c>
      <c r="AC1514" s="4" t="inlineStr">
        <is>
          <t>["Mix the beef, egg, oat bran and mustard and form oval patties; brown.", "Cook the onion and mushrooms in the pan, add broth thickened with arrowroot.", "Return the patties and simmer 15 minutes."]</t>
        </is>
      </c>
    </row>
    <row r="1515" ht="96" customHeight="1">
      <c r="A1515" s="2" t="inlineStr">
        <is>
          <t>DB-1514</t>
        </is>
      </c>
      <c r="B1515" s="3" t="inlineStr">
        <is>
          <t>Moroccan-Spiced Lamb with Chickpeas</t>
        </is>
      </c>
      <c r="C1515" s="4" t="inlineStr">
        <is>
          <t>Beef, Pork &amp; Lamb</t>
        </is>
      </c>
      <c r="D1515" s="4" t="inlineStr">
        <is>
          <t>Middle Eastern</t>
        </is>
      </c>
      <c r="E1515" s="2" t="n">
        <v>5</v>
      </c>
      <c r="F1515" s="2" t="n">
        <v>15</v>
      </c>
      <c r="G1515" s="2" t="n">
        <v>90</v>
      </c>
      <c r="H1515" s="2" t="n">
        <v>105</v>
      </c>
      <c r="I1515" s="4" t="inlineStr">
        <is>
          <t>moroccan-spiced-lamb-with-chickpeas.jpg</t>
        </is>
      </c>
      <c r="J1515" s="3" t="inlineStr">
        <is>
          <t>Moroccan-Spiced Lamb with Chickpeas, healthy food photography, plated, natural light</t>
        </is>
      </c>
      <c r="K1515" s="4" t="inlineStr"/>
      <c r="L1515" s="3" t="inlineStr">
        <is>
          <t>Lamb leg, trimmed — 600 g (21.2 oz)
Chickpeas, cooked — 300 g (10.6 oz)
Diced tomatoes, canned — 400 g (14.1 oz)
Yellow onion — 120 g (4.2 oz)
Ground cumin — 4 g (0.1 oz)
Ground cinnamon — 2 g (0.1 oz)
Garlic — 8 g (0.3 oz)
Fresh cilantro — 8 g (0.3 oz)
Chicken broth, low sodium — 300 g (10.6 oz)</t>
        </is>
      </c>
      <c r="M1515" s="4" t="inlineStr">
        <is>
          <t>[{"ingredient_id": "lamb_leg", "name": "Lamb leg, trimmed", "grams": 600.0, "note": ""}, {"ingredient_id": "chickpeas", "name": "Chickpeas, cooked", "grams": 300.0, "note": ""}, {"ingredient_id": "diced_tomatoes", "name": "Diced tomatoes, canned", "grams": 400.0, "note": ""}, {"ingredient_id": "onion", "name": "Yellow onion", "grams": 120.0, "note": ""}, {"ingredient_id": "cumin", "name": "Ground cumin", "grams": 4.0, "note": ""}, {"ingredient_id": "cinnamon", "name": "Ground cinnamon", "grams": 2.0, "note": ""}, {"ingredient_id": "garlic", "name": "Garlic", "grams": 8.0, "note": ""}, {"ingredient_id": "cilantro", "name": "Fresh cilantro", "grams": 8.0, "note": ""}, {"ingredient_id": "chicken_broth", "name": "Chicken broth, low sodium", "grams": 300.0, "note": ""}]</t>
        </is>
      </c>
      <c r="N1515" s="2" t="n">
        <v>330</v>
      </c>
      <c r="O1515" s="5" t="n">
        <v>31.5</v>
      </c>
      <c r="P1515" s="5" t="n">
        <v>12.9</v>
      </c>
      <c r="Q1515" s="5" t="n">
        <v>24</v>
      </c>
      <c r="R1515" s="5" t="n">
        <v>6.5</v>
      </c>
      <c r="S1515" s="5" t="n">
        <v>17.5</v>
      </c>
      <c r="T1515" s="2" t="n">
        <v>34</v>
      </c>
      <c r="U1515" s="2" t="inlineStr">
        <is>
          <t>low</t>
        </is>
      </c>
      <c r="V1515" s="5" t="n">
        <v>5.9</v>
      </c>
      <c r="W1515" s="2" t="inlineStr">
        <is>
          <t>low</t>
        </is>
      </c>
      <c r="X1515" s="3" t="inlineStr"/>
      <c r="Y1515" s="3" t="inlineStr">
        <is>
          <t>67% of this dish's available carbohydrate comes from ingredients with a published, measured GI; the rest uses conventional placeholders (see Ingredients sheet)</t>
        </is>
      </c>
      <c r="Z1515" s="2" t="n">
        <v>67</v>
      </c>
      <c r="AA1515" s="3" t="inlineStr">
        <is>
          <t>gluten-free, dairy-free, nut-free, high-protein</t>
        </is>
      </c>
      <c r="AB1515" s="3" t="inlineStr">
        <is>
          <t>1. Brown the cubed lamb with the onion and garlic.
2. Add the spices, tomatoes, chickpeas and broth and simmer 80 minutes.
3. Finish with cilantro.</t>
        </is>
      </c>
      <c r="AC1515" s="4" t="inlineStr">
        <is>
          <t>["Brown the cubed lamb with the onion and garlic.", "Add the spices, tomatoes, chickpeas and broth and simmer 80 minutes.", "Finish with cilantro."]</t>
        </is>
      </c>
    </row>
    <row r="1516" ht="96" customHeight="1">
      <c r="A1516" s="2" t="inlineStr">
        <is>
          <t>DB-1515</t>
        </is>
      </c>
      <c r="B1516" s="3" t="inlineStr">
        <is>
          <t>Beef and Bean Burrito Bowls</t>
        </is>
      </c>
      <c r="C1516" s="4" t="inlineStr">
        <is>
          <t>Beef, Pork &amp; Lamb</t>
        </is>
      </c>
      <c r="D1516" s="4" t="inlineStr">
        <is>
          <t>Tex-Mex</t>
        </is>
      </c>
      <c r="E1516" s="2" t="n">
        <v>4</v>
      </c>
      <c r="F1516" s="2" t="n">
        <v>15</v>
      </c>
      <c r="G1516" s="2" t="n">
        <v>15</v>
      </c>
      <c r="H1516" s="2" t="n">
        <v>30</v>
      </c>
      <c r="I1516" s="4" t="inlineStr">
        <is>
          <t>beef-and-bean-burrito-bowls.jpg</t>
        </is>
      </c>
      <c r="J1516" s="3" t="inlineStr">
        <is>
          <t>Beef and Bean Burrito Bowls, healthy food photography, plated, natural light</t>
        </is>
      </c>
      <c r="K1516" s="4" t="inlineStr"/>
      <c r="L1516" s="3" t="inlineStr">
        <is>
          <t>Ground beef 90% lean — 400 g (14.1 oz)
Black beans, cooked — 200 g (7.1 oz)
White rice, long-grain, cooked — 300 g (10.6 oz)
Taco seasoning, low sodium — 12 g (0.4 oz)
Romaine lettuce — 100 g (3.5 oz)
Tomato — 120 g (4.2 oz)
Avocado — 100 g (3.5 oz)
Cheddar cheese — 50 g (1.8 oz)
Salsa, no sugar added — 100 g (3.5 oz)</t>
        </is>
      </c>
      <c r="M1516" s="4" t="inlineStr">
        <is>
          <t>[{"ingredient_id": "ground_beef", "name": "Ground beef 90% lean", "grams": 400.0, "note": ""}, {"ingredient_id": "black_beans", "name": "Black beans, cooked", "grams": 200.0, "note": ""}, {"ingredient_id": "white_rice", "name": "White rice, long-grain, cooked", "grams": 300.0, "note": ""}, {"ingredient_id": "taco_seasoning", "name": "Taco seasoning, low sodium", "grams": 12.0, "note": ""}, {"ingredient_id": "romaine", "name": "Romaine lettuce", "grams": 100.0, "note": ""}, {"ingredient_id": "tomato", "name": "Tomato", "grams": 120.0, "note": ""}, {"ingredient_id": "avocado", "name": "Avocado", "grams": 100.0, "note": ""}, {"ingredient_id": "cheddar", "name": "Cheddar cheese", "grams": 50.0, "note": ""}, {"ingredient_id": "salsa", "name": "Salsa, no sugar added", "grams": 100.0, "note": ""}]</t>
        </is>
      </c>
      <c r="N1516" s="2" t="n">
        <v>457</v>
      </c>
      <c r="O1516" s="5" t="n">
        <v>31.1</v>
      </c>
      <c r="P1516" s="5" t="n">
        <v>18.8</v>
      </c>
      <c r="Q1516" s="5" t="n">
        <v>40.5</v>
      </c>
      <c r="R1516" s="5" t="n">
        <v>8.300000000000001</v>
      </c>
      <c r="S1516" s="5" t="n">
        <v>32.2</v>
      </c>
      <c r="T1516" s="2" t="n">
        <v>59</v>
      </c>
      <c r="U1516" s="2" t="inlineStr">
        <is>
          <t>medium</t>
        </is>
      </c>
      <c r="V1516" s="5" t="n">
        <v>19</v>
      </c>
      <c r="W1516" s="2" t="inlineStr">
        <is>
          <t>medium</t>
        </is>
      </c>
      <c r="X1516" s="3" t="inlineStr">
        <is>
          <t>Medium-GI dish: keep to the stated portion and pair with the protein/fat in the recipe; GL per serving is the better guide.</t>
        </is>
      </c>
      <c r="Y1516" s="3" t="inlineStr">
        <is>
          <t>88% of this dish's available carbohydrate comes from ingredients with a published, measured GI; the rest uses conventional placeholders (see Ingredients sheet)</t>
        </is>
      </c>
      <c r="Z1516" s="2" t="n">
        <v>88</v>
      </c>
      <c r="AA1516" s="3" t="inlineStr">
        <is>
          <t>gluten-free, nut-free, high-protein, high-fiber</t>
        </is>
      </c>
      <c r="AB1516" s="3" t="inlineStr">
        <is>
          <t>1. Brown the beef with the seasoning.
2. Build bowls from rice, beans, beef and lettuce.
3. Top with tomato, avocado, cheddar and salsa.</t>
        </is>
      </c>
      <c r="AC1516" s="4" t="inlineStr">
        <is>
          <t>["Brown the beef with the seasoning.", "Build bowls from rice, beans, beef and lettuce.", "Top with tomato, avocado, cheddar and salsa."]</t>
        </is>
      </c>
    </row>
    <row r="1517" ht="96" customHeight="1">
      <c r="A1517" s="2" t="inlineStr">
        <is>
          <t>DB-1516</t>
        </is>
      </c>
      <c r="B1517" s="3" t="inlineStr">
        <is>
          <t>Hawaiian Pork Chops with Pineapple Salsa</t>
        </is>
      </c>
      <c r="C1517" s="4" t="inlineStr">
        <is>
          <t>Beef, Pork &amp; Lamb</t>
        </is>
      </c>
      <c r="D1517" s="4" t="inlineStr">
        <is>
          <t>Hawaiian</t>
        </is>
      </c>
      <c r="E1517" s="2" t="n">
        <v>4</v>
      </c>
      <c r="F1517" s="2" t="n">
        <v>15</v>
      </c>
      <c r="G1517" s="2" t="n">
        <v>15</v>
      </c>
      <c r="H1517" s="2" t="n">
        <v>30</v>
      </c>
      <c r="I1517" s="4" t="inlineStr">
        <is>
          <t>hawaiian-pork-chops-with-pineapple-salsa.jpg</t>
        </is>
      </c>
      <c r="J1517" s="3" t="inlineStr">
        <is>
          <t>Hawaiian Pork Chops with Pineapple Salsa, healthy food photography, plated, natural light</t>
        </is>
      </c>
      <c r="K1517" s="4" t="inlineStr"/>
      <c r="L1517" s="3" t="inlineStr">
        <is>
          <t>Pork loin chop, trimmed — 600 g (21.2 oz)
Pineapple — 200 g (7.1 oz)
Red onion — 50 g (1.8 oz)
Fresh cilantro — 8 g (0.3 oz)
Lime juice — 25 g (0.9 oz)
Jalapeño — 10 g (0.4 oz)
Extra-virgin olive oil — 15 g (0.5 oz)
Smoked paprika — 2 g (0.1 oz)</t>
        </is>
      </c>
      <c r="M1517" s="4" t="inlineStr">
        <is>
          <t>[{"ingredient_id": "pork_chop", "name": "Pork loin chop, trimmed", "grams": 600.0, "note": ""}, {"ingredient_id": "pineapple", "name": "Pineapple", "grams": 200.0, "note": ""}, {"ingredient_id": "red_onion", "name": "Red onion", "grams": 50.0, "note": ""}, {"ingredient_id": "cilantro", "name": "Fresh cilantro", "grams": 8.0, "note": ""}, {"ingredient_id": "lime_juice", "name": "Lime juice", "grams": 25.0, "note": ""}, {"ingredient_id": "jalapeno", "name": "Jalapeño", "grams": 10.0, "note": ""}, {"ingredient_id": "olive_oil", "name": "Extra-virgin olive oil", "grams": 15.0, "note": ""}, {"ingredient_id": "smoked_paprika", "name": "Smoked paprika", "grams": 2.0, "note": ""}]</t>
        </is>
      </c>
      <c r="N1517" s="2" t="n">
        <v>292</v>
      </c>
      <c r="O1517" s="5" t="n">
        <v>33.5</v>
      </c>
      <c r="P1517" s="5" t="n">
        <v>13.7</v>
      </c>
      <c r="Q1517" s="5" t="n">
        <v>8.699999999999999</v>
      </c>
      <c r="R1517" s="5" t="n">
        <v>1.2</v>
      </c>
      <c r="S1517" s="5" t="n">
        <v>7.5</v>
      </c>
      <c r="T1517" s="2" t="n">
        <v>58</v>
      </c>
      <c r="U1517" s="2" t="inlineStr">
        <is>
          <t>medium</t>
        </is>
      </c>
      <c r="V1517" s="5" t="n">
        <v>4.3</v>
      </c>
      <c r="W1517" s="2" t="inlineStr">
        <is>
          <t>low</t>
        </is>
      </c>
      <c r="X1517" s="3" t="inlineStr">
        <is>
          <t>Medium-GI dish: keep to the stated portion and pair with the protein/fat in the recipe; GL per serving is the better guide.</t>
        </is>
      </c>
      <c r="Y1517" s="3" t="inlineStr">
        <is>
          <t>78% of this dish's available carbohydrate comes from ingredients with a published, measured GI; the rest uses conventional placeholders (see Ingredients sheet)</t>
        </is>
      </c>
      <c r="Z1517" s="2" t="n">
        <v>78</v>
      </c>
      <c r="AA1517" s="3" t="inlineStr">
        <is>
          <t>gluten-free, dairy-free, nut-free, low-carb, high-protein</t>
        </is>
      </c>
      <c r="AB1517" s="3" t="inlineStr">
        <is>
          <t>1. Rub the chops with paprika and oil and grill 6 minutes a side.
2. Mix the pineapple, onion, cilantro, lime and jalapeno.
3. Serve the salsa over the chops.</t>
        </is>
      </c>
      <c r="AC1517" s="4" t="inlineStr">
        <is>
          <t>["Rub the chops with paprika and oil and grill 6 minutes a side.", "Mix the pineapple, onion, cilantro, lime and jalapeno.", "Serve the salsa over the chops."]</t>
        </is>
      </c>
    </row>
    <row r="1518" ht="96" customHeight="1">
      <c r="A1518" s="2" t="inlineStr">
        <is>
          <t>DB-1517</t>
        </is>
      </c>
      <c r="B1518" s="3" t="inlineStr">
        <is>
          <t>Spicy Pork Lettuce Wraps</t>
        </is>
      </c>
      <c r="C1518" s="4" t="inlineStr">
        <is>
          <t>Beef, Pork &amp; Lamb</t>
        </is>
      </c>
      <c r="D1518" s="4" t="inlineStr">
        <is>
          <t>Asian</t>
        </is>
      </c>
      <c r="E1518" s="2" t="n">
        <v>4</v>
      </c>
      <c r="F1518" s="2" t="n">
        <v>15</v>
      </c>
      <c r="G1518" s="2" t="n">
        <v>10</v>
      </c>
      <c r="H1518" s="2" t="n">
        <v>25</v>
      </c>
      <c r="I1518" s="4" t="inlineStr">
        <is>
          <t>spicy-pork-lettuce-wraps.jpg</t>
        </is>
      </c>
      <c r="J1518" s="3" t="inlineStr">
        <is>
          <t>Spicy Pork Lettuce Wraps, healthy food photography, plated, natural light</t>
        </is>
      </c>
      <c r="K1518" s="4" t="inlineStr"/>
      <c r="L1518" s="3" t="inlineStr">
        <is>
          <t>Ground pork, lean — 450 g (15.9 oz)
Butter lettuce — 200 g (7.1 oz)
Water chestnuts, canned — 80 g (2.8 oz)
Green onions (scallions) — 30 g (1.1 oz)
Soy sauce, low sodium — 25 g (0.9 oz)
Sriracha — 15 g (0.5 oz)
Fresh ginger — 8 g (0.3 oz)
Garlic — 6 g (0.2 oz)
Toasted sesame oil — 8 g (0.3 oz)</t>
        </is>
      </c>
      <c r="M1518" s="4" t="inlineStr">
        <is>
          <t>[{"ingredient_id": "ground_pork", "name": "Ground pork, lean", "grams": 450.0, "note": ""}, {"ingredient_id": "butter_lettuce", "name": "Butter lettuce", "grams": 200.0, "note": ""}, {"ingredient_id": "water_chestnuts", "name": "Water chestnuts, canned", "grams": 80.0, "note": ""}, {"ingredient_id": "green_onion", "name": "Green onions (scallions)", "grams": 30.0, "note": ""}, {"ingredient_id": "soy_sauce", "name": "Soy sauce, low sodium", "grams": 25.0, "note": ""}, {"ingredient_id": "sriracha", "name": "Sriracha", "grams": 15.0, "note": ""}, {"ingredient_id": "ginger", "name": "Fresh ginger", "grams": 8.0, "note": ""}, {"ingredient_id": "garlic", "name": "Garlic", "grams": 6.0, "note": ""}, {"ingredient_id": "sesame_oil", "name": "Toasted sesame oil", "grams": 8.0, "note": ""}]</t>
        </is>
      </c>
      <c r="N1518" s="2" t="n">
        <v>255</v>
      </c>
      <c r="O1518" s="5" t="n">
        <v>23.1</v>
      </c>
      <c r="P1518" s="5" t="n">
        <v>15.7</v>
      </c>
      <c r="Q1518" s="5" t="n">
        <v>5.9</v>
      </c>
      <c r="R1518" s="5" t="n">
        <v>1.4</v>
      </c>
      <c r="S1518" s="5" t="n">
        <v>4.5</v>
      </c>
      <c r="T1518" s="2" t="n">
        <v>32</v>
      </c>
      <c r="U1518" s="2" t="inlineStr">
        <is>
          <t>low</t>
        </is>
      </c>
      <c r="V1518" s="5" t="n">
        <v>1.4</v>
      </c>
      <c r="W1518" s="2" t="inlineStr">
        <is>
          <t>low</t>
        </is>
      </c>
      <c r="X1518" s="3" t="inlineStr">
        <is>
          <t>Negligible carbohydrate (&lt;5 g net/serving): GI has little practical meaning, glycemic load is what matters.</t>
        </is>
      </c>
      <c r="Y1518" s="3" t="inlineStr">
        <is>
          <t>0% of this dish's available carbohydrate comes from ingredients with a published, measured GI; the rest uses conventional placeholders (see Ingredients sheet)</t>
        </is>
      </c>
      <c r="Z1518" s="2" t="n">
        <v>0</v>
      </c>
      <c r="AA1518" s="3" t="inlineStr">
        <is>
          <t>dairy-free, nut-free, low-carb</t>
        </is>
      </c>
      <c r="AB1518" s="3" t="inlineStr">
        <is>
          <t>1. Brown the pork with garlic and ginger.
2. Add the water chestnuts, soy sauce and sriracha.
3. Spoon into lettuce cups with green onion and sesame oil.</t>
        </is>
      </c>
      <c r="AC1518" s="4" t="inlineStr">
        <is>
          <t>["Brown the pork with garlic and ginger.", "Add the water chestnuts, soy sauce and sriracha.", "Spoon into lettuce cups with green onion and sesame oil."]</t>
        </is>
      </c>
    </row>
    <row r="1519" ht="96" customHeight="1">
      <c r="A1519" s="2" t="inlineStr">
        <is>
          <t>DB-1518</t>
        </is>
      </c>
      <c r="B1519" s="3" t="inlineStr">
        <is>
          <t>Venison Chili</t>
        </is>
      </c>
      <c r="C1519" s="4" t="inlineStr">
        <is>
          <t>Soup &amp; Stew</t>
        </is>
      </c>
      <c r="D1519" s="4" t="inlineStr">
        <is>
          <t>American</t>
        </is>
      </c>
      <c r="E1519" s="2" t="n">
        <v>6</v>
      </c>
      <c r="F1519" s="2" t="n">
        <v>15</v>
      </c>
      <c r="G1519" s="2" t="n">
        <v>60</v>
      </c>
      <c r="H1519" s="2" t="n">
        <v>75</v>
      </c>
      <c r="I1519" s="4" t="inlineStr">
        <is>
          <t>venison-chili.jpg</t>
        </is>
      </c>
      <c r="J1519" s="3" t="inlineStr">
        <is>
          <t>Venison Chili, healthy food photography, plated, natural light</t>
        </is>
      </c>
      <c r="K1519" s="4" t="inlineStr"/>
      <c r="L1519" s="3" t="inlineStr">
        <is>
          <t>Venison — 500 g (17.6 oz)
Kidney beans, cooked — 250 g (8.8 oz)
Diced tomatoes, canned — 400 g (14.1 oz)
Yellow onion — 150 g (5.3 oz)
Chili powder — 12 g (0.4 oz)
Ground cumin — 4 g (0.1 oz)
Garlic — 8 g (0.3 oz)
Beef broth, low sodium — 300 g (10.6 oz)</t>
        </is>
      </c>
      <c r="M1519" s="4" t="inlineStr">
        <is>
          <t>[{"ingredient_id": "venison", "name": "Venison", "grams": 500.0, "note": ""}, {"ingredient_id": "kidney_beans", "name": "Kidney beans, cooked", "grams": 250.0, "note": ""}, {"ingredient_id": "diced_tomatoes", "name": "Diced tomatoes, canned", "grams": 400.0, "note": ""}, {"ingredient_id": "onion", "name": "Yellow onion", "grams": 150.0, "note": ""}, {"ingredient_id": "chili_powder", "name": "Chili powder", "grams": 12.0, "note": ""}, {"ingredient_id": "cumin", "name": "Ground cumin", "grams": 4.0, "note": ""}, {"ingredient_id": "garlic", "name": "Garlic", "grams": 8.0, "note": ""}, {"ingredient_id": "beef_broth", "name": "Beef broth, low sodium", "grams": 300.0, "note": ""}]</t>
        </is>
      </c>
      <c r="N1519" s="2" t="n">
        <v>193</v>
      </c>
      <c r="O1519" s="5" t="n">
        <v>25</v>
      </c>
      <c r="P1519" s="5" t="n">
        <v>2.9</v>
      </c>
      <c r="Q1519" s="5" t="n">
        <v>17.1</v>
      </c>
      <c r="R1519" s="5" t="n">
        <v>4.9</v>
      </c>
      <c r="S1519" s="5" t="n">
        <v>12.2</v>
      </c>
      <c r="T1519" s="2" t="n">
        <v>30</v>
      </c>
      <c r="U1519" s="2" t="inlineStr">
        <is>
          <t>low</t>
        </is>
      </c>
      <c r="V1519" s="5" t="n">
        <v>3.7</v>
      </c>
      <c r="W1519" s="2" t="inlineStr">
        <is>
          <t>low</t>
        </is>
      </c>
      <c r="X1519" s="3" t="inlineStr"/>
      <c r="Y1519" s="3" t="inlineStr">
        <is>
          <t>56% of this dish's available carbohydrate comes from ingredients with a published, measured GI; the rest uses conventional placeholders (see Ingredients sheet)</t>
        </is>
      </c>
      <c r="Z1519" s="2" t="n">
        <v>56</v>
      </c>
      <c r="AA1519" s="3" t="inlineStr">
        <is>
          <t>gluten-free, dairy-free, nut-free, low-carb</t>
        </is>
      </c>
      <c r="AB1519" s="3" t="inlineStr">
        <is>
          <t>1. Brown the venison with the onion and garlic.
2. Add the spices, tomatoes, beans and broth and simmer 50 minutes.</t>
        </is>
      </c>
      <c r="AC1519" s="4" t="inlineStr">
        <is>
          <t>["Brown the venison with the onion and garlic.", "Add the spices, tomatoes, beans and broth and simmer 50 minutes."]</t>
        </is>
      </c>
    </row>
    <row r="1520" ht="96" customHeight="1">
      <c r="A1520" s="2" t="inlineStr">
        <is>
          <t>DB-1519</t>
        </is>
      </c>
      <c r="B1520" s="3" t="inlineStr">
        <is>
          <t>Bison Meatloaf with Mushrooms</t>
        </is>
      </c>
      <c r="C1520" s="4" t="inlineStr">
        <is>
          <t>Beef, Pork &amp; Lamb</t>
        </is>
      </c>
      <c r="D1520" s="4" t="inlineStr">
        <is>
          <t>American</t>
        </is>
      </c>
      <c r="E1520" s="2" t="n">
        <v>6</v>
      </c>
      <c r="F1520" s="2" t="n">
        <v>15</v>
      </c>
      <c r="G1520" s="2" t="n">
        <v>50</v>
      </c>
      <c r="H1520" s="2" t="n">
        <v>65</v>
      </c>
      <c r="I1520" s="4" t="inlineStr">
        <is>
          <t>bison-meatloaf-with-mushrooms.jpg</t>
        </is>
      </c>
      <c r="J1520" s="3" t="inlineStr">
        <is>
          <t>Bison Meatloaf with Mushrooms, healthy food photography, plated, natural light</t>
        </is>
      </c>
      <c r="K1520" s="4" t="inlineStr"/>
      <c r="L1520" s="3" t="inlineStr">
        <is>
          <t>Ground bison — 650 g (22.9 oz)
Mushrooms (cremini/white) — 150 g (5.3 oz)
Egg, large (50 g each) — 50 g (1.8 oz)
Oat bran, dry — 40 g (1.4 oz)
Yellow onion — 80 g (2.8 oz)
Tomato paste — 40 g (1.4 oz)
Salt — 3 g (0.1 oz)</t>
        </is>
      </c>
      <c r="M1520" s="4" t="inlineStr">
        <is>
          <t>[{"ingredient_id": "bison", "name": "Ground bison", "grams": 650.0, "note": ""}, {"ingredient_id": "mushrooms", "name": "Mushrooms (cremini/white)", "grams": 150.0, "note": ""}, {"ingredient_id": "egg", "name": "Egg, large (50 g each)", "grams": 50.0, "note": ""}, {"ingredient_id": "oat_bran", "name": "Oat bran, dry", "grams": 40.0, "note": ""}, {"ingredient_id": "onion", "name": "Yellow onion", "grams": 80.0, "note": ""}, {"ingredient_id": "tomato_paste", "name": "Tomato paste", "grams": 40.0, "note": ""}, {"ingredient_id": "salt", "name": "Salt", "grams": 3.0, "note": ""}]</t>
        </is>
      </c>
      <c r="N1520" s="2" t="n">
        <v>202</v>
      </c>
      <c r="O1520" s="5" t="n">
        <v>25.1</v>
      </c>
      <c r="P1520" s="5" t="n">
        <v>9</v>
      </c>
      <c r="Q1520" s="5" t="n">
        <v>7.8</v>
      </c>
      <c r="R1520" s="5" t="n">
        <v>1.7</v>
      </c>
      <c r="S1520" s="5" t="n">
        <v>6</v>
      </c>
      <c r="T1520" s="2" t="n">
        <v>41</v>
      </c>
      <c r="U1520" s="2" t="inlineStr">
        <is>
          <t>low</t>
        </is>
      </c>
      <c r="V1520" s="5" t="n">
        <v>2.5</v>
      </c>
      <c r="W1520" s="2" t="inlineStr">
        <is>
          <t>low</t>
        </is>
      </c>
      <c r="X1520" s="3" t="inlineStr"/>
      <c r="Y1520" s="3" t="inlineStr">
        <is>
          <t>56% of this dish's available carbohydrate comes from ingredients with a published, measured GI; the rest uses conventional placeholders (see Ingredients sheet)</t>
        </is>
      </c>
      <c r="Z1520" s="2" t="n">
        <v>56</v>
      </c>
      <c r="AA1520" s="3" t="inlineStr">
        <is>
          <t>dairy-free, nut-free, low-carb, high-protein</t>
        </is>
      </c>
      <c r="AB1520" s="3" t="inlineStr">
        <is>
          <t>1. Sauté the chopped mushrooms and onion.
2. Mix with the bison, egg, oat bran and salt and press into a loaf pan.
3. Spread with paste and bake at 375°F for 50 minutes.</t>
        </is>
      </c>
      <c r="AC1520" s="4" t="inlineStr">
        <is>
          <t>["Sauté the chopped mushrooms and onion.", "Mix with the bison, egg, oat bran and salt and press into a loaf pan.", "Spread with paste and bake at 375°F for 50 minutes."]</t>
        </is>
      </c>
    </row>
    <row r="1521" ht="96" customHeight="1">
      <c r="A1521" s="2" t="inlineStr">
        <is>
          <t>DB-1520</t>
        </is>
      </c>
      <c r="B1521" s="3" t="inlineStr">
        <is>
          <t>Pan-Seared Halibut with Lemon Caper Sauce</t>
        </is>
      </c>
      <c r="C1521" s="4" t="inlineStr">
        <is>
          <t>Seafood</t>
        </is>
      </c>
      <c r="D1521" s="4" t="inlineStr">
        <is>
          <t>American</t>
        </is>
      </c>
      <c r="E1521" s="2" t="n">
        <v>4</v>
      </c>
      <c r="F1521" s="2" t="n">
        <v>10</v>
      </c>
      <c r="G1521" s="2" t="n">
        <v>15</v>
      </c>
      <c r="H1521" s="2" t="n">
        <v>25</v>
      </c>
      <c r="I1521" s="4" t="inlineStr">
        <is>
          <t>pan-seared-halibut-with-lemon-caper-sauce.jpg</t>
        </is>
      </c>
      <c r="J1521" s="3" t="inlineStr">
        <is>
          <t>Pan-Seared Halibut with Lemon Caper Sauce, healthy food photography, plated, natural light</t>
        </is>
      </c>
      <c r="K1521" s="4" t="inlineStr"/>
      <c r="L1521" s="3" t="inlineStr">
        <is>
          <t>Halibut fillet — 560 g (19.8 oz)
Lemon juice — 30 g (1.1 oz)
Capers — 20 g (0.7 oz)
Butter — 25 g (0.9 oz)
Fresh parsley — 6 g (0.2 oz)
Garlic — 4 g (0.1 oz)
Spinach — 200 g (7.1 oz)</t>
        </is>
      </c>
      <c r="M1521" s="4" t="inlineStr">
        <is>
          <t>[{"ingredient_id": "halibut", "name": "Halibut fillet", "grams": 560.0, "note": ""}, {"ingredient_id": "lemon_juice", "name": "Lemon juice", "grams": 30.0, "note": ""}, {"ingredient_id": "capers", "name": "Capers", "grams": 20.0, "note": ""}, {"ingredient_id": "butter", "name": "Butter", "grams": 25.0, "note": ""}, {"ingredient_id": "parsley", "name": "Fresh parsley", "grams": 6.0, "note": ""}, {"ingredient_id": "garlic", "name": "Garlic", "grams": 4.0, "note": ""}, {"ingredient_id": "spinach", "name": "Spinach", "grams": 200.0, "note": ""}]</t>
        </is>
      </c>
      <c r="N1521" s="2" t="n">
        <v>217</v>
      </c>
      <c r="O1521" s="5" t="n">
        <v>34</v>
      </c>
      <c r="P1521" s="5" t="n">
        <v>8.6</v>
      </c>
      <c r="Q1521" s="5" t="n">
        <v>3</v>
      </c>
      <c r="R1521" s="5" t="n">
        <v>1.4</v>
      </c>
      <c r="S1521" s="5" t="n">
        <v>1.6</v>
      </c>
      <c r="T1521" s="2" t="n">
        <v>19</v>
      </c>
      <c r="U1521" s="2" t="inlineStr">
        <is>
          <t>low</t>
        </is>
      </c>
      <c r="V1521" s="5" t="n">
        <v>0.3</v>
      </c>
      <c r="W1521" s="2" t="inlineStr">
        <is>
          <t>low</t>
        </is>
      </c>
      <c r="X1521" s="3" t="inlineStr">
        <is>
          <t>Negligible carbohydrate (&lt;5 g net/serving): GI has little practical meaning, glycemic load is what matters.</t>
        </is>
      </c>
      <c r="Y1521" s="3" t="inlineStr">
        <is>
          <t>0% of this dish's available carbohydrate comes from ingredients with a published, measured GI; the rest uses conventional placeholders (see Ingredients sheet)</t>
        </is>
      </c>
      <c r="Z1521" s="2" t="n">
        <v>0</v>
      </c>
      <c r="AA1521" s="3" t="inlineStr">
        <is>
          <t>pescatarian, gluten-free, nut-free, low-carb, high-protein</t>
        </is>
      </c>
      <c r="AB1521" s="3" t="inlineStr">
        <is>
          <t>1. Sear the halibut in half the butter, 4 minutes a side.
2. Sauté the garlic and spinach.
3. Warm the lemon, capers and remaining butter and spoon over.</t>
        </is>
      </c>
      <c r="AC1521" s="4" t="inlineStr">
        <is>
          <t>["Sear the halibut in half the butter, 4 minutes a side.", "Sauté the garlic and spinach.", "Warm the lemon, capers and remaining butter and spoon over."]</t>
        </is>
      </c>
    </row>
    <row r="1522" ht="96" customHeight="1">
      <c r="A1522" s="2" t="inlineStr">
        <is>
          <t>DB-1521</t>
        </is>
      </c>
      <c r="B1522" s="3" t="inlineStr">
        <is>
          <t>Blackened Mahi Mahi Tacos with Mango Slaw</t>
        </is>
      </c>
      <c r="C1522" s="4" t="inlineStr">
        <is>
          <t>Seafood</t>
        </is>
      </c>
      <c r="D1522" s="4" t="inlineStr">
        <is>
          <t>Tex-Mex</t>
        </is>
      </c>
      <c r="E1522" s="2" t="n">
        <v>4</v>
      </c>
      <c r="F1522" s="2" t="n">
        <v>15</v>
      </c>
      <c r="G1522" s="2" t="n">
        <v>10</v>
      </c>
      <c r="H1522" s="2" t="n">
        <v>25</v>
      </c>
      <c r="I1522" s="4" t="inlineStr">
        <is>
          <t>blackened-mahi-mahi-tacos-with-mango-slaw.jpg</t>
        </is>
      </c>
      <c r="J1522" s="3" t="inlineStr">
        <is>
          <t>Blackened Mahi Mahi Tacos with Mango Slaw, healthy food photography, plated, natural light</t>
        </is>
      </c>
      <c r="K1522" s="4" t="inlineStr"/>
      <c r="L1522" s="3" t="inlineStr">
        <is>
          <t>Mahi-mahi fillet — 500 g (17.6 oz)
Cajun seasoning — 10 g (0.4 oz)
Corn tortilla — 240 g (8.5 oz)
Green cabbage — 150 g (5.3 oz)
Mango — 100 g (3.5 oz)
Lime juice — 25 g (0.9 oz)
Fresh cilantro — 8 g (0.3 oz)
Extra-virgin olive oil — 15 g (0.5 oz)</t>
        </is>
      </c>
      <c r="M1522" s="4" t="inlineStr">
        <is>
          <t>[{"ingredient_id": "mahi_mahi", "name": "Mahi-mahi fillet", "grams": 500.0, "note": ""}, {"ingredient_id": "cajun_seasoning", "name": "Cajun seasoning", "grams": 10.0, "note": ""}, {"ingredient_id": "corn_tortilla", "name": "Corn tortilla", "grams": 240.0, "note": ""}, {"ingredient_id": "cabbage", "name": "Green cabbage", "grams": 150.0, "note": ""}, {"ingredient_id": "mango", "name": "Mango", "grams": 100.0, "note": ""}, {"ingredient_id": "lime_juice", "name": "Lime juice", "grams": 25.0, "note": ""}, {"ingredient_id": "cilantro", "name": "Fresh cilantro", "grams": 8.0, "note": ""}, {"ingredient_id": "olive_oil", "name": "Extra-virgin olive oil", "grams": 15.0, "note": ""}]</t>
        </is>
      </c>
      <c r="N1522" s="2" t="n">
        <v>304</v>
      </c>
      <c r="O1522" s="5" t="n">
        <v>27.5</v>
      </c>
      <c r="P1522" s="5" t="n">
        <v>6.7</v>
      </c>
      <c r="Q1522" s="5" t="n">
        <v>34.9</v>
      </c>
      <c r="R1522" s="5" t="n">
        <v>5.8</v>
      </c>
      <c r="S1522" s="5" t="n">
        <v>29.1</v>
      </c>
      <c r="T1522" s="2" t="n">
        <v>48</v>
      </c>
      <c r="U1522" s="2" t="inlineStr">
        <is>
          <t>low</t>
        </is>
      </c>
      <c r="V1522" s="5" t="n">
        <v>14</v>
      </c>
      <c r="W1522" s="2" t="inlineStr">
        <is>
          <t>medium</t>
        </is>
      </c>
      <c r="X1522" s="3" t="inlineStr"/>
      <c r="Y1522" s="3" t="inlineStr">
        <is>
          <t>91% of this dish's available carbohydrate comes from ingredients with a published, measured GI; the rest uses conventional placeholders (see Ingredients sheet)</t>
        </is>
      </c>
      <c r="Z1522" s="2" t="n">
        <v>91</v>
      </c>
      <c r="AA1522" s="3" t="inlineStr">
        <is>
          <t>pescatarian, gluten-free, dairy-free, nut-free, high-protein</t>
        </is>
      </c>
      <c r="AB1522" s="3" t="inlineStr">
        <is>
          <t>1. Coat the fish in the seasoning and sear in oil, 4 minutes a side.
2. Toss the cabbage with mango, lime and cilantro.
3. Flake the fish into warm tortillas with the slaw.</t>
        </is>
      </c>
      <c r="AC1522" s="4" t="inlineStr">
        <is>
          <t>["Coat the fish in the seasoning and sear in oil, 4 minutes a side.", "Toss the cabbage with mango, lime and cilantro.", "Flake the fish into warm tortillas with the slaw."]</t>
        </is>
      </c>
    </row>
    <row r="1523" ht="96" customHeight="1">
      <c r="A1523" s="2" t="inlineStr">
        <is>
          <t>DB-1522</t>
        </is>
      </c>
      <c r="B1523" s="3" t="inlineStr">
        <is>
          <t>Baked Trout with Almonds and Green Beans</t>
        </is>
      </c>
      <c r="C1523" s="4" t="inlineStr">
        <is>
          <t>Seafood</t>
        </is>
      </c>
      <c r="D1523" s="4" t="inlineStr">
        <is>
          <t>American</t>
        </is>
      </c>
      <c r="E1523" s="2" t="n">
        <v>4</v>
      </c>
      <c r="F1523" s="2" t="n">
        <v>10</v>
      </c>
      <c r="G1523" s="2" t="n">
        <v>20</v>
      </c>
      <c r="H1523" s="2" t="n">
        <v>30</v>
      </c>
      <c r="I1523" s="4" t="inlineStr">
        <is>
          <t>baked-trout-with-almonds-and-green-beans.jpg</t>
        </is>
      </c>
      <c r="J1523" s="3" t="inlineStr">
        <is>
          <t>Baked Trout with Almonds and Green Beans, healthy food photography, plated, natural light</t>
        </is>
      </c>
      <c r="K1523" s="4" t="inlineStr"/>
      <c r="L1523" s="3" t="inlineStr">
        <is>
          <t>Rainbow trout fillet — 560 g (19.8 oz)
Almonds — 40 g (1.4 oz)
Green beans — 350 g (12.3 oz)
Lemon juice — 25 g (0.9 oz)
Butter — 20 g (0.7 oz)
Fresh parsley — 5 g (0.2 oz)</t>
        </is>
      </c>
      <c r="M1523" s="4" t="inlineStr">
        <is>
          <t>[{"ingredient_id": "trout", "name": "Rainbow trout fillet", "grams": 560.0, "note": ""}, {"ingredient_id": "almonds", "name": "Almonds", "grams": 40.0, "note": ""}, {"ingredient_id": "green_beans", "name": "Green beans", "grams": 350.0, "note": ""}, {"ingredient_id": "lemon_juice", "name": "Lemon juice", "grams": 25.0, "note": ""}, {"ingredient_id": "butter", "name": "Butter", "grams": 20.0, "note": ""}, {"ingredient_id": "parsley", "name": "Fresh parsley", "grams": 5.0, "note": ""}]</t>
        </is>
      </c>
      <c r="N1523" s="2" t="n">
        <v>289</v>
      </c>
      <c r="O1523" s="5" t="n">
        <v>31.8</v>
      </c>
      <c r="P1523" s="5" t="n">
        <v>14.1</v>
      </c>
      <c r="Q1523" s="5" t="n">
        <v>8.800000000000001</v>
      </c>
      <c r="R1523" s="5" t="n">
        <v>3.7</v>
      </c>
      <c r="S1523" s="5" t="n">
        <v>5.2</v>
      </c>
      <c r="T1523" s="2" t="n">
        <v>15</v>
      </c>
      <c r="U1523" s="2" t="inlineStr">
        <is>
          <t>low</t>
        </is>
      </c>
      <c r="V1523" s="5" t="n">
        <v>0.8</v>
      </c>
      <c r="W1523" s="2" t="inlineStr">
        <is>
          <t>low</t>
        </is>
      </c>
      <c r="X1523" s="3" t="inlineStr"/>
      <c r="Y1523" s="3" t="inlineStr">
        <is>
          <t>0% of this dish's available carbohydrate comes from ingredients with a published, measured GI; the rest uses conventional placeholders (see Ingredients sheet)</t>
        </is>
      </c>
      <c r="Z1523" s="2" t="n">
        <v>0</v>
      </c>
      <c r="AA1523" s="3" t="inlineStr">
        <is>
          <t>pescatarian, gluten-free, low-carb, high-protein</t>
        </is>
      </c>
      <c r="AB1523" s="3" t="inlineStr">
        <is>
          <t>1. Bake the trout at 400°F for 15 minutes.
2. Brown the almonds in butter and add the lemon.
3. Steam the beans and spoon the almond butter over everything.</t>
        </is>
      </c>
      <c r="AC1523" s="4" t="inlineStr">
        <is>
          <t>["Bake the trout at 400°F for 15 minutes.", "Brown the almonds in butter and add the lemon.", "Steam the beans and spoon the almond butter over everything."]</t>
        </is>
      </c>
    </row>
    <row r="1524" ht="96" customHeight="1">
      <c r="A1524" s="2" t="inlineStr">
        <is>
          <t>DB-1523</t>
        </is>
      </c>
      <c r="B1524" s="3" t="inlineStr">
        <is>
          <t>Seared Sea Scallops with Cauliflower Puree</t>
        </is>
      </c>
      <c r="C1524" s="4" t="inlineStr">
        <is>
          <t>Seafood</t>
        </is>
      </c>
      <c r="D1524" s="4" t="inlineStr">
        <is>
          <t>American</t>
        </is>
      </c>
      <c r="E1524" s="2" t="n">
        <v>4</v>
      </c>
      <c r="F1524" s="2" t="n">
        <v>10</v>
      </c>
      <c r="G1524" s="2" t="n">
        <v>20</v>
      </c>
      <c r="H1524" s="2" t="n">
        <v>30</v>
      </c>
      <c r="I1524" s="4" t="inlineStr">
        <is>
          <t>seared-sea-scallops-with-cauliflower-puree.jpg</t>
        </is>
      </c>
      <c r="J1524" s="3" t="inlineStr">
        <is>
          <t>Seared Sea Scallops with Cauliflower Puree, healthy food photography, plated, natural light</t>
        </is>
      </c>
      <c r="K1524" s="4" t="inlineStr"/>
      <c r="L1524" s="3" t="inlineStr">
        <is>
          <t>Sea scallops — 500 g (17.6 oz)
Cauliflower — 500 g (17.6 oz)
Butter — 30 g (1.1 oz)
Milk, 2% — 60 g (2.1 oz)
Garlic — 4 g (0.1 oz)
Fresh chives — 5 g (0.2 oz)
Extra-virgin olive oil — 10 g (0.4 oz)</t>
        </is>
      </c>
      <c r="M1524" s="4" t="inlineStr">
        <is>
          <t>[{"ingredient_id": "scallops", "name": "Sea scallops", "grams": 500.0, "note": ""}, {"ingredient_id": "cauliflower", "name": "Cauliflower", "grams": 500.0, "note": ""}, {"ingredient_id": "butter", "name": "Butter", "grams": 30.0, "note": ""}, {"ingredient_id": "milk", "name": "Milk, 2%", "grams": 60.0, "note": ""}, {"ingredient_id": "garlic", "name": "Garlic", "grams": 4.0, "note": ""}, {"ingredient_id": "chives", "name": "Fresh chives", "grams": 5.0, "note": ""}, {"ingredient_id": "olive_oil", "name": "Extra-virgin olive oil", "grams": 10.0, "note": ""}]</t>
        </is>
      </c>
      <c r="N1524" s="2" t="n">
        <v>226</v>
      </c>
      <c r="O1524" s="5" t="n">
        <v>24.3</v>
      </c>
      <c r="P1524" s="5" t="n">
        <v>10.3</v>
      </c>
      <c r="Q1524" s="5" t="n">
        <v>9.9</v>
      </c>
      <c r="R1524" s="5" t="n">
        <v>2.6</v>
      </c>
      <c r="S1524" s="5" t="n">
        <v>7.3</v>
      </c>
      <c r="T1524" s="2" t="n">
        <v>12</v>
      </c>
      <c r="U1524" s="2" t="inlineStr">
        <is>
          <t>low</t>
        </is>
      </c>
      <c r="V1524" s="5" t="n">
        <v>0.9</v>
      </c>
      <c r="W1524" s="2" t="inlineStr">
        <is>
          <t>low</t>
        </is>
      </c>
      <c r="X1524" s="3" t="inlineStr"/>
      <c r="Y1524" s="3" t="inlineStr">
        <is>
          <t>10% of this dish's available carbohydrate comes from ingredients with a published, measured GI; the rest uses conventional placeholders (see Ingredients sheet)</t>
        </is>
      </c>
      <c r="Z1524" s="2" t="n">
        <v>10</v>
      </c>
      <c r="AA1524" s="3" t="inlineStr">
        <is>
          <t>pescatarian, gluten-free, nut-free, low-carb</t>
        </is>
      </c>
      <c r="AB1524" s="3" t="inlineStr">
        <is>
          <t>1. Boil and blend the cauliflower with milk, garlic and half the butter.
2. Sear the dried scallops in oil, 2 minutes a side.
3. Serve over the puree with chives and the remaining butter.</t>
        </is>
      </c>
      <c r="AC1524" s="4" t="inlineStr">
        <is>
          <t>["Boil and blend the cauliflower with milk, garlic and half the butter.", "Sear the dried scallops in oil, 2 minutes a side.", "Serve over the puree with chives and the remaining butter."]</t>
        </is>
      </c>
    </row>
    <row r="1525" ht="96" customHeight="1">
      <c r="A1525" s="2" t="inlineStr">
        <is>
          <t>DB-1524</t>
        </is>
      </c>
      <c r="B1525" s="3" t="inlineStr">
        <is>
          <t>Lemon Garlic Shrimp over Spaghetti Squash</t>
        </is>
      </c>
      <c r="C1525" s="4" t="inlineStr">
        <is>
          <t>Seafood</t>
        </is>
      </c>
      <c r="D1525" s="4" t="inlineStr">
        <is>
          <t>Italian</t>
        </is>
      </c>
      <c r="E1525" s="2" t="n">
        <v>4</v>
      </c>
      <c r="F1525" s="2" t="n">
        <v>10</v>
      </c>
      <c r="G1525" s="2" t="n">
        <v>45</v>
      </c>
      <c r="H1525" s="2" t="n">
        <v>55</v>
      </c>
      <c r="I1525" s="4" t="inlineStr">
        <is>
          <t>lemon-garlic-shrimp-over-spaghetti-squash.jpg</t>
        </is>
      </c>
      <c r="J1525" s="3" t="inlineStr">
        <is>
          <t>Lemon Garlic Shrimp over Spaghetti Squash, healthy food photography, plated, natural light</t>
        </is>
      </c>
      <c r="K1525" s="4" t="inlineStr"/>
      <c r="L1525" s="3" t="inlineStr">
        <is>
          <t>Shrimp, peeled — 500 g (17.6 oz)
Spaghetti squash, cooked — 800 g (28.2 oz)
Garlic — 10 g (0.4 oz)
Lemon juice — 30 g (1.1 oz)
Butter — 20 g (0.7 oz)
Fresh parsley — 6 g (0.2 oz)
Red pepper flakes — 1 g (0.0 oz)</t>
        </is>
      </c>
      <c r="M1525" s="4" t="inlineStr">
        <is>
          <t>[{"ingredient_id": "shrimp", "name": "Shrimp, peeled", "grams": 500.0, "note": ""}, {"ingredient_id": "spaghetti_squash", "name": "Spaghetti squash, cooked", "grams": 800.0, "note": ""}, {"ingredient_id": "garlic", "name": "Garlic", "grams": 10.0, "note": ""}, {"ingredient_id": "lemon_juice", "name": "Lemon juice", "grams": 30.0, "note": ""}, {"ingredient_id": "butter", "name": "Butter", "grams": 20.0, "note": ""}, {"ingredient_id": "parsley", "name": "Fresh parsley", "grams": 6.0, "note": ""}, {"ingredient_id": "red_pepper_flakes", "name": "Red pepper flakes", "grams": 1.0, "note": ""}]</t>
        </is>
      </c>
      <c r="N1525" s="2" t="n">
        <v>211</v>
      </c>
      <c r="O1525" s="5" t="n">
        <v>26.5</v>
      </c>
      <c r="P1525" s="5" t="n">
        <v>6</v>
      </c>
      <c r="Q1525" s="5" t="n">
        <v>15.6</v>
      </c>
      <c r="R1525" s="5" t="n">
        <v>3.2</v>
      </c>
      <c r="S1525" s="5" t="n">
        <v>12.4</v>
      </c>
      <c r="T1525" s="2" t="n">
        <v>21</v>
      </c>
      <c r="U1525" s="2" t="inlineStr">
        <is>
          <t>low</t>
        </is>
      </c>
      <c r="V1525" s="5" t="n">
        <v>2.6</v>
      </c>
      <c r="W1525" s="2" t="inlineStr">
        <is>
          <t>low</t>
        </is>
      </c>
      <c r="X1525" s="3" t="inlineStr"/>
      <c r="Y1525" s="3" t="inlineStr">
        <is>
          <t>0% of this dish's available carbohydrate comes from ingredients with a published, measured GI; the rest uses conventional placeholders (see Ingredients sheet)</t>
        </is>
      </c>
      <c r="Z1525" s="2" t="n">
        <v>0</v>
      </c>
      <c r="AA1525" s="3" t="inlineStr">
        <is>
          <t>pescatarian, gluten-free, nut-free, low-carb, high-protein</t>
        </is>
      </c>
      <c r="AB1525" s="3" t="inlineStr">
        <is>
          <t>1. Roast and shred the squash.
2. Sauté the garlic in butter, cook the shrimp 3 minutes.
3. Add lemon and toss with the squash and parsley.</t>
        </is>
      </c>
      <c r="AC1525" s="4" t="inlineStr">
        <is>
          <t>["Roast and shred the squash.", "Sauté the garlic in butter, cook the shrimp 3 minutes.", "Add lemon and toss with the squash and parsley."]</t>
        </is>
      </c>
    </row>
    <row r="1526" ht="96" customHeight="1">
      <c r="A1526" s="2" t="inlineStr">
        <is>
          <t>DB-1525</t>
        </is>
      </c>
      <c r="B1526" s="3" t="inlineStr">
        <is>
          <t>Cod Veracruz with Tomatoes and Olives</t>
        </is>
      </c>
      <c r="C1526" s="4" t="inlineStr">
        <is>
          <t>Seafood</t>
        </is>
      </c>
      <c r="D1526" s="4" t="inlineStr">
        <is>
          <t>Mexican</t>
        </is>
      </c>
      <c r="E1526" s="2" t="n">
        <v>4</v>
      </c>
      <c r="F1526" s="2" t="n">
        <v>10</v>
      </c>
      <c r="G1526" s="2" t="n">
        <v>25</v>
      </c>
      <c r="H1526" s="2" t="n">
        <v>35</v>
      </c>
      <c r="I1526" s="4" t="inlineStr">
        <is>
          <t>cod-veracruz-with-tomatoes-and-olives.jpg</t>
        </is>
      </c>
      <c r="J1526" s="3" t="inlineStr">
        <is>
          <t>Cod Veracruz with Tomatoes and Olives, healthy food photography, plated, natural light</t>
        </is>
      </c>
      <c r="K1526" s="4" t="inlineStr"/>
      <c r="L1526" s="3" t="inlineStr">
        <is>
          <t>Cod fillet — 560 g (19.8 oz)
Diced tomatoes, canned — 400 g (14.1 oz)
Olives (kalamata/green) — 60 g (2.1 oz)
Capers — 15 g (0.5 oz)
Jalapeño — 15 g (0.5 oz)
Yellow onion — 100 g (3.5 oz)
Garlic — 6 g (0.2 oz)
Extra-virgin olive oil — 15 g (0.5 oz)
Fresh cilantro — 6 g (0.2 oz)</t>
        </is>
      </c>
      <c r="M1526" s="4" t="inlineStr">
        <is>
          <t>[{"ingredient_id": "cod", "name": "Cod fillet", "grams": 560.0, "note": ""}, {"ingredient_id": "diced_tomatoes", "name": "Diced tomatoes, canned", "grams": 400.0, "note": ""}, {"ingredient_id": "olives", "name": "Olives (kalamata/green)", "grams": 60.0, "note": ""}, {"ingredient_id": "capers", "name": "Capers", "grams": 15.0, "note": ""}, {"ingredient_id": "jalapeno", "name": "Jalapeño", "grams": 15.0, "note": ""}, {"ingredient_id": "onion", "name": "Yellow onion", "grams": 100.0, "note": ""}, {"ingredient_id": "garlic", "name": "Garlic", "grams": 6.0, "note": ""}, {"ingredient_id": "olive_oil", "name": "Extra-virgin olive oil", "grams": 15.0, "note": ""}, {"ingredient_id": "cilantro", "name": "Fresh cilantro", "grams": 6.0, "note": ""}]</t>
        </is>
      </c>
      <c r="N1526" s="2" t="n">
        <v>204</v>
      </c>
      <c r="O1526" s="5" t="n">
        <v>27</v>
      </c>
      <c r="P1526" s="5" t="n">
        <v>6.7</v>
      </c>
      <c r="Q1526" s="5" t="n">
        <v>9.199999999999999</v>
      </c>
      <c r="R1526" s="5" t="n">
        <v>2.7</v>
      </c>
      <c r="S1526" s="5" t="n">
        <v>6.5</v>
      </c>
      <c r="T1526" s="2" t="n">
        <v>27</v>
      </c>
      <c r="U1526" s="2" t="inlineStr">
        <is>
          <t>low</t>
        </is>
      </c>
      <c r="V1526" s="5" t="n">
        <v>1.8</v>
      </c>
      <c r="W1526" s="2" t="inlineStr">
        <is>
          <t>low</t>
        </is>
      </c>
      <c r="X1526" s="3" t="inlineStr"/>
      <c r="Y1526" s="3" t="inlineStr">
        <is>
          <t>0% of this dish's available carbohydrate comes from ingredients with a published, measured GI; the rest uses conventional placeholders (see Ingredients sheet)</t>
        </is>
      </c>
      <c r="Z1526" s="2" t="n">
        <v>0</v>
      </c>
      <c r="AA1526" s="3" t="inlineStr">
        <is>
          <t>pescatarian, gluten-free, dairy-free, nut-free, low-carb, high-protein</t>
        </is>
      </c>
      <c r="AB1526" s="3" t="inlineStr">
        <is>
          <t>1. Soften the onion, garlic and jalapeno in oil.
2. Add the tomatoes, olives and capers and simmer 10 minutes.
3. Nestle in the cod and cook 8 minutes; finish with cilantro.</t>
        </is>
      </c>
      <c r="AC1526" s="4" t="inlineStr">
        <is>
          <t>["Soften the onion, garlic and jalapeno in oil.", "Add the tomatoes, olives and capers and simmer 10 minutes.", "Nestle in the cod and cook 8 minutes; finish with cilantro."]</t>
        </is>
      </c>
    </row>
    <row r="1527" ht="96" customHeight="1">
      <c r="A1527" s="2" t="inlineStr">
        <is>
          <t>DB-1526</t>
        </is>
      </c>
      <c r="B1527" s="3" t="inlineStr">
        <is>
          <t>Salmon Teriyaki Bowls with Broccoli</t>
        </is>
      </c>
      <c r="C1527" s="4" t="inlineStr">
        <is>
          <t>Seafood</t>
        </is>
      </c>
      <c r="D1527" s="4" t="inlineStr">
        <is>
          <t>Japanese</t>
        </is>
      </c>
      <c r="E1527" s="2" t="n">
        <v>4</v>
      </c>
      <c r="F1527" s="2" t="n">
        <v>10</v>
      </c>
      <c r="G1527" s="2" t="n">
        <v>18</v>
      </c>
      <c r="H1527" s="2" t="n">
        <v>28</v>
      </c>
      <c r="I1527" s="4" t="inlineStr">
        <is>
          <t>salmon-teriyaki-bowls-with-broccoli.jpg</t>
        </is>
      </c>
      <c r="J1527" s="3" t="inlineStr">
        <is>
          <t>Salmon Teriyaki Bowls with Broccoli, healthy food photography, plated, natural light</t>
        </is>
      </c>
      <c r="K1527" s="4" t="inlineStr"/>
      <c r="L1527" s="3" t="inlineStr">
        <is>
          <t>Salmon fillet — 560 g (19.8 oz)
White rice, long-grain, cooked — 360 g (12.7 oz)
Broccoli — 300 g (10.6 oz)
Soy sauce, low sodium — 35 g (1.2 oz)
Rice vinegar, unseasoned — 15 g (0.5 oz)
Fresh ginger — 8 g (0.3 oz)
Garlic — 4 g (0.1 oz)
Sesame seeds — 6 g (0.2 oz)
Monk fruit/erythritol sweetener — 4 g (0.1 oz)</t>
        </is>
      </c>
      <c r="M1527" s="4" t="inlineStr">
        <is>
          <t>[{"ingredient_id": "salmon", "name": "Salmon fillet", "grams": 560.0, "note": ""}, {"ingredient_id": "white_rice", "name": "White rice, long-grain, cooked", "grams": 360.0, "note": ""}, {"ingredient_id": "broccoli", "name": "Broccoli", "grams": 300.0, "note": ""}, {"ingredient_id": "soy_sauce", "name": "Soy sauce, low sodium", "grams": 35.0, "note": ""}, {"ingredient_id": "rice_vinegar", "name": "Rice vinegar, unseasoned", "grams": 15.0, "note": ""}, {"ingredient_id": "ginger", "name": "Fresh ginger", "grams": 8.0, "note": ""}, {"ingredient_id": "garlic", "name": "Garlic", "grams": 4.0, "note": ""}, {"ingredient_id": "sesame_seeds", "name": "Sesame seeds", "grams": 6.0, "note": ""}, {"ingredient_id": "monk_fruit_sweetener", "name": "Monk fruit/erythritol sweetener", "grams": 4.0, "note": ""}]</t>
        </is>
      </c>
      <c r="N1527" s="2" t="n">
        <v>450</v>
      </c>
      <c r="O1527" s="5" t="n">
        <v>33.6</v>
      </c>
      <c r="P1527" s="5" t="n">
        <v>19.5</v>
      </c>
      <c r="Q1527" s="5" t="n">
        <v>31.6</v>
      </c>
      <c r="R1527" s="5" t="n">
        <v>2.6</v>
      </c>
      <c r="S1527" s="5" t="n">
        <v>29</v>
      </c>
      <c r="T1527" s="2" t="n">
        <v>68</v>
      </c>
      <c r="U1527" s="2" t="inlineStr">
        <is>
          <t>medium</t>
        </is>
      </c>
      <c r="V1527" s="5" t="n">
        <v>19.7</v>
      </c>
      <c r="W1527" s="2" t="inlineStr">
        <is>
          <t>medium</t>
        </is>
      </c>
      <c r="X1527" s="3" t="inlineStr">
        <is>
          <t>Medium-GI dish: keep to the stated portion and pair with the protein/fat in the recipe; GL per serving is the better guide.</t>
        </is>
      </c>
      <c r="Y1527" s="3" t="inlineStr">
        <is>
          <t>86% of this dish's available carbohydrate comes from ingredients with a published, measured GI; the rest uses conventional placeholders (see Ingredients sheet)</t>
        </is>
      </c>
      <c r="Z1527" s="2" t="n">
        <v>86</v>
      </c>
      <c r="AA1527" s="3" t="inlineStr">
        <is>
          <t>pescatarian, dairy-free, nut-free, high-protein</t>
        </is>
      </c>
      <c r="AB1527" s="3" t="inlineStr">
        <is>
          <t>1. Bake the salmon brushed with soy sauce, vinegar, ginger, garlic and sweetener at 400°F for 12 minutes.
2. Steam the broccoli.
3. Serve over rice with sesame seeds.</t>
        </is>
      </c>
      <c r="AC1527" s="4" t="inlineStr">
        <is>
          <t>["Bake the salmon brushed with soy sauce, vinegar, ginger, garlic and sweetener at 400°F for 12 minutes.", "Steam the broccoli.", "Serve over rice with sesame seeds."]</t>
        </is>
      </c>
    </row>
    <row r="1528" ht="96" customHeight="1">
      <c r="A1528" s="2" t="inlineStr">
        <is>
          <t>DB-1527</t>
        </is>
      </c>
      <c r="B1528" s="3" t="inlineStr">
        <is>
          <t>Tuna Poke Salad with Avocado and Cucumber</t>
        </is>
      </c>
      <c r="C1528" s="4" t="inlineStr">
        <is>
          <t>Seafood</t>
        </is>
      </c>
      <c r="D1528" s="4" t="inlineStr">
        <is>
          <t>Hawaiian</t>
        </is>
      </c>
      <c r="E1528" s="2" t="n">
        <v>3</v>
      </c>
      <c r="F1528" s="2" t="n">
        <v>15</v>
      </c>
      <c r="G1528" s="2" t="n">
        <v>0</v>
      </c>
      <c r="H1528" s="2" t="n">
        <v>15</v>
      </c>
      <c r="I1528" s="4" t="inlineStr">
        <is>
          <t>tuna-poke-salad-with-avocado-and-cucumber.jpg</t>
        </is>
      </c>
      <c r="J1528" s="3" t="inlineStr">
        <is>
          <t>Tuna Poke Salad with Avocado and Cucumber, healthy food photography, plated, natural light</t>
        </is>
      </c>
      <c r="K1528" s="4" t="inlineStr"/>
      <c r="L1528" s="3" t="inlineStr">
        <is>
          <t>Tuna steak (ahi) — 300 g (10.6 oz)
Avocado — 120 g (4.2 oz)
Cucumber — 150 g (5.3 oz)
Romaine lettuce — 120 g (4.2 oz)
Soy sauce, low sodium — 25 g (0.9 oz)
Toasted sesame oil — 8 g (0.3 oz)
Green onions (scallions) — 20 g (0.7 oz)
Sesame seeds — 6 g (0.2 oz)
Lime juice — 15 g (0.5 oz)</t>
        </is>
      </c>
      <c r="M1528" s="4" t="inlineStr">
        <is>
          <t>[{"ingredient_id": "tuna_steak", "name": "Tuna steak (ahi)", "grams": 300.0, "note": ""}, {"ingredient_id": "avocado", "name": "Avocado", "grams": 120.0, "note": ""}, {"ingredient_id": "cucumber", "name": "Cucumber", "grams": 150.0, "note": ""}, {"ingredient_id": "romaine", "name": "Romaine lettuce", "grams": 120.0,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"lime_juice", "name": "Lime juice", "grams": 15.0, "note": ""}]</t>
        </is>
      </c>
      <c r="N1528" s="2" t="n">
        <v>230</v>
      </c>
      <c r="O1528" s="5" t="n">
        <v>26.8</v>
      </c>
      <c r="P1528" s="5" t="n">
        <v>10.9</v>
      </c>
      <c r="Q1528" s="5" t="n">
        <v>8.300000000000001</v>
      </c>
      <c r="R1528" s="5" t="n">
        <v>4.3</v>
      </c>
      <c r="S1528" s="5" t="n">
        <v>4</v>
      </c>
      <c r="T1528" s="2" t="n">
        <v>17</v>
      </c>
      <c r="U1528" s="2" t="inlineStr">
        <is>
          <t>low</t>
        </is>
      </c>
      <c r="V1528" s="5" t="n">
        <v>0.7</v>
      </c>
      <c r="W1528" s="2" t="inlineStr">
        <is>
          <t>low</t>
        </is>
      </c>
      <c r="X1528" s="3" t="inlineStr">
        <is>
          <t>Negligible carbohydrate (&lt;5 g net/serving): GI has little practical meaning, glycemic load is what matters.</t>
        </is>
      </c>
      <c r="Y1528" s="3" t="inlineStr">
        <is>
          <t>0% of this dish's available carbohydrate comes from ingredients with a published, measured GI; the rest uses conventional placeholders (see Ingredients sheet)</t>
        </is>
      </c>
      <c r="Z1528" s="2" t="n">
        <v>0</v>
      </c>
      <c r="AA1528" s="3" t="inlineStr">
        <is>
          <t>pescatarian, dairy-free, nut-free, low-carb, high-protein, no-cook</t>
        </is>
      </c>
      <c r="AB1528" s="3" t="inlineStr">
        <is>
          <t>1. Cube the tuna and marinate with soy sauce, sesame oil and lime.
2. Arrange over lettuce with cucumber and avocado.
3. Top with green onion and sesame seeds.</t>
        </is>
      </c>
      <c r="AC1528" s="4" t="inlineStr">
        <is>
          <t>["Cube the tuna and marinate with soy sauce, sesame oil and lime.", "Arrange over lettuce with cucumber and avocado.", "Top with green onion and sesame seeds."]</t>
        </is>
      </c>
    </row>
    <row r="1529" ht="96" customHeight="1">
      <c r="A1529" s="2" t="inlineStr">
        <is>
          <t>DB-1528</t>
        </is>
      </c>
      <c r="B1529" s="3" t="inlineStr">
        <is>
          <t>Grilled Swordfish with Tomato Olive Relish</t>
        </is>
      </c>
      <c r="C1529" s="4" t="inlineStr">
        <is>
          <t>Seafood</t>
        </is>
      </c>
      <c r="D1529" s="4" t="inlineStr">
        <is>
          <t>Italian</t>
        </is>
      </c>
      <c r="E1529" s="2" t="n">
        <v>4</v>
      </c>
      <c r="F1529" s="2" t="n">
        <v>10</v>
      </c>
      <c r="G1529" s="2" t="n">
        <v>12</v>
      </c>
      <c r="H1529" s="2" t="n">
        <v>22</v>
      </c>
      <c r="I1529" s="4" t="inlineStr">
        <is>
          <t>grilled-swordfish-with-tomato-olive-relish.jpg</t>
        </is>
      </c>
      <c r="J1529" s="3" t="inlineStr">
        <is>
          <t>Grilled Swordfish with Tomato Olive Relish, healthy food photography, plated, natural light</t>
        </is>
      </c>
      <c r="K1529" s="4" t="inlineStr"/>
      <c r="L1529" s="3" t="inlineStr">
        <is>
          <t>Swordfish steak — 560 g (19.8 oz)
Cherry tomatoes — 200 g (7.1 oz)
Olives (kalamata/green) — 50 g (1.8 oz)
Capers — 15 g (0.5 oz)
Fresh basil — 8 g (0.3 oz)
Extra-virgin olive oil — 30 g (1.1 oz)
Red wine vinegar — 15 g (0.5 oz)</t>
        </is>
      </c>
      <c r="M1529" s="4" t="inlineStr">
        <is>
          <t>[{"ingredient_id": "swordfish", "name": "Swordfish steak", "grams": 560.0, "note": ""}, {"ingredient_id": "cherry_tomato", "name": "Cherry tomatoes", "grams": 200.0, "note": ""}, {"ingredient_id": "olives", "name": "Olives (kalamata/green)", "grams": 50.0, "note": ""}, {"ingredient_id": "capers", "name": "Capers", "grams": 15.0, "note": ""}, {"ingredient_id": "basil", "name": "Fresh basil", "grams": 8.0, "note": ""}, {"ingredient_id": "olive_oil", "name": "Extra-virgin olive oil", "grams": 30.0, "note": ""}, {"ingredient_id": "red_wine_vinegar", "name": "Red wine vinegar", "grams": 15.0, "note": ""}]</t>
        </is>
      </c>
      <c r="N1529" s="2" t="n">
        <v>261</v>
      </c>
      <c r="O1529" s="5" t="n">
        <v>28.7</v>
      </c>
      <c r="P1529" s="5" t="n">
        <v>14.6</v>
      </c>
      <c r="Q1529" s="5" t="n">
        <v>2.9</v>
      </c>
      <c r="R1529" s="5" t="n">
        <v>1.2</v>
      </c>
      <c r="S1529" s="5" t="n">
        <v>1.8</v>
      </c>
      <c r="T1529" s="2" t="n">
        <v>15</v>
      </c>
      <c r="U1529" s="2" t="inlineStr">
        <is>
          <t>low</t>
        </is>
      </c>
      <c r="V1529" s="5" t="n">
        <v>0.3</v>
      </c>
      <c r="W1529" s="2" t="inlineStr">
        <is>
          <t>low</t>
        </is>
      </c>
      <c r="X1529" s="3" t="inlineStr">
        <is>
          <t>Negligible carbohydrate (&lt;5 g net/serving): GI has little practical meaning, glycemic load is what matters.</t>
        </is>
      </c>
      <c r="Y1529" s="3" t="inlineStr">
        <is>
          <t>0% of this dish's available carbohydrate comes from ingredients with a published, measured GI; the rest uses conventional placeholders (see Ingredients sheet)</t>
        </is>
      </c>
      <c r="Z1529" s="2" t="n">
        <v>0</v>
      </c>
      <c r="AA1529" s="3" t="inlineStr">
        <is>
          <t>pescatarian, gluten-free, dairy-free, nut-free, low-carb, high-protein</t>
        </is>
      </c>
      <c r="AB1529" s="3" t="inlineStr">
        <is>
          <t>1. Grill the swordfish 5 to 6 minutes a side.
2. Mix the tomatoes, olives, capers, basil, oil and vinegar.
3. Spoon over the fish.</t>
        </is>
      </c>
      <c r="AC1529" s="4" t="inlineStr">
        <is>
          <t>["Grill the swordfish 5 to 6 minutes a side.", "Mix the tomatoes, olives, capers, basil, oil and vinegar.", "Spoon over the fish."]</t>
        </is>
      </c>
    </row>
    <row r="1530" ht="96" customHeight="1">
      <c r="A1530" s="2" t="inlineStr">
        <is>
          <t>DB-1529</t>
        </is>
      </c>
      <c r="B1530" s="3" t="inlineStr">
        <is>
          <t>Crab-Stuffed Mushrooms</t>
        </is>
      </c>
      <c r="C1530" s="4" t="inlineStr">
        <is>
          <t>Snack &amp; Appetizer</t>
        </is>
      </c>
      <c r="D1530" s="4" t="inlineStr">
        <is>
          <t>American</t>
        </is>
      </c>
      <c r="E1530" s="2" t="n">
        <v>6</v>
      </c>
      <c r="F1530" s="2" t="n">
        <v>20</v>
      </c>
      <c r="G1530" s="2" t="n">
        <v>20</v>
      </c>
      <c r="H1530" s="2" t="n">
        <v>40</v>
      </c>
      <c r="I1530" s="4" t="inlineStr">
        <is>
          <t>crab-stuffed-mushrooms.jpg</t>
        </is>
      </c>
      <c r="J1530" s="3" t="inlineStr">
        <is>
          <t>Crab-Stuffed Mushrooms, healthy food photography, plated, natural light</t>
        </is>
      </c>
      <c r="K1530" s="4" t="inlineStr"/>
      <c r="L1530" s="3" t="inlineStr">
        <is>
          <t>Mushrooms (cremini/white) — 360 g (12.7 oz)
Crab meat, lump — 200 g (7.1 oz)
Cream cheese — 70 g (2.5 oz)
Parmesan, grated — 30 g (1.1 oz)
Old Bay seasoning — 3 g (0.1 oz)
Green onions (scallions) — 20 g (0.7 oz)
Lemon juice — 10 g (0.4 oz)</t>
        </is>
      </c>
      <c r="M1530" s="4" t="inlineStr">
        <is>
          <t>[{"ingredient_id": "mushrooms", "name": "Mushrooms (cremini/white)", "grams": 360.0, "note": ""}, {"ingredient_id": "crab", "name": "Crab meat, lump", "grams": 200.0, "note": ""}, {"ingredient_id": "cream_cheese", "name": "Cream cheese", "grams": 70.0, "note": ""}, {"ingredient_id": "parmesan", "name": "Parmesan, grated", "grams": 30.0, "note": ""}, {"ingredient_id": "old_bay", "name": "Old Bay seasoning", "grams": 3.0, "note": ""}, {"ingredient_id": "green_onion", "name": "Green onions (scallions)", "grams": 20.0, "note": ""}, {"ingredient_id": "lemon_juice", "name": "Lemon juice", "grams": 10.0, "note": ""}]</t>
        </is>
      </c>
      <c r="N1530" s="2" t="n">
        <v>106</v>
      </c>
      <c r="O1530" s="5" t="n">
        <v>10.6</v>
      </c>
      <c r="P1530" s="5" t="n">
        <v>6</v>
      </c>
      <c r="Q1530" s="5" t="n">
        <v>3.3</v>
      </c>
      <c r="R1530" s="5" t="n">
        <v>0.8</v>
      </c>
      <c r="S1530" s="5" t="n">
        <v>2.5</v>
      </c>
      <c r="T1530" s="2" t="n">
        <v>11</v>
      </c>
      <c r="U1530" s="2" t="inlineStr">
        <is>
          <t>low</t>
        </is>
      </c>
      <c r="V1530" s="5" t="n">
        <v>0.3</v>
      </c>
      <c r="W1530" s="2" t="inlineStr">
        <is>
          <t>low</t>
        </is>
      </c>
      <c r="X1530" s="3" t="inlineStr">
        <is>
          <t>Negligible carbohydrate (&lt;5 g net/serving): GI has little practical meaning, glycemic load is what matters.</t>
        </is>
      </c>
      <c r="Y1530" s="3" t="inlineStr">
        <is>
          <t>0% of this dish's available carbohydrate comes from ingredients with a published, measured GI; the rest uses conventional placeholders (see Ingredients sheet)</t>
        </is>
      </c>
      <c r="Z1530" s="2" t="n">
        <v>0</v>
      </c>
      <c r="AA1530" s="3" t="inlineStr">
        <is>
          <t>pescatarian, gluten-free, nut-free, low-carb</t>
        </is>
      </c>
      <c r="AB1530" s="3" t="inlineStr">
        <is>
          <t>1. Remove the mushroom stems.
2. Mix the crab, cream cheese, parmesan, Old Bay, green onion and lemon.
3. Fill the caps and bake at 400°F for 18 to 20 minutes.</t>
        </is>
      </c>
      <c r="AC1530" s="4" t="inlineStr">
        <is>
          <t>["Remove the mushroom stems.", "Mix the crab, cream cheese, parmesan, Old Bay, green onion and lemon.", "Fill the caps and bake at 400°F for 18 to 20 minutes."]</t>
        </is>
      </c>
    </row>
    <row r="1531" ht="96" customHeight="1">
      <c r="A1531" s="2" t="inlineStr">
        <is>
          <t>DB-1530</t>
        </is>
      </c>
      <c r="B1531" s="3" t="inlineStr">
        <is>
          <t>Garlic Butter Shrimp and Broccoli Skillet</t>
        </is>
      </c>
      <c r="C1531" s="4" t="inlineStr">
        <is>
          <t>Seafood</t>
        </is>
      </c>
      <c r="D1531" s="4" t="inlineStr">
        <is>
          <t>American</t>
        </is>
      </c>
      <c r="E1531" s="2" t="n">
        <v>4</v>
      </c>
      <c r="F1531" s="2" t="n">
        <v>10</v>
      </c>
      <c r="G1531" s="2" t="n">
        <v>12</v>
      </c>
      <c r="H1531" s="2" t="n">
        <v>22</v>
      </c>
      <c r="I1531" s="4" t="inlineStr">
        <is>
          <t>garlic-butter-shrimp-and-broccoli-skillet.jpg</t>
        </is>
      </c>
      <c r="J1531" s="3" t="inlineStr">
        <is>
          <t>Garlic Butter Shrimp and Broccoli Skillet, healthy food photography, plated, natural light</t>
        </is>
      </c>
      <c r="K1531" s="4" t="inlineStr"/>
      <c r="L1531" s="3" t="inlineStr">
        <is>
          <t>Shrimp, peeled — 500 g (17.6 oz)
Broccoli — 350 g (12.3 oz)
Butter — 25 g (0.9 oz)
Garlic — 10 g (0.4 oz)
Lemon juice — 20 g (0.7 oz)
Red pepper flakes — 1 g (0.0 oz)</t>
        </is>
      </c>
      <c r="M1531" s="4" t="inlineStr">
        <is>
          <t>[{"ingredient_id": "shrimp", "name": "Shrimp, peeled", "grams": 500.0, "note": ""}, {"ingredient_id": "broccoli", "name": "Broccoli", "grams": 350.0, "note": ""}, {"ingredient_id": "butter", "name": "Butter", "grams": 25.0, "note": ""}, {"ingredient_id": "garlic", "name": "Garlic", "grams": 10.0, "note": ""}, {"ingredient_id": "lemon_juice", "name": "Lemon juice", "grams": 20.0, "note": ""}, {"ingredient_id": "red_pepper_flakes", "name": "Red pepper flakes", "grams": 1.0, "note": ""}]</t>
        </is>
      </c>
      <c r="N1531" s="2" t="n">
        <v>186</v>
      </c>
      <c r="O1531" s="5" t="n">
        <v>27.7</v>
      </c>
      <c r="P1531" s="5" t="n">
        <v>6.1</v>
      </c>
      <c r="Q1531" s="5" t="n">
        <v>7.1</v>
      </c>
      <c r="R1531" s="5" t="n">
        <v>2.4</v>
      </c>
      <c r="S1531" s="5" t="n">
        <v>4.7</v>
      </c>
      <c r="T1531" s="2" t="n">
        <v>18</v>
      </c>
      <c r="U1531" s="2" t="inlineStr">
        <is>
          <t>low</t>
        </is>
      </c>
      <c r="V1531" s="5" t="n">
        <v>0.8</v>
      </c>
      <c r="W1531" s="2" t="inlineStr">
        <is>
          <t>low</t>
        </is>
      </c>
      <c r="X1531" s="3" t="inlineStr">
        <is>
          <t>Negligible carbohydrate (&lt;5 g net/serving): GI has little practical meaning, glycemic load is what matters.</t>
        </is>
      </c>
      <c r="Y1531" s="3" t="inlineStr">
        <is>
          <t>0% of this dish's available carbohydrate comes from ingredients with a published, measured GI; the rest uses conventional placeholders (see Ingredients sheet)</t>
        </is>
      </c>
      <c r="Z1531" s="2" t="n">
        <v>0</v>
      </c>
      <c r="AA1531" s="3" t="inlineStr">
        <is>
          <t>pescatarian, gluten-free, nut-free, low-carb, high-protein, one-pan</t>
        </is>
      </c>
      <c r="AB1531" s="3" t="inlineStr">
        <is>
          <t>1. Sauté the garlic in butter, cook the shrimp 3 minutes and set aside.
2. Steam-sauté the broccoli in the pan.
3. Return the shrimp and finish with lemon.</t>
        </is>
      </c>
      <c r="AC1531" s="4" t="inlineStr">
        <is>
          <t>["Sauté the garlic in butter, cook the shrimp 3 minutes and set aside.", "Steam-sauté the broccoli in the pan.", "Return the shrimp and finish with lemon."]</t>
        </is>
      </c>
    </row>
    <row r="1532" ht="96" customHeight="1">
      <c r="A1532" s="2" t="inlineStr">
        <is>
          <t>DB-1531</t>
        </is>
      </c>
      <c r="B1532" s="3" t="inlineStr">
        <is>
          <t>Miso-Glazed Cod with Bok Choy</t>
        </is>
      </c>
      <c r="C1532" s="4" t="inlineStr">
        <is>
          <t>Seafood</t>
        </is>
      </c>
      <c r="D1532" s="4" t="inlineStr">
        <is>
          <t>Japanese</t>
        </is>
      </c>
      <c r="E1532" s="2" t="n">
        <v>4</v>
      </c>
      <c r="F1532" s="2" t="n">
        <v>10</v>
      </c>
      <c r="G1532" s="2" t="n">
        <v>15</v>
      </c>
      <c r="H1532" s="2" t="n">
        <v>25</v>
      </c>
      <c r="I1532" s="4" t="inlineStr">
        <is>
          <t>miso-glazed-cod-with-bok-choy.jpg</t>
        </is>
      </c>
      <c r="J1532" s="3" t="inlineStr">
        <is>
          <t>Miso-Glazed Cod with Bok Choy, healthy food photography, plated, natural light</t>
        </is>
      </c>
      <c r="K1532" s="4" t="inlineStr"/>
      <c r="L1532" s="3" t="inlineStr">
        <is>
          <t>Cod fillet — 560 g (19.8 oz)
White miso paste — 40 g (1.4 oz)
Rice vinegar, unseasoned — 15 g (0.5 oz)
Fresh ginger — 6 g (0.2 oz)
Bok choy — 350 g (12.3 oz)
Toasted sesame oil — 8 g (0.3 oz)
Monk fruit/erythritol sweetener — 4 g (0.1 oz)</t>
        </is>
      </c>
      <c r="M1532" s="4" t="inlineStr">
        <is>
          <t>[{"ingredient_id": "cod", "name": "Cod fillet", "grams": 560.0, "note": ""}, {"ingredient_id": "miso", "name": "White miso paste", "grams": 40.0, "note": ""}, {"ingredient_id": "rice_vinegar", "name": "Rice vinegar, unseasoned", "grams": 15.0, "note": ""}, {"ingredient_id": "ginger", "name": "Fresh ginger", "grams": 6.0, "note": ""}, {"ingredient_id": "bok_choy", "name": "Bok choy", "grams": 350.0, "note": ""}, {"ingredient_id": "sesame_oil", "name": "Toasted sesame oil", "grams": 8.0, "note": ""}, {"ingredient_id": "monk_fruit_sweetener", "name": "Monk fruit/erythritol sweetener", "grams": 4.0, "note": ""}]</t>
        </is>
      </c>
      <c r="N1532" s="2" t="n">
        <v>166</v>
      </c>
      <c r="O1532" s="5" t="n">
        <v>27.7</v>
      </c>
      <c r="P1532" s="5" t="n">
        <v>3.8</v>
      </c>
      <c r="Q1532" s="5" t="n">
        <v>4.8</v>
      </c>
      <c r="R1532" s="5" t="n">
        <v>1.4</v>
      </c>
      <c r="S1532" s="5" t="n">
        <v>3.4</v>
      </c>
      <c r="T1532" s="2" t="n">
        <v>24</v>
      </c>
      <c r="U1532" s="2" t="inlineStr">
        <is>
          <t>low</t>
        </is>
      </c>
      <c r="V1532" s="5" t="n">
        <v>0.8</v>
      </c>
      <c r="W1532" s="2" t="inlineStr">
        <is>
          <t>low</t>
        </is>
      </c>
      <c r="X1532" s="3" t="inlineStr">
        <is>
          <t>Negligible carbohydrate (&lt;5 g net/serving): GI has little practical meaning, glycemic load is what matters.</t>
        </is>
      </c>
      <c r="Y1532" s="3" t="inlineStr">
        <is>
          <t>0% of this dish's available carbohydrate comes from ingredients with a published, measured GI; the rest uses conventional placeholders (see Ingredients sheet)</t>
        </is>
      </c>
      <c r="Z1532" s="2" t="n">
        <v>0</v>
      </c>
      <c r="AA1532" s="3" t="inlineStr">
        <is>
          <t>pescatarian, dairy-free, nut-free, low-carb, high-protein</t>
        </is>
      </c>
      <c r="AB1532" s="3" t="inlineStr">
        <is>
          <t>1. Whisk the miso, vinegar, ginger and sweetener and brush on the cod.
2. Bake at 400°F for 12 minutes.
3. Sauté the bok choy in sesame oil.</t>
        </is>
      </c>
      <c r="AC1532" s="4" t="inlineStr">
        <is>
          <t>["Whisk the miso, vinegar, ginger and sweetener and brush on the cod.", "Bake at 400°F for 12 minutes.", "Sauté the bok choy in sesame oil."]</t>
        </is>
      </c>
    </row>
    <row r="1533" ht="96" customHeight="1">
      <c r="A1533" s="2" t="inlineStr">
        <is>
          <t>DB-1532</t>
        </is>
      </c>
      <c r="B1533" s="3" t="inlineStr">
        <is>
          <t>Sardine and Avocado Toast</t>
        </is>
      </c>
      <c r="C1533" s="4" t="inlineStr">
        <is>
          <t>Seafood</t>
        </is>
      </c>
      <c r="D1533" s="4" t="inlineStr">
        <is>
          <t>American</t>
        </is>
      </c>
      <c r="E1533" s="2" t="n">
        <v>2</v>
      </c>
      <c r="F1533" s="2" t="n">
        <v>5</v>
      </c>
      <c r="G1533" s="2" t="n">
        <v>3</v>
      </c>
      <c r="H1533" s="2" t="n">
        <v>8</v>
      </c>
      <c r="I1533" s="4" t="inlineStr">
        <is>
          <t>sardine-and-avocado-toast.jpg</t>
        </is>
      </c>
      <c r="J1533" s="3" t="inlineStr">
        <is>
          <t>Sardine and Avocado Toast, healthy food photography, plated, natural light</t>
        </is>
      </c>
      <c r="K1533" s="4" t="inlineStr"/>
      <c r="L1533" s="3" t="inlineStr">
        <is>
          <t>Sardines, canned in olive oil, drained — 120 g (4.2 oz)
Sprouted grain bread (Ezekiel-style) — 70 g (2.5 oz)
Avocado — 100 g (3.5 oz)
Lemon juice — 15 g (0.5 oz)
Red pepper flakes — 1 g (0.0 oz)
Fresh parsley — 3 g (0.1 oz)</t>
        </is>
      </c>
      <c r="M1533" s="4" t="inlineStr">
        <is>
          <t>[{"ingredient_id": "sardines", "name": "Sardines, canned in olive oil, drained", "grams": 120.0, "note": ""}, {"ingredient_id": "ezekiel_bread", "name": "Sprouted grain bread (Ezekiel-style)", "grams": 70.0, "note": ""}, {"ingredient_id": "avocado", "name": "Avocado", "grams": 100.0, "note": ""}, {"ingredient_id": "lemon_juice", "name": "Lemon juice", "grams": 15.0, "note": ""}, {"ingredient_id": "red_pepper_flakes", "name": "Red pepper flakes", "grams": 1.0, "note": ""}, {"ingredient_id": "parsley", "name": "Fresh parsley", "grams": 3.0, "note": ""}]</t>
        </is>
      </c>
      <c r="N1533" s="2" t="n">
        <v>291</v>
      </c>
      <c r="O1533" s="5" t="n">
        <v>20.3</v>
      </c>
      <c r="P1533" s="5" t="n">
        <v>14.7</v>
      </c>
      <c r="Q1533" s="5" t="n">
        <v>20.5</v>
      </c>
      <c r="R1533" s="5" t="n">
        <v>6.7</v>
      </c>
      <c r="S1533" s="5" t="n">
        <v>13.8</v>
      </c>
      <c r="T1533" s="2" t="n">
        <v>57</v>
      </c>
      <c r="U1533" s="2" t="inlineStr">
        <is>
          <t>medium</t>
        </is>
      </c>
      <c r="V1533" s="5" t="n">
        <v>7.9</v>
      </c>
      <c r="W1533" s="2" t="inlineStr">
        <is>
          <t>low</t>
        </is>
      </c>
      <c r="X1533" s="3" t="inlineStr">
        <is>
          <t>Medium-GI dish: keep to the stated portion and pair with the protein/fat in the recipe; GL per serving is the better guide.</t>
        </is>
      </c>
      <c r="Y1533" s="3" t="inlineStr">
        <is>
          <t>89% of this dish's available carbohydrate comes from ingredients with a published, measured GI; the rest uses conventional placeholders (see Ingredients sheet)</t>
        </is>
      </c>
      <c r="Z1533" s="2" t="n">
        <v>89</v>
      </c>
      <c r="AA1533" s="3" t="inlineStr">
        <is>
          <t>pescatarian, gluten-free, dairy-free, nut-free, low-carb</t>
        </is>
      </c>
      <c r="AB1533" s="3" t="inlineStr">
        <is>
          <t>1. Toast the bread.
2. Mash the avocado with lemon and spread.
3. Top with sardines, pepper flakes and parsley.</t>
        </is>
      </c>
      <c r="AC1533" s="4" t="inlineStr">
        <is>
          <t>["Toast the bread.", "Mash the avocado with lemon and spread.", "Top with sardines, pepper flakes and parsley."]</t>
        </is>
      </c>
    </row>
    <row r="1534" ht="96" customHeight="1">
      <c r="A1534" s="2" t="inlineStr">
        <is>
          <t>DB-1533</t>
        </is>
      </c>
      <c r="B1534" s="3" t="inlineStr">
        <is>
          <t>Mackerel with Roasted Fennel and Orange</t>
        </is>
      </c>
      <c r="C1534" s="4" t="inlineStr">
        <is>
          <t>Seafood</t>
        </is>
      </c>
      <c r="D1534" s="4" t="inlineStr">
        <is>
          <t>Mediterranean</t>
        </is>
      </c>
      <c r="E1534" s="2" t="n">
        <v>4</v>
      </c>
      <c r="F1534" s="2" t="n">
        <v>10</v>
      </c>
      <c r="G1534" s="2" t="n">
        <v>22</v>
      </c>
      <c r="H1534" s="2" t="n">
        <v>32</v>
      </c>
      <c r="I1534" s="4" t="inlineStr">
        <is>
          <t>mackerel-with-roasted-fennel-and-orange.jpg</t>
        </is>
      </c>
      <c r="J1534" s="3" t="inlineStr">
        <is>
          <t>Mackerel with Roasted Fennel and Orange, healthy food photography, plated, natural light</t>
        </is>
      </c>
      <c r="K1534" s="4" t="inlineStr"/>
      <c r="L1534" s="3" t="inlineStr">
        <is>
          <t>Mackerel fillet — 560 g (19.8 oz)
Fennel bulb — 300 g (10.6 oz)
Orange — 100 g (3.5 oz)
Extra-virgin olive oil — 25 g (0.9 oz)
Fresh thyme — 2 g (0.1 oz)
Salt — 2 g (0.1 oz)</t>
        </is>
      </c>
      <c r="M1534" s="4" t="inlineStr">
        <is>
          <t>[{"ingredient_id": "mackerel", "name": "Mackerel fillet", "grams": 560.0, "note": ""}, {"ingredient_id": "fennel", "name": "Fennel bulb", "grams": 300.0, "note": ""}, {"ingredient_id": "orange", "name": "Orange", "grams": 100.0, "note": ""}, {"ingredient_id": "olive_oil", "name": "Extra-virgin olive oil", "grams": 25.0, "note": ""}, {"ingredient_id": "thyme", "name": "Fresh thyme", "grams": 2.0, "note": ""}, {"ingredient_id": "salt", "name": "Salt", "grams": 2.0, "note": ""}]</t>
        </is>
      </c>
      <c r="N1534" s="2" t="n">
        <v>378</v>
      </c>
      <c r="O1534" s="5" t="n">
        <v>27.8</v>
      </c>
      <c r="P1534" s="5" t="n">
        <v>26</v>
      </c>
      <c r="Q1534" s="5" t="n">
        <v>8.6</v>
      </c>
      <c r="R1534" s="5" t="n">
        <v>3</v>
      </c>
      <c r="S1534" s="5" t="n">
        <v>5.6</v>
      </c>
      <c r="T1534" s="2" t="n">
        <v>27</v>
      </c>
      <c r="U1534" s="2" t="inlineStr">
        <is>
          <t>low</t>
        </is>
      </c>
      <c r="V1534" s="5" t="n">
        <v>1.5</v>
      </c>
      <c r="W1534" s="2" t="inlineStr">
        <is>
          <t>low</t>
        </is>
      </c>
      <c r="X1534" s="3" t="inlineStr"/>
      <c r="Y1534" s="3" t="inlineStr">
        <is>
          <t>43% of this dish's available carbohydrate comes from ingredients with a published, measured GI; the rest uses conventional placeholders (see Ingredients sheet)</t>
        </is>
      </c>
      <c r="Z1534" s="2" t="n">
        <v>43</v>
      </c>
      <c r="AA1534" s="3" t="inlineStr">
        <is>
          <t>pescatarian, gluten-free, dairy-free, nut-free, low-carb, high-protein, one-pan</t>
        </is>
      </c>
      <c r="AB1534" s="3" t="inlineStr">
        <is>
          <t>1. Roast the sliced fennel with oil at 425°F for 12 minutes.
2. Add the mackerel and orange slices and roast 10 minutes.</t>
        </is>
      </c>
      <c r="AC1534" s="4" t="inlineStr">
        <is>
          <t>["Roast the sliced fennel with oil at 425°F for 12 minutes.", "Add the mackerel and orange slices and roast 10 minutes."]</t>
        </is>
      </c>
    </row>
    <row r="1535" ht="96" customHeight="1">
      <c r="A1535" s="2" t="inlineStr">
        <is>
          <t>DB-1534</t>
        </is>
      </c>
      <c r="B1535" s="3" t="inlineStr">
        <is>
          <t>Snapper Veracruz-Style with Roasted Peppers</t>
        </is>
      </c>
      <c r="C1535" s="4" t="inlineStr">
        <is>
          <t>Seafood</t>
        </is>
      </c>
      <c r="D1535" s="4" t="inlineStr">
        <is>
          <t>Mexican</t>
        </is>
      </c>
      <c r="E1535" s="2" t="n">
        <v>4</v>
      </c>
      <c r="F1535" s="2" t="n">
        <v>10</v>
      </c>
      <c r="G1535" s="2" t="n">
        <v>20</v>
      </c>
      <c r="H1535" s="2" t="n">
        <v>30</v>
      </c>
      <c r="I1535" s="4" t="inlineStr">
        <is>
          <t>snapper-veracruz-style-with-roasted-peppers.jpg</t>
        </is>
      </c>
      <c r="J1535" s="3" t="inlineStr">
        <is>
          <t>Snapper Veracruz-Style with Roasted Peppers, healthy food photography, plated, natural light</t>
        </is>
      </c>
      <c r="K1535" s="4" t="inlineStr"/>
      <c r="L1535" s="3" t="inlineStr">
        <is>
          <t>Red snapper fillet — 560 g (19.8 oz)
Roasted red peppers, jarred — 150 g (5.3 oz)
Tomato — 200 g (7.1 oz)
Yellow onion — 100 g (3.5 oz)
Olives (kalamata/green) — 40 g (1.4 oz)
Garlic — 6 g (0.2 oz)
Extra-virgin olive oil — 15 g (0.5 oz)
Lime juice — 20 g (0.7 oz)</t>
        </is>
      </c>
      <c r="M1535" s="4" t="inlineStr">
        <is>
          <t>[{"ingredient_id": "snapper", "name": "Red snapper fillet", "grams": 560.0, "note": ""}, {"ingredient_id": "roasted_red_pepper", "name": "Roasted red peppers, jarred", "grams": 150.0, "note": ""}, {"ingredient_id": "tomato", "name": "Tomato", "grams": 200.0, "note": ""}, {"ingredient_id": "onion", "name": "Yellow onion", "grams": 100.0, "note": ""}, {"ingredient_id": "olives", "name": "Olives (kalamata/green)", "grams": 40.0, "note": ""}, {"ingredient_id": "garlic", "name": "Garlic", "grams": 6.0, "note": ""}, {"ingredient_id": "olive_oil", "name": "Extra-virgin olive oil", "grams": 15.0, "note": ""}, {"ingredient_id": "lime_juice", "name": "Lime juice", "grams": 20.0, "note": ""}]</t>
        </is>
      </c>
      <c r="N1535" s="2" t="n">
        <v>218</v>
      </c>
      <c r="O1535" s="5" t="n">
        <v>29.3</v>
      </c>
      <c r="P1535" s="5" t="n">
        <v>6.9</v>
      </c>
      <c r="Q1535" s="5" t="n">
        <v>8</v>
      </c>
      <c r="R1535" s="5" t="n">
        <v>2.1</v>
      </c>
      <c r="S1535" s="5" t="n">
        <v>5.9</v>
      </c>
      <c r="T1535" s="2" t="n">
        <v>17</v>
      </c>
      <c r="U1535" s="2" t="inlineStr">
        <is>
          <t>low</t>
        </is>
      </c>
      <c r="V1535" s="5" t="n">
        <v>1</v>
      </c>
      <c r="W1535" s="2" t="inlineStr">
        <is>
          <t>low</t>
        </is>
      </c>
      <c r="X1535" s="3" t="inlineStr"/>
      <c r="Y1535" s="3" t="inlineStr">
        <is>
          <t>0% of this dish's available carbohydrate comes from ingredients with a published, measured GI; the rest uses conventional placeholders (see Ingredients sheet)</t>
        </is>
      </c>
      <c r="Z1535" s="2" t="n">
        <v>0</v>
      </c>
      <c r="AA1535" s="3" t="inlineStr">
        <is>
          <t>pescatarian, gluten-free, dairy-free, nut-free, low-carb, high-protein</t>
        </is>
      </c>
      <c r="AB1535" s="3" t="inlineStr">
        <is>
          <t>1. Soften the onion and garlic in oil, add the tomato and peppers.
2. Add the olives and snapper and cook covered 12 minutes.
3. Finish with lime.</t>
        </is>
      </c>
      <c r="AC1535" s="4" t="inlineStr">
        <is>
          <t>["Soften the onion and garlic in oil, add the tomato and peppers.", "Add the olives and snapper and cook covered 12 minutes.", "Finish with lime."]</t>
        </is>
      </c>
    </row>
    <row r="1536" ht="96" customHeight="1">
      <c r="A1536" s="2" t="inlineStr">
        <is>
          <t>DB-1535</t>
        </is>
      </c>
      <c r="B1536" s="3" t="inlineStr">
        <is>
          <t>Seared Tuna Steak with Avocado Mash</t>
        </is>
      </c>
      <c r="C1536" s="4" t="inlineStr">
        <is>
          <t>Seafood</t>
        </is>
      </c>
      <c r="D1536" s="4" t="inlineStr">
        <is>
          <t>American</t>
        </is>
      </c>
      <c r="E1536" s="2" t="n">
        <v>3</v>
      </c>
      <c r="F1536" s="2" t="n">
        <v>10</v>
      </c>
      <c r="G1536" s="2" t="n">
        <v>6</v>
      </c>
      <c r="H1536" s="2" t="n">
        <v>16</v>
      </c>
      <c r="I1536" s="4" t="inlineStr">
        <is>
          <t>seared-tuna-steak-with-avocado-mash.jpg</t>
        </is>
      </c>
      <c r="J1536" s="3" t="inlineStr">
        <is>
          <t>Seared Tuna Steak with Avocado Mash, healthy food photography, plated, natural light</t>
        </is>
      </c>
      <c r="K1536" s="4" t="inlineStr"/>
      <c r="L1536" s="3" t="inlineStr">
        <is>
          <t>Tuna steak (ahi) — 420 g (14.8 oz)
Avocado — 150 g (5.3 oz)
Lime juice — 20 g (0.7 oz)
Soy sauce, low sodium — 15 g (0.5 oz)
Sesame seeds — 8 g (0.3 oz)
Cucumber — 100 g (3.5 oz)</t>
        </is>
      </c>
      <c r="M1536" s="4" t="inlineStr">
        <is>
          <t>[{"ingredient_id": "tuna_steak", "name": "Tuna steak (ahi)", "grams": 420.0, "note": ""}, {"ingredient_id": "avocado", "name": "Avocado", "grams": 150.0, "note": ""}, {"ingredient_id": "lime_juice", "name": "Lime juice", "grams": 20.0, "note": ""}, {"ingredient_id": "soy_sauce", "name": "Soy sauce, low sodium", "grams": 15.0, "note": ""}, {"ingredient_id": "sesame_seeds", "name": "Sesame seeds", "grams": 8.0, "note": ""}, {"ingredient_id": "cucumber", "name": "Cucumber", "grams": 100.0, "note": ""}]</t>
        </is>
      </c>
      <c r="N1536" s="2" t="n">
        <v>257</v>
      </c>
      <c r="O1536" s="5" t="n">
        <v>35.7</v>
      </c>
      <c r="P1536" s="5" t="n">
        <v>10.3</v>
      </c>
      <c r="Q1536" s="5" t="n">
        <v>6.9</v>
      </c>
      <c r="R1536" s="5" t="n">
        <v>3.9</v>
      </c>
      <c r="S1536" s="5" t="n">
        <v>3</v>
      </c>
      <c r="T1536" s="2" t="n">
        <v>18</v>
      </c>
      <c r="U1536" s="2" t="inlineStr">
        <is>
          <t>low</t>
        </is>
      </c>
      <c r="V1536" s="5" t="n">
        <v>0.5</v>
      </c>
      <c r="W1536" s="2" t="inlineStr">
        <is>
          <t>low</t>
        </is>
      </c>
      <c r="X1536" s="3" t="inlineStr">
        <is>
          <t>Negligible carbohydrate (&lt;5 g net/serving): GI has little practical meaning, glycemic load is what matters.</t>
        </is>
      </c>
      <c r="Y1536" s="3" t="inlineStr">
        <is>
          <t>0% of this dish's available carbohydrate comes from ingredients with a published, measured GI; the rest uses conventional placeholders (see Ingredients sheet)</t>
        </is>
      </c>
      <c r="Z1536" s="2" t="n">
        <v>0</v>
      </c>
      <c r="AA1536" s="3" t="inlineStr">
        <is>
          <t>pescatarian, dairy-free, nut-free, low-carb, high-protein</t>
        </is>
      </c>
      <c r="AB1536" s="3" t="inlineStr">
        <is>
          <t>1. Sear the tuna 90 seconds a side and slice.
2. Mash the avocado with lime.
3. Serve with cucumber, soy sauce and sesame seeds.</t>
        </is>
      </c>
      <c r="AC1536" s="4" t="inlineStr">
        <is>
          <t>["Sear the tuna 90 seconds a side and slice.", "Mash the avocado with lime.", "Serve with cucumber, soy sauce and sesame seeds."]</t>
        </is>
      </c>
    </row>
    <row r="1537" ht="96" customHeight="1">
      <c r="A1537" s="2" t="inlineStr">
        <is>
          <t>DB-1536</t>
        </is>
      </c>
      <c r="B1537" s="3" t="inlineStr">
        <is>
          <t>Shrimp and Avocado Stuffed Tomatoes</t>
        </is>
      </c>
      <c r="C1537" s="4" t="inlineStr">
        <is>
          <t>Salad</t>
        </is>
      </c>
      <c r="D1537" s="4" t="inlineStr">
        <is>
          <t>American</t>
        </is>
      </c>
      <c r="E1537" s="2" t="n">
        <v>4</v>
      </c>
      <c r="F1537" s="2" t="n">
        <v>15</v>
      </c>
      <c r="G1537" s="2" t="n">
        <v>3</v>
      </c>
      <c r="H1537" s="2" t="n">
        <v>18</v>
      </c>
      <c r="I1537" s="4" t="inlineStr">
        <is>
          <t>shrimp-and-avocado-stuffed-tomatoes.jpg</t>
        </is>
      </c>
      <c r="J1537" s="3" t="inlineStr">
        <is>
          <t>Shrimp and Avocado Stuffed Tomatoes, healthy food photography, plated, natural light</t>
        </is>
      </c>
      <c r="K1537" s="4" t="inlineStr"/>
      <c r="L1537" s="3" t="inlineStr">
        <is>
          <t>Shrimp, peeled — 300 g (10.6 oz)
Tomato — 500 g (17.6 oz)
Avocado — 100 g (3.5 oz)
Lime juice — 20 g (0.7 oz)
Red onion — 30 g (1.1 oz)
Fresh cilantro — 6 g (0.2 oz)</t>
        </is>
      </c>
      <c r="M1537" s="4" t="inlineStr">
        <is>
          <t>[{"ingredient_id": "shrimp", "name": "Shrimp, peeled", "grams": 300.0, "note": ""}, {"ingredient_id": "tomato", "name": "Tomato", "grams": 500.0, "note": ""}, {"ingredient_id": "avocado", "name": "Avocado", "grams": 100.0, "note": ""}, {"ingredient_id": "lime_juice", "name": "Lime juice", "grams": 20.0, "note": ""}, {"ingredient_id": "red_onion", "name": "Red onion", "grams": 30.0, "note": ""}, {"ingredient_id": "cilantro", "name": "Fresh cilantro", "grams": 6.0, "note": ""}]</t>
        </is>
      </c>
      <c r="N1537" s="2" t="n">
        <v>131</v>
      </c>
      <c r="O1537" s="5" t="n">
        <v>16.8</v>
      </c>
      <c r="P1537" s="5" t="n">
        <v>4.4</v>
      </c>
      <c r="Q1537" s="5" t="n">
        <v>8.199999999999999</v>
      </c>
      <c r="R1537" s="5" t="n">
        <v>3.4</v>
      </c>
      <c r="S1537" s="5" t="n">
        <v>4.8</v>
      </c>
      <c r="T1537" s="2" t="n">
        <v>15</v>
      </c>
      <c r="U1537" s="2" t="inlineStr">
        <is>
          <t>low</t>
        </is>
      </c>
      <c r="V1537" s="5" t="n">
        <v>0.7</v>
      </c>
      <c r="W1537" s="2" t="inlineStr">
        <is>
          <t>low</t>
        </is>
      </c>
      <c r="X1537" s="3" t="inlineStr">
        <is>
          <t>Negligible carbohydrate (&lt;5 g net/serving): GI has little practical meaning, glycemic load is what matters.</t>
        </is>
      </c>
      <c r="Y1537" s="3" t="inlineStr">
        <is>
          <t>0% of this dish's available carbohydrate comes from ingredients with a published, measured GI; the rest uses conventional placeholders (see Ingredients sheet)</t>
        </is>
      </c>
      <c r="Z1537" s="2" t="n">
        <v>0</v>
      </c>
      <c r="AA1537" s="3" t="inlineStr">
        <is>
          <t>pescatarian, gluten-free, dairy-free, nut-free, low-carb</t>
        </is>
      </c>
      <c r="AB1537" s="3" t="inlineStr">
        <is>
          <t>1. Poach and chop the shrimp.
2. Mix with avocado, lime, onion and cilantro.
3. Fill the hollowed tomatoes.</t>
        </is>
      </c>
      <c r="AC1537" s="4" t="inlineStr">
        <is>
          <t>["Poach and chop the shrimp.", "Mix with avocado, lime, onion and cilantro.", "Fill the hollowed tomatoes."]</t>
        </is>
      </c>
    </row>
    <row r="1538" ht="96" customHeight="1">
      <c r="A1538" s="2" t="inlineStr">
        <is>
          <t>DB-1537</t>
        </is>
      </c>
      <c r="B1538" s="3" t="inlineStr">
        <is>
          <t>Clam Linguine with White Wine and Garlic</t>
        </is>
      </c>
      <c r="C1538" s="4" t="inlineStr">
        <is>
          <t>Seafood</t>
        </is>
      </c>
      <c r="D1538" s="4" t="inlineStr">
        <is>
          <t>Italian</t>
        </is>
      </c>
      <c r="E1538" s="2" t="n">
        <v>4</v>
      </c>
      <c r="F1538" s="2" t="n">
        <v>10</v>
      </c>
      <c r="G1538" s="2" t="n">
        <v>18</v>
      </c>
      <c r="H1538" s="2" t="n">
        <v>28</v>
      </c>
      <c r="I1538" s="4" t="inlineStr">
        <is>
          <t>clam-linguine-with-white-wine-and-garlic.jpg</t>
        </is>
      </c>
      <c r="J1538" s="3" t="inlineStr">
        <is>
          <t>Clam Linguine with White Wine and Garlic, healthy food photography, plated, natural light</t>
        </is>
      </c>
      <c r="K1538" s="4" t="inlineStr"/>
      <c r="L1538" s="3" t="inlineStr">
        <is>
          <t>Clams — 400 g (14.1 oz)
White pasta, cooked al dente — 400 g (14.1 oz)
Dry white wine (cooking) — 100 g (3.5 oz)
Garlic — 10 g (0.4 oz)
Extra-virgin olive oil — 25 g (0.9 oz)
Fresh parsley — 8 g (0.3 oz)
Red pepper flakes — 1 g (0.0 oz)</t>
        </is>
      </c>
      <c r="M1538" s="4" t="inlineStr">
        <is>
          <t>[{"ingredient_id": "clams", "name": "Clams", "grams": 400.0, "note": ""}, {"ingredient_id": "white_pasta", "name": "White pasta, cooked al dente", "grams": 400.0, "note": ""}, {"ingredient_id": "white_wine", "name": "Dry white wine (cooking)", "grams": 100.0, "note": ""}, {"ingredient_id": "garlic", "name": "Garlic", "grams": 10.0, "note": ""}, {"ingredient_id": "olive_oil", "name": "Extra-virgin olive oil", "grams": 25.0, "note": ""}, {"ingredient_id": "parsley", "name": "Fresh parsley", "grams": 8.0, "note": ""}, {"ingredient_id": "red_pepper_flakes", "name": "Red pepper flakes", "grams": 1.0, "note": ""}]</t>
        </is>
      </c>
      <c r="N1538" s="2" t="n">
        <v>324</v>
      </c>
      <c r="O1538" s="5" t="n">
        <v>21</v>
      </c>
      <c r="P1538" s="5" t="n">
        <v>8.199999999999999</v>
      </c>
      <c r="Q1538" s="5" t="n">
        <v>36</v>
      </c>
      <c r="R1538" s="5" t="n">
        <v>2</v>
      </c>
      <c r="S1538" s="5" t="n">
        <v>34.1</v>
      </c>
      <c r="T1538" s="2" t="n">
        <v>42</v>
      </c>
      <c r="U1538" s="2" t="inlineStr">
        <is>
          <t>low</t>
        </is>
      </c>
      <c r="V1538" s="5" t="n">
        <v>14.3</v>
      </c>
      <c r="W1538" s="2" t="inlineStr">
        <is>
          <t>medium</t>
        </is>
      </c>
      <c r="X1538" s="3" t="inlineStr"/>
      <c r="Y1538" s="3" t="inlineStr">
        <is>
          <t>85% of this dish's available carbohydrate comes from ingredients with a published, measured GI; the rest uses conventional placeholders (see Ingredients sheet)</t>
        </is>
      </c>
      <c r="Z1538" s="2" t="n">
        <v>85</v>
      </c>
      <c r="AA1538" s="3" t="inlineStr">
        <is>
          <t>pescatarian, dairy-free, nut-free</t>
        </is>
      </c>
      <c r="AB1538" s="3" t="inlineStr">
        <is>
          <t>1. Cook the pasta.
2. Sauté the garlic in oil, add the clams and wine and cover until they open.
3. Toss with the pasta and parsley.</t>
        </is>
      </c>
      <c r="AC1538" s="4" t="inlineStr">
        <is>
          <t>["Cook the pasta.", "Sauté the garlic in oil, add the clams and wine and cover until they open.", "Toss with the pasta and parsley."]</t>
        </is>
      </c>
    </row>
    <row r="1539" ht="96" customHeight="1">
      <c r="A1539" s="2" t="inlineStr">
        <is>
          <t>DB-1538</t>
        </is>
      </c>
      <c r="B1539" s="3" t="inlineStr">
        <is>
          <t>Lobster Tail with Lemon Butter and Asparagus</t>
        </is>
      </c>
      <c r="C1539" s="4" t="inlineStr">
        <is>
          <t>Seafood</t>
        </is>
      </c>
      <c r="D1539" s="4" t="inlineStr">
        <is>
          <t>American</t>
        </is>
      </c>
      <c r="E1539" s="2" t="n">
        <v>3</v>
      </c>
      <c r="F1539" s="2" t="n">
        <v>10</v>
      </c>
      <c r="G1539" s="2" t="n">
        <v>12</v>
      </c>
      <c r="H1539" s="2" t="n">
        <v>22</v>
      </c>
      <c r="I1539" s="4" t="inlineStr">
        <is>
          <t>lobster-tail-with-lemon-butter-and-asparagus.jpg</t>
        </is>
      </c>
      <c r="J1539" s="3" t="inlineStr">
        <is>
          <t>Lobster Tail with Lemon Butter and Asparagus, healthy food photography, plated, natural light</t>
        </is>
      </c>
      <c r="K1539" s="4" t="inlineStr"/>
      <c r="L1539" s="3" t="inlineStr">
        <is>
          <t>Lobster meat — 450 g (15.9 oz)
Butter — 40 g (1.4 oz)
Lemon juice — 25 g (0.9 oz)
Garlic — 4 g (0.1 oz)
Asparagus — 300 g (10.6 oz)
Fresh parsley — 4 g (0.1 oz)</t>
        </is>
      </c>
      <c r="M1539" s="4" t="inlineStr">
        <is>
          <t>[{"ingredient_id": "lobster", "name": "Lobster meat", "grams": 450.0, "note": ""}, {"ingredient_id": "butter", "name": "Butter", "grams": 40.0, "note": ""}, {"ingredient_id": "lemon_juice", "name": "Lemon juice", "grams": 25.0, "note": ""}, {"ingredient_id": "garlic", "name": "Garlic", "grams": 4.0, "note": ""}, {"ingredient_id": "asparagus", "name": "Asparagus", "grams": 300.0, "note": ""}, {"ingredient_id": "parsley", "name": "Fresh parsley", "grams": 4.0, "note": ""}]</t>
        </is>
      </c>
      <c r="N1539" s="2" t="n">
        <v>253</v>
      </c>
      <c r="O1539" s="5" t="n">
        <v>31</v>
      </c>
      <c r="P1539" s="5" t="n">
        <v>12.3</v>
      </c>
      <c r="Q1539" s="5" t="n">
        <v>5</v>
      </c>
      <c r="R1539" s="5" t="n">
        <v>2.2</v>
      </c>
      <c r="S1539" s="5" t="n">
        <v>2.8</v>
      </c>
      <c r="T1539" s="2" t="n">
        <v>18</v>
      </c>
      <c r="U1539" s="2" t="inlineStr">
        <is>
          <t>low</t>
        </is>
      </c>
      <c r="V1539" s="5" t="n">
        <v>0.5</v>
      </c>
      <c r="W1539" s="2" t="inlineStr">
        <is>
          <t>low</t>
        </is>
      </c>
      <c r="X1539" s="3" t="inlineStr">
        <is>
          <t>Negligible carbohydrate (&lt;5 g net/serving): GI has little practical meaning, glycemic load is what matters.</t>
        </is>
      </c>
      <c r="Y1539" s="3" t="inlineStr">
        <is>
          <t>0% of this dish's available carbohydrate comes from ingredients with a published, measured GI; the rest uses conventional placeholders (see Ingredients sheet)</t>
        </is>
      </c>
      <c r="Z1539" s="2" t="n">
        <v>0</v>
      </c>
      <c r="AA1539" s="3" t="inlineStr">
        <is>
          <t>pescatarian, gluten-free, nut-free, low-carb, high-protein</t>
        </is>
      </c>
      <c r="AB1539" s="3" t="inlineStr">
        <is>
          <t>1. Split and broil the lobster tails 8 minutes.
2. Melt the butter with garlic and lemon.
3. Roast the asparagus and serve with the lobster and butter.</t>
        </is>
      </c>
      <c r="AC1539" s="4" t="inlineStr">
        <is>
          <t>["Split and broil the lobster tails 8 minutes.", "Melt the butter with garlic and lemon.", "Roast the asparagus and serve with the lobster and butter."]</t>
        </is>
      </c>
    </row>
    <row r="1540" ht="96" customHeight="1">
      <c r="A1540" s="2" t="inlineStr">
        <is>
          <t>DB-1539</t>
        </is>
      </c>
      <c r="B1540" s="3" t="inlineStr">
        <is>
          <t>Fish Chowder with Corn and Potatoes</t>
        </is>
      </c>
      <c r="C1540" s="4" t="inlineStr">
        <is>
          <t>Soup &amp; Stew</t>
        </is>
      </c>
      <c r="D1540" s="4" t="inlineStr">
        <is>
          <t>American</t>
        </is>
      </c>
      <c r="E1540" s="2" t="n">
        <v>6</v>
      </c>
      <c r="F1540" s="2" t="n">
        <v>15</v>
      </c>
      <c r="G1540" s="2" t="n">
        <v>30</v>
      </c>
      <c r="H1540" s="2" t="n">
        <v>45</v>
      </c>
      <c r="I1540" s="4" t="inlineStr">
        <is>
          <t>fish-chowder-with-corn-and-potatoes.jpg</t>
        </is>
      </c>
      <c r="J1540" s="3" t="inlineStr">
        <is>
          <t>Fish Chowder with Corn and Potatoes, healthy food photography, plated, natural light</t>
        </is>
      </c>
      <c r="K1540" s="4" t="inlineStr"/>
      <c r="L1540" s="3" t="inlineStr">
        <is>
          <t>Cod fillet — 400 g (14.1 oz)
Sweet corn kernels — 200 g (7.1 oz)
Potato, boiled, peeled — 250 g (8.8 oz)
Milk, 2% — 300 g (10.6 oz)
Chicken broth, low sodium — 500 g (17.6 oz)
Yellow onion — 100 g (3.5 oz)
Celery — 60 g (2.1 oz)
Bacon — 30 g (1.1 oz)
Fresh thyme — 2 g (0.1 oz)</t>
        </is>
      </c>
      <c r="M1540" s="4" t="inlineStr">
        <is>
          <t>[{"ingredient_id": "cod", "name": "Cod fillet", "grams": 400.0, "note": ""}, {"ingredient_id": "corn", "name": "Sweet corn kernels", "grams": 200.0, "note": ""}, {"ingredient_id": "potato_boiled", "name": "Potato, boiled, peeled", "grams": 250.0, "note": ""}, {"ingredient_id": "milk", "name": "Milk, 2%", "grams": 300.0, "note": ""}, {"ingredient_id": "chicken_broth", "name": "Chicken broth, low sodium", "grams": 500.0, "note": ""}, {"ingredient_id": "onion", "name": "Yellow onion", "grams": 100.0, "note": ""}, {"ingredient_id": "celery", "name": "Celery", "grams": 60.0, "note": ""}, {"ingredient_id": "bacon", "name": "Bacon", "grams": 30.0, "note": ""}, {"ingredient_id": "thyme", "name": "Fresh thyme", "grams": 2.0, "note": ""}]</t>
        </is>
      </c>
      <c r="N1540" s="2" t="n">
        <v>189</v>
      </c>
      <c r="O1540" s="5" t="n">
        <v>18.5</v>
      </c>
      <c r="P1540" s="5" t="n">
        <v>4.3</v>
      </c>
      <c r="Q1540" s="5" t="n">
        <v>20.1</v>
      </c>
      <c r="R1540" s="5" t="n">
        <v>2</v>
      </c>
      <c r="S1540" s="5" t="n">
        <v>18.1</v>
      </c>
      <c r="T1540" s="2" t="n">
        <v>51</v>
      </c>
      <c r="U1540" s="2" t="inlineStr">
        <is>
          <t>low</t>
        </is>
      </c>
      <c r="V1540" s="5" t="n">
        <v>9.199999999999999</v>
      </c>
      <c r="W1540" s="2" t="inlineStr">
        <is>
          <t>low</t>
        </is>
      </c>
      <c r="X1540" s="3" t="inlineStr"/>
      <c r="Y1540" s="3" t="inlineStr">
        <is>
          <t>89% of this dish's available carbohydrate comes from ingredients with a published, measured GI; the rest uses conventional placeholders (see Ingredients sheet)</t>
        </is>
      </c>
      <c r="Z1540" s="2" t="n">
        <v>89</v>
      </c>
      <c r="AA1540" s="3" t="inlineStr">
        <is>
          <t>gluten-free, nut-free</t>
        </is>
      </c>
      <c r="AB1540" s="3" t="inlineStr">
        <is>
          <t>1. Crisp the bacon, soften the onion and celery.
2. Add the broth, potatoes, corn and thyme and simmer 12 minutes.
3. Add the milk and cod and cook 8 minutes.</t>
        </is>
      </c>
      <c r="AC1540" s="4" t="inlineStr">
        <is>
          <t>["Crisp the bacon, soften the onion and celery.", "Add the broth, potatoes, corn and thyme and simmer 12 minutes.", "Add the milk and cod and cook 8 minutes."]</t>
        </is>
      </c>
    </row>
    <row r="1541" ht="96" customHeight="1">
      <c r="A1541" s="2" t="inlineStr">
        <is>
          <t>DB-1540</t>
        </is>
      </c>
      <c r="B1541" s="3" t="inlineStr">
        <is>
          <t>Cioppino-Style Seafood Stew</t>
        </is>
      </c>
      <c r="C1541" s="4" t="inlineStr">
        <is>
          <t>Soup &amp; Stew</t>
        </is>
      </c>
      <c r="D1541" s="4" t="inlineStr">
        <is>
          <t>American</t>
        </is>
      </c>
      <c r="E1541" s="2" t="n">
        <v>5</v>
      </c>
      <c r="F1541" s="2" t="n">
        <v>15</v>
      </c>
      <c r="G1541" s="2" t="n">
        <v>30</v>
      </c>
      <c r="H1541" s="2" t="n">
        <v>45</v>
      </c>
      <c r="I1541" s="4" t="inlineStr">
        <is>
          <t>cioppino-style-seafood-stew.jpg</t>
        </is>
      </c>
      <c r="J1541" s="3" t="inlineStr">
        <is>
          <t>Cioppino-Style Seafood Stew, healthy food photography, plated, natural light</t>
        </is>
      </c>
      <c r="K1541" s="4" t="inlineStr"/>
      <c r="L1541" s="3" t="inlineStr">
        <is>
          <t>Cod fillet — 250 g (8.8 oz)
Shrimp, peeled — 250 g (8.8 oz)
Mussels — 300 g (10.6 oz)
Crushed tomatoes, canned — 500 g (17.6 oz)
Fennel bulb — 100 g (3.5 oz)
Yellow onion — 100 g (3.5 oz)
Garlic — 8 g (0.3 oz)
Dry white wine (cooking) — 100 g (3.5 oz)
Italian seasoning — 3 g (0.1 oz)
Extra-virgin olive oil — 15 g (0.5 oz)</t>
        </is>
      </c>
      <c r="M1541" s="4" t="inlineStr">
        <is>
          <t>[{"ingredient_id": "cod", "name": "Cod fillet", "grams": 250.0, "note": ""}, {"ingredient_id": "shrimp", "name": "Shrimp, peeled", "grams": 250.0, "note": ""}, {"ingredient_id": "mussels", "name": "Mussels", "grams": 300.0, "note": ""}, {"ingredient_id": "crushed_tomatoes", "name": "Crushed tomatoes, canned", "grams": 500.0, "note": ""}, {"ingredient_id": "fennel", "name": "Fennel bulb", "grams": 100.0, "note": ""}, {"ingredient_id": "onion", "name": "Yellow onion", "grams": 100.0, "note": ""}, {"ingredient_id": "garlic", "name": "Garlic", "grams": 8.0, "note": ""}, {"ingredient_id": "white_wine", "name": "Dry white wine (cooking)", "grams": 100.0, "note": ""}, {"ingredient_id": "italian_seasoning", "name": "Italian seasoning", "grams": 3.0, "note": ""}, {"ingredient_id": "olive_oil", "name": "Extra-virgin olive oil", "grams": 15.0, "note": ""}]</t>
        </is>
      </c>
      <c r="N1541" s="2" t="n">
        <v>228</v>
      </c>
      <c r="O1541" s="5" t="n">
        <v>28.4</v>
      </c>
      <c r="P1541" s="5" t="n">
        <v>5.3</v>
      </c>
      <c r="Q1541" s="5" t="n">
        <v>14</v>
      </c>
      <c r="R1541" s="5" t="n">
        <v>3.1</v>
      </c>
      <c r="S1541" s="5" t="n">
        <v>10.9</v>
      </c>
      <c r="T1541" s="2" t="n">
        <v>21</v>
      </c>
      <c r="U1541" s="2" t="inlineStr">
        <is>
          <t>low</t>
        </is>
      </c>
      <c r="V1541" s="5" t="n">
        <v>2.3</v>
      </c>
      <c r="W1541" s="2" t="inlineStr">
        <is>
          <t>low</t>
        </is>
      </c>
      <c r="X1541" s="3" t="inlineStr"/>
      <c r="Y1541" s="3" t="inlineStr">
        <is>
          <t>0% of this dish's available carbohydrate comes from ingredients with a published, measured GI; the rest uses conventional placeholders (see Ingredients sheet)</t>
        </is>
      </c>
      <c r="Z1541" s="2" t="n">
        <v>0</v>
      </c>
      <c r="AA1541" s="3" t="inlineStr">
        <is>
          <t>pescatarian, gluten-free, dairy-free, nut-free, low-carb, high-protein</t>
        </is>
      </c>
      <c r="AB1541" s="3" t="inlineStr">
        <is>
          <t>1. Soften the onion, fennel and garlic in oil.
2. Add the tomatoes, wine and seasoning and simmer 15 minutes.
3. Add the cod, then shrimp and mussels, and cook until the shells open.</t>
        </is>
      </c>
      <c r="AC1541" s="4" t="inlineStr">
        <is>
          <t>["Soften the onion, fennel and garlic in oil.", "Add the tomatoes, wine and seasoning and simmer 15 minutes.", "Add the cod, then shrimp and mussels, and cook until the shells open."]</t>
        </is>
      </c>
    </row>
    <row r="1542" ht="96" customHeight="1">
      <c r="A1542" s="2" t="inlineStr">
        <is>
          <t>DB-1541</t>
        </is>
      </c>
      <c r="B1542" s="3" t="inlineStr">
        <is>
          <t>Zucchini Lasagna with Turkey Ricotta Filling</t>
        </is>
      </c>
      <c r="C1542" s="4" t="inlineStr">
        <is>
          <t>Beef, Pork &amp; Lamb</t>
        </is>
      </c>
      <c r="D1542" s="4" t="inlineStr">
        <is>
          <t>Italian</t>
        </is>
      </c>
      <c r="E1542" s="2" t="n">
        <v>6</v>
      </c>
      <c r="F1542" s="2" t="n">
        <v>25</v>
      </c>
      <c r="G1542" s="2" t="n">
        <v>50</v>
      </c>
      <c r="H1542" s="2" t="n">
        <v>75</v>
      </c>
      <c r="I1542" s="4" t="inlineStr">
        <is>
          <t>zucchini-lasagna-with-turkey-ricotta-filling.jpg</t>
        </is>
      </c>
      <c r="J1542" s="3" t="inlineStr">
        <is>
          <t>Zucchini Lasagna with Turkey Ricotta Filling, healthy food photography, plated, natural light</t>
        </is>
      </c>
      <c r="K1542" s="4" t="inlineStr"/>
      <c r="L1542" s="3" t="inlineStr">
        <is>
          <t>Zucchini — 700 g (24.7 oz)
Ground turkey 93% lean — 400 g (14.1 oz)
Ricotta, part-skim — 250 g (8.8 oz)
Marinara sauce, no sugar added — 450 g (15.9 oz)
Mozzarella, part-skim — 150 g (5.3 oz)
Parmesan, grated — 30 g (1.1 oz)
Egg, large (50 g each) — 50 g (1.8 oz)
Italian seasoning — 3 g (0.1 oz)</t>
        </is>
      </c>
      <c r="M1542" s="4" t="inlineStr">
        <is>
          <t>[{"ingredient_id": "zucchini", "name": "Zucchini", "grams": 700.0, "note": ""}, {"ingredient_id": "ground_turkey", "name": "Ground turkey 93% lean", "grams": 400.0, "note": ""}, {"ingredient_id": "ricotta", "name": "Ricotta, part-skim", "grams": 250.0, "note": ""}, {"ingredient_id": "marinara", "name": "Marinara sauce, no sugar added", "grams": 450.0, "note": ""}, {"ingredient_id": "mozzarella", "name": "Mozzarella, part-skim", "grams": 150.0, "note": ""}, {"ingredient_id": "parmesan", "name": "Parmesan, grated", "grams": 30.0, "note": ""}, {"ingredient_id": "egg", "name": "Egg, large (50 g each)", "grams": 50.0, "note": ""}, {"ingredient_id": "italian_seasoning", "name": "Italian seasoning", "grams": 3.0, "note": ""}]</t>
        </is>
      </c>
      <c r="N1542" s="2" t="n">
        <v>309</v>
      </c>
      <c r="O1542" s="5" t="n">
        <v>28.6</v>
      </c>
      <c r="P1542" s="5" t="n">
        <v>17.2</v>
      </c>
      <c r="Q1542" s="5" t="n">
        <v>10.8</v>
      </c>
      <c r="R1542" s="5" t="n">
        <v>2.5</v>
      </c>
      <c r="S1542" s="5" t="n">
        <v>8.300000000000001</v>
      </c>
      <c r="T1542" s="2" t="n">
        <v>20</v>
      </c>
      <c r="U1542" s="2" t="inlineStr">
        <is>
          <t>low</t>
        </is>
      </c>
      <c r="V1542" s="5" t="n">
        <v>1.7</v>
      </c>
      <c r="W1542" s="2" t="inlineStr">
        <is>
          <t>low</t>
        </is>
      </c>
      <c r="X1542" s="3" t="inlineStr"/>
      <c r="Y1542" s="3" t="inlineStr">
        <is>
          <t>32% of this dish's available carbohydrate comes from ingredients with a published, measured GI; the rest uses conventional placeholders (see Ingredients sheet)</t>
        </is>
      </c>
      <c r="Z1542" s="2" t="n">
        <v>32</v>
      </c>
      <c r="AA1542" s="3" t="inlineStr">
        <is>
          <t>gluten-free, nut-free, low-carb, high-protein</t>
        </is>
      </c>
      <c r="AB1542" s="3" t="inlineStr">
        <is>
          <t>1. Slice the zucchini lengthwise and salt to draw out water.
2. Brown the turkey and stir in the marinara; mix the ricotta with egg and parmesan.
3. Layer zucchini, ricotta, sauce and mozzarella and bake at 375°F for 40 minutes.</t>
        </is>
      </c>
      <c r="AC1542" s="4" t="inlineStr">
        <is>
          <t>["Slice the zucchini lengthwise and salt to draw out water.", "Brown the turkey and stir in the marinara; mix the ricotta with egg and parmesan.", "Layer zucchini, ricotta, sauce and mozzarella and bake at 375°F for 40 minutes."]</t>
        </is>
      </c>
    </row>
    <row r="1543" ht="96" customHeight="1">
      <c r="A1543" s="2" t="inlineStr">
        <is>
          <t>DB-1542</t>
        </is>
      </c>
      <c r="B1543" s="3" t="inlineStr">
        <is>
          <t>Classic Meat Lasagna</t>
        </is>
      </c>
      <c r="C1543" s="4" t="inlineStr">
        <is>
          <t>Beef, Pork &amp; Lamb</t>
        </is>
      </c>
      <c r="D1543" s="4" t="inlineStr">
        <is>
          <t>Italian</t>
        </is>
      </c>
      <c r="E1543" s="2" t="n">
        <v>8</v>
      </c>
      <c r="F1543" s="2" t="n">
        <v>30</v>
      </c>
      <c r="G1543" s="2" t="n">
        <v>55</v>
      </c>
      <c r="H1543" s="2" t="n">
        <v>85</v>
      </c>
      <c r="I1543" s="4" t="inlineStr">
        <is>
          <t>classic-meat-lasagna.jpg</t>
        </is>
      </c>
      <c r="J1543" s="3" t="inlineStr">
        <is>
          <t>Classic Meat Lasagna, healthy food photography, plated, natural light</t>
        </is>
      </c>
      <c r="K1543" s="4" t="inlineStr"/>
      <c r="L1543" s="3" t="inlineStr">
        <is>
          <t>White pasta, cooked al dente — 450 g (15.9 oz)
Ground beef 90% lean — 450 g (15.9 oz)
Marinara sauce, no sugar added — 700 g (24.7 oz)
Ricotta, part-skim — 300 g (10.6 oz)
Mozzarella, part-skim — 200 g (7.1 oz)
Parmesan, grated — 40 g (1.4 oz)
Egg, large (50 g each) — 50 g (1.8 oz)
Italian seasoning — 4 g (0.1 oz)
Yellow onion — 100 g (3.5 oz)</t>
        </is>
      </c>
      <c r="M1543" s="4" t="inlineStr">
        <is>
          <t>[{"ingredient_id": "white_pasta", "name": "White pasta, cooked al dente", "grams": 450.0, "note": ""}, {"ingredient_id": "ground_beef", "name": "Ground beef 90% lean", "grams": 450.0, "note": ""}, {"ingredient_id": "marinara", "name": "Marinara sauce, no sugar added", "grams": 700.0, "note": ""}, {"ingredient_id": "ricotta", "name": "Ricotta, part-skim", "grams": 300.0, "note": ""}, {"ingredient_id": "mozzarella", "name": "Mozzarella, part-skim", "grams": 200.0, "note": ""}, {"ingredient_id": "parmesan", "name": "Parmesan, grated", "grams": 40.0, "note": ""}, {"ingredient_id": "egg", "name": "Egg, large (50 g each)", "grams": 50.0, "note": ""}, {"ingredient_id": "italian_seasoning", "name": "Italian seasoning", "grams": 4.0, "note": ""}, {"ingredient_id": "onion", "name": "Yellow onion", "grams": 100.0, "note": ""}]</t>
        </is>
      </c>
      <c r="N1543" s="2" t="n">
        <v>379</v>
      </c>
      <c r="O1543" s="5" t="n">
        <v>28.8</v>
      </c>
      <c r="P1543" s="5" t="n">
        <v>17.4</v>
      </c>
      <c r="Q1543" s="5" t="n">
        <v>26</v>
      </c>
      <c r="R1543" s="5" t="n">
        <v>2.8</v>
      </c>
      <c r="S1543" s="5" t="n">
        <v>23.3</v>
      </c>
      <c r="T1543" s="2" t="n">
        <v>41</v>
      </c>
      <c r="U1543" s="2" t="inlineStr">
        <is>
          <t>low</t>
        </is>
      </c>
      <c r="V1543" s="5" t="n">
        <v>9.5</v>
      </c>
      <c r="W1543" s="2" t="inlineStr">
        <is>
          <t>low</t>
        </is>
      </c>
      <c r="X1543" s="3" t="inlineStr"/>
      <c r="Y1543" s="3" t="inlineStr">
        <is>
          <t>83% of this dish's available carbohydrate comes from ingredients with a published, measured GI; the rest uses conventional placeholders (see Ingredients sheet)</t>
        </is>
      </c>
      <c r="Z1543" s="2" t="n">
        <v>83</v>
      </c>
      <c r="AA1543" s="3" t="inlineStr">
        <is>
          <t>nut-free, high-protein</t>
        </is>
      </c>
      <c r="AB1543" s="3" t="inlineStr">
        <is>
          <t>1. Brown the beef with the onion and stir in the marinara and seasoning.
2. Mix the ricotta with egg and parmesan.
3. Layer cooked noodles, ricotta, sauce and mozzarella and bake at 375°F for 45 minutes.</t>
        </is>
      </c>
      <c r="AC1543" s="4" t="inlineStr">
        <is>
          <t>["Brown the beef with the onion and stir in the marinara and seasoning.", "Mix the ricotta with egg and parmesan.", "Layer cooked noodles, ricotta, sauce and mozzarella and bake at 375°F for 45 minutes."]</t>
        </is>
      </c>
    </row>
    <row r="1544" ht="96" customHeight="1">
      <c r="A1544" s="2" t="inlineStr">
        <is>
          <t>DB-1543</t>
        </is>
      </c>
      <c r="B1544" s="3" t="inlineStr">
        <is>
          <t>Chicken Parmesan Meatball Skillet</t>
        </is>
      </c>
      <c r="C1544" s="4" t="inlineStr">
        <is>
          <t>Poultry</t>
        </is>
      </c>
      <c r="D1544" s="4" t="inlineStr">
        <is>
          <t>Italian</t>
        </is>
      </c>
      <c r="E1544" s="2" t="n">
        <v>5</v>
      </c>
      <c r="F1544" s="2" t="n">
        <v>20</v>
      </c>
      <c r="G1544" s="2" t="n">
        <v>25</v>
      </c>
      <c r="H1544" s="2" t="n">
        <v>45</v>
      </c>
      <c r="I1544" s="4" t="inlineStr">
        <is>
          <t>chicken-parmesan-meatball-skillet.jpg</t>
        </is>
      </c>
      <c r="J1544" s="3" t="inlineStr">
        <is>
          <t>Chicken Parmesan Meatball Skillet, healthy food photography, plated, natural light</t>
        </is>
      </c>
      <c r="K1544" s="4" t="inlineStr"/>
      <c r="L1544" s="3" t="inlineStr">
        <is>
          <t>Ground chicken — 500 g (17.6 oz)
Egg, large (50 g each) — 50 g (1.8 oz)
Parmesan, grated — 40 g (1.4 oz)
Marinara sauce, no sugar added — 450 g (15.9 oz)
Mozzarella, part-skim — 120 g (4.2 oz)
Fresh basil — 8 g (0.3 oz)
Garlic — 6 g (0.2 oz)
Oat bran, dry — 30 g (1.1 oz)</t>
        </is>
      </c>
      <c r="M1544" s="4" t="inlineStr">
        <is>
          <t>[{"ingredient_id": "ground_chicken", "name": "Ground chicken", "grams": 500.0, "note": ""}, {"ingredient_id": "egg", "name": "Egg, large (50 g each)", "grams": 50.0, "note": ""}, {"ingredient_id": "parmesan", "name": "Parmesan, grated", "grams": 40.0, "note": ""}, {"ingredient_id": "marinara", "name": "Marinara sauce, no sugar added", "grams": 450.0, "note": ""}, {"ingredient_id": "mozzarella", "name": "Mozzarella, part-skim", "grams": 120.0, "note": ""}, {"ingredient_id": "basil", "name": "Fresh basil", "grams": 8.0, "note": ""}, {"ingredient_id": "garlic", "name": "Garlic", "grams": 6.0, "note": ""}, {"ingredient_id": "oat_bran", "name": "Oat bran, dry", "grams": 30.0, "note": ""}]</t>
        </is>
      </c>
      <c r="N1544" s="2" t="n">
        <v>310</v>
      </c>
      <c r="O1544" s="5" t="n">
        <v>29.6</v>
      </c>
      <c r="P1544" s="5" t="n">
        <v>17.8</v>
      </c>
      <c r="Q1544" s="5" t="n">
        <v>10</v>
      </c>
      <c r="R1544" s="5" t="n">
        <v>2.3</v>
      </c>
      <c r="S1544" s="5" t="n">
        <v>7.7</v>
      </c>
      <c r="T1544" s="2" t="n">
        <v>38</v>
      </c>
      <c r="U1544" s="2" t="inlineStr">
        <is>
          <t>low</t>
        </is>
      </c>
      <c r="V1544" s="5" t="n">
        <v>2.9</v>
      </c>
      <c r="W1544" s="2" t="inlineStr">
        <is>
          <t>low</t>
        </is>
      </c>
      <c r="X1544" s="3" t="inlineStr"/>
      <c r="Y1544" s="3" t="inlineStr">
        <is>
          <t>81% of this dish's available carbohydrate comes from ingredients with a published, measured GI; the rest uses conventional placeholders (see Ingredients sheet)</t>
        </is>
      </c>
      <c r="Z1544" s="2" t="n">
        <v>81</v>
      </c>
      <c r="AA1544" s="3" t="inlineStr">
        <is>
          <t>nut-free, low-carb, high-protein</t>
        </is>
      </c>
      <c r="AB1544" s="3" t="inlineStr">
        <is>
          <t>1. Mix the chicken, egg, parmesan, oat bran and garlic and shape meatballs.
2. Brown them and simmer in the marinara 12 minutes.
3. Top with mozzarella to melt and finish with basil.</t>
        </is>
      </c>
      <c r="AC1544" s="4" t="inlineStr">
        <is>
          <t>["Mix the chicken, egg, parmesan, oat bran and garlic and shape meatballs.", "Brown them and simmer in the marinara 12 minutes.", "Top with mozzarella to melt and finish with basil."]</t>
        </is>
      </c>
    </row>
    <row r="1545" ht="96" customHeight="1">
      <c r="A1545" s="2" t="inlineStr">
        <is>
          <t>DB-1544</t>
        </is>
      </c>
      <c r="B1545" s="3" t="inlineStr">
        <is>
          <t>Sausage and Broccoli Rabe Orecchiette Style Pasta</t>
        </is>
      </c>
      <c r="C1545" s="4" t="inlineStr">
        <is>
          <t>Beef, Pork &amp; Lamb</t>
        </is>
      </c>
      <c r="D1545" s="4" t="inlineStr">
        <is>
          <t>Italian</t>
        </is>
      </c>
      <c r="E1545" s="2" t="n">
        <v>4</v>
      </c>
      <c r="F1545" s="2" t="n">
        <v>10</v>
      </c>
      <c r="G1545" s="2" t="n">
        <v>20</v>
      </c>
      <c r="H1545" s="2" t="n">
        <v>30</v>
      </c>
      <c r="I1545" s="4" t="inlineStr">
        <is>
          <t>sausage-and-broccoli-rabe-orecchiette-style-pasta.jpg</t>
        </is>
      </c>
      <c r="J1545" s="3" t="inlineStr">
        <is>
          <t>Sausage and Broccoli Rabe Orecchiette Style Pasta, healthy food photography, plated, natural light</t>
        </is>
      </c>
      <c r="K1545" s="4" t="inlineStr"/>
      <c r="L1545" s="3" t="inlineStr">
        <is>
          <t>White pasta, cooked al dente — 400 g (14.1 oz)
Turkey sausage — 300 g (10.6 oz)
Broccolini — 300 g (10.6 oz)
Garlic — 8 g (0.3 oz)
Extra-virgin olive oil — 20 g (0.7 oz)
Red pepper flakes — 1 g (0.0 oz)
Parmesan, grated — 30 g (1.1 oz)</t>
        </is>
      </c>
      <c r="M1545" s="4" t="inlineStr">
        <is>
          <t>[{"ingredient_id": "white_pasta", "name": "White pasta, cooked al dente", "grams": 400.0, "note": ""}, {"ingredient_id": "turkey_sausage", "name": "Turkey sausage", "grams": 300.0, "note": ""}, {"ingredient_id": "broccolini", "name": "Broccolini", "grams": 300.0, "note": ""}, {"ingredient_id": "garlic", "name": "Garlic", "grams": 8.0, "note": ""}, {"ingredient_id": "olive_oil", "name": "Extra-virgin olive oil", "grams": 20.0, "note": ""}, {"ingredient_id": "red_pepper_flakes", "name": "Red pepper flakes", "grams": 1.0, "note": ""}, {"ingredient_id": "parmesan", "name": "Parmesan, grated", "grams": 30.0, "note": ""}]</t>
        </is>
      </c>
      <c r="N1545" s="2" t="n">
        <v>380</v>
      </c>
      <c r="O1545" s="5" t="n">
        <v>22.3</v>
      </c>
      <c r="P1545" s="5" t="n">
        <v>16</v>
      </c>
      <c r="Q1545" s="5" t="n">
        <v>38.2</v>
      </c>
      <c r="R1545" s="5" t="n">
        <v>3.8</v>
      </c>
      <c r="S1545" s="5" t="n">
        <v>34.4</v>
      </c>
      <c r="T1545" s="2" t="n">
        <v>43</v>
      </c>
      <c r="U1545" s="2" t="inlineStr">
        <is>
          <t>low</t>
        </is>
      </c>
      <c r="V1545" s="5" t="n">
        <v>14.8</v>
      </c>
      <c r="W1545" s="2" t="inlineStr">
        <is>
          <t>medium</t>
        </is>
      </c>
      <c r="X1545" s="3" t="inlineStr"/>
      <c r="Y1545" s="3" t="inlineStr">
        <is>
          <t>84% of this dish's available carbohydrate comes from ingredients with a published, measured GI; the rest uses conventional placeholders (see Ingredients sheet)</t>
        </is>
      </c>
      <c r="Z1545" s="2" t="n">
        <v>84</v>
      </c>
      <c r="AA1545" s="3" t="inlineStr">
        <is>
          <t>nut-free</t>
        </is>
      </c>
      <c r="AB1545" s="3" t="inlineStr">
        <is>
          <t>1. Cook the pasta.
2. Brown the sausage with garlic and pepper flakes, add the broccolini.
3. Toss with the pasta, oil and parmesan.</t>
        </is>
      </c>
      <c r="AC1545" s="4" t="inlineStr">
        <is>
          <t>["Cook the pasta.", "Brown the sausage with garlic and pepper flakes, add the broccolini.", "Toss with the pasta, oil and parmesan."]</t>
        </is>
      </c>
    </row>
    <row r="1546" ht="96" customHeight="1">
      <c r="A1546" s="2" t="inlineStr">
        <is>
          <t>DB-1545</t>
        </is>
      </c>
      <c r="B1546" s="3" t="inlineStr">
        <is>
          <t>Shrimp Fra Diavolo over Spaghetti</t>
        </is>
      </c>
      <c r="C1546" s="4" t="inlineStr">
        <is>
          <t>Seafood</t>
        </is>
      </c>
      <c r="D1546" s="4" t="inlineStr">
        <is>
          <t>Italian</t>
        </is>
      </c>
      <c r="E1546" s="2" t="n">
        <v>4</v>
      </c>
      <c r="F1546" s="2" t="n">
        <v>10</v>
      </c>
      <c r="G1546" s="2" t="n">
        <v>20</v>
      </c>
      <c r="H1546" s="2" t="n">
        <v>30</v>
      </c>
      <c r="I1546" s="4" t="inlineStr">
        <is>
          <t>shrimp-fra-diavolo-over-spaghetti.jpg</t>
        </is>
      </c>
      <c r="J1546" s="3" t="inlineStr">
        <is>
          <t>Shrimp Fra Diavolo over Spaghetti, healthy food photography, plated, natural light</t>
        </is>
      </c>
      <c r="K1546" s="4" t="inlineStr"/>
      <c r="L1546" s="3" t="inlineStr">
        <is>
          <t>Shrimp, peeled — 450 g (15.9 oz)
White pasta, cooked al dente — 400 g (14.1 oz)
Crushed tomatoes, canned — 400 g (14.1 oz)
Garlic — 8 g (0.3 oz)
Red pepper flakes — 2 g (0.1 oz)
Dry white wine (cooking) — 60 g (2.1 oz)
Fresh basil — 8 g (0.3 oz)
Extra-virgin olive oil — 20 g (0.7 oz)</t>
        </is>
      </c>
      <c r="M1546" s="4" t="inlineStr">
        <is>
          <t>[{"ingredient_id": "shrimp", "name": "Shrimp, peeled", "grams": 450.0, "note": ""}, {"ingredient_id": "white_pasta", "name": "White pasta, cooked al dente", "grams": 400.0, "note": ""}, {"ingredient_id": "crushed_tomatoes", "name": "Crushed tomatoes, canned", "grams": 400.0, "note": ""}, {"ingredient_id": "garlic", "name": "Garlic", "grams": 8.0, "note": ""}, {"ingredient_id": "red_pepper_flakes", "name": "Red pepper flakes", "grams": 2.0, "note": ""}, {"ingredient_id": "white_wine", "name": "Dry white wine (cooking)", "grams": 60.0, "note": ""}, {"ingredient_id": "basil", "name": "Fresh basil", "grams": 8.0, "note": ""}, {"ingredient_id": "olive_oil", "name": "Extra-virgin olive oil", "grams": 20.0, "note": ""}]</t>
        </is>
      </c>
      <c r="N1546" s="2" t="n">
        <v>346</v>
      </c>
      <c r="O1546" s="5" t="n">
        <v>30.1</v>
      </c>
      <c r="P1546" s="5" t="n">
        <v>6.9</v>
      </c>
      <c r="Q1546" s="5" t="n">
        <v>39.1</v>
      </c>
      <c r="R1546" s="5" t="n">
        <v>3.9</v>
      </c>
      <c r="S1546" s="5" t="n">
        <v>35.2</v>
      </c>
      <c r="T1546" s="2" t="n">
        <v>46</v>
      </c>
      <c r="U1546" s="2" t="inlineStr">
        <is>
          <t>low</t>
        </is>
      </c>
      <c r="V1546" s="5" t="n">
        <v>16.2</v>
      </c>
      <c r="W1546" s="2" t="inlineStr">
        <is>
          <t>medium</t>
        </is>
      </c>
      <c r="X1546" s="3" t="inlineStr"/>
      <c r="Y1546" s="3" t="inlineStr">
        <is>
          <t>82% of this dish's available carbohydrate comes from ingredients with a published, measured GI; the rest uses conventional placeholders (see Ingredients sheet)</t>
        </is>
      </c>
      <c r="Z1546" s="2" t="n">
        <v>82</v>
      </c>
      <c r="AA1546" s="3" t="inlineStr">
        <is>
          <t>pescatarian, dairy-free, nut-free, high-protein</t>
        </is>
      </c>
      <c r="AB1546" s="3" t="inlineStr">
        <is>
          <t>1. Cook the spaghetti.
2. Simmer the garlic, pepper flakes, wine and tomatoes 10 minutes.
3. Add the shrimp for 4 minutes and toss with the pasta and basil.</t>
        </is>
      </c>
      <c r="AC1546" s="4" t="inlineStr">
        <is>
          <t>["Cook the spaghetti.", "Simmer the garlic, pepper flakes, wine and tomatoes 10 minutes.", "Add the shrimp for 4 minutes and toss with the pasta and basil."]</t>
        </is>
      </c>
    </row>
    <row r="1547" ht="96" customHeight="1">
      <c r="A1547" s="2" t="inlineStr">
        <is>
          <t>DB-1546</t>
        </is>
      </c>
      <c r="B1547" s="3" t="inlineStr">
        <is>
          <t>Turkey Sausage Minestrone</t>
        </is>
      </c>
      <c r="C1547" s="4" t="inlineStr">
        <is>
          <t>Soup &amp; Stew</t>
        </is>
      </c>
      <c r="D1547" s="4" t="inlineStr">
        <is>
          <t>Italian</t>
        </is>
      </c>
      <c r="E1547" s="2" t="n">
        <v>6</v>
      </c>
      <c r="F1547" s="2" t="n">
        <v>15</v>
      </c>
      <c r="G1547" s="2" t="n">
        <v>35</v>
      </c>
      <c r="H1547" s="2" t="n">
        <v>50</v>
      </c>
      <c r="I1547" s="4" t="inlineStr">
        <is>
          <t>turkey-sausage-minestrone.jpg</t>
        </is>
      </c>
      <c r="J1547" s="3" t="inlineStr">
        <is>
          <t>Turkey Sausage Minestrone, healthy food photography, plated, natural light</t>
        </is>
      </c>
      <c r="K1547" s="4" t="inlineStr"/>
      <c r="L1547" s="3" t="inlineStr">
        <is>
          <t>Turkey sausage — 250 g (8.8 oz)
Cannellini beans, cooked — 250 g (8.8 oz)
Diced tomatoes, canned — 400 g (14.1 oz)
Zucchini — 150 g (5.3 oz)
Carrot — 100 g (3.5 oz)
Celery — 80 g (2.8 oz)
Kale — 80 g (2.8 oz)
Chicken broth, low sodium — 900 g (31.7 oz)
Italian seasoning — 3 g (0.1 oz)
Garlic — 6 g (0.2 oz)</t>
        </is>
      </c>
      <c r="M1547" s="4" t="inlineStr">
        <is>
          <t>[{"ingredient_id": "turkey_sausage", "name": "Turkey sausage", "grams": 250.0, "note": ""}, {"ingredient_id": "white_beans", "name": "Cannellini beans, cooked", "grams": 250.0, "note": ""}, {"ingredient_id": "diced_tomatoes", "name": "Diced tomatoes, canned", "grams": 400.0, "note": ""}, {"ingredient_id": "zucchini", "name": "Zucchini", "grams": 150.0, "note": ""}, {"ingredient_id": "carrot", "name": "Carrot", "grams": 100.0, "note": ""}, {"ingredient_id": "celery", "name": "Celery", "grams": 80.0, "note": ""}, {"ingredient_id": "kale", "name": "Kale", "grams": 80.0, "note": ""}, {"ingredient_id": "chicken_broth", "name": "Chicken broth, low sodium", "grams": 900.0, "note": ""}, {"ingredient_id": "italian_seasoning", "name": "Italian seasoning", "grams": 3.0, "note": ""}, {"ingredient_id": "garlic", "name": "Garlic", "grams": 6.0, "note": ""}]</t>
        </is>
      </c>
      <c r="N1547" s="2" t="n">
        <v>172</v>
      </c>
      <c r="O1547" s="5" t="n">
        <v>13.8</v>
      </c>
      <c r="P1547" s="5" t="n">
        <v>5</v>
      </c>
      <c r="Q1547" s="5" t="n">
        <v>20</v>
      </c>
      <c r="R1547" s="5" t="n">
        <v>5.3</v>
      </c>
      <c r="S1547" s="5" t="n">
        <v>14.7</v>
      </c>
      <c r="T1547" s="2" t="n">
        <v>27</v>
      </c>
      <c r="U1547" s="2" t="inlineStr">
        <is>
          <t>low</t>
        </is>
      </c>
      <c r="V1547" s="5" t="n">
        <v>4</v>
      </c>
      <c r="W1547" s="2" t="inlineStr">
        <is>
          <t>low</t>
        </is>
      </c>
      <c r="X1547" s="3" t="inlineStr"/>
      <c r="Y1547" s="3" t="inlineStr">
        <is>
          <t>61% of this dish's available carbohydrate comes from ingredients with a published, measured GI; the rest uses conventional placeholders (see Ingredients sheet)</t>
        </is>
      </c>
      <c r="Z1547" s="2" t="n">
        <v>61</v>
      </c>
      <c r="AA1547" s="3" t="inlineStr">
        <is>
          <t>gluten-free, dairy-free, nut-free, low-carb</t>
        </is>
      </c>
      <c r="AB1547" s="3" t="inlineStr">
        <is>
          <t>1. Brown the sausage.
2. Add the vegetables, tomatoes, beans, broth and seasoning and simmer 25 minutes.
3. Add the kale for the last 5.</t>
        </is>
      </c>
      <c r="AC1547" s="4" t="inlineStr">
        <is>
          <t>["Brown the sausage.", "Add the vegetables, tomatoes, beans, broth and seasoning and simmer 25 minutes.", "Add the kale for the last 5."]</t>
        </is>
      </c>
    </row>
    <row r="1548" ht="96" customHeight="1">
      <c r="A1548" s="2" t="inlineStr">
        <is>
          <t>DB-1547</t>
        </is>
      </c>
      <c r="B1548" s="3" t="inlineStr">
        <is>
          <t>Baked Gnocchi-Style Cauliflower with Marinara and Mozzarella</t>
        </is>
      </c>
      <c r="C1548" s="4" t="inlineStr">
        <is>
          <t>Vegetarian &amp; Vegan</t>
        </is>
      </c>
      <c r="D1548" s="4" t="inlineStr">
        <is>
          <t>Italian</t>
        </is>
      </c>
      <c r="E1548" s="2" t="n">
        <v>4</v>
      </c>
      <c r="F1548" s="2" t="n">
        <v>15</v>
      </c>
      <c r="G1548" s="2" t="n">
        <v>30</v>
      </c>
      <c r="H1548" s="2" t="n">
        <v>45</v>
      </c>
      <c r="I1548" s="4" t="inlineStr">
        <is>
          <t>baked-gnocchi-style-cauliflower-with-marinara-and-mozzarella.jpg</t>
        </is>
      </c>
      <c r="J1548" s="3" t="inlineStr">
        <is>
          <t>Baked Gnocchi-Style Cauliflower with Marinara and Mozzarella, healthy food photography, plated, natural light</t>
        </is>
      </c>
      <c r="K1548" s="4" t="inlineStr"/>
      <c r="L1548" s="3" t="inlineStr">
        <is>
          <t>Cauliflower — 600 g (21.2 oz)
Marinara sauce, no sugar added — 400 g (14.1 oz)
Mozzarella, part-skim — 120 g (4.2 oz)
Parmesan, grated — 30 g (1.1 oz)
Fresh basil — 8 g (0.3 oz)
Garlic — 6 g (0.2 oz)
Extra-virgin olive oil — 15 g (0.5 oz)</t>
        </is>
      </c>
      <c r="M1548" s="4" t="inlineStr">
        <is>
          <t>[{"ingredient_id": "cauliflower", "name": "Cauliflower", "grams": 600.0, "note": ""}, {"ingredient_id": "marinara", "name": "Marinara sauce, no sugar added", "grams": 400.0, "note": ""}, {"ingredient_id": "mozzarella", "name": "Mozzarella, part-skim", "grams": 120.0, "note": ""}, {"ingredient_id": "parmesan", "name": "Parmesan, grated", "grams": 30.0, "note": ""}, {"ingredient_id": "basil", "name": "Fresh basil", "grams": 8.0, "note": ""}, {"ingredient_id": "garlic", "name": "Garlic", "grams": 6.0, "note": ""}, {"ingredient_id": "olive_oil", "name": "Extra-virgin olive oil", "grams": 15.0, "note": ""}]</t>
        </is>
      </c>
      <c r="N1548" s="2" t="n">
        <v>227</v>
      </c>
      <c r="O1548" s="5" t="n">
        <v>14.6</v>
      </c>
      <c r="P1548" s="5" t="n">
        <v>13.7</v>
      </c>
      <c r="Q1548" s="5" t="n">
        <v>14.2</v>
      </c>
      <c r="R1548" s="5" t="n">
        <v>4.6</v>
      </c>
      <c r="S1548" s="5" t="n">
        <v>9.699999999999999</v>
      </c>
      <c r="T1548" s="2" t="n">
        <v>21</v>
      </c>
      <c r="U1548" s="2" t="inlineStr">
        <is>
          <t>low</t>
        </is>
      </c>
      <c r="V1548" s="5" t="n">
        <v>2</v>
      </c>
      <c r="W1548" s="2" t="inlineStr">
        <is>
          <t>low</t>
        </is>
      </c>
      <c r="X1548" s="3" t="inlineStr"/>
      <c r="Y1548" s="3" t="inlineStr">
        <is>
          <t>36% of this dish's available carbohydrate comes from ingredients with a published, measured GI; the rest uses conventional placeholders (see Ingredients sheet)</t>
        </is>
      </c>
      <c r="Z1548" s="2" t="n">
        <v>36</v>
      </c>
      <c r="AA1548" s="3" t="inlineStr">
        <is>
          <t>vegetarian, gluten-free, nut-free, low-carb</t>
        </is>
      </c>
      <c r="AB1548" s="3" t="inlineStr">
        <is>
          <t>1. Roast the florets in oil at 425°F for 15 minutes.
2. Toss with the marinara and garlic in a dish.
3. Top with cheeses and bake 12 minutes; finish with basil.</t>
        </is>
      </c>
      <c r="AC1548" s="4" t="inlineStr">
        <is>
          <t>["Roast the florets in oil at 425°F for 15 minutes.", "Toss with the marinara and garlic in a dish.", "Top with cheeses and bake 12 minutes; finish with basil."]</t>
        </is>
      </c>
    </row>
    <row r="1549" ht="96" customHeight="1">
      <c r="A1549" s="2" t="inlineStr">
        <is>
          <t>DB-1548</t>
        </is>
      </c>
      <c r="B1549" s="3" t="inlineStr">
        <is>
          <t>Italian Chopped Chicken Salad</t>
        </is>
      </c>
      <c r="C1549" s="4" t="inlineStr">
        <is>
          <t>Salad</t>
        </is>
      </c>
      <c r="D1549" s="4" t="inlineStr">
        <is>
          <t>Italian</t>
        </is>
      </c>
      <c r="E1549" s="2" t="n">
        <v>4</v>
      </c>
      <c r="F1549" s="2" t="n">
        <v>15</v>
      </c>
      <c r="G1549" s="2" t="n">
        <v>0</v>
      </c>
      <c r="H1549" s="2" t="n">
        <v>15</v>
      </c>
      <c r="I1549" s="4" t="inlineStr">
        <is>
          <t>italian-chopped-chicken-salad.jpg</t>
        </is>
      </c>
      <c r="J1549" s="3" t="inlineStr">
        <is>
          <t>Italian Chopped Chicken Salad, healthy food photography, plated, natural light</t>
        </is>
      </c>
      <c r="K1549" s="4" t="inlineStr"/>
      <c r="L1549" s="3" t="inlineStr">
        <is>
          <t>Rotisserie chicken, skin removed — 300 g (10.6 oz)
Romaine lettuce — 200 g (7.1 oz)
Chickpeas, cooked — 150 g (5.3 oz)
Cherry tomatoes — 150 g (5.3 oz)
Mozzarella, part-skim — 60 g (2.1 oz)
Red onion — 30 g (1.1 oz)
Red wine vinegar — 20 g (0.7 oz)
Extra-virgin olive oil — 25 g (0.9 oz)
Italian seasoning — 2 g (0.1 oz)</t>
        </is>
      </c>
      <c r="M1549" s="4" t="inlineStr">
        <is>
          <t>[{"ingredient_id": "rotisserie_chicken", "name": "Rotisserie chicken, skin removed", "grams": 300.0, "note": ""}, {"ingredient_id": "romaine", "name": "Romaine lettuce", "grams": 200.0, "note": ""}, {"ingredient_id": "chickpeas", "name": "Chickpeas, cooked", "grams": 150.0, "note": ""}, {"ingredient_id": "cherry_tomato", "name": "Cherry tomatoes", "grams": 150.0, "note": ""}, {"ingredient_id": "mozzarella", "name": "Mozzarella, part-skim", "grams": 60.0, "note": ""}, {"ingredient_id": "red_onion", "name": "Red onion", "grams": 30.0, "note": ""}, {"ingredient_id": "red_wine_vinegar", "name": "Red wine vinegar", "grams": 20.0, "note": ""}, {"ingredient_id": "olive_oil", "name": "Extra-virgin olive oil", "grams": 25.0, "note": ""}, {"ingredient_id": "italian_seasoning", "name": "Italian seasoning", "grams": 2.0, "note": ""}]</t>
        </is>
      </c>
      <c r="N1549" s="2" t="n">
        <v>295</v>
      </c>
      <c r="O1549" s="5" t="n">
        <v>25.3</v>
      </c>
      <c r="P1549" s="5" t="n">
        <v>15.1</v>
      </c>
      <c r="Q1549" s="5" t="n">
        <v>14.7</v>
      </c>
      <c r="R1549" s="5" t="n">
        <v>4.7</v>
      </c>
      <c r="S1549" s="5" t="n">
        <v>10.1</v>
      </c>
      <c r="T1549" s="2" t="n">
        <v>31</v>
      </c>
      <c r="U1549" s="2" t="inlineStr">
        <is>
          <t>low</t>
        </is>
      </c>
      <c r="V1549" s="5" t="n">
        <v>3.1</v>
      </c>
      <c r="W1549" s="2" t="inlineStr">
        <is>
          <t>low</t>
        </is>
      </c>
      <c r="X1549" s="3" t="inlineStr"/>
      <c r="Y1549" s="3" t="inlineStr">
        <is>
          <t>72% of this dish's available carbohydrate comes from ingredients with a published, measured GI; the rest uses conventional placeholders (see Ingredients sheet)</t>
        </is>
      </c>
      <c r="Z1549" s="2" t="n">
        <v>72</v>
      </c>
      <c r="AA1549" s="3" t="inlineStr">
        <is>
          <t>gluten-free, nut-free, low-carb, high-protein, no-cook</t>
        </is>
      </c>
      <c r="AB1549" s="3" t="inlineStr">
        <is>
          <t>1. Chop the romaine and combine with chicken, chickpeas, tomatoes, mozzarella and onion.
2. Dress with vinegar, oil and seasoning.</t>
        </is>
      </c>
      <c r="AC1549" s="4" t="inlineStr">
        <is>
          <t>["Chop the romaine and combine with chicken, chickpeas, tomatoes, mozzarella and onion.", "Dress with vinegar, oil and seasoning."]</t>
        </is>
      </c>
    </row>
    <row r="1550" ht="96" customHeight="1">
      <c r="A1550" s="2" t="inlineStr">
        <is>
          <t>DB-1549</t>
        </is>
      </c>
      <c r="B1550" s="3" t="inlineStr">
        <is>
          <t>Pizza-Stuffed Bell Peppers</t>
        </is>
      </c>
      <c r="C1550" s="4" t="inlineStr">
        <is>
          <t>Beef, Pork &amp; Lamb</t>
        </is>
      </c>
      <c r="D1550" s="4" t="inlineStr">
        <is>
          <t>Italian</t>
        </is>
      </c>
      <c r="E1550" s="2" t="n">
        <v>4</v>
      </c>
      <c r="F1550" s="2" t="n">
        <v>15</v>
      </c>
      <c r="G1550" s="2" t="n">
        <v>30</v>
      </c>
      <c r="H1550" s="2" t="n">
        <v>45</v>
      </c>
      <c r="I1550" s="4" t="inlineStr">
        <is>
          <t>pizza-stuffed-bell-peppers.jpg</t>
        </is>
      </c>
      <c r="J1550" s="3" t="inlineStr">
        <is>
          <t>Pizza-Stuffed Bell Peppers, healthy food photography, plated, natural light</t>
        </is>
      </c>
      <c r="K1550" s="4" t="inlineStr"/>
      <c r="L1550" s="3" t="inlineStr">
        <is>
          <t>Bell pepper — 600 g (21.2 oz)
Turkey sausage — 250 g (8.8 oz)
Marinara sauce, no sugar added — 200 g (7.1 oz)
Mozzarella, part-skim — 120 g (4.2 oz)
Mushrooms (cremini/white) — 100 g (3.5 oz)
Italian seasoning — 2 g (0.1 oz)</t>
        </is>
      </c>
      <c r="M1550" s="4" t="inlineStr">
        <is>
          <t>[{"ingredient_id": "bell_pepper", "name": "Bell pepper", "grams": 600.0, "note": ""}, {"ingredient_id": "turkey_sausage", "name": "Turkey sausage", "grams": 250.0, "note": ""}, {"ingredient_id": "marinara", "name": "Marinara sauce, no sugar added", "grams": 200.0, "note": ""}, {"ingredient_id": "mozzarella", "name": "Mozzarella, part-skim", "grams": 120.0, "note": ""}, {"ingredient_id": "mushrooms", "name": "Mushrooms (cremini/white)", "grams": 100.0, "note": ""}, {"ingredient_id": "italian_seasoning", "name": "Italian seasoning", "grams": 2.0, "note": ""}]</t>
        </is>
      </c>
      <c r="N1550" s="2" t="n">
        <v>249</v>
      </c>
      <c r="O1550" s="5" t="n">
        <v>19.6</v>
      </c>
      <c r="P1550" s="5" t="n">
        <v>12.8</v>
      </c>
      <c r="Q1550" s="5" t="n">
        <v>14.8</v>
      </c>
      <c r="R1550" s="5" t="n">
        <v>4.4</v>
      </c>
      <c r="S1550" s="5" t="n">
        <v>10.5</v>
      </c>
      <c r="T1550" s="2" t="n">
        <v>15</v>
      </c>
      <c r="U1550" s="2" t="inlineStr">
        <is>
          <t>low</t>
        </is>
      </c>
      <c r="V1550" s="5" t="n">
        <v>1.6</v>
      </c>
      <c r="W1550" s="2" t="inlineStr">
        <is>
          <t>low</t>
        </is>
      </c>
      <c r="X1550" s="3" t="inlineStr"/>
      <c r="Y1550" s="3" t="inlineStr">
        <is>
          <t>17% of this dish's available carbohydrate comes from ingredients with a published, measured GI; the rest uses conventional placeholders (see Ingredients sheet)</t>
        </is>
      </c>
      <c r="Z1550" s="2" t="n">
        <v>17</v>
      </c>
      <c r="AA1550" s="3" t="inlineStr">
        <is>
          <t>gluten-free, nut-free, low-carb</t>
        </is>
      </c>
      <c r="AB1550" s="3" t="inlineStr">
        <is>
          <t>1. Halve the peppers and parboil 4 minutes.
2. Brown the sausage with the mushrooms and stir in the marinara.
3. Fill the peppers, top with mozzarella and bake at 375°F for 20 minutes.</t>
        </is>
      </c>
      <c r="AC1550" s="4" t="inlineStr">
        <is>
          <t>["Halve the peppers and parboil 4 minutes.", "Brown the sausage with the mushrooms and stir in the marinara.", "Fill the peppers, top with mozzarella and bake at 375°F for 20 minutes."]</t>
        </is>
      </c>
    </row>
    <row r="1551" ht="96" customHeight="1">
      <c r="A1551" s="2" t="inlineStr">
        <is>
          <t>DB-1550</t>
        </is>
      </c>
      <c r="B1551" s="3" t="inlineStr">
        <is>
          <t>Pesto Chicken with Roasted Tomatoes and Zucchini</t>
        </is>
      </c>
      <c r="C1551" s="4" t="inlineStr">
        <is>
          <t>Poultry</t>
        </is>
      </c>
      <c r="D1551" s="4" t="inlineStr">
        <is>
          <t>Italian</t>
        </is>
      </c>
      <c r="E1551" s="2" t="n">
        <v>4</v>
      </c>
      <c r="F1551" s="2" t="n">
        <v>10</v>
      </c>
      <c r="G1551" s="2" t="n">
        <v>25</v>
      </c>
      <c r="H1551" s="2" t="n">
        <v>35</v>
      </c>
      <c r="I1551" s="4" t="inlineStr">
        <is>
          <t>pesto-chicken-with-roasted-tomatoes-and-zucchini.jpg</t>
        </is>
      </c>
      <c r="J1551" s="3" t="inlineStr">
        <is>
          <t>Pesto Chicken with Roasted Tomatoes and Zucchini, healthy food photography, plated, natural light</t>
        </is>
      </c>
      <c r="K1551" s="4" t="inlineStr"/>
      <c r="L1551" s="3" t="inlineStr">
        <is>
          <t>Chicken breast, skinless — 560 g (19.8 oz)
Basil pesto — 60 g (2.1 oz)
Cherry tomatoes — 250 g (8.8 oz)
Zucchini — 300 g (10.6 oz)
Mozzarella, part-skim — 60 g (2.1 oz)
Extra-virgin olive oil — 15 g (0.5 oz)</t>
        </is>
      </c>
      <c r="M1551" s="4" t="inlineStr">
        <is>
          <t>[{"ingredient_id": "chicken_breast", "name": "Chicken breast, skinless", "grams": 560.0, "note": ""}, {"ingredient_id": "pesto", "name": "Basil pesto", "grams": 60.0, "note": ""}, {"ingredient_id": "cherry_tomato", "name": "Cherry tomatoes", "grams": 250.0, "note": ""}, {"ingredient_id": "zucchini", "name": "Zucchini", "grams": 300.0, "note": ""}, {"ingredient_id": "mozzarella", "name": "Mozzarella, part-skim", "grams": 60.0, "note": ""}, {"ingredient_id": "olive_oil", "name": "Extra-virgin olive oil", "grams": 15.0, "note": ""}]</t>
        </is>
      </c>
      <c r="N1551" s="2" t="n">
        <v>323</v>
      </c>
      <c r="O1551" s="5" t="n">
        <v>37.3</v>
      </c>
      <c r="P1551" s="5" t="n">
        <v>16.1</v>
      </c>
      <c r="Q1551" s="5" t="n">
        <v>6.1</v>
      </c>
      <c r="R1551" s="5" t="n">
        <v>1.8</v>
      </c>
      <c r="S1551" s="5" t="n">
        <v>4.3</v>
      </c>
      <c r="T1551" s="2" t="n">
        <v>13</v>
      </c>
      <c r="U1551" s="2" t="inlineStr">
        <is>
          <t>low</t>
        </is>
      </c>
      <c r="V1551" s="5" t="n">
        <v>0.6</v>
      </c>
      <c r="W1551" s="2" t="inlineStr">
        <is>
          <t>low</t>
        </is>
      </c>
      <c r="X1551" s="3" t="inlineStr">
        <is>
          <t>Negligible carbohydrate (&lt;5 g net/serving): GI has little practical meaning, glycemic load is what matters.</t>
        </is>
      </c>
      <c r="Y1551" s="3" t="inlineStr">
        <is>
          <t>0% of this dish's available carbohydrate comes from ingredients with a published, measured GI; the rest uses conventional placeholders (see Ingredients sheet)</t>
        </is>
      </c>
      <c r="Z1551" s="2" t="n">
        <v>0</v>
      </c>
      <c r="AA1551" s="3" t="inlineStr">
        <is>
          <t>gluten-free, low-carb, high-protein, one-pan</t>
        </is>
      </c>
      <c r="AB1551" s="3" t="inlineStr">
        <is>
          <t>1. Spread the chicken with pesto.
2. Roast with the tomatoes and zucchini in oil at 400°F for 22 minutes.
3. Top with mozzarella for the last 3.</t>
        </is>
      </c>
      <c r="AC1551" s="4" t="inlineStr">
        <is>
          <t>["Spread the chicken with pesto.", "Roast with the tomatoes and zucchini in oil at 400°F for 22 minutes.", "Top with mozzarella for the last 3."]</t>
        </is>
      </c>
    </row>
    <row r="1552" ht="96" customHeight="1">
      <c r="A1552" s="2" t="inlineStr">
        <is>
          <t>DB-1551</t>
        </is>
      </c>
      <c r="B1552" s="3" t="inlineStr">
        <is>
          <t>Chicken Burrito Smothered with Enchilada Sauce</t>
        </is>
      </c>
      <c r="C1552" s="4" t="inlineStr">
        <is>
          <t>Poultry</t>
        </is>
      </c>
      <c r="D1552" s="4" t="inlineStr">
        <is>
          <t>Tex-Mex</t>
        </is>
      </c>
      <c r="E1552" s="2" t="n">
        <v>4</v>
      </c>
      <c r="F1552" s="2" t="n">
        <v>15</v>
      </c>
      <c r="G1552" s="2" t="n">
        <v>25</v>
      </c>
      <c r="H1552" s="2" t="n">
        <v>40</v>
      </c>
      <c r="I1552" s="4" t="inlineStr">
        <is>
          <t>chicken-burrito-smothered-with-enchilada-sauce.jpg</t>
        </is>
      </c>
      <c r="J1552" s="3" t="inlineStr">
        <is>
          <t>Chicken Burrito Smothered with Enchilada Sauce, healthy food photography, plated, natural light</t>
        </is>
      </c>
      <c r="K1552" s="4" t="inlineStr"/>
      <c r="L1552" s="3" t="inlineStr">
        <is>
          <t>Flour tortilla, 8-inch — 240 g (8.5 oz)
Chicken breast, skinless — 400 g (14.1 oz)
Black beans, cooked — 200 g (7.1 oz)
White rice, long-grain, cooked — 200 g (7.1 oz)
Red enchilada sauce, no sugar added — 250 g (8.8 oz)
Cheddar cheese — 80 g (2.8 oz)
Yellow onion — 60 g (2.1 oz)</t>
        </is>
      </c>
      <c r="M1552" s="4" t="inlineStr">
        <is>
          <t>[{"ingredient_id": "flour_tortilla", "name": "Flour tortilla, 8-inch", "grams": 240.0, "note": ""}, {"ingredient_id": "chicken_breast", "name": "Chicken breast, skinless", "grams": 400.0, "note": ""}, {"ingredient_id": "black_beans", "name": "Black beans, cooked", "grams": 200.0, "note": ""}, {"ingredient_id": "white_rice", "name": "White rice, long-grain, cooked", "grams": 200.0, "note": ""}, {"ingredient_id": "enchilada_sauce", "name": "Red enchilada sauce, no sugar added", "grams": 250.0, "note": ""}, {"ingredient_id": "cheddar", "name": "Cheddar cheese", "grams": 80.0, "note": ""}, {"ingredient_id": "onion", "name": "Yellow onion", "grams": 60.0, "note": ""}]</t>
        </is>
      </c>
      <c r="N1552" s="2" t="n">
        <v>546</v>
      </c>
      <c r="O1552" s="5" t="n">
        <v>38.6</v>
      </c>
      <c r="P1552" s="5" t="n">
        <v>15.6</v>
      </c>
      <c r="Q1552" s="5" t="n">
        <v>60.3</v>
      </c>
      <c r="R1552" s="5" t="n">
        <v>7.5</v>
      </c>
      <c r="S1552" s="5" t="n">
        <v>52.7</v>
      </c>
      <c r="T1552" s="2" t="n">
        <v>44</v>
      </c>
      <c r="U1552" s="2" t="inlineStr">
        <is>
          <t>low</t>
        </is>
      </c>
      <c r="V1552" s="5" t="n">
        <v>23.2</v>
      </c>
      <c r="W1552" s="2" t="inlineStr">
        <is>
          <t>high</t>
        </is>
      </c>
      <c r="X1552" s="3" t="inlineStr"/>
      <c r="Y1552" s="3" t="inlineStr">
        <is>
          <t>93% of this dish's available carbohydrate comes from ingredients with a published, measured GI; the rest uses conventional placeholders (see Ingredients sheet)</t>
        </is>
      </c>
      <c r="Z1552" s="2" t="n">
        <v>93</v>
      </c>
      <c r="AA1552" s="3" t="inlineStr">
        <is>
          <t>nut-free, high-protein, high-fiber</t>
        </is>
      </c>
      <c r="AB1552" s="3" t="inlineStr">
        <is>
          <t>1. Cook and shred the chicken; mix with beans, rice and onion.
2. Roll in tortillas and set seam-down in a dish.
3. Cover with sauce and cheddar and bake at 375°F for 20 minutes.</t>
        </is>
      </c>
      <c r="AC1552" s="4" t="inlineStr">
        <is>
          <t>["Cook and shred the chicken; mix with beans, rice and onion.", "Roll in tortillas and set seam-down in a dish.", "Cover with sauce and cheddar and bake at 375°F for 20 minutes."]</t>
        </is>
      </c>
    </row>
    <row r="1553" ht="96" customHeight="1">
      <c r="A1553" s="2" t="inlineStr">
        <is>
          <t>DB-1552</t>
        </is>
      </c>
      <c r="B1553" s="3" t="inlineStr">
        <is>
          <t>Beef Chimichangas, Baked</t>
        </is>
      </c>
      <c r="C1553" s="4" t="inlineStr">
        <is>
          <t>Beef, Pork &amp; Lamb</t>
        </is>
      </c>
      <c r="D1553" s="4" t="inlineStr">
        <is>
          <t>Tex-Mex</t>
        </is>
      </c>
      <c r="E1553" s="2" t="n">
        <v>4</v>
      </c>
      <c r="F1553" s="2" t="n">
        <v>20</v>
      </c>
      <c r="G1553" s="2" t="n">
        <v>20</v>
      </c>
      <c r="H1553" s="2" t="n">
        <v>40</v>
      </c>
      <c r="I1553" s="4" t="inlineStr">
        <is>
          <t>beef-chimichangas-baked.jpg</t>
        </is>
      </c>
      <c r="J1553" s="3" t="inlineStr">
        <is>
          <t>Beef Chimichangas, Baked, healthy food photography, plated, natural light</t>
        </is>
      </c>
      <c r="K1553" s="4" t="inlineStr"/>
      <c r="L1553" s="3" t="inlineStr">
        <is>
          <t>Flour tortilla, 8-inch — 240 g (8.5 oz)
Ground beef 90% lean — 350 g (12.3 oz)
Refried beans, fat-free — 200 g (7.1 oz)
Cheddar cheese — 70 g (2.5 oz)
Taco seasoning, low sodium — 10 g (0.4 oz)
Salsa, no sugar added — 120 g (4.2 oz)
Extra-virgin olive oil — 15 g (0.5 oz)</t>
        </is>
      </c>
      <c r="M1553" s="4" t="inlineStr">
        <is>
          <t>[{"ingredient_id": "flour_tortilla", "name": "Flour tortilla, 8-inch", "grams": 240.0, "note": ""}, {"ingredient_id": "ground_beef", "name": "Ground beef 90% lean", "grams": 350.0, "note": ""}, {"ingredient_id": "refried_beans", "name": "Refried beans, fat-free", "grams": 200.0, "note": ""}, {"ingredient_id": "cheddar", "name": "Cheddar cheese", "grams": 70.0, "note": ""}, {"ingredient_id": "taco_seasoning", "name": "Taco seasoning, low sodium", "grams": 10.0, "note": ""}, {"ingredient_id": "salsa", "name": "Salsa, no sugar added", "grams": 120.0, "note": ""}, {"ingredient_id": "olive_oil", "name": "Extra-virgin olive oil", "grams": 15.0, "note": ""}]</t>
        </is>
      </c>
      <c r="N1553" s="2" t="n">
        <v>505</v>
      </c>
      <c r="O1553" s="5" t="n">
        <v>29.9</v>
      </c>
      <c r="P1553" s="5" t="n">
        <v>23.6</v>
      </c>
      <c r="Q1553" s="5" t="n">
        <v>40.8</v>
      </c>
      <c r="R1553" s="5" t="n">
        <v>5.7</v>
      </c>
      <c r="S1553" s="5" t="n">
        <v>35.2</v>
      </c>
      <c r="T1553" s="2" t="n">
        <v>34</v>
      </c>
      <c r="U1553" s="2" t="inlineStr">
        <is>
          <t>low</t>
        </is>
      </c>
      <c r="V1553" s="5" t="n">
        <v>12</v>
      </c>
      <c r="W1553" s="2" t="inlineStr">
        <is>
          <t>medium</t>
        </is>
      </c>
      <c r="X1553" s="3" t="inlineStr"/>
      <c r="Y1553" s="3" t="inlineStr">
        <is>
          <t>78% of this dish's available carbohydrate comes from ingredients with a published, measured GI; the rest uses conventional placeholders (see Ingredients sheet)</t>
        </is>
      </c>
      <c r="Z1553" s="2" t="n">
        <v>78</v>
      </c>
      <c r="AA1553" s="3" t="inlineStr">
        <is>
          <t>nut-free, high-protein</t>
        </is>
      </c>
      <c r="AB1553" s="3" t="inlineStr">
        <is>
          <t>1. Brown the beef with the seasoning and mix with the beans.
2. Fill the tortillas with beef and cheddar, fold and brush with oil.
3. Bake at 425°F for 15 to 18 minutes and serve with salsa.</t>
        </is>
      </c>
      <c r="AC1553" s="4" t="inlineStr">
        <is>
          <t>["Brown the beef with the seasoning and mix with the beans.", "Fill the tortillas with beef and cheddar, fold and brush with oil.", "Bake at 425°F for 15 to 18 minutes and serve with salsa."]</t>
        </is>
      </c>
    </row>
    <row r="1554" ht="96" customHeight="1">
      <c r="A1554" s="2" t="inlineStr">
        <is>
          <t>DB-1553</t>
        </is>
      </c>
      <c r="B1554" s="3" t="inlineStr">
        <is>
          <t>Chicken Tamale Pie Muffins</t>
        </is>
      </c>
      <c r="C1554" s="4" t="inlineStr">
        <is>
          <t>Poultry</t>
        </is>
      </c>
      <c r="D1554" s="4" t="inlineStr">
        <is>
          <t>Tex-Mex</t>
        </is>
      </c>
      <c r="E1554" s="2" t="n">
        <v>6</v>
      </c>
      <c r="F1554" s="2" t="n">
        <v>20</v>
      </c>
      <c r="G1554" s="2" t="n">
        <v>25</v>
      </c>
      <c r="H1554" s="2" t="n">
        <v>45</v>
      </c>
      <c r="I1554" s="4" t="inlineStr">
        <is>
          <t>chicken-tamale-pie-muffins.jpg</t>
        </is>
      </c>
      <c r="J1554" s="3" t="inlineStr">
        <is>
          <t>Chicken Tamale Pie Muffins, healthy food photography, plated, natural light</t>
        </is>
      </c>
      <c r="K1554" s="4" t="inlineStr"/>
      <c r="L1554" s="3" t="inlineStr">
        <is>
          <t>Chicken breast, skinless — 350 g (12.3 oz)
Grits, cooked with water — 400 g (14.1 oz)
Red enchilada sauce, no sugar added — 150 g (5.3 oz)
Black beans, cooked — 150 g (5.3 oz)
Cheddar cheese — 70 g (2.5 oz)
Egg, large (50 g each) — 50 g (1.8 oz)
Sweet corn kernels — 80 g (2.8 oz)</t>
        </is>
      </c>
      <c r="M1554" s="4" t="inlineStr">
        <is>
          <t>[{"ingredient_id": "chicken_breast", "name": "Chicken breast, skinless", "grams": 350.0, "note": ""}, {"ingredient_id": "grits", "name": "Grits, cooked with water", "grams": 400.0, "note": ""}, {"ingredient_id": "enchilada_sauce", "name": "Red enchilada sauce, no sugar added", "grams": 150.0, "note": ""}, {"ingredient_id": "black_beans", "name": "Black beans, cooked", "grams": 150.0, "note": ""}, {"ingredient_id": "cheddar", "name": "Cheddar cheese", "grams": 70.0, "note": ""}, {"ingredient_id": "egg", "name": "Egg, large (50 g each)", "grams": 50.0, "note": ""}, {"ingredient_id": "corn", "name": "Sweet corn kernels", "grams": 80.0, "note": ""}]</t>
        </is>
      </c>
      <c r="N1554" s="2" t="n">
        <v>222</v>
      </c>
      <c r="O1554" s="5" t="n">
        <v>20.6</v>
      </c>
      <c r="P1554" s="5" t="n">
        <v>7.2</v>
      </c>
      <c r="Q1554" s="5" t="n">
        <v>18.2</v>
      </c>
      <c r="R1554" s="5" t="n">
        <v>3.3</v>
      </c>
      <c r="S1554" s="5" t="n">
        <v>14.9</v>
      </c>
      <c r="T1554" s="2" t="n">
        <v>53</v>
      </c>
      <c r="U1554" s="2" t="inlineStr">
        <is>
          <t>low</t>
        </is>
      </c>
      <c r="V1554" s="5" t="n">
        <v>7.9</v>
      </c>
      <c r="W1554" s="2" t="inlineStr">
        <is>
          <t>low</t>
        </is>
      </c>
      <c r="X1554" s="3" t="inlineStr"/>
      <c r="Y1554" s="3" t="inlineStr">
        <is>
          <t>92% of this dish's available carbohydrate comes from ingredients with a published, measured GI; the rest uses conventional placeholders (see Ingredients sheet)</t>
        </is>
      </c>
      <c r="Z1554" s="2" t="n">
        <v>92</v>
      </c>
      <c r="AA1554" s="3" t="inlineStr">
        <is>
          <t>gluten-free, nut-free, low-carb, meal-prep</t>
        </is>
      </c>
      <c r="AB1554" s="3" t="inlineStr">
        <is>
          <t>1. Stir the egg into the cooked grits and press into muffin cups.
2. Fill with shredded chicken, beans, corn and sauce and top with cheddar.
3. Bake at 375°F for 22 to 25 minutes.</t>
        </is>
      </c>
      <c r="AC1554" s="4" t="inlineStr">
        <is>
          <t>["Stir the egg into the cooked grits and press into muffin cups.", "Fill with shredded chicken, beans, corn and sauce and top with cheddar.", "Bake at 375°F for 22 to 25 minutes."]</t>
        </is>
      </c>
    </row>
    <row r="1555" ht="96" customHeight="1">
      <c r="A1555" s="2" t="inlineStr">
        <is>
          <t>DB-1554</t>
        </is>
      </c>
      <c r="B1555" s="3" t="inlineStr">
        <is>
          <t>Huevos Divorciados</t>
        </is>
      </c>
      <c r="C1555" s="4" t="inlineStr">
        <is>
          <t>Breakfast</t>
        </is>
      </c>
      <c r="D1555" s="4" t="inlineStr">
        <is>
          <t>Mexican</t>
        </is>
      </c>
      <c r="E1555" s="2" t="n">
        <v>2</v>
      </c>
      <c r="F1555" s="2" t="n">
        <v>10</v>
      </c>
      <c r="G1555" s="2" t="n">
        <v>12</v>
      </c>
      <c r="H1555" s="2" t="n">
        <v>22</v>
      </c>
      <c r="I1555" s="4" t="inlineStr">
        <is>
          <t>huevos-divorciados.jpg</t>
        </is>
      </c>
      <c r="J1555" s="3" t="inlineStr">
        <is>
          <t>Huevos Divorciados, healthy food photography, plated, natural light</t>
        </is>
      </c>
      <c r="K1555" s="4" t="inlineStr"/>
      <c r="L1555" s="3" t="inlineStr">
        <is>
          <t>Egg, large (50 g each) — 200 g (7.1 oz)
Corn tortilla — 120 g (4.2 oz)
Salsa, no sugar added — 100 g (3.5 oz)
Salsa verde — 100 g (3.5 oz)
Refried beans, fat-free — 150 g (5.3 oz)
Cotija cheese — 20 g (0.7 oz)
Avocado — 70 g (2.5 oz)</t>
        </is>
      </c>
      <c r="M1555" s="4" t="inlineStr">
        <is>
          <t>[{"ingredient_id": "egg", "name": "Egg, large (50 g each)", "grams": 200.0, "note": ""}, {"ingredient_id": "corn_tortilla", "name": "Corn tortilla", "grams": 120.0, "note": ""}, {"ingredient_id": "salsa", "name": "Salsa, no sugar added", "grams": 100.0, "note": ""}, {"ingredient_id": "salsa_verde", "name": "Salsa verde", "grams": 100.0, "note": ""}, {"ingredient_id": "refried_beans", "name": "Refried beans, fat-free", "grams": 150.0, "note": ""}, {"ingredient_id": "cotija", "name": "Cotija cheese", "grams": 20.0, "note": ""}, {"ingredient_id": "avocado", "name": "Avocado", "grams": 70.0, "note": ""}]</t>
        </is>
      </c>
      <c r="N1555" s="2" t="n">
        <v>467</v>
      </c>
      <c r="O1555" s="5" t="n">
        <v>24.1</v>
      </c>
      <c r="P1555" s="5" t="n">
        <v>20.2</v>
      </c>
      <c r="Q1555" s="5" t="n">
        <v>48.8</v>
      </c>
      <c r="R1555" s="5" t="n">
        <v>11.4</v>
      </c>
      <c r="S1555" s="5" t="n">
        <v>37.5</v>
      </c>
      <c r="T1555" s="2" t="n">
        <v>44</v>
      </c>
      <c r="U1555" s="2" t="inlineStr">
        <is>
          <t>low</t>
        </is>
      </c>
      <c r="V1555" s="5" t="n">
        <v>16.5</v>
      </c>
      <c r="W1555" s="2" t="inlineStr">
        <is>
          <t>medium</t>
        </is>
      </c>
      <c r="X1555" s="3" t="inlineStr"/>
      <c r="Y1555" s="3" t="inlineStr">
        <is>
          <t>62% of this dish's available carbohydrate comes from ingredients with a published, measured GI; the rest uses conventional placeholders (see Ingredients sheet)</t>
        </is>
      </c>
      <c r="Z1555" s="2" t="n">
        <v>62</v>
      </c>
      <c r="AA1555" s="3" t="inlineStr">
        <is>
          <t>vegetarian, gluten-free, nut-free, high-fiber</t>
        </is>
      </c>
      <c r="AB1555" s="3" t="inlineStr">
        <is>
          <t>1. Crisp the tortillas and top with beans.
2. Fry the eggs and set one on each side.
3. Spoon red salsa over one and green over the other; finish with cotija and avocado.</t>
        </is>
      </c>
      <c r="AC1555" s="4" t="inlineStr">
        <is>
          <t>["Crisp the tortillas and top with beans.", "Fry the eggs and set one on each side.", "Spoon red salsa over one and green over the other; finish with cotija and avocado."]</t>
        </is>
      </c>
    </row>
    <row r="1556" ht="96" customHeight="1">
      <c r="A1556" s="2" t="inlineStr">
        <is>
          <t>DB-1555</t>
        </is>
      </c>
      <c r="B1556" s="3" t="inlineStr">
        <is>
          <t>Mexican Street Corn Salad in a Cup</t>
        </is>
      </c>
      <c r="C1556" s="4" t="inlineStr">
        <is>
          <t>Salad</t>
        </is>
      </c>
      <c r="D1556" s="4" t="inlineStr">
        <is>
          <t>Mexican</t>
        </is>
      </c>
      <c r="E1556" s="2" t="n">
        <v>5</v>
      </c>
      <c r="F1556" s="2" t="n">
        <v>10</v>
      </c>
      <c r="G1556" s="2" t="n">
        <v>10</v>
      </c>
      <c r="H1556" s="2" t="n">
        <v>20</v>
      </c>
      <c r="I1556" s="4" t="inlineStr">
        <is>
          <t>mexican-street-corn-salad-in-a-cup.jpg</t>
        </is>
      </c>
      <c r="J1556" s="3" t="inlineStr">
        <is>
          <t>Mexican Street Corn Salad in a Cup, healthy food photography, plated, natural light</t>
        </is>
      </c>
      <c r="K1556" s="4" t="inlineStr"/>
      <c r="L1556" s="3" t="inlineStr">
        <is>
          <t>Sweet corn kernels — 400 g (14.1 oz)
Cotija cheese — 50 g (1.8 oz)
Greek yogurt, plain 2% — 80 g (2.8 oz)
Lime juice — 25 g (0.9 oz)
Chili powder — 3 g (0.1 oz)
Fresh cilantro — 8 g (0.3 oz)
Red onion — 30 g (1.1 oz)</t>
        </is>
      </c>
      <c r="M1556" s="4" t="inlineStr">
        <is>
          <t>[{"ingredient_id": "corn", "name": "Sweet corn kernels", "grams": 400.0, "note": ""}, {"ingredient_id": "cotija", "name": "Cotija cheese", "grams": 50.0, "note": ""}, {"ingredient_id": "greek_yogurt", "name": "Greek yogurt, plain 2%", "grams": 80.0, "note": ""}, {"ingredient_id": "lime_juice", "name": "Lime juice", "grams": 25.0, "note": ""}, {"ingredient_id": "chili_powder", "name": "Chili powder", "grams": 3.0, "note": ""}, {"ingredient_id": "cilantro", "name": "Fresh cilantro", "grams": 8.0, "note": ""}, {"ingredient_id": "red_onion", "name": "Red onion", "grams": 30.0, "note": ""}]</t>
        </is>
      </c>
      <c r="N1556" s="2" t="n">
        <v>123</v>
      </c>
      <c r="O1556" s="5" t="n">
        <v>6.4</v>
      </c>
      <c r="P1556" s="5" t="n">
        <v>4.5</v>
      </c>
      <c r="Q1556" s="5" t="n">
        <v>17.6</v>
      </c>
      <c r="R1556" s="5" t="n">
        <v>2.5</v>
      </c>
      <c r="S1556" s="5" t="n">
        <v>15</v>
      </c>
      <c r="T1556" s="2" t="n">
        <v>47</v>
      </c>
      <c r="U1556" s="2" t="inlineStr">
        <is>
          <t>low</t>
        </is>
      </c>
      <c r="V1556" s="5" t="n">
        <v>7.1</v>
      </c>
      <c r="W1556" s="2" t="inlineStr">
        <is>
          <t>low</t>
        </is>
      </c>
      <c r="X1556" s="3" t="inlineStr"/>
      <c r="Y1556" s="3" t="inlineStr">
        <is>
          <t>91% of this dish's available carbohydrate comes from ingredients with a published, measured GI; the rest uses conventional placeholders (see Ingredients sheet)</t>
        </is>
      </c>
      <c r="Z1556" s="2" t="n">
        <v>91</v>
      </c>
      <c r="AA1556" s="3" t="inlineStr">
        <is>
          <t>vegetarian, gluten-free, nut-free</t>
        </is>
      </c>
      <c r="AB1556" s="3" t="inlineStr">
        <is>
          <t>1. Char the corn in a hot pan.
2. Mix with yogurt, lime and chili powder.
3. Fold in the cotija, onion and cilantro.</t>
        </is>
      </c>
      <c r="AC1556" s="4" t="inlineStr">
        <is>
          <t>["Char the corn in a hot pan.", "Mix with yogurt, lime and chili powder.", "Fold in the cotija, onion and cilantro."]</t>
        </is>
      </c>
    </row>
    <row r="1557" ht="96" customHeight="1">
      <c r="A1557" s="2" t="inlineStr">
        <is>
          <t>DB-1556</t>
        </is>
      </c>
      <c r="B1557" s="3" t="inlineStr">
        <is>
          <t>Black Bean and Corn Quesadillas</t>
        </is>
      </c>
      <c r="C1557" s="4" t="inlineStr">
        <is>
          <t>Sandwiches &amp; Wraps</t>
        </is>
      </c>
      <c r="D1557" s="4" t="inlineStr">
        <is>
          <t>Tex-Mex</t>
        </is>
      </c>
      <c r="E1557" s="2" t="n">
        <v>4</v>
      </c>
      <c r="F1557" s="2" t="n">
        <v>10</v>
      </c>
      <c r="G1557" s="2" t="n">
        <v>10</v>
      </c>
      <c r="H1557" s="2" t="n">
        <v>20</v>
      </c>
      <c r="I1557" s="4" t="inlineStr">
        <is>
          <t>black-bean-and-corn-quesadillas.jpg</t>
        </is>
      </c>
      <c r="J1557" s="3" t="inlineStr">
        <is>
          <t>Black Bean and Corn Quesadillas, healthy food photography, plated, natural light</t>
        </is>
      </c>
      <c r="K1557" s="4" t="inlineStr"/>
      <c r="L1557" s="3" t="inlineStr">
        <is>
          <t>Flour tortilla, 8-inch — 160 g (5.6 oz)
Black beans, cooked — 200 g (7.1 oz)
Sweet corn kernels — 100 g (3.5 oz)
Pepper jack cheese — 100 g (3.5 oz)
Salsa, no sugar added — 100 g (3.5 oz)
Extra-virgin olive oil — 10 g (0.4 oz)</t>
        </is>
      </c>
      <c r="M1557" s="4" t="inlineStr">
        <is>
          <t>[{"ingredient_id": "flour_tortilla", "name": "Flour tortilla, 8-inch", "grams": 160.0, "note": ""}, {"ingredient_id": "black_beans", "name": "Black beans, cooked", "grams": 200.0, "note": ""}, {"ingredient_id": "corn", "name": "Sweet corn kernels", "grams": 100.0, "note": ""}, {"ingredient_id": "pepper_jack", "name": "Pepper jack cheese", "grams": 100.0, "note": ""}, {"ingredient_id": "salsa", "name": "Salsa, no sugar added", "grams": 100.0, "note": ""}, {"ingredient_id": "olive_oil", "name": "Extra-virgin olive oil", "grams": 10.0, "note": ""}]</t>
        </is>
      </c>
      <c r="N1557" s="2" t="n">
        <v>336</v>
      </c>
      <c r="O1557" s="5" t="n">
        <v>14.9</v>
      </c>
      <c r="P1557" s="5" t="n">
        <v>13.8</v>
      </c>
      <c r="Q1557" s="5" t="n">
        <v>38.5</v>
      </c>
      <c r="R1557" s="5" t="n">
        <v>6.8</v>
      </c>
      <c r="S1557" s="5" t="n">
        <v>31.7</v>
      </c>
      <c r="T1557" s="2" t="n">
        <v>35</v>
      </c>
      <c r="U1557" s="2" t="inlineStr">
        <is>
          <t>low</t>
        </is>
      </c>
      <c r="V1557" s="5" t="n">
        <v>11.1</v>
      </c>
      <c r="W1557" s="2" t="inlineStr">
        <is>
          <t>medium</t>
        </is>
      </c>
      <c r="X1557" s="3" t="inlineStr"/>
      <c r="Y1557" s="3" t="inlineStr">
        <is>
          <t>94% of this dish's available carbohydrate comes from ingredients with a published, measured GI; the rest uses conventional placeholders (see Ingredients sheet)</t>
        </is>
      </c>
      <c r="Z1557" s="2" t="n">
        <v>94</v>
      </c>
      <c r="AA1557" s="3" t="inlineStr">
        <is>
          <t>vegetarian, nut-free</t>
        </is>
      </c>
      <c r="AB1557" s="3" t="inlineStr">
        <is>
          <t>1. Fill half of each tortilla with beans, corn and cheese and fold.
2. Crisp in a pan with oil, 2 minutes a side.
3. Serve with salsa.</t>
        </is>
      </c>
      <c r="AC1557" s="4" t="inlineStr">
        <is>
          <t>["Fill half of each tortilla with beans, corn and cheese and fold.", "Crisp in a pan with oil, 2 minutes a side.", "Serve with salsa."]</t>
        </is>
      </c>
    </row>
    <row r="1558" ht="96" customHeight="1">
      <c r="A1558" s="2" t="inlineStr">
        <is>
          <t>DB-1557</t>
        </is>
      </c>
      <c r="B1558" s="3" t="inlineStr">
        <is>
          <t>Shredded Chicken Tostadas</t>
        </is>
      </c>
      <c r="C1558" s="4" t="inlineStr">
        <is>
          <t>Poultry</t>
        </is>
      </c>
      <c r="D1558" s="4" t="inlineStr">
        <is>
          <t>Mexican</t>
        </is>
      </c>
      <c r="E1558" s="2" t="n">
        <v>4</v>
      </c>
      <c r="F1558" s="2" t="n">
        <v>15</v>
      </c>
      <c r="G1558" s="2" t="n">
        <v>20</v>
      </c>
      <c r="H1558" s="2" t="n">
        <v>35</v>
      </c>
      <c r="I1558" s="4" t="inlineStr">
        <is>
          <t>shredded-chicken-tostadas.jpg</t>
        </is>
      </c>
      <c r="J1558" s="3" t="inlineStr">
        <is>
          <t>Shredded Chicken Tostadas, healthy food photography, plated, natural light</t>
        </is>
      </c>
      <c r="K1558" s="4" t="inlineStr"/>
      <c r="L1558" s="3" t="inlineStr">
        <is>
          <t>Corn tortilla — 180 g (6.3 oz)
Chicken breast, skinless — 400 g (14.1 oz)
Refried beans, fat-free — 200 g (7.1 oz)
Romaine lettuce — 80 g (2.8 oz)
Tomato — 100 g (3.5 oz)
Avocado — 100 g (3.5 oz)
Cotija cheese — 30 g (1.1 oz)
Lime juice — 20 g (0.7 oz)</t>
        </is>
      </c>
      <c r="M1558" s="4" t="inlineStr">
        <is>
          <t>[{"ingredient_id": "corn_tortilla", "name": "Corn tortilla", "grams": 180.0, "note": ""}, {"ingredient_id": "chicken_breast", "name": "Chicken breast, skinless", "grams": 400.0, "note": ""}, {"ingredient_id": "refried_beans", "name": "Refried beans, fat-free", "grams": 200.0, "note": ""}, {"ingredient_id": "romaine", "name": "Romaine lettuce", "grams": 80.0, "note": ""}, {"ingredient_id": "tomato", "name": "Tomato", "grams": 100.0, "note": ""}, {"ingredient_id": "avocado", "name": "Avocado", "grams": 100.0, "note": ""}, {"ingredient_id": "cotija", "name": "Cotija cheese", "grams": 30.0, "note": ""}, {"ingredient_id": "lime_juice", "name": "Lime juice", "grams": 20.0, "note": ""}]</t>
        </is>
      </c>
      <c r="N1558" s="2" t="n">
        <v>340</v>
      </c>
      <c r="O1558" s="5" t="n">
        <v>30.3</v>
      </c>
      <c r="P1558" s="5" t="n">
        <v>10.3</v>
      </c>
      <c r="Q1558" s="5" t="n">
        <v>32.2</v>
      </c>
      <c r="R1558" s="5" t="n">
        <v>7.7</v>
      </c>
      <c r="S1558" s="5" t="n">
        <v>24.5</v>
      </c>
      <c r="T1558" s="2" t="n">
        <v>46</v>
      </c>
      <c r="U1558" s="2" t="inlineStr">
        <is>
          <t>low</t>
        </is>
      </c>
      <c r="V1558" s="5" t="n">
        <v>11.3</v>
      </c>
      <c r="W1558" s="2" t="inlineStr">
        <is>
          <t>medium</t>
        </is>
      </c>
      <c r="X1558" s="3" t="inlineStr"/>
      <c r="Y1558" s="3" t="inlineStr">
        <is>
          <t>71% of this dish's available carbohydrate comes from ingredients with a published, measured GI; the rest uses conventional placeholders (see Ingredients sheet)</t>
        </is>
      </c>
      <c r="Z1558" s="2" t="n">
        <v>71</v>
      </c>
      <c r="AA1558" s="3" t="inlineStr">
        <is>
          <t>gluten-free, nut-free, high-protein, high-fiber</t>
        </is>
      </c>
      <c r="AB1558" s="3" t="inlineStr">
        <is>
          <t>1. Crisp the tortillas in the oven.
2. Spread with beans, top with poached shredded chicken and lettuce.
3. Finish with tomato, avocado, cotija and lime.</t>
        </is>
      </c>
      <c r="AC1558" s="4" t="inlineStr">
        <is>
          <t>["Crisp the tortillas in the oven.", "Spread with beans, top with poached shredded chicken and lettuce.", "Finish with tomato, avocado, cotija and lime."]</t>
        </is>
      </c>
    </row>
    <row r="1559" ht="96" customHeight="1">
      <c r="A1559" s="2" t="inlineStr">
        <is>
          <t>DB-1558</t>
        </is>
      </c>
      <c r="B1559" s="3" t="inlineStr">
        <is>
          <t>Chicken Mole-Style Skillet</t>
        </is>
      </c>
      <c r="C1559" s="4" t="inlineStr">
        <is>
          <t>Poultry</t>
        </is>
      </c>
      <c r="D1559" s="4" t="inlineStr">
        <is>
          <t>Mexican</t>
        </is>
      </c>
      <c r="E1559" s="2" t="n">
        <v>5</v>
      </c>
      <c r="F1559" s="2" t="n">
        <v>15</v>
      </c>
      <c r="G1559" s="2" t="n">
        <v>30</v>
      </c>
      <c r="H1559" s="2" t="n">
        <v>45</v>
      </c>
      <c r="I1559" s="4" t="inlineStr">
        <is>
          <t>chicken-mole-style-skillet.jpg</t>
        </is>
      </c>
      <c r="J1559" s="3" t="inlineStr">
        <is>
          <t>Chicken Mole-Style Skillet, healthy food photography, plated, natural light</t>
        </is>
      </c>
      <c r="K1559" s="4" t="inlineStr"/>
      <c r="L1559" s="3" t="inlineStr">
        <is>
          <t>Chicken thigh, skinless boneless — 700 g (24.7 oz)
Tomato sauce, canned, no sugar added — 300 g (10.6 oz)
Cocoa powder, unsweetened — 15 g (0.5 oz)
Chili powder — 8 g (0.3 oz)
Ground cinnamon — 2 g (0.1 oz)
Almonds — 30 g (1.1 oz)
Yellow onion — 100 g (3.5 oz)
Garlic — 6 g (0.2 oz)
Chicken broth, low sodium — 150 g (5.3 oz)</t>
        </is>
      </c>
      <c r="M1559" s="4" t="inlineStr">
        <is>
          <t>[{"ingredient_id": "chicken_thigh", "name": "Chicken thigh, skinless boneless", "grams": 700.0, "note": ""}, {"ingredient_id": "tomato_sauce", "name": "Tomato sauce, canned, no sugar added", "grams": 300.0, "note": ""}, {"ingredient_id": "cocoa_powder", "name": "Cocoa powder, unsweetened", "grams": 15.0, "note": ""}, {"ingredient_id": "chili_powder", "name": "Chili powder", "grams": 8.0, "note": ""}, {"ingredient_id": "cinnamon", "name": "Ground cinnamon", "grams": 2.0, "note": ""}, {"ingredient_id": "almonds", "name": "Almonds", "grams": 30.0, "note": ""}, {"ingredient_id": "onion", "name": "Yellow onion", "grams": 100.0, "note": ""}, {"ingredient_id": "garlic", "name": "Garlic", "grams": 6.0, "note": ""}, {"ingredient_id": "chicken_broth", "name": "Chicken broth, low sodium", "grams": 150.0, "note": ""}]</t>
        </is>
      </c>
      <c r="N1559" s="2" t="n">
        <v>243</v>
      </c>
      <c r="O1559" s="5" t="n">
        <v>31</v>
      </c>
      <c r="P1559" s="5" t="n">
        <v>9.6</v>
      </c>
      <c r="Q1559" s="5" t="n">
        <v>9.800000000000001</v>
      </c>
      <c r="R1559" s="5" t="n">
        <v>3.8</v>
      </c>
      <c r="S1559" s="5" t="n">
        <v>6</v>
      </c>
      <c r="T1559" s="2" t="n">
        <v>24</v>
      </c>
      <c r="U1559" s="2" t="inlineStr">
        <is>
          <t>low</t>
        </is>
      </c>
      <c r="V1559" s="5" t="n">
        <v>1.4</v>
      </c>
      <c r="W1559" s="2" t="inlineStr">
        <is>
          <t>low</t>
        </is>
      </c>
      <c r="X1559" s="3" t="inlineStr"/>
      <c r="Y1559" s="3" t="inlineStr">
        <is>
          <t>0% of this dish's available carbohydrate comes from ingredients with a published, measured GI; the rest uses conventional placeholders (see Ingredients sheet)</t>
        </is>
      </c>
      <c r="Z1559" s="2" t="n">
        <v>0</v>
      </c>
      <c r="AA1559" s="3" t="inlineStr">
        <is>
          <t>gluten-free, dairy-free, low-carb, high-protein</t>
        </is>
      </c>
      <c r="AB1559" s="3" t="inlineStr">
        <is>
          <t>1. Brown the chicken.
2. Simmer the onion, garlic, sauce, cocoa, chili, cinnamon, almonds and broth into a sauce.
3. Return the chicken and cook 20 minutes.</t>
        </is>
      </c>
      <c r="AC1559" s="4" t="inlineStr">
        <is>
          <t>["Brown the chicken.", "Simmer the onion, garlic, sauce, cocoa, chili, cinnamon, almonds and broth into a sauce.", "Return the chicken and cook 20 minutes."]</t>
        </is>
      </c>
    </row>
    <row r="1560" ht="96" customHeight="1">
      <c r="A1560" s="2" t="inlineStr">
        <is>
          <t>DB-1559</t>
        </is>
      </c>
      <c r="B1560" s="3" t="inlineStr">
        <is>
          <t>Fish Tacos Baja with Cabbage Crema</t>
        </is>
      </c>
      <c r="C1560" s="4" t="inlineStr">
        <is>
          <t>Seafood</t>
        </is>
      </c>
      <c r="D1560" s="4" t="inlineStr">
        <is>
          <t>Mexican</t>
        </is>
      </c>
      <c r="E1560" s="2" t="n">
        <v>4</v>
      </c>
      <c r="F1560" s="2" t="n">
        <v>15</v>
      </c>
      <c r="G1560" s="2" t="n">
        <v>10</v>
      </c>
      <c r="H1560" s="2" t="n">
        <v>25</v>
      </c>
      <c r="I1560" s="4" t="inlineStr">
        <is>
          <t>fish-tacos-baja-with-cabbage-crema.jpg</t>
        </is>
      </c>
      <c r="J1560" s="3" t="inlineStr">
        <is>
          <t>Fish Tacos Baja with Cabbage Crema, healthy food photography, plated, natural light</t>
        </is>
      </c>
      <c r="K1560" s="4" t="inlineStr"/>
      <c r="L1560" s="3" t="inlineStr">
        <is>
          <t>Tilapia fillet — 450 g (15.9 oz)
Corn tortilla — 240 g (8.5 oz)
Green cabbage — 150 g (5.3 oz)
Greek yogurt, plain 2% — 80 g (2.8 oz)
Lime juice — 30 g (1.1 oz)
Fresh cilantro — 8 g (0.3 oz)
Chili powder — 3 g (0.1 oz)
Avocado — 80 g (2.8 oz)
Extra-virgin olive oil — 15 g (0.5 oz)</t>
        </is>
      </c>
      <c r="M1560" s="4" t="inlineStr">
        <is>
          <t>[{"ingredient_id": "tilapia", "name": "Tilapia fillet", "grams": 450.0, "note": ""}, {"ingredient_id": "corn_tortilla", "name": "Corn tortilla", "grams": 240.0, "note": ""}, {"ingredient_id": "cabbage", "name": "Green cabbage", "grams": 150.0, "note": ""}, {"ingredient_id": "greek_yogurt", "name": "Greek yogurt, plain 2%", "grams": 80.0, "note": ""}, {"ingredient_id": "lime_juice", "name": "Lime juice", "grams": 30.0, "note": ""}, {"ingredient_id": "cilantro", "name": "Fresh cilantro", "grams": 8.0, "note": ""}, {"ingredient_id": "chili_powder", "name": "Chili powder", "grams": 3.0, "note": ""}, {"ingredient_id": "avocado", "name": "Avocado", "grams": 80.0, "note": ""}, {"ingredient_id": "olive_oil", "name": "Extra-virgin olive oil", "grams": 15.0, "note": ""}]</t>
        </is>
      </c>
      <c r="N1560" s="2" t="n">
        <v>332</v>
      </c>
      <c r="O1560" s="5" t="n">
        <v>29</v>
      </c>
      <c r="P1560" s="5" t="n">
        <v>11</v>
      </c>
      <c r="Q1560" s="5" t="n">
        <v>32.8</v>
      </c>
      <c r="R1560" s="5" t="n">
        <v>6.4</v>
      </c>
      <c r="S1560" s="5" t="n">
        <v>26.3</v>
      </c>
      <c r="T1560" s="2" t="n">
        <v>48</v>
      </c>
      <c r="U1560" s="2" t="inlineStr">
        <is>
          <t>low</t>
        </is>
      </c>
      <c r="V1560" s="5" t="n">
        <v>12.6</v>
      </c>
      <c r="W1560" s="2" t="inlineStr">
        <is>
          <t>medium</t>
        </is>
      </c>
      <c r="X1560" s="3" t="inlineStr"/>
      <c r="Y1560" s="3" t="inlineStr">
        <is>
          <t>91% of this dish's available carbohydrate comes from ingredients with a published, measured GI; the rest uses conventional placeholders (see Ingredients sheet)</t>
        </is>
      </c>
      <c r="Z1560" s="2" t="n">
        <v>91</v>
      </c>
      <c r="AA1560" s="3" t="inlineStr">
        <is>
          <t>pescatarian, gluten-free, nut-free, high-protein</t>
        </is>
      </c>
      <c r="AB1560" s="3" t="inlineStr">
        <is>
          <t>1. Season and pan-sear the tilapia in oil.
2. Toss the cabbage with yogurt, lime and cilantro.
3. Fill warm tortillas with fish, slaw and avocado.</t>
        </is>
      </c>
      <c r="AC1560" s="4" t="inlineStr">
        <is>
          <t>["Season and pan-sear the tilapia in oil.", "Toss the cabbage with yogurt, lime and cilantro.", "Fill warm tortillas with fish, slaw and avocado."]</t>
        </is>
      </c>
    </row>
    <row r="1561" ht="96" customHeight="1">
      <c r="A1561" s="2" t="inlineStr">
        <is>
          <t>DB-1560</t>
        </is>
      </c>
      <c r="B1561" s="3" t="inlineStr">
        <is>
          <t>Carne Guisada, Slow-Simmered Beef</t>
        </is>
      </c>
      <c r="C1561" s="4" t="inlineStr">
        <is>
          <t>Soup &amp; Stew</t>
        </is>
      </c>
      <c r="D1561" s="4" t="inlineStr">
        <is>
          <t>Tex-Mex</t>
        </is>
      </c>
      <c r="E1561" s="2" t="n">
        <v>6</v>
      </c>
      <c r="F1561" s="2" t="n">
        <v>15</v>
      </c>
      <c r="G1561" s="2" t="n">
        <v>120</v>
      </c>
      <c r="H1561" s="2" t="n">
        <v>135</v>
      </c>
      <c r="I1561" s="4" t="inlineStr">
        <is>
          <t>carne-guisada-slow-simmered-beef.jpg</t>
        </is>
      </c>
      <c r="J1561" s="3" t="inlineStr">
        <is>
          <t>Carne Guisada, Slow-Simmered Beef, healthy food photography, plated, natural light</t>
        </is>
      </c>
      <c r="K1561" s="4" t="inlineStr"/>
      <c r="L1561" s="3" t="inlineStr">
        <is>
          <t>Beef chuck roast, trimmed — 800 g (28.2 oz)
Potato, boiled, peeled — 250 g (8.8 oz)
Diced tomatoes, canned — 300 g (10.6 oz)
Bell pepper — 120 g (4.2 oz)
Yellow onion — 120 g (4.2 oz)
Ground cumin — 4 g (0.1 oz)
Chili powder — 6 g (0.2 oz)
Garlic — 8 g (0.3 oz)
Beef broth, low sodium — 300 g (10.6 oz)</t>
        </is>
      </c>
      <c r="M1561" s="4" t="inlineStr">
        <is>
          <t>[{"ingredient_id": "beef_chuck", "name": "Beef chuck roast, trimmed", "grams": 800.0, "note": ""}, {"ingredient_id": "potato_boiled", "name": "Potato, boiled, peeled", "grams": 250.0, "note": ""}, {"ingredient_id": "diced_tomatoes", "name": "Diced tomatoes, canned", "grams": 300.0, "note": ""}, {"ingredient_id": "bell_pepper", "name": "Bell pepper", "grams": 120.0, "note": ""}, {"ingredient_id": "onion", "name": "Yellow onion", "grams": 120.0, "note": ""}, {"ingredient_id": "cumin", "name": "Ground cumin", "grams": 4.0, "note": ""}, {"ingredient_id": "chili_powder", "name": "Chili powder", "grams": 6.0, "note": ""}, {"ingredient_id": "garlic", "name": "Garlic", "grams": 8.0, "note": ""}, {"ingredient_id": "beef_broth", "name": "Beef broth, low sodium", "grams": 300.0, "note": ""}]</t>
        </is>
      </c>
      <c r="N1561" s="2" t="n">
        <v>316</v>
      </c>
      <c r="O1561" s="5" t="n">
        <v>29.5</v>
      </c>
      <c r="P1561" s="5" t="n">
        <v>15.3</v>
      </c>
      <c r="Q1561" s="5" t="n">
        <v>16</v>
      </c>
      <c r="R1561" s="5" t="n">
        <v>2.6</v>
      </c>
      <c r="S1561" s="5" t="n">
        <v>13.4</v>
      </c>
      <c r="T1561" s="2" t="n">
        <v>50</v>
      </c>
      <c r="U1561" s="2" t="inlineStr">
        <is>
          <t>low</t>
        </is>
      </c>
      <c r="V1561" s="5" t="n">
        <v>6.7</v>
      </c>
      <c r="W1561" s="2" t="inlineStr">
        <is>
          <t>low</t>
        </is>
      </c>
      <c r="X1561" s="3" t="inlineStr"/>
      <c r="Y1561" s="3" t="inlineStr">
        <is>
          <t>62% of this dish's available carbohydrate comes from ingredients with a published, measured GI; the rest uses conventional placeholders (see Ingredients sheet)</t>
        </is>
      </c>
      <c r="Z1561" s="2" t="n">
        <v>62</v>
      </c>
      <c r="AA1561" s="3" t="inlineStr">
        <is>
          <t>gluten-free, dairy-free, nut-free, low-carb, high-protein</t>
        </is>
      </c>
      <c r="AB1561" s="3" t="inlineStr">
        <is>
          <t>1. Brown the beef with the onion and garlic.
2. Add the spices, tomatoes, pepper, broth and potatoes.
3. Simmer covered 100 minutes.</t>
        </is>
      </c>
      <c r="AC1561" s="4" t="inlineStr">
        <is>
          <t>["Brown the beef with the onion and garlic.", "Add the spices, tomatoes, pepper, broth and potatoes.", "Simmer covered 100 minutes."]</t>
        </is>
      </c>
    </row>
    <row r="1562" ht="96" customHeight="1">
      <c r="A1562" s="2" t="inlineStr">
        <is>
          <t>DB-1561</t>
        </is>
      </c>
      <c r="B1562" s="3" t="inlineStr">
        <is>
          <t>Menudo-Style Beef Soup</t>
        </is>
      </c>
      <c r="C1562" s="4" t="inlineStr">
        <is>
          <t>Soup &amp; Stew</t>
        </is>
      </c>
      <c r="D1562" s="4" t="inlineStr">
        <is>
          <t>Mexican</t>
        </is>
      </c>
      <c r="E1562" s="2" t="n">
        <v>6</v>
      </c>
      <c r="F1562" s="2" t="n">
        <v>15</v>
      </c>
      <c r="G1562" s="2" t="n">
        <v>150</v>
      </c>
      <c r="H1562" s="2" t="n">
        <v>165</v>
      </c>
      <c r="I1562" s="4" t="inlineStr">
        <is>
          <t>menudo-style-beef-soup.jpg</t>
        </is>
      </c>
      <c r="J1562" s="3" t="inlineStr">
        <is>
          <t>Menudo-Style Beef Soup, healthy food photography, plated, natural light</t>
        </is>
      </c>
      <c r="K1562" s="4" t="inlineStr"/>
      <c r="L1562" s="3" t="inlineStr">
        <is>
          <t>Beef chuck roast, trimmed — 600 g (21.2 oz)
Cannellini beans, cooked — 250 g (8.8 oz)
Chili powder — 10 g (0.4 oz)
Yellow onion — 120 g (4.2 oz)
Garlic — 8 g (0.3 oz)
Dried oregano — 3 g (0.1 oz)
Beef broth, low sodium — 1000 g (35.3 oz)
Lime juice — 30 g (1.1 oz)
Fresh cilantro — 8 g (0.3 oz)</t>
        </is>
      </c>
      <c r="M1562" s="4" t="inlineStr">
        <is>
          <t>[{"ingredient_id": "beef_chuck", "name": "Beef chuck roast, trimmed", "grams": 600.0, "note": ""}, {"ingredient_id": "white_beans", "name": "Cannellini beans, cooked", "grams": 250.0, "note": ""}, {"ingredient_id": "chili_powder", "name": "Chili powder", "grams": 10.0, "note": ""}, {"ingredient_id": "onion", "name": "Yellow onion", "grams": 120.0, "note": ""}, {"ingredient_id": "garlic", "name": "Garlic", "grams": 8.0, "note": ""}, {"ingredient_id": "oregano", "name": "Dried oregano", "grams": 3.0, "note": ""}, {"ingredient_id": "beef_broth", "name": "Beef broth, low sodium", "grams": 1000.0, "note": ""}, {"ingredient_id": "lime_juice", "name": "Lime juice", "grams": 30.0, "note": ""}, {"ingredient_id": "cilantro", "name": "Fresh cilantro", "grams": 8.0, "note": ""}]</t>
        </is>
      </c>
      <c r="N1562" s="2" t="n">
        <v>267</v>
      </c>
      <c r="O1562" s="5" t="n">
        <v>26.8</v>
      </c>
      <c r="P1562" s="5" t="n">
        <v>11.8</v>
      </c>
      <c r="Q1562" s="5" t="n">
        <v>15</v>
      </c>
      <c r="R1562" s="5" t="n">
        <v>3.8</v>
      </c>
      <c r="S1562" s="5" t="n">
        <v>11.2</v>
      </c>
      <c r="T1562" s="2" t="n">
        <v>26</v>
      </c>
      <c r="U1562" s="2" t="inlineStr">
        <is>
          <t>low</t>
        </is>
      </c>
      <c r="V1562" s="5" t="n">
        <v>2.9</v>
      </c>
      <c r="W1562" s="2" t="inlineStr">
        <is>
          <t>low</t>
        </is>
      </c>
      <c r="X1562" s="3" t="inlineStr"/>
      <c r="Y1562" s="3" t="inlineStr">
        <is>
          <t>70% of this dish's available carbohydrate comes from ingredients with a published, measured GI; the rest uses conventional placeholders (see Ingredients sheet)</t>
        </is>
      </c>
      <c r="Z1562" s="2" t="n">
        <v>70</v>
      </c>
      <c r="AA1562" s="3" t="inlineStr">
        <is>
          <t>gluten-free, dairy-free, nut-free, low-carb, high-protein</t>
        </is>
      </c>
      <c r="AB1562" s="3" t="inlineStr">
        <is>
          <t>1. Simmer the beef with the onion, garlic, chili and oregano in the broth for 2 hours.
2. Add the beans and cook 20 minutes.
3. Serve with lime and cilantro.</t>
        </is>
      </c>
      <c r="AC1562" s="4" t="inlineStr">
        <is>
          <t>["Simmer the beef with the onion, garlic, chili and oregano in the broth for 2 hours.", "Add the beans and cook 20 minutes.", "Serve with lime and cilantro."]</t>
        </is>
      </c>
    </row>
    <row r="1563" ht="96" customHeight="1">
      <c r="A1563" s="2" t="inlineStr">
        <is>
          <t>DB-1562</t>
        </is>
      </c>
      <c r="B1563" s="3" t="inlineStr">
        <is>
          <t>Sopa de Lima with Chicken</t>
        </is>
      </c>
      <c r="C1563" s="4" t="inlineStr">
        <is>
          <t>Soup &amp; Stew</t>
        </is>
      </c>
      <c r="D1563" s="4" t="inlineStr">
        <is>
          <t>Mexican</t>
        </is>
      </c>
      <c r="E1563" s="2" t="n">
        <v>5</v>
      </c>
      <c r="F1563" s="2" t="n">
        <v>10</v>
      </c>
      <c r="G1563" s="2" t="n">
        <v>30</v>
      </c>
      <c r="H1563" s="2" t="n">
        <v>40</v>
      </c>
      <c r="I1563" s="4" t="inlineStr">
        <is>
          <t>sopa-de-lima-with-chicken.jpg</t>
        </is>
      </c>
      <c r="J1563" s="3" t="inlineStr">
        <is>
          <t>Sopa de Lima with Chicken, healthy food photography, plated, natural light</t>
        </is>
      </c>
      <c r="K1563" s="4" t="inlineStr"/>
      <c r="L1563" s="3" t="inlineStr">
        <is>
          <t>Chicken breast, skinless — 400 g (14.1 oz)
Chicken broth, low sodium — 1000 g (35.3 oz)
Lime juice — 60 g (2.1 oz)
Tomato — 150 g (5.3 oz)
Yellow onion — 100 g (3.5 oz)
Garlic — 6 g (0.2 oz)
Jalapeño — 15 g (0.5 oz)
Corn tortilla — 60 g (2.1 oz)
Fresh cilantro — 8 g (0.3 oz)</t>
        </is>
      </c>
      <c r="M1563" s="4" t="inlineStr">
        <is>
          <t>[{"ingredient_id": "chicken_breast", "name": "Chicken breast, skinless", "grams": 400.0, "note": ""}, {"ingredient_id": "chicken_broth", "name": "Chicken broth, low sodium", "grams": 1000.0, "note": ""}, {"ingredient_id": "lime_juice", "name": "Lime juice", "grams": 60.0, "note": ""}, {"ingredient_id": "tomato", "name": "Tomato", "grams": 150.0, "note": ""}, {"ingredient_id": "onion", "name": "Yellow onion", "grams": 100.0, "note": ""}, {"ingredient_id": "garlic", "name": "Garlic", "grams": 6.0, "note": ""}, {"ingredient_id": "jalapeno", "name": "Jalapeño", "grams": 15.0, "note": ""}, {"ingredient_id": "corn_tortilla", "name": "Corn tortilla", "grams": 60.0, "note": ""}, {"ingredient_id": "cilantro", "name": "Fresh cilantro", "grams": 8.0, "note": ""}]</t>
        </is>
      </c>
      <c r="N1563" s="2" t="n">
        <v>156</v>
      </c>
      <c r="O1563" s="5" t="n">
        <v>21.4</v>
      </c>
      <c r="P1563" s="5" t="n">
        <v>2.9</v>
      </c>
      <c r="Q1563" s="5" t="n">
        <v>11.1</v>
      </c>
      <c r="R1563" s="5" t="n">
        <v>1.7</v>
      </c>
      <c r="S1563" s="5" t="n">
        <v>9.4</v>
      </c>
      <c r="T1563" s="2" t="n">
        <v>33</v>
      </c>
      <c r="U1563" s="2" t="inlineStr">
        <is>
          <t>low</t>
        </is>
      </c>
      <c r="V1563" s="5" t="n">
        <v>3.1</v>
      </c>
      <c r="W1563" s="2" t="inlineStr">
        <is>
          <t>low</t>
        </is>
      </c>
      <c r="X1563" s="3" t="inlineStr"/>
      <c r="Y1563" s="3" t="inlineStr">
        <is>
          <t>49% of this dish's available carbohydrate comes from ingredients with a published, measured GI; the rest uses conventional placeholders (see Ingredients sheet)</t>
        </is>
      </c>
      <c r="Z1563" s="2" t="n">
        <v>49</v>
      </c>
      <c r="AA1563" s="3" t="inlineStr">
        <is>
          <t>gluten-free, dairy-free, nut-free, low-carb</t>
        </is>
      </c>
      <c r="AB1563" s="3" t="inlineStr">
        <is>
          <t>1. Simmer the chicken, onion, garlic, tomato and jalapeno in the broth 20 minutes.
2. Shred the chicken and add the lime.
3. Serve with crisp tortilla strips and cilantro.</t>
        </is>
      </c>
      <c r="AC1563" s="4" t="inlineStr">
        <is>
          <t>["Simmer the chicken, onion, garlic, tomato and jalapeno in the broth 20 minutes.", "Shred the chicken and add the lime.", "Serve with crisp tortilla strips and cilantro."]</t>
        </is>
      </c>
    </row>
    <row r="1564" ht="96" customHeight="1">
      <c r="A1564" s="2" t="inlineStr">
        <is>
          <t>DB-1563</t>
        </is>
      </c>
      <c r="B1564" s="3" t="inlineStr">
        <is>
          <t>Refried Bean and Cheese Burrito</t>
        </is>
      </c>
      <c r="C1564" s="4" t="inlineStr">
        <is>
          <t>Sandwiches &amp; Wraps</t>
        </is>
      </c>
      <c r="D1564" s="4" t="inlineStr">
        <is>
          <t>Tex-Mex</t>
        </is>
      </c>
      <c r="E1564" s="2" t="n">
        <v>3</v>
      </c>
      <c r="F1564" s="2" t="n">
        <v>10</v>
      </c>
      <c r="G1564" s="2" t="n">
        <v>8</v>
      </c>
      <c r="H1564" s="2" t="n">
        <v>18</v>
      </c>
      <c r="I1564" s="4" t="inlineStr">
        <is>
          <t>refried-bean-and-cheese-burrito.jpg</t>
        </is>
      </c>
      <c r="J1564" s="3" t="inlineStr">
        <is>
          <t>Refried Bean and Cheese Burrito, healthy food photography, plated, natural light</t>
        </is>
      </c>
      <c r="K1564" s="4" t="inlineStr"/>
      <c r="L1564" s="3" t="inlineStr">
        <is>
          <t>Flour tortilla, 8-inch — 120 g (4.2 oz)
Refried beans, fat-free — 250 g (8.8 oz)
Cheddar cheese — 70 g (2.5 oz)
Salsa, no sugar added — 90 g (3.2 oz)</t>
        </is>
      </c>
      <c r="M1564" s="4" t="inlineStr">
        <is>
          <t>[{"ingredient_id": "flour_tortilla", "name": "Flour tortilla, 8-inch", "grams": 120.0, "note": ""}, {"ingredient_id": "refried_beans", "name": "Refried beans, fat-free", "grams": 250.0, "note": ""}, {"ingredient_id": "cheddar", "name": "Cheddar cheese", "grams": 70.0, "note": ""}, {"ingredient_id": "salsa", "name": "Salsa, no sugar added", "grams": 90.0, "note": ""}]</t>
        </is>
      </c>
      <c r="N1564" s="2" t="n">
        <v>302</v>
      </c>
      <c r="O1564" s="5" t="n">
        <v>13.7</v>
      </c>
      <c r="P1564" s="5" t="n">
        <v>11.4</v>
      </c>
      <c r="Q1564" s="5" t="n">
        <v>34.7</v>
      </c>
      <c r="R1564" s="5" t="n">
        <v>6</v>
      </c>
      <c r="S1564" s="5" t="n">
        <v>28.6</v>
      </c>
      <c r="T1564" s="2" t="n">
        <v>35</v>
      </c>
      <c r="U1564" s="2" t="inlineStr">
        <is>
          <t>low</t>
        </is>
      </c>
      <c r="V1564" s="5" t="n">
        <v>10</v>
      </c>
      <c r="W1564" s="2" t="inlineStr">
        <is>
          <t>low</t>
        </is>
      </c>
      <c r="X1564" s="3" t="inlineStr"/>
      <c r="Y1564" s="3" t="inlineStr">
        <is>
          <t>64% of this dish's available carbohydrate comes from ingredients with a published, measured GI; the rest uses conventional placeholders (see Ingredients sheet)</t>
        </is>
      </c>
      <c r="Z1564" s="2" t="n">
        <v>64</v>
      </c>
      <c r="AA1564" s="3" t="inlineStr">
        <is>
          <t>vegetarian, nut-free</t>
        </is>
      </c>
      <c r="AB1564" s="3" t="inlineStr">
        <is>
          <t>1. Warm the beans.
2. Fill the tortillas with beans, cheddar and salsa and roll.</t>
        </is>
      </c>
      <c r="AC1564" s="4" t="inlineStr">
        <is>
          <t>["Warm the beans.", "Fill the tortillas with beans, cheddar and salsa and roll."]</t>
        </is>
      </c>
    </row>
    <row r="1565" ht="96" customHeight="1">
      <c r="A1565" s="2" t="inlineStr">
        <is>
          <t>DB-1564</t>
        </is>
      </c>
      <c r="B1565" s="3" t="inlineStr">
        <is>
          <t>Chicken Taquitos, Baked</t>
        </is>
      </c>
      <c r="C1565" s="4" t="inlineStr">
        <is>
          <t>Snack &amp; Appetizer</t>
        </is>
      </c>
      <c r="D1565" s="4" t="inlineStr">
        <is>
          <t>Tex-Mex</t>
        </is>
      </c>
      <c r="E1565" s="2" t="n">
        <v>5</v>
      </c>
      <c r="F1565" s="2" t="n">
        <v>20</v>
      </c>
      <c r="G1565" s="2" t="n">
        <v>18</v>
      </c>
      <c r="H1565" s="2" t="n">
        <v>38</v>
      </c>
      <c r="I1565" s="4" t="inlineStr">
        <is>
          <t>chicken-taquitos-baked.jpg</t>
        </is>
      </c>
      <c r="J1565" s="3" t="inlineStr">
        <is>
          <t>Chicken Taquitos, Baked, healthy food photography, plated, natural light</t>
        </is>
      </c>
      <c r="K1565" s="4" t="inlineStr"/>
      <c r="L1565" s="3" t="inlineStr">
        <is>
          <t>Corn tortilla — 200 g (7.1 oz)
Rotisserie chicken, skin removed — 300 g (10.6 oz)
Cream cheese — 60 g (2.1 oz)
Salsa verde — 100 g (3.5 oz)
Cheddar cheese — 50 g (1.8 oz)
Extra-virgin olive oil — 10 g (0.4 oz)</t>
        </is>
      </c>
      <c r="M1565" s="4" t="inlineStr">
        <is>
          <t>[{"ingredient_id": "corn_tortilla", "name": "Corn tortilla", "grams": 200.0, "note": ""}, {"ingredient_id": "rotisserie_chicken", "name": "Rotisserie chicken, skin removed", "grams": 300.0, "note": ""}, {"ingredient_id": "cream_cheese", "name": "Cream cheese", "grams": 60.0, "note": ""}, {"ingredient_id": "salsa_verde", "name": "Salsa verde", "grams": 100.0, "note": ""}, {"ingredient_id": "cheddar", "name": "Cheddar cheese", "grams": 50.0, "note": ""}, {"ingredient_id": "olive_oil", "name": "Extra-virgin olive oil", "grams": 10.0, "note": ""}]</t>
        </is>
      </c>
      <c r="N1565" s="2" t="n">
        <v>288</v>
      </c>
      <c r="O1565" s="5" t="n">
        <v>19.3</v>
      </c>
      <c r="P1565" s="5" t="n">
        <v>14.8</v>
      </c>
      <c r="Q1565" s="5" t="n">
        <v>19.8</v>
      </c>
      <c r="R1565" s="5" t="n">
        <v>2.8</v>
      </c>
      <c r="S1565" s="5" t="n">
        <v>17</v>
      </c>
      <c r="T1565" s="2" t="n">
        <v>49</v>
      </c>
      <c r="U1565" s="2" t="inlineStr">
        <is>
          <t>low</t>
        </is>
      </c>
      <c r="V1565" s="5" t="n">
        <v>8.300000000000001</v>
      </c>
      <c r="W1565" s="2" t="inlineStr">
        <is>
          <t>low</t>
        </is>
      </c>
      <c r="X1565" s="3" t="inlineStr"/>
      <c r="Y1565" s="3" t="inlineStr">
        <is>
          <t>91% of this dish's available carbohydrate comes from ingredients with a published, measured GI; the rest uses conventional placeholders (see Ingredients sheet)</t>
        </is>
      </c>
      <c r="Z1565" s="2" t="n">
        <v>91</v>
      </c>
      <c r="AA1565" s="3" t="inlineStr">
        <is>
          <t>gluten-free, nut-free</t>
        </is>
      </c>
      <c r="AB1565" s="3" t="inlineStr">
        <is>
          <t>1. Mix the shredded chicken with cream cheese, salsa and cheddar.
2. Fill and roll warmed tortillas and brush with oil.
3. Bake at 425°F for 15 to 18 minutes.</t>
        </is>
      </c>
      <c r="AC1565" s="4" t="inlineStr">
        <is>
          <t>["Mix the shredded chicken with cream cheese, salsa and cheddar.", "Fill and roll warmed tortillas and brush with oil.", "Bake at 425°F for 15 to 18 minutes."]</t>
        </is>
      </c>
    </row>
    <row r="1566" ht="96" customHeight="1">
      <c r="A1566" s="2" t="inlineStr">
        <is>
          <t>DB-1565</t>
        </is>
      </c>
      <c r="B1566" s="3" t="inlineStr">
        <is>
          <t>Elote-Style Zucchini Boats</t>
        </is>
      </c>
      <c r="C1566" s="4" t="inlineStr">
        <is>
          <t>Side Dish</t>
        </is>
      </c>
      <c r="D1566" s="4" t="inlineStr">
        <is>
          <t>Mexican</t>
        </is>
      </c>
      <c r="E1566" s="2" t="n">
        <v>4</v>
      </c>
      <c r="F1566" s="2" t="n">
        <v>10</v>
      </c>
      <c r="G1566" s="2" t="n">
        <v>25</v>
      </c>
      <c r="H1566" s="2" t="n">
        <v>35</v>
      </c>
      <c r="I1566" s="4" t="inlineStr">
        <is>
          <t>elote-style-zucchini-boats.jpg</t>
        </is>
      </c>
      <c r="J1566" s="3" t="inlineStr">
        <is>
          <t>Elote-Style Zucchini Boats, healthy food photography, plated, natural light</t>
        </is>
      </c>
      <c r="K1566" s="4" t="inlineStr"/>
      <c r="L1566" s="3" t="inlineStr">
        <is>
          <t>Zucchini — 600 g (21.2 oz)
Sweet corn kernels — 150 g (5.3 oz)
Cotija cheese — 40 g (1.4 oz)
Greek yogurt, plain 2% — 60 g (2.1 oz)
Lime juice — 20 g (0.7 oz)
Chili powder — 2 g (0.1 oz)
Fresh cilantro — 6 g (0.2 oz)</t>
        </is>
      </c>
      <c r="M1566" s="4" t="inlineStr">
        <is>
          <t>[{"ingredient_id": "zucchini", "name": "Zucchini", "grams": 600.0, "note": ""}, {"ingredient_id": "corn", "name": "Sweet corn kernels", "grams": 150.0, "note": ""}, {"ingredient_id": "cotija", "name": "Cotija cheese", "grams": 40.0, "note": ""}, {"ingredient_id": "greek_yogurt", "name": "Greek yogurt, plain 2%", "grams": 60.0, "note": ""}, {"ingredient_id": "lime_juice", "name": "Lime juice", "grams": 20.0, "note": ""}, {"ingredient_id": "chili_powder", "name": "Chili powder", "grams": 2.0, "note": ""}, {"ingredient_id": "cilantro", "name": "Fresh cilantro", "grams": 6.0, "note": ""}]</t>
        </is>
      </c>
      <c r="N1566" s="2" t="n">
        <v>108</v>
      </c>
      <c r="O1566" s="5" t="n">
        <v>6.7</v>
      </c>
      <c r="P1566" s="5" t="n">
        <v>4.4</v>
      </c>
      <c r="Q1566" s="5" t="n">
        <v>13.5</v>
      </c>
      <c r="R1566" s="5" t="n">
        <v>2.7</v>
      </c>
      <c r="S1566" s="5" t="n">
        <v>10.8</v>
      </c>
      <c r="T1566" s="2" t="n">
        <v>35</v>
      </c>
      <c r="U1566" s="2" t="inlineStr">
        <is>
          <t>low</t>
        </is>
      </c>
      <c r="V1566" s="5" t="n">
        <v>3.8</v>
      </c>
      <c r="W1566" s="2" t="inlineStr">
        <is>
          <t>low</t>
        </is>
      </c>
      <c r="X1566" s="3" t="inlineStr"/>
      <c r="Y1566" s="3" t="inlineStr">
        <is>
          <t>62% of this dish's available carbohydrate comes from ingredients with a published, measured GI; the rest uses conventional placeholders (see Ingredients sheet)</t>
        </is>
      </c>
      <c r="Z1566" s="2" t="n">
        <v>62</v>
      </c>
      <c r="AA1566" s="3" t="inlineStr">
        <is>
          <t>vegetarian, gluten-free, nut-free, low-carb</t>
        </is>
      </c>
      <c r="AB1566" s="3" t="inlineStr">
        <is>
          <t>1. Halve and scoop the zucchini.
2. Mix the corn with yogurt, lime, chili powder and half the cotija.
3. Fill the boats and bake at 400°F for 20 minutes; top with cotija and cilantro.</t>
        </is>
      </c>
      <c r="AC1566" s="4" t="inlineStr">
        <is>
          <t>["Halve and scoop the zucchini.", "Mix the corn with yogurt, lime, chili powder and half the cotija.", "Fill the boats and bake at 400°F for 20 minutes; top with cotija and cilantro."]</t>
        </is>
      </c>
    </row>
    <row r="1567" ht="96" customHeight="1">
      <c r="A1567" s="2" t="inlineStr">
        <is>
          <t>DB-1566</t>
        </is>
      </c>
      <c r="B1567" s="3" t="inlineStr">
        <is>
          <t>Mexican Rice with Tomato and Peas</t>
        </is>
      </c>
      <c r="C1567" s="4" t="inlineStr">
        <is>
          <t>Side Dish</t>
        </is>
      </c>
      <c r="D1567" s="4" t="inlineStr">
        <is>
          <t>Mexican</t>
        </is>
      </c>
      <c r="E1567" s="2" t="n">
        <v>6</v>
      </c>
      <c r="F1567" s="2" t="n">
        <v>5</v>
      </c>
      <c r="G1567" s="2" t="n">
        <v>20</v>
      </c>
      <c r="H1567" s="2" t="n">
        <v>25</v>
      </c>
      <c r="I1567" s="4" t="inlineStr">
        <is>
          <t>mexican-rice-with-tomato-and-peas.jpg</t>
        </is>
      </c>
      <c r="J1567" s="3" t="inlineStr">
        <is>
          <t>Mexican Rice with Tomato and Peas, healthy food photography, plated, natural light</t>
        </is>
      </c>
      <c r="K1567" s="4" t="inlineStr"/>
      <c r="L1567" s="3" t="inlineStr">
        <is>
          <t>White rice, long-grain, cooked — 550 g (19.4 oz)
Tomato sauce, canned, no sugar added — 120 g (4.2 oz)
Green peas — 80 g (2.8 oz)
Yellow onion — 60 g (2.1 oz)
Garlic — 4 g (0.1 oz)
Chicken broth, low sodium — 100 g (3.5 oz)
Ground cumin — 2 g (0.1 oz)
Extra-virgin olive oil — 10 g (0.4 oz)</t>
        </is>
      </c>
      <c r="M1567" s="4" t="inlineStr">
        <is>
          <t>[{"ingredient_id": "white_rice", "name": "White rice, long-grain, cooked", "grams": 550.0, "note": ""}, {"ingredient_id": "tomato_sauce", "name": "Tomato sauce, canned, no sugar added", "grams": 120.0, "note": ""}, {"ingredient_id": "green_peas", "name": "Green peas", "grams": 80.0, "note": ""}, {"ingredient_id": "onion", "name": "Yellow onion", "grams": 60.0, "note": ""}, {"ingredient_id": "garlic", "name": "Garlic", "grams": 4.0, "note": ""}, {"ingredient_id": "chicken_broth", "name": "Chicken broth, low sodium", "grams": 100.0, "note": ""}, {"ingredient_id": "cumin", "name": "Ground cumin", "grams": 2.0, "note": ""}, {"ingredient_id": "olive_oil", "name": "Extra-virgin olive oil", "grams": 10.0, "note": ""}]</t>
        </is>
      </c>
      <c r="N1567" s="2" t="n">
        <v>156</v>
      </c>
      <c r="O1567" s="5" t="n">
        <v>3.8</v>
      </c>
      <c r="P1567" s="5" t="n">
        <v>2.1</v>
      </c>
      <c r="Q1567" s="5" t="n">
        <v>30</v>
      </c>
      <c r="R1567" s="5" t="n">
        <v>1.6</v>
      </c>
      <c r="S1567" s="5" t="n">
        <v>28.3</v>
      </c>
      <c r="T1567" s="2" t="n">
        <v>72</v>
      </c>
      <c r="U1567" s="2" t="inlineStr">
        <is>
          <t>high</t>
        </is>
      </c>
      <c r="V1567" s="5" t="n">
        <v>20.4</v>
      </c>
      <c r="W1567" s="2" t="inlineStr">
        <is>
          <t>high</t>
        </is>
      </c>
      <c r="X1567" s="3" t="inlineStr">
        <is>
          <t>Medium-GI dish: keep to the stated portion and pair with the protein/fat in the recipe; GL per serving is the better guide.</t>
        </is>
      </c>
      <c r="Y1567" s="3" t="inlineStr">
        <is>
          <t>93% of this dish's available carbohydrate comes from ingredients with a published, measured GI; the rest uses conventional placeholders (see Ingredients sheet)</t>
        </is>
      </c>
      <c r="Z1567" s="2" t="n">
        <v>93</v>
      </c>
      <c r="AA1567" s="3" t="inlineStr">
        <is>
          <t>vegan, gluten-free, dairy-free, nut-free</t>
        </is>
      </c>
      <c r="AB1567" s="3" t="inlineStr">
        <is>
          <t>1. Sauté the onion and garlic in oil with the cumin.
2. Add the sauce and broth, then fold in the rice and peas and heat through.</t>
        </is>
      </c>
      <c r="AC1567" s="4" t="inlineStr">
        <is>
          <t>["Sauté the onion and garlic in oil with the cumin.", "Add the sauce and broth, then fold in the rice and peas and heat through."]</t>
        </is>
      </c>
    </row>
    <row r="1568" ht="96" customHeight="1">
      <c r="A1568" s="2" t="inlineStr">
        <is>
          <t>DB-1567</t>
        </is>
      </c>
      <c r="B1568" s="3" t="inlineStr">
        <is>
          <t>Chicken Salad Lettuce Sandwiches</t>
        </is>
      </c>
      <c r="C1568" s="4" t="inlineStr">
        <is>
          <t>Sandwiches &amp; Wraps</t>
        </is>
      </c>
      <c r="D1568" s="4" t="inlineStr">
        <is>
          <t>American</t>
        </is>
      </c>
      <c r="E1568" s="2" t="n">
        <v>3</v>
      </c>
      <c r="F1568" s="2" t="n">
        <v>10</v>
      </c>
      <c r="G1568" s="2" t="n">
        <v>0</v>
      </c>
      <c r="H1568" s="2" t="n">
        <v>10</v>
      </c>
      <c r="I1568" s="4" t="inlineStr">
        <is>
          <t>chicken-salad-lettuce-sandwiches.jpg</t>
        </is>
      </c>
      <c r="J1568" s="3" t="inlineStr">
        <is>
          <t>Chicken Salad Lettuce Sandwiches, healthy food photography, plated, natural light</t>
        </is>
      </c>
      <c r="K1568" s="4" t="inlineStr"/>
      <c r="L1568" s="3" t="inlineStr">
        <is>
          <t>Rotisserie chicken, skin removed — 300 g (10.6 oz)
Celery — 50 g (1.8 oz)
Greek yogurt, plain 2% — 80 g (2.8 oz)
Dijon mustard — 10 g (0.4 oz)
Butter lettuce — 120 g (4.2 oz)
Lemon juice — 15 g (0.5 oz)
Almonds — 20 g (0.7 oz)</t>
        </is>
      </c>
      <c r="M1568" s="4" t="inlineStr">
        <is>
          <t>[{"ingredient_id": "rotisserie_chicken", "name": "Rotisserie chicken, skin removed", "grams": 300.0, "note": ""}, {"ingredient_id": "celery", "name": "Celery", "grams": 50.0, "note": ""}, {"ingredient_id": "greek_yogurt", "name": "Greek yogurt, plain 2%", "grams": 80.0, "note": ""}, {"ingredient_id": "dijon", "name": "Dijon mustard", "grams": 10.0, "note": ""}, {"ingredient_id": "butter_lettuce", "name": "Butter lettuce", "grams": 120.0, "note": ""}, {"ingredient_id": "lemon_juice", "name": "Lemon juice", "grams": 15.0, "note": ""}, {"ingredient_id": "almonds", "name": "Almonds", "grams": 20.0, "note": ""}]</t>
        </is>
      </c>
      <c r="N1568" s="2" t="n">
        <v>229</v>
      </c>
      <c r="O1568" s="5" t="n">
        <v>27.9</v>
      </c>
      <c r="P1568" s="5" t="n">
        <v>11.1</v>
      </c>
      <c r="Q1568" s="5" t="n">
        <v>4.4</v>
      </c>
      <c r="R1568" s="5" t="n">
        <v>1.7</v>
      </c>
      <c r="S1568" s="5" t="n">
        <v>2.8</v>
      </c>
      <c r="T1568" s="2" t="n">
        <v>14</v>
      </c>
      <c r="U1568" s="2" t="inlineStr">
        <is>
          <t>low</t>
        </is>
      </c>
      <c r="V1568" s="5" t="n">
        <v>0.4</v>
      </c>
      <c r="W1568" s="2" t="inlineStr">
        <is>
          <t>low</t>
        </is>
      </c>
      <c r="X1568" s="3" t="inlineStr">
        <is>
          <t>Negligible carbohydrate (&lt;5 g net/serving): GI has little practical meaning, glycemic load is what matters.</t>
        </is>
      </c>
      <c r="Y1568" s="3" t="inlineStr">
        <is>
          <t>39% of this dish's available carbohydrate comes from ingredients with a published, measured GI; the rest uses conventional placeholders (see Ingredients sheet)</t>
        </is>
      </c>
      <c r="Z1568" s="2" t="n">
        <v>39</v>
      </c>
      <c r="AA1568" s="3" t="inlineStr">
        <is>
          <t>gluten-free, low-carb, high-protein, no-cook</t>
        </is>
      </c>
      <c r="AB1568" s="3" t="inlineStr">
        <is>
          <t>1. Shred the chicken and mix with celery, yogurt, mustard, lemon and almonds.
2. Pile into large lettuce leaves.</t>
        </is>
      </c>
      <c r="AC1568" s="4" t="inlineStr">
        <is>
          <t>["Shred the chicken and mix with celery, yogurt, mustard, lemon and almonds.", "Pile into large lettuce leaves."]</t>
        </is>
      </c>
    </row>
    <row r="1569" ht="96" customHeight="1">
      <c r="A1569" s="2" t="inlineStr">
        <is>
          <t>DB-1568</t>
        </is>
      </c>
      <c r="B1569" s="3" t="inlineStr">
        <is>
          <t>Open-Faced Turkey Melt with Apple and Cheddar</t>
        </is>
      </c>
      <c r="C1569" s="4" t="inlineStr">
        <is>
          <t>Sandwiches &amp; Wraps</t>
        </is>
      </c>
      <c r="D1569" s="4" t="inlineStr">
        <is>
          <t>American</t>
        </is>
      </c>
      <c r="E1569" s="2" t="n">
        <v>2</v>
      </c>
      <c r="F1569" s="2" t="n">
        <v>5</v>
      </c>
      <c r="G1569" s="2" t="n">
        <v>5</v>
      </c>
      <c r="H1569" s="2" t="n">
        <v>10</v>
      </c>
      <c r="I1569" s="4" t="inlineStr">
        <is>
          <t>open-faced-turkey-melt-with-apple-and-cheddar.jpg</t>
        </is>
      </c>
      <c r="J1569" s="3" t="inlineStr">
        <is>
          <t>Open-Faced Turkey Melt with Apple and Cheddar, healthy food photography, plated, natural light</t>
        </is>
      </c>
      <c r="K1569" s="4" t="inlineStr"/>
      <c r="L1569" s="3" t="inlineStr">
        <is>
          <t>Whole wheat bread (100% whole wheat) — 100 g (3.5 oz)
Deli turkey breast, low sodium — 120 g (4.2 oz)
Apple — 100 g (3.5 oz)
Cheddar cheese — 50 g (1.8 oz)
Dijon mustard — 10 g (0.4 oz)</t>
        </is>
      </c>
      <c r="M1569" s="4" t="inlineStr">
        <is>
          <t>[{"ingredient_id": "whole_grain_bread", "name": "Whole wheat bread (100% whole wheat)", "grams": 100.0, "note": ""}, {"ingredient_id": "deli_turkey", "name": "Deli turkey breast, low sodium", "grams": 120.0, "note": ""}, {"ingredient_id": "apple", "name": "Apple", "grams": 100.0, "note": ""}, {"ingredient_id": "cheddar", "name": "Cheddar cheese", "grams": 50.0, "note": ""}, {"ingredient_id": "dijon", "name": "Dijon mustard", "grams": 10.0, "note": ""}]</t>
        </is>
      </c>
      <c r="N1569" s="2" t="n">
        <v>317</v>
      </c>
      <c r="O1569" s="5" t="n">
        <v>22.3</v>
      </c>
      <c r="P1569" s="5" t="n">
        <v>11.2</v>
      </c>
      <c r="Q1569" s="5" t="n">
        <v>31.5</v>
      </c>
      <c r="R1569" s="5" t="n">
        <v>4.6</v>
      </c>
      <c r="S1569" s="5" t="n">
        <v>26.9</v>
      </c>
      <c r="T1569" s="2" t="n">
        <v>56</v>
      </c>
      <c r="U1569" s="2" t="inlineStr">
        <is>
          <t>medium</t>
        </is>
      </c>
      <c r="V1569" s="5" t="n">
        <v>15</v>
      </c>
      <c r="W1569" s="2" t="inlineStr">
        <is>
          <t>medium</t>
        </is>
      </c>
      <c r="X1569" s="3" t="inlineStr">
        <is>
          <t>Medium-GI dish: keep to the stated portion and pair with the protein/fat in the recipe; GL per serving is the better guide.</t>
        </is>
      </c>
      <c r="Y1569" s="3" t="inlineStr">
        <is>
          <t>89% of this dish's available carbohydrate comes from ingredients with a published, measured GI; the rest uses conventional placeholders (see Ingredients sheet)</t>
        </is>
      </c>
      <c r="Z1569" s="2" t="n">
        <v>89</v>
      </c>
      <c r="AA1569" s="3" t="inlineStr">
        <is>
          <t>nut-free</t>
        </is>
      </c>
      <c r="AB1569" s="3" t="inlineStr">
        <is>
          <t>1. Spread the toast with mustard.
2. Top with turkey, apple slices and cheddar.
3. Broil until melted.</t>
        </is>
      </c>
      <c r="AC1569" s="4" t="inlineStr">
        <is>
          <t>["Spread the toast with mustard.", "Top with turkey, apple slices and cheddar.", "Broil until melted."]</t>
        </is>
      </c>
    </row>
    <row r="1570" ht="96" customHeight="1">
      <c r="A1570" s="2" t="inlineStr">
        <is>
          <t>DB-1569</t>
        </is>
      </c>
      <c r="B1570" s="3" t="inlineStr">
        <is>
          <t>Egg Salad Sandwich with Cucumber</t>
        </is>
      </c>
      <c r="C1570" s="4" t="inlineStr">
        <is>
          <t>Sandwiches &amp; Wraps</t>
        </is>
      </c>
      <c r="D1570" s="4" t="inlineStr">
        <is>
          <t>American</t>
        </is>
      </c>
      <c r="E1570" s="2" t="n">
        <v>2</v>
      </c>
      <c r="F1570" s="2" t="n">
        <v>10</v>
      </c>
      <c r="G1570" s="2" t="n">
        <v>10</v>
      </c>
      <c r="H1570" s="2" t="n">
        <v>20</v>
      </c>
      <c r="I1570" s="4" t="inlineStr">
        <is>
          <t>egg-salad-sandwich-with-cucumber.jpg</t>
        </is>
      </c>
      <c r="J1570" s="3" t="inlineStr">
        <is>
          <t>Egg Salad Sandwich with Cucumber, healthy food photography, plated, natural light</t>
        </is>
      </c>
      <c r="K1570" s="4" t="inlineStr"/>
      <c r="L1570" s="3" t="inlineStr">
        <is>
          <t>Egg, large (50 g each) — 250 g (8.8 oz)
Whole wheat bread (100% whole wheat) — 100 g (3.5 oz)
Greek yogurt, plain 2% — 50 g (1.8 oz)
Dijon mustard — 8 g (0.3 oz)
Cucumber — 80 g (2.8 oz)
Fresh chives — 4 g (0.1 oz)</t>
        </is>
      </c>
      <c r="M1570" s="4" t="inlineStr">
        <is>
          <t>[{"ingredient_id": "egg", "name": "Egg, large (50 g each)", "grams": 250.0, "note": ""}, {"ingredient_id": "whole_grain_bread", "name": "Whole wheat bread (100% whole wheat)", "grams": 100.0, "note": ""}, {"ingredient_id": "greek_yogurt", "name": "Greek yogurt, plain 2%", "grams": 50.0, "note": ""}, {"ingredient_id": "dijon", "name": "Dijon mustard", "grams": 8.0, "note": ""}, {"ingredient_id": "cucumber", "name": "Cucumber", "grams": 80.0, "note": ""}, {"ingredient_id": "chives", "name": "Fresh chives", "grams": 4.0, "note": ""}]</t>
        </is>
      </c>
      <c r="N1570" s="2" t="n">
        <v>331</v>
      </c>
      <c r="O1570" s="5" t="n">
        <v>24.8</v>
      </c>
      <c r="P1570" s="5" t="n">
        <v>14.3</v>
      </c>
      <c r="Q1570" s="5" t="n">
        <v>25.1</v>
      </c>
      <c r="R1570" s="5" t="n">
        <v>3.6</v>
      </c>
      <c r="S1570" s="5" t="n">
        <v>21.5</v>
      </c>
      <c r="T1570" s="2" t="n">
        <v>62</v>
      </c>
      <c r="U1570" s="2" t="inlineStr">
        <is>
          <t>medium</t>
        </is>
      </c>
      <c r="V1570" s="5" t="n">
        <v>13.3</v>
      </c>
      <c r="W1570" s="2" t="inlineStr">
        <is>
          <t>medium</t>
        </is>
      </c>
      <c r="X1570" s="3" t="inlineStr">
        <is>
          <t>Medium-GI dish: keep to the stated portion and pair with the protein/fat in the recipe; GL per serving is the better guide.</t>
        </is>
      </c>
      <c r="Y1570" s="3" t="inlineStr">
        <is>
          <t>90% of this dish's available carbohydrate comes from ingredients with a published, measured GI; the rest uses conventional placeholders (see Ingredients sheet)</t>
        </is>
      </c>
      <c r="Z1570" s="2" t="n">
        <v>90</v>
      </c>
      <c r="AA1570" s="3" t="inlineStr">
        <is>
          <t>vegetarian, nut-free</t>
        </is>
      </c>
      <c r="AB1570" s="3" t="inlineStr">
        <is>
          <t>1. Hard-boil and chop the eggs.
2. Mix with yogurt, mustard and chives.
3. Spread on the bread with sliced cucumber.</t>
        </is>
      </c>
      <c r="AC1570" s="4" t="inlineStr">
        <is>
          <t>["Hard-boil and chop the eggs.", "Mix with yogurt, mustard and chives.", "Spread on the bread with sliced cucumber."]</t>
        </is>
      </c>
    </row>
    <row r="1571" ht="96" customHeight="1">
      <c r="A1571" s="2" t="inlineStr">
        <is>
          <t>DB-1570</t>
        </is>
      </c>
      <c r="B1571" s="3" t="inlineStr">
        <is>
          <t>Falafel Pita with Tahini and Tomato</t>
        </is>
      </c>
      <c r="C1571" s="4" t="inlineStr">
        <is>
          <t>Sandwiches &amp; Wraps</t>
        </is>
      </c>
      <c r="D1571" s="4" t="inlineStr">
        <is>
          <t>Middle Eastern</t>
        </is>
      </c>
      <c r="E1571" s="2" t="n">
        <v>3</v>
      </c>
      <c r="F1571" s="2" t="n">
        <v>10</v>
      </c>
      <c r="G1571" s="2" t="n">
        <v>0</v>
      </c>
      <c r="H1571" s="2" t="n">
        <v>10</v>
      </c>
      <c r="I1571" s="4" t="inlineStr">
        <is>
          <t>falafel-pita-with-tahini-and-tomato.jpg</t>
        </is>
      </c>
      <c r="J1571" s="3" t="inlineStr">
        <is>
          <t>Falafel Pita with Tahini and Tomato, healthy food photography, plated, natural light</t>
        </is>
      </c>
      <c r="K1571" s="4" t="inlineStr"/>
      <c r="L1571" s="3" t="inlineStr">
        <is>
          <t>Whole wheat pita — 180 g (6.3 oz)
Chickpeas, cooked — 250 g (8.8 oz)
Tahini — 30 g (1.1 oz)
Tomato — 120 g (4.2 oz)
Cucumber — 100 g (3.5 oz)
Fresh parsley — 15 g (0.5 oz)
Lemon juice — 20 g (0.7 oz)</t>
        </is>
      </c>
      <c r="M1571" s="4" t="inlineStr">
        <is>
          <t>[{"ingredient_id": "whole_wheat_pita", "name": "Whole wheat pita", "grams": 180.0, "note": ""}, {"ingredient_id": "chickpeas", "name": "Chickpeas, cooked", "grams": 250.0, "note": ""}, {"ingredient_id": "tahini", "name": "Tahini", "grams": 30.0, "note": ""}, {"ingredient_id": "tomato", "name": "Tomato", "grams": 120.0, "note": ""}, {"ingredient_id": "cucumber", "name": "Cucumber", "grams": 100.0, "note": ""}, {"ingredient_id": "parsley", "name": "Fresh parsley", "grams": 15.0, "note": ""}, {"ingredient_id": "lemon_juice", "name": "Lemon juice", "grams": 20.0, "note": ""}]</t>
        </is>
      </c>
      <c r="N1571" s="2" t="n">
        <v>371</v>
      </c>
      <c r="O1571" s="5" t="n">
        <v>15.9</v>
      </c>
      <c r="P1571" s="5" t="n">
        <v>9.300000000000001</v>
      </c>
      <c r="Q1571" s="5" t="n">
        <v>61.1</v>
      </c>
      <c r="R1571" s="5" t="n">
        <v>12.5</v>
      </c>
      <c r="S1571" s="5" t="n">
        <v>48.6</v>
      </c>
      <c r="T1571" s="2" t="n">
        <v>48</v>
      </c>
      <c r="U1571" s="2" t="inlineStr">
        <is>
          <t>low</t>
        </is>
      </c>
      <c r="V1571" s="5" t="n">
        <v>23.3</v>
      </c>
      <c r="W1571" s="2" t="inlineStr">
        <is>
          <t>high</t>
        </is>
      </c>
      <c r="X1571" s="3" t="inlineStr"/>
      <c r="Y1571" s="3" t="inlineStr">
        <is>
          <t>92% of this dish's available carbohydrate comes from ingredients with a published, measured GI; the rest uses conventional placeholders (see Ingredients sheet)</t>
        </is>
      </c>
      <c r="Z1571" s="2" t="n">
        <v>92</v>
      </c>
      <c r="AA1571" s="3" t="inlineStr">
        <is>
          <t>vegan, dairy-free, nut-free, high-fiber, no-cook</t>
        </is>
      </c>
      <c r="AB1571" s="3" t="inlineStr">
        <is>
          <t>1. Mash the chickpeas with parsley and lemon into a quick falafel-style mix.
2. Stuff the pitas with it and tomato and cucumber.
3. Drizzle with tahini thinned with lemon.</t>
        </is>
      </c>
      <c r="AC1571" s="4" t="inlineStr">
        <is>
          <t>["Mash the chickpeas with parsley and lemon into a quick falafel-style mix.", "Stuff the pitas with it and tomato and cucumber.", "Drizzle with tahini thinned with lemon."]</t>
        </is>
      </c>
    </row>
    <row r="1572" ht="96" customHeight="1">
      <c r="A1572" s="2" t="inlineStr">
        <is>
          <t>DB-1571</t>
        </is>
      </c>
      <c r="B1572" s="3" t="inlineStr">
        <is>
          <t>Tuna Melt on Whole Grain</t>
        </is>
      </c>
      <c r="C1572" s="4" t="inlineStr">
        <is>
          <t>Sandwiches &amp; Wraps</t>
        </is>
      </c>
      <c r="D1572" s="4" t="inlineStr">
        <is>
          <t>American</t>
        </is>
      </c>
      <c r="E1572" s="2" t="n">
        <v>2</v>
      </c>
      <c r="F1572" s="2" t="n">
        <v>10</v>
      </c>
      <c r="G1572" s="2" t="n">
        <v>5</v>
      </c>
      <c r="H1572" s="2" t="n">
        <v>15</v>
      </c>
      <c r="I1572" s="4" t="inlineStr">
        <is>
          <t>tuna-melt-on-whole-grain.jpg</t>
        </is>
      </c>
      <c r="J1572" s="3" t="inlineStr">
        <is>
          <t>Tuna Melt on Whole Grain, healthy food photography, plated, natural light</t>
        </is>
      </c>
      <c r="K1572" s="4" t="inlineStr"/>
      <c r="L1572" s="3" t="inlineStr">
        <is>
          <t>Tuna, canned in water — 180 g (6.3 oz)
Whole wheat bread (100% whole wheat) — 100 g (3.5 oz)
Greek yogurt, plain 2% — 40 g (1.4 oz)
Celery — 30 g (1.1 oz)
Cheddar cheese — 50 g (1.8 oz)
Tomato — 60 g (2.1 oz)</t>
        </is>
      </c>
      <c r="M1572" s="4" t="inlineStr">
        <is>
          <t>[{"ingredient_id": "tuna_canned", "name": "Tuna, canned in water", "grams": 180.0, "note": ""}, {"ingredient_id": "whole_grain_bread", "name": "Whole wheat bread (100% whole wheat)", "grams": 100.0, "note": ""}, {"ingredient_id": "greek_yogurt", "name": "Greek yogurt, plain 2%", "grams": 40.0, "note": ""}, {"ingredient_id": "celery", "name": "Celery", "grams": 30.0, "note": ""}, {"ingredient_id": "cheddar", "name": "Cheddar cheese", "grams": 50.0, "note": ""}, {"ingredient_id": "tomato", "name": "Tomato", "grams": 60.0, "note": ""}]</t>
        </is>
      </c>
      <c r="N1572" s="2" t="n">
        <v>353</v>
      </c>
      <c r="O1572" s="5" t="n">
        <v>37.5</v>
      </c>
      <c r="P1572" s="5" t="n">
        <v>11.4</v>
      </c>
      <c r="Q1572" s="5" t="n">
        <v>24.2</v>
      </c>
      <c r="R1572" s="5" t="n">
        <v>3.9</v>
      </c>
      <c r="S1572" s="5" t="n">
        <v>20.4</v>
      </c>
      <c r="T1572" s="2" t="n">
        <v>65</v>
      </c>
      <c r="U1572" s="2" t="inlineStr">
        <is>
          <t>medium</t>
        </is>
      </c>
      <c r="V1572" s="5" t="n">
        <v>13.3</v>
      </c>
      <c r="W1572" s="2" t="inlineStr">
        <is>
          <t>medium</t>
        </is>
      </c>
      <c r="X1572" s="3" t="inlineStr">
        <is>
          <t>Medium-GI dish: keep to the stated portion and pair with the protein/fat in the recipe; GL per serving is the better guide.</t>
        </is>
      </c>
      <c r="Y1572" s="3" t="inlineStr">
        <is>
          <t>93% of this dish's available carbohydrate comes from ingredients with a published, measured GI; the rest uses conventional placeholders (see Ingredients sheet)</t>
        </is>
      </c>
      <c r="Z1572" s="2" t="n">
        <v>93</v>
      </c>
      <c r="AA1572" s="3" t="inlineStr">
        <is>
          <t>pescatarian, nut-free, high-protein</t>
        </is>
      </c>
      <c r="AB1572" s="3" t="inlineStr">
        <is>
          <t>1. Mix the tuna with yogurt and celery.
2. Pile on toast with tomato and cheddar and broil until melted.</t>
        </is>
      </c>
      <c r="AC1572" s="4" t="inlineStr">
        <is>
          <t>["Mix the tuna with yogurt and celery.", "Pile on toast with tomato and cheddar and broil until melted."]</t>
        </is>
      </c>
    </row>
    <row r="1573" ht="96" customHeight="1">
      <c r="A1573" s="2" t="inlineStr">
        <is>
          <t>DB-1572</t>
        </is>
      </c>
      <c r="B1573" s="3" t="inlineStr">
        <is>
          <t>Bunless Burger Bowls with Special Sauce</t>
        </is>
      </c>
      <c r="C1573" s="4" t="inlineStr">
        <is>
          <t>Sandwiches &amp; Wraps</t>
        </is>
      </c>
      <c r="D1573" s="4" t="inlineStr">
        <is>
          <t>American</t>
        </is>
      </c>
      <c r="E1573" s="2" t="n">
        <v>4</v>
      </c>
      <c r="F1573" s="2" t="n">
        <v>15</v>
      </c>
      <c r="G1573" s="2" t="n">
        <v>12</v>
      </c>
      <c r="H1573" s="2" t="n">
        <v>27</v>
      </c>
      <c r="I1573" s="4" t="inlineStr">
        <is>
          <t>bunless-burger-bowls-with-special-sauce.jpg</t>
        </is>
      </c>
      <c r="J1573" s="3" t="inlineStr">
        <is>
          <t>Bunless Burger Bowls with Special Sauce, healthy food photography, plated, natural light</t>
        </is>
      </c>
      <c r="K1573" s="4" t="inlineStr"/>
      <c r="L1573" s="3" t="inlineStr">
        <is>
          <t>Ground beef 90% lean — 450 g (15.9 oz)
Romaine lettuce — 200 g (7.1 oz)
Tomato — 150 g (5.3 oz)
Dill pickles — 60 g (2.1 oz)
Red onion — 40 g (1.4 oz)
Cheddar cheese — 60 g (2.1 oz)
Greek yogurt, plain 2% — 80 g (2.8 oz)
Tomato paste — 20 g (0.7 oz)
Yellow mustard — 10 g (0.4 oz)</t>
        </is>
      </c>
      <c r="M1573" s="4" t="inlineStr">
        <is>
          <t>[{"ingredient_id": "ground_beef", "name": "Ground beef 90% lean", "grams": 450.0, "note": ""}, {"ingredient_id": "romaine", "name": "Romaine lettuce", "grams": 200.0, "note": ""}, {"ingredient_id": "tomato", "name": "Tomato", "grams": 150.0, "note": ""}, {"ingredient_id": "dill_pickle", "name": "Dill pickles", "grams": 60.0, "note": ""}, {"ingredient_id": "red_onion", "name": "Red onion", "grams": 40.0, "note": ""}, {"ingredient_id": "cheddar", "name": "Cheddar cheese", "grams": 60.0, "note": ""}, {"ingredient_id": "greek_yogurt", "name": "Greek yogurt, plain 2%", "grams": 80.0, "note": ""}, {"ingredient_id": "tomato_paste", "name": "Tomato paste", "grams": 20.0, "note": ""}, {"ingredient_id": "yellow_mustard", "name": "Yellow mustard", "grams": 10.0, "note": ""}]</t>
        </is>
      </c>
      <c r="N1573" s="2" t="n">
        <v>300</v>
      </c>
      <c r="O1573" s="5" t="n">
        <v>29.4</v>
      </c>
      <c r="P1573" s="5" t="n">
        <v>17</v>
      </c>
      <c r="Q1573" s="5" t="n">
        <v>6.5</v>
      </c>
      <c r="R1573" s="5" t="n">
        <v>2.1</v>
      </c>
      <c r="S1573" s="5" t="n">
        <v>4.3</v>
      </c>
      <c r="T1573" s="2" t="n">
        <v>17</v>
      </c>
      <c r="U1573" s="2" t="inlineStr">
        <is>
          <t>low</t>
        </is>
      </c>
      <c r="V1573" s="5" t="n">
        <v>0.7</v>
      </c>
      <c r="W1573" s="2" t="inlineStr">
        <is>
          <t>low</t>
        </is>
      </c>
      <c r="X1573" s="3" t="inlineStr">
        <is>
          <t>Negligible carbohydrate (&lt;5 g net/serving): GI has little practical meaning, glycemic load is what matters.</t>
        </is>
      </c>
      <c r="Y1573" s="3" t="inlineStr">
        <is>
          <t>18% of this dish's available carbohydrate comes from ingredients with a published, measured GI; the rest uses conventional placeholders (see Ingredients sheet)</t>
        </is>
      </c>
      <c r="Z1573" s="2" t="n">
        <v>18</v>
      </c>
      <c r="AA1573" s="3" t="inlineStr">
        <is>
          <t>gluten-free, nut-free, low-carb, high-protein</t>
        </is>
      </c>
      <c r="AB1573" s="3" t="inlineStr">
        <is>
          <t>1. Brown the beef.
2. Mix the yogurt, paste and mustard into a sauce.
3. Build bowls from lettuce, beef, tomato, pickle, onion and cheddar with the sauce.</t>
        </is>
      </c>
      <c r="AC1573" s="4" t="inlineStr">
        <is>
          <t>["Brown the beef.", "Mix the yogurt, paste and mustard into a sauce.", "Build bowls from lettuce, beef, tomato, pickle, onion and cheddar with the sauce."]</t>
        </is>
      </c>
    </row>
    <row r="1574" ht="96" customHeight="1">
      <c r="A1574" s="2" t="inlineStr">
        <is>
          <t>DB-1573</t>
        </is>
      </c>
      <c r="B1574" s="3" t="inlineStr">
        <is>
          <t>Cuban-Style Pork and Swiss Wrap</t>
        </is>
      </c>
      <c r="C1574" s="4" t="inlineStr">
        <is>
          <t>Sandwiches &amp; Wraps</t>
        </is>
      </c>
      <c r="D1574" s="4" t="inlineStr">
        <is>
          <t>American</t>
        </is>
      </c>
      <c r="E1574" s="2" t="n">
        <v>3</v>
      </c>
      <c r="F1574" s="2" t="n">
        <v>10</v>
      </c>
      <c r="G1574" s="2" t="n">
        <v>8</v>
      </c>
      <c r="H1574" s="2" t="n">
        <v>18</v>
      </c>
      <c r="I1574" s="4" t="inlineStr">
        <is>
          <t>cuban-style-pork-and-swiss-wrap.jpg</t>
        </is>
      </c>
      <c r="J1574" s="3" t="inlineStr">
        <is>
          <t>Cuban-Style Pork and Swiss Wrap, healthy food photography, plated, natural light</t>
        </is>
      </c>
      <c r="K1574" s="4" t="inlineStr"/>
      <c r="L1574" s="3" t="inlineStr">
        <is>
          <t>Flour tortilla, 8-inch — 120 g (4.2 oz)
Pork tenderloin — 250 g (8.8 oz)
Ham, lean — 100 g (3.5 oz)
Swiss cheese — 60 g (2.1 oz)
Dill pickles — 50 g (1.8 oz)
Yellow mustard — 15 g (0.5 oz)</t>
        </is>
      </c>
      <c r="M1574" s="4" t="inlineStr">
        <is>
          <t>[{"ingredient_id": "flour_tortilla", "name": "Flour tortilla, 8-inch", "grams": 120.0, "note": ""}, {"ingredient_id": "pork_tenderloin", "name": "Pork tenderloin", "grams": 250.0, "note": ""}, {"ingredient_id": "ham", "name": "Ham, lean", "grams": 100.0, "note": ""}, {"ingredient_id": "swiss_cheese", "name": "Swiss cheese", "grams": 60.0, "note": ""}, {"ingredient_id": "dill_pickle", "name": "Dill pickles", "grams": 50.0, "note": ""}, {"ingredient_id": "yellow_mustard", "name": "Yellow mustard", "grams": 15.0, "note": ""}]</t>
        </is>
      </c>
      <c r="N1574" s="2" t="n">
        <v>352</v>
      </c>
      <c r="O1574" s="5" t="n">
        <v>33.5</v>
      </c>
      <c r="P1574" s="5" t="n">
        <v>13.9</v>
      </c>
      <c r="Q1574" s="5" t="n">
        <v>21.2</v>
      </c>
      <c r="R1574" s="5" t="n">
        <v>1.8</v>
      </c>
      <c r="S1574" s="5" t="n">
        <v>19.5</v>
      </c>
      <c r="T1574" s="2" t="n">
        <v>32</v>
      </c>
      <c r="U1574" s="2" t="inlineStr">
        <is>
          <t>low</t>
        </is>
      </c>
      <c r="V1574" s="5" t="n">
        <v>6.2</v>
      </c>
      <c r="W1574" s="2" t="inlineStr">
        <is>
          <t>low</t>
        </is>
      </c>
      <c r="X1574" s="3" t="inlineStr"/>
      <c r="Y1574" s="3" t="inlineStr">
        <is>
          <t>94% of this dish's available carbohydrate comes from ingredients with a published, measured GI; the rest uses conventional placeholders (see Ingredients sheet)</t>
        </is>
      </c>
      <c r="Z1574" s="2" t="n">
        <v>94</v>
      </c>
      <c r="AA1574" s="3" t="inlineStr">
        <is>
          <t>nut-free, high-protein</t>
        </is>
      </c>
      <c r="AB1574" s="3" t="inlineStr">
        <is>
          <t>1. Roast and slice the pork.
2. Layer with ham, Swiss, pickle and mustard in the tortillas.
3. Press in a hot pan until crisp.</t>
        </is>
      </c>
      <c r="AC1574" s="4" t="inlineStr">
        <is>
          <t>["Roast and slice the pork.", "Layer with ham, Swiss, pickle and mustard in the tortillas.", "Press in a hot pan until crisp."]</t>
        </is>
      </c>
    </row>
    <row r="1575" ht="96" customHeight="1">
      <c r="A1575" s="2" t="inlineStr">
        <is>
          <t>DB-1574</t>
        </is>
      </c>
      <c r="B1575" s="3" t="inlineStr">
        <is>
          <t>Greek Chicken Pita with Tzatziki</t>
        </is>
      </c>
      <c r="C1575" s="4" t="inlineStr">
        <is>
          <t>Sandwiches &amp; Wraps</t>
        </is>
      </c>
      <c r="D1575" s="4" t="inlineStr">
        <is>
          <t>Greek</t>
        </is>
      </c>
      <c r="E1575" s="2" t="n">
        <v>3</v>
      </c>
      <c r="F1575" s="2" t="n">
        <v>10</v>
      </c>
      <c r="G1575" s="2" t="n">
        <v>12</v>
      </c>
      <c r="H1575" s="2" t="n">
        <v>22</v>
      </c>
      <c r="I1575" s="4" t="inlineStr">
        <is>
          <t>greek-chicken-pita-with-tzatziki.jpg</t>
        </is>
      </c>
      <c r="J1575" s="3" t="inlineStr">
        <is>
          <t>Greek Chicken Pita with Tzatziki, healthy food photography, plated, natural light</t>
        </is>
      </c>
      <c r="K1575" s="4" t="inlineStr"/>
      <c r="L1575" s="3" t="inlineStr">
        <is>
          <t>Chicken breast, skinless — 400 g (14.1 oz)
Whole wheat pita — 180 g (6.3 oz)
Greek yogurt, plain 2% — 120 g (4.2 oz)
Cucumber — 100 g (3.5 oz)
Tomato — 100 g (3.5 oz)
Red onion — 30 g (1.1 oz)
Dried oregano — 2 g (0.1 oz)
Garlic — 4 g (0.1 oz)
Lemon juice — 15 g (0.5 oz)</t>
        </is>
      </c>
      <c r="M1575" s="4" t="inlineStr">
        <is>
          <t>[{"ingredient_id": "chicken_breast", "name": "Chicken breast, skinless", "grams": 400.0, "note": ""}, {"ingredient_id": "whole_wheat_pita", "name": "Whole wheat pita", "grams": 180.0, "note": ""}, {"ingredient_id": "greek_yogurt", "name": "Greek yogurt, plain 2%", "grams": 120.0, "note": ""}, {"ingredient_id": "cucumber", "name": "Cucumber", "grams": 100.0, "note": ""}, {"ingredient_id": "tomato", "name": "Tomato", "grams": 100.0, "note": ""}, {"ingredient_id": "red_onion", "name": "Red onion", "grams": 30.0, "note": ""}, {"ingredient_id": "oregano", "name": "Dried oregano", "grams": 2.0, "note": ""}, {"ingredient_id": "garlic", "name": "Garlic", "grams": 4.0, "note": ""}, {"ingredient_id": "lemon_juice", "name": "Lemon juice", "grams": 15.0, "note": ""}]</t>
        </is>
      </c>
      <c r="N1575" s="2" t="n">
        <v>369</v>
      </c>
      <c r="O1575" s="5" t="n">
        <v>40.8</v>
      </c>
      <c r="P1575" s="5" t="n">
        <v>6</v>
      </c>
      <c r="Q1575" s="5" t="n">
        <v>39.3</v>
      </c>
      <c r="R1575" s="5" t="n">
        <v>5.5</v>
      </c>
      <c r="S1575" s="5" t="n">
        <v>33.8</v>
      </c>
      <c r="T1575" s="2" t="n">
        <v>51</v>
      </c>
      <c r="U1575" s="2" t="inlineStr">
        <is>
          <t>low</t>
        </is>
      </c>
      <c r="V1575" s="5" t="n">
        <v>17.2</v>
      </c>
      <c r="W1575" s="2" t="inlineStr">
        <is>
          <t>medium</t>
        </is>
      </c>
      <c r="X1575" s="3" t="inlineStr"/>
      <c r="Y1575" s="3" t="inlineStr">
        <is>
          <t>89% of this dish's available carbohydrate comes from ingredients with a published, measured GI; the rest uses conventional placeholders (see Ingredients sheet)</t>
        </is>
      </c>
      <c r="Z1575" s="2" t="n">
        <v>89</v>
      </c>
      <c r="AA1575" s="3" t="inlineStr">
        <is>
          <t>nut-free, high-protein</t>
        </is>
      </c>
      <c r="AB1575" s="3" t="inlineStr">
        <is>
          <t>1. Season the chicken with oregano and lemon and sear; slice.
2. Stir the yogurt with cucumber and garlic.
3. Fill the pitas.</t>
        </is>
      </c>
      <c r="AC1575" s="4" t="inlineStr">
        <is>
          <t>["Season the chicken with oregano and lemon and sear; slice.", "Stir the yogurt with cucumber and garlic.", "Fill the pitas."]</t>
        </is>
      </c>
    </row>
    <row r="1576" ht="96" customHeight="1">
      <c r="A1576" s="2" t="inlineStr">
        <is>
          <t>DB-1575</t>
        </is>
      </c>
      <c r="B1576" s="3" t="inlineStr">
        <is>
          <t>Buffalo Chicken Wrap with Ranch</t>
        </is>
      </c>
      <c r="C1576" s="4" t="inlineStr">
        <is>
          <t>Sandwiches &amp; Wraps</t>
        </is>
      </c>
      <c r="D1576" s="4" t="inlineStr">
        <is>
          <t>American</t>
        </is>
      </c>
      <c r="E1576" s="2" t="n">
        <v>3</v>
      </c>
      <c r="F1576" s="2" t="n">
        <v>10</v>
      </c>
      <c r="G1576" s="2" t="n">
        <v>10</v>
      </c>
      <c r="H1576" s="2" t="n">
        <v>20</v>
      </c>
      <c r="I1576" s="4" t="inlineStr">
        <is>
          <t>buffalo-chicken-wrap-with-ranch.jpg</t>
        </is>
      </c>
      <c r="J1576" s="3" t="inlineStr">
        <is>
          <t>Buffalo Chicken Wrap with Ranch, healthy food photography, plated, natural light</t>
        </is>
      </c>
      <c r="K1576" s="4" t="inlineStr"/>
      <c r="L1576" s="3" t="inlineStr">
        <is>
          <t>Chicken breast, skinless — 400 g (14.1 oz)
Flour tortilla, 8-inch — 120 g (4.2 oz)
Hot sauce (Tabasco/Frank's) — 40 g (1.4 oz)
Romaine lettuce — 80 g (2.8 oz)
Celery — 50 g (1.8 oz)
Greek yogurt, plain 2% — 60 g (2.1 oz)
Ranch seasoning (dry) — 3 g (0.1 oz)</t>
        </is>
      </c>
      <c r="M1576" s="4" t="inlineStr">
        <is>
          <t>[{"ingredient_id": "chicken_breast", "name": "Chicken breast, skinless", "grams": 400.0, "note": ""}, {"ingredient_id": "flour_tortilla", "name": "Flour tortilla, 8-inch", "grams": 120.0, "note": ""}, {"ingredient_id": "hot_sauce", "name": "Hot sauce (Tabasco/Frank's)", "grams": 40.0, "note": ""}, {"ingredient_id": "romaine", "name": "Romaine lettuce", "grams": 80.0, "note": ""}, {"ingredient_id": "celery", "name": "Celery", "grams": 50.0, "note": ""}, {"ingredient_id": "greek_yogurt", "name": "Greek yogurt, plain 2%", "grams": 60.0, "note": ""}, {"ingredient_id": "ranch_seasoning", "name": "Ranch seasoning (dry)", "grams": 3.0, "note": ""}]</t>
        </is>
      </c>
      <c r="N1576" s="2" t="n">
        <v>309</v>
      </c>
      <c r="O1576" s="5" t="n">
        <v>35.9</v>
      </c>
      <c r="P1576" s="5" t="n">
        <v>7.3</v>
      </c>
      <c r="Q1576" s="5" t="n">
        <v>22.7</v>
      </c>
      <c r="R1576" s="5" t="n">
        <v>2.5</v>
      </c>
      <c r="S1576" s="5" t="n">
        <v>20.2</v>
      </c>
      <c r="T1576" s="2" t="n">
        <v>32</v>
      </c>
      <c r="U1576" s="2" t="inlineStr">
        <is>
          <t>low</t>
        </is>
      </c>
      <c r="V1576" s="5" t="n">
        <v>6.5</v>
      </c>
      <c r="W1576" s="2" t="inlineStr">
        <is>
          <t>low</t>
        </is>
      </c>
      <c r="X1576" s="3" t="inlineStr"/>
      <c r="Y1576" s="3" t="inlineStr">
        <is>
          <t>95% of this dish's available carbohydrate comes from ingredients with a published, measured GI; the rest uses conventional placeholders (see Ingredients sheet)</t>
        </is>
      </c>
      <c r="Z1576" s="2" t="n">
        <v>95</v>
      </c>
      <c r="AA1576" s="3" t="inlineStr">
        <is>
          <t>nut-free, high-protein</t>
        </is>
      </c>
      <c r="AB1576" s="3" t="inlineStr">
        <is>
          <t>1. Cook and shred the chicken and toss with the hot sauce.
2. Stir the yogurt with the ranch seasoning.
3. Fill the tortillas with chicken, lettuce, celery and ranch.</t>
        </is>
      </c>
      <c r="AC1576" s="4" t="inlineStr">
        <is>
          <t>["Cook and shred the chicken and toss with the hot sauce.", "Stir the yogurt with the ranch seasoning.", "Fill the tortillas with chicken, lettuce, celery and ranch."]</t>
        </is>
      </c>
    </row>
    <row r="1577" ht="96" customHeight="1">
      <c r="A1577" s="2" t="inlineStr">
        <is>
          <t>DB-1576</t>
        </is>
      </c>
      <c r="B1577" s="3" t="inlineStr">
        <is>
          <t>Garden Veggie Wrap with Hummus</t>
        </is>
      </c>
      <c r="C1577" s="4" t="inlineStr">
        <is>
          <t>Sandwiches &amp; Wraps</t>
        </is>
      </c>
      <c r="D1577" s="4" t="inlineStr">
        <is>
          <t>American</t>
        </is>
      </c>
      <c r="E1577" s="2" t="n">
        <v>2</v>
      </c>
      <c r="F1577" s="2" t="n">
        <v>10</v>
      </c>
      <c r="G1577" s="2" t="n">
        <v>0</v>
      </c>
      <c r="H1577" s="2" t="n">
        <v>10</v>
      </c>
      <c r="I1577" s="4" t="inlineStr">
        <is>
          <t>garden-veggie-wrap-with-hummus.jpg</t>
        </is>
      </c>
      <c r="J1577" s="3" t="inlineStr">
        <is>
          <t>Garden Veggie Wrap with Hummus, healthy food photography, plated, natural light</t>
        </is>
      </c>
      <c r="K1577" s="4" t="inlineStr"/>
      <c r="L1577" s="3" t="inlineStr">
        <is>
          <t>Flour tortilla, 8-inch — 80 g (2.8 oz)
Hummus — 80 g (2.8 oz)
Cucumber — 80 g (2.8 oz)
Bell pepper — 60 g (2.1 oz)
Carrot — 50 g (1.8 oz)
Spinach — 30 g (1.1 oz)
Feta cheese — 30 g (1.1 oz)</t>
        </is>
      </c>
      <c r="M1577" s="4" t="inlineStr">
        <is>
          <t>[{"ingredient_id": "flour_tortilla", "name": "Flour tortilla, 8-inch", "grams": 80.0, "note": ""}, {"ingredient_id": "hummus", "name": "Hummus", "grams": 80.0, "note": ""}, {"ingredient_id": "cucumber", "name": "Cucumber", "grams": 80.0, "note": ""}, {"ingredient_id": "bell_pepper", "name": "Bell pepper", "grams": 60.0, "note": ""}, {"ingredient_id": "carrot", "name": "Carrot", "grams": 50.0, "note": ""}, {"ingredient_id": "spinach", "name": "Spinach", "grams": 30.0, "note": ""}, {"ingredient_id": "feta", "name": "Feta cheese", "grams": 30.0, "note": ""}]</t>
        </is>
      </c>
      <c r="N1577" s="2" t="n">
        <v>257</v>
      </c>
      <c r="O1577" s="5" t="n">
        <v>9.800000000000001</v>
      </c>
      <c r="P1577" s="5" t="n">
        <v>10.4</v>
      </c>
      <c r="Q1577" s="5" t="n">
        <v>32.1</v>
      </c>
      <c r="R1577" s="5" t="n">
        <v>5.7</v>
      </c>
      <c r="S1577" s="5" t="n">
        <v>26.5</v>
      </c>
      <c r="T1577" s="2" t="n">
        <v>29</v>
      </c>
      <c r="U1577" s="2" t="inlineStr">
        <is>
          <t>low</t>
        </is>
      </c>
      <c r="V1577" s="5" t="n">
        <v>7.7</v>
      </c>
      <c r="W1577" s="2" t="inlineStr">
        <is>
          <t>low</t>
        </is>
      </c>
      <c r="X1577" s="3" t="inlineStr"/>
      <c r="Y1577" s="3" t="inlineStr">
        <is>
          <t>88% of this dish's available carbohydrate comes from ingredients with a published, measured GI; the rest uses conventional placeholders (see Ingredients sheet)</t>
        </is>
      </c>
      <c r="Z1577" s="2" t="n">
        <v>88</v>
      </c>
      <c r="AA1577" s="3" t="inlineStr">
        <is>
          <t>vegetarian, nut-free, no-cook</t>
        </is>
      </c>
      <c r="AB1577" s="3" t="inlineStr">
        <is>
          <t>1. Spread the tortillas with hummus.
2. Layer the vegetables and feta and roll.</t>
        </is>
      </c>
      <c r="AC1577" s="4" t="inlineStr">
        <is>
          <t>["Spread the tortillas with hummus.", "Layer the vegetables and feta and roll."]</t>
        </is>
      </c>
    </row>
    <row r="1578" ht="96" customHeight="1">
      <c r="A1578" s="2" t="inlineStr">
        <is>
          <t>DB-1577</t>
        </is>
      </c>
      <c r="B1578" s="3" t="inlineStr">
        <is>
          <t>Cheddar Grits Muffins</t>
        </is>
      </c>
      <c r="C1578" s="4" t="inlineStr">
        <is>
          <t>Side Dish</t>
        </is>
      </c>
      <c r="D1578" s="4" t="inlineStr">
        <is>
          <t>American</t>
        </is>
      </c>
      <c r="E1578" s="2" t="n">
        <v>8</v>
      </c>
      <c r="F1578" s="2" t="n">
        <v>10</v>
      </c>
      <c r="G1578" s="2" t="n">
        <v>22</v>
      </c>
      <c r="H1578" s="2" t="n">
        <v>32</v>
      </c>
      <c r="I1578" s="4" t="inlineStr">
        <is>
          <t>cheddar-grits-muffins.jpg</t>
        </is>
      </c>
      <c r="J1578" s="3" t="inlineStr">
        <is>
          <t>Cheddar Grits Muffins, healthy food photography, plated, natural light</t>
        </is>
      </c>
      <c r="K1578" s="4" t="inlineStr"/>
      <c r="L1578" s="3" t="inlineStr">
        <is>
          <t>Grits, cooked with water — 350 g (12.3 oz)
Almond flour — 80 g (2.8 oz)
Egg, large (50 g each) — 100 g (3.5 oz)
Milk, 2% — 80 g (2.8 oz)
Baking powder — 5 g (0.2 oz)
Butter — 30 g (1.1 oz)
Cheddar cheese — 40 g (1.4 oz)</t>
        </is>
      </c>
      <c r="M1578" s="4" t="inlineStr">
        <is>
          <t>[{"ingredient_id": "grits", "name": "Grits, cooked with water", "grams": 350.0, "note": ""}, {"ingredient_id": "almond_flour", "name": "Almond flour", "grams": 80.0, "note": ""}, {"ingredient_id": "egg", "name": "Egg, large (50 g each)", "grams": 100.0, "note": ""}, {"ingredient_id": "milk", "name": "Milk, 2%", "grams": 80.0, "note": ""}, {"ingredient_id": "baking_powder", "name": "Baking powder", "grams": 5.0, "note": ""}, {"ingredient_id": "butter", "name": "Butter", "grams": 30.0, "note": ""}, {"ingredient_id": "cheddar", "name": "Cheddar cheese", "grams": 40.0, "note": ""}]</t>
        </is>
      </c>
      <c r="N1578" s="2" t="n">
        <v>155</v>
      </c>
      <c r="O1578" s="5" t="n">
        <v>5.7</v>
      </c>
      <c r="P1578" s="5" t="n">
        <v>11.2</v>
      </c>
      <c r="Q1578" s="5" t="n">
        <v>8.300000000000001</v>
      </c>
      <c r="R1578" s="5" t="n">
        <v>1.5</v>
      </c>
      <c r="S1578" s="5" t="n">
        <v>6.8</v>
      </c>
      <c r="T1578" s="2" t="n">
        <v>55</v>
      </c>
      <c r="U1578" s="2" t="inlineStr">
        <is>
          <t>low</t>
        </is>
      </c>
      <c r="V1578" s="5" t="n">
        <v>3.8</v>
      </c>
      <c r="W1578" s="2" t="inlineStr">
        <is>
          <t>low</t>
        </is>
      </c>
      <c r="X1578" s="3" t="inlineStr"/>
      <c r="Y1578" s="3" t="inlineStr">
        <is>
          <t>82% of this dish's available carbohydrate comes from ingredients with a published, measured GI; the rest uses conventional placeholders (see Ingredients sheet)</t>
        </is>
      </c>
      <c r="Z1578" s="2" t="n">
        <v>82</v>
      </c>
      <c r="AA1578" s="3" t="inlineStr">
        <is>
          <t>vegetarian, gluten-free, low-carb</t>
        </is>
      </c>
      <c r="AB1578" s="3" t="inlineStr">
        <is>
          <t>1. Stir the eggs, milk and melted butter into the cooked grits.
2. Fold in the almond flour, baking powder and cheddar.
3. Bake in a greased tin at 400°F for 20 to 22 minutes.</t>
        </is>
      </c>
      <c r="AC1578" s="4" t="inlineStr">
        <is>
          <t>["Stir the eggs, milk and melted butter into the cooked grits.", "Fold in the almond flour, baking powder and cheddar.", "Bake in a greased tin at 400°F for 20 to 22 minutes."]</t>
        </is>
      </c>
    </row>
    <row r="1579" ht="96" customHeight="1">
      <c r="A1579" s="2" t="inlineStr">
        <is>
          <t>DB-1578</t>
        </is>
      </c>
      <c r="B1579" s="3" t="inlineStr">
        <is>
          <t>Roasted Garlic Mashed Sweet Potatoes</t>
        </is>
      </c>
      <c r="C1579" s="4" t="inlineStr">
        <is>
          <t>Side Dish</t>
        </is>
      </c>
      <c r="D1579" s="4" t="inlineStr">
        <is>
          <t>American</t>
        </is>
      </c>
      <c r="E1579" s="2" t="n">
        <v>5</v>
      </c>
      <c r="F1579" s="2" t="n">
        <v>10</v>
      </c>
      <c r="G1579" s="2" t="n">
        <v>40</v>
      </c>
      <c r="H1579" s="2" t="n">
        <v>50</v>
      </c>
      <c r="I1579" s="4" t="inlineStr">
        <is>
          <t>roasted-garlic-mashed-sweet-potatoes.jpg</t>
        </is>
      </c>
      <c r="J1579" s="3" t="inlineStr">
        <is>
          <t>Roasted Garlic Mashed Sweet Potatoes, healthy food photography, plated, natural light</t>
        </is>
      </c>
      <c r="K1579" s="4" t="inlineStr"/>
      <c r="L1579" s="3" t="inlineStr">
        <is>
          <t>Sweet potato, boiled/simmered — 700 g (24.7 oz)
Garlic — 15 g (0.5 oz)
Butter — 20 g (0.7 oz)
Milk, 2% — 60 g (2.1 oz)
Fresh thyme — 2 g (0.1 oz)
Salt — 2 g (0.1 oz)</t>
        </is>
      </c>
      <c r="M1579" s="4" t="inlineStr">
        <is>
          <t>[{"ingredient_id": "sweet_potato", "name": "Sweet potato, boiled/simmered", "grams": 700.0, "note": ""}, {"ingredient_id": "garlic", "name": "Garlic", "grams": 15.0, "note": ""}, {"ingredient_id": "butter", "name": "Butter", "grams": 20.0, "note": ""}, {"ingredient_id": "milk", "name": "Milk, 2%", "grams": 60.0, "note": ""}, {"ingredient_id": "thyme", "name": "Fresh thyme", "grams": 2.0, "note": ""}, {"ingredient_id": "salt", "name": "Salt", "grams": 2.0, "note": ""}]</t>
        </is>
      </c>
      <c r="N1579" s="2" t="n">
        <v>160</v>
      </c>
      <c r="O1579" s="5" t="n">
        <v>2.9</v>
      </c>
      <c r="P1579" s="5" t="n">
        <v>3.6</v>
      </c>
      <c r="Q1579" s="5" t="n">
        <v>29.7</v>
      </c>
      <c r="R1579" s="5" t="n">
        <v>4.3</v>
      </c>
      <c r="S1579" s="5" t="n">
        <v>25.3</v>
      </c>
      <c r="T1579" s="2" t="n">
        <v>45</v>
      </c>
      <c r="U1579" s="2" t="inlineStr">
        <is>
          <t>low</t>
        </is>
      </c>
      <c r="V1579" s="5" t="n">
        <v>11.4</v>
      </c>
      <c r="W1579" s="2" t="inlineStr">
        <is>
          <t>medium</t>
        </is>
      </c>
      <c r="X1579" s="3" t="inlineStr"/>
      <c r="Y1579" s="3" t="inlineStr">
        <is>
          <t>96% of this dish's available carbohydrate comes from ingredients with a published, measured GI; the rest uses conventional placeholders (see Ingredients sheet)</t>
        </is>
      </c>
      <c r="Z1579" s="2" t="n">
        <v>96</v>
      </c>
      <c r="AA1579" s="3" t="inlineStr">
        <is>
          <t>vegetarian, gluten-free, nut-free</t>
        </is>
      </c>
      <c r="AB1579" s="3" t="inlineStr">
        <is>
          <t>1. Roast the sweet potatoes and garlic until soft.
2. Mash with butter, milk, thyme and salt.</t>
        </is>
      </c>
      <c r="AC1579" s="4" t="inlineStr">
        <is>
          <t>["Roast the sweet potatoes and garlic until soft.", "Mash with butter, milk, thyme and salt."]</t>
        </is>
      </c>
    </row>
    <row r="1580" ht="96" customHeight="1">
      <c r="A1580" s="2" t="inlineStr">
        <is>
          <t>DB-1579</t>
        </is>
      </c>
      <c r="B1580" s="3" t="inlineStr">
        <is>
          <t>Herbed Roasted Baby Potatoes</t>
        </is>
      </c>
      <c r="C1580" s="4" t="inlineStr">
        <is>
          <t>Side Dish</t>
        </is>
      </c>
      <c r="D1580" s="4" t="inlineStr">
        <is>
          <t>American</t>
        </is>
      </c>
      <c r="E1580" s="2" t="n">
        <v>5</v>
      </c>
      <c r="F1580" s="2" t="n">
        <v>10</v>
      </c>
      <c r="G1580" s="2" t="n">
        <v>30</v>
      </c>
      <c r="H1580" s="2" t="n">
        <v>40</v>
      </c>
      <c r="I1580" s="4" t="inlineStr">
        <is>
          <t>herbed-roasted-baby-potatoes.jpg</t>
        </is>
      </c>
      <c r="J1580" s="3" t="inlineStr">
        <is>
          <t>Herbed Roasted Baby Potatoes, healthy food photography, plated, natural light</t>
        </is>
      </c>
      <c r="K1580" s="4" t="inlineStr"/>
      <c r="L1580" s="3" t="inlineStr">
        <is>
          <t>New potatoes, boiled — 600 g (21.2 oz)
Extra-virgin olive oil — 25 g (0.9 oz)
Fresh rosemary — 3 g (0.1 oz)
Garlic — 8 g (0.3 oz)
Fresh parsley — 5 g (0.2 oz)
Salt — 2 g (0.1 oz)</t>
        </is>
      </c>
      <c r="M1580" s="4" t="inlineStr">
        <is>
          <t>[{"ingredient_id": "new_potato", "name": "New potatoes, boiled", "grams": 600.0, "note": ""}, {"ingredient_id": "olive_oil", "name": "Extra-virgin olive oil", "grams": 25.0, "note": ""}, {"ingredient_id": "rosemary", "name": "Fresh rosemary", "grams": 3.0, "note": ""}, {"ingredient_id": "garlic", "name": "Garlic", "grams": 8.0, "note": ""}, {"ingredient_id": "parsley", "name": "Fresh parsley", "grams": 5.0, "note": ""}, {"ingredient_id": "salt", "name": "Salt", "grams": 2.0, "note": ""}]</t>
        </is>
      </c>
      <c r="N1580" s="2" t="n">
        <v>152</v>
      </c>
      <c r="O1580" s="5" t="n">
        <v>2.4</v>
      </c>
      <c r="P1580" s="5" t="n">
        <v>5.2</v>
      </c>
      <c r="Q1580" s="5" t="n">
        <v>24.7</v>
      </c>
      <c r="R1580" s="5" t="n">
        <v>2.3</v>
      </c>
      <c r="S1580" s="5" t="n">
        <v>22.4</v>
      </c>
      <c r="T1580" s="2" t="n">
        <v>70</v>
      </c>
      <c r="U1580" s="2" t="inlineStr">
        <is>
          <t>high</t>
        </is>
      </c>
      <c r="V1580" s="5" t="n">
        <v>15.7</v>
      </c>
      <c r="W1580" s="2" t="inlineStr">
        <is>
          <t>medium</t>
        </is>
      </c>
      <c r="X1580" s="3" t="inlineStr">
        <is>
          <t>Medium-GI dish: keep to the stated portion and pair with the protein/fat in the recipe; GL per serving is the better guide.</t>
        </is>
      </c>
      <c r="Y1580" s="3" t="inlineStr">
        <is>
          <t>97% of this dish's available carbohydrate comes from ingredients with a published, measured GI; the rest uses conventional placeholders (see Ingredients sheet)</t>
        </is>
      </c>
      <c r="Z1580" s="2" t="n">
        <v>97</v>
      </c>
      <c r="AA1580" s="3" t="inlineStr">
        <is>
          <t>vegan, gluten-free, dairy-free, nut-free</t>
        </is>
      </c>
      <c r="AB1580" s="3" t="inlineStr">
        <is>
          <t>1. Toss the halved potatoes with oil, rosemary, garlic and salt.
2. Roast at 425°F for 30 minutes and finish with parsley.</t>
        </is>
      </c>
      <c r="AC1580" s="4" t="inlineStr">
        <is>
          <t>["Toss the halved potatoes with oil, rosemary, garlic and salt.", "Roast at 425°F for 30 minutes and finish with parsley."]</t>
        </is>
      </c>
    </row>
    <row r="1581" ht="96" customHeight="1">
      <c r="A1581" s="2" t="inlineStr">
        <is>
          <t>DB-1580</t>
        </is>
      </c>
      <c r="B1581" s="3" t="inlineStr">
        <is>
          <t>Creamy Coleslaw with Apple and Dill</t>
        </is>
      </c>
      <c r="C1581" s="4" t="inlineStr">
        <is>
          <t>Side Dish</t>
        </is>
      </c>
      <c r="D1581" s="4" t="inlineStr">
        <is>
          <t>American</t>
        </is>
      </c>
      <c r="E1581" s="2" t="n">
        <v>6</v>
      </c>
      <c r="F1581" s="2" t="n">
        <v>10</v>
      </c>
      <c r="G1581" s="2" t="n">
        <v>0</v>
      </c>
      <c r="H1581" s="2" t="n">
        <v>10</v>
      </c>
      <c r="I1581" s="4" t="inlineStr">
        <is>
          <t>creamy-coleslaw-with-apple-and-dill.jpg</t>
        </is>
      </c>
      <c r="J1581" s="3" t="inlineStr">
        <is>
          <t>Creamy Coleslaw with Apple and Dill, healthy food photography, plated, natural light</t>
        </is>
      </c>
      <c r="K1581" s="4" t="inlineStr"/>
      <c r="L1581" s="3" t="inlineStr">
        <is>
          <t>Coleslaw mix (cabbage &amp; carrot) — 350 g (12.3 oz)
Apple — 100 g (3.5 oz)
Greek yogurt, plain 2% — 100 g (3.5 oz)
Mayonnaise (avocado oil) — 25 g (0.9 oz)
Apple cider vinegar — 20 g (0.7 oz)
Fresh dill — 5 g (0.2 oz)</t>
        </is>
      </c>
      <c r="M1581" s="4" t="inlineStr">
        <is>
          <t>[{"ingredient_id": "coleslaw_mix", "name": "Coleslaw mix (cabbage &amp; carrot)", "grams": 350.0, "note": ""}, {"ingredient_id": "apple", "name": "Apple", "grams": 100.0, "note": ""}, {"ingredient_id": "greek_yogurt", "name": "Greek yogurt, plain 2%", "grams": 100.0, "note": ""}, {"ingredient_id": "mayo", "name": "Mayonnaise (avocado oil)", "grams": 25.0, "note": ""}, {"ingredient_id": "apple_cider_vinegar", "name": "Apple cider vinegar", "grams": 20.0, "note": ""}, {"ingredient_id": "dill", "name": "Fresh dill", "grams": 5.0, "note": ""}]</t>
        </is>
      </c>
      <c r="N1581" s="2" t="n">
        <v>67</v>
      </c>
      <c r="O1581" s="5" t="n">
        <v>2.5</v>
      </c>
      <c r="P1581" s="5" t="n">
        <v>3.7</v>
      </c>
      <c r="Q1581" s="5" t="n">
        <v>6.6</v>
      </c>
      <c r="R1581" s="5" t="n">
        <v>1.8</v>
      </c>
      <c r="S1581" s="5" t="n">
        <v>4.8</v>
      </c>
      <c r="T1581" s="2" t="n">
        <v>23</v>
      </c>
      <c r="U1581" s="2" t="inlineStr">
        <is>
          <t>low</t>
        </is>
      </c>
      <c r="V1581" s="5" t="n">
        <v>1.1</v>
      </c>
      <c r="W1581" s="2" t="inlineStr">
        <is>
          <t>low</t>
        </is>
      </c>
      <c r="X1581" s="3" t="inlineStr">
        <is>
          <t>Negligible carbohydrate (&lt;5 g net/serving): GI has little practical meaning, glycemic load is what matters.</t>
        </is>
      </c>
      <c r="Y1581" s="3" t="inlineStr">
        <is>
          <t>54% of this dish's available carbohydrate comes from ingredients with a published, measured GI; the rest uses conventional placeholders (see Ingredients sheet)</t>
        </is>
      </c>
      <c r="Z1581" s="2" t="n">
        <v>54</v>
      </c>
      <c r="AA1581" s="3" t="inlineStr">
        <is>
          <t>vegetarian, gluten-free, nut-free, low-carb, no-cook</t>
        </is>
      </c>
      <c r="AB1581" s="3" t="inlineStr">
        <is>
          <t>1. Whisk the yogurt, mayo, vinegar and dill.
2. Toss with the slaw and diced apple.
3. Chill before serving.</t>
        </is>
      </c>
      <c r="AC1581" s="4" t="inlineStr">
        <is>
          <t>["Whisk the yogurt, mayo, vinegar and dill.", "Toss with the slaw and diced apple.", "Chill before serving."]</t>
        </is>
      </c>
    </row>
    <row r="1582" ht="96" customHeight="1">
      <c r="A1582" s="2" t="inlineStr">
        <is>
          <t>DB-1581</t>
        </is>
      </c>
      <c r="B1582" s="3" t="inlineStr">
        <is>
          <t>Ginger Glazed Carrots</t>
        </is>
      </c>
      <c r="C1582" s="4" t="inlineStr">
        <is>
          <t>Side Dish</t>
        </is>
      </c>
      <c r="D1582" s="4" t="inlineStr">
        <is>
          <t>American</t>
        </is>
      </c>
      <c r="E1582" s="2" t="n">
        <v>5</v>
      </c>
      <c r="F1582" s="2" t="n">
        <v>5</v>
      </c>
      <c r="G1582" s="2" t="n">
        <v>15</v>
      </c>
      <c r="H1582" s="2" t="n">
        <v>20</v>
      </c>
      <c r="I1582" s="4" t="inlineStr">
        <is>
          <t>ginger-glazed-carrots.jpg</t>
        </is>
      </c>
      <c r="J1582" s="3" t="inlineStr">
        <is>
          <t>Ginger Glazed Carrots, healthy food photography, plated, natural light</t>
        </is>
      </c>
      <c r="K1582" s="4" t="inlineStr"/>
      <c r="L1582" s="3" t="inlineStr">
        <is>
          <t>Carrot — 600 g (21.2 oz)
Butter — 20 g (0.7 oz)
Fresh ginger — 6 g (0.2 oz)
Orange — 60 g (2.1 oz)
Fresh parsley — 4 g (0.1 oz)</t>
        </is>
      </c>
      <c r="M1582" s="4" t="inlineStr">
        <is>
          <t>[{"ingredient_id": "carrot", "name": "Carrot", "grams": 600.0, "note": ""}, {"ingredient_id": "butter", "name": "Butter", "grams": 20.0, "note": ""}, {"ingredient_id": "ginger", "name": "Fresh ginger", "grams": 6.0, "note": ""}, {"ingredient_id": "orange", "name": "Orange", "grams": 60.0, "note": ""}, {"ingredient_id": "parsley", "name": "Fresh parsley", "grams": 4.0, "note": ""}]</t>
        </is>
      </c>
      <c r="N1582" s="2" t="n">
        <v>85</v>
      </c>
      <c r="O1582" s="5" t="n">
        <v>1.3</v>
      </c>
      <c r="P1582" s="5" t="n">
        <v>3.5</v>
      </c>
      <c r="Q1582" s="5" t="n">
        <v>13.2</v>
      </c>
      <c r="R1582" s="5" t="n">
        <v>3.7</v>
      </c>
      <c r="S1582" s="5" t="n">
        <v>9.5</v>
      </c>
      <c r="T1582" s="2" t="n">
        <v>39</v>
      </c>
      <c r="U1582" s="2" t="inlineStr">
        <is>
          <t>low</t>
        </is>
      </c>
      <c r="V1582" s="5" t="n">
        <v>3.7</v>
      </c>
      <c r="W1582" s="2" t="inlineStr">
        <is>
          <t>low</t>
        </is>
      </c>
      <c r="X1582" s="3" t="inlineStr"/>
      <c r="Y1582" s="3" t="inlineStr">
        <is>
          <t>98% of this dish's available carbohydrate comes from ingredients with a published, measured GI; the rest uses conventional placeholders (see Ingredients sheet)</t>
        </is>
      </c>
      <c r="Z1582" s="2" t="n">
        <v>98</v>
      </c>
      <c r="AA1582" s="3" t="inlineStr">
        <is>
          <t>vegetarian, gluten-free, nut-free, low-carb</t>
        </is>
      </c>
      <c r="AB1582" s="3" t="inlineStr">
        <is>
          <t>1. Simmer the sliced carrots with butter, ginger and orange juice until glazed.
2. Finish with parsley.</t>
        </is>
      </c>
      <c r="AC1582" s="4" t="inlineStr">
        <is>
          <t>["Simmer the sliced carrots with butter, ginger and orange juice until glazed.", "Finish with parsley."]</t>
        </is>
      </c>
    </row>
    <row r="1583" ht="96" customHeight="1">
      <c r="A1583" s="2" t="inlineStr">
        <is>
          <t>DB-1582</t>
        </is>
      </c>
      <c r="B1583" s="3" t="inlineStr">
        <is>
          <t>Creamy Spinach Artichoke Baked Cups</t>
        </is>
      </c>
      <c r="C1583" s="4" t="inlineStr">
        <is>
          <t>Side Dish</t>
        </is>
      </c>
      <c r="D1583" s="4" t="inlineStr">
        <is>
          <t>American</t>
        </is>
      </c>
      <c r="E1583" s="2" t="n">
        <v>6</v>
      </c>
      <c r="F1583" s="2" t="n">
        <v>10</v>
      </c>
      <c r="G1583" s="2" t="n">
        <v>20</v>
      </c>
      <c r="H1583" s="2" t="n">
        <v>30</v>
      </c>
      <c r="I1583" s="4" t="inlineStr">
        <is>
          <t>creamy-spinach-artichoke-baked-cups.jpg</t>
        </is>
      </c>
      <c r="J1583" s="3" t="inlineStr">
        <is>
          <t>Creamy Spinach Artichoke Baked Cups, healthy food photography, plated, natural light</t>
        </is>
      </c>
      <c r="K1583" s="4" t="inlineStr"/>
      <c r="L1583" s="3" t="inlineStr">
        <is>
          <t>Spinach — 250 g (8.8 oz)
Artichoke hearts, canned in water — 150 g (5.3 oz)
Egg, large (50 g each) — 100 g (3.5 oz)
Ricotta, part-skim — 120 g (4.2 oz)
Parmesan, grated — 30 g (1.1 oz)
Garlic — 4 g (0.1 oz)</t>
        </is>
      </c>
      <c r="M1583" s="4" t="inlineStr">
        <is>
          <t>[{"ingredient_id": "spinach", "name": "Spinach", "grams": 250.0, "note": ""}, {"ingredient_id": "artichoke_hearts", "name": "Artichoke hearts, canned in water", "grams": 150.0, "note": ""}, {"ingredient_id": "egg", "name": "Egg, large (50 g each)", "grams": 100.0, "note": ""}, {"ingredient_id": "ricotta", "name": "Ricotta, part-skim", "grams": 120.0, "note": ""}, {"ingredient_id": "parmesan", "name": "Parmesan, grated", "grams": 30.0, "note": ""}, {"ingredient_id": "garlic", "name": "Garlic", "grams": 4.0, "note": ""}]</t>
        </is>
      </c>
      <c r="N1583" s="2" t="n">
        <v>95</v>
      </c>
      <c r="O1583" s="5" t="n">
        <v>8.300000000000001</v>
      </c>
      <c r="P1583" s="5" t="n">
        <v>4.9</v>
      </c>
      <c r="Q1583" s="5" t="n">
        <v>5.7</v>
      </c>
      <c r="R1583" s="5" t="n">
        <v>2.3</v>
      </c>
      <c r="S1583" s="5" t="n">
        <v>3.4</v>
      </c>
      <c r="T1583" s="2" t="n">
        <v>15</v>
      </c>
      <c r="U1583" s="2" t="inlineStr">
        <is>
          <t>low</t>
        </is>
      </c>
      <c r="V1583" s="5" t="n">
        <v>0.5</v>
      </c>
      <c r="W1583" s="2" t="inlineStr">
        <is>
          <t>low</t>
        </is>
      </c>
      <c r="X1583" s="3" t="inlineStr">
        <is>
          <t>Negligible carbohydrate (&lt;5 g net/serving): GI has little practical meaning, glycemic load is what matters.</t>
        </is>
      </c>
      <c r="Y1583" s="3" t="inlineStr">
        <is>
          <t>0% of this dish's available carbohydrate comes from ingredients with a published, measured GI; the rest uses conventional placeholders (see Ingredients sheet)</t>
        </is>
      </c>
      <c r="Z1583" s="2" t="n">
        <v>0</v>
      </c>
      <c r="AA1583" s="3" t="inlineStr">
        <is>
          <t>vegetarian, gluten-free, nut-free, low-carb</t>
        </is>
      </c>
      <c r="AB1583" s="3" t="inlineStr">
        <is>
          <t>1. Wilt the spinach and chop with the artichokes.
2. Mix with the egg, ricotta, parmesan and garlic.
3. Divide into muffin cups and bake at 375°F for 18 to 20 minutes.</t>
        </is>
      </c>
      <c r="AC1583" s="4" t="inlineStr">
        <is>
          <t>["Wilt the spinach and chop with the artichokes.", "Mix with the egg, ricotta, parmesan and garlic.", "Divide into muffin cups and bake at 375°F for 18 to 20 minutes."]</t>
        </is>
      </c>
    </row>
    <row r="1584" ht="96" customHeight="1">
      <c r="A1584" s="2" t="inlineStr">
        <is>
          <t>DB-1583</t>
        </is>
      </c>
      <c r="B1584" s="3" t="inlineStr">
        <is>
          <t>Lemon Herb Quinoa Pilaf</t>
        </is>
      </c>
      <c r="C1584" s="4" t="inlineStr">
        <is>
          <t>Side Dish</t>
        </is>
      </c>
      <c r="D1584" s="4" t="inlineStr">
        <is>
          <t>Mediterranean</t>
        </is>
      </c>
      <c r="E1584" s="2" t="n">
        <v>5</v>
      </c>
      <c r="F1584" s="2" t="n">
        <v>5</v>
      </c>
      <c r="G1584" s="2" t="n">
        <v>20</v>
      </c>
      <c r="H1584" s="2" t="n">
        <v>25</v>
      </c>
      <c r="I1584" s="4" t="inlineStr">
        <is>
          <t>lemon-herb-quinoa-pilaf.jpg</t>
        </is>
      </c>
      <c r="J1584" s="3" t="inlineStr">
        <is>
          <t>Lemon Herb Quinoa Pilaf, healthy food photography, plated, natural light</t>
        </is>
      </c>
      <c r="K1584" s="4" t="inlineStr"/>
      <c r="L1584" s="3" t="inlineStr">
        <is>
          <t>Quinoa, cooked — 500 g (17.6 oz)
Lemon juice — 30 g (1.1 oz)
Fresh parsley — 15 g (0.5 oz)
Fresh mint — 6 g (0.2 oz)
Almonds — 25 g (0.9 oz)
Extra-virgin olive oil — 20 g (0.7 oz)
Green onions (scallions) — 20 g (0.7 oz)</t>
        </is>
      </c>
      <c r="M1584" s="4" t="inlineStr">
        <is>
          <t>[{"ingredient_id": "quinoa", "name": "Quinoa, cooked", "grams": 500.0, "note": ""}, {"ingredient_id": "lemon_juice", "name": "Lemon juice", "grams": 30.0, "note": ""}, {"ingredient_id": "parsley", "name": "Fresh parsley", "grams": 15.0, "note": ""}, {"ingredient_id": "mint", "name": "Fresh mint", "grams": 6.0, "note": ""}, {"ingredient_id": "almonds", "name": "Almonds", "grams": 25.0, "note": ""}, {"ingredient_id": "olive_oil", "name": "Extra-virgin olive oil", "grams": 20.0, "note": ""}, {"ingredient_id": "green_onion", "name": "Green onions (scallions)", "grams": 20.0, "note": ""}]</t>
        </is>
      </c>
      <c r="N1584" s="2" t="n">
        <v>189</v>
      </c>
      <c r="O1584" s="5" t="n">
        <v>5.7</v>
      </c>
      <c r="P1584" s="5" t="n">
        <v>8.5</v>
      </c>
      <c r="Q1584" s="5" t="n">
        <v>23.1</v>
      </c>
      <c r="R1584" s="5" t="n">
        <v>3.7</v>
      </c>
      <c r="S1584" s="5" t="n">
        <v>19.4</v>
      </c>
      <c r="T1584" s="2" t="n">
        <v>51</v>
      </c>
      <c r="U1584" s="2" t="inlineStr">
        <is>
          <t>low</t>
        </is>
      </c>
      <c r="V1584" s="5" t="n">
        <v>9.9</v>
      </c>
      <c r="W1584" s="2" t="inlineStr">
        <is>
          <t>low</t>
        </is>
      </c>
      <c r="X1584" s="3" t="inlineStr"/>
      <c r="Y1584" s="3" t="inlineStr">
        <is>
          <t>94% of this dish's available carbohydrate comes from ingredients with a published, measured GI; the rest uses conventional placeholders (see Ingredients sheet)</t>
        </is>
      </c>
      <c r="Z1584" s="2" t="n">
        <v>94</v>
      </c>
      <c r="AA1584" s="3" t="inlineStr">
        <is>
          <t>vegan, gluten-free, dairy-free</t>
        </is>
      </c>
      <c r="AB1584" s="3" t="inlineStr">
        <is>
          <t>1. Toss the warm quinoa with lemon, oil, herbs and green onion.
2. Top with toasted almonds.</t>
        </is>
      </c>
      <c r="AC1584" s="4" t="inlineStr">
        <is>
          <t>["Toss the warm quinoa with lemon, oil, herbs and green onion.", "Top with toasted almonds."]</t>
        </is>
      </c>
    </row>
    <row r="1585" ht="96" customHeight="1">
      <c r="A1585" s="2" t="inlineStr">
        <is>
          <t>DB-1584</t>
        </is>
      </c>
      <c r="B1585" s="3" t="inlineStr">
        <is>
          <t>Skillet Corn with Jalapeno and Lime</t>
        </is>
      </c>
      <c r="C1585" s="4" t="inlineStr">
        <is>
          <t>Side Dish</t>
        </is>
      </c>
      <c r="D1585" s="4" t="inlineStr">
        <is>
          <t>Tex-Mex</t>
        </is>
      </c>
      <c r="E1585" s="2" t="n">
        <v>5</v>
      </c>
      <c r="F1585" s="2" t="n">
        <v>5</v>
      </c>
      <c r="G1585" s="2" t="n">
        <v>10</v>
      </c>
      <c r="H1585" s="2" t="n">
        <v>15</v>
      </c>
      <c r="I1585" s="4" t="inlineStr">
        <is>
          <t>skillet-corn-with-jalapeno-and-lime.jpg</t>
        </is>
      </c>
      <c r="J1585" s="3" t="inlineStr">
        <is>
          <t>Skillet Corn with Jalapeno and Lime, healthy food photography, plated, natural light</t>
        </is>
      </c>
      <c r="K1585" s="4" t="inlineStr"/>
      <c r="L1585" s="3" t="inlineStr">
        <is>
          <t>Sweet corn kernels — 450 g (15.9 oz)
Jalapeño — 20 g (0.7 oz)
Lime juice — 20 g (0.7 oz)
Butter — 15 g (0.5 oz)
Fresh cilantro — 6 g (0.2 oz)
Cotija cheese — 30 g (1.1 oz)</t>
        </is>
      </c>
      <c r="M1585" s="4" t="inlineStr">
        <is>
          <t>[{"ingredient_id": "corn", "name": "Sweet corn kernels", "grams": 450.0, "note": ""}, {"ingredient_id": "jalapeno", "name": "Jalapeño", "grams": 20.0, "note": ""}, {"ingredient_id": "lime_juice", "name": "Lime juice", "grams": 20.0, "note": ""}, {"ingredient_id": "butter", "name": "Butter", "grams": 15.0, "note": ""}, {"ingredient_id": "cilantro", "name": "Fresh cilantro", "grams": 6.0, "note": ""}, {"ingredient_id": "cotija", "name": "Cotija cheese", "grams": 30.0, "note": ""}]</t>
        </is>
      </c>
      <c r="N1585" s="2" t="n">
        <v>123</v>
      </c>
      <c r="O1585" s="5" t="n">
        <v>4.3</v>
      </c>
      <c r="P1585" s="5" t="n">
        <v>5.5</v>
      </c>
      <c r="Q1585" s="5" t="n">
        <v>18</v>
      </c>
      <c r="R1585" s="5" t="n">
        <v>2.6</v>
      </c>
      <c r="S1585" s="5" t="n">
        <v>15.4</v>
      </c>
      <c r="T1585" s="2" t="n">
        <v>50</v>
      </c>
      <c r="U1585" s="2" t="inlineStr">
        <is>
          <t>low</t>
        </is>
      </c>
      <c r="V1585" s="5" t="n">
        <v>7.7</v>
      </c>
      <c r="W1585" s="2" t="inlineStr">
        <is>
          <t>low</t>
        </is>
      </c>
      <c r="X1585" s="3" t="inlineStr"/>
      <c r="Y1585" s="3" t="inlineStr">
        <is>
          <t>95% of this dish's available carbohydrate comes from ingredients with a published, measured GI; the rest uses conventional placeholders (see Ingredients sheet)</t>
        </is>
      </c>
      <c r="Z1585" s="2" t="n">
        <v>95</v>
      </c>
      <c r="AA1585" s="3" t="inlineStr">
        <is>
          <t>vegetarian, gluten-free, nut-free</t>
        </is>
      </c>
      <c r="AB1585" s="3" t="inlineStr">
        <is>
          <t>1. Char the corn in butter with the jalapeno.
2. Finish with lime, cilantro and cotija.</t>
        </is>
      </c>
      <c r="AC1585" s="4" t="inlineStr">
        <is>
          <t>["Char the corn in butter with the jalapeno.", "Finish with lime, cilantro and cotija."]</t>
        </is>
      </c>
    </row>
    <row r="1586" ht="96" customHeight="1">
      <c r="A1586" s="2" t="inlineStr">
        <is>
          <t>DB-1585</t>
        </is>
      </c>
      <c r="B1586" s="3" t="inlineStr">
        <is>
          <t>Turkey Chili Stuffed Baked Potatoes</t>
        </is>
      </c>
      <c r="C1586" s="4" t="inlineStr">
        <is>
          <t>Beef, Pork &amp; Lamb</t>
        </is>
      </c>
      <c r="D1586" s="4" t="inlineStr">
        <is>
          <t>American</t>
        </is>
      </c>
      <c r="E1586" s="2" t="n">
        <v>4</v>
      </c>
      <c r="F1586" s="2" t="n">
        <v>15</v>
      </c>
      <c r="G1586" s="2" t="n">
        <v>60</v>
      </c>
      <c r="H1586" s="2" t="n">
        <v>75</v>
      </c>
      <c r="I1586" s="4" t="inlineStr">
        <is>
          <t>turkey-chili-stuffed-baked-potatoes.jpg</t>
        </is>
      </c>
      <c r="J1586" s="3" t="inlineStr">
        <is>
          <t>Turkey Chili Stuffed Baked Potatoes, healthy food photography, plated, natural light</t>
        </is>
      </c>
      <c r="K1586" s="4" t="inlineStr"/>
      <c r="L1586" s="3" t="inlineStr">
        <is>
          <t>Potato, baked, flesh (russet) — 600 g (21.2 oz)
Ground turkey 93% lean — 350 g (12.3 oz)
Kidney beans, cooked — 150 g (5.3 oz)
Diced tomatoes, canned — 300 g (10.6 oz)
Chili powder — 8 g (0.3 oz)
Yellow onion — 80 g (2.8 oz)
Cheddar cheese — 50 g (1.8 oz)</t>
        </is>
      </c>
      <c r="M1586" s="4" t="inlineStr">
        <is>
          <t>[{"ingredient_id": "potato_baked", "name": "Potato, baked, flesh (russet)", "grams": 600.0, "note": ""}, {"ingredient_id": "ground_turkey", "name": "Ground turkey 93% lean", "grams": 350.0, "note": ""}, {"ingredient_id": "kidney_beans", "name": "Kidney beans, cooked", "grams": 150.0, "note": ""}, {"ingredient_id": "diced_tomatoes", "name": "Diced tomatoes, canned", "grams": 300.0, "note": ""}, {"ingredient_id": "chili_powder", "name": "Chili powder", "grams": 8.0, "note": ""}, {"ingredient_id": "onion", "name": "Yellow onion", "grams": 80.0, "note": ""}, {"ingredient_id": "cheddar", "name": "Cheddar cheese", "grams": 50.0, "note": ""}]</t>
        </is>
      </c>
      <c r="N1586" s="2" t="n">
        <v>400</v>
      </c>
      <c r="O1586" s="5" t="n">
        <v>26.8</v>
      </c>
      <c r="P1586" s="5" t="n">
        <v>11.9</v>
      </c>
      <c r="Q1586" s="5" t="n">
        <v>47.6</v>
      </c>
      <c r="R1586" s="5" t="n">
        <v>6.8</v>
      </c>
      <c r="S1586" s="5" t="n">
        <v>40.8</v>
      </c>
      <c r="T1586" s="2" t="n">
        <v>71</v>
      </c>
      <c r="U1586" s="2" t="inlineStr">
        <is>
          <t>high</t>
        </is>
      </c>
      <c r="V1586" s="5" t="n">
        <v>28.9</v>
      </c>
      <c r="W1586" s="2" t="inlineStr">
        <is>
          <t>high</t>
        </is>
      </c>
      <c r="X1586" s="3" t="inlineStr">
        <is>
          <t>Medium-GI dish: keep to the stated portion and pair with the protein/fat in the recipe; GL per serving is the better guide.</t>
        </is>
      </c>
      <c r="Y1586" s="3" t="inlineStr">
        <is>
          <t>89% of this dish's available carbohydrate comes from ingredients with a published, measured GI; the rest uses conventional placeholders (see Ingredients sheet)</t>
        </is>
      </c>
      <c r="Z1586" s="2" t="n">
        <v>89</v>
      </c>
      <c r="AA1586" s="3" t="inlineStr">
        <is>
          <t>gluten-free, nut-free, high-protein</t>
        </is>
      </c>
      <c r="AB1586" s="3" t="inlineStr">
        <is>
          <t>1. Bake the potatoes.
2. Brown the turkey with the onion, add the spices, tomatoes and beans and simmer 15 minutes.
3. Split the potatoes and fill with chili and cheddar.</t>
        </is>
      </c>
      <c r="AC1586" s="4" t="inlineStr">
        <is>
          <t>["Bake the potatoes.", "Brown the turkey with the onion, add the spices, tomatoes and beans and simmer 15 minutes.", "Split the potatoes and fill with chili and cheddar."]</t>
        </is>
      </c>
    </row>
    <row r="1587" ht="96" customHeight="1">
      <c r="A1587" s="2" t="inlineStr">
        <is>
          <t>DB-1586</t>
        </is>
      </c>
      <c r="B1587" s="3" t="inlineStr">
        <is>
          <t>Chicken Enchilada Casserole with Zucchini</t>
        </is>
      </c>
      <c r="C1587" s="4" t="inlineStr">
        <is>
          <t>Poultry</t>
        </is>
      </c>
      <c r="D1587" s="4" t="inlineStr">
        <is>
          <t>Tex-Mex</t>
        </is>
      </c>
      <c r="E1587" s="2" t="n">
        <v>6</v>
      </c>
      <c r="F1587" s="2" t="n">
        <v>20</v>
      </c>
      <c r="G1587" s="2" t="n">
        <v>35</v>
      </c>
      <c r="H1587" s="2" t="n">
        <v>55</v>
      </c>
      <c r="I1587" s="4" t="inlineStr">
        <is>
          <t>chicken-enchilada-casserole-with-zucchini.jpg</t>
        </is>
      </c>
      <c r="J1587" s="3" t="inlineStr">
        <is>
          <t>Chicken Enchilada Casserole with Zucchini, healthy food photography, plated, natural light</t>
        </is>
      </c>
      <c r="K1587" s="4" t="inlineStr"/>
      <c r="L1587" s="3" t="inlineStr">
        <is>
          <t>Chicken breast, skinless — 500 g (17.6 oz)
Zucchini — 450 g (15.9 oz)
Red enchilada sauce, no sugar added — 350 g (12.3 oz)
Black beans, cooked — 150 g (5.3 oz)
Cheddar cheese — 100 g (3.5 oz)
Yellow onion — 80 g (2.8 oz)
Corn tortilla — 120 g (4.2 oz)</t>
        </is>
      </c>
      <c r="M1587" s="4" t="inlineStr">
        <is>
          <t>[{"ingredient_id": "chicken_breast", "name": "Chicken breast, skinless", "grams": 500.0, "note": ""}, {"ingredient_id": "zucchini", "name": "Zucchini", "grams": 450.0, "note": ""}, {"ingredient_id": "enchilada_sauce", "name": "Red enchilada sauce, no sugar added", "grams": 350.0, "note": ""}, {"ingredient_id": "black_beans", "name": "Black beans, cooked", "grams": 150.0, "note": ""}, {"ingredient_id": "cheddar", "name": "Cheddar cheese", "grams": 100.0, "note": ""}, {"ingredient_id": "onion", "name": "Yellow onion", "grams": 80.0, "note": ""}, {"ingredient_id": "corn_tortilla", "name": "Corn tortilla", "grams": 120.0, "note": ""}]</t>
        </is>
      </c>
      <c r="N1587" s="2" t="n">
        <v>285</v>
      </c>
      <c r="O1587" s="5" t="n">
        <v>27.6</v>
      </c>
      <c r="P1587" s="5" t="n">
        <v>9.800000000000001</v>
      </c>
      <c r="Q1587" s="5" t="n">
        <v>21.6</v>
      </c>
      <c r="R1587" s="5" t="n">
        <v>5</v>
      </c>
      <c r="S1587" s="5" t="n">
        <v>16.6</v>
      </c>
      <c r="T1587" s="2" t="n">
        <v>38</v>
      </c>
      <c r="U1587" s="2" t="inlineStr">
        <is>
          <t>low</t>
        </is>
      </c>
      <c r="V1587" s="5" t="n">
        <v>6.3</v>
      </c>
      <c r="W1587" s="2" t="inlineStr">
        <is>
          <t>low</t>
        </is>
      </c>
      <c r="X1587" s="3" t="inlineStr"/>
      <c r="Y1587" s="3" t="inlineStr">
        <is>
          <t>69% of this dish's available carbohydrate comes from ingredients with a published, measured GI; the rest uses conventional placeholders (see Ingredients sheet)</t>
        </is>
      </c>
      <c r="Z1587" s="2" t="n">
        <v>69</v>
      </c>
      <c r="AA1587" s="3" t="inlineStr">
        <is>
          <t>gluten-free, nut-free, high-protein</t>
        </is>
      </c>
      <c r="AB1587" s="3" t="inlineStr">
        <is>
          <t>1. Layer the sliced zucchini, shredded chicken, beans, onion and sauce with torn tortillas in a dish.
2. Top with cheddar.
3. Bake at 375°F for 30 minutes.</t>
        </is>
      </c>
      <c r="AC1587" s="4" t="inlineStr">
        <is>
          <t>["Layer the sliced zucchini, shredded chicken, beans, onion and sauce with torn tortillas in a dish.", "Top with cheddar.", "Bake at 375°F for 30 minutes."]</t>
        </is>
      </c>
    </row>
    <row r="1588" ht="96" customHeight="1">
      <c r="A1588" s="2" t="inlineStr">
        <is>
          <t>DB-1587</t>
        </is>
      </c>
      <c r="B1588" s="3" t="inlineStr">
        <is>
          <t>Broccoli Chicken Rice Bake</t>
        </is>
      </c>
      <c r="C1588" s="4" t="inlineStr">
        <is>
          <t>Poultry</t>
        </is>
      </c>
      <c r="D1588" s="4" t="inlineStr">
        <is>
          <t>American</t>
        </is>
      </c>
      <c r="E1588" s="2" t="n">
        <v>6</v>
      </c>
      <c r="F1588" s="2" t="n">
        <v>15</v>
      </c>
      <c r="G1588" s="2" t="n">
        <v>35</v>
      </c>
      <c r="H1588" s="2" t="n">
        <v>50</v>
      </c>
      <c r="I1588" s="4" t="inlineStr">
        <is>
          <t>broccoli-chicken-rice-bake.jpg</t>
        </is>
      </c>
      <c r="J1588" s="3" t="inlineStr">
        <is>
          <t>Broccoli Chicken Rice Bake, healthy food photography, plated, natural light</t>
        </is>
      </c>
      <c r="K1588" s="4" t="inlineStr"/>
      <c r="L1588" s="3" t="inlineStr">
        <is>
          <t>Chicken breast, skinless — 450 g (15.9 oz)
Broccoli — 350 g (12.3 oz)
White rice, long-grain, cooked — 360 g (12.7 oz)
Milk, 2% — 250 g (8.8 oz)
Cheddar cheese — 100 g (3.5 oz)
Garlic powder — 3 g (0.1 oz)
Yellow onion — 80 g (2.8 oz)</t>
        </is>
      </c>
      <c r="M1588" s="4" t="inlineStr">
        <is>
          <t>[{"ingredient_id": "chicken_breast", "name": "Chicken breast, skinless", "grams": 450.0, "note": ""}, {"ingredient_id": "broccoli", "name": "Broccoli", "grams": 350.0, "note": ""}, {"ingredient_id": "white_rice", "name": "White rice, long-grain, cooked", "grams": 360.0, "note": ""}, {"ingredient_id": "milk", "name": "Milk, 2%", "grams": 250.0, "note": ""}, {"ingredient_id": "cheddar", "name": "Cheddar cheese", "grams": 100.0, "note": ""}, {"ingredient_id": "garlic_powder", "name": "Garlic powder", "grams": 3.0, "note": ""}, {"ingredient_id": "onion", "name": "Yellow onion", "grams": 80.0, "note": ""}]</t>
        </is>
      </c>
      <c r="N1588" s="2" t="n">
        <v>282</v>
      </c>
      <c r="O1588" s="5" t="n">
        <v>25.5</v>
      </c>
      <c r="P1588" s="5" t="n">
        <v>8.699999999999999</v>
      </c>
      <c r="Q1588" s="5" t="n">
        <v>24.5</v>
      </c>
      <c r="R1588" s="5" t="n">
        <v>2</v>
      </c>
      <c r="S1588" s="5" t="n">
        <v>22.4</v>
      </c>
      <c r="T1588" s="2" t="n">
        <v>62</v>
      </c>
      <c r="U1588" s="2" t="inlineStr">
        <is>
          <t>medium</t>
        </is>
      </c>
      <c r="V1588" s="5" t="n">
        <v>13.9</v>
      </c>
      <c r="W1588" s="2" t="inlineStr">
        <is>
          <t>medium</t>
        </is>
      </c>
      <c r="X1588" s="3" t="inlineStr">
        <is>
          <t>Medium-GI dish: keep to the stated portion and pair with the protein/fat in the recipe; GL per serving is the better guide.</t>
        </is>
      </c>
      <c r="Y1588" s="3" t="inlineStr">
        <is>
          <t>83% of this dish's available carbohydrate comes from ingredients with a published, measured GI; the rest uses conventional placeholders (see Ingredients sheet)</t>
        </is>
      </c>
      <c r="Z1588" s="2" t="n">
        <v>83</v>
      </c>
      <c r="AA1588" s="3" t="inlineStr">
        <is>
          <t>gluten-free, nut-free, high-protein</t>
        </is>
      </c>
      <c r="AB1588" s="3" t="inlineStr">
        <is>
          <t>1. Mix the cooked rice, chicken, broccoli, onion, milk and garlic powder in a dish.
2. Top with cheddar and bake at 375°F for 30 minutes.</t>
        </is>
      </c>
      <c r="AC1588" s="4" t="inlineStr">
        <is>
          <t>["Mix the cooked rice, chicken, broccoli, onion, milk and garlic powder in a dish.", "Top with cheddar and bake at 375°F for 30 minutes."]</t>
        </is>
      </c>
    </row>
    <row r="1589" ht="96" customHeight="1">
      <c r="A1589" s="2" t="inlineStr">
        <is>
          <t>DB-1588</t>
        </is>
      </c>
      <c r="B1589" s="3" t="inlineStr">
        <is>
          <t>Ham and Potato Casserole</t>
        </is>
      </c>
      <c r="C1589" s="4" t="inlineStr">
        <is>
          <t>Beef, Pork &amp; Lamb</t>
        </is>
      </c>
      <c r="D1589" s="4" t="inlineStr">
        <is>
          <t>American</t>
        </is>
      </c>
      <c r="E1589" s="2" t="n">
        <v>6</v>
      </c>
      <c r="F1589" s="2" t="n">
        <v>15</v>
      </c>
      <c r="G1589" s="2" t="n">
        <v>45</v>
      </c>
      <c r="H1589" s="2" t="n">
        <v>60</v>
      </c>
      <c r="I1589" s="4" t="inlineStr">
        <is>
          <t>ham-and-potato-casserole.jpg</t>
        </is>
      </c>
      <c r="J1589" s="3" t="inlineStr">
        <is>
          <t>Ham and Potato Casserole, healthy food photography, plated, natural light</t>
        </is>
      </c>
      <c r="K1589" s="4" t="inlineStr"/>
      <c r="L1589" s="3" t="inlineStr">
        <is>
          <t>Ham, lean — 300 g (10.6 oz)
Potato, boiled, peeled — 600 g (21.2 oz)
Milk, 2% — 300 g (10.6 oz)
Cheddar cheese — 100 g (3.5 oz)
Yellow onion — 80 g (2.8 oz)
Green peas — 100 g (3.5 oz)
Butter — 15 g (0.5 oz)</t>
        </is>
      </c>
      <c r="M1589" s="4" t="inlineStr">
        <is>
          <t>[{"ingredient_id": "ham", "name": "Ham, lean", "grams": 300.0, "note": ""}, {"ingredient_id": "potato_boiled", "name": "Potato, boiled, peeled", "grams": 600.0, "note": ""}, {"ingredient_id": "milk", "name": "Milk, 2%", "grams": 300.0, "note": ""}, {"ingredient_id": "cheddar", "name": "Cheddar cheese", "grams": 100.0, "note": ""}, {"ingredient_id": "onion", "name": "Yellow onion", "grams": 80.0, "note": ""}, {"ingredient_id": "green_peas", "name": "Green peas", "grams": 100.0, "note": ""}, {"ingredient_id": "butter", "name": "Butter", "grams": 15.0, "note": ""}]</t>
        </is>
      </c>
      <c r="N1589" s="2" t="n">
        <v>294</v>
      </c>
      <c r="O1589" s="5" t="n">
        <v>19</v>
      </c>
      <c r="P1589" s="5" t="n">
        <v>11.7</v>
      </c>
      <c r="Q1589" s="5" t="n">
        <v>28.4</v>
      </c>
      <c r="R1589" s="5" t="n">
        <v>2.7</v>
      </c>
      <c r="S1589" s="5" t="n">
        <v>25.8</v>
      </c>
      <c r="T1589" s="2" t="n">
        <v>56</v>
      </c>
      <c r="U1589" s="2" t="inlineStr">
        <is>
          <t>medium</t>
        </is>
      </c>
      <c r="V1589" s="5" t="n">
        <v>14.4</v>
      </c>
      <c r="W1589" s="2" t="inlineStr">
        <is>
          <t>medium</t>
        </is>
      </c>
      <c r="X1589" s="3" t="inlineStr">
        <is>
          <t>Medium-GI dish: keep to the stated portion and pair with the protein/fat in the recipe; GL per serving is the better guide.</t>
        </is>
      </c>
      <c r="Y1589" s="3" t="inlineStr">
        <is>
          <t>92% of this dish's available carbohydrate comes from ingredients with a published, measured GI; the rest uses conventional placeholders (see Ingredients sheet)</t>
        </is>
      </c>
      <c r="Z1589" s="2" t="n">
        <v>92</v>
      </c>
      <c r="AA1589" s="3" t="inlineStr">
        <is>
          <t>gluten-free, nut-free</t>
        </is>
      </c>
      <c r="AB1589" s="3" t="inlineStr">
        <is>
          <t>1. Layer the sliced potatoes, ham, onion and peas in a dish.
2. Pour over the warm milk and butter and top with cheddar.
3. Bake covered at 375°F for 40 minutes.</t>
        </is>
      </c>
      <c r="AC1589" s="4" t="inlineStr">
        <is>
          <t>["Layer the sliced potatoes, ham, onion and peas in a dish.", "Pour over the warm milk and butter and top with cheddar.", "Bake covered at 375°F for 40 minutes."]</t>
        </is>
      </c>
    </row>
    <row r="1590" ht="96" customHeight="1">
      <c r="A1590" s="2" t="inlineStr">
        <is>
          <t>DB-1589</t>
        </is>
      </c>
      <c r="B1590" s="3" t="inlineStr">
        <is>
          <t>Cheesy Cauliflower and Turkey Bake</t>
        </is>
      </c>
      <c r="C1590" s="4" t="inlineStr">
        <is>
          <t>Poultry</t>
        </is>
      </c>
      <c r="D1590" s="4" t="inlineStr">
        <is>
          <t>American</t>
        </is>
      </c>
      <c r="E1590" s="2" t="n">
        <v>5</v>
      </c>
      <c r="F1590" s="2" t="n">
        <v>15</v>
      </c>
      <c r="G1590" s="2" t="n">
        <v>30</v>
      </c>
      <c r="H1590" s="2" t="n">
        <v>45</v>
      </c>
      <c r="I1590" s="4" t="inlineStr">
        <is>
          <t>cheesy-cauliflower-and-turkey-bake.jpg</t>
        </is>
      </c>
      <c r="J1590" s="3" t="inlineStr">
        <is>
          <t>Cheesy Cauliflower and Turkey Bake, healthy food photography, plated, natural light</t>
        </is>
      </c>
      <c r="K1590" s="4" t="inlineStr"/>
      <c r="L1590" s="3" t="inlineStr">
        <is>
          <t>Cauliflower — 600 g (21.2 oz)
Turkey breast, skinless — 350 g (12.3 oz)
Cheddar cheese — 100 g (3.5 oz)
Milk, 2% — 150 g (5.3 oz)
Yellow onion — 60 g (2.1 oz)
Garlic — 4 g (0.1 oz)</t>
        </is>
      </c>
      <c r="M1590" s="4" t="inlineStr">
        <is>
          <t>[{"ingredient_id": "cauliflower", "name": "Cauliflower", "grams": 600.0, "note": ""}, {"ingredient_id": "turkey_breast", "name": "Turkey breast, skinless", "grams": 350.0, "note": ""}, {"ingredient_id": "cheddar", "name": "Cheddar cheese", "grams": 100.0, "note": ""}, {"ingredient_id": "milk", "name": "Milk, 2%", "grams": 150.0, "note": ""}, {"ingredient_id": "onion", "name": "Yellow onion", "grams": 60.0, "note": ""}, {"ingredient_id": "garlic", "name": "Garlic", "grams": 4.0, "note": ""}]</t>
        </is>
      </c>
      <c r="N1590" s="2" t="n">
        <v>209</v>
      </c>
      <c r="O1590" s="5" t="n">
        <v>24.9</v>
      </c>
      <c r="P1590" s="5" t="n">
        <v>8.300000000000001</v>
      </c>
      <c r="Q1590" s="5" t="n">
        <v>9.1</v>
      </c>
      <c r="R1590" s="5" t="n">
        <v>2.6</v>
      </c>
      <c r="S1590" s="5" t="n">
        <v>6.5</v>
      </c>
      <c r="T1590" s="2" t="n">
        <v>18</v>
      </c>
      <c r="U1590" s="2" t="inlineStr">
        <is>
          <t>low</t>
        </is>
      </c>
      <c r="V1590" s="5" t="n">
        <v>1.2</v>
      </c>
      <c r="W1590" s="2" t="inlineStr">
        <is>
          <t>low</t>
        </is>
      </c>
      <c r="X1590" s="3" t="inlineStr"/>
      <c r="Y1590" s="3" t="inlineStr">
        <is>
          <t>22% of this dish's available carbohydrate comes from ingredients with a published, measured GI; the rest uses conventional placeholders (see Ingredients sheet)</t>
        </is>
      </c>
      <c r="Z1590" s="2" t="n">
        <v>22</v>
      </c>
      <c r="AA1590" s="3" t="inlineStr">
        <is>
          <t>gluten-free, nut-free, low-carb</t>
        </is>
      </c>
      <c r="AB1590" s="3" t="inlineStr">
        <is>
          <t>1. Roast the florets until tender.
2. Combine with the diced turkey, onion, garlic and milk in a dish.
3. Top with cheddar and bake at 375°F for 20 minutes.</t>
        </is>
      </c>
      <c r="AC1590" s="4" t="inlineStr">
        <is>
          <t>["Roast the florets until tender.", "Combine with the diced turkey, onion, garlic and milk in a dish.", "Top with cheddar and bake at 375°F for 20 minutes."]</t>
        </is>
      </c>
    </row>
    <row r="1591" ht="96" customHeight="1">
      <c r="A1591" s="2" t="inlineStr">
        <is>
          <t>DB-1590</t>
        </is>
      </c>
      <c r="B1591" s="3" t="inlineStr">
        <is>
          <t>Hearty Chicken and Vegetable Stew</t>
        </is>
      </c>
      <c r="C1591" s="4" t="inlineStr">
        <is>
          <t>Soup &amp; Stew</t>
        </is>
      </c>
      <c r="D1591" s="4" t="inlineStr">
        <is>
          <t>American</t>
        </is>
      </c>
      <c r="E1591" s="2" t="n">
        <v>6</v>
      </c>
      <c r="F1591" s="2" t="n">
        <v>15</v>
      </c>
      <c r="G1591" s="2" t="n">
        <v>45</v>
      </c>
      <c r="H1591" s="2" t="n">
        <v>60</v>
      </c>
      <c r="I1591" s="4" t="inlineStr">
        <is>
          <t>hearty-chicken-and-vegetable-stew.jpg</t>
        </is>
      </c>
      <c r="J1591" s="3" t="inlineStr">
        <is>
          <t>Hearty Chicken and Vegetable Stew, healthy food photography, plated, natural light</t>
        </is>
      </c>
      <c r="K1591" s="4" t="inlineStr"/>
      <c r="L1591" s="3" t="inlineStr">
        <is>
          <t>Chicken thigh, skinless boneless — 600 g (21.2 oz)
Potato, boiled, peeled — 250 g (8.8 oz)
Carrot — 150 g (5.3 oz)
Celery — 80 g (2.8 oz)
Green peas — 100 g (3.5 oz)
Yellow onion — 100 g (3.5 oz)
Chicken broth, low sodium — 800 g (28.2 oz)
Fresh thyme — 2 g (0.1 oz)
Arrowroot starch — 10 g (0.4 oz)</t>
        </is>
      </c>
      <c r="M1591" s="4" t="inlineStr">
        <is>
          <t>[{"ingredient_id": "chicken_thigh", "name": "Chicken thigh, skinless boneless", "grams": 600.0, "note": ""}, {"ingredient_id": "potato_boiled", "name": "Potato, boiled, peeled", "grams": 250.0, "note": ""}, {"ingredient_id": "carrot", "name": "Carrot", "grams": 150.0, "note": ""}, {"ingredient_id": "celery", "name": "Celery", "grams": 80.0, "note": ""}, {"ingredient_id": "green_peas", "name": "Green peas", "grams": 100.0, "note": ""}, {"ingredient_id": "onion", "name": "Yellow onion", "grams": 100.0, "note": ""}, {"ingredient_id": "chicken_broth", "name": "Chicken broth, low sodium", "grams": 800.0, "note": ""}, {"ingredient_id": "thyme", "name": "Fresh thyme", "grams": 2.0, "note": ""}, {"ingredient_id": "arrowroot", "name": "Arrowroot starch", "grams": 10.0, "note": ""}]</t>
        </is>
      </c>
      <c r="N1591" s="2" t="n">
        <v>208</v>
      </c>
      <c r="O1591" s="5" t="n">
        <v>23.3</v>
      </c>
      <c r="P1591" s="5" t="n">
        <v>4.6</v>
      </c>
      <c r="Q1591" s="5" t="n">
        <v>17.9</v>
      </c>
      <c r="R1591" s="5" t="n">
        <v>2.9</v>
      </c>
      <c r="S1591" s="5" t="n">
        <v>15</v>
      </c>
      <c r="T1591" s="2" t="n">
        <v>52</v>
      </c>
      <c r="U1591" s="2" t="inlineStr">
        <is>
          <t>low</t>
        </is>
      </c>
      <c r="V1591" s="5" t="n">
        <v>7.8</v>
      </c>
      <c r="W1591" s="2" t="inlineStr">
        <is>
          <t>low</t>
        </is>
      </c>
      <c r="X1591" s="3" t="inlineStr"/>
      <c r="Y1591" s="3" t="inlineStr">
        <is>
          <t>86% of this dish's available carbohydrate comes from ingredients with a published, measured GI; the rest uses conventional placeholders (see Ingredients sheet)</t>
        </is>
      </c>
      <c r="Z1591" s="2" t="n">
        <v>86</v>
      </c>
      <c r="AA1591" s="3" t="inlineStr">
        <is>
          <t>gluten-free, dairy-free, nut-free, low-carb</t>
        </is>
      </c>
      <c r="AB1591" s="3" t="inlineStr">
        <is>
          <t>1. Brown the chicken, then simmer with the onion, carrot, celery, thyme and broth 25 minutes.
2. Add the potatoes and peas and cook 12 minutes.
3. Thicken with an arrowroot slurry.</t>
        </is>
      </c>
      <c r="AC1591" s="4" t="inlineStr">
        <is>
          <t>["Brown the chicken, then simmer with the onion, carrot, celery, thyme and broth 25 minutes.", "Add the potatoes and peas and cook 12 minutes.", "Thicken with an arrowroot slurry."]</t>
        </is>
      </c>
    </row>
    <row r="1592" ht="96" customHeight="1">
      <c r="A1592" s="2" t="inlineStr">
        <is>
          <t>DB-1591</t>
        </is>
      </c>
      <c r="B1592" s="3" t="inlineStr">
        <is>
          <t>Split Pea Soup with Smoked Turkey</t>
        </is>
      </c>
      <c r="C1592" s="4" t="inlineStr">
        <is>
          <t>Soup &amp; Stew</t>
        </is>
      </c>
      <c r="D1592" s="4" t="inlineStr">
        <is>
          <t>American</t>
        </is>
      </c>
      <c r="E1592" s="2" t="n">
        <v>6</v>
      </c>
      <c r="F1592" s="2" t="n">
        <v>10</v>
      </c>
      <c r="G1592" s="2" t="n">
        <v>70</v>
      </c>
      <c r="H1592" s="2" t="n">
        <v>80</v>
      </c>
      <c r="I1592" s="4" t="inlineStr">
        <is>
          <t>split-pea-soup-with-smoked-turkey.jpg</t>
        </is>
      </c>
      <c r="J1592" s="3" t="inlineStr">
        <is>
          <t>Split Pea Soup with Smoked Turkey, healthy food photography, plated, natural light</t>
        </is>
      </c>
      <c r="K1592" s="4" t="inlineStr"/>
      <c r="L1592" s="3" t="inlineStr">
        <is>
          <t>Split peas, cooked — 300 g (10.6 oz)
Deli turkey breast, low sodium — 150 g (5.3 oz)
Carrot — 120 g (4.2 oz)
Celery — 80 g (2.8 oz)
Yellow onion — 100 g (3.5 oz)
Chicken broth, low sodium — 1100 g (38.8 oz)
Bay leaves — 1 g (0.0 oz)
Black pepper — 1 g (0.0 oz)</t>
        </is>
      </c>
      <c r="M1592" s="4" t="inlineStr">
        <is>
          <t>[{"ingredient_id": "split_peas", "name": "Split peas, cooked", "grams": 300.0, "note": ""}, {"ingredient_id": "deli_turkey", "name": "Deli turkey breast, low sodium", "grams": 150.0, "note": ""}, {"ingredient_id": "carrot", "name": "Carrot", "grams": 120.0, "note": ""}, {"ingredient_id": "celery", "name": "Celery", "grams": 80.0, "note": ""}, {"ingredient_id": "onion", "name": "Yellow onion", "grams": 100.0, "note": ""}, {"ingredient_id": "chicken_broth", "name": "Chicken broth, low sodium", "grams": 1100.0, "note": ""}, {"ingredient_id": "bay_leaf", "name": "Bay leaves", "grams": 1.0, "note": ""}, {"ingredient_id": "black_pepper", "name": "Black pepper", "grams": 1.0, "note": ""}]</t>
        </is>
      </c>
      <c r="N1592" s="2" t="n">
        <v>116</v>
      </c>
      <c r="O1592" s="5" t="n">
        <v>10.7</v>
      </c>
      <c r="P1592" s="5" t="n">
        <v>1</v>
      </c>
      <c r="Q1592" s="5" t="n">
        <v>16.5</v>
      </c>
      <c r="R1592" s="5" t="n">
        <v>5.3</v>
      </c>
      <c r="S1592" s="5" t="n">
        <v>11.2</v>
      </c>
      <c r="T1592" s="2" t="n">
        <v>25</v>
      </c>
      <c r="U1592" s="2" t="inlineStr">
        <is>
          <t>low</t>
        </is>
      </c>
      <c r="V1592" s="5" t="n">
        <v>2.8</v>
      </c>
      <c r="W1592" s="2" t="inlineStr">
        <is>
          <t>low</t>
        </is>
      </c>
      <c r="X1592" s="3" t="inlineStr"/>
      <c r="Y1592" s="3" t="inlineStr">
        <is>
          <t>69% of this dish's available carbohydrate comes from ingredients with a published, measured GI; the rest uses conventional placeholders (see Ingredients sheet)</t>
        </is>
      </c>
      <c r="Z1592" s="2" t="n">
        <v>69</v>
      </c>
      <c r="AA1592" s="3" t="inlineStr">
        <is>
          <t>gluten-free, dairy-free, nut-free, low-carb</t>
        </is>
      </c>
      <c r="AB1592" s="3" t="inlineStr">
        <is>
          <t>1. Simmer everything 70 minutes until the peas break down.
2. Remove the bay leaf.</t>
        </is>
      </c>
      <c r="AC1592" s="4" t="inlineStr">
        <is>
          <t>["Simmer everything 70 minutes until the peas break down.", "Remove the bay leaf."]</t>
        </is>
      </c>
    </row>
    <row r="1593" ht="96" customHeight="1">
      <c r="A1593" s="2" t="inlineStr">
        <is>
          <t>DB-1592</t>
        </is>
      </c>
      <c r="B1593" s="3" t="inlineStr">
        <is>
          <t>Sausage Kale and White Bean Soup</t>
        </is>
      </c>
      <c r="C1593" s="4" t="inlineStr">
        <is>
          <t>Soup &amp; Stew</t>
        </is>
      </c>
      <c r="D1593" s="4" t="inlineStr">
        <is>
          <t>American</t>
        </is>
      </c>
      <c r="E1593" s="2" t="n">
        <v>6</v>
      </c>
      <c r="F1593" s="2" t="n">
        <v>10</v>
      </c>
      <c r="G1593" s="2" t="n">
        <v>30</v>
      </c>
      <c r="H1593" s="2" t="n">
        <v>40</v>
      </c>
      <c r="I1593" s="4" t="inlineStr">
        <is>
          <t>sausage-kale-and-white-bean-soup.jpg</t>
        </is>
      </c>
      <c r="J1593" s="3" t="inlineStr">
        <is>
          <t>Sausage Kale and White Bean Soup, healthy food photography, plated, natural light</t>
        </is>
      </c>
      <c r="K1593" s="4" t="inlineStr"/>
      <c r="L1593" s="3" t="inlineStr">
        <is>
          <t>Chicken sausage — 300 g (10.6 oz)
Cannellini beans, cooked — 300 g (10.6 oz)
Kale — 120 g (4.2 oz)
Chicken broth, low sodium — 900 g (31.7 oz)
Yellow onion — 100 g (3.5 oz)
Garlic — 6 g (0.2 oz)
Italian seasoning — 2 g (0.1 oz)</t>
        </is>
      </c>
      <c r="M1593" s="4" t="inlineStr">
        <is>
          <t>[{"ingredient_id": "chicken_sausage", "name": "Chicken sausage", "grams": 300.0, "note": ""}, {"ingredient_id": "white_beans", "name": "Cannellini beans, cooked", "grams": 300.0, "note": ""}, {"ingredient_id": "kale", "name": "Kale", "grams": 120.0, "note": ""}, {"ingredient_id": "chicken_broth", "name": "Chicken broth, low sodium", "grams": 900.0, "note": ""}, {"ingredient_id": "onion", "name": "Yellow onion", "grams": 100.0, "note": ""}, {"ingredient_id": "garlic", "name": "Garlic", "grams": 6.0, "note": ""}, {"ingredient_id": "italian_seasoning", "name": "Italian seasoning", "grams": 2.0, "note": ""}]</t>
        </is>
      </c>
      <c r="N1593" s="2" t="n">
        <v>184</v>
      </c>
      <c r="O1593" s="5" t="n">
        <v>15</v>
      </c>
      <c r="P1593" s="5" t="n">
        <v>6.2</v>
      </c>
      <c r="Q1593" s="5" t="n">
        <v>18.1</v>
      </c>
      <c r="R1593" s="5" t="n">
        <v>4.3</v>
      </c>
      <c r="S1593" s="5" t="n">
        <v>13.8</v>
      </c>
      <c r="T1593" s="2" t="n">
        <v>24</v>
      </c>
      <c r="U1593" s="2" t="inlineStr">
        <is>
          <t>low</t>
        </is>
      </c>
      <c r="V1593" s="5" t="n">
        <v>3.3</v>
      </c>
      <c r="W1593" s="2" t="inlineStr">
        <is>
          <t>low</t>
        </is>
      </c>
      <c r="X1593" s="3" t="inlineStr"/>
      <c r="Y1593" s="3" t="inlineStr">
        <is>
          <t>68% of this dish's available carbohydrate comes from ingredients with a published, measured GI; the rest uses conventional placeholders (see Ingredients sheet)</t>
        </is>
      </c>
      <c r="Z1593" s="2" t="n">
        <v>68</v>
      </c>
      <c r="AA1593" s="3" t="inlineStr">
        <is>
          <t>gluten-free, dairy-free, nut-free, low-carb</t>
        </is>
      </c>
      <c r="AB1593" s="3" t="inlineStr">
        <is>
          <t>1. Brown the sausage with the onion and garlic.
2. Add the broth, beans and seasoning and simmer 15 minutes.
3. Stir in the kale for the last 5.</t>
        </is>
      </c>
      <c r="AC1593" s="4" t="inlineStr">
        <is>
          <t>["Brown the sausage with the onion and garlic.", "Add the broth, beans and seasoning and simmer 15 minutes.", "Stir in the kale for the last 5."]</t>
        </is>
      </c>
    </row>
    <row r="1594" ht="96" customHeight="1">
      <c r="A1594" s="2" t="inlineStr">
        <is>
          <t>DB-1593</t>
        </is>
      </c>
      <c r="B1594" s="3" t="inlineStr">
        <is>
          <t>Cream of Mushroom Soup (Lightened)</t>
        </is>
      </c>
      <c r="C1594" s="4" t="inlineStr">
        <is>
          <t>Soup &amp; Stew</t>
        </is>
      </c>
      <c r="D1594" s="4" t="inlineStr">
        <is>
          <t>American</t>
        </is>
      </c>
      <c r="E1594" s="2" t="n">
        <v>4</v>
      </c>
      <c r="F1594" s="2" t="n">
        <v>10</v>
      </c>
      <c r="G1594" s="2" t="n">
        <v>25</v>
      </c>
      <c r="H1594" s="2" t="n">
        <v>35</v>
      </c>
      <c r="I1594" s="4" t="inlineStr">
        <is>
          <t>cream-of-mushroom-soup-lightened.jpg</t>
        </is>
      </c>
      <c r="J1594" s="3" t="inlineStr">
        <is>
          <t>Cream of Mushroom Soup (Lightened), healthy food photography, plated, natural light</t>
        </is>
      </c>
      <c r="K1594" s="4" t="inlineStr"/>
      <c r="L1594" s="3" t="inlineStr">
        <is>
          <t>Mushrooms (cremini/white) — 500 g (17.6 oz)
Yellow onion — 100 g (3.5 oz)
Chicken broth, low sodium — 500 g (17.6 oz)
Milk, 2% — 200 g (7.1 oz)
Garlic — 4 g (0.1 oz)
Fresh thyme — 2 g (0.1 oz)
Butter — 15 g (0.5 oz)</t>
        </is>
      </c>
      <c r="M1594" s="4" t="inlineStr">
        <is>
          <t>[{"ingredient_id": "mushrooms", "name": "Mushrooms (cremini/white)", "grams": 500.0, "note": ""}, {"ingredient_id": "onion", "name": "Yellow onion", "grams": 100.0, "note": ""}, {"ingredient_id": "chicken_broth", "name": "Chicken broth, low sodium", "grams": 500.0, "note": ""}, {"ingredient_id": "milk", "name": "Milk, 2%", "grams": 200.0, "note": ""}, {"ingredient_id": "garlic", "name": "Garlic", "grams": 4.0, "note": ""}, {"ingredient_id": "thyme", "name": "Fresh thyme", "grams": 2.0, "note": ""}, {"ingredient_id": "butter", "name": "Butter", "grams": 15.0, "note": ""}]</t>
        </is>
      </c>
      <c r="N1594" s="2" t="n">
        <v>100</v>
      </c>
      <c r="O1594" s="5" t="n">
        <v>7.2</v>
      </c>
      <c r="P1594" s="5" t="n">
        <v>4.7</v>
      </c>
      <c r="Q1594" s="5" t="n">
        <v>9.9</v>
      </c>
      <c r="R1594" s="5" t="n">
        <v>1.8</v>
      </c>
      <c r="S1594" s="5" t="n">
        <v>8.199999999999999</v>
      </c>
      <c r="T1594" s="2" t="n">
        <v>18</v>
      </c>
      <c r="U1594" s="2" t="inlineStr">
        <is>
          <t>low</t>
        </is>
      </c>
      <c r="V1594" s="5" t="n">
        <v>1.5</v>
      </c>
      <c r="W1594" s="2" t="inlineStr">
        <is>
          <t>low</t>
        </is>
      </c>
      <c r="X1594" s="3" t="inlineStr"/>
      <c r="Y1594" s="3" t="inlineStr">
        <is>
          <t>29% of this dish's available carbohydrate comes from ingredients with a published, measured GI; the rest uses conventional placeholders (see Ingredients sheet)</t>
        </is>
      </c>
      <c r="Z1594" s="2" t="n">
        <v>29</v>
      </c>
      <c r="AA1594" s="3" t="inlineStr">
        <is>
          <t>vegetarian, gluten-free, nut-free, low-carb</t>
        </is>
      </c>
      <c r="AB1594" s="3" t="inlineStr">
        <is>
          <t>1. Brown the mushrooms and onion in butter with garlic and thyme.
2. Add the broth and simmer 12 minutes.
3. Blend half, then stir in the milk.</t>
        </is>
      </c>
      <c r="AC1594" s="4" t="inlineStr">
        <is>
          <t>["Brown the mushrooms and onion in butter with garlic and thyme.", "Add the broth and simmer 12 minutes.", "Blend half, then stir in the milk."]</t>
        </is>
      </c>
    </row>
    <row r="1595" ht="96" customHeight="1">
      <c r="A1595" s="2" t="inlineStr">
        <is>
          <t>DB-1594</t>
        </is>
      </c>
      <c r="B1595" s="3" t="inlineStr">
        <is>
          <t>Chicken and Dumpling-Style Soup with Cauliflower</t>
        </is>
      </c>
      <c r="C1595" s="4" t="inlineStr">
        <is>
          <t>Soup &amp; Stew</t>
        </is>
      </c>
      <c r="D1595" s="4" t="inlineStr">
        <is>
          <t>American</t>
        </is>
      </c>
      <c r="E1595" s="2" t="n">
        <v>5</v>
      </c>
      <c r="F1595" s="2" t="n">
        <v>15</v>
      </c>
      <c r="G1595" s="2" t="n">
        <v>30</v>
      </c>
      <c r="H1595" s="2" t="n">
        <v>45</v>
      </c>
      <c r="I1595" s="4" t="inlineStr">
        <is>
          <t>chicken-and-dumpling-style-soup-with-cauliflower.jpg</t>
        </is>
      </c>
      <c r="J1595" s="3" t="inlineStr">
        <is>
          <t>Chicken and Dumpling-Style Soup with Cauliflower, healthy food photography, plated, natural light</t>
        </is>
      </c>
      <c r="K1595" s="4" t="inlineStr"/>
      <c r="L1595" s="3" t="inlineStr">
        <is>
          <t>Chicken breast, skinless — 400 g (14.1 oz)
Chicken broth, low sodium — 900 g (31.7 oz)
Carrot — 120 g (4.2 oz)
Celery — 80 g (2.8 oz)
Yellow onion — 100 g (3.5 oz)
Cauliflower — 250 g (8.8 oz)
Almond flour — 70 g (2.5 oz)
Egg, large (50 g each) — 50 g (1.8 oz)
Fresh parsley — 5 g (0.2 oz)</t>
        </is>
      </c>
      <c r="M1595" s="4" t="inlineStr">
        <is>
          <t>[{"ingredient_id": "chicken_breast", "name": "Chicken breast, skinless", "grams": 400.0, "note": ""}, {"ingredient_id": "chicken_broth", "name": "Chicken broth, low sodium", "grams": 900.0, "note": ""}, {"ingredient_id": "carrot", "name": "Carrot", "grams": 120.0, "note": ""}, {"ingredient_id": "celery", "name": "Celery", "grams": 80.0, "note": ""}, {"ingredient_id": "onion", "name": "Yellow onion", "grams": 100.0, "note": ""}, {"ingredient_id": "cauliflower", "name": "Cauliflower", "grams": 250.0, "note": ""}, {"ingredient_id": "almond_flour", "name": "Almond flour", "grams": 70.0, "note": ""}, {"ingredient_id": "egg", "name": "Egg, large (50 g each)", "grams": 50.0, "note": ""}, {"ingredient_id": "parsley", "name": "Fresh parsley", "grams": 5.0, "note": ""}]</t>
        </is>
      </c>
      <c r="N1595" s="2" t="n">
        <v>239</v>
      </c>
      <c r="O1595" s="5" t="n">
        <v>25.5</v>
      </c>
      <c r="P1595" s="5" t="n">
        <v>10.6</v>
      </c>
      <c r="Q1595" s="5" t="n">
        <v>11.1</v>
      </c>
      <c r="R1595" s="5" t="n">
        <v>4</v>
      </c>
      <c r="S1595" s="5" t="n">
        <v>7.1</v>
      </c>
      <c r="T1595" s="2" t="n">
        <v>18</v>
      </c>
      <c r="U1595" s="2" t="inlineStr">
        <is>
          <t>low</t>
        </is>
      </c>
      <c r="V1595" s="5" t="n">
        <v>1.3</v>
      </c>
      <c r="W1595" s="2" t="inlineStr">
        <is>
          <t>low</t>
        </is>
      </c>
      <c r="X1595" s="3" t="inlineStr"/>
      <c r="Y1595" s="3" t="inlineStr">
        <is>
          <t>23% of this dish's available carbohydrate comes from ingredients with a published, measured GI; the rest uses conventional placeholders (see Ingredients sheet)</t>
        </is>
      </c>
      <c r="Z1595" s="2" t="n">
        <v>23</v>
      </c>
      <c r="AA1595" s="3" t="inlineStr">
        <is>
          <t>gluten-free, dairy-free, low-carb, high-protein</t>
        </is>
      </c>
      <c r="AB1595" s="3" t="inlineStr">
        <is>
          <t>1. Simmer the chicken, vegetables and cauliflower in the broth 20 minutes.
2. Mix the almond flour and egg and drop small spoonfuls into the soup.
3. Cover and cook 8 minutes; finish with parsley.</t>
        </is>
      </c>
      <c r="AC1595" s="4" t="inlineStr">
        <is>
          <t>["Simmer the chicken, vegetables and cauliflower in the broth 20 minutes.", "Mix the almond flour and egg and drop small spoonfuls into the soup.", "Cover and cook 8 minutes; finish with parsley."]</t>
        </is>
      </c>
    </row>
    <row r="1596" ht="96" customHeight="1">
      <c r="A1596" s="2" t="inlineStr">
        <is>
          <t>DB-1595</t>
        </is>
      </c>
      <c r="B1596" s="3" t="inlineStr">
        <is>
          <t>Denver Omelet Muffins</t>
        </is>
      </c>
      <c r="C1596" s="4" t="inlineStr">
        <is>
          <t>Breakfast</t>
        </is>
      </c>
      <c r="D1596" s="4" t="inlineStr">
        <is>
          <t>American</t>
        </is>
      </c>
      <c r="E1596" s="2" t="n">
        <v>6</v>
      </c>
      <c r="F1596" s="2" t="n">
        <v>10</v>
      </c>
      <c r="G1596" s="2" t="n">
        <v>20</v>
      </c>
      <c r="H1596" s="2" t="n">
        <v>30</v>
      </c>
      <c r="I1596" s="4" t="inlineStr">
        <is>
          <t>denver-omelet-muffins.jpg</t>
        </is>
      </c>
      <c r="J1596" s="3" t="inlineStr">
        <is>
          <t>Denver Omelet Muffins, healthy food photography, plated, natural light</t>
        </is>
      </c>
      <c r="K1596" s="4" t="inlineStr"/>
      <c r="L1596" s="3" t="inlineStr">
        <is>
          <t>Egg, large (50 g each) — 300 g (10.6 oz)
Ham, lean — 100 g (3.5 oz)
Bell pepper — 100 g (3.5 oz)
Yellow onion — 50 g (1.8 oz)
Cheddar cheese — 50 g (1.8 oz)
Black pepper — 1 g (0.0 oz)</t>
        </is>
      </c>
      <c r="M1596" s="4" t="inlineStr">
        <is>
          <t>[{"ingredient_id": "egg", "name": "Egg, large (50 g each)", "grams": 300.0, "note": ""}, {"ingredient_id": "ham", "name": "Ham, lean", "grams": 100.0, "note": ""}, {"ingredient_id": "bell_pepper", "name": "Bell pepper", "grams": 100.0, "note": ""}, {"ingredient_id": "onion", "name": "Yellow onion", "grams": 50.0, "note": ""}, {"ingredient_id": "cheddar", "name": "Cheddar cheese", "grams": 50.0, "note": ""}, {"ingredient_id": "black_pepper", "name": "Black pepper", "grams": 1.0, "note": ""}]</t>
        </is>
      </c>
      <c r="N1596" s="2" t="n">
        <v>138</v>
      </c>
      <c r="O1596" s="5" t="n">
        <v>12</v>
      </c>
      <c r="P1596" s="5" t="n">
        <v>8.6</v>
      </c>
      <c r="Q1596" s="5" t="n">
        <v>2.6</v>
      </c>
      <c r="R1596" s="5" t="n">
        <v>0.5</v>
      </c>
      <c r="S1596" s="5" t="n">
        <v>2.1</v>
      </c>
      <c r="T1596" s="2" t="n">
        <v>10</v>
      </c>
      <c r="U1596" s="2" t="inlineStr">
        <is>
          <t>low</t>
        </is>
      </c>
      <c r="V1596" s="5" t="n">
        <v>0.2</v>
      </c>
      <c r="W1596" s="2" t="inlineStr">
        <is>
          <t>low</t>
        </is>
      </c>
      <c r="X1596" s="3" t="inlineStr">
        <is>
          <t>Negligible carbohydrate (&lt;5 g net/serving): GI has little practical meaning, glycemic load is what matters.</t>
        </is>
      </c>
      <c r="Y1596" s="3" t="inlineStr">
        <is>
          <t>0% of this dish's available carbohydrate comes from ingredients with a published, measured GI; the rest uses conventional placeholders (see Ingredients sheet)</t>
        </is>
      </c>
      <c r="Z1596" s="2" t="n">
        <v>0</v>
      </c>
      <c r="AA1596" s="3" t="inlineStr">
        <is>
          <t>gluten-free, nut-free, low-carb, meal-prep</t>
        </is>
      </c>
      <c r="AB1596" s="3" t="inlineStr">
        <is>
          <t>1. Divide the diced ham, pepper, onion and cheddar among six muffin cups.
2. Pour in the beaten eggs and bake at 350°F for 18 to 20 minutes.</t>
        </is>
      </c>
      <c r="AC1596" s="4" t="inlineStr">
        <is>
          <t>["Divide the diced ham, pepper, onion and cheddar among six muffin cups.", "Pour in the beaten eggs and bake at 350°F for 18 to 20 minutes."]</t>
        </is>
      </c>
    </row>
    <row r="1597" ht="96" customHeight="1">
      <c r="A1597" s="2" t="inlineStr">
        <is>
          <t>DB-1596</t>
        </is>
      </c>
      <c r="B1597" s="3" t="inlineStr">
        <is>
          <t>Breakfast Pizza on a Tortilla</t>
        </is>
      </c>
      <c r="C1597" s="4" t="inlineStr">
        <is>
          <t>Breakfast</t>
        </is>
      </c>
      <c r="D1597" s="4" t="inlineStr">
        <is>
          <t>American</t>
        </is>
      </c>
      <c r="E1597" s="2" t="n">
        <v>2</v>
      </c>
      <c r="F1597" s="2" t="n">
        <v>5</v>
      </c>
      <c r="G1597" s="2" t="n">
        <v>10</v>
      </c>
      <c r="H1597" s="2" t="n">
        <v>15</v>
      </c>
      <c r="I1597" s="4" t="inlineStr">
        <is>
          <t>breakfast-pizza-on-a-tortilla.jpg</t>
        </is>
      </c>
      <c r="J1597" s="3" t="inlineStr">
        <is>
          <t>Breakfast Pizza on a Tortilla, healthy food photography, plated, natural light</t>
        </is>
      </c>
      <c r="K1597" s="4" t="inlineStr"/>
      <c r="L1597" s="3" t="inlineStr">
        <is>
          <t>Flour tortilla, 8-inch — 80 g (2.8 oz)
Egg, large (50 g each) — 100 g (3.5 oz)
Turkey sausage — 80 g (2.8 oz)
Mozzarella, part-skim — 50 g (1.8 oz)
Spinach — 30 g (1.1 oz)
Marinara sauce, no sugar added — 40 g (1.4 oz)</t>
        </is>
      </c>
      <c r="M1597" s="4" t="inlineStr">
        <is>
          <t>[{"ingredient_id": "flour_tortilla", "name": "Flour tortilla, 8-inch", "grams": 80.0, "note": ""}, {"ingredient_id": "egg", "name": "Egg, large (50 g each)", "grams": 100.0, "note": ""}, {"ingredient_id": "turkey_sausage", "name": "Turkey sausage", "grams": 80.0, "note": ""}, {"ingredient_id": "mozzarella", "name": "Mozzarella, part-skim", "grams": 50.0, "note": ""}, {"ingredient_id": "spinach", "name": "Spinach", "grams": 30.0, "note": ""}, {"ingredient_id": "marinara", "name": "Marinara sauce, no sugar added", "grams": 40.0, "note": ""}]</t>
        </is>
      </c>
      <c r="N1597" s="2" t="n">
        <v>332</v>
      </c>
      <c r="O1597" s="5" t="n">
        <v>22.3</v>
      </c>
      <c r="P1597" s="5" t="n">
        <v>16.5</v>
      </c>
      <c r="Q1597" s="5" t="n">
        <v>23.2</v>
      </c>
      <c r="R1597" s="5" t="n">
        <v>2</v>
      </c>
      <c r="S1597" s="5" t="n">
        <v>21.2</v>
      </c>
      <c r="T1597" s="2" t="n">
        <v>31</v>
      </c>
      <c r="U1597" s="2" t="inlineStr">
        <is>
          <t>low</t>
        </is>
      </c>
      <c r="V1597" s="5" t="n">
        <v>6.6</v>
      </c>
      <c r="W1597" s="2" t="inlineStr">
        <is>
          <t>low</t>
        </is>
      </c>
      <c r="X1597" s="3" t="inlineStr"/>
      <c r="Y1597" s="3" t="inlineStr">
        <is>
          <t>90% of this dish's available carbohydrate comes from ingredients with a published, measured GI; the rest uses conventional placeholders (see Ingredients sheet)</t>
        </is>
      </c>
      <c r="Z1597" s="2" t="n">
        <v>90</v>
      </c>
      <c r="AA1597" s="3" t="inlineStr">
        <is>
          <t>nut-free</t>
        </is>
      </c>
      <c r="AB1597" s="3" t="inlineStr">
        <is>
          <t>1. Crisp the tortillas, spread with marinara and top with sausage, spinach and mozzarella.
2. Crack an egg on each and bake at 400°F until set, about 8 minutes.</t>
        </is>
      </c>
      <c r="AC1597" s="4" t="inlineStr">
        <is>
          <t>["Crisp the tortillas, spread with marinara and top with sausage, spinach and mozzarella.", "Crack an egg on each and bake at 400°F until set, about 8 minutes."]</t>
        </is>
      </c>
    </row>
    <row r="1598" ht="96" customHeight="1">
      <c r="A1598" s="2" t="inlineStr">
        <is>
          <t>DB-1597</t>
        </is>
      </c>
      <c r="B1598" s="3" t="inlineStr">
        <is>
          <t>Brunch Egg Bake with Spinach and Tomato</t>
        </is>
      </c>
      <c r="C1598" s="4" t="inlineStr">
        <is>
          <t>Breakfast</t>
        </is>
      </c>
      <c r="D1598" s="4" t="inlineStr">
        <is>
          <t>American</t>
        </is>
      </c>
      <c r="E1598" s="2" t="n">
        <v>6</v>
      </c>
      <c r="F1598" s="2" t="n">
        <v>10</v>
      </c>
      <c r="G1598" s="2" t="n">
        <v>35</v>
      </c>
      <c r="H1598" s="2" t="n">
        <v>45</v>
      </c>
      <c r="I1598" s="4" t="inlineStr">
        <is>
          <t>brunch-egg-bake-with-spinach-and-tomato.jpg</t>
        </is>
      </c>
      <c r="J1598" s="3" t="inlineStr">
        <is>
          <t>Brunch Egg Bake with Spinach and Tomato, healthy food photography, plated, natural light</t>
        </is>
      </c>
      <c r="K1598" s="4" t="inlineStr"/>
      <c r="L1598" s="3" t="inlineStr">
        <is>
          <t>Egg, large (50 g each) — 350 g (12.3 oz)
Milk, 2% — 200 g (7.1 oz)
Spinach — 150 g (5.3 oz)
Cherry tomatoes — 150 g (5.3 oz)
Feta cheese — 70 g (2.5 oz)
Yellow onion — 60 g (2.1 oz)</t>
        </is>
      </c>
      <c r="M1598" s="4" t="inlineStr">
        <is>
          <t>[{"ingredient_id": "egg", "name": "Egg, large (50 g each)", "grams": 350.0, "note": ""}, {"ingredient_id": "milk", "name": "Milk, 2%", "grams": 200.0, "note": ""}, {"ingredient_id": "spinach", "name": "Spinach", "grams": 150.0, "note": ""}, {"ingredient_id": "cherry_tomato", "name": "Cherry tomatoes", "grams": 150.0, "note": ""}, {"ingredient_id": "feta", "name": "Feta cheese", "grams": 70.0, "note": ""}, {"ingredient_id": "onion", "name": "Yellow onion", "grams": 60.0, "note": ""}]</t>
        </is>
      </c>
      <c r="N1598" s="2" t="n">
        <v>145</v>
      </c>
      <c r="O1598" s="5" t="n">
        <v>11.1</v>
      </c>
      <c r="P1598" s="5" t="n">
        <v>8.800000000000001</v>
      </c>
      <c r="Q1598" s="5" t="n">
        <v>5.3</v>
      </c>
      <c r="R1598" s="5" t="n">
        <v>1</v>
      </c>
      <c r="S1598" s="5" t="n">
        <v>4.3</v>
      </c>
      <c r="T1598" s="2" t="n">
        <v>16</v>
      </c>
      <c r="U1598" s="2" t="inlineStr">
        <is>
          <t>low</t>
        </is>
      </c>
      <c r="V1598" s="5" t="n">
        <v>0.7</v>
      </c>
      <c r="W1598" s="2" t="inlineStr">
        <is>
          <t>low</t>
        </is>
      </c>
      <c r="X1598" s="3" t="inlineStr">
        <is>
          <t>Negligible carbohydrate (&lt;5 g net/serving): GI has little practical meaning, glycemic load is what matters.</t>
        </is>
      </c>
      <c r="Y1598" s="3" t="inlineStr">
        <is>
          <t>38% of this dish's available carbohydrate comes from ingredients with a published, measured GI; the rest uses conventional placeholders (see Ingredients sheet)</t>
        </is>
      </c>
      <c r="Z1598" s="2" t="n">
        <v>38</v>
      </c>
      <c r="AA1598" s="3" t="inlineStr">
        <is>
          <t>vegetarian, gluten-free, nut-free, low-carb</t>
        </is>
      </c>
      <c r="AB1598" s="3" t="inlineStr">
        <is>
          <t>1. Layer the spinach, tomatoes, onion and feta in a dish.
2. Pour over the whisked eggs and milk and bake at 350°F for 30 to 35 minutes.</t>
        </is>
      </c>
      <c r="AC1598" s="4" t="inlineStr">
        <is>
          <t>["Layer the spinach, tomatoes, onion and feta in a dish.", "Pour over the whisked eggs and milk and bake at 350°F for 30 to 35 minutes."]</t>
        </is>
      </c>
    </row>
    <row r="1599" ht="96" customHeight="1">
      <c r="A1599" s="2" t="inlineStr">
        <is>
          <t>DB-1598</t>
        </is>
      </c>
      <c r="B1599" s="3" t="inlineStr">
        <is>
          <t>Smoked Salmon Scramble with Chives</t>
        </is>
      </c>
      <c r="C1599" s="4" t="inlineStr">
        <is>
          <t>Breakfast</t>
        </is>
      </c>
      <c r="D1599" s="4" t="inlineStr">
        <is>
          <t>American</t>
        </is>
      </c>
      <c r="E1599" s="2" t="n">
        <v>2</v>
      </c>
      <c r="F1599" s="2" t="n">
        <v>5</v>
      </c>
      <c r="G1599" s="2" t="n">
        <v>6</v>
      </c>
      <c r="H1599" s="2" t="n">
        <v>11</v>
      </c>
      <c r="I1599" s="4" t="inlineStr">
        <is>
          <t>smoked-salmon-scramble-with-chives.jpg</t>
        </is>
      </c>
      <c r="J1599" s="3" t="inlineStr">
        <is>
          <t>Smoked Salmon Scramble with Chives, healthy food photography, plated, natural light</t>
        </is>
      </c>
      <c r="K1599" s="4" t="inlineStr"/>
      <c r="L1599" s="3" t="inlineStr">
        <is>
          <t>Egg, large (50 g each) — 200 g (7.1 oz)
Smoked salmon — 80 g (2.8 oz)
Cream cheese — 30 g (1.1 oz)
Fresh chives — 5 g (0.2 oz)
Butter — 10 g (0.4 oz)</t>
        </is>
      </c>
      <c r="M1599" s="4" t="inlineStr">
        <is>
          <t>[{"ingredient_id": "egg", "name": "Egg, large (50 g each)", "grams": 200.0, "note": ""}, {"ingredient_id": "smoked_salmon", "name": "Smoked salmon", "grams": 80.0, "note": ""}, {"ingredient_id": "cream_cheese", "name": "Cream cheese", "grams": 30.0, "note": ""}, {"ingredient_id": "chives", "name": "Fresh chives", "grams": 5.0, "note": ""}, {"ingredient_id": "butter", "name": "Butter", "grams": 10.0, "note": ""}]</t>
        </is>
      </c>
      <c r="N1599" s="2" t="n">
        <v>278</v>
      </c>
      <c r="O1599" s="5" t="n">
        <v>20.8</v>
      </c>
      <c r="P1599" s="5" t="n">
        <v>20.4</v>
      </c>
      <c r="Q1599" s="5" t="n">
        <v>1.4</v>
      </c>
      <c r="R1599" s="5" t="n">
        <v>0.1</v>
      </c>
      <c r="S1599" s="5" t="n">
        <v>1.3</v>
      </c>
      <c r="T1599" s="2" t="n">
        <v>1</v>
      </c>
      <c r="U1599" s="2" t="inlineStr">
        <is>
          <t>low</t>
        </is>
      </c>
      <c r="V1599" s="5" t="n">
        <v>0</v>
      </c>
      <c r="W1599" s="2" t="inlineStr">
        <is>
          <t>low</t>
        </is>
      </c>
      <c r="X1599" s="3" t="inlineStr">
        <is>
          <t>Negligible carbohydrate (&lt;5 g net/serving): GI has little practical meaning, glycemic load is what matters.</t>
        </is>
      </c>
      <c r="Y1599" s="3" t="inlineStr">
        <is>
          <t>0% of this dish's available carbohydrate comes from ingredients with a published, measured GI; the rest uses conventional placeholders (see Ingredients sheet)</t>
        </is>
      </c>
      <c r="Z1599" s="2" t="n">
        <v>0</v>
      </c>
      <c r="AA1599" s="3" t="inlineStr">
        <is>
          <t>pescatarian, gluten-free, nut-free, low-carb</t>
        </is>
      </c>
      <c r="AB1599" s="3" t="inlineStr">
        <is>
          <t>1. Scramble the eggs gently in butter.
2. Fold in the cream cheese and salmon and finish with chives.</t>
        </is>
      </c>
      <c r="AC1599" s="4" t="inlineStr">
        <is>
          <t>["Scramble the eggs gently in butter.", "Fold in the cream cheese and salmon and finish with chives."]</t>
        </is>
      </c>
    </row>
    <row r="1600" ht="96" customHeight="1">
      <c r="A1600" s="2" t="inlineStr">
        <is>
          <t>DB-1599</t>
        </is>
      </c>
      <c r="B1600" s="3" t="inlineStr">
        <is>
          <t>Breakfast Burrito Bowl with Sweet Potato</t>
        </is>
      </c>
      <c r="C1600" s="4" t="inlineStr">
        <is>
          <t>Breakfast</t>
        </is>
      </c>
      <c r="D1600" s="4" t="inlineStr">
        <is>
          <t>Tex-Mex</t>
        </is>
      </c>
      <c r="E1600" s="2" t="n">
        <v>3</v>
      </c>
      <c r="F1600" s="2" t="n">
        <v>10</v>
      </c>
      <c r="G1600" s="2" t="n">
        <v>20</v>
      </c>
      <c r="H1600" s="2" t="n">
        <v>30</v>
      </c>
      <c r="I1600" s="4" t="inlineStr">
        <is>
          <t>breakfast-burrito-bowl-with-sweet-potato.jpg</t>
        </is>
      </c>
      <c r="J1600" s="3" t="inlineStr">
        <is>
          <t>Breakfast Burrito Bowl with Sweet Potato, healthy food photography, plated, natural light</t>
        </is>
      </c>
      <c r="K1600" s="4" t="inlineStr"/>
      <c r="L1600" s="3" t="inlineStr">
        <is>
          <t>Sweet potato, baked/roasted — 300 g (10.6 oz)
Egg, large (50 g each) — 200 g (7.1 oz)
Black beans, cooked — 150 g (5.3 oz)
Avocado — 100 g (3.5 oz)
Salsa, no sugar added — 90 g (3.2 oz)
Fresh cilantro — 5 g (0.2 oz)
Extra-virgin olive oil — 10 g (0.4 oz)</t>
        </is>
      </c>
      <c r="M1600" s="4" t="inlineStr">
        <is>
          <t>[{"ingredient_id": "sweet_potato_roasted", "name": "Sweet potato, baked/roasted", "grams": 300.0, "note": ""}, {"ingredient_id": "egg", "name": "Egg, large (50 g each)", "grams": 200.0, "note": ""}, {"ingredient_id": "black_beans", "name": "Black beans, cooked", "grams": 150.0, "note": ""}, {"ingredient_id": "avocado", "name": "Avocado", "grams": 100.0, "note": ""}, {"ingredient_id": "salsa", "name": "Salsa, no sugar added", "grams": 90.0, "note": ""}, {"ingredient_id": "cilantro", "name": "Fresh cilantro", "grams": 5.0, "note": ""}, {"ingredient_id": "olive_oil", "name": "Extra-virgin olive oil", "grams": 10.0, "note": ""}]</t>
        </is>
      </c>
      <c r="N1600" s="2" t="n">
        <v>341</v>
      </c>
      <c r="O1600" s="5" t="n">
        <v>15.6</v>
      </c>
      <c r="P1600" s="5" t="n">
        <v>15.1</v>
      </c>
      <c r="Q1600" s="5" t="n">
        <v>37.3</v>
      </c>
      <c r="R1600" s="5" t="n">
        <v>10.1</v>
      </c>
      <c r="S1600" s="5" t="n">
        <v>27.2</v>
      </c>
      <c r="T1600" s="2" t="n">
        <v>63</v>
      </c>
      <c r="U1600" s="2" t="inlineStr">
        <is>
          <t>medium</t>
        </is>
      </c>
      <c r="V1600" s="5" t="n">
        <v>17.2</v>
      </c>
      <c r="W1600" s="2" t="inlineStr">
        <is>
          <t>medium</t>
        </is>
      </c>
      <c r="X1600" s="3" t="inlineStr">
        <is>
          <t>Medium-GI dish: keep to the stated portion and pair with the protein/fat in the recipe; GL per serving is the better guide.</t>
        </is>
      </c>
      <c r="Y1600" s="3" t="inlineStr">
        <is>
          <t>90% of this dish's available carbohydrate comes from ingredients with a published, measured GI; the rest uses conventional placeholders (see Ingredients sheet)</t>
        </is>
      </c>
      <c r="Z1600" s="2" t="n">
        <v>90</v>
      </c>
      <c r="AA1600" s="3" t="inlineStr">
        <is>
          <t>vegetarian, gluten-free, dairy-free, nut-free, high-fiber</t>
        </is>
      </c>
      <c r="AB1600" s="3" t="inlineStr">
        <is>
          <t>1. Roast the sweet potato cubes.
2. Scramble the eggs in oil.
3. Build bowls with beans, eggs, avocado and salsa.</t>
        </is>
      </c>
      <c r="AC1600" s="4" t="inlineStr">
        <is>
          <t>["Roast the sweet potato cubes.", "Scramble the eggs in oil.", "Build bowls with beans, eggs, avocado and salsa."]</t>
        </is>
      </c>
    </row>
    <row r="1601" ht="96" customHeight="1">
      <c r="A1601" s="2" t="inlineStr">
        <is>
          <t>DB-1600</t>
        </is>
      </c>
      <c r="B1601" s="3" t="inlineStr">
        <is>
          <t>Bacon and Egg Fried Cauliflower Rice</t>
        </is>
      </c>
      <c r="C1601" s="4" t="inlineStr">
        <is>
          <t>Breakfast</t>
        </is>
      </c>
      <c r="D1601" s="4" t="inlineStr">
        <is>
          <t>American</t>
        </is>
      </c>
      <c r="E1601" s="2" t="n">
        <v>3</v>
      </c>
      <c r="F1601" s="2" t="n">
        <v>10</v>
      </c>
      <c r="G1601" s="2" t="n">
        <v>12</v>
      </c>
      <c r="H1601" s="2" t="n">
        <v>22</v>
      </c>
      <c r="I1601" s="4" t="inlineStr">
        <is>
          <t>bacon-and-egg-fried-cauliflower-rice.jpg</t>
        </is>
      </c>
      <c r="J1601" s="3" t="inlineStr">
        <is>
          <t>Bacon and Egg Fried Cauliflower Rice, healthy food photography, plated, natural light</t>
        </is>
      </c>
      <c r="K1601" s="4" t="inlineStr"/>
      <c r="L1601" s="3" t="inlineStr">
        <is>
          <t>Cauliflower rice — 400 g (14.1 oz)
Egg, large (50 g each) — 150 g (5.3 oz)
Bacon — 50 g (1.8 oz)
Green onions (scallions) — 25 g (0.9 oz)
Spinach — 50 g (1.8 oz)
Soy sauce, low sodium — 15 g (0.5 oz)</t>
        </is>
      </c>
      <c r="M1601" s="4" t="inlineStr">
        <is>
          <t>[{"ingredient_id": "cauliflower_rice", "name": "Cauliflower rice", "grams": 400.0, "note": ""}, {"ingredient_id": "egg", "name": "Egg, large (50 g each)", "grams": 150.0, "note": ""}, {"ingredient_id": "bacon", "name": "Bacon", "grams": 50.0, "note": ""}, {"ingredient_id": "green_onion", "name": "Green onions (scallions)", "grams": 25.0, "note": ""}, {"ingredient_id": "spinach", "name": "Spinach", "grams": 50.0, "note": ""}, {"ingredient_id": "soy_sauce", "name": "Soy sauce, low sodium", "grams": 15.0, "note": ""}]</t>
        </is>
      </c>
      <c r="N1601" s="2" t="n">
        <v>204</v>
      </c>
      <c r="O1601" s="5" t="n">
        <v>16</v>
      </c>
      <c r="P1601" s="5" t="n">
        <v>12.2</v>
      </c>
      <c r="Q1601" s="5" t="n">
        <v>8.699999999999999</v>
      </c>
      <c r="R1601" s="5" t="n">
        <v>3.3</v>
      </c>
      <c r="S1601" s="5" t="n">
        <v>5.4</v>
      </c>
      <c r="T1601" s="2" t="n">
        <v>14</v>
      </c>
      <c r="U1601" s="2" t="inlineStr">
        <is>
          <t>low</t>
        </is>
      </c>
      <c r="V1601" s="5" t="n">
        <v>0.8</v>
      </c>
      <c r="W1601" s="2" t="inlineStr">
        <is>
          <t>low</t>
        </is>
      </c>
      <c r="X1601" s="3" t="inlineStr"/>
      <c r="Y1601" s="3" t="inlineStr">
        <is>
          <t>0% of this dish's available carbohydrate comes from ingredients with a published, measured GI; the rest uses conventional placeholders (see Ingredients sheet)</t>
        </is>
      </c>
      <c r="Z1601" s="2" t="n">
        <v>0</v>
      </c>
      <c r="AA1601" s="3" t="inlineStr">
        <is>
          <t>dairy-free, nut-free, low-carb</t>
        </is>
      </c>
      <c r="AB1601" s="3" t="inlineStr">
        <is>
          <t>1. Crisp the bacon.
2. Cook the cauliflower rice in the fat, scramble in the eggs and spinach.
3. Season with soy sauce and finish with green onion.</t>
        </is>
      </c>
      <c r="AC1601" s="4" t="inlineStr">
        <is>
          <t>["Crisp the bacon.", "Cook the cauliflower rice in the fat, scramble in the eggs and spinach.", "Season with soy sauce and finish with green onion."]</t>
        </is>
      </c>
    </row>
    <row r="1602" ht="96" customHeight="1">
      <c r="A1602" s="2" t="inlineStr">
        <is>
          <t>DB-1601</t>
        </is>
      </c>
      <c r="B1602" s="3" t="inlineStr">
        <is>
          <t>Spinach Mushroom Frittata</t>
        </is>
      </c>
      <c r="C1602" s="4" t="inlineStr">
        <is>
          <t>Breakfast</t>
        </is>
      </c>
      <c r="D1602" s="4" t="inlineStr">
        <is>
          <t>Italian</t>
        </is>
      </c>
      <c r="E1602" s="2" t="n">
        <v>4</v>
      </c>
      <c r="F1602" s="2" t="n">
        <v>10</v>
      </c>
      <c r="G1602" s="2" t="n">
        <v>18</v>
      </c>
      <c r="H1602" s="2" t="n">
        <v>28</v>
      </c>
      <c r="I1602" s="4" t="inlineStr">
        <is>
          <t>spinach-mushroom-frittata.jpg</t>
        </is>
      </c>
      <c r="J1602" s="3" t="inlineStr">
        <is>
          <t>Spinach Mushroom Frittata, healthy food photography, plated, natural light</t>
        </is>
      </c>
      <c r="K1602" s="4" t="inlineStr"/>
      <c r="L1602" s="3" t="inlineStr">
        <is>
          <t>Egg, large (50 g each) — 300 g (10.6 oz)
Spinach — 120 g (4.2 oz)
Mushrooms (cremini/white) — 150 g (5.3 oz)
Yellow onion — 60 g (2.1 oz)
Parmesan, grated — 30 g (1.1 oz)
Extra-virgin olive oil — 15 g (0.5 oz)</t>
        </is>
      </c>
      <c r="M1602" s="4" t="inlineStr">
        <is>
          <t>[{"ingredient_id": "egg", "name": "Egg, large (50 g each)", "grams": 300.0, "note": ""}, {"ingredient_id": "spinach", "name": "Spinach", "grams": 120.0, "note": ""}, {"ingredient_id": "mushrooms", "name": "Mushrooms (cremini/white)", "grams": 150.0, "note": ""}, {"ingredient_id": "onion", "name": "Yellow onion", "grams": 60.0, "note": ""}, {"ingredient_id": "parmesan", "name": "Parmesan, grated", "grams": 30.0, "note": ""}, {"ingredient_id": "olive_oil", "name": "Extra-virgin olive oil", "grams": 15.0, "note": ""}]</t>
        </is>
      </c>
      <c r="N1602" s="2" t="n">
        <v>194</v>
      </c>
      <c r="O1602" s="5" t="n">
        <v>14.5</v>
      </c>
      <c r="P1602" s="5" t="n">
        <v>13.3</v>
      </c>
      <c r="Q1602" s="5" t="n">
        <v>4.5</v>
      </c>
      <c r="R1602" s="5" t="n">
        <v>1.3</v>
      </c>
      <c r="S1602" s="5" t="n">
        <v>3.2</v>
      </c>
      <c r="T1602" s="2" t="n">
        <v>11</v>
      </c>
      <c r="U1602" s="2" t="inlineStr">
        <is>
          <t>low</t>
        </is>
      </c>
      <c r="V1602" s="5" t="n">
        <v>0.4</v>
      </c>
      <c r="W1602" s="2" t="inlineStr">
        <is>
          <t>low</t>
        </is>
      </c>
      <c r="X1602" s="3" t="inlineStr">
        <is>
          <t>Negligible carbohydrate (&lt;5 g net/serving): GI has little practical meaning, glycemic load is what matters.</t>
        </is>
      </c>
      <c r="Y1602" s="3" t="inlineStr">
        <is>
          <t>0% of this dish's available carbohydrate comes from ingredients with a published, measured GI; the rest uses conventional placeholders (see Ingredients sheet)</t>
        </is>
      </c>
      <c r="Z1602" s="2" t="n">
        <v>0</v>
      </c>
      <c r="AA1602" s="3" t="inlineStr">
        <is>
          <t>vegetarian, gluten-free, nut-free, low-carb</t>
        </is>
      </c>
      <c r="AB1602" s="3" t="inlineStr">
        <is>
          <t>1. Sauté the onion, mushrooms and spinach in an ovenproof pan.
2. Pour in the eggs and parmesan, cook 4 minutes, then bake at 400°F for 10 minutes.</t>
        </is>
      </c>
      <c r="AC1602" s="4" t="inlineStr">
        <is>
          <t>["Sauté the onion, mushrooms and spinach in an ovenproof pan.", "Pour in the eggs and parmesan, cook 4 minutes, then bake at 400°F for 10 minutes."]</t>
        </is>
      </c>
    </row>
    <row r="1603" ht="96" customHeight="1">
      <c r="A1603" s="2" t="inlineStr">
        <is>
          <t>DB-1602</t>
        </is>
      </c>
      <c r="B1603" s="3" t="inlineStr">
        <is>
          <t>Ricotta Toast with Berries</t>
        </is>
      </c>
      <c r="C1603" s="4" t="inlineStr">
        <is>
          <t>Breakfast</t>
        </is>
      </c>
      <c r="D1603" s="4" t="inlineStr">
        <is>
          <t>American</t>
        </is>
      </c>
      <c r="E1603" s="2" t="n">
        <v>2</v>
      </c>
      <c r="F1603" s="2" t="n">
        <v>5</v>
      </c>
      <c r="G1603" s="2" t="n">
        <v>3</v>
      </c>
      <c r="H1603" s="2" t="n">
        <v>8</v>
      </c>
      <c r="I1603" s="4" t="inlineStr">
        <is>
          <t>ricotta-toast-with-berries.jpg</t>
        </is>
      </c>
      <c r="J1603" s="3" t="inlineStr">
        <is>
          <t>Ricotta Toast with Berries, healthy food photography, plated, natural light</t>
        </is>
      </c>
      <c r="K1603" s="4" t="inlineStr"/>
      <c r="L1603" s="3" t="inlineStr">
        <is>
          <t>Sprouted grain bread (Ezekiel-style) — 70 g (2.5 oz)
Ricotta, part-skim — 120 g (4.2 oz)
Mixed berries, frozen — 100 g (3.5 oz)
Ground cinnamon — 1 g (0.0 oz)
Walnuts — 15 g (0.5 oz)</t>
        </is>
      </c>
      <c r="M1603" s="4" t="inlineStr">
        <is>
          <t>[{"ingredient_id": "ezekiel_bread", "name": "Sprouted grain bread (Ezekiel-style)", "grams": 70.0, "note": ""}, {"ingredient_id": "ricotta", "name": "Ricotta, part-skim", "grams": 120.0, "note": ""}, {"ingredient_id": "mixed_berries", "name": "Mixed berries, frozen", "grams": 100.0, "note": ""}, {"ingredient_id": "cinnamon", "name": "Ground cinnamon", "grams": 1.0, "note": ""}, {"ingredient_id": "walnuts", "name": "Walnuts", "grams": 15.0, "note": ""}]</t>
        </is>
      </c>
      <c r="N1603" s="2" t="n">
        <v>238</v>
      </c>
      <c r="O1603" s="5" t="n">
        <v>12.3</v>
      </c>
      <c r="P1603" s="5" t="n">
        <v>10.4</v>
      </c>
      <c r="Q1603" s="5" t="n">
        <v>25.4</v>
      </c>
      <c r="R1603" s="5" t="n">
        <v>5.9</v>
      </c>
      <c r="S1603" s="5" t="n">
        <v>19.4</v>
      </c>
      <c r="T1603" s="2" t="n">
        <v>49</v>
      </c>
      <c r="U1603" s="2" t="inlineStr">
        <is>
          <t>low</t>
        </is>
      </c>
      <c r="V1603" s="5" t="n">
        <v>9.5</v>
      </c>
      <c r="W1603" s="2" t="inlineStr">
        <is>
          <t>low</t>
        </is>
      </c>
      <c r="X1603" s="3" t="inlineStr"/>
      <c r="Y1603" s="3" t="inlineStr">
        <is>
          <t>63% of this dish's available carbohydrate comes from ingredients with a published, measured GI; the rest uses conventional placeholders (see Ingredients sheet)</t>
        </is>
      </c>
      <c r="Z1603" s="2" t="n">
        <v>63</v>
      </c>
      <c r="AA1603" s="3" t="inlineStr">
        <is>
          <t>vegetarian, gluten-free</t>
        </is>
      </c>
      <c r="AB1603" s="3" t="inlineStr">
        <is>
          <t>1. Toast the bread and spread with ricotta.
2. Top with berries, walnuts and cinnamon.</t>
        </is>
      </c>
      <c r="AC1603" s="4" t="inlineStr">
        <is>
          <t>["Toast the bread and spread with ricotta.", "Top with berries, walnuts and cinnamon."]</t>
        </is>
      </c>
    </row>
    <row r="1604" ht="96" customHeight="1">
      <c r="A1604" s="2" t="inlineStr">
        <is>
          <t>DB-1603</t>
        </is>
      </c>
      <c r="B1604" s="3" t="inlineStr">
        <is>
          <t>Turkey Sausage Breakfast Hash with Peppers</t>
        </is>
      </c>
      <c r="C1604" s="4" t="inlineStr">
        <is>
          <t>Breakfast</t>
        </is>
      </c>
      <c r="D1604" s="4" t="inlineStr">
        <is>
          <t>American</t>
        </is>
      </c>
      <c r="E1604" s="2" t="n">
        <v>4</v>
      </c>
      <c r="F1604" s="2" t="n">
        <v>10</v>
      </c>
      <c r="G1604" s="2" t="n">
        <v>20</v>
      </c>
      <c r="H1604" s="2" t="n">
        <v>30</v>
      </c>
      <c r="I1604" s="4" t="inlineStr">
        <is>
          <t>turkey-sausage-breakfast-hash-with-peppers.jpg</t>
        </is>
      </c>
      <c r="J1604" s="3" t="inlineStr">
        <is>
          <t>Turkey Sausage Breakfast Hash with Peppers, healthy food photography, plated, natural light</t>
        </is>
      </c>
      <c r="K1604" s="4" t="inlineStr"/>
      <c r="L1604" s="3" t="inlineStr">
        <is>
          <t>Turkey sausage — 300 g (10.6 oz)
Sweet potato, boiled/simmered — 300 g (10.6 oz)
Bell pepper — 150 g (5.3 oz)
Yellow onion — 80 g (2.8 oz)
Egg, large (50 g each) — 150 g (5.3 oz)
Extra-virgin olive oil — 15 g (0.5 oz)
Smoked paprika — 2 g (0.1 oz)</t>
        </is>
      </c>
      <c r="M1604" s="4" t="inlineStr">
        <is>
          <t>[{"ingredient_id": "turkey_sausage", "name": "Turkey sausage", "grams": 300.0, "note": ""}, {"ingredient_id": "sweet_potato", "name": "Sweet potato, boiled/simmered", "grams": 300.0, "note": ""}, {"ingredient_id": "bell_pepper", "name": "Bell pepper", "grams": 150.0, "note": ""}, {"ingredient_id": "onion", "name": "Yellow onion", "grams": 80.0, "note": ""}, {"ingredient_id": "egg", "name": "Egg, large (50 g each)", "grams": 150.0, "note": ""}, {"ingredient_id": "olive_oil", "name": "Extra-virgin olive oil", "grams": 15.0, "note": ""}, {"ingredient_id": "smoked_paprika", "name": "Smoked paprika", "grams": 2.0, "note": ""}]</t>
        </is>
      </c>
      <c r="N1604" s="2" t="n">
        <v>289</v>
      </c>
      <c r="O1604" s="5" t="n">
        <v>17.8</v>
      </c>
      <c r="P1604" s="5" t="n">
        <v>15.1</v>
      </c>
      <c r="Q1604" s="5" t="n">
        <v>21.1</v>
      </c>
      <c r="R1604" s="5" t="n">
        <v>3.6</v>
      </c>
      <c r="S1604" s="5" t="n">
        <v>17.6</v>
      </c>
      <c r="T1604" s="2" t="n">
        <v>36</v>
      </c>
      <c r="U1604" s="2" t="inlineStr">
        <is>
          <t>low</t>
        </is>
      </c>
      <c r="V1604" s="5" t="n">
        <v>6.3</v>
      </c>
      <c r="W1604" s="2" t="inlineStr">
        <is>
          <t>low</t>
        </is>
      </c>
      <c r="X1604" s="3" t="inlineStr"/>
      <c r="Y1604" s="3" t="inlineStr">
        <is>
          <t>72% of this dish's available carbohydrate comes from ingredients with a published, measured GI; the rest uses conventional placeholders (see Ingredients sheet)</t>
        </is>
      </c>
      <c r="Z1604" s="2" t="n">
        <v>72</v>
      </c>
      <c r="AA1604" s="3" t="inlineStr">
        <is>
          <t>gluten-free, dairy-free, nut-free, one-pan</t>
        </is>
      </c>
      <c r="AB1604" s="3" t="inlineStr">
        <is>
          <t>1. Brown the sausage and set aside.
2. Cook the diced sweet potato, pepper and onion in oil until tender.
3. Return the sausage, make wells and cook the eggs in them.</t>
        </is>
      </c>
      <c r="AC1604" s="4" t="inlineStr">
        <is>
          <t>["Brown the sausage and set aside.", "Cook the diced sweet potato, pepper and onion in oil until tender.", "Return the sausage, make wells and cook the eggs in them."]</t>
        </is>
      </c>
    </row>
    <row r="1605" ht="96" customHeight="1">
      <c r="A1605" s="2" t="inlineStr">
        <is>
          <t>DB-1604</t>
        </is>
      </c>
      <c r="B1605" s="3" t="inlineStr">
        <is>
          <t>Taco Salad Bowl with Chicken and Black Beans</t>
        </is>
      </c>
      <c r="C1605" s="4" t="inlineStr">
        <is>
          <t>Salad</t>
        </is>
      </c>
      <c r="D1605" s="4" t="inlineStr">
        <is>
          <t>Tex-Mex</t>
        </is>
      </c>
      <c r="E1605" s="2" t="n">
        <v>4</v>
      </c>
      <c r="F1605" s="2" t="n">
        <v>15</v>
      </c>
      <c r="G1605" s="2" t="n">
        <v>10</v>
      </c>
      <c r="H1605" s="2" t="n">
        <v>25</v>
      </c>
      <c r="I1605" s="4" t="inlineStr">
        <is>
          <t>taco-salad-bowl-with-chicken-and-black-beans.jpg</t>
        </is>
      </c>
      <c r="J1605" s="3" t="inlineStr">
        <is>
          <t>Taco Salad Bowl with Chicken and Black Beans, healthy food photography, plated, natural light</t>
        </is>
      </c>
      <c r="K1605" s="4" t="inlineStr"/>
      <c r="L1605" s="3" t="inlineStr">
        <is>
          <t>Chicken breast, skinless — 400 g (14.1 oz)
Taco seasoning, low sodium — 12 g (0.4 oz)
Romaine lettuce — 200 g (7.1 oz)
Black beans, cooked — 150 g (5.3 oz)
Sweet corn kernels — 80 g (2.8 oz)
Tomato — 150 g (5.3 oz)
Avocado — 100 g (3.5 oz)
Salsa, no sugar added — 80 g (2.8 oz)
Greek yogurt, plain 2% — 60 g (2.1 oz)</t>
        </is>
      </c>
      <c r="M1605" s="4" t="inlineStr">
        <is>
          <t>[{"ingredient_id": "chicken_breast", "name": "Chicken breast, skinless", "grams": 400.0, "note": ""}, {"ingredient_id": "taco_seasoning", "name": "Taco seasoning, low sodium", "grams": 12.0, "note": ""}, {"ingredient_id": "romaine", "name": "Romaine lettuce", "grams": 200.0, "note": ""}, {"ingredient_id": "black_beans", "name": "Black beans, cooked", "grams": 150.0, "note": ""}, {"ingredient_id": "corn", "name": "Sweet corn kernels", "grams": 80.0, "note": ""}, {"ingredient_id": "tomato", "name": "Tomato", "grams": 150.0, "note": ""}, {"ingredient_id": "avocado", "name": "Avocado", "grams": 100.0, "note": ""}, {"ingredient_id": "salsa", "name": "Salsa, no sugar added", "grams": 80.0, "note": ""}, {"ingredient_id": "greek_yogurt", "name": "Greek yogurt, plain 2%", "grams": 60.0, "note": ""}]</t>
        </is>
      </c>
      <c r="N1605" s="2" t="n">
        <v>269</v>
      </c>
      <c r="O1605" s="5" t="n">
        <v>30</v>
      </c>
      <c r="P1605" s="5" t="n">
        <v>7.6</v>
      </c>
      <c r="Q1605" s="5" t="n">
        <v>21.6</v>
      </c>
      <c r="R1605" s="5" t="n">
        <v>8</v>
      </c>
      <c r="S1605" s="5" t="n">
        <v>13.5</v>
      </c>
      <c r="T1605" s="2" t="n">
        <v>31</v>
      </c>
      <c r="U1605" s="2" t="inlineStr">
        <is>
          <t>low</t>
        </is>
      </c>
      <c r="V1605" s="5" t="n">
        <v>4.2</v>
      </c>
      <c r="W1605" s="2" t="inlineStr">
        <is>
          <t>low</t>
        </is>
      </c>
      <c r="X1605" s="3" t="inlineStr"/>
      <c r="Y1605" s="3" t="inlineStr">
        <is>
          <t>70% of this dish's available carbohydrate comes from ingredients with a published, measured GI; the rest uses conventional placeholders (see Ingredients sheet)</t>
        </is>
      </c>
      <c r="Z1605" s="2" t="n">
        <v>70</v>
      </c>
      <c r="AA1605" s="3" t="inlineStr">
        <is>
          <t>gluten-free, nut-free, low-carb, high-protein, high-fiber</t>
        </is>
      </c>
      <c r="AB1605" s="3" t="inlineStr">
        <is>
          <t>1. Season and sear the chicken; slice.
2. Arrange lettuce, beans, corn and tomato in bowls.
3. Top with chicken, avocado, salsa and a spoon of yogurt.</t>
        </is>
      </c>
      <c r="AC1605" s="4" t="inlineStr">
        <is>
          <t>["Season and sear the chicken; slice.", "Arrange lettuce, beans, corn and tomato in bowls.", "Top with chicken, avocado, salsa and a spoon of yogurt."]</t>
        </is>
      </c>
    </row>
    <row r="1606" ht="96" customHeight="1">
      <c r="A1606" s="2" t="inlineStr">
        <is>
          <t>DB-1605</t>
        </is>
      </c>
      <c r="B1606" s="3" t="inlineStr">
        <is>
          <t>Cobb-Style Chopped Salad with Turkey</t>
        </is>
      </c>
      <c r="C1606" s="4" t="inlineStr">
        <is>
          <t>Salad</t>
        </is>
      </c>
      <c r="D1606" s="4" t="inlineStr">
        <is>
          <t>American</t>
        </is>
      </c>
      <c r="E1606" s="2" t="n">
        <v>3</v>
      </c>
      <c r="F1606" s="2" t="n">
        <v>15</v>
      </c>
      <c r="G1606" s="2" t="n">
        <v>10</v>
      </c>
      <c r="H1606" s="2" t="n">
        <v>25</v>
      </c>
      <c r="I1606" s="4" t="inlineStr">
        <is>
          <t>cobb-style-chopped-salad-with-turkey.jpg</t>
        </is>
      </c>
      <c r="J1606" s="3" t="inlineStr">
        <is>
          <t>Cobb-Style Chopped Salad with Turkey, healthy food photography, plated, natural light</t>
        </is>
      </c>
      <c r="K1606" s="4" t="inlineStr"/>
      <c r="L1606" s="3" t="inlineStr">
        <is>
          <t>Deli turkey breast, low sodium — 200 g (7.1 oz)
Romaine lettuce — 200 g (7.1 oz)
Egg, large (50 g each) — 150 g (5.3 oz)
Bacon — 30 g (1.1 oz)
Avocado — 100 g (3.5 oz)
Tomato — 120 g (4.2 oz)
Blue cheese, crumbled — 40 g (1.4 oz)
Red wine vinegar — 15 g (0.5 oz)
Extra-virgin olive oil — 20 g (0.7 oz)</t>
        </is>
      </c>
      <c r="M1606" s="4" t="inlineStr">
        <is>
          <t>[{"ingredient_id": "deli_turkey", "name": "Deli turkey breast, low sodium", "grams": 200.0, "note": ""}, {"ingredient_id": "romaine", "name": "Romaine lettuce", "grams": 200.0, "note": ""}, {"ingredient_id": "egg", "name": "Egg, large (50 g each)", "grams": 150.0, "note": ""}, {"ingredient_id": "bacon", "name": "Bacon", "grams": 30.0, "note": ""}, {"ingredient_id": "avocado", "name": "Avocado", "grams": 100.0, "note": ""}, {"ingredient_id": "tomato", "name": "Tomato", "grams": 120.0, "note": ""}, {"ingredient_id": "blue_cheese", "name": "Blue cheese, crumbled", "grams": 40.0, "note": ""}, {"ingredient_id": "red_wine_vinegar", "name": "Red wine vinegar", "grams": 15.0, "note": ""}, {"ingredient_id": "olive_oil", "name": "Extra-virgin olive oil", "grams": 20.0, "note": ""}]</t>
        </is>
      </c>
      <c r="N1606" s="2" t="n">
        <v>374</v>
      </c>
      <c r="O1606" s="5" t="n">
        <v>26</v>
      </c>
      <c r="P1606" s="5" t="n">
        <v>25.8</v>
      </c>
      <c r="Q1606" s="5" t="n">
        <v>10.1</v>
      </c>
      <c r="R1606" s="5" t="n">
        <v>4.1</v>
      </c>
      <c r="S1606" s="5" t="n">
        <v>6</v>
      </c>
      <c r="T1606" s="2" t="n">
        <v>6</v>
      </c>
      <c r="U1606" s="2" t="inlineStr">
        <is>
          <t>low</t>
        </is>
      </c>
      <c r="V1606" s="5" t="n">
        <v>0.4</v>
      </c>
      <c r="W1606" s="2" t="inlineStr">
        <is>
          <t>low</t>
        </is>
      </c>
      <c r="X1606" s="3" t="inlineStr"/>
      <c r="Y1606" s="3" t="inlineStr">
        <is>
          <t>0% of this dish's available carbohydrate comes from ingredients with a published, measured GI; the rest uses conventional placeholders (see Ingredients sheet)</t>
        </is>
      </c>
      <c r="Z1606" s="2" t="n">
        <v>0</v>
      </c>
      <c r="AA1606" s="3" t="inlineStr">
        <is>
          <t>gluten-free, nut-free, low-carb, high-protein</t>
        </is>
      </c>
      <c r="AB1606" s="3" t="inlineStr">
        <is>
          <t>1. Hard-boil and chop the eggs; crisp the bacon.
2. Arrange the lettuce with turkey, egg, bacon, avocado, tomato and blue cheese.
3. Dress with vinegar and oil.</t>
        </is>
      </c>
      <c r="AC1606" s="4" t="inlineStr">
        <is>
          <t>["Hard-boil and chop the eggs; crisp the bacon.", "Arrange the lettuce with turkey, egg, bacon, avocado, tomato and blue cheese.", "Dress with vinegar and oil."]</t>
        </is>
      </c>
    </row>
    <row r="1607" ht="96" customHeight="1">
      <c r="A1607" s="2" t="inlineStr">
        <is>
          <t>DB-1606</t>
        </is>
      </c>
      <c r="B1607" s="3" t="inlineStr">
        <is>
          <t>Lentil Salad with Feta and Cucumber</t>
        </is>
      </c>
      <c r="C1607" s="4" t="inlineStr">
        <is>
          <t>Salad</t>
        </is>
      </c>
      <c r="D1607" s="4" t="inlineStr">
        <is>
          <t>Mediterranean</t>
        </is>
      </c>
      <c r="E1607" s="2" t="n">
        <v>4</v>
      </c>
      <c r="F1607" s="2" t="n">
        <v>15</v>
      </c>
      <c r="G1607" s="2" t="n">
        <v>0</v>
      </c>
      <c r="H1607" s="2" t="n">
        <v>15</v>
      </c>
      <c r="I1607" s="4" t="inlineStr">
        <is>
          <t>lentil-salad-with-feta-and-cucumber.jpg</t>
        </is>
      </c>
      <c r="J1607" s="3" t="inlineStr">
        <is>
          <t>Lentil Salad with Feta and Cucumber, healthy food photography, plated, natural light</t>
        </is>
      </c>
      <c r="K1607" s="4" t="inlineStr"/>
      <c r="L1607" s="3" t="inlineStr">
        <is>
          <t>Lentils, cooked — 400 g (14.1 oz)
Cucumber — 150 g (5.3 oz)
Cherry tomatoes — 150 g (5.3 oz)
Feta cheese — 60 g (2.1 oz)
Red onion — 30 g (1.1 oz)
Fresh parsley — 10 g (0.4 oz)
Lemon juice — 25 g (0.9 oz)
Extra-virgin olive oil — 25 g (0.9 oz)</t>
        </is>
      </c>
      <c r="M1607" s="4" t="inlineStr">
        <is>
          <t>[{"ingredient_id": "lentils", "name": "Lentils, cooked", "grams": 400.0, "note": ""}, {"ingredient_id": "cucumber", "name": "Cucumber", "grams": 150.0, "note": ""}, {"ingredient_id": "cherry_tomato", "name": "Cherry tomatoes", "grams": 150.0, "note": ""}, {"ingredient_id": "feta", "name": "Feta cheese", "grams": 60.0, "note": ""}, {"ingredient_id": "red_onion", "name": "Red onion", "grams": 30.0, "note": ""}, {"ingredient_id": "parsley", "name": "Fresh parsley", "grams": 10.0, "note": ""}, {"ingredient_id": "lemon_juice", "name": "Lemon juice", "grams": 25.0, "note": ""}, {"ingredient_id": "olive_oil", "name": "Extra-virgin olive oil", "grams": 25.0, "note": ""}]</t>
        </is>
      </c>
      <c r="N1607" s="2" t="n">
        <v>228</v>
      </c>
      <c r="O1607" s="5" t="n">
        <v>11.9</v>
      </c>
      <c r="P1607" s="5" t="n">
        <v>10</v>
      </c>
      <c r="Q1607" s="5" t="n">
        <v>24.7</v>
      </c>
      <c r="R1607" s="5" t="n">
        <v>8.800000000000001</v>
      </c>
      <c r="S1607" s="5" t="n">
        <v>15.9</v>
      </c>
      <c r="T1607" s="2" t="n">
        <v>31</v>
      </c>
      <c r="U1607" s="2" t="inlineStr">
        <is>
          <t>low</t>
        </is>
      </c>
      <c r="V1607" s="5" t="n">
        <v>4.9</v>
      </c>
      <c r="W1607" s="2" t="inlineStr">
        <is>
          <t>low</t>
        </is>
      </c>
      <c r="X1607" s="3" t="inlineStr"/>
      <c r="Y1607" s="3" t="inlineStr">
        <is>
          <t>76% of this dish's available carbohydrate comes from ingredients with a published, measured GI; the rest uses conventional placeholders (see Ingredients sheet)</t>
        </is>
      </c>
      <c r="Z1607" s="2" t="n">
        <v>76</v>
      </c>
      <c r="AA1607" s="3" t="inlineStr">
        <is>
          <t>vegetarian, gluten-free, nut-free, high-fiber, no-cook</t>
        </is>
      </c>
      <c r="AB1607" s="3" t="inlineStr">
        <is>
          <t>1. Combine the cooked lentils, cucumber, tomatoes, onion and parsley.
2. Dress with lemon and oil and top with feta.</t>
        </is>
      </c>
      <c r="AC1607" s="4" t="inlineStr">
        <is>
          <t>["Combine the cooked lentils, cucumber, tomatoes, onion and parsley.", "Dress with lemon and oil and top with feta."]</t>
        </is>
      </c>
    </row>
    <row r="1608" ht="96" customHeight="1">
      <c r="A1608" s="2" t="inlineStr">
        <is>
          <t>DB-1607</t>
        </is>
      </c>
      <c r="B1608" s="3" t="inlineStr">
        <is>
          <t>Shaved Brussels Sprout Salad with Parmesan</t>
        </is>
      </c>
      <c r="C1608" s="4" t="inlineStr">
        <is>
          <t>Salad</t>
        </is>
      </c>
      <c r="D1608" s="4" t="inlineStr">
        <is>
          <t>American</t>
        </is>
      </c>
      <c r="E1608" s="2" t="n">
        <v>4</v>
      </c>
      <c r="F1608" s="2" t="n">
        <v>15</v>
      </c>
      <c r="G1608" s="2" t="n">
        <v>0</v>
      </c>
      <c r="H1608" s="2" t="n">
        <v>15</v>
      </c>
      <c r="I1608" s="4" t="inlineStr">
        <is>
          <t>shaved-brussels-sprout-salad-with-parmesan.jpg</t>
        </is>
      </c>
      <c r="J1608" s="3" t="inlineStr">
        <is>
          <t>Shaved Brussels Sprout Salad with Parmesan, healthy food photography, plated, natural light</t>
        </is>
      </c>
      <c r="K1608" s="4" t="inlineStr"/>
      <c r="L1608" s="3" t="inlineStr">
        <is>
          <t>Brussels sprouts — 350 g (12.3 oz)
Parmesan, grated — 40 g (1.4 oz)
Almonds — 30 g (1.1 oz)
Lemon juice — 30 g (1.1 oz)
Extra-virgin olive oil — 25 g (0.9 oz)
Dijon mustard — 8 g (0.3 oz)</t>
        </is>
      </c>
      <c r="M1608" s="4" t="inlineStr">
        <is>
          <t>[{"ingredient_id": "brussels_sprouts", "name": "Brussels sprouts", "grams": 350.0, "note": ""}, {"ingredient_id": "parmesan", "name": "Parmesan, grated", "grams": 40.0, "note": ""}, {"ingredient_id": "almonds", "name": "Almonds", "grams": 30.0, "note": ""}, {"ingredient_id": "lemon_juice", "name": "Lemon juice", "grams": 30.0, "note": ""}, {"ingredient_id": "olive_oil", "name": "Extra-virgin olive oil", "grams": 25.0, "note": ""}, {"ingredient_id": "dijon", "name": "Dijon mustard", "grams": 8.0, "note": ""}]</t>
        </is>
      </c>
      <c r="N1608" s="2" t="n">
        <v>182</v>
      </c>
      <c r="O1608" s="5" t="n">
        <v>8.5</v>
      </c>
      <c r="P1608" s="5" t="n">
        <v>13.2</v>
      </c>
      <c r="Q1608" s="5" t="n">
        <v>10.5</v>
      </c>
      <c r="R1608" s="5" t="n">
        <v>4.3</v>
      </c>
      <c r="S1608" s="5" t="n">
        <v>6.2</v>
      </c>
      <c r="T1608" s="2" t="n">
        <v>14</v>
      </c>
      <c r="U1608" s="2" t="inlineStr">
        <is>
          <t>low</t>
        </is>
      </c>
      <c r="V1608" s="5" t="n">
        <v>0.9</v>
      </c>
      <c r="W1608" s="2" t="inlineStr">
        <is>
          <t>low</t>
        </is>
      </c>
      <c r="X1608" s="3" t="inlineStr"/>
      <c r="Y1608" s="3" t="inlineStr">
        <is>
          <t>0% of this dish's available carbohydrate comes from ingredients with a published, measured GI; the rest uses conventional placeholders (see Ingredients sheet)</t>
        </is>
      </c>
      <c r="Z1608" s="2" t="n">
        <v>0</v>
      </c>
      <c r="AA1608" s="3" t="inlineStr">
        <is>
          <t>vegetarian, gluten-free, low-carb, no-cook</t>
        </is>
      </c>
      <c r="AB1608" s="3" t="inlineStr">
        <is>
          <t>1. Shave the sprouts thin.
2. Toss with lemon, oil and mustard and top with parmesan and almonds.</t>
        </is>
      </c>
      <c r="AC1608" s="4" t="inlineStr">
        <is>
          <t>["Shave the sprouts thin.", "Toss with lemon, oil and mustard and top with parmesan and almonds."]</t>
        </is>
      </c>
    </row>
    <row r="1609" ht="96" customHeight="1">
      <c r="A1609" s="2" t="inlineStr">
        <is>
          <t>DB-1608</t>
        </is>
      </c>
      <c r="B1609" s="3" t="inlineStr">
        <is>
          <t>Salmon Niçoise-Style Salad</t>
        </is>
      </c>
      <c r="C1609" s="4" t="inlineStr">
        <is>
          <t>Salad</t>
        </is>
      </c>
      <c r="D1609" s="4" t="inlineStr">
        <is>
          <t>French</t>
        </is>
      </c>
      <c r="E1609" s="2" t="n">
        <v>3</v>
      </c>
      <c r="F1609" s="2" t="n">
        <v>15</v>
      </c>
      <c r="G1609" s="2" t="n">
        <v>20</v>
      </c>
      <c r="H1609" s="2" t="n">
        <v>35</v>
      </c>
      <c r="I1609" s="4" t="inlineStr">
        <is>
          <t>salmon-ni-oise-style-salad.jpg</t>
        </is>
      </c>
      <c r="J1609" s="3" t="inlineStr">
        <is>
          <t>Salmon Niçoise-Style Salad, healthy food photography, plated, natural light</t>
        </is>
      </c>
      <c r="K1609" s="4" t="inlineStr"/>
      <c r="L1609" s="3" t="inlineStr">
        <is>
          <t>Salmon fillet — 360 g (12.7 oz)
Green beans — 200 g (7.1 oz)
New potatoes, boiled — 200 g (7.1 oz)
Egg, large (50 g each) — 100 g (3.5 oz)
Olives (kalamata/green) — 40 g (1.4 oz)
Cherry tomatoes — 150 g (5.3 oz)
Mixed salad greens — 100 g (3.5 oz)
Dijon mustard — 10 g (0.4 oz)
Extra-virgin olive oil — 25 g (0.9 oz)
Red wine vinegar — 15 g (0.5 oz)</t>
        </is>
      </c>
      <c r="M1609" s="4" t="inlineStr">
        <is>
          <t>[{"ingredient_id": "salmon", "name": "Salmon fillet", "grams": 360.0, "note": ""}, {"ingredient_id": "green_beans", "name": "Green beans", "grams": 200.0, "note": ""}, {"ingredient_id": "new_potato", "name": "New potatoes, boiled", "grams": 200.0, "note": ""}, {"ingredient_id": "egg", "name": "Egg, large (50 g each)", "grams": 100.0, "note": ""}, {"ingredient_id": "olives", "name": "Olives (kalamata/green)", "grams": 40.0, "note": ""}, {"ingredient_id": "cherry_tomato", "name": "Cherry tomatoes", "grams": 150.0, "note": ""}, {"ingredient_id": "mixed_greens", "name": "Mixed salad greens", "grams": 100.0, "note": ""}, {"ingredient_id": "dijon", "name": "Dijon mustard", "grams": 10.0, "note": ""}, {"ingredient_id": "olive_oil", "name": "Extra-virgin olive oil", "grams": 25.0, "note": ""}, {"ingredient_id": "red_wine_vinegar", "name": "Red wine vinegar", "grams": 15.0, "note": ""}]</t>
        </is>
      </c>
      <c r="N1609" s="2" t="n">
        <v>484</v>
      </c>
      <c r="O1609" s="5" t="n">
        <v>32</v>
      </c>
      <c r="P1609" s="5" t="n">
        <v>29.1</v>
      </c>
      <c r="Q1609" s="5" t="n">
        <v>22.3</v>
      </c>
      <c r="R1609" s="5" t="n">
        <v>4.8</v>
      </c>
      <c r="S1609" s="5" t="n">
        <v>17.5</v>
      </c>
      <c r="T1609" s="2" t="n">
        <v>54</v>
      </c>
      <c r="U1609" s="2" t="inlineStr">
        <is>
          <t>low</t>
        </is>
      </c>
      <c r="V1609" s="5" t="n">
        <v>9.5</v>
      </c>
      <c r="W1609" s="2" t="inlineStr">
        <is>
          <t>low</t>
        </is>
      </c>
      <c r="X1609" s="3" t="inlineStr"/>
      <c r="Y1609" s="3" t="inlineStr">
        <is>
          <t>69% of this dish's available carbohydrate comes from ingredients with a published, measured GI; the rest uses conventional placeholders (see Ingredients sheet)</t>
        </is>
      </c>
      <c r="Z1609" s="2" t="n">
        <v>69</v>
      </c>
      <c r="AA1609" s="3" t="inlineStr">
        <is>
          <t>pescatarian, gluten-free, dairy-free, nut-free, high-protein</t>
        </is>
      </c>
      <c r="AB1609" s="3" t="inlineStr">
        <is>
          <t>1. Roast the salmon at 400°F for 12 minutes; boil the potatoes and beans.
2. Arrange everything over greens with eggs, olives and tomatoes.
3. Dress with mustard, vinegar and oil.</t>
        </is>
      </c>
      <c r="AC1609" s="4" t="inlineStr">
        <is>
          <t>["Roast the salmon at 400°F for 12 minutes; boil the potatoes and beans.", "Arrange everything over greens with eggs, olives and tomatoes.", "Dress with mustard, vinegar and oil."]</t>
        </is>
      </c>
    </row>
    <row r="1610" ht="96" customHeight="1">
      <c r="A1610" s="2" t="inlineStr">
        <is>
          <t>DB-1609</t>
        </is>
      </c>
      <c r="B1610" s="3" t="inlineStr">
        <is>
          <t>Roasted Vegetable and Chickpea Grain Bowl</t>
        </is>
      </c>
      <c r="C1610" s="4" t="inlineStr">
        <is>
          <t>Salad</t>
        </is>
      </c>
      <c r="D1610" s="4" t="inlineStr">
        <is>
          <t>Mediterranean</t>
        </is>
      </c>
      <c r="E1610" s="2" t="n">
        <v>4</v>
      </c>
      <c r="F1610" s="2" t="n">
        <v>15</v>
      </c>
      <c r="G1610" s="2" t="n">
        <v>30</v>
      </c>
      <c r="H1610" s="2" t="n">
        <v>45</v>
      </c>
      <c r="I1610" s="4" t="inlineStr">
        <is>
          <t>roasted-vegetable-and-chickpea-grain-bowl.jpg</t>
        </is>
      </c>
      <c r="J1610" s="3" t="inlineStr">
        <is>
          <t>Roasted Vegetable and Chickpea Grain Bowl, healthy food photography, plated, natural light</t>
        </is>
      </c>
      <c r="K1610" s="4" t="inlineStr"/>
      <c r="L1610" s="3" t="inlineStr">
        <is>
          <t>Quinoa, cooked — 400 g (14.1 oz)
Chickpeas, cooked — 250 g (8.8 oz)
Zucchini — 200 g (7.1 oz)
Bell pepper — 150 g (5.3 oz)
Red onion — 60 g (2.1 oz)
Tahini — 30 g (1.1 oz)
Lemon juice — 25 g (0.9 oz)
Extra-virgin olive oil — 20 g (0.7 oz)</t>
        </is>
      </c>
      <c r="M1610" s="4" t="inlineStr">
        <is>
          <t>[{"ingredient_id": "quinoa", "name": "Quinoa, cooked", "grams": 400.0, "note": ""}, {"ingredient_id": "chickpeas", "name": "Chickpeas, cooked", "grams": 250.0, "note": ""}, {"ingredient_id": "zucchini", "name": "Zucchini", "grams": 200.0, "note": ""}, {"ingredient_id": "bell_pepper", "name": "Bell pepper", "grams": 150.0, "note": ""}, {"ingredient_id": "red_onion", "name": "Red onion", "grams": 60.0, "note": ""}, {"ingredient_id": "tahini", "name": "Tahini", "grams": 30.0, "note": ""}, {"ingredient_id": "lemon_juice", "name": "Lemon juice", "grams": 25.0, "note": ""}, {"ingredient_id": "olive_oil", "name": "Extra-virgin olive oil", "grams": 20.0, "note": ""}]</t>
        </is>
      </c>
      <c r="N1610" s="2" t="n">
        <v>339</v>
      </c>
      <c r="O1610" s="5" t="n">
        <v>12.4</v>
      </c>
      <c r="P1610" s="5" t="n">
        <v>12.9</v>
      </c>
      <c r="Q1610" s="5" t="n">
        <v>45.1</v>
      </c>
      <c r="R1610" s="5" t="n">
        <v>9.800000000000001</v>
      </c>
      <c r="S1610" s="5" t="n">
        <v>35.3</v>
      </c>
      <c r="T1610" s="2" t="n">
        <v>43</v>
      </c>
      <c r="U1610" s="2" t="inlineStr">
        <is>
          <t>low</t>
        </is>
      </c>
      <c r="V1610" s="5" t="n">
        <v>15.2</v>
      </c>
      <c r="W1610" s="2" t="inlineStr">
        <is>
          <t>medium</t>
        </is>
      </c>
      <c r="X1610" s="3" t="inlineStr"/>
      <c r="Y1610" s="3" t="inlineStr">
        <is>
          <t>86% of this dish's available carbohydrate comes from ingredients with a published, measured GI; the rest uses conventional placeholders (see Ingredients sheet)</t>
        </is>
      </c>
      <c r="Z1610" s="2" t="n">
        <v>86</v>
      </c>
      <c r="AA1610" s="3" t="inlineStr">
        <is>
          <t>vegan, gluten-free, dairy-free, nut-free, high-fiber</t>
        </is>
      </c>
      <c r="AB1610" s="3" t="inlineStr">
        <is>
          <t>1. Roast the vegetables and chickpeas with oil at 425°F for 25 minutes.
2. Serve over quinoa with tahini whisked with lemon.</t>
        </is>
      </c>
      <c r="AC1610" s="4" t="inlineStr">
        <is>
          <t>["Roast the vegetables and chickpeas with oil at 425°F for 25 minutes.", "Serve over quinoa with tahini whisked with lemon."]</t>
        </is>
      </c>
    </row>
    <row r="1611" ht="96" customHeight="1">
      <c r="A1611" s="2" t="inlineStr">
        <is>
          <t>DB-1610</t>
        </is>
      </c>
      <c r="B1611" s="3" t="inlineStr">
        <is>
          <t>Cucumber Edamame Salad with Sesame</t>
        </is>
      </c>
      <c r="C1611" s="4" t="inlineStr">
        <is>
          <t>Salad</t>
        </is>
      </c>
      <c r="D1611" s="4" t="inlineStr">
        <is>
          <t>Japanese</t>
        </is>
      </c>
      <c r="E1611" s="2" t="n">
        <v>4</v>
      </c>
      <c r="F1611" s="2" t="n">
        <v>10</v>
      </c>
      <c r="G1611" s="2" t="n">
        <v>5</v>
      </c>
      <c r="H1611" s="2" t="n">
        <v>15</v>
      </c>
      <c r="I1611" s="4" t="inlineStr">
        <is>
          <t>cucumber-edamame-salad-with-sesame.jpg</t>
        </is>
      </c>
      <c r="J1611" s="3" t="inlineStr">
        <is>
          <t>Cucumber Edamame Salad with Sesame, healthy food photography, plated, natural light</t>
        </is>
      </c>
      <c r="K1611" s="4" t="inlineStr"/>
      <c r="L1611" s="3" t="inlineStr">
        <is>
          <t>Cucumber — 300 g (10.6 oz)
Edamame, shelled, cooked — 200 g (7.1 oz)
Rice vinegar, unseasoned — 20 g (0.7 oz)
Toasted sesame oil — 8 g (0.3 oz)
Soy sauce, low sodium — 15 g (0.5 oz)
Sesame seeds — 8 g (0.3 oz)
Green onions (scallions) — 20 g (0.7 oz)</t>
        </is>
      </c>
      <c r="M1611" s="4" t="inlineStr">
        <is>
          <t>[{"ingredient_id": "cucumber", "name": "Cucumber", "grams": 300.0, "note": ""}, {"ingredient_id": "edamame", "name": "Edamame, shelled, cooked", "grams": 200.0, "note": ""}, {"ingredient_id": "rice_vinegar", "name": "Rice vinegar, unseasoned", "grams": 20.0, "note": ""}, {"ingredient_id": "sesame_oil", "name": "Toasted sesame oil", "grams": 8.0, "note": ""}, {"ingredient_id": "soy_sauce", "name": "Soy sauce, low sodium", "grams": 15.0, "note": ""}, {"ingredient_id": "sesame_seeds", "name": "Sesame seeds", "grams": 8.0, "note": ""}, {"ingredient_id": "green_onion", "name": "Green onions (scallions)", "grams": 20.0, "note": ""}]</t>
        </is>
      </c>
      <c r="N1611" s="2" t="n">
        <v>105</v>
      </c>
      <c r="O1611" s="5" t="n">
        <v>7.3</v>
      </c>
      <c r="P1611" s="5" t="n">
        <v>5.6</v>
      </c>
      <c r="Q1611" s="5" t="n">
        <v>8.199999999999999</v>
      </c>
      <c r="R1611" s="5" t="n">
        <v>3.3</v>
      </c>
      <c r="S1611" s="5" t="n">
        <v>5</v>
      </c>
      <c r="T1611" s="2" t="n">
        <v>17</v>
      </c>
      <c r="U1611" s="2" t="inlineStr">
        <is>
          <t>low</t>
        </is>
      </c>
      <c r="V1611" s="5" t="n">
        <v>0.8</v>
      </c>
      <c r="W1611" s="2" t="inlineStr">
        <is>
          <t>low</t>
        </is>
      </c>
      <c r="X1611" s="3" t="inlineStr">
        <is>
          <t>Negligible carbohydrate (&lt;5 g net/serving): GI has little practical meaning, glycemic load is what matters.</t>
        </is>
      </c>
      <c r="Y1611" s="3" t="inlineStr">
        <is>
          <t>0% of this dish's available carbohydrate comes from ingredients with a published, measured GI; the rest uses conventional placeholders (see Ingredients sheet)</t>
        </is>
      </c>
      <c r="Z1611" s="2" t="n">
        <v>0</v>
      </c>
      <c r="AA1611" s="3" t="inlineStr">
        <is>
          <t>vegan, dairy-free, nut-free, low-carb</t>
        </is>
      </c>
      <c r="AB1611" s="3" t="inlineStr">
        <is>
          <t>1. Boil the edamame 5 minutes and cool.
2. Toss with cucumber, vinegar, sesame oil, soy sauce, sesame seeds and green onion.</t>
        </is>
      </c>
      <c r="AC1611" s="4" t="inlineStr">
        <is>
          <t>["Boil the edamame 5 minutes and cool.", "Toss with cucumber, vinegar, sesame oil, soy sauce, sesame seeds and green onion."]</t>
        </is>
      </c>
    </row>
    <row r="1612" ht="96" customHeight="1">
      <c r="A1612" s="2" t="inlineStr">
        <is>
          <t>DB-1611</t>
        </is>
      </c>
      <c r="B1612" s="3" t="inlineStr">
        <is>
          <t>Pesto Zucchini Noodle Salad with Cherry Tomatoes</t>
        </is>
      </c>
      <c r="C1612" s="4" t="inlineStr">
        <is>
          <t>Salad</t>
        </is>
      </c>
      <c r="D1612" s="4" t="inlineStr">
        <is>
          <t>Italian</t>
        </is>
      </c>
      <c r="E1612" s="2" t="n">
        <v>3</v>
      </c>
      <c r="F1612" s="2" t="n">
        <v>10</v>
      </c>
      <c r="G1612" s="2" t="n">
        <v>0</v>
      </c>
      <c r="H1612" s="2" t="n">
        <v>10</v>
      </c>
      <c r="I1612" s="4" t="inlineStr">
        <is>
          <t>pesto-zucchini-noodle-salad-with-cherry-tomatoes.jpg</t>
        </is>
      </c>
      <c r="J1612" s="3" t="inlineStr">
        <is>
          <t>Pesto Zucchini Noodle Salad with Cherry Tomatoes, healthy food photography, plated, natural light</t>
        </is>
      </c>
      <c r="K1612" s="4" t="inlineStr"/>
      <c r="L1612" s="3" t="inlineStr">
        <is>
          <t>Zucchini noodles (zoodles) — 400 g (14.1 oz)
Cherry tomatoes — 200 g (7.1 oz)
Basil pesto — 50 g (1.8 oz)
Mozzarella, part-skim — 60 g (2.1 oz)
Pine nuts — 15 g (0.5 oz)</t>
        </is>
      </c>
      <c r="M1612" s="4" t="inlineStr">
        <is>
          <t>[{"ingredient_id": "zucchini_noodles", "name": "Zucchini noodles (zoodles)", "grams": 400.0, "note": ""}, {"ingredient_id": "cherry_tomato", "name": "Cherry tomatoes", "grams": 200.0, "note": ""}, {"ingredient_id": "pesto", "name": "Basil pesto", "grams": 50.0, "note": ""}, {"ingredient_id": "mozzarella", "name": "Mozzarella, part-skim", "grams": 60.0, "note": ""}, {"ingredient_id": "pine_nuts", "name": "Pine nuts", "grams": 15.0, "note": ""}]</t>
        </is>
      </c>
      <c r="N1612" s="2" t="n">
        <v>186</v>
      </c>
      <c r="O1612" s="5" t="n">
        <v>8.5</v>
      </c>
      <c r="P1612" s="5" t="n">
        <v>13.8</v>
      </c>
      <c r="Q1612" s="5" t="n">
        <v>9</v>
      </c>
      <c r="R1612" s="5" t="n">
        <v>2.7</v>
      </c>
      <c r="S1612" s="5" t="n">
        <v>6.3</v>
      </c>
      <c r="T1612" s="2" t="n">
        <v>14</v>
      </c>
      <c r="U1612" s="2" t="inlineStr">
        <is>
          <t>low</t>
        </is>
      </c>
      <c r="V1612" s="5" t="n">
        <v>0.9</v>
      </c>
      <c r="W1612" s="2" t="inlineStr">
        <is>
          <t>low</t>
        </is>
      </c>
      <c r="X1612" s="3" t="inlineStr"/>
      <c r="Y1612" s="3" t="inlineStr">
        <is>
          <t>0% of this dish's available carbohydrate comes from ingredients with a published, measured GI; the rest uses conventional placeholders (see Ingredients sheet)</t>
        </is>
      </c>
      <c r="Z1612" s="2" t="n">
        <v>0</v>
      </c>
      <c r="AA1612" s="3" t="inlineStr">
        <is>
          <t>vegetarian, gluten-free, low-carb, no-cook</t>
        </is>
      </c>
      <c r="AB1612" s="3" t="inlineStr">
        <is>
          <t>1. Toss the zucchini noodles with pesto.
2. Add halved tomatoes, mozzarella and pine nuts.</t>
        </is>
      </c>
      <c r="AC1612" s="4" t="inlineStr">
        <is>
          <t>["Toss the zucchini noodles with pesto.", "Add halved tomatoes, mozzarella and pine nuts."]</t>
        </is>
      </c>
    </row>
    <row r="1613" ht="96" customHeight="1">
      <c r="A1613" s="2" t="inlineStr">
        <is>
          <t>DB-1612</t>
        </is>
      </c>
      <c r="B1613" s="3" t="inlineStr">
        <is>
          <t>Pumpkin Seed and Cranberry Spinach Salad with Chicken</t>
        </is>
      </c>
      <c r="C1613" s="4" t="inlineStr">
        <is>
          <t>Salad</t>
        </is>
      </c>
      <c r="D1613" s="4" t="inlineStr">
        <is>
          <t>American</t>
        </is>
      </c>
      <c r="E1613" s="2" t="n">
        <v>3</v>
      </c>
      <c r="F1613" s="2" t="n">
        <v>10</v>
      </c>
      <c r="G1613" s="2" t="n">
        <v>10</v>
      </c>
      <c r="H1613" s="2" t="n">
        <v>20</v>
      </c>
      <c r="I1613" s="4" t="inlineStr">
        <is>
          <t>pumpkin-seed-and-cranberry-spinach-salad-with-chicken.jpg</t>
        </is>
      </c>
      <c r="J1613" s="3" t="inlineStr">
        <is>
          <t>Pumpkin Seed and Cranberry Spinach Salad with Chicken, healthy food photography, plated, natural light</t>
        </is>
      </c>
      <c r="K1613" s="4" t="inlineStr"/>
      <c r="L1613" s="3" t="inlineStr">
        <is>
          <t>Chicken breast, skinless — 360 g (12.7 oz)
Spinach — 150 g (5.3 oz)
Pumpkin seeds (pepitas) — 25 g (0.9 oz)
Cranberries, fresh — 25 g (0.9 oz)
Goat cheese — 40 g (1.4 oz)
Apple cider vinegar — 15 g (0.5 oz)
Extra-virgin olive oil — 20 g (0.7 oz)
Dijon mustard — 8 g (0.3 oz)</t>
        </is>
      </c>
      <c r="M1613" s="4" t="inlineStr">
        <is>
          <t>[{"ingredient_id": "chicken_breast", "name": "Chicken breast, skinless", "grams": 360.0, "note": ""}, {"ingredient_id": "spinach", "name": "Spinach", "grams": 150.0, "note": ""}, {"ingredient_id": "pumpkin_seeds", "name": "Pumpkin seeds (pepitas)", "grams": 25.0, "note": ""}, {"ingredient_id": "cranberries", "name": "Cranberries, fresh", "grams": 25.0, "note": ""}, {"ingredient_id": "goat_cheese", "name": "Goat cheese", "grams": 40.0, "note": ""}, {"ingredient_id": "apple_cider_vinegar", "name": "Apple cider vinegar", "grams": 15.0, "note": ""}, {"ingredient_id": "olive_oil", "name": "Extra-virgin olive oil", "grams": 20.0, "note": ""}, {"ingredient_id": "dijon", "name": "Dijon mustard", "grams": 8.0, "note": ""}]</t>
        </is>
      </c>
      <c r="N1613" s="2" t="n">
        <v>316</v>
      </c>
      <c r="O1613" s="5" t="n">
        <v>34</v>
      </c>
      <c r="P1613" s="5" t="n">
        <v>18.2</v>
      </c>
      <c r="Q1613" s="5" t="n">
        <v>3.9</v>
      </c>
      <c r="R1613" s="5" t="n">
        <v>2.1</v>
      </c>
      <c r="S1613" s="5" t="n">
        <v>1.8</v>
      </c>
      <c r="T1613" s="2" t="n">
        <v>25</v>
      </c>
      <c r="U1613" s="2" t="inlineStr">
        <is>
          <t>low</t>
        </is>
      </c>
      <c r="V1613" s="5" t="n">
        <v>0.5</v>
      </c>
      <c r="W1613" s="2" t="inlineStr">
        <is>
          <t>low</t>
        </is>
      </c>
      <c r="X1613" s="3" t="inlineStr">
        <is>
          <t>Negligible carbohydrate (&lt;5 g net/serving): GI has little practical meaning, glycemic load is what matters.</t>
        </is>
      </c>
      <c r="Y1613" s="3" t="inlineStr">
        <is>
          <t>0% of this dish's available carbohydrate comes from ingredients with a published, measured GI; the rest uses conventional placeholders (see Ingredients sheet)</t>
        </is>
      </c>
      <c r="Z1613" s="2" t="n">
        <v>0</v>
      </c>
      <c r="AA1613" s="3" t="inlineStr">
        <is>
          <t>gluten-free, nut-free, low-carb, high-protein</t>
        </is>
      </c>
      <c r="AB1613" s="3" t="inlineStr">
        <is>
          <t>1. Grill and slice the chicken.
2. Toss the spinach with seeds, cranberries and goat cheese.
3. Dress with vinegar, oil and mustard and top with chicken.</t>
        </is>
      </c>
      <c r="AC1613" s="4" t="inlineStr">
        <is>
          <t>["Grill and slice the chicken.", "Toss the spinach with seeds, cranberries and goat cheese.", "Dress with vinegar, oil and mustard and top with chicken."]</t>
        </is>
      </c>
    </row>
    <row r="1614" ht="96" customHeight="1">
      <c r="A1614" s="2" t="inlineStr">
        <is>
          <t>DB-1613</t>
        </is>
      </c>
      <c r="B1614" s="3" t="inlineStr">
        <is>
          <t>Chocolate Hazelnut Chia Pudding</t>
        </is>
      </c>
      <c r="C1614" s="4" t="inlineStr">
        <is>
          <t>Dessert</t>
        </is>
      </c>
      <c r="D1614" s="4" t="inlineStr">
        <is>
          <t>American</t>
        </is>
      </c>
      <c r="E1614" s="2" t="n">
        <v>3</v>
      </c>
      <c r="F1614" s="2" t="n">
        <v>5</v>
      </c>
      <c r="G1614" s="2" t="n">
        <v>0</v>
      </c>
      <c r="H1614" s="2" t="n">
        <v>5</v>
      </c>
      <c r="I1614" s="4" t="inlineStr">
        <is>
          <t>chocolate-hazelnut-chia-pudding.jpg</t>
        </is>
      </c>
      <c r="J1614" s="3" t="inlineStr">
        <is>
          <t>Chocolate Hazelnut Chia Pudding, healthy food photography, plated, natural light</t>
        </is>
      </c>
      <c r="K1614" s="4" t="inlineStr"/>
      <c r="L1614" s="3" t="inlineStr">
        <is>
          <t>Chia seeds — 40 g (1.4 oz)
Almond milk, unsweetened — 300 g (10.6 oz)
Cocoa powder, unsweetened — 12 g (0.4 oz)
Hazelnuts — 20 g (0.7 oz)
Monk fruit/erythritol sweetener — 8 g (0.3 oz)
Vanilla extract — 3 g (0.1 oz)</t>
        </is>
      </c>
      <c r="M1614" s="4" t="inlineStr">
        <is>
          <t>[{"ingredient_id": "chia_seeds", "name": "Chia seeds", "grams": 40.0, "note": ""}, {"ingredient_id": "almond_milk", "name": "Almond milk, unsweetened", "grams": 300.0, "note": ""}, {"ingredient_id": "cocoa_powder", "name": "Cocoa powder, unsweetened", "grams": 12.0, "note": ""}, {"ingredient_id": "hazelnuts", "name": "Hazelnuts", "grams": 20.0, "note": ""}, {"ingredient_id": "monk_fruit_sweetener", "name": "Monk fruit/erythritol sweetener", "grams": 8.0, "note": ""}, {"ingredient_id": "vanilla_extract", "name": "Vanilla extract", "grams": 3.0, "note": ""}]</t>
        </is>
      </c>
      <c r="N1614" s="2" t="n">
        <v>134</v>
      </c>
      <c r="O1614" s="5" t="n">
        <v>4.7</v>
      </c>
      <c r="P1614" s="5" t="n">
        <v>10</v>
      </c>
      <c r="Q1614" s="5" t="n">
        <v>9.800000000000001</v>
      </c>
      <c r="R1614" s="5" t="n">
        <v>6.5</v>
      </c>
      <c r="S1614" s="5" t="n">
        <v>3.3</v>
      </c>
      <c r="T1614" s="2" t="n">
        <v>18</v>
      </c>
      <c r="U1614" s="2" t="inlineStr">
        <is>
          <t>low</t>
        </is>
      </c>
      <c r="V1614" s="5" t="n">
        <v>0.6</v>
      </c>
      <c r="W1614" s="2" t="inlineStr">
        <is>
          <t>low</t>
        </is>
      </c>
      <c r="X1614" s="3" t="inlineStr">
        <is>
          <t>Negligible carbohydrate (&lt;5 g net/serving): GI has little practical meaning, glycemic load is what matters.</t>
        </is>
      </c>
      <c r="Y1614" s="3" t="inlineStr">
        <is>
          <t>0% of this dish's available carbohydrate comes from ingredients with a published, measured GI; the rest uses conventional placeholders (see Ingredients sheet)</t>
        </is>
      </c>
      <c r="Z1614" s="2" t="n">
        <v>0</v>
      </c>
      <c r="AA1614" s="3" t="inlineStr">
        <is>
          <t>vegan, gluten-free, dairy-free, low-carb, no-cook, meal-prep</t>
        </is>
      </c>
      <c r="AB1614" s="3" t="inlineStr">
        <is>
          <t>1. Whisk the chia, almond milk, cocoa, sweetener and vanilla.
2. Chill 4 hours and top with chopped hazelnuts.</t>
        </is>
      </c>
      <c r="AC1614" s="4" t="inlineStr">
        <is>
          <t>["Whisk the chia, almond milk, cocoa, sweetener and vanilla.", "Chill 4 hours and top with chopped hazelnuts."]</t>
        </is>
      </c>
    </row>
    <row r="1615" ht="96" customHeight="1">
      <c r="A1615" s="2" t="inlineStr">
        <is>
          <t>DB-1614</t>
        </is>
      </c>
      <c r="B1615" s="3" t="inlineStr">
        <is>
          <t>Greek Yogurt Panna Cotta</t>
        </is>
      </c>
      <c r="C1615" s="4" t="inlineStr">
        <is>
          <t>Dessert</t>
        </is>
      </c>
      <c r="D1615" s="4" t="inlineStr">
        <is>
          <t>Italian</t>
        </is>
      </c>
      <c r="E1615" s="2" t="n">
        <v>5</v>
      </c>
      <c r="F1615" s="2" t="n">
        <v>10</v>
      </c>
      <c r="G1615" s="2" t="n">
        <v>8</v>
      </c>
      <c r="H1615" s="2" t="n">
        <v>18</v>
      </c>
      <c r="I1615" s="4" t="inlineStr">
        <is>
          <t>greek-yogurt-panna-cotta.jpg</t>
        </is>
      </c>
      <c r="J1615" s="3" t="inlineStr">
        <is>
          <t>Greek Yogurt Panna Cotta, healthy food photography, plated, natural light</t>
        </is>
      </c>
      <c r="K1615" s="4" t="inlineStr"/>
      <c r="L1615" s="3" t="inlineStr">
        <is>
          <t>Greek yogurt, plain 2% — 400 g (14.1 oz)
Milk, 2% — 200 g (7.1 oz)
Unflavored gelatin — 8 g (0.3 oz)
Vanilla extract — 5 g (0.2 oz)
Monk fruit/erythritol sweetener — 10 g (0.4 oz)
Strawberries — 150 g (5.3 oz)</t>
        </is>
      </c>
      <c r="M1615" s="4" t="inlineStr">
        <is>
          <t>[{"ingredient_id": "greek_yogurt", "name": "Greek yogurt, plain 2%", "grams": 400.0, "note": ""}, {"ingredient_id": "milk", "name": "Milk, 2%", "grams": 200.0, "note": ""}, {"ingredient_id": "gelatin", "name": "Unflavored gelatin", "grams": 8.0, "note": ""}, {"ingredient_id": "vanilla_extract", "name": "Vanilla extract", "grams": 5.0, "note": ""}, {"ingredient_id": "monk_fruit_sweetener", "name": "Monk fruit/erythritol sweetener", "grams": 10.0, "note": ""}, {"ingredient_id": "strawberries", "name": "Strawberries", "grams": 150.0, "note": ""}]</t>
        </is>
      </c>
      <c r="N1615" s="2" t="n">
        <v>96</v>
      </c>
      <c r="O1615" s="5" t="n">
        <v>10.9</v>
      </c>
      <c r="P1615" s="5" t="n">
        <v>2.5</v>
      </c>
      <c r="Q1615" s="5" t="n">
        <v>7.6</v>
      </c>
      <c r="R1615" s="5" t="n">
        <v>0.6</v>
      </c>
      <c r="S1615" s="5" t="n">
        <v>7</v>
      </c>
      <c r="T1615" s="2" t="n">
        <v>22</v>
      </c>
      <c r="U1615" s="2" t="inlineStr">
        <is>
          <t>low</t>
        </is>
      </c>
      <c r="V1615" s="5" t="n">
        <v>1.5</v>
      </c>
      <c r="W1615" s="2" t="inlineStr">
        <is>
          <t>low</t>
        </is>
      </c>
      <c r="X1615" s="3" t="inlineStr"/>
      <c r="Y1615" s="3" t="inlineStr">
        <is>
          <t>98% of this dish's available carbohydrate comes from ingredients with a published, measured GI; the rest uses conventional placeholders (see Ingredients sheet)</t>
        </is>
      </c>
      <c r="Z1615" s="2" t="n">
        <v>98</v>
      </c>
      <c r="AA1615" s="3" t="inlineStr">
        <is>
          <t>vegetarian, gluten-free, nut-free, low-carb</t>
        </is>
      </c>
      <c r="AB1615" s="3" t="inlineStr">
        <is>
          <t>1. Bloom the gelatin in warm milk.
2. Whisk into the yogurt with vanilla and sweetener.
3. Chill in cups for 3 hours and top with strawberries.</t>
        </is>
      </c>
      <c r="AC1615" s="4" t="inlineStr">
        <is>
          <t>["Bloom the gelatin in warm milk.", "Whisk into the yogurt with vanilla and sweetener.", "Chill in cups for 3 hours and top with strawberries."]</t>
        </is>
      </c>
    </row>
    <row r="1616" ht="96" customHeight="1">
      <c r="A1616" s="2" t="inlineStr">
        <is>
          <t>DB-1615</t>
        </is>
      </c>
      <c r="B1616" s="3" t="inlineStr">
        <is>
          <t>Cinnamon Almond Baked Apples</t>
        </is>
      </c>
      <c r="C1616" s="4" t="inlineStr">
        <is>
          <t>Dessert</t>
        </is>
      </c>
      <c r="D1616" s="4" t="inlineStr">
        <is>
          <t>American</t>
        </is>
      </c>
      <c r="E1616" s="2" t="n">
        <v>4</v>
      </c>
      <c r="F1616" s="2" t="n">
        <v>10</v>
      </c>
      <c r="G1616" s="2" t="n">
        <v>35</v>
      </c>
      <c r="H1616" s="2" t="n">
        <v>45</v>
      </c>
      <c r="I1616" s="4" t="inlineStr">
        <is>
          <t>cinnamon-almond-baked-apples.jpg</t>
        </is>
      </c>
      <c r="J1616" s="3" t="inlineStr">
        <is>
          <t>Cinnamon Almond Baked Apples, healthy food photography, plated, natural light</t>
        </is>
      </c>
      <c r="K1616" s="4" t="inlineStr"/>
      <c r="L1616" s="3" t="inlineStr">
        <is>
          <t>Apple — 600 g (21.2 oz)
Almonds — 40 g (1.4 oz)
Ground cinnamon — 4 g (0.1 oz)
Butter — 15 g (0.5 oz)
Vanilla extract — 3 g (0.1 oz)</t>
        </is>
      </c>
      <c r="M1616" s="4" t="inlineStr">
        <is>
          <t>[{"ingredient_id": "apple", "name": "Apple", "grams": 600.0, "note": ""}, {"ingredient_id": "almonds", "name": "Almonds", "grams": 40.0, "note": ""}, {"ingredient_id": "cinnamon", "name": "Ground cinnamon", "grams": 4.0, "note": ""}, {"ingredient_id": "butter", "name": "Butter", "grams": 15.0, "note": ""}, {"ingredient_id": "vanilla_extract", "name": "Vanilla extract", "grams": 3.0, "note": ""}]</t>
        </is>
      </c>
      <c r="N1616" s="2" t="n">
        <v>167</v>
      </c>
      <c r="O1616" s="5" t="n">
        <v>2.6</v>
      </c>
      <c r="P1616" s="5" t="n">
        <v>8.300000000000001</v>
      </c>
      <c r="Q1616" s="5" t="n">
        <v>24.1</v>
      </c>
      <c r="R1616" s="5" t="n">
        <v>5.4</v>
      </c>
      <c r="S1616" s="5" t="n">
        <v>18.7</v>
      </c>
      <c r="T1616" s="2" t="n">
        <v>34</v>
      </c>
      <c r="U1616" s="2" t="inlineStr">
        <is>
          <t>low</t>
        </is>
      </c>
      <c r="V1616" s="5" t="n">
        <v>6.4</v>
      </c>
      <c r="W1616" s="2" t="inlineStr">
        <is>
          <t>low</t>
        </is>
      </c>
      <c r="X1616" s="3" t="inlineStr"/>
      <c r="Y1616" s="3" t="inlineStr">
        <is>
          <t>93% of this dish's available carbohydrate comes from ingredients with a published, measured GI; the rest uses conventional placeholders (see Ingredients sheet)</t>
        </is>
      </c>
      <c r="Z1616" s="2" t="n">
        <v>93</v>
      </c>
      <c r="AA1616" s="3" t="inlineStr">
        <is>
          <t>vegetarian, gluten-free</t>
        </is>
      </c>
      <c r="AB1616" s="3" t="inlineStr">
        <is>
          <t>1. Core the apples and fill with chopped almonds, cinnamon, butter and vanilla.
2. Bake at 375°F for 30 to 35 minutes.</t>
        </is>
      </c>
      <c r="AC1616" s="4" t="inlineStr">
        <is>
          <t>["Core the apples and fill with chopped almonds, cinnamon, butter and vanilla.", "Bake at 375°F for 30 to 35 minutes."]</t>
        </is>
      </c>
    </row>
    <row r="1617" ht="96" customHeight="1">
      <c r="A1617" s="2" t="inlineStr">
        <is>
          <t>DB-1616</t>
        </is>
      </c>
      <c r="B1617" s="3" t="inlineStr">
        <is>
          <t>Lemon Blueberry Yogurt Muffins</t>
        </is>
      </c>
      <c r="C1617" s="4" t="inlineStr">
        <is>
          <t>Dessert</t>
        </is>
      </c>
      <c r="D1617" s="4" t="inlineStr">
        <is>
          <t>American</t>
        </is>
      </c>
      <c r="E1617" s="2" t="n">
        <v>10</v>
      </c>
      <c r="F1617" s="2" t="n">
        <v>10</v>
      </c>
      <c r="G1617" s="2" t="n">
        <v>22</v>
      </c>
      <c r="H1617" s="2" t="n">
        <v>32</v>
      </c>
      <c r="I1617" s="4" t="inlineStr">
        <is>
          <t>lemon-blueberry-yogurt-muffins.jpg</t>
        </is>
      </c>
      <c r="J1617" s="3" t="inlineStr">
        <is>
          <t>Lemon Blueberry Yogurt Muffins, healthy food photography, plated, natural light</t>
        </is>
      </c>
      <c r="K1617" s="4" t="inlineStr"/>
      <c r="L1617" s="3" t="inlineStr">
        <is>
          <t>Oat flour — 170 g (6.0 oz)
Greek yogurt, plain 2% — 150 g (5.3 oz)
Egg, large (50 g each) — 100 g (3.5 oz)
Blueberries — 150 g (5.3 oz)
Lemon juice — 20 g (0.7 oz)
Baking powder — 6 g (0.2 oz)
White sugar — 25 g (0.9 oz)</t>
        </is>
      </c>
      <c r="M1617" s="4" t="inlineStr">
        <is>
          <t>[{"ingredient_id": "oat_flour", "name": "Oat flour", "grams": 170.0, "note": ""}, {"ingredient_id": "greek_yogurt", "name": "Greek yogurt, plain 2%", "grams": 150.0, "note": ""}, {"ingredient_id": "egg", "name": "Egg, large (50 g each)", "grams": 100.0, "note": ""}, {"ingredient_id": "blueberries", "name": "Blueberries", "grams": 150.0, "note": ""}, {"ingredient_id": "lemon_juice", "name": "Lemon juice", "grams": 20.0, "note": ""}, {"ingredient_id": "baking_powder", "name": "Baking powder", "grams": 6.0, "note": ""}, {"ingredient_id": "sugar_white", "name": "White sugar", "grams": 25.0, "note": ""}]</t>
        </is>
      </c>
      <c r="N1617" s="2" t="n">
        <v>113</v>
      </c>
      <c r="O1617" s="5" t="n">
        <v>5.4</v>
      </c>
      <c r="P1617" s="5" t="n">
        <v>2.8</v>
      </c>
      <c r="Q1617" s="5" t="n">
        <v>16.9</v>
      </c>
      <c r="R1617" s="5" t="n">
        <v>1.5</v>
      </c>
      <c r="S1617" s="5" t="n">
        <v>15.4</v>
      </c>
      <c r="T1617" s="2" t="n">
        <v>53</v>
      </c>
      <c r="U1617" s="2" t="inlineStr">
        <is>
          <t>low</t>
        </is>
      </c>
      <c r="V1617" s="5" t="n">
        <v>8.199999999999999</v>
      </c>
      <c r="W1617" s="2" t="inlineStr">
        <is>
          <t>low</t>
        </is>
      </c>
      <c r="X1617" s="3" t="inlineStr"/>
      <c r="Y1617" s="3" t="inlineStr">
        <is>
          <t>32% of this dish's available carbohydrate comes from ingredients with a published, measured GI; the rest uses conventional placeholders (see Ingredients sheet)</t>
        </is>
      </c>
      <c r="Z1617" s="2" t="n">
        <v>32</v>
      </c>
      <c r="AA1617" s="3" t="inlineStr">
        <is>
          <t>vegetarian, nut-free</t>
        </is>
      </c>
      <c r="AB1617" s="3" t="inlineStr">
        <is>
          <t>1. Whisk the yogurt, eggs, lemon juice and sugar.
2. Fold in the oat flour, baking powder and blueberries.
3. Bake in a lined tin at 350°F for 20 to 22 minutes.</t>
        </is>
      </c>
      <c r="AC1617" s="4" t="inlineStr">
        <is>
          <t>["Whisk the yogurt, eggs, lemon juice and sugar.", "Fold in the oat flour, baking powder and blueberries.", "Bake in a lined tin at 350°F for 20 to 22 minutes."]</t>
        </is>
      </c>
    </row>
    <row r="1618" ht="96" customHeight="1">
      <c r="A1618" s="2" t="inlineStr">
        <is>
          <t>DB-1617</t>
        </is>
      </c>
      <c r="B1618" s="3" t="inlineStr">
        <is>
          <t>Peanut Butter Banana Ice Cream</t>
        </is>
      </c>
      <c r="C1618" s="4" t="inlineStr">
        <is>
          <t>Dessert</t>
        </is>
      </c>
      <c r="D1618" s="4" t="inlineStr">
        <is>
          <t>American</t>
        </is>
      </c>
      <c r="E1618" s="2" t="n">
        <v>3</v>
      </c>
      <c r="F1618" s="2" t="n">
        <v>5</v>
      </c>
      <c r="G1618" s="2" t="n">
        <v>0</v>
      </c>
      <c r="H1618" s="2" t="n">
        <v>5</v>
      </c>
      <c r="I1618" s="4" t="inlineStr">
        <is>
          <t>peanut-butter-banana-ice-cream.jpg</t>
        </is>
      </c>
      <c r="J1618" s="3" t="inlineStr">
        <is>
          <t>Peanut Butter Banana Ice Cream, healthy food photography, plated, natural light</t>
        </is>
      </c>
      <c r="K1618" s="4" t="inlineStr"/>
      <c r="L1618" s="3" t="inlineStr">
        <is>
          <t>Banana (small amount) — 300 g (10.6 oz)
Peanut butter, natural — 40 g (1.4 oz)
Milk, 2% — 50 g (1.8 oz)
Cocoa powder, unsweetened — 8 g (0.3 oz)</t>
        </is>
      </c>
      <c r="M1618" s="4" t="inlineStr">
        <is>
          <t>[{"ingredient_id": "banana", "name": "Banana (small amount)", "grams": 300.0, "note": ""}, {"ingredient_id": "peanut_butter", "name": "Peanut butter, natural", "grams": 40.0, "note": ""}, {"ingredient_id": "milk", "name": "Milk, 2%", "grams": 50.0, "note": ""}, {"ingredient_id": "cocoa_powder", "name": "Cocoa powder, unsweetened", "grams": 8.0, "note": ""}]</t>
        </is>
      </c>
      <c r="N1618" s="2" t="n">
        <v>182</v>
      </c>
      <c r="O1618" s="5" t="n">
        <v>5.5</v>
      </c>
      <c r="P1618" s="5" t="n">
        <v>7.7</v>
      </c>
      <c r="Q1618" s="5" t="n">
        <v>28</v>
      </c>
      <c r="R1618" s="5" t="n">
        <v>4.3</v>
      </c>
      <c r="S1618" s="5" t="n">
        <v>23.7</v>
      </c>
      <c r="T1618" s="2" t="n">
        <v>46</v>
      </c>
      <c r="U1618" s="2" t="inlineStr">
        <is>
          <t>low</t>
        </is>
      </c>
      <c r="V1618" s="5" t="n">
        <v>10.9</v>
      </c>
      <c r="W1618" s="2" t="inlineStr">
        <is>
          <t>medium</t>
        </is>
      </c>
      <c r="X1618" s="3" t="inlineStr"/>
      <c r="Y1618" s="3" t="inlineStr">
        <is>
          <t>89% of this dish's available carbohydrate comes from ingredients with a published, measured GI; the rest uses conventional placeholders (see Ingredients sheet)</t>
        </is>
      </c>
      <c r="Z1618" s="2" t="n">
        <v>89</v>
      </c>
      <c r="AA1618" s="3" t="inlineStr">
        <is>
          <t>vegetarian, gluten-free, no-cook</t>
        </is>
      </c>
      <c r="AB1618" s="3" t="inlineStr">
        <is>
          <t>1. Blend frozen banana with peanut butter, milk and cocoa until creamy.</t>
        </is>
      </c>
      <c r="AC1618" s="4" t="inlineStr">
        <is>
          <t>["Blend frozen banana with peanut butter, milk and cocoa until creamy."]</t>
        </is>
      </c>
    </row>
    <row r="1619" ht="96" customHeight="1">
      <c r="A1619" s="2" t="inlineStr">
        <is>
          <t>DB-1618</t>
        </is>
      </c>
      <c r="B1619" s="3" t="inlineStr">
        <is>
          <t>Spiced Pear and Walnut Crumble</t>
        </is>
      </c>
      <c r="C1619" s="4" t="inlineStr">
        <is>
          <t>Dessert</t>
        </is>
      </c>
      <c r="D1619" s="4" t="inlineStr">
        <is>
          <t>American</t>
        </is>
      </c>
      <c r="E1619" s="2" t="n">
        <v>6</v>
      </c>
      <c r="F1619" s="2" t="n">
        <v>15</v>
      </c>
      <c r="G1619" s="2" t="n">
        <v>30</v>
      </c>
      <c r="H1619" s="2" t="n">
        <v>45</v>
      </c>
      <c r="I1619" s="4" t="inlineStr">
        <is>
          <t>spiced-pear-and-walnut-crumble.jpg</t>
        </is>
      </c>
      <c r="J1619" s="3" t="inlineStr">
        <is>
          <t>Spiced Pear and Walnut Crumble, healthy food photography, plated, natural light</t>
        </is>
      </c>
      <c r="K1619" s="4" t="inlineStr"/>
      <c r="L1619" s="3" t="inlineStr">
        <is>
          <t>Pear — 600 g (21.2 oz)
Rolled oats, dry — 80 g (2.8 oz)
Walnuts — 40 g (1.4 oz)
Butter — 30 g (1.1 oz)
Ground cinnamon — 3 g (0.1 oz)
Fresh ginger — 3 g (0.1 oz)
White sugar — 15 g (0.5 oz)</t>
        </is>
      </c>
      <c r="M1619" s="4" t="inlineStr">
        <is>
          <t>[{"ingredient_id": "pear", "name": "Pear", "grams": 600.0, "note": ""}, {"ingredient_id": "rolled_oats", "name": "Rolled oats, dry", "grams": 80.0, "note": ""}, {"ingredient_id": "walnuts", "name": "Walnuts", "grams": 40.0, "note": ""}, {"ingredient_id": "butter", "name": "Butter", "grams": 30.0, "note": ""}, {"ingredient_id": "cinnamon", "name": "Ground cinnamon", "grams": 3.0, "note": ""}, {"ingredient_id": "ginger", "name": "Fresh ginger", "grams": 3.0, "note": ""}, {"ingredient_id": "sugar_white", "name": "White sugar", "grams": 15.0, "note": ""}]</t>
        </is>
      </c>
      <c r="N1619" s="2" t="n">
        <v>199</v>
      </c>
      <c r="O1619" s="5" t="n">
        <v>3.2</v>
      </c>
      <c r="P1619" s="5" t="n">
        <v>9.4</v>
      </c>
      <c r="Q1619" s="5" t="n">
        <v>28</v>
      </c>
      <c r="R1619" s="5" t="n">
        <v>5.2</v>
      </c>
      <c r="S1619" s="5" t="n">
        <v>22.8</v>
      </c>
      <c r="T1619" s="2" t="n">
        <v>41</v>
      </c>
      <c r="U1619" s="2" t="inlineStr">
        <is>
          <t>low</t>
        </is>
      </c>
      <c r="V1619" s="5" t="n">
        <v>9.4</v>
      </c>
      <c r="W1619" s="2" t="inlineStr">
        <is>
          <t>low</t>
        </is>
      </c>
      <c r="X1619" s="3" t="inlineStr"/>
      <c r="Y1619" s="3" t="inlineStr">
        <is>
          <t>97% of this dish's available carbohydrate comes from ingredients with a published, measured GI; the rest uses conventional placeholders (see Ingredients sheet)</t>
        </is>
      </c>
      <c r="Z1619" s="2" t="n">
        <v>97</v>
      </c>
      <c r="AA1619" s="3" t="inlineStr">
        <is>
          <t>vegetarian</t>
        </is>
      </c>
      <c r="AB1619" s="3" t="inlineStr">
        <is>
          <t>1. Slice the pears into a dish with ginger and cinnamon.
2. Rub the oats, walnuts, butter and sugar into a crumble and spread on top.
3. Bake at 350°F for 30 minutes.</t>
        </is>
      </c>
      <c r="AC1619" s="4" t="inlineStr">
        <is>
          <t>["Slice the pears into a dish with ginger and cinnamon.", "Rub the oats, walnuts, butter and sugar into a crumble and spread on top.", "Bake at 350°F for 30 minutes."]</t>
        </is>
      </c>
    </row>
    <row r="1620" ht="96" customHeight="1">
      <c r="A1620" s="2" t="inlineStr">
        <is>
          <t>DB-1619</t>
        </is>
      </c>
      <c r="B1620" s="3" t="inlineStr">
        <is>
          <t>Deviled Egg Salad Bites on Cucumber</t>
        </is>
      </c>
      <c r="C1620" s="4" t="inlineStr">
        <is>
          <t>Snack &amp; Appetizer</t>
        </is>
      </c>
      <c r="D1620" s="4" t="inlineStr">
        <is>
          <t>American</t>
        </is>
      </c>
      <c r="E1620" s="2" t="n">
        <v>6</v>
      </c>
      <c r="F1620" s="2" t="n">
        <v>15</v>
      </c>
      <c r="G1620" s="2" t="n">
        <v>10</v>
      </c>
      <c r="H1620" s="2" t="n">
        <v>25</v>
      </c>
      <c r="I1620" s="4" t="inlineStr">
        <is>
          <t>deviled-egg-salad-bites-on-cucumber.jpg</t>
        </is>
      </c>
      <c r="J1620" s="3" t="inlineStr">
        <is>
          <t>Deviled Egg Salad Bites on Cucumber, healthy food photography, plated, natural light</t>
        </is>
      </c>
      <c r="K1620" s="4" t="inlineStr"/>
      <c r="L1620" s="3" t="inlineStr">
        <is>
          <t>Egg, large (50 g each) — 300 g (10.6 oz)
Cucumber — 300 g (10.6 oz)
Greek yogurt, plain 2% — 50 g (1.8 oz)
Dijon mustard — 8 g (0.3 oz)
Paprika — 1 g (0.0 oz)
Fresh chives — 4 g (0.1 oz)</t>
        </is>
      </c>
      <c r="M1620" s="4" t="inlineStr">
        <is>
          <t>[{"ingredient_id": "egg", "name": "Egg, large (50 g each)", "grams": 300.0, "note": ""}, {"ingredient_id": "cucumber", "name": "Cucumber", "grams": 300.0, "note": ""}, {"ingredient_id": "greek_yogurt", "name": "Greek yogurt, plain 2%", "grams": 50.0, "note": ""}, {"ingredient_id": "dijon", "name": "Dijon mustard", "grams": 8.0, "note": ""}, {"ingredient_id": "paprika", "name": "Paprika", "grams": 1.0, "note": ""}, {"ingredient_id": "chives", "name": "Fresh chives", "grams": 4.0, "note": ""}]</t>
        </is>
      </c>
      <c r="N1620" s="2" t="n">
        <v>87</v>
      </c>
      <c r="O1620" s="5" t="n">
        <v>7.6</v>
      </c>
      <c r="P1620" s="5" t="n">
        <v>5</v>
      </c>
      <c r="Q1620" s="5" t="n">
        <v>2.7</v>
      </c>
      <c r="R1620" s="5" t="n">
        <v>0.4</v>
      </c>
      <c r="S1620" s="5" t="n">
        <v>2.3</v>
      </c>
      <c r="T1620" s="2" t="n">
        <v>12</v>
      </c>
      <c r="U1620" s="2" t="inlineStr">
        <is>
          <t>low</t>
        </is>
      </c>
      <c r="V1620" s="5" t="n">
        <v>0.3</v>
      </c>
      <c r="W1620" s="2" t="inlineStr">
        <is>
          <t>low</t>
        </is>
      </c>
      <c r="X1620" s="3" t="inlineStr">
        <is>
          <t>Negligible carbohydrate (&lt;5 g net/serving): GI has little practical meaning, glycemic load is what matters.</t>
        </is>
      </c>
      <c r="Y1620" s="3" t="inlineStr">
        <is>
          <t>14% of this dish's available carbohydrate comes from ingredients with a published, measured GI; the rest uses conventional placeholders (see Ingredients sheet)</t>
        </is>
      </c>
      <c r="Z1620" s="2" t="n">
        <v>14</v>
      </c>
      <c r="AA1620" s="3" t="inlineStr">
        <is>
          <t>vegetarian, gluten-free, nut-free, low-carb</t>
        </is>
      </c>
      <c r="AB1620" s="3" t="inlineStr">
        <is>
          <t>1. Hard-boil and mash the eggs with yogurt and mustard.
2. Spoon onto cucumber rounds and dust with paprika and chives.</t>
        </is>
      </c>
      <c r="AC1620" s="4" t="inlineStr">
        <is>
          <t>["Hard-boil and mash the eggs with yogurt and mustard.", "Spoon onto cucumber rounds and dust with paprika and chives."]</t>
        </is>
      </c>
    </row>
    <row r="1621" ht="96" customHeight="1">
      <c r="A1621" s="2" t="inlineStr">
        <is>
          <t>DB-1620</t>
        </is>
      </c>
      <c r="B1621" s="3" t="inlineStr">
        <is>
          <t>Baked Parmesan Zucchini Fries</t>
        </is>
      </c>
      <c r="C1621" s="4" t="inlineStr">
        <is>
          <t>Snack &amp; Appetizer</t>
        </is>
      </c>
      <c r="D1621" s="4" t="inlineStr">
        <is>
          <t>Italian</t>
        </is>
      </c>
      <c r="E1621" s="2" t="n">
        <v>4</v>
      </c>
      <c r="F1621" s="2" t="n">
        <v>10</v>
      </c>
      <c r="G1621" s="2" t="n">
        <v>22</v>
      </c>
      <c r="H1621" s="2" t="n">
        <v>32</v>
      </c>
      <c r="I1621" s="4" t="inlineStr">
        <is>
          <t>baked-parmesan-zucchini-fries.jpg</t>
        </is>
      </c>
      <c r="J1621" s="3" t="inlineStr">
        <is>
          <t>Baked Parmesan Zucchini Fries, healthy food photography, plated, natural light</t>
        </is>
      </c>
      <c r="K1621" s="4" t="inlineStr"/>
      <c r="L1621" s="3" t="inlineStr">
        <is>
          <t>Zucchini — 500 g (17.6 oz)
Parmesan, grated — 40 g (1.4 oz)
Almond flour — 40 g (1.4 oz)
Egg, large (50 g each) — 50 g (1.8 oz)
Garlic powder — 2 g (0.1 oz)
Marinara sauce, no sugar added — 120 g (4.2 oz)</t>
        </is>
      </c>
      <c r="M1621" s="4" t="inlineStr">
        <is>
          <t>[{"ingredient_id": "zucchini", "name": "Zucchini", "grams": 500.0, "note": ""}, {"ingredient_id": "parmesan", "name": "Parmesan, grated", "grams": 40.0, "note": ""}, {"ingredient_id": "almond_flour", "name": "Almond flour", "grams": 40.0, "note": ""}, {"ingredient_id": "egg", "name": "Egg, large (50 g each)", "grams": 50.0, "note": ""}, {"ingredient_id": "garlic_powder", "name": "Garlic powder", "grams": 2.0, "note": ""}, {"ingredient_id": "marinara", "name": "Marinara sauce, no sugar added", "grams": 120.0, "note": ""}]</t>
        </is>
      </c>
      <c r="N1621" s="2" t="n">
        <v>156</v>
      </c>
      <c r="O1621" s="5" t="n">
        <v>9.5</v>
      </c>
      <c r="P1621" s="5" t="n">
        <v>10.2</v>
      </c>
      <c r="Q1621" s="5" t="n">
        <v>8.300000000000001</v>
      </c>
      <c r="R1621" s="5" t="n">
        <v>2.9</v>
      </c>
      <c r="S1621" s="5" t="n">
        <v>5.4</v>
      </c>
      <c r="T1621" s="2" t="n">
        <v>18</v>
      </c>
      <c r="U1621" s="2" t="inlineStr">
        <is>
          <t>low</t>
        </is>
      </c>
      <c r="V1621" s="5" t="n">
        <v>1</v>
      </c>
      <c r="W1621" s="2" t="inlineStr">
        <is>
          <t>low</t>
        </is>
      </c>
      <c r="X1621" s="3" t="inlineStr"/>
      <c r="Y1621" s="3" t="inlineStr">
        <is>
          <t>20% of this dish's available carbohydrate comes from ingredients with a published, measured GI; the rest uses conventional placeholders (see Ingredients sheet)</t>
        </is>
      </c>
      <c r="Z1621" s="2" t="n">
        <v>20</v>
      </c>
      <c r="AA1621" s="3" t="inlineStr">
        <is>
          <t>vegetarian, gluten-free, low-carb</t>
        </is>
      </c>
      <c r="AB1621" s="3" t="inlineStr">
        <is>
          <t>1. Cut the zucchini into sticks, dip in egg then the almond flour and parmesan mix.
2. Bake at 425°F for 20 to 22 minutes.
3. Serve with warm marinara.</t>
        </is>
      </c>
      <c r="AC1621" s="4" t="inlineStr">
        <is>
          <t>["Cut the zucchini into sticks, dip in egg then the almond flour and parmesan mix.", "Bake at 425°F for 20 to 22 minutes.", "Serve with warm marinara."]</t>
        </is>
      </c>
    </row>
    <row r="1622" ht="96" customHeight="1">
      <c r="A1622" s="2" t="inlineStr">
        <is>
          <t>DB-1621</t>
        </is>
      </c>
      <c r="B1622" s="3" t="inlineStr">
        <is>
          <t>Greek Yogurt Ranch Veggie Dip Cups</t>
        </is>
      </c>
      <c r="C1622" s="4" t="inlineStr">
        <is>
          <t>Snack &amp; Appetizer</t>
        </is>
      </c>
      <c r="D1622" s="4" t="inlineStr">
        <is>
          <t>American</t>
        </is>
      </c>
      <c r="E1622" s="2" t="n">
        <v>5</v>
      </c>
      <c r="F1622" s="2" t="n">
        <v>10</v>
      </c>
      <c r="G1622" s="2" t="n">
        <v>0</v>
      </c>
      <c r="H1622" s="2" t="n">
        <v>10</v>
      </c>
      <c r="I1622" s="4" t="inlineStr">
        <is>
          <t>greek-yogurt-ranch-veggie-dip-cups.jpg</t>
        </is>
      </c>
      <c r="J1622" s="3" t="inlineStr">
        <is>
          <t>Greek Yogurt Ranch Veggie Dip Cups, healthy food photography, plated, natural light</t>
        </is>
      </c>
      <c r="K1622" s="4" t="inlineStr"/>
      <c r="L1622" s="3" t="inlineStr">
        <is>
          <t>Greek yogurt, plain 2% — 250 g (8.8 oz)
Ranch seasoning (dry) — 6 g (0.2 oz)
Carrot — 150 g (5.3 oz)
Celery — 150 g (5.3 oz)
Cherry tomatoes — 120 g (4.2 oz)
Cucumber — 150 g (5.3 oz)</t>
        </is>
      </c>
      <c r="M1622" s="4" t="inlineStr">
        <is>
          <t>[{"ingredient_id": "greek_yogurt", "name": "Greek yogurt, plain 2%", "grams": 250.0, "note": ""}, {"ingredient_id": "ranch_seasoning", "name": "Ranch seasoning (dry)", "grams": 6.0, "note": ""}, {"ingredient_id": "carrot", "name": "Carrot", "grams": 150.0, "note": ""}, {"ingredient_id": "celery", "name": "Celery", "grams": 150.0, "note": ""}, {"ingredient_id": "cherry_tomato", "name": "Cherry tomatoes", "grams": 120.0, "note": ""}, {"ingredient_id": "cucumber", "name": "Cucumber", "grams": 150.0, "note": ""}]</t>
        </is>
      </c>
      <c r="N1622" s="2" t="n">
        <v>66</v>
      </c>
      <c r="O1622" s="5" t="n">
        <v>6</v>
      </c>
      <c r="P1622" s="5" t="n">
        <v>1.3</v>
      </c>
      <c r="Q1622" s="5" t="n">
        <v>8.5</v>
      </c>
      <c r="R1622" s="5" t="n">
        <v>2.1</v>
      </c>
      <c r="S1622" s="5" t="n">
        <v>6.4</v>
      </c>
      <c r="T1622" s="2" t="n">
        <v>21</v>
      </c>
      <c r="U1622" s="2" t="inlineStr">
        <is>
          <t>low</t>
        </is>
      </c>
      <c r="V1622" s="5" t="n">
        <v>1.3</v>
      </c>
      <c r="W1622" s="2" t="inlineStr">
        <is>
          <t>low</t>
        </is>
      </c>
      <c r="X1622" s="3" t="inlineStr"/>
      <c r="Y1622" s="3" t="inlineStr">
        <is>
          <t>63% of this dish's available carbohydrate comes from ingredients with a published, measured GI; the rest uses conventional placeholders (see Ingredients sheet)</t>
        </is>
      </c>
      <c r="Z1622" s="2" t="n">
        <v>63</v>
      </c>
      <c r="AA1622" s="3" t="inlineStr">
        <is>
          <t>vegetarian, gluten-free, nut-free, low-carb, no-cook</t>
        </is>
      </c>
      <c r="AB1622" s="3" t="inlineStr">
        <is>
          <t>1. Stir the ranch seasoning into the yogurt.
2. Spoon into cups and add the vegetable sticks.</t>
        </is>
      </c>
      <c r="AC1622" s="4" t="inlineStr">
        <is>
          <t>["Stir the ranch seasoning into the yogurt.", "Spoon into cups and add the vegetable sticks."]</t>
        </is>
      </c>
    </row>
    <row r="1623" ht="96" customHeight="1">
      <c r="A1623" s="2" t="inlineStr">
        <is>
          <t>DB-1622</t>
        </is>
      </c>
      <c r="B1623" s="3" t="inlineStr">
        <is>
          <t>Pesto Chicken Skewers</t>
        </is>
      </c>
      <c r="C1623" s="4" t="inlineStr">
        <is>
          <t>Snack &amp; Appetizer</t>
        </is>
      </c>
      <c r="D1623" s="4" t="inlineStr">
        <is>
          <t>Italian</t>
        </is>
      </c>
      <c r="E1623" s="2" t="n">
        <v>5</v>
      </c>
      <c r="F1623" s="2" t="n">
        <v>15</v>
      </c>
      <c r="G1623" s="2" t="n">
        <v>12</v>
      </c>
      <c r="H1623" s="2" t="n">
        <v>27</v>
      </c>
      <c r="I1623" s="4" t="inlineStr">
        <is>
          <t>pesto-chicken-skewers.jpg</t>
        </is>
      </c>
      <c r="J1623" s="3" t="inlineStr">
        <is>
          <t>Pesto Chicken Skewers, healthy food photography, plated, natural light</t>
        </is>
      </c>
      <c r="K1623" s="4" t="inlineStr"/>
      <c r="L1623" s="3" t="inlineStr">
        <is>
          <t>Chicken breast, skinless — 450 g (15.9 oz)
Basil pesto — 50 g (1.8 oz)
Cherry tomatoes — 150 g (5.3 oz)
Zucchini — 150 g (5.3 oz)
Extra-virgin olive oil — 10 g (0.4 oz)</t>
        </is>
      </c>
      <c r="M1623" s="4" t="inlineStr">
        <is>
          <t>[{"ingredient_id": "chicken_breast", "name": "Chicken breast, skinless", "grams": 450.0, "note": ""}, {"ingredient_id": "pesto", "name": "Basil pesto", "grams": 50.0, "note": ""}, {"ingredient_id": "cherry_tomato", "name": "Cherry tomatoes", "grams": 150.0, "note": ""}, {"ingredient_id": "zucchini", "name": "Zucchini", "grams": 150.0, "note": ""}, {"ingredient_id": "olive_oil", "name": "Extra-virgin olive oil", "grams": 10.0, "note": ""}]</t>
        </is>
      </c>
      <c r="N1623" s="2" t="n">
        <v>176</v>
      </c>
      <c r="O1623" s="5" t="n">
        <v>21.4</v>
      </c>
      <c r="P1623" s="5" t="n">
        <v>8.5</v>
      </c>
      <c r="Q1623" s="5" t="n">
        <v>2.7</v>
      </c>
      <c r="R1623" s="5" t="n">
        <v>0.9</v>
      </c>
      <c r="S1623" s="5" t="n">
        <v>1.8</v>
      </c>
      <c r="T1623" s="2" t="n">
        <v>15</v>
      </c>
      <c r="U1623" s="2" t="inlineStr">
        <is>
          <t>low</t>
        </is>
      </c>
      <c r="V1623" s="5" t="n">
        <v>0.3</v>
      </c>
      <c r="W1623" s="2" t="inlineStr">
        <is>
          <t>low</t>
        </is>
      </c>
      <c r="X1623" s="3" t="inlineStr">
        <is>
          <t>Negligible carbohydrate (&lt;5 g net/serving): GI has little practical meaning, glycemic load is what matters.</t>
        </is>
      </c>
      <c r="Y1623" s="3" t="inlineStr">
        <is>
          <t>0% of this dish's available carbohydrate comes from ingredients with a published, measured GI; the rest uses conventional placeholders (see Ingredients sheet)</t>
        </is>
      </c>
      <c r="Z1623" s="2" t="n">
        <v>0</v>
      </c>
      <c r="AA1623" s="3" t="inlineStr">
        <is>
          <t>gluten-free, dairy-free, low-carb</t>
        </is>
      </c>
      <c r="AB1623" s="3" t="inlineStr">
        <is>
          <t>1. Toss the chicken cubes with pesto and oil.
2. Thread onto skewers with tomatoes and zucchini.
3. Grill 10 to 12 minutes.</t>
        </is>
      </c>
      <c r="AC1623" s="4" t="inlineStr">
        <is>
          <t>["Toss the chicken cubes with pesto and oil.", "Thread onto skewers with tomatoes and zucchini.", "Grill 10 to 12 minutes."]</t>
        </is>
      </c>
    </row>
    <row r="1624" ht="96" customHeight="1">
      <c r="A1624" s="2" t="inlineStr">
        <is>
          <t>DB-1623</t>
        </is>
      </c>
      <c r="B1624" s="3" t="inlineStr">
        <is>
          <t>Salmon Salad Cucumber Bites</t>
        </is>
      </c>
      <c r="C1624" s="4" t="inlineStr">
        <is>
          <t>Snack &amp; Appetizer</t>
        </is>
      </c>
      <c r="D1624" s="4" t="inlineStr">
        <is>
          <t>American</t>
        </is>
      </c>
      <c r="E1624" s="2" t="n">
        <v>6</v>
      </c>
      <c r="F1624" s="2" t="n">
        <v>10</v>
      </c>
      <c r="G1624" s="2" t="n">
        <v>0</v>
      </c>
      <c r="H1624" s="2" t="n">
        <v>10</v>
      </c>
      <c r="I1624" s="4" t="inlineStr">
        <is>
          <t>salmon-salad-cucumber-bites.jpg</t>
        </is>
      </c>
      <c r="J1624" s="3" t="inlineStr">
        <is>
          <t>Salmon Salad Cucumber Bites, healthy food photography, plated, natural light</t>
        </is>
      </c>
      <c r="K1624" s="4" t="inlineStr"/>
      <c r="L1624" s="3" t="inlineStr">
        <is>
          <t>Canned salmon — 200 g (7.1 oz)
Cucumber — 300 g (10.6 oz)
Greek yogurt, plain 2% — 50 g (1.8 oz)
Fresh dill — 4 g (0.1 oz)
Lemon juice — 15 g (0.5 oz)
Capers — 10 g (0.4 oz)</t>
        </is>
      </c>
      <c r="M1624" s="4" t="inlineStr">
        <is>
          <t>[{"ingredient_id": "canned_salmon", "name": "Canned salmon", "grams": 200.0, "note": ""}, {"ingredient_id": "cucumber", "name": "Cucumber", "grams": 300.0, "note": ""}, {"ingredient_id": "greek_yogurt", "name": "Greek yogurt, plain 2%", "grams": 50.0, "note": ""}, {"ingredient_id": "dill", "name": "Fresh dill", "grams": 4.0, "note": ""}, {"ingredient_id": "lemon_juice", "name": "Lemon juice", "grams": 15.0, "note": ""}, {"ingredient_id": "capers", "name": "Capers", "grams": 10.0, "note": ""}]</t>
        </is>
      </c>
      <c r="N1624" s="2" t="n">
        <v>61</v>
      </c>
      <c r="O1624" s="5" t="n">
        <v>7.9</v>
      </c>
      <c r="P1624" s="5" t="n">
        <v>2.2</v>
      </c>
      <c r="Q1624" s="5" t="n">
        <v>2.4</v>
      </c>
      <c r="R1624" s="5" t="n">
        <v>0.3</v>
      </c>
      <c r="S1624" s="5" t="n">
        <v>2.1</v>
      </c>
      <c r="T1624" s="2" t="n">
        <v>15</v>
      </c>
      <c r="U1624" s="2" t="inlineStr">
        <is>
          <t>low</t>
        </is>
      </c>
      <c r="V1624" s="5" t="n">
        <v>0.3</v>
      </c>
      <c r="W1624" s="2" t="inlineStr">
        <is>
          <t>low</t>
        </is>
      </c>
      <c r="X1624" s="3" t="inlineStr">
        <is>
          <t>Negligible carbohydrate (&lt;5 g net/serving): GI has little practical meaning, glycemic load is what matters.</t>
        </is>
      </c>
      <c r="Y1624" s="3" t="inlineStr">
        <is>
          <t>16% of this dish's available carbohydrate comes from ingredients with a published, measured GI; the rest uses conventional placeholders (see Ingredients sheet)</t>
        </is>
      </c>
      <c r="Z1624" s="2" t="n">
        <v>16</v>
      </c>
      <c r="AA1624" s="3" t="inlineStr">
        <is>
          <t>pescatarian, gluten-free, nut-free, low-carb, no-cook</t>
        </is>
      </c>
      <c r="AB1624" s="3" t="inlineStr">
        <is>
          <t>1. Mix the salmon with yogurt, dill, lemon and capers.
2. Spoon onto thick cucumber rounds.</t>
        </is>
      </c>
      <c r="AC1624" s="4" t="inlineStr">
        <is>
          <t>["Mix the salmon with yogurt, dill, lemon and capers.", "Spoon onto thick cucumber rounds."]</t>
        </is>
      </c>
    </row>
  </sheetData>
  <autoFilter ref="A1:AC1624"/>
  <conditionalFormatting sqref="T2:T1624">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1624">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18" customWidth="1" min="11" max="11"/>
    <col width="54" customWidth="1" min="12" max="12"/>
    <col width="34" customWidth="1" min="13" max="13"/>
    <col width="15" customWidth="1" min="14" max="14"/>
    <col width="62" customWidth="1" min="15" max="15"/>
    <col width="40" customWidth="1" min="16" max="16"/>
    <col width="12" customWidth="1" min="17" max="17"/>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gi_confidence</t>
        </is>
      </c>
      <c r="L1" s="1" t="inlineStr">
        <is>
          <t>gi_source</t>
        </is>
      </c>
      <c r="M1" s="1" t="inlineStr">
        <is>
          <t>gi_evidence_basis</t>
        </is>
      </c>
      <c r="N1" s="1" t="inlineStr">
        <is>
          <t>gi_value_in_sources</t>
        </is>
      </c>
      <c r="O1" s="1" t="inlineStr">
        <is>
          <t>gi_citation</t>
        </is>
      </c>
      <c r="P1" s="1" t="inlineStr">
        <is>
          <t>nutrient_source</t>
        </is>
      </c>
      <c r="Q1" s="1" t="inlineStr">
        <is>
          <t>last_checked</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definitional</t>
        </is>
      </c>
      <c r="L2" s="7" t="inlineStr">
        <is>
          <t>No available carbohydrate — GI is 0 by definition (protein / fat / water)</t>
        </is>
      </c>
      <c r="M2" s="7" t="inlineStr">
        <is>
          <t>n/a</t>
        </is>
      </c>
      <c r="N2" s="6" t="inlineStr"/>
      <c r="O2" s="7" t="inlineStr">
        <is>
          <t>ISO 26642:2010</t>
        </is>
      </c>
      <c r="P2" s="7" t="inlineStr">
        <is>
          <t>USDA FoodData Central (SR Legacy / Foundation Foods), fdc.nal.usda.gov</t>
        </is>
      </c>
      <c r="Q2" s="6" t="inlineStr">
        <is>
          <t>2026-09-26</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definitional</t>
        </is>
      </c>
      <c r="L3" s="7" t="inlineStr">
        <is>
          <t>No available carbohydrate — GI is 0 by definition (protein / fat / water)</t>
        </is>
      </c>
      <c r="M3" s="7" t="inlineStr">
        <is>
          <t>n/a</t>
        </is>
      </c>
      <c r="N3" s="6" t="inlineStr"/>
      <c r="O3" s="7" t="inlineStr">
        <is>
          <t>ISO 26642:2010</t>
        </is>
      </c>
      <c r="P3" s="7" t="inlineStr">
        <is>
          <t>USDA FoodData Central (SR Legacy / Foundation Foods), fdc.nal.usda.gov</t>
        </is>
      </c>
      <c r="Q3" s="6" t="inlineStr">
        <is>
          <t>2026-09-26</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definitional</t>
        </is>
      </c>
      <c r="L4" s="7" t="inlineStr">
        <is>
          <t>No available carbohydrate — GI is 0 by definition (protein / fat / water)</t>
        </is>
      </c>
      <c r="M4" s="7" t="inlineStr">
        <is>
          <t>n/a</t>
        </is>
      </c>
      <c r="N4" s="6" t="inlineStr"/>
      <c r="O4" s="7" t="inlineStr">
        <is>
          <t>ISO 26642:2010</t>
        </is>
      </c>
      <c r="P4" s="7" t="inlineStr">
        <is>
          <t>USDA FoodData Central (SR Legacy / Foundation Foods), fdc.nal.usda.gov</t>
        </is>
      </c>
      <c r="Q4" s="6" t="inlineStr">
        <is>
          <t>2026-09-26</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definitional</t>
        </is>
      </c>
      <c r="L5" s="7" t="inlineStr">
        <is>
          <t>No available carbohydrate — GI is 0 by definition (protein / fat / water)</t>
        </is>
      </c>
      <c r="M5" s="7" t="inlineStr">
        <is>
          <t>n/a</t>
        </is>
      </c>
      <c r="N5" s="6" t="inlineStr"/>
      <c r="O5" s="7" t="inlineStr">
        <is>
          <t>ISO 26642:2010</t>
        </is>
      </c>
      <c r="P5" s="7" t="inlineStr">
        <is>
          <t>USDA FoodData Central (SR Legacy / Foundation Foods), fdc.nal.usda.gov</t>
        </is>
      </c>
      <c r="Q5" s="6" t="inlineStr">
        <is>
          <t>2026-09-26</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low</t>
        </is>
      </c>
      <c r="L6" s="7" t="inlineStr">
        <is>
          <t>Estimated from the closest tested food; no direct measurement found in the pooled sources</t>
        </is>
      </c>
      <c r="M6" s="7" t="inlineStr">
        <is>
          <t>no direct match</t>
        </is>
      </c>
      <c r="N6" s="6" t="inlineStr"/>
      <c r="O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 s="7" t="inlineStr">
        <is>
          <t>USDA FoodData Central (SR Legacy / Foundation Foods), fdc.nal.usda.gov</t>
        </is>
      </c>
      <c r="Q6" s="6" t="inlineStr">
        <is>
          <t>2026-09-26</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definitional</t>
        </is>
      </c>
      <c r="L7" s="7" t="inlineStr">
        <is>
          <t>No available carbohydrate — GI is 0 by definition (protein / fat / water)</t>
        </is>
      </c>
      <c r="M7" s="7" t="inlineStr">
        <is>
          <t>n/a</t>
        </is>
      </c>
      <c r="N7" s="6" t="inlineStr"/>
      <c r="O7" s="7" t="inlineStr">
        <is>
          <t>ISO 26642:2010</t>
        </is>
      </c>
      <c r="P7" s="7" t="inlineStr">
        <is>
          <t>USDA FoodData Central (SR Legacy / Foundation Foods), fdc.nal.usda.gov</t>
        </is>
      </c>
      <c r="Q7" s="6" t="inlineStr">
        <is>
          <t>2026-09-26</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definitional</t>
        </is>
      </c>
      <c r="L8" s="7" t="inlineStr">
        <is>
          <t>No available carbohydrate — GI is 0 by definition (protein / fat / water)</t>
        </is>
      </c>
      <c r="M8" s="7" t="inlineStr">
        <is>
          <t>n/a</t>
        </is>
      </c>
      <c r="N8" s="6" t="inlineStr"/>
      <c r="O8" s="7" t="inlineStr">
        <is>
          <t>ISO 26642:2010</t>
        </is>
      </c>
      <c r="P8" s="7" t="inlineStr">
        <is>
          <t>USDA FoodData Central (SR Legacy / Foundation Foods), fdc.nal.usda.gov</t>
        </is>
      </c>
      <c r="Q8" s="6" t="inlineStr">
        <is>
          <t>2026-09-26</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low</t>
        </is>
      </c>
      <c r="L9" s="7" t="inlineStr">
        <is>
          <t>Estimated from the closest tested food; no direct measurement found in the pooled sources</t>
        </is>
      </c>
      <c r="M9" s="7" t="inlineStr">
        <is>
          <t>no direct match</t>
        </is>
      </c>
      <c r="N9" s="6" t="inlineStr"/>
      <c r="O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 s="7" t="inlineStr">
        <is>
          <t>USDA FoodData Central (SR Legacy / Foundation Foods), fdc.nal.usda.gov</t>
        </is>
      </c>
      <c r="Q9" s="6" t="inlineStr">
        <is>
          <t>2026-09-26</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low</t>
        </is>
      </c>
      <c r="L10" s="7" t="inlineStr">
        <is>
          <t>Estimated from the closest tested food; no direct measurement found in the pooled sources</t>
        </is>
      </c>
      <c r="M10" s="7" t="inlineStr">
        <is>
          <t>no direct match</t>
        </is>
      </c>
      <c r="N10" s="6" t="inlineStr"/>
      <c r="O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0" s="7" t="inlineStr">
        <is>
          <t>USDA FoodData Central (SR Legacy / Foundation Foods), fdc.nal.usda.gov</t>
        </is>
      </c>
      <c r="Q10" s="6" t="inlineStr">
        <is>
          <t>2026-09-26</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low</t>
        </is>
      </c>
      <c r="L11" s="7" t="inlineStr">
        <is>
          <t>Estimated from the closest tested food; no direct measurement found in the pooled sources</t>
        </is>
      </c>
      <c r="M11" s="7" t="inlineStr">
        <is>
          <t>no direct match</t>
        </is>
      </c>
      <c r="N11" s="6" t="inlineStr"/>
      <c r="O1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1" s="7" t="inlineStr">
        <is>
          <t>USDA FoodData Central (SR Legacy / Foundation Foods), fdc.nal.usda.gov</t>
        </is>
      </c>
      <c r="Q11" s="6" t="inlineStr">
        <is>
          <t>2026-09-26</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definitional</t>
        </is>
      </c>
      <c r="L12" s="7" t="inlineStr">
        <is>
          <t>No available carbohydrate — GI is 0 by definition (protein / fat / water)</t>
        </is>
      </c>
      <c r="M12" s="7" t="inlineStr">
        <is>
          <t>n/a</t>
        </is>
      </c>
      <c r="N12" s="6" t="inlineStr"/>
      <c r="O12" s="7" t="inlineStr">
        <is>
          <t>ISO 26642:2010</t>
        </is>
      </c>
      <c r="P12" s="7" t="inlineStr">
        <is>
          <t>USDA FoodData Central (SR Legacy / Foundation Foods), fdc.nal.usda.gov</t>
        </is>
      </c>
      <c r="Q12" s="6" t="inlineStr">
        <is>
          <t>2026-09-26</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definitional</t>
        </is>
      </c>
      <c r="L13" s="7" t="inlineStr">
        <is>
          <t>No available carbohydrate — GI is 0 by definition (protein / fat / water)</t>
        </is>
      </c>
      <c r="M13" s="7" t="inlineStr">
        <is>
          <t>n/a</t>
        </is>
      </c>
      <c r="N13" s="6" t="inlineStr"/>
      <c r="O13" s="7" t="inlineStr">
        <is>
          <t>ISO 26642:2010</t>
        </is>
      </c>
      <c r="P13" s="7" t="inlineStr">
        <is>
          <t>USDA FoodData Central (SR Legacy / Foundation Foods), fdc.nal.usda.gov</t>
        </is>
      </c>
      <c r="Q13" s="6" t="inlineStr">
        <is>
          <t>2026-09-26</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definitional</t>
        </is>
      </c>
      <c r="L14" s="7" t="inlineStr">
        <is>
          <t>No available carbohydrate — GI is 0 by definition (protein / fat / water)</t>
        </is>
      </c>
      <c r="M14" s="7" t="inlineStr">
        <is>
          <t>n/a</t>
        </is>
      </c>
      <c r="N14" s="6" t="inlineStr"/>
      <c r="O14" s="7" t="inlineStr">
        <is>
          <t>ISO 26642:2010</t>
        </is>
      </c>
      <c r="P14" s="7" t="inlineStr">
        <is>
          <t>USDA FoodData Central (SR Legacy / Foundation Foods), fdc.nal.usda.gov</t>
        </is>
      </c>
      <c r="Q14" s="6" t="inlineStr">
        <is>
          <t>2026-09-26</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definitional</t>
        </is>
      </c>
      <c r="L15" s="7" t="inlineStr">
        <is>
          <t>No available carbohydrate — GI is 0 by definition (protein / fat / water)</t>
        </is>
      </c>
      <c r="M15" s="7" t="inlineStr">
        <is>
          <t>n/a</t>
        </is>
      </c>
      <c r="N15" s="6" t="inlineStr"/>
      <c r="O15" s="7" t="inlineStr">
        <is>
          <t>ISO 26642:2010</t>
        </is>
      </c>
      <c r="P15" s="7" t="inlineStr">
        <is>
          <t>USDA FoodData Central (SR Legacy / Foundation Foods), fdc.nal.usda.gov</t>
        </is>
      </c>
      <c r="Q15" s="6" t="inlineStr">
        <is>
          <t>2026-09-26</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definitional</t>
        </is>
      </c>
      <c r="L16" s="7" t="inlineStr">
        <is>
          <t>No available carbohydrate — GI is 0 by definition (protein / fat / water)</t>
        </is>
      </c>
      <c r="M16" s="7" t="inlineStr">
        <is>
          <t>n/a</t>
        </is>
      </c>
      <c r="N16" s="6" t="inlineStr"/>
      <c r="O16" s="7" t="inlineStr">
        <is>
          <t>ISO 26642:2010</t>
        </is>
      </c>
      <c r="P16" s="7" t="inlineStr">
        <is>
          <t>USDA FoodData Central (SR Legacy / Foundation Foods), fdc.nal.usda.gov</t>
        </is>
      </c>
      <c r="Q16" s="6" t="inlineStr">
        <is>
          <t>2026-09-26</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definitional</t>
        </is>
      </c>
      <c r="L17" s="7" t="inlineStr">
        <is>
          <t>No available carbohydrate — GI is 0 by definition (protein / fat / water)</t>
        </is>
      </c>
      <c r="M17" s="7" t="inlineStr">
        <is>
          <t>n/a</t>
        </is>
      </c>
      <c r="N17" s="6" t="inlineStr"/>
      <c r="O17" s="7" t="inlineStr">
        <is>
          <t>ISO 26642:2010</t>
        </is>
      </c>
      <c r="P17" s="7" t="inlineStr">
        <is>
          <t>USDA FoodData Central (SR Legacy / Foundation Foods), fdc.nal.usda.gov</t>
        </is>
      </c>
      <c r="Q17" s="6" t="inlineStr">
        <is>
          <t>2026-09-26</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definitional</t>
        </is>
      </c>
      <c r="L18" s="7" t="inlineStr">
        <is>
          <t>No available carbohydrate — GI is 0 by definition (protein / fat / water)</t>
        </is>
      </c>
      <c r="M18" s="7" t="inlineStr">
        <is>
          <t>n/a</t>
        </is>
      </c>
      <c r="N18" s="6" t="inlineStr"/>
      <c r="O18" s="7" t="inlineStr">
        <is>
          <t>ISO 26642:2010</t>
        </is>
      </c>
      <c r="P18" s="7" t="inlineStr">
        <is>
          <t>USDA FoodData Central (SR Legacy / Foundation Foods), fdc.nal.usda.gov</t>
        </is>
      </c>
      <c r="Q18" s="6" t="inlineStr">
        <is>
          <t>2026-09-26</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definitional</t>
        </is>
      </c>
      <c r="L19" s="7" t="inlineStr">
        <is>
          <t>No available carbohydrate — GI is 0 by definition (protein / fat / water)</t>
        </is>
      </c>
      <c r="M19" s="7" t="inlineStr">
        <is>
          <t>n/a</t>
        </is>
      </c>
      <c r="N19" s="6" t="inlineStr"/>
      <c r="O19" s="7" t="inlineStr">
        <is>
          <t>ISO 26642:2010</t>
        </is>
      </c>
      <c r="P19" s="7" t="inlineStr">
        <is>
          <t>USDA FoodData Central (SR Legacy / Foundation Foods), fdc.nal.usda.gov</t>
        </is>
      </c>
      <c r="Q19" s="6" t="inlineStr">
        <is>
          <t>2026-09-26</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definitional</t>
        </is>
      </c>
      <c r="L20" s="7" t="inlineStr">
        <is>
          <t>No available carbohydrate — GI is 0 by definition (protein / fat / water)</t>
        </is>
      </c>
      <c r="M20" s="7" t="inlineStr">
        <is>
          <t>n/a</t>
        </is>
      </c>
      <c r="N20" s="6" t="inlineStr"/>
      <c r="O20" s="7" t="inlineStr">
        <is>
          <t>ISO 26642:2010</t>
        </is>
      </c>
      <c r="P20" s="7" t="inlineStr">
        <is>
          <t>USDA FoodData Central (SR Legacy / Foundation Foods), fdc.nal.usda.gov</t>
        </is>
      </c>
      <c r="Q20" s="6" t="inlineStr">
        <is>
          <t>2026-09-26</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definitional</t>
        </is>
      </c>
      <c r="L21" s="7" t="inlineStr">
        <is>
          <t>No available carbohydrate — GI is 0 by definition (protein / fat / water)</t>
        </is>
      </c>
      <c r="M21" s="7" t="inlineStr">
        <is>
          <t>n/a</t>
        </is>
      </c>
      <c r="N21" s="6" t="inlineStr"/>
      <c r="O21" s="7" t="inlineStr">
        <is>
          <t>ISO 26642:2010</t>
        </is>
      </c>
      <c r="P21" s="7" t="inlineStr">
        <is>
          <t>USDA FoodData Central (SR Legacy / Foundation Foods), fdc.nal.usda.gov</t>
        </is>
      </c>
      <c r="Q21" s="6" t="inlineStr">
        <is>
          <t>2026-09-26</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definitional</t>
        </is>
      </c>
      <c r="L22" s="7" t="inlineStr">
        <is>
          <t>No available carbohydrate — GI is 0 by definition (protein / fat / water)</t>
        </is>
      </c>
      <c r="M22" s="7" t="inlineStr">
        <is>
          <t>n/a</t>
        </is>
      </c>
      <c r="N22" s="6" t="inlineStr"/>
      <c r="O22" s="7" t="inlineStr">
        <is>
          <t>ISO 26642:2010</t>
        </is>
      </c>
      <c r="P22" s="7" t="inlineStr">
        <is>
          <t>USDA FoodData Central (SR Legacy / Foundation Foods), fdc.nal.usda.gov</t>
        </is>
      </c>
      <c r="Q22" s="6" t="inlineStr">
        <is>
          <t>2026-09-26</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definitional</t>
        </is>
      </c>
      <c r="L23" s="7" t="inlineStr">
        <is>
          <t>No available carbohydrate — GI is 0 by definition (protein / fat / water)</t>
        </is>
      </c>
      <c r="M23" s="7" t="inlineStr">
        <is>
          <t>n/a</t>
        </is>
      </c>
      <c r="N23" s="6" t="inlineStr"/>
      <c r="O23" s="7" t="inlineStr">
        <is>
          <t>ISO 26642:2010</t>
        </is>
      </c>
      <c r="P23" s="7" t="inlineStr">
        <is>
          <t>USDA FoodData Central (SR Legacy / Foundation Foods), fdc.nal.usda.gov</t>
        </is>
      </c>
      <c r="Q23" s="6" t="inlineStr">
        <is>
          <t>2026-09-26</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low</t>
        </is>
      </c>
      <c r="L24" s="7" t="inlineStr">
        <is>
          <t>Estimated from the closest tested food; no direct measurement found in the pooled sources</t>
        </is>
      </c>
      <c r="M24" s="7" t="inlineStr">
        <is>
          <t>no direct match</t>
        </is>
      </c>
      <c r="N24" s="6" t="inlineStr"/>
      <c r="O2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 s="7" t="inlineStr">
        <is>
          <t>USDA FoodData Central (SR Legacy / Foundation Foods), fdc.nal.usda.gov</t>
        </is>
      </c>
      <c r="Q24" s="6" t="inlineStr">
        <is>
          <t>2026-09-26</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low</t>
        </is>
      </c>
      <c r="L25" s="7" t="inlineStr">
        <is>
          <t>Estimated from the closest tested food; no direct measurement found in the pooled sources</t>
        </is>
      </c>
      <c r="M25" s="7" t="inlineStr">
        <is>
          <t>no direct match</t>
        </is>
      </c>
      <c r="N25" s="6" t="inlineStr"/>
      <c r="O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 s="7" t="inlineStr">
        <is>
          <t>USDA FoodData Central (SR Legacy / Foundation Foods), fdc.nal.usda.gov</t>
        </is>
      </c>
      <c r="Q25" s="6" t="inlineStr">
        <is>
          <t>2026-09-26</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low</t>
        </is>
      </c>
      <c r="L26" s="7" t="inlineStr">
        <is>
          <t>Estimated from the closest tested food; no direct measurement found in the pooled sources</t>
        </is>
      </c>
      <c r="M26" s="7" t="inlineStr">
        <is>
          <t>no direct match</t>
        </is>
      </c>
      <c r="N26" s="6" t="inlineStr"/>
      <c r="O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 s="7" t="inlineStr">
        <is>
          <t>USDA FoodData Central (SR Legacy / Foundation Foods), fdc.nal.usda.gov</t>
        </is>
      </c>
      <c r="Q26" s="6" t="inlineStr">
        <is>
          <t>2026-09-26</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definitional</t>
        </is>
      </c>
      <c r="L27" s="7" t="inlineStr">
        <is>
          <t>No available carbohydrate — GI is 0 by definition (protein / fat / water)</t>
        </is>
      </c>
      <c r="M27" s="7" t="inlineStr">
        <is>
          <t>n/a</t>
        </is>
      </c>
      <c r="N27" s="6" t="inlineStr"/>
      <c r="O27" s="7" t="inlineStr">
        <is>
          <t>ISO 26642:2010</t>
        </is>
      </c>
      <c r="P27" s="7" t="inlineStr">
        <is>
          <t>USDA FoodData Central (SR Legacy / Foundation Foods), fdc.nal.usda.gov</t>
        </is>
      </c>
      <c r="Q27" s="6" t="inlineStr">
        <is>
          <t>2026-09-26</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definitional</t>
        </is>
      </c>
      <c r="L28" s="7" t="inlineStr">
        <is>
          <t>No available carbohydrate — GI is 0 by definition (protein / fat / water)</t>
        </is>
      </c>
      <c r="M28" s="7" t="inlineStr">
        <is>
          <t>n/a</t>
        </is>
      </c>
      <c r="N28" s="6" t="inlineStr"/>
      <c r="O28" s="7" t="inlineStr">
        <is>
          <t>ISO 26642:2010</t>
        </is>
      </c>
      <c r="P28" s="7" t="inlineStr">
        <is>
          <t>USDA FoodData Central (SR Legacy / Foundation Foods), fdc.nal.usda.gov</t>
        </is>
      </c>
      <c r="Q28" s="6" t="inlineStr">
        <is>
          <t>2026-09-26</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definitional</t>
        </is>
      </c>
      <c r="L29" s="7" t="inlineStr">
        <is>
          <t>No available carbohydrate — GI is 0 by definition (protein / fat / water)</t>
        </is>
      </c>
      <c r="M29" s="7" t="inlineStr">
        <is>
          <t>n/a</t>
        </is>
      </c>
      <c r="N29" s="6" t="inlineStr"/>
      <c r="O29" s="7" t="inlineStr">
        <is>
          <t>ISO 26642:2010</t>
        </is>
      </c>
      <c r="P29" s="7" t="inlineStr">
        <is>
          <t>USDA FoodData Central (SR Legacy / Foundation Foods), fdc.nal.usda.gov</t>
        </is>
      </c>
      <c r="Q29" s="6" t="inlineStr">
        <is>
          <t>2026-09-26</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definitional</t>
        </is>
      </c>
      <c r="L30" s="7" t="inlineStr">
        <is>
          <t>No available carbohydrate — GI is 0 by definition (protein / fat / water)</t>
        </is>
      </c>
      <c r="M30" s="7" t="inlineStr">
        <is>
          <t>n/a</t>
        </is>
      </c>
      <c r="N30" s="6" t="inlineStr"/>
      <c r="O30" s="7" t="inlineStr">
        <is>
          <t>ISO 26642:2010</t>
        </is>
      </c>
      <c r="P30" s="7" t="inlineStr">
        <is>
          <t>USDA FoodData Central (SR Legacy / Foundation Foods), fdc.nal.usda.gov</t>
        </is>
      </c>
      <c r="Q30" s="6" t="inlineStr">
        <is>
          <t>2026-09-26</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definitional</t>
        </is>
      </c>
      <c r="L31" s="7" t="inlineStr">
        <is>
          <t>No available carbohydrate — GI is 0 by definition (protein / fat / water)</t>
        </is>
      </c>
      <c r="M31" s="7" t="inlineStr">
        <is>
          <t>n/a</t>
        </is>
      </c>
      <c r="N31" s="6" t="inlineStr"/>
      <c r="O31" s="7" t="inlineStr">
        <is>
          <t>ISO 26642:2010</t>
        </is>
      </c>
      <c r="P31" s="7" t="inlineStr">
        <is>
          <t>USDA FoodData Central (SR Legacy / Foundation Foods), fdc.nal.usda.gov</t>
        </is>
      </c>
      <c r="Q31" s="6" t="inlineStr">
        <is>
          <t>2026-09-26</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definitional</t>
        </is>
      </c>
      <c r="L32" s="7" t="inlineStr">
        <is>
          <t>No available carbohydrate — GI is 0 by definition (protein / fat / water)</t>
        </is>
      </c>
      <c r="M32" s="7" t="inlineStr">
        <is>
          <t>n/a</t>
        </is>
      </c>
      <c r="N32" s="6" t="inlineStr"/>
      <c r="O32" s="7" t="inlineStr">
        <is>
          <t>ISO 26642:2010</t>
        </is>
      </c>
      <c r="P32" s="7" t="inlineStr">
        <is>
          <t>USDA FoodData Central (SR Legacy / Foundation Foods), fdc.nal.usda.gov</t>
        </is>
      </c>
      <c r="Q32" s="6" t="inlineStr">
        <is>
          <t>2026-09-26</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definitional</t>
        </is>
      </c>
      <c r="L33" s="7" t="inlineStr">
        <is>
          <t>No available carbohydrate — GI is 0 by definition (protein / fat / water)</t>
        </is>
      </c>
      <c r="M33" s="7" t="inlineStr">
        <is>
          <t>n/a</t>
        </is>
      </c>
      <c r="N33" s="6" t="inlineStr"/>
      <c r="O33" s="7" t="inlineStr">
        <is>
          <t>ISO 26642:2010</t>
        </is>
      </c>
      <c r="P33" s="7" t="inlineStr">
        <is>
          <t>USDA FoodData Central (SR Legacy / Foundation Foods), fdc.nal.usda.gov</t>
        </is>
      </c>
      <c r="Q33" s="6" t="inlineStr">
        <is>
          <t>2026-09-26</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definitional</t>
        </is>
      </c>
      <c r="L34" s="7" t="inlineStr">
        <is>
          <t>No available carbohydrate — GI is 0 by definition (protein / fat / water)</t>
        </is>
      </c>
      <c r="M34" s="7" t="inlineStr">
        <is>
          <t>n/a</t>
        </is>
      </c>
      <c r="N34" s="6" t="inlineStr"/>
      <c r="O34" s="7" t="inlineStr">
        <is>
          <t>ISO 26642:2010</t>
        </is>
      </c>
      <c r="P34" s="7" t="inlineStr">
        <is>
          <t>USDA FoodData Central (SR Legacy / Foundation Foods), fdc.nal.usda.gov</t>
        </is>
      </c>
      <c r="Q34" s="6" t="inlineStr">
        <is>
          <t>2026-09-26</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definitional</t>
        </is>
      </c>
      <c r="L35" s="7" t="inlineStr">
        <is>
          <t>No available carbohydrate — GI is 0 by definition (protein / fat / water)</t>
        </is>
      </c>
      <c r="M35" s="7" t="inlineStr">
        <is>
          <t>n/a</t>
        </is>
      </c>
      <c r="N35" s="6" t="inlineStr"/>
      <c r="O35" s="7" t="inlineStr">
        <is>
          <t>ISO 26642:2010</t>
        </is>
      </c>
      <c r="P35" s="7" t="inlineStr">
        <is>
          <t>USDA FoodData Central (SR Legacy / Foundation Foods), fdc.nal.usda.gov</t>
        </is>
      </c>
      <c r="Q35" s="6" t="inlineStr">
        <is>
          <t>2026-09-26</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definitional</t>
        </is>
      </c>
      <c r="L36" s="7" t="inlineStr">
        <is>
          <t>No available carbohydrate — GI is 0 by definition (protein / fat / water)</t>
        </is>
      </c>
      <c r="M36" s="7" t="inlineStr">
        <is>
          <t>n/a</t>
        </is>
      </c>
      <c r="N36" s="6" t="inlineStr"/>
      <c r="O36" s="7" t="inlineStr">
        <is>
          <t>ISO 26642:2010</t>
        </is>
      </c>
      <c r="P36" s="7" t="inlineStr">
        <is>
          <t>USDA FoodData Central (SR Legacy / Foundation Foods), fdc.nal.usda.gov</t>
        </is>
      </c>
      <c r="Q36" s="6" t="inlineStr">
        <is>
          <t>2026-09-26</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definitional</t>
        </is>
      </c>
      <c r="L37" s="7" t="inlineStr">
        <is>
          <t>No available carbohydrate — GI is 0 by definition (protein / fat / water)</t>
        </is>
      </c>
      <c r="M37" s="7" t="inlineStr">
        <is>
          <t>n/a</t>
        </is>
      </c>
      <c r="N37" s="6" t="inlineStr"/>
      <c r="O37" s="7" t="inlineStr">
        <is>
          <t>ISO 26642:2010</t>
        </is>
      </c>
      <c r="P37" s="7" t="inlineStr">
        <is>
          <t>USDA FoodData Central (SR Legacy / Foundation Foods), fdc.nal.usda.gov</t>
        </is>
      </c>
      <c r="Q37" s="6" t="inlineStr">
        <is>
          <t>2026-09-26</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definitional</t>
        </is>
      </c>
      <c r="L38" s="7" t="inlineStr">
        <is>
          <t>No available carbohydrate — GI is 0 by definition (protein / fat / water)</t>
        </is>
      </c>
      <c r="M38" s="7" t="inlineStr">
        <is>
          <t>n/a</t>
        </is>
      </c>
      <c r="N38" s="6" t="inlineStr"/>
      <c r="O38" s="7" t="inlineStr">
        <is>
          <t>ISO 26642:2010</t>
        </is>
      </c>
      <c r="P38" s="7" t="inlineStr">
        <is>
          <t>USDA FoodData Central (SR Legacy / Foundation Foods), fdc.nal.usda.gov</t>
        </is>
      </c>
      <c r="Q38" s="6" t="inlineStr">
        <is>
          <t>2026-09-26</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definitional</t>
        </is>
      </c>
      <c r="L39" s="7" t="inlineStr">
        <is>
          <t>No available carbohydrate — GI is 0 by definition (protein / fat / water)</t>
        </is>
      </c>
      <c r="M39" s="7" t="inlineStr">
        <is>
          <t>n/a</t>
        </is>
      </c>
      <c r="N39" s="6" t="inlineStr"/>
      <c r="O39" s="7" t="inlineStr">
        <is>
          <t>ISO 26642:2010</t>
        </is>
      </c>
      <c r="P39" s="7" t="inlineStr">
        <is>
          <t>USDA FoodData Central (SR Legacy / Foundation Foods), fdc.nal.usda.gov</t>
        </is>
      </c>
      <c r="Q39" s="6" t="inlineStr">
        <is>
          <t>2026-09-26</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definitional</t>
        </is>
      </c>
      <c r="L40" s="7" t="inlineStr">
        <is>
          <t>No available carbohydrate — GI is 0 by definition (protein / fat / water)</t>
        </is>
      </c>
      <c r="M40" s="7" t="inlineStr">
        <is>
          <t>n/a</t>
        </is>
      </c>
      <c r="N40" s="6" t="inlineStr"/>
      <c r="O40" s="7" t="inlineStr">
        <is>
          <t>ISO 26642:2010</t>
        </is>
      </c>
      <c r="P40" s="7" t="inlineStr">
        <is>
          <t>USDA FoodData Central (SR Legacy / Foundation Foods), fdc.nal.usda.gov</t>
        </is>
      </c>
      <c r="Q40" s="6" t="inlineStr">
        <is>
          <t>2026-09-26</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definitional</t>
        </is>
      </c>
      <c r="L41" s="7" t="inlineStr">
        <is>
          <t>No available carbohydrate — GI is 0 by definition (protein / fat / water)</t>
        </is>
      </c>
      <c r="M41" s="7" t="inlineStr">
        <is>
          <t>n/a</t>
        </is>
      </c>
      <c r="N41" s="6" t="inlineStr"/>
      <c r="O41" s="7" t="inlineStr">
        <is>
          <t>ISO 26642:2010</t>
        </is>
      </c>
      <c r="P41" s="7" t="inlineStr">
        <is>
          <t>USDA FoodData Central (SR Legacy / Foundation Foods), fdc.nal.usda.gov</t>
        </is>
      </c>
      <c r="Q41" s="6" t="inlineStr">
        <is>
          <t>2026-09-26</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definitional</t>
        </is>
      </c>
      <c r="L42" s="7" t="inlineStr">
        <is>
          <t>No available carbohydrate — GI is 0 by definition (protein / fat / water)</t>
        </is>
      </c>
      <c r="M42" s="7" t="inlineStr">
        <is>
          <t>n/a</t>
        </is>
      </c>
      <c r="N42" s="6" t="inlineStr"/>
      <c r="O42" s="7" t="inlineStr">
        <is>
          <t>ISO 26642:2010</t>
        </is>
      </c>
      <c r="P42" s="7" t="inlineStr">
        <is>
          <t>USDA FoodData Central (SR Legacy / Foundation Foods), fdc.nal.usda.gov</t>
        </is>
      </c>
      <c r="Q42" s="6" t="inlineStr">
        <is>
          <t>2026-09-26</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definitional</t>
        </is>
      </c>
      <c r="L43" s="7" t="inlineStr">
        <is>
          <t>No available carbohydrate — GI is 0 by definition (protein / fat / water)</t>
        </is>
      </c>
      <c r="M43" s="7" t="inlineStr">
        <is>
          <t>n/a</t>
        </is>
      </c>
      <c r="N43" s="6" t="inlineStr"/>
      <c r="O43" s="7" t="inlineStr">
        <is>
          <t>ISO 26642:2010</t>
        </is>
      </c>
      <c r="P43" s="7" t="inlineStr">
        <is>
          <t>USDA FoodData Central (SR Legacy / Foundation Foods), fdc.nal.usda.gov</t>
        </is>
      </c>
      <c r="Q43" s="6" t="inlineStr">
        <is>
          <t>2026-09-26</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definitional</t>
        </is>
      </c>
      <c r="L44" s="7" t="inlineStr">
        <is>
          <t>No available carbohydrate — GI is 0 by definition (protein / fat / water)</t>
        </is>
      </c>
      <c r="M44" s="7" t="inlineStr">
        <is>
          <t>n/a</t>
        </is>
      </c>
      <c r="N44" s="6" t="inlineStr"/>
      <c r="O44" s="7" t="inlineStr">
        <is>
          <t>ISO 26642:2010</t>
        </is>
      </c>
      <c r="P44" s="7" t="inlineStr">
        <is>
          <t>USDA FoodData Central (SR Legacy / Foundation Foods), fdc.nal.usda.gov</t>
        </is>
      </c>
      <c r="Q44" s="6" t="inlineStr">
        <is>
          <t>2026-09-26</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definitional</t>
        </is>
      </c>
      <c r="L45" s="7" t="inlineStr">
        <is>
          <t>No available carbohydrate — GI is 0 by definition (protein / fat / water)</t>
        </is>
      </c>
      <c r="M45" s="7" t="inlineStr">
        <is>
          <t>n/a</t>
        </is>
      </c>
      <c r="N45" s="6" t="inlineStr"/>
      <c r="O45" s="7" t="inlineStr">
        <is>
          <t>ISO 26642:2010</t>
        </is>
      </c>
      <c r="P45" s="7" t="inlineStr">
        <is>
          <t>USDA FoodData Central (SR Legacy / Foundation Foods), fdc.nal.usda.gov</t>
        </is>
      </c>
      <c r="Q45" s="6" t="inlineStr">
        <is>
          <t>2026-09-26</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definitional</t>
        </is>
      </c>
      <c r="L46" s="7" t="inlineStr">
        <is>
          <t>No available carbohydrate — GI is 0 by definition (protein / fat / water)</t>
        </is>
      </c>
      <c r="M46" s="7" t="inlineStr">
        <is>
          <t>n/a</t>
        </is>
      </c>
      <c r="N46" s="6" t="inlineStr"/>
      <c r="O46" s="7" t="inlineStr">
        <is>
          <t>ISO 26642:2010</t>
        </is>
      </c>
      <c r="P46" s="7" t="inlineStr">
        <is>
          <t>USDA FoodData Central (SR Legacy / Foundation Foods), fdc.nal.usda.gov</t>
        </is>
      </c>
      <c r="Q46" s="6" t="inlineStr">
        <is>
          <t>2026-09-26</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definitional</t>
        </is>
      </c>
      <c r="L47" s="7" t="inlineStr">
        <is>
          <t>No available carbohydrate — GI is 0 by definition (protein / fat / water)</t>
        </is>
      </c>
      <c r="M47" s="7" t="inlineStr">
        <is>
          <t>n/a</t>
        </is>
      </c>
      <c r="N47" s="6" t="inlineStr"/>
      <c r="O47" s="7" t="inlineStr">
        <is>
          <t>ISO 26642:2010</t>
        </is>
      </c>
      <c r="P47" s="7" t="inlineStr">
        <is>
          <t>USDA FoodData Central (SR Legacy / Foundation Foods), fdc.nal.usda.gov</t>
        </is>
      </c>
      <c r="Q47" s="6" t="inlineStr">
        <is>
          <t>2026-09-26</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definitional</t>
        </is>
      </c>
      <c r="L48" s="7" t="inlineStr">
        <is>
          <t>No available carbohydrate — GI is 0 by definition (protein / fat / water)</t>
        </is>
      </c>
      <c r="M48" s="7" t="inlineStr">
        <is>
          <t>n/a</t>
        </is>
      </c>
      <c r="N48" s="6" t="inlineStr"/>
      <c r="O48" s="7" t="inlineStr">
        <is>
          <t>ISO 26642:2010</t>
        </is>
      </c>
      <c r="P48" s="7" t="inlineStr">
        <is>
          <t>USDA FoodData Central (SR Legacy / Foundation Foods), fdc.nal.usda.gov</t>
        </is>
      </c>
      <c r="Q48" s="6" t="inlineStr">
        <is>
          <t>2026-09-26</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low</t>
        </is>
      </c>
      <c r="L49" s="7" t="inlineStr">
        <is>
          <t>Estimated from the closest tested food; no direct measurement found in the pooled sources</t>
        </is>
      </c>
      <c r="M49" s="7" t="inlineStr">
        <is>
          <t>no direct match</t>
        </is>
      </c>
      <c r="N49" s="6" t="inlineStr"/>
      <c r="O4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49" s="7" t="inlineStr">
        <is>
          <t>USDA FoodData Central (SR Legacy / Foundation Foods), fdc.nal.usda.gov</t>
        </is>
      </c>
      <c r="Q49" s="6" t="inlineStr">
        <is>
          <t>2026-09-26</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definitional</t>
        </is>
      </c>
      <c r="L50" s="7" t="inlineStr">
        <is>
          <t>No available carbohydrate — GI is 0 by definition (protein / fat / water)</t>
        </is>
      </c>
      <c r="M50" s="7" t="inlineStr">
        <is>
          <t>n/a</t>
        </is>
      </c>
      <c r="N50" s="6" t="inlineStr"/>
      <c r="O50" s="7" t="inlineStr">
        <is>
          <t>ISO 26642:2010</t>
        </is>
      </c>
      <c r="P50" s="7" t="inlineStr">
        <is>
          <t>USDA FoodData Central (SR Legacy / Foundation Foods), fdc.nal.usda.gov</t>
        </is>
      </c>
      <c r="Q50" s="6" t="inlineStr">
        <is>
          <t>2026-09-26</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definitional</t>
        </is>
      </c>
      <c r="L51" s="7" t="inlineStr">
        <is>
          <t>No available carbohydrate — GI is 0 by definition (protein / fat / water)</t>
        </is>
      </c>
      <c r="M51" s="7" t="inlineStr">
        <is>
          <t>n/a</t>
        </is>
      </c>
      <c r="N51" s="6" t="inlineStr"/>
      <c r="O51" s="7" t="inlineStr">
        <is>
          <t>ISO 26642:2010</t>
        </is>
      </c>
      <c r="P51" s="7" t="inlineStr">
        <is>
          <t>USDA FoodData Central (SR Legacy / Foundation Foods), fdc.nal.usda.gov</t>
        </is>
      </c>
      <c r="Q51" s="6" t="inlineStr">
        <is>
          <t>2026-09-26</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low</t>
        </is>
      </c>
      <c r="L52" s="7" t="inlineStr">
        <is>
          <t>Estimated from the closest tested food; no direct measurement found in the pooled sources</t>
        </is>
      </c>
      <c r="M52" s="7" t="inlineStr">
        <is>
          <t>no direct match</t>
        </is>
      </c>
      <c r="N52" s="6" t="inlineStr"/>
      <c r="O5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2" s="7" t="inlineStr">
        <is>
          <t>USDA FoodData Central (SR Legacy / Foundation Foods), fdc.nal.usda.gov</t>
        </is>
      </c>
      <c r="Q52" s="6" t="inlineStr">
        <is>
          <t>2026-09-26</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low</t>
        </is>
      </c>
      <c r="L53" s="7" t="inlineStr">
        <is>
          <t>Estimated from the closest tested food; no direct measurement found in the pooled sources</t>
        </is>
      </c>
      <c r="M53" s="7" t="inlineStr">
        <is>
          <t>no direct match</t>
        </is>
      </c>
      <c r="N53" s="6" t="inlineStr"/>
      <c r="O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3" s="7" t="inlineStr">
        <is>
          <t>USDA FoodData Central (SR Legacy / Foundation Foods), fdc.nal.usda.gov</t>
        </is>
      </c>
      <c r="Q53" s="6" t="inlineStr">
        <is>
          <t>2026-09-26</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low</t>
        </is>
      </c>
      <c r="L54" s="7" t="inlineStr">
        <is>
          <t>Estimated from the closest tested food; no direct measurement found in the pooled sources</t>
        </is>
      </c>
      <c r="M54" s="7" t="inlineStr">
        <is>
          <t>no direct match</t>
        </is>
      </c>
      <c r="N54" s="6" t="inlineStr"/>
      <c r="O5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4" s="7" t="inlineStr">
        <is>
          <t>USDA FoodData Central (SR Legacy / Foundation Foods), fdc.nal.usda.gov</t>
        </is>
      </c>
      <c r="Q54" s="6" t="inlineStr">
        <is>
          <t>2026-09-26</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low</t>
        </is>
      </c>
      <c r="L55" s="7" t="inlineStr">
        <is>
          <t>Estimated from the closest tested food; no direct measurement found in the pooled sources</t>
        </is>
      </c>
      <c r="M55" s="7" t="inlineStr">
        <is>
          <t>no direct match</t>
        </is>
      </c>
      <c r="N55" s="6" t="inlineStr"/>
      <c r="O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5" s="7" t="inlineStr">
        <is>
          <t>USDA FoodData Central (SR Legacy / Foundation Foods), fdc.nal.usda.gov</t>
        </is>
      </c>
      <c r="Q55" s="6" t="inlineStr">
        <is>
          <t>2026-09-26</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low</t>
        </is>
      </c>
      <c r="L56" s="7" t="inlineStr">
        <is>
          <t>Estimated from the closest tested food; no direct measurement found in the pooled sources</t>
        </is>
      </c>
      <c r="M56" s="7" t="inlineStr">
        <is>
          <t>no direct match</t>
        </is>
      </c>
      <c r="N56" s="6" t="inlineStr"/>
      <c r="O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6" s="7" t="inlineStr">
        <is>
          <t>USDA FoodData Central (SR Legacy / Foundation Foods), fdc.nal.usda.gov</t>
        </is>
      </c>
      <c r="Q56" s="6" t="inlineStr">
        <is>
          <t>2026-09-26</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low</t>
        </is>
      </c>
      <c r="L57" s="7" t="inlineStr">
        <is>
          <t>Estimated from the closest tested food; no direct measurement found in the pooled sources</t>
        </is>
      </c>
      <c r="M57" s="7" t="inlineStr">
        <is>
          <t>no direct match</t>
        </is>
      </c>
      <c r="N57" s="6" t="inlineStr"/>
      <c r="O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7" s="7" t="inlineStr">
        <is>
          <t>USDA FoodData Central (SR Legacy / Foundation Foods), fdc.nal.usda.gov</t>
        </is>
      </c>
      <c r="Q57" s="6" t="inlineStr">
        <is>
          <t>2026-09-26</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medium</t>
        </is>
      </c>
      <c r="L58" s="7" t="inlineStr">
        <is>
          <t>2021 International Tables, Suppl. Tables 1+2 (incl. studies with method deviations)</t>
        </is>
      </c>
      <c r="M58" s="7" t="inlineStr">
        <is>
          <t>median of 2 tested foods, range 12-17</t>
        </is>
      </c>
      <c r="N58" s="6" t="n">
        <v>14</v>
      </c>
      <c r="O58" s="7" t="inlineStr">
        <is>
          <t>Atkinson FS, Brand-Miller JC, Foster-Powell K, Buyken AE, Goletzke J. International tables of glycemic index and glycemic load values 2021. Am J Clin Nutr 2021;114(5):1625-32. doi:10.1093/ajcn/nqab233</t>
        </is>
      </c>
      <c r="P58" s="7" t="inlineStr">
        <is>
          <t>USDA FoodData Central (SR Legacy / Foundation Foods), fdc.nal.usda.gov</t>
        </is>
      </c>
      <c r="Q58" s="6" t="inlineStr">
        <is>
          <t>2026-09-26</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low</t>
        </is>
      </c>
      <c r="L59" s="7" t="inlineStr">
        <is>
          <t>Estimated from the closest tested food; no direct measurement found in the pooled sources</t>
        </is>
      </c>
      <c r="M59" s="7" t="inlineStr">
        <is>
          <t>no direct match</t>
        </is>
      </c>
      <c r="N59" s="6" t="n">
        <v>10</v>
      </c>
      <c r="O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9" s="7" t="inlineStr">
        <is>
          <t>USDA FoodData Central (SR Legacy / Foundation Foods), fdc.nal.usda.gov</t>
        </is>
      </c>
      <c r="Q59" s="6" t="inlineStr">
        <is>
          <t>2026-09-26</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none (placeholder)</t>
        </is>
      </c>
      <c r="L60" s="7" t="inlineStr">
        <is>
          <t>Conventional placeholder for foods with too little carbohydrate to test (non-starchy vegetables, nuts, seeds, herbs); no published measurement exists</t>
        </is>
      </c>
      <c r="M60" s="7" t="inlineStr">
        <is>
          <t>not measurable</t>
        </is>
      </c>
      <c r="N60" s="6" t="inlineStr"/>
      <c r="O60" s="7" t="inlineStr">
        <is>
          <t>clinical convention</t>
        </is>
      </c>
      <c r="P60" s="7" t="inlineStr">
        <is>
          <t>USDA FoodData Central (SR Legacy / Foundation Foods), fdc.nal.usda.gov</t>
        </is>
      </c>
      <c r="Q60" s="6" t="inlineStr">
        <is>
          <t>2026-09-26</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low</t>
        </is>
      </c>
      <c r="L61" s="7" t="inlineStr">
        <is>
          <t>Estimated from the closest tested food; no direct measurement found in the pooled sources</t>
        </is>
      </c>
      <c r="M61" s="7" t="inlineStr">
        <is>
          <t>no direct match</t>
        </is>
      </c>
      <c r="N61" s="6" t="inlineStr"/>
      <c r="O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1" s="7" t="inlineStr">
        <is>
          <t>USDA FoodData Central (SR Legacy / Foundation Foods), fdc.nal.usda.gov</t>
        </is>
      </c>
      <c r="Q61" s="6" t="inlineStr">
        <is>
          <t>2026-09-26</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low</t>
        </is>
      </c>
      <c r="L62" s="7" t="inlineStr">
        <is>
          <t>Estimated from the closest tested food; no direct measurement found in the pooled sources</t>
        </is>
      </c>
      <c r="M62" s="7" t="inlineStr">
        <is>
          <t>no direct match</t>
        </is>
      </c>
      <c r="N62" s="6" t="inlineStr"/>
      <c r="O6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2" s="7" t="inlineStr">
        <is>
          <t>USDA FoodData Central (SR Legacy / Foundation Foods), fdc.nal.usda.gov</t>
        </is>
      </c>
      <c r="Q62" s="6" t="inlineStr">
        <is>
          <t>2026-09-26</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low</t>
        </is>
      </c>
      <c r="L63" s="7" t="inlineStr">
        <is>
          <t>Estimated from the closest tested food; no direct measurement found in the pooled sources</t>
        </is>
      </c>
      <c r="M63" s="7" t="inlineStr">
        <is>
          <t>no direct match</t>
        </is>
      </c>
      <c r="N63" s="6" t="inlineStr"/>
      <c r="O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3" s="7" t="inlineStr">
        <is>
          <t>USDA FoodData Central (SR Legacy / Foundation Foods), fdc.nal.usda.gov</t>
        </is>
      </c>
      <c r="Q63" s="6" t="inlineStr">
        <is>
          <t>2026-09-26</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low</t>
        </is>
      </c>
      <c r="L64" s="7" t="inlineStr">
        <is>
          <t>Estimated from the closest tested food; no direct measurement found in the pooled sources</t>
        </is>
      </c>
      <c r="M64" s="7" t="inlineStr">
        <is>
          <t>no direct match</t>
        </is>
      </c>
      <c r="N64" s="6" t="inlineStr"/>
      <c r="O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4" s="7" t="inlineStr">
        <is>
          <t>USDA FoodData Central (SR Legacy / Foundation Foods), fdc.nal.usda.gov</t>
        </is>
      </c>
      <c r="Q64" s="6" t="inlineStr">
        <is>
          <t>2026-09-26</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definitional</t>
        </is>
      </c>
      <c r="L65" s="7" t="inlineStr">
        <is>
          <t>No available carbohydrate — GI is 0 by definition (protein / fat / water)</t>
        </is>
      </c>
      <c r="M65" s="7" t="inlineStr">
        <is>
          <t>n/a</t>
        </is>
      </c>
      <c r="N65" s="6" t="inlineStr"/>
      <c r="O65" s="7" t="inlineStr">
        <is>
          <t>ISO 26642:2010</t>
        </is>
      </c>
      <c r="P65" s="7" t="inlineStr">
        <is>
          <t>USDA FoodData Central (SR Legacy / Foundation Foods), fdc.nal.usda.gov</t>
        </is>
      </c>
      <c r="Q65" s="6" t="inlineStr">
        <is>
          <t>2026-09-26</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low</t>
        </is>
      </c>
      <c r="L66" s="7" t="inlineStr">
        <is>
          <t>Estimated from the closest tested food; no direct measurement found in the pooled sources</t>
        </is>
      </c>
      <c r="M66" s="7" t="inlineStr">
        <is>
          <t>no direct match</t>
        </is>
      </c>
      <c r="N66" s="6" t="inlineStr"/>
      <c r="O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6" s="7" t="inlineStr">
        <is>
          <t>USDA FoodData Central (SR Legacy / Foundation Foods), fdc.nal.usda.gov</t>
        </is>
      </c>
      <c r="Q66" s="6" t="inlineStr">
        <is>
          <t>2026-09-26</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low</t>
        </is>
      </c>
      <c r="L67" s="7" t="inlineStr">
        <is>
          <t>Estimated from the closest tested food; no direct measurement found in the pooled sources</t>
        </is>
      </c>
      <c r="M67" s="7" t="inlineStr">
        <is>
          <t>no direct match</t>
        </is>
      </c>
      <c r="N67" s="6" t="inlineStr"/>
      <c r="O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7" s="7" t="inlineStr">
        <is>
          <t>USDA FoodData Central (SR Legacy / Foundation Foods), fdc.nal.usda.gov</t>
        </is>
      </c>
      <c r="Q67" s="6" t="inlineStr">
        <is>
          <t>2026-09-26</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low</t>
        </is>
      </c>
      <c r="L68" s="7" t="inlineStr">
        <is>
          <t>Estimated from the closest tested food; no direct measurement found in the pooled sources</t>
        </is>
      </c>
      <c r="M68" s="7" t="inlineStr">
        <is>
          <t>no direct match</t>
        </is>
      </c>
      <c r="N68" s="6" t="inlineStr"/>
      <c r="O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8" s="7" t="inlineStr">
        <is>
          <t>USDA FoodData Central (SR Legacy / Foundation Foods), fdc.nal.usda.gov</t>
        </is>
      </c>
      <c r="Q68" s="6" t="inlineStr">
        <is>
          <t>2026-09-26</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low</t>
        </is>
      </c>
      <c r="L69" s="7" t="inlineStr">
        <is>
          <t>Estimated from the closest tested food; no direct measurement found in the pooled sources</t>
        </is>
      </c>
      <c r="M69" s="7" t="inlineStr">
        <is>
          <t>no direct match</t>
        </is>
      </c>
      <c r="N69" s="6" t="inlineStr"/>
      <c r="O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9" s="7" t="inlineStr">
        <is>
          <t>USDA FoodData Central (SR Legacy / Foundation Foods), fdc.nal.usda.gov</t>
        </is>
      </c>
      <c r="Q69" s="6" t="inlineStr">
        <is>
          <t>2026-09-26</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low</t>
        </is>
      </c>
      <c r="L70" s="7" t="inlineStr">
        <is>
          <t>Estimated from the closest tested food; no direct measurement found in the pooled sources</t>
        </is>
      </c>
      <c r="M70" s="7" t="inlineStr">
        <is>
          <t>no direct match</t>
        </is>
      </c>
      <c r="N70" s="6" t="inlineStr"/>
      <c r="O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0" s="7" t="inlineStr">
        <is>
          <t>USDA FoodData Central (SR Legacy / Foundation Foods), fdc.nal.usda.gov</t>
        </is>
      </c>
      <c r="Q70" s="6" t="inlineStr">
        <is>
          <t>2026-09-26</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high</t>
        </is>
      </c>
      <c r="L71" s="7" t="inlineStr">
        <is>
          <t>2021 International Tables, Suppl. Table 1 (ISO 26642:2010-compliant studies)</t>
        </is>
      </c>
      <c r="M71" s="7" t="inlineStr">
        <is>
          <t>median of 3 tested foods, range 26-34</t>
        </is>
      </c>
      <c r="N71" s="6" t="n">
        <v>30</v>
      </c>
      <c r="O71" s="7" t="inlineStr">
        <is>
          <t>Atkinson FS, Brand-Miller JC, Foster-Powell K, Buyken AE, Goletzke J. International tables of glycemic index and glycemic load values 2021. Am J Clin Nutr 2021;114(5):1625-32. doi:10.1093/ajcn/nqab233</t>
        </is>
      </c>
      <c r="P71" s="7" t="inlineStr">
        <is>
          <t>USDA FoodData Central (SR Legacy / Foundation Foods), fdc.nal.usda.gov</t>
        </is>
      </c>
      <c r="Q71" s="6" t="inlineStr">
        <is>
          <t>2026-09-26</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low</t>
        </is>
      </c>
      <c r="L72" s="7" t="inlineStr">
        <is>
          <t>Estimated from the closest tested food; no direct measurement found in the pooled sources</t>
        </is>
      </c>
      <c r="M72" s="7" t="inlineStr">
        <is>
          <t>no direct match</t>
        </is>
      </c>
      <c r="N72" s="6" t="inlineStr"/>
      <c r="O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2" s="7" t="inlineStr">
        <is>
          <t>USDA FoodData Central (SR Legacy / Foundation Foods), fdc.nal.usda.gov</t>
        </is>
      </c>
      <c r="Q72" s="6" t="inlineStr">
        <is>
          <t>2026-09-26</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low</t>
        </is>
      </c>
      <c r="L73" s="7" t="inlineStr">
        <is>
          <t>Estimated from the closest tested food; no direct measurement found in the pooled sources</t>
        </is>
      </c>
      <c r="M73" s="7" t="inlineStr">
        <is>
          <t>no direct match</t>
        </is>
      </c>
      <c r="N73" s="6" t="inlineStr"/>
      <c r="O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3" s="7" t="inlineStr">
        <is>
          <t>USDA FoodData Central (SR Legacy / Foundation Foods), fdc.nal.usda.gov</t>
        </is>
      </c>
      <c r="Q73" s="6" t="inlineStr">
        <is>
          <t>2026-09-26</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definitional</t>
        </is>
      </c>
      <c r="L74" s="7" t="inlineStr">
        <is>
          <t>No available carbohydrate — GI is 0 by definition (protein / fat / water)</t>
        </is>
      </c>
      <c r="M74" s="7" t="inlineStr">
        <is>
          <t>n/a</t>
        </is>
      </c>
      <c r="N74" s="6" t="inlineStr"/>
      <c r="O74" s="7" t="inlineStr">
        <is>
          <t>ISO 26642:2010</t>
        </is>
      </c>
      <c r="P74" s="7" t="inlineStr">
        <is>
          <t>USDA FoodData Central (SR Legacy / Foundation Foods), fdc.nal.usda.gov</t>
        </is>
      </c>
      <c r="Q74" s="6" t="inlineStr">
        <is>
          <t>2026-09-26</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definitional</t>
        </is>
      </c>
      <c r="L75" s="7" t="inlineStr">
        <is>
          <t>No available carbohydrate — GI is 0 by definition (protein / fat / water)</t>
        </is>
      </c>
      <c r="M75" s="7" t="inlineStr">
        <is>
          <t>n/a</t>
        </is>
      </c>
      <c r="N75" s="6" t="inlineStr"/>
      <c r="O75" s="7" t="inlineStr">
        <is>
          <t>ISO 26642:2010</t>
        </is>
      </c>
      <c r="P75" s="7" t="inlineStr">
        <is>
          <t>USDA FoodData Central (SR Legacy / Foundation Foods), fdc.nal.usda.gov</t>
        </is>
      </c>
      <c r="Q75" s="6" t="inlineStr">
        <is>
          <t>2026-09-26</t>
        </is>
      </c>
    </row>
    <row r="76">
      <c r="A76" s="6" t="inlineStr">
        <is>
          <t>kefir</t>
        </is>
      </c>
      <c r="B76" s="6" t="inlineStr">
        <is>
          <t>Kefir, plain</t>
        </is>
      </c>
      <c r="C76" s="6" t="inlineStr">
        <is>
          <t>dairy</t>
        </is>
      </c>
      <c r="D76" s="6" t="n">
        <v>41</v>
      </c>
      <c r="E76" s="6" t="n">
        <v>3.3</v>
      </c>
      <c r="F76" s="6" t="n">
        <v>1</v>
      </c>
      <c r="G76" s="6" t="n">
        <v>4</v>
      </c>
      <c r="H76" s="6" t="n">
        <v>0</v>
      </c>
      <c r="I76" s="6" t="n">
        <v>4</v>
      </c>
      <c r="J76" s="6" t="n">
        <v>36</v>
      </c>
      <c r="K76" s="6" t="inlineStr">
        <is>
          <t>medium</t>
        </is>
      </c>
      <c r="L76" s="7" t="inlineStr">
        <is>
          <t>2021 International Tables, Suppl. Tables 1+2 (incl. studies with method deviations)</t>
        </is>
      </c>
      <c r="M76" s="7" t="inlineStr">
        <is>
          <t>median of 1 tested foods, range 36-36</t>
        </is>
      </c>
      <c r="N76" s="6" t="n">
        <v>36</v>
      </c>
      <c r="O76" s="7" t="inlineStr">
        <is>
          <t>Atkinson FS, Brand-Miller JC, Foster-Powell K, Buyken AE, Goletzke J. International tables of glycemic index and glycemic load values 2021. Am J Clin Nutr 2021;114(5):1625-32. doi:10.1093/ajcn/nqab233</t>
        </is>
      </c>
      <c r="P76" s="7" t="inlineStr">
        <is>
          <t>USDA FoodData Central (SR Legacy / Foundation Foods), fdc.nal.usda.gov</t>
        </is>
      </c>
      <c r="Q76" s="6" t="inlineStr">
        <is>
          <t>2026-09-26</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low</t>
        </is>
      </c>
      <c r="L77" s="7" t="inlineStr">
        <is>
          <t>Estimated from the closest tested food; no direct measurement found in the pooled sources</t>
        </is>
      </c>
      <c r="M77" s="7" t="inlineStr">
        <is>
          <t>no direct match</t>
        </is>
      </c>
      <c r="N77" s="6" t="n">
        <v>25</v>
      </c>
      <c r="O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7" s="7" t="inlineStr">
        <is>
          <t>USDA FoodData Central (SR Legacy / Foundation Foods), fdc.nal.usda.gov</t>
        </is>
      </c>
      <c r="Q77" s="6" t="inlineStr">
        <is>
          <t>2026-09-26</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36</v>
      </c>
      <c r="K78" s="6" t="inlineStr">
        <is>
          <t>high</t>
        </is>
      </c>
      <c r="L78" s="7" t="inlineStr">
        <is>
          <t>2021 International Tables, Suppl. Table 1 (ISO 26642:2010-compliant studies)</t>
        </is>
      </c>
      <c r="M78" s="7" t="inlineStr">
        <is>
          <t>median of 11 tested foods, range 17-44</t>
        </is>
      </c>
      <c r="N78" s="6" t="n">
        <v>36</v>
      </c>
      <c r="O78" s="7" t="inlineStr">
        <is>
          <t>Atkinson FS, Brand-Miller JC, Foster-Powell K, Buyken AE, Goletzke J. International tables of glycemic index and glycemic load values 2021. Am J Clin Nutr 2021;114(5):1625-32. doi:10.1093/ajcn/nqab233</t>
        </is>
      </c>
      <c r="P78" s="7" t="inlineStr">
        <is>
          <t>USDA FoodData Central (SR Legacy / Foundation Foods), fdc.nal.usda.gov</t>
        </is>
      </c>
      <c r="Q78" s="6" t="inlineStr">
        <is>
          <t>2026-09-26</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low</t>
        </is>
      </c>
      <c r="L79" s="7" t="inlineStr">
        <is>
          <t>Estimated from the closest tested food; no direct measurement found in the pooled sources</t>
        </is>
      </c>
      <c r="M79" s="7" t="inlineStr">
        <is>
          <t>no direct match</t>
        </is>
      </c>
      <c r="N79" s="6" t="n">
        <v>35</v>
      </c>
      <c r="O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9" s="7" t="inlineStr">
        <is>
          <t>USDA FoodData Central (SR Legacy / Foundation Foods), fdc.nal.usda.gov</t>
        </is>
      </c>
      <c r="Q79" s="6" t="inlineStr">
        <is>
          <t>2026-09-26</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low</t>
        </is>
      </c>
      <c r="L80" s="7" t="inlineStr">
        <is>
          <t>Estimated from the closest tested food; no direct measurement found in the pooled sources</t>
        </is>
      </c>
      <c r="M80" s="7" t="inlineStr">
        <is>
          <t>no direct match</t>
        </is>
      </c>
      <c r="N80" s="6" t="n">
        <v>35</v>
      </c>
      <c r="O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0" s="7" t="inlineStr">
        <is>
          <t>USDA FoodData Central (SR Legacy / Foundation Foods), fdc.nal.usda.gov</t>
        </is>
      </c>
      <c r="Q80" s="6" t="inlineStr">
        <is>
          <t>2026-09-26</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medium</t>
        </is>
      </c>
      <c r="L81" s="7" t="inlineStr">
        <is>
          <t>2021 International Tables, Suppl. Tables 1+2 (incl. studies with method deviations)</t>
        </is>
      </c>
      <c r="M81" s="7" t="inlineStr">
        <is>
          <t>median of 1 tested foods, range 31-31</t>
        </is>
      </c>
      <c r="N81" s="6" t="n">
        <v>31</v>
      </c>
      <c r="O81" s="7" t="inlineStr">
        <is>
          <t>Atkinson FS, Brand-Miller JC, Foster-Powell K, Buyken AE, Goletzke J. International tables of glycemic index and glycemic load values 2021. Am J Clin Nutr 2021;114(5):1625-32. doi:10.1093/ajcn/nqab233</t>
        </is>
      </c>
      <c r="P81" s="7" t="inlineStr">
        <is>
          <t>USDA FoodData Central (SR Legacy / Foundation Foods), fdc.nal.usda.gov</t>
        </is>
      </c>
      <c r="Q81" s="6" t="inlineStr">
        <is>
          <t>2026-09-26</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low</t>
        </is>
      </c>
      <c r="L82" s="7" t="inlineStr">
        <is>
          <t>Estimated from the closest tested food; no direct measurement found in the pooled sources</t>
        </is>
      </c>
      <c r="M82" s="7" t="inlineStr">
        <is>
          <t>no direct match</t>
        </is>
      </c>
      <c r="N82" s="6" t="inlineStr"/>
      <c r="O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2" s="7" t="inlineStr">
        <is>
          <t>USDA FoodData Central (SR Legacy / Foundation Foods), fdc.nal.usda.gov</t>
        </is>
      </c>
      <c r="Q82" s="6" t="inlineStr">
        <is>
          <t>2026-09-26</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low</t>
        </is>
      </c>
      <c r="L83" s="7" t="inlineStr">
        <is>
          <t>Estimated from the closest tested food; no direct measurement found in the pooled sources</t>
        </is>
      </c>
      <c r="M83" s="7" t="inlineStr">
        <is>
          <t>no direct match</t>
        </is>
      </c>
      <c r="N83" s="6" t="inlineStr"/>
      <c r="O8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3" s="7" t="inlineStr">
        <is>
          <t>USDA FoodData Central (SR Legacy / Foundation Foods), fdc.nal.usda.gov</t>
        </is>
      </c>
      <c r="Q83" s="6" t="inlineStr">
        <is>
          <t>2026-09-26</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none (placeholder)</t>
        </is>
      </c>
      <c r="L84" s="7" t="inlineStr">
        <is>
          <t>Conventional placeholder for foods with too little carbohydrate to test (non-starchy vegetables, nuts, seeds, herbs); no published measurement exists</t>
        </is>
      </c>
      <c r="M84" s="7" t="inlineStr">
        <is>
          <t>not measurable</t>
        </is>
      </c>
      <c r="N84" s="6" t="n">
        <v>15</v>
      </c>
      <c r="O84" s="7" t="inlineStr">
        <is>
          <t>clinical convention</t>
        </is>
      </c>
      <c r="P84" s="7" t="inlineStr">
        <is>
          <t>USDA FoodData Central (SR Legacy / Foundation Foods), fdc.nal.usda.gov</t>
        </is>
      </c>
      <c r="Q84" s="6" t="inlineStr">
        <is>
          <t>2026-09-26</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none (placeholder)</t>
        </is>
      </c>
      <c r="L85" s="7" t="inlineStr">
        <is>
          <t>Conventional placeholder for foods with too little carbohydrate to test (non-starchy vegetables, nuts, seeds, herbs); no published measurement exists</t>
        </is>
      </c>
      <c r="M85" s="7" t="inlineStr">
        <is>
          <t>not measurable</t>
        </is>
      </c>
      <c r="N85" s="6" t="n">
        <v>15</v>
      </c>
      <c r="O85" s="7" t="inlineStr">
        <is>
          <t>clinical convention</t>
        </is>
      </c>
      <c r="P85" s="7" t="inlineStr">
        <is>
          <t>USDA FoodData Central (SR Legacy / Foundation Foods), fdc.nal.usda.gov</t>
        </is>
      </c>
      <c r="Q85" s="6" t="inlineStr">
        <is>
          <t>2026-09-26</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low</t>
        </is>
      </c>
      <c r="L86" s="7" t="inlineStr">
        <is>
          <t>Estimated from the closest tested food; no direct measurement found in the pooled sources</t>
        </is>
      </c>
      <c r="M86" s="7" t="inlineStr">
        <is>
          <t>no direct match</t>
        </is>
      </c>
      <c r="N86" s="6" t="n">
        <v>18</v>
      </c>
      <c r="O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6" s="7" t="inlineStr">
        <is>
          <t>USDA FoodData Central (SR Legacy / Foundation Foods), fdc.nal.usda.gov</t>
        </is>
      </c>
      <c r="Q86" s="6" t="inlineStr">
        <is>
          <t>2026-09-26</t>
        </is>
      </c>
    </row>
    <row r="87">
      <c r="A87" s="6" t="inlineStr">
        <is>
          <t>lentils</t>
        </is>
      </c>
      <c r="B87" s="6" t="inlineStr">
        <is>
          <t>Lentils, cooked</t>
        </is>
      </c>
      <c r="C87" s="6" t="inlineStr">
        <is>
          <t>legume</t>
        </is>
      </c>
      <c r="D87" s="6" t="n">
        <v>116</v>
      </c>
      <c r="E87" s="6" t="n">
        <v>9</v>
      </c>
      <c r="F87" s="6" t="n">
        <v>0.4</v>
      </c>
      <c r="G87" s="6" t="n">
        <v>20</v>
      </c>
      <c r="H87" s="6" t="n">
        <v>7.9</v>
      </c>
      <c r="I87" s="6" t="n">
        <v>12.1</v>
      </c>
      <c r="J87" s="6" t="n">
        <v>36</v>
      </c>
      <c r="K87" s="6" t="inlineStr">
        <is>
          <t>high</t>
        </is>
      </c>
      <c r="L87" s="7" t="inlineStr">
        <is>
          <t>2021 International Tables, Suppl. Table 1 (ISO 26642:2010-compliant studies)</t>
        </is>
      </c>
      <c r="M87" s="7" t="inlineStr">
        <is>
          <t>median of 3 tested foods, range 16-57</t>
        </is>
      </c>
      <c r="N87" s="6" t="n">
        <v>36</v>
      </c>
      <c r="O87" s="7" t="inlineStr">
        <is>
          <t>Atkinson FS, Brand-Miller JC, Foster-Powell K, Buyken AE, Goletzke J. International tables of glycemic index and glycemic load values 2021. Am J Clin Nutr 2021;114(5):1625-32. doi:10.1093/ajcn/nqab233</t>
        </is>
      </c>
      <c r="P87" s="7" t="inlineStr">
        <is>
          <t>USDA FoodData Central (SR Legacy / Foundation Foods), fdc.nal.usda.gov</t>
        </is>
      </c>
      <c r="Q87" s="6" t="inlineStr">
        <is>
          <t>2026-09-26</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21</v>
      </c>
      <c r="K88" s="6" t="inlineStr">
        <is>
          <t>medium</t>
        </is>
      </c>
      <c r="L88" s="7" t="inlineStr">
        <is>
          <t>2021 International Tables, Suppl. Tables 1+2 (incl. studies with method deviations)</t>
        </is>
      </c>
      <c r="M88" s="7" t="inlineStr">
        <is>
          <t>median of 5 tested foods, range 18-32</t>
        </is>
      </c>
      <c r="N88" s="6" t="n">
        <v>21</v>
      </c>
      <c r="O88" s="7" t="inlineStr">
        <is>
          <t>Atkinson FS, Brand-Miller JC, Foster-Powell K, Buyken AE, Goletzke J. International tables of glycemic index and glycemic load values 2021. Am J Clin Nutr 2021;114(5):1625-32. doi:10.1093/ajcn/nqab233</t>
        </is>
      </c>
      <c r="P88" s="7" t="inlineStr">
        <is>
          <t>USDA FoodData Central (SR Legacy / Foundation Foods), fdc.nal.usda.gov</t>
        </is>
      </c>
      <c r="Q88" s="6" t="inlineStr">
        <is>
          <t>2026-09-26</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38</v>
      </c>
      <c r="K89" s="6" t="inlineStr">
        <is>
          <t>high</t>
        </is>
      </c>
      <c r="L89" s="7" t="inlineStr">
        <is>
          <t>2021 International Tables, Suppl. Table 1 (ISO 26642:2010-compliant studies)</t>
        </is>
      </c>
      <c r="M89" s="7" t="inlineStr">
        <is>
          <t>median of 3 tested foods, range 22-39</t>
        </is>
      </c>
      <c r="N89" s="6" t="n">
        <v>38</v>
      </c>
      <c r="O89" s="7" t="inlineStr">
        <is>
          <t>Atkinson FS, Brand-Miller JC, Foster-Powell K, Buyken AE, Goletzke J. International tables of glycemic index and glycemic load values 2021. Am J Clin Nutr 2021;114(5):1625-32. doi:10.1093/ajcn/nqab233</t>
        </is>
      </c>
      <c r="P89" s="7" t="inlineStr">
        <is>
          <t>USDA FoodData Central (SR Legacy / Foundation Foods), fdc.nal.usda.gov</t>
        </is>
      </c>
      <c r="Q89" s="6" t="inlineStr">
        <is>
          <t>2026-09-26</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medium</t>
        </is>
      </c>
      <c r="L90" s="7" t="inlineStr">
        <is>
          <t>2021 International Tables, Suppl. Tables 1+2 (incl. studies with method deviations)</t>
        </is>
      </c>
      <c r="M90" s="7" t="inlineStr">
        <is>
          <t>median of 2 tested foods, range 20-31</t>
        </is>
      </c>
      <c r="N90" s="6" t="n">
        <v>26</v>
      </c>
      <c r="O90" s="7" t="inlineStr">
        <is>
          <t>Atkinson FS, Brand-Miller JC, Foster-Powell K, Buyken AE, Goletzke J. International tables of glycemic index and glycemic load values 2021. Am J Clin Nutr 2021;114(5):1625-32. doi:10.1093/ajcn/nqab233</t>
        </is>
      </c>
      <c r="P90" s="7" t="inlineStr">
        <is>
          <t>USDA FoodData Central (SR Legacy / Foundation Foods), fdc.nal.usda.gov</t>
        </is>
      </c>
      <c r="Q90" s="6" t="inlineStr">
        <is>
          <t>2026-09-26</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34</v>
      </c>
      <c r="K91" s="6" t="inlineStr">
        <is>
          <t>medium</t>
        </is>
      </c>
      <c r="L91" s="7" t="inlineStr">
        <is>
          <t>2021 International Tables, Suppl. Tables 1+2 (incl. studies with method deviations)</t>
        </is>
      </c>
      <c r="M91" s="7" t="inlineStr">
        <is>
          <t>median of 14 tested foods, range 9-70</t>
        </is>
      </c>
      <c r="N91" s="6" t="n">
        <v>34</v>
      </c>
      <c r="O91" s="7" t="inlineStr">
        <is>
          <t>Atkinson FS, Brand-Miller JC, Foster-Powell K, Buyken AE, Goletzke J. International tables of glycemic index and glycemic load values 2021. Am J Clin Nutr 2021;114(5):1625-32. doi:10.1093/ajcn/nqab233</t>
        </is>
      </c>
      <c r="P91" s="7" t="inlineStr">
        <is>
          <t>USDA FoodData Central (SR Legacy / Foundation Foods), fdc.nal.usda.gov</t>
        </is>
      </c>
      <c r="Q91" s="6" t="inlineStr">
        <is>
          <t>2026-09-26</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33</v>
      </c>
      <c r="K92" s="6" t="inlineStr">
        <is>
          <t>medium</t>
        </is>
      </c>
      <c r="L92" s="7" t="inlineStr">
        <is>
          <t>2021 International Tables, Suppl. Tables 1+2 (incl. studies with method deviations)</t>
        </is>
      </c>
      <c r="M92" s="7" t="inlineStr">
        <is>
          <t>median of 5 tested foods, range 14-45</t>
        </is>
      </c>
      <c r="N92" s="6" t="n">
        <v>33</v>
      </c>
      <c r="O92" s="7" t="inlineStr">
        <is>
          <t>Atkinson FS, Brand-Miller JC, Foster-Powell K, Buyken AE, Goletzke J. International tables of glycemic index and glycemic load values 2021. Am J Clin Nutr 2021;114(5):1625-32. doi:10.1093/ajcn/nqab233</t>
        </is>
      </c>
      <c r="P92" s="7" t="inlineStr">
        <is>
          <t>USDA FoodData Central (SR Legacy / Foundation Foods), fdc.nal.usda.gov</t>
        </is>
      </c>
      <c r="Q92" s="6" t="inlineStr">
        <is>
          <t>2026-09-26</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medium</t>
        </is>
      </c>
      <c r="L93" s="7" t="inlineStr">
        <is>
          <t>2021 International Tables, Suppl. Tables 1+2 (incl. studies with method deviations)</t>
        </is>
      </c>
      <c r="M93" s="7" t="inlineStr">
        <is>
          <t>median of 1 tested foods, range 31-31</t>
        </is>
      </c>
      <c r="N93" s="6" t="n">
        <v>31</v>
      </c>
      <c r="O93" s="7" t="inlineStr">
        <is>
          <t>Atkinson FS, Brand-Miller JC, Foster-Powell K, Buyken AE, Goletzke J. International tables of glycemic index and glycemic load values 2021. Am J Clin Nutr 2021;114(5):1625-32. doi:10.1093/ajcn/nqab233</t>
        </is>
      </c>
      <c r="P93" s="7" t="inlineStr">
        <is>
          <t>USDA FoodData Central (SR Legacy / Foundation Foods), fdc.nal.usda.gov</t>
        </is>
      </c>
      <c r="Q93" s="6" t="inlineStr">
        <is>
          <t>2026-09-26</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low</t>
        </is>
      </c>
      <c r="L94" s="7" t="inlineStr">
        <is>
          <t>Estimated from the closest tested food; no direct measurement found in the pooled sources</t>
        </is>
      </c>
      <c r="M94" s="7" t="inlineStr">
        <is>
          <t>no direct match</t>
        </is>
      </c>
      <c r="N94" s="6" t="n">
        <v>31</v>
      </c>
      <c r="O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4" s="7" t="inlineStr">
        <is>
          <t>USDA FoodData Central (SR Legacy / Foundation Foods), fdc.nal.usda.gov</t>
        </is>
      </c>
      <c r="Q94" s="6" t="inlineStr">
        <is>
          <t>2026-09-26</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medium</t>
        </is>
      </c>
      <c r="L95" s="7" t="inlineStr">
        <is>
          <t>2021 International Tables, Suppl. Tables 1+2 (incl. studies with method deviations)</t>
        </is>
      </c>
      <c r="M95" s="7" t="inlineStr">
        <is>
          <t>median of 10 tested foods, range 26-54</t>
        </is>
      </c>
      <c r="N95" s="6" t="n">
        <v>34</v>
      </c>
      <c r="O95" s="7" t="inlineStr">
        <is>
          <t>Atkinson FS, Brand-Miller JC, Foster-Powell K, Buyken AE, Goletzke J. International tables of glycemic index and glycemic load values 2021. Am J Clin Nutr 2021;114(5):1625-32. doi:10.1093/ajcn/nqab233</t>
        </is>
      </c>
      <c r="P95" s="7" t="inlineStr">
        <is>
          <t>USDA FoodData Central (SR Legacy / Foundation Foods), fdc.nal.usda.gov</t>
        </is>
      </c>
      <c r="Q95" s="6" t="inlineStr">
        <is>
          <t>2026-09-26</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50</v>
      </c>
      <c r="K96" s="6" t="inlineStr">
        <is>
          <t>medium</t>
        </is>
      </c>
      <c r="L96" s="7" t="inlineStr">
        <is>
          <t>2021 International Tables, Suppl. Tables 1+2 (incl. studies with method deviations)</t>
        </is>
      </c>
      <c r="M96" s="7" t="inlineStr">
        <is>
          <t>median of 3 tested foods, range 33-52</t>
        </is>
      </c>
      <c r="N96" s="6" t="n">
        <v>50</v>
      </c>
      <c r="O96" s="7" t="inlineStr">
        <is>
          <t>Atkinson FS, Brand-Miller JC, Foster-Powell K, Buyken AE, Goletzke J. International tables of glycemic index and glycemic load values 2021. Am J Clin Nutr 2021;114(5):1625-32. doi:10.1093/ajcn/nqab233</t>
        </is>
      </c>
      <c r="P96" s="7" t="inlineStr">
        <is>
          <t>USDA FoodData Central (SR Legacy / Foundation Foods), fdc.nal.usda.gov</t>
        </is>
      </c>
      <c r="Q96" s="6" t="inlineStr">
        <is>
          <t>2026-09-26</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32</v>
      </c>
      <c r="K97" s="6" t="inlineStr">
        <is>
          <t>medium</t>
        </is>
      </c>
      <c r="L97" s="7" t="inlineStr">
        <is>
          <t>2021 International Tables, Suppl. Tables 1+2 (incl. studies with method deviations)</t>
        </is>
      </c>
      <c r="M97" s="7" t="inlineStr">
        <is>
          <t>median of 3 tested foods, range 25-61</t>
        </is>
      </c>
      <c r="N97" s="6" t="n">
        <v>32</v>
      </c>
      <c r="O97" s="7" t="inlineStr">
        <is>
          <t>Atkinson FS, Brand-Miller JC, Foster-Powell K, Buyken AE, Goletzke J. International tables of glycemic index and glycemic load values 2021. Am J Clin Nutr 2021;114(5):1625-32. doi:10.1093/ajcn/nqab233</t>
        </is>
      </c>
      <c r="P97" s="7" t="inlineStr">
        <is>
          <t>USDA FoodData Central (SR Legacy / Foundation Foods), fdc.nal.usda.gov</t>
        </is>
      </c>
      <c r="Q97" s="6" t="inlineStr">
        <is>
          <t>2026-09-26</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low</t>
        </is>
      </c>
      <c r="L98" s="7" t="inlineStr">
        <is>
          <t>Estimated from the closest tested food; no direct measurement found in the pooled sources</t>
        </is>
      </c>
      <c r="M98" s="7" t="inlineStr">
        <is>
          <t>no direct match</t>
        </is>
      </c>
      <c r="N98" s="6" t="n">
        <v>38</v>
      </c>
      <c r="O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8" s="7" t="inlineStr">
        <is>
          <t>USDA FoodData Central (SR Legacy / Foundation Foods), fdc.nal.usda.gov</t>
        </is>
      </c>
      <c r="Q98" s="6" t="inlineStr">
        <is>
          <t>2026-09-26</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medium</t>
        </is>
      </c>
      <c r="L99" s="7" t="inlineStr">
        <is>
          <t>2021 International Tables, Suppl. Tables 1+2 (incl. studies with method deviations)</t>
        </is>
      </c>
      <c r="M99" s="7" t="inlineStr">
        <is>
          <t>median of 3 tested foods, range 6-15</t>
        </is>
      </c>
      <c r="N99" s="6" t="n">
        <v>10</v>
      </c>
      <c r="O99" s="7" t="inlineStr">
        <is>
          <t>Atkinson FS, Brand-Miller JC, Foster-Powell K, Buyken AE, Goletzke J. International tables of glycemic index and glycemic load values 2021. Am J Clin Nutr 2021;114(5):1625-32. doi:10.1093/ajcn/nqab233</t>
        </is>
      </c>
      <c r="P99" s="7" t="inlineStr">
        <is>
          <t>USDA FoodData Central (SR Legacy / Foundation Foods), fdc.nal.usda.gov</t>
        </is>
      </c>
      <c r="Q99" s="6" t="inlineStr">
        <is>
          <t>2026-09-26</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none (placeholder)</t>
        </is>
      </c>
      <c r="L100" s="7" t="inlineStr">
        <is>
          <t>Conventional placeholder for foods with too little carbohydrate to test (non-starchy vegetables, nuts, seeds, herbs); no published measurement exists</t>
        </is>
      </c>
      <c r="M100" s="7" t="inlineStr">
        <is>
          <t>not measurable</t>
        </is>
      </c>
      <c r="N100" s="6" t="inlineStr"/>
      <c r="O100" s="7" t="inlineStr">
        <is>
          <t>clinical convention</t>
        </is>
      </c>
      <c r="P100" s="7" t="inlineStr">
        <is>
          <t>USDA FoodData Central (SR Legacy / Foundation Foods), fdc.nal.usda.gov</t>
        </is>
      </c>
      <c r="Q100" s="6" t="inlineStr">
        <is>
          <t>2026-09-26</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none (placeholder)</t>
        </is>
      </c>
      <c r="L101" s="7" t="inlineStr">
        <is>
          <t>Conventional placeholder for foods with too little carbohydrate to test (non-starchy vegetables, nuts, seeds, herbs); no published measurement exists</t>
        </is>
      </c>
      <c r="M101" s="7" t="inlineStr">
        <is>
          <t>not measurable</t>
        </is>
      </c>
      <c r="N101" s="6" t="inlineStr"/>
      <c r="O101" s="7" t="inlineStr">
        <is>
          <t>clinical convention</t>
        </is>
      </c>
      <c r="P101" s="7" t="inlineStr">
        <is>
          <t>USDA FoodData Central (SR Legacy / Foundation Foods), fdc.nal.usda.gov</t>
        </is>
      </c>
      <c r="Q101" s="6" t="inlineStr">
        <is>
          <t>2026-09-26</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none (placeholder)</t>
        </is>
      </c>
      <c r="L102" s="7" t="inlineStr">
        <is>
          <t>Conventional placeholder for foods with too little carbohydrate to test (non-starchy vegetables, nuts, seeds, herbs); no published measurement exists</t>
        </is>
      </c>
      <c r="M102" s="7" t="inlineStr">
        <is>
          <t>not measurable</t>
        </is>
      </c>
      <c r="N102" s="6" t="inlineStr"/>
      <c r="O102" s="7" t="inlineStr">
        <is>
          <t>clinical convention</t>
        </is>
      </c>
      <c r="P102" s="7" t="inlineStr">
        <is>
          <t>USDA FoodData Central (SR Legacy / Foundation Foods), fdc.nal.usda.gov</t>
        </is>
      </c>
      <c r="Q102" s="6" t="inlineStr">
        <is>
          <t>2026-09-26</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none (placeholder)</t>
        </is>
      </c>
      <c r="L103" s="7" t="inlineStr">
        <is>
          <t>Conventional placeholder for foods with too little carbohydrate to test (non-starchy vegetables, nuts, seeds, herbs); no published measurement exists</t>
        </is>
      </c>
      <c r="M103" s="7" t="inlineStr">
        <is>
          <t>not measurable</t>
        </is>
      </c>
      <c r="N103" s="6" t="inlineStr"/>
      <c r="O103" s="7" t="inlineStr">
        <is>
          <t>clinical convention</t>
        </is>
      </c>
      <c r="P103" s="7" t="inlineStr">
        <is>
          <t>USDA FoodData Central (SR Legacy / Foundation Foods), fdc.nal.usda.gov</t>
        </is>
      </c>
      <c r="Q103" s="6" t="inlineStr">
        <is>
          <t>2026-09-26</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none (placeholder)</t>
        </is>
      </c>
      <c r="L104" s="7" t="inlineStr">
        <is>
          <t>Conventional placeholder for foods with too little carbohydrate to test (non-starchy vegetables, nuts, seeds, herbs); no published measurement exists</t>
        </is>
      </c>
      <c r="M104" s="7" t="inlineStr">
        <is>
          <t>not measurable</t>
        </is>
      </c>
      <c r="N104" s="6" t="inlineStr"/>
      <c r="O104" s="7" t="inlineStr">
        <is>
          <t>clinical convention</t>
        </is>
      </c>
      <c r="P104" s="7" t="inlineStr">
        <is>
          <t>USDA FoodData Central (SR Legacy / Foundation Foods), fdc.nal.usda.gov</t>
        </is>
      </c>
      <c r="Q104" s="6" t="inlineStr">
        <is>
          <t>2026-09-26</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none (placeholder)</t>
        </is>
      </c>
      <c r="L105" s="7" t="inlineStr">
        <is>
          <t>Conventional placeholder for foods with too little carbohydrate to test (non-starchy vegetables, nuts, seeds, herbs); no published measurement exists</t>
        </is>
      </c>
      <c r="M105" s="7" t="inlineStr">
        <is>
          <t>not measurable</t>
        </is>
      </c>
      <c r="N105" s="6" t="inlineStr"/>
      <c r="O105" s="7" t="inlineStr">
        <is>
          <t>clinical convention</t>
        </is>
      </c>
      <c r="P105" s="7" t="inlineStr">
        <is>
          <t>USDA FoodData Central (SR Legacy / Foundation Foods), fdc.nal.usda.gov</t>
        </is>
      </c>
      <c r="Q105" s="6" t="inlineStr">
        <is>
          <t>2026-09-26</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none (placeholder)</t>
        </is>
      </c>
      <c r="L106" s="7" t="inlineStr">
        <is>
          <t>Conventional placeholder for foods with too little carbohydrate to test (non-starchy vegetables, nuts, seeds, herbs); no published measurement exists</t>
        </is>
      </c>
      <c r="M106" s="7" t="inlineStr">
        <is>
          <t>not measurable</t>
        </is>
      </c>
      <c r="N106" s="6" t="inlineStr"/>
      <c r="O106" s="7" t="inlineStr">
        <is>
          <t>clinical convention</t>
        </is>
      </c>
      <c r="P106" s="7" t="inlineStr">
        <is>
          <t>USDA FoodData Central (SR Legacy / Foundation Foods), fdc.nal.usda.gov</t>
        </is>
      </c>
      <c r="Q106" s="6" t="inlineStr">
        <is>
          <t>2026-09-26</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none (placeholder)</t>
        </is>
      </c>
      <c r="L107" s="7" t="inlineStr">
        <is>
          <t>Conventional placeholder for foods with too little carbohydrate to test (non-starchy vegetables, nuts, seeds, herbs); no published measurement exists</t>
        </is>
      </c>
      <c r="M107" s="7" t="inlineStr">
        <is>
          <t>not measurable</t>
        </is>
      </c>
      <c r="N107" s="6" t="inlineStr"/>
      <c r="O107" s="7" t="inlineStr">
        <is>
          <t>clinical convention</t>
        </is>
      </c>
      <c r="P107" s="7" t="inlineStr">
        <is>
          <t>USDA FoodData Central (SR Legacy / Foundation Foods), fdc.nal.usda.gov</t>
        </is>
      </c>
      <c r="Q107" s="6" t="inlineStr">
        <is>
          <t>2026-09-26</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none (placeholder)</t>
        </is>
      </c>
      <c r="L108" s="7" t="inlineStr">
        <is>
          <t>Conventional placeholder for foods with too little carbohydrate to test (non-starchy vegetables, nuts, seeds, herbs); no published measurement exists</t>
        </is>
      </c>
      <c r="M108" s="7" t="inlineStr">
        <is>
          <t>not measurable</t>
        </is>
      </c>
      <c r="N108" s="6" t="inlineStr"/>
      <c r="O108" s="7" t="inlineStr">
        <is>
          <t>clinical convention</t>
        </is>
      </c>
      <c r="P108" s="7" t="inlineStr">
        <is>
          <t>USDA FoodData Central (SR Legacy / Foundation Foods), fdc.nal.usda.gov</t>
        </is>
      </c>
      <c r="Q108" s="6" t="inlineStr">
        <is>
          <t>2026-09-26</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none (placeholder)</t>
        </is>
      </c>
      <c r="L109" s="7" t="inlineStr">
        <is>
          <t>Conventional placeholder for foods with too little carbohydrate to test (non-starchy vegetables, nuts, seeds, herbs); no published measurement exists</t>
        </is>
      </c>
      <c r="M109" s="7" t="inlineStr">
        <is>
          <t>not measurable</t>
        </is>
      </c>
      <c r="N109" s="6" t="inlineStr"/>
      <c r="O109" s="7" t="inlineStr">
        <is>
          <t>clinical convention</t>
        </is>
      </c>
      <c r="P109" s="7" t="inlineStr">
        <is>
          <t>USDA FoodData Central (SR Legacy / Foundation Foods), fdc.nal.usda.gov</t>
        </is>
      </c>
      <c r="Q109" s="6" t="inlineStr">
        <is>
          <t>2026-09-26</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none (placeholder)</t>
        </is>
      </c>
      <c r="L110" s="7" t="inlineStr">
        <is>
          <t>Conventional placeholder for foods with too little carbohydrate to test (non-starchy vegetables, nuts, seeds, herbs); no published measurement exists</t>
        </is>
      </c>
      <c r="M110" s="7" t="inlineStr">
        <is>
          <t>not measurable</t>
        </is>
      </c>
      <c r="N110" s="6" t="inlineStr"/>
      <c r="O110" s="7" t="inlineStr">
        <is>
          <t>clinical convention</t>
        </is>
      </c>
      <c r="P110" s="7" t="inlineStr">
        <is>
          <t>USDA FoodData Central (SR Legacy / Foundation Foods), fdc.nal.usda.gov</t>
        </is>
      </c>
      <c r="Q110" s="6" t="inlineStr">
        <is>
          <t>2026-09-26</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none (placeholder)</t>
        </is>
      </c>
      <c r="L111" s="7" t="inlineStr">
        <is>
          <t>Conventional placeholder for foods with too little carbohydrate to test (non-starchy vegetables, nuts, seeds, herbs); no published measurement exists</t>
        </is>
      </c>
      <c r="M111" s="7" t="inlineStr">
        <is>
          <t>not measurable</t>
        </is>
      </c>
      <c r="N111" s="6" t="inlineStr"/>
      <c r="O111" s="7" t="inlineStr">
        <is>
          <t>clinical convention</t>
        </is>
      </c>
      <c r="P111" s="7" t="inlineStr">
        <is>
          <t>USDA FoodData Central (SR Legacy / Foundation Foods), fdc.nal.usda.gov</t>
        </is>
      </c>
      <c r="Q111" s="6" t="inlineStr">
        <is>
          <t>2026-09-26</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none (placeholder)</t>
        </is>
      </c>
      <c r="L112" s="7" t="inlineStr">
        <is>
          <t>Conventional placeholder for foods with too little carbohydrate to test (non-starchy vegetables, nuts, seeds, herbs); no published measurement exists</t>
        </is>
      </c>
      <c r="M112" s="7" t="inlineStr">
        <is>
          <t>not measurable</t>
        </is>
      </c>
      <c r="N112" s="6" t="inlineStr"/>
      <c r="O112" s="7" t="inlineStr">
        <is>
          <t>clinical convention</t>
        </is>
      </c>
      <c r="P112" s="7" t="inlineStr">
        <is>
          <t>USDA FoodData Central (SR Legacy / Foundation Foods), fdc.nal.usda.gov</t>
        </is>
      </c>
      <c r="Q112" s="6" t="inlineStr">
        <is>
          <t>2026-09-26</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none (placeholder)</t>
        </is>
      </c>
      <c r="L113" s="7" t="inlineStr">
        <is>
          <t>Conventional placeholder for foods with too little carbohydrate to test (non-starchy vegetables, nuts, seeds, herbs); no published measurement exists</t>
        </is>
      </c>
      <c r="M113" s="7" t="inlineStr">
        <is>
          <t>not measurable</t>
        </is>
      </c>
      <c r="N113" s="6" t="inlineStr"/>
      <c r="O113" s="7" t="inlineStr">
        <is>
          <t>clinical convention</t>
        </is>
      </c>
      <c r="P113" s="7" t="inlineStr">
        <is>
          <t>USDA FoodData Central (SR Legacy / Foundation Foods), fdc.nal.usda.gov</t>
        </is>
      </c>
      <c r="Q113" s="6" t="inlineStr">
        <is>
          <t>2026-09-26</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none (placeholder)</t>
        </is>
      </c>
      <c r="L114" s="7" t="inlineStr">
        <is>
          <t>Conventional placeholder for foods with too little carbohydrate to test (non-starchy vegetables, nuts, seeds, herbs); no published measurement exists</t>
        </is>
      </c>
      <c r="M114" s="7" t="inlineStr">
        <is>
          <t>not measurable</t>
        </is>
      </c>
      <c r="N114" s="6" t="inlineStr"/>
      <c r="O114" s="7" t="inlineStr">
        <is>
          <t>clinical convention</t>
        </is>
      </c>
      <c r="P114" s="7" t="inlineStr">
        <is>
          <t>USDA FoodData Central (SR Legacy / Foundation Foods), fdc.nal.usda.gov</t>
        </is>
      </c>
      <c r="Q114" s="6" t="inlineStr">
        <is>
          <t>2026-09-26</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none (placeholder)</t>
        </is>
      </c>
      <c r="L115" s="7" t="inlineStr">
        <is>
          <t>Conventional placeholder for foods with too little carbohydrate to test (non-starchy vegetables, nuts, seeds, herbs); no published measurement exists</t>
        </is>
      </c>
      <c r="M115" s="7" t="inlineStr">
        <is>
          <t>not measurable</t>
        </is>
      </c>
      <c r="N115" s="6" t="inlineStr"/>
      <c r="O115" s="7" t="inlineStr">
        <is>
          <t>clinical convention</t>
        </is>
      </c>
      <c r="P115" s="7" t="inlineStr">
        <is>
          <t>USDA FoodData Central (SR Legacy / Foundation Foods), fdc.nal.usda.gov</t>
        </is>
      </c>
      <c r="Q115" s="6" t="inlineStr">
        <is>
          <t>2026-09-26</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none (placeholder)</t>
        </is>
      </c>
      <c r="L116" s="7" t="inlineStr">
        <is>
          <t>Conventional placeholder for foods with too little carbohydrate to test (non-starchy vegetables, nuts, seeds, herbs); no published measurement exists</t>
        </is>
      </c>
      <c r="M116" s="7" t="inlineStr">
        <is>
          <t>not measurable</t>
        </is>
      </c>
      <c r="N116" s="6" t="inlineStr"/>
      <c r="O116" s="7" t="inlineStr">
        <is>
          <t>clinical convention</t>
        </is>
      </c>
      <c r="P116" s="7" t="inlineStr">
        <is>
          <t>USDA FoodData Central (SR Legacy / Foundation Foods), fdc.nal.usda.gov</t>
        </is>
      </c>
      <c r="Q116" s="6" t="inlineStr">
        <is>
          <t>2026-09-26</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none (placeholder)</t>
        </is>
      </c>
      <c r="L117" s="7" t="inlineStr">
        <is>
          <t>Conventional placeholder for foods with too little carbohydrate to test (non-starchy vegetables, nuts, seeds, herbs); no published measurement exists</t>
        </is>
      </c>
      <c r="M117" s="7" t="inlineStr">
        <is>
          <t>not measurable</t>
        </is>
      </c>
      <c r="N117" s="6" t="inlineStr"/>
      <c r="O117" s="7" t="inlineStr">
        <is>
          <t>clinical convention</t>
        </is>
      </c>
      <c r="P117" s="7" t="inlineStr">
        <is>
          <t>USDA FoodData Central (SR Legacy / Foundation Foods), fdc.nal.usda.gov</t>
        </is>
      </c>
      <c r="Q117" s="6" t="inlineStr">
        <is>
          <t>2026-09-26</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none (placeholder)</t>
        </is>
      </c>
      <c r="L118" s="7" t="inlineStr">
        <is>
          <t>Conventional placeholder for foods with too little carbohydrate to test (non-starchy vegetables, nuts, seeds, herbs); no published measurement exists</t>
        </is>
      </c>
      <c r="M118" s="7" t="inlineStr">
        <is>
          <t>not measurable</t>
        </is>
      </c>
      <c r="N118" s="6" t="inlineStr"/>
      <c r="O118" s="7" t="inlineStr">
        <is>
          <t>clinical convention</t>
        </is>
      </c>
      <c r="P118" s="7" t="inlineStr">
        <is>
          <t>USDA FoodData Central (SR Legacy / Foundation Foods), fdc.nal.usda.gov</t>
        </is>
      </c>
      <c r="Q118" s="6" t="inlineStr">
        <is>
          <t>2026-09-26</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none (placeholder)</t>
        </is>
      </c>
      <c r="L119" s="7" t="inlineStr">
        <is>
          <t>Conventional placeholder for foods with too little carbohydrate to test (non-starchy vegetables, nuts, seeds, herbs); no published measurement exists</t>
        </is>
      </c>
      <c r="M119" s="7" t="inlineStr">
        <is>
          <t>not measurable</t>
        </is>
      </c>
      <c r="N119" s="6" t="inlineStr"/>
      <c r="O119" s="7" t="inlineStr">
        <is>
          <t>clinical convention</t>
        </is>
      </c>
      <c r="P119" s="7" t="inlineStr">
        <is>
          <t>USDA FoodData Central (SR Legacy / Foundation Foods), fdc.nal.usda.gov</t>
        </is>
      </c>
      <c r="Q119" s="6" t="inlineStr">
        <is>
          <t>2026-09-26</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none (placeholder)</t>
        </is>
      </c>
      <c r="L120" s="7" t="inlineStr">
        <is>
          <t>Conventional placeholder for foods with too little carbohydrate to test (non-starchy vegetables, nuts, seeds, herbs); no published measurement exists</t>
        </is>
      </c>
      <c r="M120" s="7" t="inlineStr">
        <is>
          <t>not measurable</t>
        </is>
      </c>
      <c r="N120" s="6" t="inlineStr"/>
      <c r="O120" s="7" t="inlineStr">
        <is>
          <t>clinical convention</t>
        </is>
      </c>
      <c r="P120" s="7" t="inlineStr">
        <is>
          <t>USDA FoodData Central (SR Legacy / Foundation Foods), fdc.nal.usda.gov</t>
        </is>
      </c>
      <c r="Q120" s="6" t="inlineStr">
        <is>
          <t>2026-09-26</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none (placeholder)</t>
        </is>
      </c>
      <c r="L121" s="7" t="inlineStr">
        <is>
          <t>Conventional placeholder for foods with too little carbohydrate to test (non-starchy vegetables, nuts, seeds, herbs); no published measurement exists</t>
        </is>
      </c>
      <c r="M121" s="7" t="inlineStr">
        <is>
          <t>not measurable</t>
        </is>
      </c>
      <c r="N121" s="6" t="inlineStr"/>
      <c r="O121" s="7" t="inlineStr">
        <is>
          <t>clinical convention</t>
        </is>
      </c>
      <c r="P121" s="7" t="inlineStr">
        <is>
          <t>USDA FoodData Central (SR Legacy / Foundation Foods), fdc.nal.usda.gov</t>
        </is>
      </c>
      <c r="Q121" s="6" t="inlineStr">
        <is>
          <t>2026-09-26</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38</v>
      </c>
      <c r="K122" s="6" t="inlineStr">
        <is>
          <t>medium</t>
        </is>
      </c>
      <c r="L122" s="7" t="inlineStr">
        <is>
          <t>2021 International Tables, Suppl. Tables 1+2 (incl. studies with method deviations)</t>
        </is>
      </c>
      <c r="M122" s="7" t="inlineStr">
        <is>
          <t>median of 8 tested foods, range 9-54</t>
        </is>
      </c>
      <c r="N122" s="6" t="n">
        <v>38</v>
      </c>
      <c r="O122" s="7" t="inlineStr">
        <is>
          <t>Atkinson FS, Brand-Miller JC, Foster-Powell K, Buyken AE, Goletzke J. International tables of glycemic index and glycemic load values 2021. Am J Clin Nutr 2021;114(5):1625-32. doi:10.1093/ajcn/nqab233</t>
        </is>
      </c>
      <c r="P122" s="7" t="inlineStr">
        <is>
          <t>USDA FoodData Central (SR Legacy / Foundation Foods), fdc.nal.usda.gov</t>
        </is>
      </c>
      <c r="Q122" s="6" t="inlineStr">
        <is>
          <t>2026-09-26</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none (placeholder)</t>
        </is>
      </c>
      <c r="L123" s="7" t="inlineStr">
        <is>
          <t>Conventional placeholder for foods with too little carbohydrate to test (non-starchy vegetables, nuts, seeds, herbs); no published measurement exists</t>
        </is>
      </c>
      <c r="M123" s="7" t="inlineStr">
        <is>
          <t>not measurable</t>
        </is>
      </c>
      <c r="N123" s="6" t="inlineStr"/>
      <c r="O123" s="7" t="inlineStr">
        <is>
          <t>clinical convention</t>
        </is>
      </c>
      <c r="P123" s="7" t="inlineStr">
        <is>
          <t>USDA FoodData Central (SR Legacy / Foundation Foods), fdc.nal.usda.gov</t>
        </is>
      </c>
      <c r="Q123" s="6" t="inlineStr">
        <is>
          <t>2026-09-26</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none (placeholder)</t>
        </is>
      </c>
      <c r="L124" s="7" t="inlineStr">
        <is>
          <t>Conventional placeholder for foods with too little carbohydrate to test (non-starchy vegetables, nuts, seeds, herbs); no published measurement exists</t>
        </is>
      </c>
      <c r="M124" s="7" t="inlineStr">
        <is>
          <t>not measurable</t>
        </is>
      </c>
      <c r="N124" s="6" t="inlineStr"/>
      <c r="O124" s="7" t="inlineStr">
        <is>
          <t>clinical convention</t>
        </is>
      </c>
      <c r="P124" s="7" t="inlineStr">
        <is>
          <t>USDA FoodData Central (SR Legacy / Foundation Foods), fdc.nal.usda.gov</t>
        </is>
      </c>
      <c r="Q124" s="6" t="inlineStr">
        <is>
          <t>2026-09-26</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none (placeholder)</t>
        </is>
      </c>
      <c r="L125" s="7" t="inlineStr">
        <is>
          <t>Conventional placeholder for foods with too little carbohydrate to test (non-starchy vegetables, nuts, seeds, herbs); no published measurement exists</t>
        </is>
      </c>
      <c r="M125" s="7" t="inlineStr">
        <is>
          <t>not measurable</t>
        </is>
      </c>
      <c r="N125" s="6" t="inlineStr"/>
      <c r="O125" s="7" t="inlineStr">
        <is>
          <t>clinical convention</t>
        </is>
      </c>
      <c r="P125" s="7" t="inlineStr">
        <is>
          <t>USDA FoodData Central (SR Legacy / Foundation Foods), fdc.nal.usda.gov</t>
        </is>
      </c>
      <c r="Q125" s="6" t="inlineStr">
        <is>
          <t>2026-09-26</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low</t>
        </is>
      </c>
      <c r="L126" s="7" t="inlineStr">
        <is>
          <t>Estimated from the closest tested food; no direct measurement found in the pooled sources</t>
        </is>
      </c>
      <c r="M126" s="7" t="inlineStr">
        <is>
          <t>no direct match</t>
        </is>
      </c>
      <c r="N126" s="6" t="inlineStr"/>
      <c r="O1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26" s="7" t="inlineStr">
        <is>
          <t>USDA FoodData Central (SR Legacy / Foundation Foods), fdc.nal.usda.gov</t>
        </is>
      </c>
      <c r="Q126" s="6" t="inlineStr">
        <is>
          <t>2026-09-26</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medium</t>
        </is>
      </c>
      <c r="L127" s="7" t="inlineStr">
        <is>
          <t>University of Sydney online GI database</t>
        </is>
      </c>
      <c r="M127" s="7" t="inlineStr">
        <is>
          <t>median of 1 tested foods, range 51-51</t>
        </is>
      </c>
      <c r="N127" s="6" t="n">
        <v>51</v>
      </c>
      <c r="O127" s="7" t="inlineStr">
        <is>
          <t>University of Sydney GI database, glycemicindex.com/gi-search (accessed 2026-09-16)</t>
        </is>
      </c>
      <c r="P127" s="7" t="inlineStr">
        <is>
          <t>USDA FoodData Central (SR Legacy / Foundation Foods), fdc.nal.usda.gov</t>
        </is>
      </c>
      <c r="Q127" s="6" t="inlineStr">
        <is>
          <t>2026-09-26</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75</v>
      </c>
      <c r="K128" s="6" t="inlineStr">
        <is>
          <t>medium</t>
        </is>
      </c>
      <c r="L128" s="7" t="inlineStr">
        <is>
          <t>2021 International Tables, Suppl. Tables 1+2 (incl. studies with method deviations)</t>
        </is>
      </c>
      <c r="M128" s="7" t="inlineStr">
        <is>
          <t>median of 1 tested foods, range 75-75</t>
        </is>
      </c>
      <c r="N128" s="6" t="n">
        <v>75</v>
      </c>
      <c r="O128" s="7" t="inlineStr">
        <is>
          <t>Atkinson FS, Brand-Miller JC, Foster-Powell K, Buyken AE, Goletzke J. International tables of glycemic index and glycemic load values 2021. Am J Clin Nutr 2021;114(5):1625-32. doi:10.1093/ajcn/nqab233</t>
        </is>
      </c>
      <c r="P128" s="7" t="inlineStr">
        <is>
          <t>USDA FoodData Central (SR Legacy / Foundation Foods), fdc.nal.usda.gov</t>
        </is>
      </c>
      <c r="Q128" s="6" t="inlineStr">
        <is>
          <t>2026-09-26</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none (placeholder)</t>
        </is>
      </c>
      <c r="L129" s="7" t="inlineStr">
        <is>
          <t>Conventional placeholder for foods with too little carbohydrate to test (non-starchy vegetables, nuts, seeds, herbs); no published measurement exists</t>
        </is>
      </c>
      <c r="M129" s="7" t="inlineStr">
        <is>
          <t>not measurable</t>
        </is>
      </c>
      <c r="N129" s="6" t="inlineStr"/>
      <c r="O129" s="7" t="inlineStr">
        <is>
          <t>clinical convention</t>
        </is>
      </c>
      <c r="P129" s="7" t="inlineStr">
        <is>
          <t>USDA FoodData Central (SR Legacy / Foundation Foods), fdc.nal.usda.gov</t>
        </is>
      </c>
      <c r="Q129" s="6" t="inlineStr">
        <is>
          <t>2026-09-26</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none (placeholder)</t>
        </is>
      </c>
      <c r="L130" s="7" t="inlineStr">
        <is>
          <t>Conventional placeholder for foods with too little carbohydrate to test (non-starchy vegetables, nuts, seeds, herbs); no published measurement exists</t>
        </is>
      </c>
      <c r="M130" s="7" t="inlineStr">
        <is>
          <t>not measurable</t>
        </is>
      </c>
      <c r="N130" s="6" t="inlineStr"/>
      <c r="O130" s="7" t="inlineStr">
        <is>
          <t>clinical convention</t>
        </is>
      </c>
      <c r="P130" s="7" t="inlineStr">
        <is>
          <t>USDA FoodData Central (SR Legacy / Foundation Foods), fdc.nal.usda.gov</t>
        </is>
      </c>
      <c r="Q130" s="6" t="inlineStr">
        <is>
          <t>2026-09-26</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none (placeholder)</t>
        </is>
      </c>
      <c r="L131" s="7" t="inlineStr">
        <is>
          <t>Conventional placeholder for foods with too little carbohydrate to test (non-starchy vegetables, nuts, seeds, herbs); no published measurement exists</t>
        </is>
      </c>
      <c r="M131" s="7" t="inlineStr">
        <is>
          <t>not measurable</t>
        </is>
      </c>
      <c r="N131" s="6" t="inlineStr"/>
      <c r="O131" s="7" t="inlineStr">
        <is>
          <t>clinical convention</t>
        </is>
      </c>
      <c r="P131" s="7" t="inlineStr">
        <is>
          <t>USDA FoodData Central (SR Legacy / Foundation Foods), fdc.nal.usda.gov</t>
        </is>
      </c>
      <c r="Q131" s="6" t="inlineStr">
        <is>
          <t>2026-09-26</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none (placeholder)</t>
        </is>
      </c>
      <c r="L132" s="7" t="inlineStr">
        <is>
          <t>Conventional placeholder for foods with too little carbohydrate to test (non-starchy vegetables, nuts, seeds, herbs); no published measurement exists</t>
        </is>
      </c>
      <c r="M132" s="7" t="inlineStr">
        <is>
          <t>not measurable</t>
        </is>
      </c>
      <c r="N132" s="6" t="inlineStr"/>
      <c r="O132" s="7" t="inlineStr">
        <is>
          <t>clinical convention</t>
        </is>
      </c>
      <c r="P132" s="7" t="inlineStr">
        <is>
          <t>USDA FoodData Central (SR Legacy / Foundation Foods), fdc.nal.usda.gov</t>
        </is>
      </c>
      <c r="Q132" s="6" t="inlineStr">
        <is>
          <t>2026-09-26</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none (placeholder)</t>
        </is>
      </c>
      <c r="L133" s="7" t="inlineStr">
        <is>
          <t>Conventional placeholder for foods with too little carbohydrate to test (non-starchy vegetables, nuts, seeds, herbs); no published measurement exists</t>
        </is>
      </c>
      <c r="M133" s="7" t="inlineStr">
        <is>
          <t>not measurable</t>
        </is>
      </c>
      <c r="N133" s="6" t="inlineStr"/>
      <c r="O133" s="7" t="inlineStr">
        <is>
          <t>clinical convention</t>
        </is>
      </c>
      <c r="P133" s="7" t="inlineStr">
        <is>
          <t>USDA FoodData Central (SR Legacy / Foundation Foods), fdc.nal.usda.gov</t>
        </is>
      </c>
      <c r="Q133" s="6" t="inlineStr">
        <is>
          <t>2026-09-26</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none (placeholder)</t>
        </is>
      </c>
      <c r="L134" s="7" t="inlineStr">
        <is>
          <t>Conventional placeholder for foods with too little carbohydrate to test (non-starchy vegetables, nuts, seeds, herbs); no published measurement exists</t>
        </is>
      </c>
      <c r="M134" s="7" t="inlineStr">
        <is>
          <t>not measurable</t>
        </is>
      </c>
      <c r="N134" s="6" t="inlineStr"/>
      <c r="O134" s="7" t="inlineStr">
        <is>
          <t>clinical convention</t>
        </is>
      </c>
      <c r="P134" s="7" t="inlineStr">
        <is>
          <t>USDA FoodData Central (SR Legacy / Foundation Foods), fdc.nal.usda.gov</t>
        </is>
      </c>
      <c r="Q134" s="6" t="inlineStr">
        <is>
          <t>2026-09-26</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none (placeholder)</t>
        </is>
      </c>
      <c r="L135" s="7" t="inlineStr">
        <is>
          <t>Conventional placeholder for foods with too little carbohydrate to test (non-starchy vegetables, nuts, seeds, herbs); no published measurement exists</t>
        </is>
      </c>
      <c r="M135" s="7" t="inlineStr">
        <is>
          <t>not measurable</t>
        </is>
      </c>
      <c r="N135" s="6" t="inlineStr"/>
      <c r="O135" s="7" t="inlineStr">
        <is>
          <t>clinical convention</t>
        </is>
      </c>
      <c r="P135" s="7" t="inlineStr">
        <is>
          <t>USDA FoodData Central (SR Legacy / Foundation Foods), fdc.nal.usda.gov</t>
        </is>
      </c>
      <c r="Q135" s="6" t="inlineStr">
        <is>
          <t>2026-09-26</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none (placeholder)</t>
        </is>
      </c>
      <c r="L136" s="7" t="inlineStr">
        <is>
          <t>Conventional placeholder for foods with too little carbohydrate to test (non-starchy vegetables, nuts, seeds, herbs); no published measurement exists</t>
        </is>
      </c>
      <c r="M136" s="7" t="inlineStr">
        <is>
          <t>not measurable</t>
        </is>
      </c>
      <c r="N136" s="6" t="inlineStr"/>
      <c r="O136" s="7" t="inlineStr">
        <is>
          <t>clinical convention</t>
        </is>
      </c>
      <c r="P136" s="7" t="inlineStr">
        <is>
          <t>USDA FoodData Central (SR Legacy / Foundation Foods), fdc.nal.usda.gov</t>
        </is>
      </c>
      <c r="Q136" s="6" t="inlineStr">
        <is>
          <t>2026-09-26</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none (placeholder)</t>
        </is>
      </c>
      <c r="L137" s="7" t="inlineStr">
        <is>
          <t>Conventional placeholder for foods with too little carbohydrate to test (non-starchy vegetables, nuts, seeds, herbs); no published measurement exists</t>
        </is>
      </c>
      <c r="M137" s="7" t="inlineStr">
        <is>
          <t>not measurable</t>
        </is>
      </c>
      <c r="N137" s="6" t="inlineStr"/>
      <c r="O137" s="7" t="inlineStr">
        <is>
          <t>clinical convention</t>
        </is>
      </c>
      <c r="P137" s="7" t="inlineStr">
        <is>
          <t>USDA FoodData Central (SR Legacy / Foundation Foods), fdc.nal.usda.gov</t>
        </is>
      </c>
      <c r="Q137" s="6" t="inlineStr">
        <is>
          <t>2026-09-26</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low</t>
        </is>
      </c>
      <c r="L138" s="7" t="inlineStr">
        <is>
          <t>Estimated from the closest tested food; no direct measurement found in the pooled sources</t>
        </is>
      </c>
      <c r="M138" s="7" t="inlineStr">
        <is>
          <t>no direct match</t>
        </is>
      </c>
      <c r="N138" s="6" t="inlineStr"/>
      <c r="O1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38" s="7" t="inlineStr">
        <is>
          <t>USDA FoodData Central (SR Legacy / Foundation Foods), fdc.nal.usda.gov</t>
        </is>
      </c>
      <c r="Q138" s="6" t="inlineStr">
        <is>
          <t>2026-09-26</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none (placeholder)</t>
        </is>
      </c>
      <c r="L139" s="7" t="inlineStr">
        <is>
          <t>Conventional placeholder for foods with too little carbohydrate to test (non-starchy vegetables, nuts, seeds, herbs); no published measurement exists</t>
        </is>
      </c>
      <c r="M139" s="7" t="inlineStr">
        <is>
          <t>not measurable</t>
        </is>
      </c>
      <c r="N139" s="6" t="inlineStr"/>
      <c r="O139" s="7" t="inlineStr">
        <is>
          <t>clinical convention</t>
        </is>
      </c>
      <c r="P139" s="7" t="inlineStr">
        <is>
          <t>USDA FoodData Central (SR Legacy / Foundation Foods), fdc.nal.usda.gov</t>
        </is>
      </c>
      <c r="Q139" s="6" t="inlineStr">
        <is>
          <t>2026-09-26</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none (placeholder)</t>
        </is>
      </c>
      <c r="L140" s="7" t="inlineStr">
        <is>
          <t>Conventional placeholder for foods with too little carbohydrate to test (non-starchy vegetables, nuts, seeds, herbs); no published measurement exists</t>
        </is>
      </c>
      <c r="M140" s="7" t="inlineStr">
        <is>
          <t>not measurable</t>
        </is>
      </c>
      <c r="N140" s="6" t="inlineStr"/>
      <c r="O140" s="7" t="inlineStr">
        <is>
          <t>clinical convention</t>
        </is>
      </c>
      <c r="P140" s="7" t="inlineStr">
        <is>
          <t>USDA FoodData Central (SR Legacy / Foundation Foods), fdc.nal.usda.gov</t>
        </is>
      </c>
      <c r="Q140" s="6" t="inlineStr">
        <is>
          <t>2026-09-26</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high</t>
        </is>
      </c>
      <c r="L141" s="7" t="inlineStr">
        <is>
          <t>2021 International Tables, Suppl. Table 1 (ISO 26642:2010-compliant studies)</t>
        </is>
      </c>
      <c r="M141" s="7" t="inlineStr">
        <is>
          <t>median of 3 tested foods, range 31-32</t>
        </is>
      </c>
      <c r="N141" s="6" t="n">
        <v>32</v>
      </c>
      <c r="O141" s="7" t="inlineStr">
        <is>
          <t>Atkinson FS, Brand-Miller JC, Foster-Powell K, Buyken AE, Goletzke J. International tables of glycemic index and glycemic load values 2021. Am J Clin Nutr 2021;114(5):1625-32. doi:10.1093/ajcn/nqab233</t>
        </is>
      </c>
      <c r="P141" s="7" t="inlineStr">
        <is>
          <t>USDA FoodData Central (SR Legacy / Foundation Foods), fdc.nal.usda.gov</t>
        </is>
      </c>
      <c r="Q141" s="6" t="inlineStr">
        <is>
          <t>2026-09-26</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medium</t>
        </is>
      </c>
      <c r="L142" s="7" t="inlineStr">
        <is>
          <t>University of Sydney online GI database</t>
        </is>
      </c>
      <c r="M142" s="7" t="inlineStr">
        <is>
          <t>median of 1 tested foods, range 64-64</t>
        </is>
      </c>
      <c r="N142" s="6" t="n">
        <v>64</v>
      </c>
      <c r="O142" s="7" t="inlineStr">
        <is>
          <t>University of Sydney GI database, glycemicindex.com/gi-search (accessed 2026-09-16)</t>
        </is>
      </c>
      <c r="P142" s="7" t="inlineStr">
        <is>
          <t>USDA FoodData Central (SR Legacy / Foundation Foods), fdc.nal.usda.gov</t>
        </is>
      </c>
      <c r="Q142" s="6" t="inlineStr">
        <is>
          <t>2026-09-26</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medium</t>
        </is>
      </c>
      <c r="L143" s="7" t="inlineStr">
        <is>
          <t>2021 International Tables, Suppl. Tables 1+2 (incl. studies with method deviations)</t>
        </is>
      </c>
      <c r="M143" s="7" t="inlineStr">
        <is>
          <t>median of 1 tested foods, range 72-72</t>
        </is>
      </c>
      <c r="N143" s="6" t="n">
        <v>72</v>
      </c>
      <c r="O143" s="7" t="inlineStr">
        <is>
          <t>Atkinson FS, Brand-Miller JC, Foster-Powell K, Buyken AE, Goletzke J. International tables of glycemic index and glycemic load values 2021. Am J Clin Nutr 2021;114(5):1625-32. doi:10.1093/ajcn/nqab233</t>
        </is>
      </c>
      <c r="P143" s="7" t="inlineStr">
        <is>
          <t>USDA FoodData Central (SR Legacy / Foundation Foods), fdc.nal.usda.gov</t>
        </is>
      </c>
      <c r="Q143" s="6" t="inlineStr">
        <is>
          <t>2026-09-26</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none (placeholder)</t>
        </is>
      </c>
      <c r="L144" s="7" t="inlineStr">
        <is>
          <t>Conventional placeholder for foods with too little carbohydrate to test (non-starchy vegetables, nuts, seeds, herbs); no published measurement exists</t>
        </is>
      </c>
      <c r="M144" s="7" t="inlineStr">
        <is>
          <t>not measurable</t>
        </is>
      </c>
      <c r="N144" s="6" t="inlineStr"/>
      <c r="O144" s="7" t="inlineStr">
        <is>
          <t>clinical convention</t>
        </is>
      </c>
      <c r="P144" s="7" t="inlineStr">
        <is>
          <t>USDA FoodData Central (SR Legacy / Foundation Foods), fdc.nal.usda.gov</t>
        </is>
      </c>
      <c r="Q144" s="6" t="inlineStr">
        <is>
          <t>2026-09-26</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none (placeholder)</t>
        </is>
      </c>
      <c r="L145" s="7" t="inlineStr">
        <is>
          <t>Conventional placeholder for foods with too little carbohydrate to test (non-starchy vegetables, nuts, seeds, herbs); no published measurement exists</t>
        </is>
      </c>
      <c r="M145" s="7" t="inlineStr">
        <is>
          <t>not measurable</t>
        </is>
      </c>
      <c r="N145" s="6" t="inlineStr"/>
      <c r="O145" s="7" t="inlineStr">
        <is>
          <t>clinical convention</t>
        </is>
      </c>
      <c r="P145" s="7" t="inlineStr">
        <is>
          <t>USDA FoodData Central (SR Legacy / Foundation Foods), fdc.nal.usda.gov</t>
        </is>
      </c>
      <c r="Q145" s="6" t="inlineStr">
        <is>
          <t>2026-09-26</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none (placeholder)</t>
        </is>
      </c>
      <c r="L146" s="7" t="inlineStr">
        <is>
          <t>Conventional placeholder for foods with too little carbohydrate to test (non-starchy vegetables, nuts, seeds, herbs); no published measurement exists</t>
        </is>
      </c>
      <c r="M146" s="7" t="inlineStr">
        <is>
          <t>not measurable</t>
        </is>
      </c>
      <c r="N146" s="6" t="n">
        <v>15</v>
      </c>
      <c r="O146" s="7" t="inlineStr">
        <is>
          <t>clinical convention</t>
        </is>
      </c>
      <c r="P146" s="7" t="inlineStr">
        <is>
          <t>USDA FoodData Central (SR Legacy / Foundation Foods), fdc.nal.usda.gov</t>
        </is>
      </c>
      <c r="Q146" s="6" t="inlineStr">
        <is>
          <t>2026-09-26</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none (placeholder)</t>
        </is>
      </c>
      <c r="L147" s="7" t="inlineStr">
        <is>
          <t>Conventional placeholder for foods with too little carbohydrate to test (non-starchy vegetables, nuts, seeds, herbs); no published measurement exists</t>
        </is>
      </c>
      <c r="M147" s="7" t="inlineStr">
        <is>
          <t>not measurable</t>
        </is>
      </c>
      <c r="N147" s="6" t="inlineStr"/>
      <c r="O147" s="7" t="inlineStr">
        <is>
          <t>clinical convention</t>
        </is>
      </c>
      <c r="P147" s="7" t="inlineStr">
        <is>
          <t>USDA FoodData Central (SR Legacy / Foundation Foods), fdc.nal.usda.gov</t>
        </is>
      </c>
      <c r="Q147" s="6" t="inlineStr">
        <is>
          <t>2026-09-26</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none (placeholder)</t>
        </is>
      </c>
      <c r="L148" s="7" t="inlineStr">
        <is>
          <t>Conventional placeholder for foods with too little carbohydrate to test (non-starchy vegetables, nuts, seeds, herbs); no published measurement exists</t>
        </is>
      </c>
      <c r="M148" s="7" t="inlineStr">
        <is>
          <t>not measurable</t>
        </is>
      </c>
      <c r="N148" s="6" t="inlineStr"/>
      <c r="O148" s="7" t="inlineStr">
        <is>
          <t>clinical convention</t>
        </is>
      </c>
      <c r="P148" s="7" t="inlineStr">
        <is>
          <t>USDA FoodData Central (SR Legacy / Foundation Foods), fdc.nal.usda.gov</t>
        </is>
      </c>
      <c r="Q148" s="6" t="inlineStr">
        <is>
          <t>2026-09-26</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none (placeholder)</t>
        </is>
      </c>
      <c r="L149" s="7" t="inlineStr">
        <is>
          <t>Conventional placeholder for foods with too little carbohydrate to test (non-starchy vegetables, nuts, seeds, herbs); no published measurement exists</t>
        </is>
      </c>
      <c r="M149" s="7" t="inlineStr">
        <is>
          <t>not measurable</t>
        </is>
      </c>
      <c r="N149" s="6" t="inlineStr"/>
      <c r="O149" s="7" t="inlineStr">
        <is>
          <t>clinical convention</t>
        </is>
      </c>
      <c r="P149" s="7" t="inlineStr">
        <is>
          <t>USDA FoodData Central (SR Legacy / Foundation Foods), fdc.nal.usda.gov</t>
        </is>
      </c>
      <c r="Q149" s="6" t="inlineStr">
        <is>
          <t>2026-09-26</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none (placeholder)</t>
        </is>
      </c>
      <c r="L150" s="7" t="inlineStr">
        <is>
          <t>Conventional placeholder for foods with too little carbohydrate to test (non-starchy vegetables, nuts, seeds, herbs); no published measurement exists</t>
        </is>
      </c>
      <c r="M150" s="7" t="inlineStr">
        <is>
          <t>not measurable</t>
        </is>
      </c>
      <c r="N150" s="6" t="inlineStr"/>
      <c r="O150" s="7" t="inlineStr">
        <is>
          <t>clinical convention</t>
        </is>
      </c>
      <c r="P150" s="7" t="inlineStr">
        <is>
          <t>USDA FoodData Central (SR Legacy / Foundation Foods), fdc.nal.usda.gov</t>
        </is>
      </c>
      <c r="Q150" s="6" t="inlineStr">
        <is>
          <t>2026-09-26</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none (placeholder)</t>
        </is>
      </c>
      <c r="L151" s="7" t="inlineStr">
        <is>
          <t>Conventional placeholder for foods with too little carbohydrate to test (non-starchy vegetables, nuts, seeds, herbs); no published measurement exists</t>
        </is>
      </c>
      <c r="M151" s="7" t="inlineStr">
        <is>
          <t>not measurable</t>
        </is>
      </c>
      <c r="N151" s="6" t="inlineStr"/>
      <c r="O151" s="7" t="inlineStr">
        <is>
          <t>clinical convention</t>
        </is>
      </c>
      <c r="P151" s="7" t="inlineStr">
        <is>
          <t>USDA FoodData Central (SR Legacy / Foundation Foods), fdc.nal.usda.gov</t>
        </is>
      </c>
      <c r="Q151" s="6" t="inlineStr">
        <is>
          <t>2026-09-26</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none (placeholder)</t>
        </is>
      </c>
      <c r="L152" s="7" t="inlineStr">
        <is>
          <t>Conventional placeholder for foods with too little carbohydrate to test (non-starchy vegetables, nuts, seeds, herbs); no published measurement exists</t>
        </is>
      </c>
      <c r="M152" s="7" t="inlineStr">
        <is>
          <t>not measurable</t>
        </is>
      </c>
      <c r="N152" s="6" t="inlineStr"/>
      <c r="O152" s="7" t="inlineStr">
        <is>
          <t>clinical convention</t>
        </is>
      </c>
      <c r="P152" s="7" t="inlineStr">
        <is>
          <t>USDA FoodData Central (SR Legacy / Foundation Foods), fdc.nal.usda.gov</t>
        </is>
      </c>
      <c r="Q152" s="6" t="inlineStr">
        <is>
          <t>2026-09-26</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low</t>
        </is>
      </c>
      <c r="L153" s="7" t="inlineStr">
        <is>
          <t>Estimated from the closest tested food; no direct measurement found in the pooled sources</t>
        </is>
      </c>
      <c r="M153" s="7" t="inlineStr">
        <is>
          <t>no direct match</t>
        </is>
      </c>
      <c r="N153" s="6" t="inlineStr"/>
      <c r="O1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53" s="7" t="inlineStr">
        <is>
          <t>USDA FoodData Central (SR Legacy / Foundation Foods), fdc.nal.usda.gov</t>
        </is>
      </c>
      <c r="Q153" s="6" t="inlineStr">
        <is>
          <t>2026-09-26</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none (placeholder)</t>
        </is>
      </c>
      <c r="L154" s="7" t="inlineStr">
        <is>
          <t>Conventional placeholder for foods with too little carbohydrate to test (non-starchy vegetables, nuts, seeds, herbs); no published measurement exists</t>
        </is>
      </c>
      <c r="M154" s="7" t="inlineStr">
        <is>
          <t>not measurable</t>
        </is>
      </c>
      <c r="N154" s="6" t="inlineStr"/>
      <c r="O154" s="7" t="inlineStr">
        <is>
          <t>clinical convention</t>
        </is>
      </c>
      <c r="P154" s="7" t="inlineStr">
        <is>
          <t>USDA FoodData Central (SR Legacy / Foundation Foods), fdc.nal.usda.gov</t>
        </is>
      </c>
      <c r="Q154" s="6" t="inlineStr">
        <is>
          <t>2026-09-26</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none (placeholder)</t>
        </is>
      </c>
      <c r="L155" s="7" t="inlineStr">
        <is>
          <t>Conventional placeholder for foods with too little carbohydrate to test (non-starchy vegetables, nuts, seeds, herbs); no published measurement exists</t>
        </is>
      </c>
      <c r="M155" s="7" t="inlineStr">
        <is>
          <t>not measurable</t>
        </is>
      </c>
      <c r="N155" s="6" t="inlineStr"/>
      <c r="O155" s="7" t="inlineStr">
        <is>
          <t>clinical convention</t>
        </is>
      </c>
      <c r="P155" s="7" t="inlineStr">
        <is>
          <t>USDA FoodData Central (SR Legacy / Foundation Foods), fdc.nal.usda.gov</t>
        </is>
      </c>
      <c r="Q155" s="6" t="inlineStr">
        <is>
          <t>2026-09-26</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none (placeholder)</t>
        </is>
      </c>
      <c r="L156" s="7" t="inlineStr">
        <is>
          <t>Conventional placeholder for foods with too little carbohydrate to test (non-starchy vegetables, nuts, seeds, herbs); no published measurement exists</t>
        </is>
      </c>
      <c r="M156" s="7" t="inlineStr">
        <is>
          <t>not measurable</t>
        </is>
      </c>
      <c r="N156" s="6" t="inlineStr"/>
      <c r="O156" s="7" t="inlineStr">
        <is>
          <t>clinical convention</t>
        </is>
      </c>
      <c r="P156" s="7" t="inlineStr">
        <is>
          <t>USDA FoodData Central (SR Legacy / Foundation Foods), fdc.nal.usda.gov</t>
        </is>
      </c>
      <c r="Q156" s="6" t="inlineStr">
        <is>
          <t>2026-09-26</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none (placeholder)</t>
        </is>
      </c>
      <c r="L157" s="7" t="inlineStr">
        <is>
          <t>Conventional placeholder for foods with too little carbohydrate to test (non-starchy vegetables, nuts, seeds, herbs); no published measurement exists</t>
        </is>
      </c>
      <c r="M157" s="7" t="inlineStr">
        <is>
          <t>not measurable</t>
        </is>
      </c>
      <c r="N157" s="6" t="inlineStr"/>
      <c r="O157" s="7" t="inlineStr">
        <is>
          <t>clinical convention</t>
        </is>
      </c>
      <c r="P157" s="7" t="inlineStr">
        <is>
          <t>USDA FoodData Central (SR Legacy / Foundation Foods), fdc.nal.usda.gov</t>
        </is>
      </c>
      <c r="Q157" s="6" t="inlineStr">
        <is>
          <t>2026-09-26</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none (placeholder)</t>
        </is>
      </c>
      <c r="L158" s="7" t="inlineStr">
        <is>
          <t>Conventional placeholder for foods with too little carbohydrate to test (non-starchy vegetables, nuts, seeds, herbs); no published measurement exists</t>
        </is>
      </c>
      <c r="M158" s="7" t="inlineStr">
        <is>
          <t>not measurable</t>
        </is>
      </c>
      <c r="N158" s="6" t="inlineStr"/>
      <c r="O158" s="7" t="inlineStr">
        <is>
          <t>clinical convention</t>
        </is>
      </c>
      <c r="P158" s="7" t="inlineStr">
        <is>
          <t>USDA FoodData Central (SR Legacy / Foundation Foods), fdc.nal.usda.gov</t>
        </is>
      </c>
      <c r="Q158" s="6" t="inlineStr">
        <is>
          <t>2026-09-26</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none (placeholder)</t>
        </is>
      </c>
      <c r="L159" s="7" t="inlineStr">
        <is>
          <t>Conventional placeholder for foods with too little carbohydrate to test (non-starchy vegetables, nuts, seeds, herbs); no published measurement exists</t>
        </is>
      </c>
      <c r="M159" s="7" t="inlineStr">
        <is>
          <t>not measurable</t>
        </is>
      </c>
      <c r="N159" s="6" t="inlineStr"/>
      <c r="O159" s="7" t="inlineStr">
        <is>
          <t>clinical convention</t>
        </is>
      </c>
      <c r="P159" s="7" t="inlineStr">
        <is>
          <t>USDA FoodData Central (SR Legacy / Foundation Foods), fdc.nal.usda.gov</t>
        </is>
      </c>
      <c r="Q159" s="6" t="inlineStr">
        <is>
          <t>2026-09-26</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none (placeholder)</t>
        </is>
      </c>
      <c r="L160" s="7" t="inlineStr">
        <is>
          <t>Conventional placeholder for foods with too little carbohydrate to test (non-starchy vegetables, nuts, seeds, herbs); no published measurement exists</t>
        </is>
      </c>
      <c r="M160" s="7" t="inlineStr">
        <is>
          <t>not measurable</t>
        </is>
      </c>
      <c r="N160" s="6" t="inlineStr"/>
      <c r="O160" s="7" t="inlineStr">
        <is>
          <t>clinical convention</t>
        </is>
      </c>
      <c r="P160" s="7" t="inlineStr">
        <is>
          <t>USDA FoodData Central (SR Legacy / Foundation Foods), fdc.nal.usda.gov</t>
        </is>
      </c>
      <c r="Q160" s="6" t="inlineStr">
        <is>
          <t>2026-09-26</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none (placeholder)</t>
        </is>
      </c>
      <c r="L161" s="7" t="inlineStr">
        <is>
          <t>Conventional placeholder for foods with too little carbohydrate to test (non-starchy vegetables, nuts, seeds, herbs); no published measurement exists</t>
        </is>
      </c>
      <c r="M161" s="7" t="inlineStr">
        <is>
          <t>not measurable</t>
        </is>
      </c>
      <c r="N161" s="6" t="inlineStr"/>
      <c r="O161" s="7" t="inlineStr">
        <is>
          <t>clinical convention</t>
        </is>
      </c>
      <c r="P161" s="7" t="inlineStr">
        <is>
          <t>USDA FoodData Central (SR Legacy / Foundation Foods), fdc.nal.usda.gov</t>
        </is>
      </c>
      <c r="Q161" s="6" t="inlineStr">
        <is>
          <t>2026-09-26</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none (placeholder)</t>
        </is>
      </c>
      <c r="L162" s="7" t="inlineStr">
        <is>
          <t>Conventional placeholder for foods with too little carbohydrate to test (non-starchy vegetables, nuts, seeds, herbs); no published measurement exists</t>
        </is>
      </c>
      <c r="M162" s="7" t="inlineStr">
        <is>
          <t>not measurable</t>
        </is>
      </c>
      <c r="N162" s="6" t="inlineStr"/>
      <c r="O162" s="7" t="inlineStr">
        <is>
          <t>clinical convention</t>
        </is>
      </c>
      <c r="P162" s="7" t="inlineStr">
        <is>
          <t>USDA FoodData Central (SR Legacy / Foundation Foods), fdc.nal.usda.gov</t>
        </is>
      </c>
      <c r="Q162" s="6" t="inlineStr">
        <is>
          <t>2026-09-26</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low</t>
        </is>
      </c>
      <c r="L163" s="7" t="inlineStr">
        <is>
          <t>Estimated from the closest tested food; no direct measurement found in the pooled sources</t>
        </is>
      </c>
      <c r="M163" s="7" t="inlineStr">
        <is>
          <t>no direct match</t>
        </is>
      </c>
      <c r="N163" s="6" t="n">
        <v>20</v>
      </c>
      <c r="O1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63" s="7" t="inlineStr">
        <is>
          <t>USDA FoodData Central (SR Legacy / Foundation Foods), fdc.nal.usda.gov</t>
        </is>
      </c>
      <c r="Q163" s="6" t="inlineStr">
        <is>
          <t>2026-09-26</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high</t>
        </is>
      </c>
      <c r="L164" s="7" t="inlineStr">
        <is>
          <t>2021 International Tables, Suppl. Table 1 (ISO 26642:2010-compliant studies)</t>
        </is>
      </c>
      <c r="M164" s="7" t="inlineStr">
        <is>
          <t>median of 4 tested foods, range 51-55</t>
        </is>
      </c>
      <c r="N164" s="6" t="n">
        <v>53</v>
      </c>
      <c r="O164" s="7" t="inlineStr">
        <is>
          <t>Atkinson FS, Brand-Miller JC, Foster-Powell K, Buyken AE, Goletzke J. International tables of glycemic index and glycemic load values 2021. Am J Clin Nutr 2021;114(5):1625-32. doi:10.1093/ajcn/nqab233</t>
        </is>
      </c>
      <c r="P164" s="7" t="inlineStr">
        <is>
          <t>USDA FoodData Central (SR Legacy / Foundation Foods), fdc.nal.usda.gov</t>
        </is>
      </c>
      <c r="Q164" s="6" t="inlineStr">
        <is>
          <t>2026-09-26</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high</t>
        </is>
      </c>
      <c r="L165" s="7" t="inlineStr">
        <is>
          <t>2021 International Tables, Suppl. Table 1 (ISO 26642:2010-compliant studies)</t>
        </is>
      </c>
      <c r="M165" s="7" t="inlineStr">
        <is>
          <t>median of 13 tested foods, range 41-75</t>
        </is>
      </c>
      <c r="N165" s="6" t="n">
        <v>47</v>
      </c>
      <c r="O165" s="7" t="inlineStr">
        <is>
          <t>Atkinson FS, Brand-Miller JC, Foster-Powell K, Buyken AE, Goletzke J. International tables of glycemic index and glycemic load values 2021. Am J Clin Nutr 2021;114(5):1625-32. doi:10.1093/ajcn/nqab233</t>
        </is>
      </c>
      <c r="P165" s="7" t="inlineStr">
        <is>
          <t>USDA FoodData Central (SR Legacy / Foundation Foods), fdc.nal.usda.gov</t>
        </is>
      </c>
      <c r="Q165" s="6" t="inlineStr">
        <is>
          <t>2026-09-26</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high</t>
        </is>
      </c>
      <c r="L166" s="7" t="inlineStr">
        <is>
          <t>2021 International Tables, Suppl. Table 1 (ISO 26642:2010-compliant studies)</t>
        </is>
      </c>
      <c r="M166" s="7" t="inlineStr">
        <is>
          <t>median of 22 tested foods, range 79-94</t>
        </is>
      </c>
      <c r="N166" s="6" t="n">
        <v>86</v>
      </c>
      <c r="O166" s="7" t="inlineStr">
        <is>
          <t>Atkinson FS, Brand-Miller JC, Foster-Powell K, Buyken AE, Goletzke J. International tables of glycemic index and glycemic load values 2021. Am J Clin Nutr 2021;114(5):1625-32. doi:10.1093/ajcn/nqab233</t>
        </is>
      </c>
      <c r="P166" s="7" t="inlineStr">
        <is>
          <t>USDA FoodData Central (SR Legacy / Foundation Foods), fdc.nal.usda.gov</t>
        </is>
      </c>
      <c r="Q166" s="6" t="inlineStr">
        <is>
          <t>2026-09-26</t>
        </is>
      </c>
    </row>
    <row r="167">
      <c r="A167" s="6" t="inlineStr">
        <is>
          <t>new_potato</t>
        </is>
      </c>
      <c r="B167" s="6" t="inlineStr">
        <is>
          <t>New potatoes, boiled</t>
        </is>
      </c>
      <c r="C167" s="6" t="inlineStr">
        <is>
          <t>veg</t>
        </is>
      </c>
      <c r="D167" s="6" t="n">
        <v>87</v>
      </c>
      <c r="E167" s="6" t="n">
        <v>1.9</v>
      </c>
      <c r="F167" s="6" t="n">
        <v>0.1</v>
      </c>
      <c r="G167" s="6" t="n">
        <v>20</v>
      </c>
      <c r="H167" s="6" t="n">
        <v>1.8</v>
      </c>
      <c r="I167" s="6" t="n">
        <v>18.2</v>
      </c>
      <c r="J167" s="6" t="n">
        <v>71</v>
      </c>
      <c r="K167" s="6" t="inlineStr">
        <is>
          <t>high</t>
        </is>
      </c>
      <c r="L167" s="7" t="inlineStr">
        <is>
          <t>2021 International Tables, Suppl. Table 1 (ISO 26642:2010-compliant studies)</t>
        </is>
      </c>
      <c r="M167" s="7" t="inlineStr">
        <is>
          <t>median of 6 tested foods, range 56-79</t>
        </is>
      </c>
      <c r="N167" s="6" t="n">
        <v>71</v>
      </c>
      <c r="O167" s="7" t="inlineStr">
        <is>
          <t>Atkinson FS, Brand-Miller JC, Foster-Powell K, Buyken AE, Goletzke J. International tables of glycemic index and glycemic load values 2021. Am J Clin Nutr 2021;114(5):1625-32. doi:10.1093/ajcn/nqab233</t>
        </is>
      </c>
      <c r="P167" s="7" t="inlineStr">
        <is>
          <t>USDA FoodData Central (SR Legacy / Foundation Foods), fdc.nal.usda.gov</t>
        </is>
      </c>
      <c r="Q167" s="6" t="inlineStr">
        <is>
          <t>2026-09-26</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none (placeholder)</t>
        </is>
      </c>
      <c r="L168" s="7" t="inlineStr">
        <is>
          <t>Conventional placeholder for foods with too little carbohydrate to test (non-starchy vegetables, nuts, seeds, herbs); no published measurement exists</t>
        </is>
      </c>
      <c r="M168" s="7" t="inlineStr">
        <is>
          <t>not measurable</t>
        </is>
      </c>
      <c r="N168" s="6" t="inlineStr"/>
      <c r="O168" s="7" t="inlineStr">
        <is>
          <t>clinical convention</t>
        </is>
      </c>
      <c r="P168" s="7" t="inlineStr">
        <is>
          <t>USDA FoodData Central (SR Legacy / Foundation Foods), fdc.nal.usda.gov</t>
        </is>
      </c>
      <c r="Q168" s="6" t="inlineStr">
        <is>
          <t>2026-09-26</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none (placeholder)</t>
        </is>
      </c>
      <c r="L169" s="7" t="inlineStr">
        <is>
          <t>Conventional placeholder for foods with too little carbohydrate to test (non-starchy vegetables, nuts, seeds, herbs); no published measurement exists</t>
        </is>
      </c>
      <c r="M169" s="7" t="inlineStr">
        <is>
          <t>not measurable</t>
        </is>
      </c>
      <c r="N169" s="6" t="inlineStr"/>
      <c r="O169" s="7" t="inlineStr">
        <is>
          <t>clinical convention</t>
        </is>
      </c>
      <c r="P169" s="7" t="inlineStr">
        <is>
          <t>USDA FoodData Central (SR Legacy / Foundation Foods), fdc.nal.usda.gov</t>
        </is>
      </c>
      <c r="Q169" s="6" t="inlineStr">
        <is>
          <t>2026-09-26</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none (placeholder)</t>
        </is>
      </c>
      <c r="L170" s="7" t="inlineStr">
        <is>
          <t>Conventional placeholder for foods with too little carbohydrate to test (non-starchy vegetables, nuts, seeds, herbs); no published measurement exists</t>
        </is>
      </c>
      <c r="M170" s="7" t="inlineStr">
        <is>
          <t>not measurable</t>
        </is>
      </c>
      <c r="N170" s="6" t="inlineStr"/>
      <c r="O170" s="7" t="inlineStr">
        <is>
          <t>clinical convention</t>
        </is>
      </c>
      <c r="P170" s="7" t="inlineStr">
        <is>
          <t>USDA FoodData Central (SR Legacy / Foundation Foods), fdc.nal.usda.gov</t>
        </is>
      </c>
      <c r="Q170" s="6" t="inlineStr">
        <is>
          <t>2026-09-26</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none (placeholder)</t>
        </is>
      </c>
      <c r="L171" s="7" t="inlineStr">
        <is>
          <t>Conventional placeholder for foods with too little carbohydrate to test (non-starchy vegetables, nuts, seeds, herbs); no published measurement exists</t>
        </is>
      </c>
      <c r="M171" s="7" t="inlineStr">
        <is>
          <t>not measurable</t>
        </is>
      </c>
      <c r="N171" s="6" t="inlineStr"/>
      <c r="O171" s="7" t="inlineStr">
        <is>
          <t>clinical convention</t>
        </is>
      </c>
      <c r="P171" s="7" t="inlineStr">
        <is>
          <t>USDA FoodData Central (SR Legacy / Foundation Foods), fdc.nal.usda.gov</t>
        </is>
      </c>
      <c r="Q171" s="6" t="inlineStr">
        <is>
          <t>2026-09-26</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none (placeholder)</t>
        </is>
      </c>
      <c r="L172" s="7" t="inlineStr">
        <is>
          <t>Conventional placeholder for foods with too little carbohydrate to test (non-starchy vegetables, nuts, seeds, herbs); no published measurement exists</t>
        </is>
      </c>
      <c r="M172" s="7" t="inlineStr">
        <is>
          <t>not measurable</t>
        </is>
      </c>
      <c r="N172" s="6" t="inlineStr"/>
      <c r="O172" s="7" t="inlineStr">
        <is>
          <t>clinical convention</t>
        </is>
      </c>
      <c r="P172" s="7" t="inlineStr">
        <is>
          <t>USDA FoodData Central (SR Legacy / Foundation Foods), fdc.nal.usda.gov</t>
        </is>
      </c>
      <c r="Q172" s="6" t="inlineStr">
        <is>
          <t>2026-09-26</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none (placeholder)</t>
        </is>
      </c>
      <c r="L173" s="7" t="inlineStr">
        <is>
          <t>Conventional placeholder for foods with too little carbohydrate to test (non-starchy vegetables, nuts, seeds, herbs); no published measurement exists</t>
        </is>
      </c>
      <c r="M173" s="7" t="inlineStr">
        <is>
          <t>not measurable</t>
        </is>
      </c>
      <c r="N173" s="6" t="inlineStr"/>
      <c r="O173" s="7" t="inlineStr">
        <is>
          <t>clinical convention</t>
        </is>
      </c>
      <c r="P173" s="7" t="inlineStr">
        <is>
          <t>USDA FoodData Central (SR Legacy / Foundation Foods), fdc.nal.usda.gov</t>
        </is>
      </c>
      <c r="Q173" s="6" t="inlineStr">
        <is>
          <t>2026-09-26</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none (placeholder)</t>
        </is>
      </c>
      <c r="L174" s="7" t="inlineStr">
        <is>
          <t>Conventional placeholder for foods with too little carbohydrate to test (non-starchy vegetables, nuts, seeds, herbs); no published measurement exists</t>
        </is>
      </c>
      <c r="M174" s="7" t="inlineStr">
        <is>
          <t>not measurable</t>
        </is>
      </c>
      <c r="N174" s="6" t="inlineStr"/>
      <c r="O174" s="7" t="inlineStr">
        <is>
          <t>clinical convention</t>
        </is>
      </c>
      <c r="P174" s="7" t="inlineStr">
        <is>
          <t>USDA FoodData Central (SR Legacy / Foundation Foods), fdc.nal.usda.gov</t>
        </is>
      </c>
      <c r="Q174" s="6" t="inlineStr">
        <is>
          <t>2026-09-26</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definitional</t>
        </is>
      </c>
      <c r="L175" s="7" t="inlineStr">
        <is>
          <t>No available carbohydrate — GI is 0 by definition (protein / fat / water)</t>
        </is>
      </c>
      <c r="M175" s="7" t="inlineStr">
        <is>
          <t>n/a</t>
        </is>
      </c>
      <c r="N175" s="6" t="inlineStr"/>
      <c r="O175" s="7" t="inlineStr">
        <is>
          <t>ISO 26642:2010</t>
        </is>
      </c>
      <c r="P175" s="7" t="inlineStr">
        <is>
          <t>USDA FoodData Central (SR Legacy / Foundation Foods), fdc.nal.usda.gov</t>
        </is>
      </c>
      <c r="Q175" s="6" t="inlineStr">
        <is>
          <t>2026-09-26</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low</t>
        </is>
      </c>
      <c r="L176" s="7" t="inlineStr">
        <is>
          <t>Estimated from the closest tested food; no direct measurement found in the pooled sources</t>
        </is>
      </c>
      <c r="M176" s="7" t="inlineStr">
        <is>
          <t>no direct match</t>
        </is>
      </c>
      <c r="N176" s="6" t="n">
        <v>45</v>
      </c>
      <c r="O17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6" s="7" t="inlineStr">
        <is>
          <t>USDA FoodData Central (SR Legacy / Foundation Foods), fdc.nal.usda.gov</t>
        </is>
      </c>
      <c r="Q176" s="6" t="inlineStr">
        <is>
          <t>2026-09-26</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none (placeholder)</t>
        </is>
      </c>
      <c r="L177" s="7" t="inlineStr">
        <is>
          <t>Conventional placeholder for foods with too little carbohydrate to test (non-starchy vegetables, nuts, seeds, herbs); no published measurement exists</t>
        </is>
      </c>
      <c r="M177" s="7" t="inlineStr">
        <is>
          <t>not measurable</t>
        </is>
      </c>
      <c r="N177" s="6" t="inlineStr"/>
      <c r="O177" s="7" t="inlineStr">
        <is>
          <t>clinical convention</t>
        </is>
      </c>
      <c r="P177" s="7" t="inlineStr">
        <is>
          <t>USDA FoodData Central (SR Legacy / Foundation Foods), fdc.nal.usda.gov</t>
        </is>
      </c>
      <c r="Q177" s="6" t="inlineStr">
        <is>
          <t>2026-09-26</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low</t>
        </is>
      </c>
      <c r="L178" s="7" t="inlineStr">
        <is>
          <t>Estimated from the closest tested food; no direct measurement found in the pooled sources</t>
        </is>
      </c>
      <c r="M178" s="7" t="inlineStr">
        <is>
          <t>no direct match</t>
        </is>
      </c>
      <c r="N178" s="6" t="inlineStr"/>
      <c r="O17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8" s="7" t="inlineStr">
        <is>
          <t>USDA FoodData Central (SR Legacy / Foundation Foods), fdc.nal.usda.gov</t>
        </is>
      </c>
      <c r="Q178" s="6" t="inlineStr">
        <is>
          <t>2026-09-26</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low</t>
        </is>
      </c>
      <c r="L179" s="7" t="inlineStr">
        <is>
          <t>Estimated from the closest tested food; no direct measurement found in the pooled sources</t>
        </is>
      </c>
      <c r="M179" s="7" t="inlineStr">
        <is>
          <t>no direct match</t>
        </is>
      </c>
      <c r="N179" s="6" t="inlineStr"/>
      <c r="O1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9" s="7" t="inlineStr">
        <is>
          <t>USDA FoodData Central (SR Legacy / Foundation Foods), fdc.nal.usda.gov</t>
        </is>
      </c>
      <c r="Q179" s="6" t="inlineStr">
        <is>
          <t>2026-09-26</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low</t>
        </is>
      </c>
      <c r="L180" s="7" t="inlineStr">
        <is>
          <t>Estimated from the closest tested food; no direct measurement found in the pooled sources</t>
        </is>
      </c>
      <c r="M180" s="7" t="inlineStr">
        <is>
          <t>no direct match</t>
        </is>
      </c>
      <c r="N180" s="6" t="inlineStr"/>
      <c r="O1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0" s="7" t="inlineStr">
        <is>
          <t>USDA FoodData Central (SR Legacy / Foundation Foods), fdc.nal.usda.gov</t>
        </is>
      </c>
      <c r="Q180" s="6" t="inlineStr">
        <is>
          <t>2026-09-26</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low</t>
        </is>
      </c>
      <c r="L181" s="7" t="inlineStr">
        <is>
          <t>Estimated from the closest tested food; no direct measurement found in the pooled sources</t>
        </is>
      </c>
      <c r="M181" s="7" t="inlineStr">
        <is>
          <t>no direct match</t>
        </is>
      </c>
      <c r="N181" s="6" t="inlineStr"/>
      <c r="O1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1" s="7" t="inlineStr">
        <is>
          <t>USDA FoodData Central (SR Legacy / Foundation Foods), fdc.nal.usda.gov</t>
        </is>
      </c>
      <c r="Q181" s="6" t="inlineStr">
        <is>
          <t>2026-09-26</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medium</t>
        </is>
      </c>
      <c r="L182" s="7" t="inlineStr">
        <is>
          <t>2021 International Tables, Suppl. Tables 1+2 (incl. studies with method deviations)</t>
        </is>
      </c>
      <c r="M182" s="7" t="inlineStr">
        <is>
          <t>median of 2 tested foods, range 28-53</t>
        </is>
      </c>
      <c r="N182" s="6" t="n">
        <v>40</v>
      </c>
      <c r="O182" s="7" t="inlineStr">
        <is>
          <t>Atkinson FS, Brand-Miller JC, Foster-Powell K, Buyken AE, Goletzke J. International tables of glycemic index and glycemic load values 2021. Am J Clin Nutr 2021;114(5):1625-32. doi:10.1093/ajcn/nqab233</t>
        </is>
      </c>
      <c r="P182" s="7" t="inlineStr">
        <is>
          <t>USDA FoodData Central (SR Legacy / Foundation Foods), fdc.nal.usda.gov</t>
        </is>
      </c>
      <c r="Q182" s="6" t="inlineStr">
        <is>
          <t>2026-09-26</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high</t>
        </is>
      </c>
      <c r="L183" s="7" t="inlineStr">
        <is>
          <t>2021 International Tables, Suppl. Table 1 (ISO 26642:2010-compliant studies)</t>
        </is>
      </c>
      <c r="M183" s="7" t="inlineStr">
        <is>
          <t>median of 3 tested foods, range 32-55</t>
        </is>
      </c>
      <c r="N183" s="6" t="n">
        <v>40</v>
      </c>
      <c r="O183" s="7" t="inlineStr">
        <is>
          <t>Atkinson FS, Brand-Miller JC, Foster-Powell K, Buyken AE, Goletzke J. International tables of glycemic index and glycemic load values 2021. Am J Clin Nutr 2021;114(5):1625-32. doi:10.1093/ajcn/nqab233</t>
        </is>
      </c>
      <c r="P183" s="7" t="inlineStr">
        <is>
          <t>USDA FoodData Central (SR Legacy / Foundation Foods), fdc.nal.usda.gov</t>
        </is>
      </c>
      <c r="Q183" s="6" t="inlineStr">
        <is>
          <t>2026-09-26</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low</t>
        </is>
      </c>
      <c r="L184" s="7" t="inlineStr">
        <is>
          <t>Estimated from the closest tested food; no direct measurement found in the pooled sources</t>
        </is>
      </c>
      <c r="M184" s="7" t="inlineStr">
        <is>
          <t>no direct match</t>
        </is>
      </c>
      <c r="N184" s="6" t="n">
        <v>32</v>
      </c>
      <c r="O1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4" s="7" t="inlineStr">
        <is>
          <t>USDA FoodData Central (SR Legacy / Foundation Foods), fdc.nal.usda.gov</t>
        </is>
      </c>
      <c r="Q184" s="6" t="inlineStr">
        <is>
          <t>2026-09-26</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low</t>
        </is>
      </c>
      <c r="L185" s="7" t="inlineStr">
        <is>
          <t>Estimated from the closest tested food; no direct measurement found in the pooled sources</t>
        </is>
      </c>
      <c r="M185" s="7" t="inlineStr">
        <is>
          <t>no direct match</t>
        </is>
      </c>
      <c r="N185" s="6" t="n">
        <v>25</v>
      </c>
      <c r="O1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5" s="7" t="inlineStr">
        <is>
          <t>USDA FoodData Central (SR Legacy / Foundation Foods), fdc.nal.usda.gov</t>
        </is>
      </c>
      <c r="Q185" s="6" t="inlineStr">
        <is>
          <t>2026-09-26</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low</t>
        </is>
      </c>
      <c r="L186" s="7" t="inlineStr">
        <is>
          <t>Estimated from the closest tested food; no direct measurement found in the pooled sources</t>
        </is>
      </c>
      <c r="M186" s="7" t="inlineStr">
        <is>
          <t>no direct match</t>
        </is>
      </c>
      <c r="N186" s="6" t="n">
        <v>40</v>
      </c>
      <c r="O1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6" s="7" t="inlineStr">
        <is>
          <t>USDA FoodData Central (SR Legacy / Foundation Foods), fdc.nal.usda.gov</t>
        </is>
      </c>
      <c r="Q186" s="6" t="inlineStr">
        <is>
          <t>2026-09-26</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medium</t>
        </is>
      </c>
      <c r="L187" s="7" t="inlineStr">
        <is>
          <t>2021 International Tables, Suppl. Tables 1+2 (incl. studies with method deviations)</t>
        </is>
      </c>
      <c r="M187" s="7" t="inlineStr">
        <is>
          <t>median of 8 tested foods, range 32-45</t>
        </is>
      </c>
      <c r="N187" s="6" t="n">
        <v>40</v>
      </c>
      <c r="O187" s="7" t="inlineStr">
        <is>
          <t>Atkinson FS, Brand-Miller JC, Foster-Powell K, Buyken AE, Goletzke J. International tables of glycemic index and glycemic load values 2021. Am J Clin Nutr 2021;114(5):1625-32. doi:10.1093/ajcn/nqab233</t>
        </is>
      </c>
      <c r="P187" s="7" t="inlineStr">
        <is>
          <t>USDA FoodData Central (SR Legacy / Foundation Foods), fdc.nal.usda.gov</t>
        </is>
      </c>
      <c r="Q187" s="6" t="inlineStr">
        <is>
          <t>2026-09-26</t>
        </is>
      </c>
    </row>
    <row r="188">
      <c r="A188" s="6" t="inlineStr">
        <is>
          <t>pear</t>
        </is>
      </c>
      <c r="B188" s="6" t="inlineStr">
        <is>
          <t>Pear</t>
        </is>
      </c>
      <c r="C188" s="6" t="inlineStr">
        <is>
          <t>fruit</t>
        </is>
      </c>
      <c r="D188" s="6" t="n">
        <v>57</v>
      </c>
      <c r="E188" s="6" t="n">
        <v>0.4</v>
      </c>
      <c r="F188" s="6" t="n">
        <v>0.1</v>
      </c>
      <c r="G188" s="6" t="n">
        <v>15</v>
      </c>
      <c r="H188" s="6" t="n">
        <v>3.1</v>
      </c>
      <c r="I188" s="6" t="n">
        <v>11.9</v>
      </c>
      <c r="J188" s="6" t="n">
        <v>28</v>
      </c>
      <c r="K188" s="6" t="inlineStr">
        <is>
          <t>high</t>
        </is>
      </c>
      <c r="L188" s="7" t="inlineStr">
        <is>
          <t>2021 International Tables, Suppl. Table 1 (ISO 26642:2010-compliant studies)</t>
        </is>
      </c>
      <c r="M188" s="7" t="inlineStr">
        <is>
          <t>median of 2 tested foods, range 24-33</t>
        </is>
      </c>
      <c r="N188" s="6" t="n">
        <v>28</v>
      </c>
      <c r="O188" s="7" t="inlineStr">
        <is>
          <t>Atkinson FS, Brand-Miller JC, Foster-Powell K, Buyken AE, Goletzke J. International tables of glycemic index and glycemic load values 2021. Am J Clin Nutr 2021;114(5):1625-32. doi:10.1093/ajcn/nqab233</t>
        </is>
      </c>
      <c r="P188" s="7" t="inlineStr">
        <is>
          <t>USDA FoodData Central (SR Legacy / Foundation Foods), fdc.nal.usda.gov</t>
        </is>
      </c>
      <c r="Q188" s="6" t="inlineStr">
        <is>
          <t>2026-09-26</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medium</t>
        </is>
      </c>
      <c r="L189" s="7" t="inlineStr">
        <is>
          <t>2021 International Tables, Suppl. Tables 1+2 (incl. studies with method deviations)</t>
        </is>
      </c>
      <c r="M189" s="7" t="inlineStr">
        <is>
          <t>median of 9 tested foods, range 31-52</t>
        </is>
      </c>
      <c r="N189" s="6" t="n">
        <v>44</v>
      </c>
      <c r="O189" s="7" t="inlineStr">
        <is>
          <t>Atkinson FS, Brand-Miller JC, Foster-Powell K, Buyken AE, Goletzke J. International tables of glycemic index and glycemic load values 2021. Am J Clin Nutr 2021;114(5):1625-32. doi:10.1093/ajcn/nqab233</t>
        </is>
      </c>
      <c r="P189" s="7" t="inlineStr">
        <is>
          <t>USDA FoodData Central (SR Legacy / Foundation Foods), fdc.nal.usda.gov</t>
        </is>
      </c>
      <c r="Q189" s="6" t="inlineStr">
        <is>
          <t>2026-09-26</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medium</t>
        </is>
      </c>
      <c r="L190" s="7" t="inlineStr">
        <is>
          <t>2021 International Tables, Suppl. Tables 1+2 (incl. studies with method deviations)</t>
        </is>
      </c>
      <c r="M190" s="7" t="inlineStr">
        <is>
          <t>median of 1 tested foods, range 26-26</t>
        </is>
      </c>
      <c r="N190" s="6" t="n">
        <v>26</v>
      </c>
      <c r="O190" s="7" t="inlineStr">
        <is>
          <t>Atkinson FS, Brand-Miller JC, Foster-Powell K, Buyken AE, Goletzke J. International tables of glycemic index and glycemic load values 2021. Am J Clin Nutr 2021;114(5):1625-32. doi:10.1093/ajcn/nqab233</t>
        </is>
      </c>
      <c r="P190" s="7" t="inlineStr">
        <is>
          <t>USDA FoodData Central (SR Legacy / Foundation Foods), fdc.nal.usda.gov</t>
        </is>
      </c>
      <c r="Q190" s="6" t="inlineStr">
        <is>
          <t>2026-09-26</t>
        </is>
      </c>
    </row>
    <row r="191">
      <c r="A191" s="6" t="inlineStr">
        <is>
          <t>peach</t>
        </is>
      </c>
      <c r="B191" s="6" t="inlineStr">
        <is>
          <t>Peach</t>
        </is>
      </c>
      <c r="C191" s="6" t="inlineStr">
        <is>
          <t>fruit</t>
        </is>
      </c>
      <c r="D191" s="6" t="n">
        <v>39</v>
      </c>
      <c r="E191" s="6" t="n">
        <v>0.9</v>
      </c>
      <c r="F191" s="6" t="n">
        <v>0.3</v>
      </c>
      <c r="G191" s="6" t="n">
        <v>9.5</v>
      </c>
      <c r="H191" s="6" t="n">
        <v>1.5</v>
      </c>
      <c r="I191" s="6" t="n">
        <v>8</v>
      </c>
      <c r="J191" s="6" t="n">
        <v>57</v>
      </c>
      <c r="K191" s="6" t="inlineStr">
        <is>
          <t>medium</t>
        </is>
      </c>
      <c r="L191" s="7" t="inlineStr">
        <is>
          <t>2021 International Tables, Suppl. Tables 1+2 (incl. studies with method deviations)</t>
        </is>
      </c>
      <c r="M191" s="7" t="inlineStr">
        <is>
          <t>median of 1 tested foods, range 57-57</t>
        </is>
      </c>
      <c r="N191" s="6" t="n">
        <v>57</v>
      </c>
      <c r="O191" s="7" t="inlineStr">
        <is>
          <t>Atkinson FS, Brand-Miller JC, Foster-Powell K, Buyken AE, Goletzke J. International tables of glycemic index and glycemic load values 2021. Am J Clin Nutr 2021;114(5):1625-32. doi:10.1093/ajcn/nqab233</t>
        </is>
      </c>
      <c r="P191" s="7" t="inlineStr">
        <is>
          <t>USDA FoodData Central (SR Legacy / Foundation Foods), fdc.nal.usda.gov</t>
        </is>
      </c>
      <c r="Q191" s="6" t="inlineStr">
        <is>
          <t>2026-09-26</t>
        </is>
      </c>
    </row>
    <row r="192">
      <c r="A192" s="6" t="inlineStr">
        <is>
          <t>plum</t>
        </is>
      </c>
      <c r="B192" s="6" t="inlineStr">
        <is>
          <t>Plum</t>
        </is>
      </c>
      <c r="C192" s="6" t="inlineStr">
        <is>
          <t>fruit</t>
        </is>
      </c>
      <c r="D192" s="6" t="n">
        <v>46</v>
      </c>
      <c r="E192" s="6" t="n">
        <v>0.7</v>
      </c>
      <c r="F192" s="6" t="n">
        <v>0.3</v>
      </c>
      <c r="G192" s="6" t="n">
        <v>11.4</v>
      </c>
      <c r="H192" s="6" t="n">
        <v>1.4</v>
      </c>
      <c r="I192" s="6" t="n">
        <v>10</v>
      </c>
      <c r="J192" s="6" t="n">
        <v>32</v>
      </c>
      <c r="K192" s="6" t="inlineStr">
        <is>
          <t>medium</t>
        </is>
      </c>
      <c r="L192" s="7" t="inlineStr">
        <is>
          <t>2021 International Tables, Suppl. Tables 1+2 (incl. studies with method deviations)</t>
        </is>
      </c>
      <c r="M192" s="7" t="inlineStr">
        <is>
          <t>median of 3 tested foods, range 24-53</t>
        </is>
      </c>
      <c r="N192" s="6" t="n">
        <v>32</v>
      </c>
      <c r="O192" s="7" t="inlineStr">
        <is>
          <t>Atkinson FS, Brand-Miller JC, Foster-Powell K, Buyken AE, Goletzke J. International tables of glycemic index and glycemic load values 2021. Am J Clin Nutr 2021;114(5):1625-32. doi:10.1093/ajcn/nqab233</t>
        </is>
      </c>
      <c r="P192" s="7" t="inlineStr">
        <is>
          <t>USDA FoodData Central (SR Legacy / Foundation Foods), fdc.nal.usda.gov</t>
        </is>
      </c>
      <c r="Q192" s="6" t="inlineStr">
        <is>
          <t>2026-09-26</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29</v>
      </c>
      <c r="K193" s="6" t="inlineStr">
        <is>
          <t>medium</t>
        </is>
      </c>
      <c r="L193" s="7" t="inlineStr">
        <is>
          <t>2021 International Tables, Suppl. Tables 1+2 (incl. studies with method deviations)</t>
        </is>
      </c>
      <c r="M193" s="7" t="inlineStr">
        <is>
          <t>median of 3 tested foods, range 22-63</t>
        </is>
      </c>
      <c r="N193" s="6" t="n">
        <v>29</v>
      </c>
      <c r="O193" s="7" t="inlineStr">
        <is>
          <t>Atkinson FS, Brand-Miller JC, Foster-Powell K, Buyken AE, Goletzke J. International tables of glycemic index and glycemic load values 2021. Am J Clin Nutr 2021;114(5):1625-32. doi:10.1093/ajcn/nqab233</t>
        </is>
      </c>
      <c r="P193" s="7" t="inlineStr">
        <is>
          <t>USDA FoodData Central (SR Legacy / Foundation Foods), fdc.nal.usda.gov</t>
        </is>
      </c>
      <c r="Q193" s="6" t="inlineStr">
        <is>
          <t>2026-09-26</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medium</t>
        </is>
      </c>
      <c r="L194" s="7" t="inlineStr">
        <is>
          <t>2021 International Tables, Suppl. Tables 1+2 (incl. studies with method deviations)</t>
        </is>
      </c>
      <c r="M194" s="7" t="inlineStr">
        <is>
          <t>median of 4 tested foods, range 47-58</t>
        </is>
      </c>
      <c r="N194" s="6" t="n">
        <v>47</v>
      </c>
      <c r="O194" s="7" t="inlineStr">
        <is>
          <t>Atkinson FS, Brand-Miller JC, Foster-Powell K, Buyken AE, Goletzke J. International tables of glycemic index and glycemic load values 2021. Am J Clin Nutr 2021;114(5):1625-32. doi:10.1093/ajcn/nqab233</t>
        </is>
      </c>
      <c r="P194" s="7" t="inlineStr">
        <is>
          <t>USDA FoodData Central (SR Legacy / Foundation Foods), fdc.nal.usda.gov</t>
        </is>
      </c>
      <c r="Q194" s="6" t="inlineStr">
        <is>
          <t>2026-09-26</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high</t>
        </is>
      </c>
      <c r="L195" s="7" t="inlineStr">
        <is>
          <t>2021 International Tables, Suppl. Table 1 (ISO 26642:2010-compliant studies)</t>
        </is>
      </c>
      <c r="M195" s="7" t="inlineStr">
        <is>
          <t>median of 6 tested foods, range 47-61</t>
        </is>
      </c>
      <c r="N195" s="6" t="n">
        <v>55</v>
      </c>
      <c r="O195" s="7" t="inlineStr">
        <is>
          <t>Atkinson FS, Brand-Miller JC, Foster-Powell K, Buyken AE, Goletzke J. International tables of glycemic index and glycemic load values 2021. Am J Clin Nutr 2021;114(5):1625-32. doi:10.1093/ajcn/nqab233</t>
        </is>
      </c>
      <c r="P195" s="7" t="inlineStr">
        <is>
          <t>USDA FoodData Central (SR Legacy / Foundation Foods), fdc.nal.usda.gov</t>
        </is>
      </c>
      <c r="Q195" s="6" t="inlineStr">
        <is>
          <t>2026-09-26</t>
        </is>
      </c>
    </row>
    <row r="196">
      <c r="A196" s="6" t="inlineStr">
        <is>
          <t>mango</t>
        </is>
      </c>
      <c r="B196" s="6" t="inlineStr">
        <is>
          <t>Mango</t>
        </is>
      </c>
      <c r="C196" s="6" t="inlineStr">
        <is>
          <t>fruit</t>
        </is>
      </c>
      <c r="D196" s="6" t="n">
        <v>60</v>
      </c>
      <c r="E196" s="6" t="n">
        <v>0.8</v>
      </c>
      <c r="F196" s="6" t="n">
        <v>0.4</v>
      </c>
      <c r="G196" s="6" t="n">
        <v>15</v>
      </c>
      <c r="H196" s="6" t="n">
        <v>1.6</v>
      </c>
      <c r="I196" s="6" t="n">
        <v>13.4</v>
      </c>
      <c r="J196" s="6" t="n">
        <v>42</v>
      </c>
      <c r="K196" s="6" t="inlineStr">
        <is>
          <t>high</t>
        </is>
      </c>
      <c r="L196" s="7" t="inlineStr">
        <is>
          <t>2021 International Tables, Suppl. Table 1 (ISO 26642:2010-compliant studies)</t>
        </is>
      </c>
      <c r="M196" s="7" t="inlineStr">
        <is>
          <t>median of 3 tested foods, range 33-48</t>
        </is>
      </c>
      <c r="N196" s="6" t="n">
        <v>42</v>
      </c>
      <c r="O196" s="7" t="inlineStr">
        <is>
          <t>Atkinson FS, Brand-Miller JC, Foster-Powell K, Buyken AE, Goletzke J. International tables of glycemic index and glycemic load values 2021. Am J Clin Nutr 2021;114(5):1625-32. doi:10.1093/ajcn/nqab233</t>
        </is>
      </c>
      <c r="P196" s="7" t="inlineStr">
        <is>
          <t>USDA FoodData Central (SR Legacy / Foundation Foods), fdc.nal.usda.gov</t>
        </is>
      </c>
      <c r="Q196" s="6" t="inlineStr">
        <is>
          <t>2026-09-26</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70</v>
      </c>
      <c r="K197" s="6" t="inlineStr">
        <is>
          <t>medium</t>
        </is>
      </c>
      <c r="L197" s="7" t="inlineStr">
        <is>
          <t>2021 International Tables, Suppl. Tables 1+2 (incl. studies with method deviations)</t>
        </is>
      </c>
      <c r="M197" s="7" t="inlineStr">
        <is>
          <t>median of 5 tested foods, range 39-82</t>
        </is>
      </c>
      <c r="N197" s="6" t="n">
        <v>70</v>
      </c>
      <c r="O197" s="7" t="inlineStr">
        <is>
          <t>Atkinson FS, Brand-Miller JC, Foster-Powell K, Buyken AE, Goletzke J. International tables of glycemic index and glycemic load values 2021. Am J Clin Nutr 2021;114(5):1625-32. doi:10.1093/ajcn/nqab233</t>
        </is>
      </c>
      <c r="P197" s="7" t="inlineStr">
        <is>
          <t>USDA FoodData Central (SR Legacy / Foundation Foods), fdc.nal.usda.gov</t>
        </is>
      </c>
      <c r="Q197" s="6" t="inlineStr">
        <is>
          <t>2026-09-26</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low</t>
        </is>
      </c>
      <c r="L198" s="7" t="inlineStr">
        <is>
          <t>Estimated from the closest tested food; no direct measurement found in the pooled sources</t>
        </is>
      </c>
      <c r="M198" s="7" t="inlineStr">
        <is>
          <t>no direct match</t>
        </is>
      </c>
      <c r="N198" s="6" t="n">
        <v>53</v>
      </c>
      <c r="O1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8" s="7" t="inlineStr">
        <is>
          <t>USDA FoodData Central (SR Legacy / Foundation Foods), fdc.nal.usda.gov</t>
        </is>
      </c>
      <c r="Q198" s="6" t="inlineStr">
        <is>
          <t>2026-09-26</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low</t>
        </is>
      </c>
      <c r="L199" s="7" t="inlineStr">
        <is>
          <t>Estimated from the closest tested food; no direct measurement found in the pooled sources</t>
        </is>
      </c>
      <c r="M199" s="7" t="inlineStr">
        <is>
          <t>no direct match</t>
        </is>
      </c>
      <c r="N199" s="6" t="n">
        <v>45</v>
      </c>
      <c r="O1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9" s="7" t="inlineStr">
        <is>
          <t>USDA FoodData Central (SR Legacy / Foundation Foods), fdc.nal.usda.gov</t>
        </is>
      </c>
      <c r="Q199" s="6" t="inlineStr">
        <is>
          <t>2026-09-26</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low</t>
        </is>
      </c>
      <c r="L200" s="7" t="inlineStr">
        <is>
          <t>Estimated from the closest tested food; no direct measurement found in the pooled sources</t>
        </is>
      </c>
      <c r="M200" s="7" t="inlineStr">
        <is>
          <t>no direct match</t>
        </is>
      </c>
      <c r="N200" s="6" t="n">
        <v>40</v>
      </c>
      <c r="O20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0" s="7" t="inlineStr">
        <is>
          <t>USDA FoodData Central (SR Legacy / Foundation Foods), fdc.nal.usda.gov</t>
        </is>
      </c>
      <c r="Q200" s="6" t="inlineStr">
        <is>
          <t>2026-09-26</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54</v>
      </c>
      <c r="K201" s="6" t="inlineStr">
        <is>
          <t>high</t>
        </is>
      </c>
      <c r="L201" s="7" t="inlineStr">
        <is>
          <t>2021 International Tables, Suppl. Table 1 (ISO 26642:2010-compliant studies)</t>
        </is>
      </c>
      <c r="M201" s="7" t="inlineStr">
        <is>
          <t>median of 30 tested foods, range 37-75</t>
        </is>
      </c>
      <c r="N201" s="6" t="n">
        <v>54</v>
      </c>
      <c r="O201" s="7" t="inlineStr">
        <is>
          <t>Atkinson FS, Brand-Miller JC, Foster-Powell K, Buyken AE, Goletzke J. International tables of glycemic index and glycemic load values 2021. Am J Clin Nutr 2021;114(5):1625-32. doi:10.1093/ajcn/nqab233</t>
        </is>
      </c>
      <c r="P201" s="7" t="inlineStr">
        <is>
          <t>USDA FoodData Central (SR Legacy / Foundation Foods), fdc.nal.usda.gov</t>
        </is>
      </c>
      <c r="Q201" s="6" t="inlineStr">
        <is>
          <t>2026-09-26</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low</t>
        </is>
      </c>
      <c r="L202" s="7" t="inlineStr">
        <is>
          <t>Estimated from the closest tested food; no direct measurement found in the pooled sources</t>
        </is>
      </c>
      <c r="M202" s="7" t="inlineStr">
        <is>
          <t>no direct match</t>
        </is>
      </c>
      <c r="N202" s="6" t="n">
        <v>45</v>
      </c>
      <c r="O20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2" s="7" t="inlineStr">
        <is>
          <t>USDA FoodData Central (SR Legacy / Foundation Foods), fdc.nal.usda.gov</t>
        </is>
      </c>
      <c r="Q202" s="6" t="inlineStr">
        <is>
          <t>2026-09-26</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high</t>
        </is>
      </c>
      <c r="L203" s="7" t="inlineStr">
        <is>
          <t>2021 International Tables, Suppl. Table 1 (ISO 26642:2010-compliant studies)</t>
        </is>
      </c>
      <c r="M203" s="7" t="inlineStr">
        <is>
          <t>median of 4 tested foods, range 50-54</t>
        </is>
      </c>
      <c r="N203" s="6" t="n">
        <v>53</v>
      </c>
      <c r="O203" s="7" t="inlineStr">
        <is>
          <t>Atkinson FS, Brand-Miller JC, Foster-Powell K, Buyken AE, Goletzke J. International tables of glycemic index and glycemic load values 2021. Am J Clin Nutr 2021;114(5):1625-32. doi:10.1093/ajcn/nqab233</t>
        </is>
      </c>
      <c r="P203" s="7" t="inlineStr">
        <is>
          <t>USDA FoodData Central (SR Legacy / Foundation Foods), fdc.nal.usda.gov</t>
        </is>
      </c>
      <c r="Q203" s="6" t="inlineStr">
        <is>
          <t>2026-09-26</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68</v>
      </c>
      <c r="K204" s="6" t="inlineStr">
        <is>
          <t>high</t>
        </is>
      </c>
      <c r="L204" s="7" t="inlineStr">
        <is>
          <t>2021 International Tables, Suppl. Table 1 (ISO 26642:2010-compliant studies)</t>
        </is>
      </c>
      <c r="M204" s="7" t="inlineStr">
        <is>
          <t>median of 6 tested foods, range 51-87</t>
        </is>
      </c>
      <c r="N204" s="6" t="n">
        <v>68</v>
      </c>
      <c r="O204" s="7" t="inlineStr">
        <is>
          <t>Atkinson FS, Brand-Miller JC, Foster-Powell K, Buyken AE, Goletzke J. International tables of glycemic index and glycemic load values 2021. Am J Clin Nutr 2021;114(5):1625-32. doi:10.1093/ajcn/nqab233</t>
        </is>
      </c>
      <c r="P204" s="7" t="inlineStr">
        <is>
          <t>USDA FoodData Central (SR Legacy / Foundation Foods), fdc.nal.usda.gov</t>
        </is>
      </c>
      <c r="Q204" s="6" t="inlineStr">
        <is>
          <t>2026-09-26</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low</t>
        </is>
      </c>
      <c r="L205" s="7" t="inlineStr">
        <is>
          <t>Estimated from the closest tested food; no direct measurement found in the pooled sources</t>
        </is>
      </c>
      <c r="M205" s="7" t="inlineStr">
        <is>
          <t>no direct match</t>
        </is>
      </c>
      <c r="N205" s="6" t="n">
        <v>57</v>
      </c>
      <c r="O20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5" s="7" t="inlineStr">
        <is>
          <t>USDA FoodData Central (SR Legacy / Foundation Foods), fdc.nal.usda.gov</t>
        </is>
      </c>
      <c r="Q205" s="6" t="inlineStr">
        <is>
          <t>2026-09-26</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44</v>
      </c>
      <c r="K206" s="6" t="inlineStr">
        <is>
          <t>medium</t>
        </is>
      </c>
      <c r="L206" s="7" t="inlineStr">
        <is>
          <t>2021 International Tables, Suppl. Tables 1+2 (incl. studies with method deviations)</t>
        </is>
      </c>
      <c r="M206" s="7" t="inlineStr">
        <is>
          <t>median of 5 tested foods, range 23-58</t>
        </is>
      </c>
      <c r="N206" s="6" t="n">
        <v>44</v>
      </c>
      <c r="O206" s="7" t="inlineStr">
        <is>
          <t>Atkinson FS, Brand-Miller JC, Foster-Powell K, Buyken AE, Goletzke J. International tables of glycemic index and glycemic load values 2021. Am J Clin Nutr 2021;114(5):1625-32. doi:10.1093/ajcn/nqab233</t>
        </is>
      </c>
      <c r="P206" s="7" t="inlineStr">
        <is>
          <t>USDA FoodData Central (SR Legacy / Foundation Foods), fdc.nal.usda.gov</t>
        </is>
      </c>
      <c r="Q206" s="6" t="inlineStr">
        <is>
          <t>2026-09-26</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medium</t>
        </is>
      </c>
      <c r="L207" s="7" t="inlineStr">
        <is>
          <t>2021 International Tables, Suppl. Tables 1+2 (incl. studies with method deviations)</t>
        </is>
      </c>
      <c r="M207" s="7" t="inlineStr">
        <is>
          <t>median of 1 tested foods, range 63-63</t>
        </is>
      </c>
      <c r="N207" s="6" t="n">
        <v>63</v>
      </c>
      <c r="O207" s="7" t="inlineStr">
        <is>
          <t>Atkinson FS, Brand-Miller JC, Foster-Powell K, Buyken AE, Goletzke J. International tables of glycemic index and glycemic load values 2021. Am J Clin Nutr 2021;114(5):1625-32. doi:10.1093/ajcn/nqab233</t>
        </is>
      </c>
      <c r="P207" s="7" t="inlineStr">
        <is>
          <t>USDA FoodData Central (SR Legacy / Foundation Foods), fdc.nal.usda.gov</t>
        </is>
      </c>
      <c r="Q207" s="6" t="inlineStr">
        <is>
          <t>2026-09-26</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medium</t>
        </is>
      </c>
      <c r="L208" s="7" t="inlineStr">
        <is>
          <t>2021 International Tables, Suppl. Tables 1+2 (incl. studies with method deviations)</t>
        </is>
      </c>
      <c r="M208" s="7" t="inlineStr">
        <is>
          <t>median of 4 tested foods, range 46-53</t>
        </is>
      </c>
      <c r="N208" s="6" t="n">
        <v>46</v>
      </c>
      <c r="O208" s="7" t="inlineStr">
        <is>
          <t>Atkinson FS, Brand-Miller JC, Foster-Powell K, Buyken AE, Goletzke J. International tables of glycemic index and glycemic load values 2021. Am J Clin Nutr 2021;114(5):1625-32. doi:10.1093/ajcn/nqab233</t>
        </is>
      </c>
      <c r="P208" s="7" t="inlineStr">
        <is>
          <t>USDA FoodData Central (SR Legacy / Foundation Foods), fdc.nal.usda.gov</t>
        </is>
      </c>
      <c r="Q208" s="6" t="inlineStr">
        <is>
          <t>2026-09-26</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medium</t>
        </is>
      </c>
      <c r="L209" s="7" t="inlineStr">
        <is>
          <t>2021 International Tables, Suppl. Tables 1+2 (incl. studies with method deviations)</t>
        </is>
      </c>
      <c r="M209" s="7" t="inlineStr">
        <is>
          <t>median of 4 tested foods, range 46-64</t>
        </is>
      </c>
      <c r="N209" s="6" t="n">
        <v>50</v>
      </c>
      <c r="O209" s="7" t="inlineStr">
        <is>
          <t>Atkinson FS, Brand-Miller JC, Foster-Powell K, Buyken AE, Goletzke J. International tables of glycemic index and glycemic load values 2021. Am J Clin Nutr 2021;114(5):1625-32. doi:10.1093/ajcn/nqab233</t>
        </is>
      </c>
      <c r="P209" s="7" t="inlineStr">
        <is>
          <t>USDA FoodData Central (SR Legacy / Foundation Foods), fdc.nal.usda.gov</t>
        </is>
      </c>
      <c r="Q209" s="6" t="inlineStr">
        <is>
          <t>2026-09-26</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high</t>
        </is>
      </c>
      <c r="L210" s="7" t="inlineStr">
        <is>
          <t>2021 International Tables, Suppl. Table 1 (ISO 26642:2010-compliant studies)</t>
        </is>
      </c>
      <c r="M210" s="7" t="inlineStr">
        <is>
          <t>median of 3 tested foods, range 50-59</t>
        </is>
      </c>
      <c r="N210" s="6" t="n">
        <v>57</v>
      </c>
      <c r="O210" s="7" t="inlineStr">
        <is>
          <t>Atkinson FS, Brand-Miller JC, Foster-Powell K, Buyken AE, Goletzke J. International tables of glycemic index and glycemic load values 2021. Am J Clin Nutr 2021;114(5):1625-32. doi:10.1093/ajcn/nqab233</t>
        </is>
      </c>
      <c r="P210" s="7" t="inlineStr">
        <is>
          <t>USDA FoodData Central (SR Legacy / Foundation Foods), fdc.nal.usda.gov</t>
        </is>
      </c>
      <c r="Q210" s="6" t="inlineStr">
        <is>
          <t>2026-09-26</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high</t>
        </is>
      </c>
      <c r="L211" s="7" t="inlineStr">
        <is>
          <t>2021 International Tables, Suppl. Table 1 (ISO 26642:2010-compliant studies)</t>
        </is>
      </c>
      <c r="M211" s="7" t="inlineStr">
        <is>
          <t>median of 5 tested foods, range 48-57</t>
        </is>
      </c>
      <c r="N211" s="6" t="n">
        <v>52</v>
      </c>
      <c r="O211" s="7" t="inlineStr">
        <is>
          <t>Atkinson FS, Brand-Miller JC, Foster-Powell K, Buyken AE, Goletzke J. International tables of glycemic index and glycemic load values 2021. Am J Clin Nutr 2021;114(5):1625-32. doi:10.1093/ajcn/nqab233</t>
        </is>
      </c>
      <c r="P211" s="7" t="inlineStr">
        <is>
          <t>USDA FoodData Central (SR Legacy / Foundation Foods), fdc.nal.usda.gov</t>
        </is>
      </c>
      <c r="Q211" s="6" t="inlineStr">
        <is>
          <t>2026-09-26</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low</t>
        </is>
      </c>
      <c r="L212" s="7" t="inlineStr">
        <is>
          <t>Estimated from the closest tested food; no direct measurement found in the pooled sources</t>
        </is>
      </c>
      <c r="M212" s="7" t="inlineStr">
        <is>
          <t>no direct match</t>
        </is>
      </c>
      <c r="N212" s="6" t="n">
        <v>55</v>
      </c>
      <c r="O21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2" s="7" t="inlineStr">
        <is>
          <t>USDA FoodData Central (SR Legacy / Foundation Foods), fdc.nal.usda.gov</t>
        </is>
      </c>
      <c r="Q212" s="6" t="inlineStr">
        <is>
          <t>2026-09-26</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medium</t>
        </is>
      </c>
      <c r="L213" s="7" t="inlineStr">
        <is>
          <t>2021 International Tables, Suppl. Tables 1+2 (incl. studies with method deviations)</t>
        </is>
      </c>
      <c r="M213" s="7" t="inlineStr">
        <is>
          <t>median of 2 tested foods, range 51-60</t>
        </is>
      </c>
      <c r="N213" s="6" t="n">
        <v>56</v>
      </c>
      <c r="O213" s="7" t="inlineStr">
        <is>
          <t>Atkinson FS, Brand-Miller JC, Foster-Powell K, Buyken AE, Goletzke J. International tables of glycemic index and glycemic load values 2021. Am J Clin Nutr 2021;114(5):1625-32. doi:10.1093/ajcn/nqab233</t>
        </is>
      </c>
      <c r="P213" s="7" t="inlineStr">
        <is>
          <t>USDA FoodData Central (SR Legacy / Foundation Foods), fdc.nal.usda.gov</t>
        </is>
      </c>
      <c r="Q213" s="6" t="inlineStr">
        <is>
          <t>2026-09-26</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54</v>
      </c>
      <c r="K214" s="6" t="inlineStr">
        <is>
          <t>high</t>
        </is>
      </c>
      <c r="L214" s="7" t="inlineStr">
        <is>
          <t>2021 International Tables, Suppl. Table 1 (ISO 26642:2010-compliant studies)</t>
        </is>
      </c>
      <c r="M214" s="7" t="inlineStr">
        <is>
          <t>median of 2 tested foods, range 45-62</t>
        </is>
      </c>
      <c r="N214" s="6" t="n">
        <v>54</v>
      </c>
      <c r="O214" s="7" t="inlineStr">
        <is>
          <t>Atkinson FS, Brand-Miller JC, Foster-Powell K, Buyken AE, Goletzke J. International tables of glycemic index and glycemic load values 2021. Am J Clin Nutr 2021;114(5):1625-32. doi:10.1093/ajcn/nqab233</t>
        </is>
      </c>
      <c r="P214" s="7" t="inlineStr">
        <is>
          <t>USDA FoodData Central (SR Legacy / Foundation Foods), fdc.nal.usda.gov</t>
        </is>
      </c>
      <c r="Q214" s="6" t="inlineStr">
        <is>
          <t>2026-09-26</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low</t>
        </is>
      </c>
      <c r="L215" s="7" t="inlineStr">
        <is>
          <t>Estimated from the closest tested food; no direct measurement found in the pooled sources</t>
        </is>
      </c>
      <c r="M215" s="7" t="inlineStr">
        <is>
          <t>no direct match</t>
        </is>
      </c>
      <c r="N215" s="6" t="n">
        <v>30</v>
      </c>
      <c r="O21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5" s="7" t="inlineStr">
        <is>
          <t>USDA FoodData Central (SR Legacy / Foundation Foods), fdc.nal.usda.gov</t>
        </is>
      </c>
      <c r="Q215" s="6" t="inlineStr">
        <is>
          <t>2026-09-26</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medium</t>
        </is>
      </c>
      <c r="L216" s="7" t="inlineStr">
        <is>
          <t>University of Sydney online GI database</t>
        </is>
      </c>
      <c r="M216" s="7" t="inlineStr">
        <is>
          <t>median of 1 tested foods, range 22-22</t>
        </is>
      </c>
      <c r="N216" s="6" t="n">
        <v>22</v>
      </c>
      <c r="O216" s="7" t="inlineStr">
        <is>
          <t>University of Sydney GI database, glycemicindex.com/gi-search (accessed 2026-09-16)</t>
        </is>
      </c>
      <c r="P216" s="7" t="inlineStr">
        <is>
          <t>USDA FoodData Central (SR Legacy / Foundation Foods), fdc.nal.usda.gov</t>
        </is>
      </c>
      <c r="Q216" s="6" t="inlineStr">
        <is>
          <t>2026-09-26</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medium</t>
        </is>
      </c>
      <c r="L217" s="7" t="inlineStr">
        <is>
          <t>University of Sydney online GI database</t>
        </is>
      </c>
      <c r="M217" s="7" t="inlineStr">
        <is>
          <t>median of 1 tested foods, range 59-59</t>
        </is>
      </c>
      <c r="N217" s="6" t="n">
        <v>59</v>
      </c>
      <c r="O217" s="7" t="inlineStr">
        <is>
          <t>University of Sydney GI database, glycemicindex.com/gi-search (accessed 2026-09-16)</t>
        </is>
      </c>
      <c r="P217" s="7" t="inlineStr">
        <is>
          <t>USDA FoodData Central (SR Legacy / Foundation Foods), fdc.nal.usda.gov</t>
        </is>
      </c>
      <c r="Q217" s="6" t="inlineStr">
        <is>
          <t>2026-09-26</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high</t>
        </is>
      </c>
      <c r="L218" s="7" t="inlineStr">
        <is>
          <t>2021 International Tables, Suppl. Table 1 (ISO 26642:2010-compliant studies)</t>
        </is>
      </c>
      <c r="M218" s="7" t="inlineStr">
        <is>
          <t>median of 6 tested foods, range 59-88</t>
        </is>
      </c>
      <c r="N218" s="6" t="n">
        <v>67</v>
      </c>
      <c r="O218" s="7" t="inlineStr">
        <is>
          <t>Atkinson FS, Brand-Miller JC, Foster-Powell K, Buyken AE, Goletzke J. International tables of glycemic index and glycemic load values 2021. Am J Clin Nutr 2021;114(5):1625-32. doi:10.1093/ajcn/nqab233</t>
        </is>
      </c>
      <c r="P218" s="7" t="inlineStr">
        <is>
          <t>USDA FoodData Central (SR Legacy / Foundation Foods), fdc.nal.usda.gov</t>
        </is>
      </c>
      <c r="Q218" s="6" t="inlineStr">
        <is>
          <t>2026-09-26</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62</v>
      </c>
      <c r="K219" s="6" t="inlineStr">
        <is>
          <t>high</t>
        </is>
      </c>
      <c r="L219" s="7" t="inlineStr">
        <is>
          <t>2021 International Tables, Suppl. Table 1 (ISO 26642:2010-compliant studies)</t>
        </is>
      </c>
      <c r="M219" s="7" t="inlineStr">
        <is>
          <t>median of 4 tested foods, range 55-67</t>
        </is>
      </c>
      <c r="N219" s="6" t="n">
        <v>62</v>
      </c>
      <c r="O219" s="7" t="inlineStr">
        <is>
          <t>Atkinson FS, Brand-Miller JC, Foster-Powell K, Buyken AE, Goletzke J. International tables of glycemic index and glycemic load values 2021. Am J Clin Nutr 2021;114(5):1625-32. doi:10.1093/ajcn/nqab233</t>
        </is>
      </c>
      <c r="P219" s="7" t="inlineStr">
        <is>
          <t>USDA FoodData Central (SR Legacy / Foundation Foods), fdc.nal.usda.gov</t>
        </is>
      </c>
      <c r="Q219" s="6" t="inlineStr">
        <is>
          <t>2026-09-26</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medium</t>
        </is>
      </c>
      <c r="L220" s="7" t="inlineStr">
        <is>
          <t>2021 International Tables, Suppl. Tables 1+2 (incl. studies with method deviations)</t>
        </is>
      </c>
      <c r="M220" s="7" t="inlineStr">
        <is>
          <t>median of 9 tested foods, range 41-65</t>
        </is>
      </c>
      <c r="N220" s="6" t="n">
        <v>52</v>
      </c>
      <c r="O220" s="7" t="inlineStr">
        <is>
          <t>Atkinson FS, Brand-Miller JC, Foster-Powell K, Buyken AE, Goletzke J. International tables of glycemic index and glycemic load values 2021. Am J Clin Nutr 2021;114(5):1625-32. doi:10.1093/ajcn/nqab233</t>
        </is>
      </c>
      <c r="P220" s="7" t="inlineStr">
        <is>
          <t>USDA FoodData Central (SR Legacy / Foundation Foods), fdc.nal.usda.gov</t>
        </is>
      </c>
      <c r="Q220" s="6" t="inlineStr">
        <is>
          <t>2026-09-26</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low</t>
        </is>
      </c>
      <c r="L221" s="7" t="inlineStr">
        <is>
          <t>Estimated from the closest tested food; no direct measurement found in the pooled sources</t>
        </is>
      </c>
      <c r="M221" s="7" t="inlineStr">
        <is>
          <t>no direct match</t>
        </is>
      </c>
      <c r="N221" s="6" t="n">
        <v>30</v>
      </c>
      <c r="O22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1" s="7" t="inlineStr">
        <is>
          <t>USDA FoodData Central (SR Legacy / Foundation Foods), fdc.nal.usda.gov</t>
        </is>
      </c>
      <c r="Q221" s="6" t="inlineStr">
        <is>
          <t>2026-09-26</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medium</t>
        </is>
      </c>
      <c r="L222" s="7" t="inlineStr">
        <is>
          <t>2021 International Tables, Suppl. Tables 1+2 (incl. studies with method deviations)</t>
        </is>
      </c>
      <c r="M222" s="7" t="inlineStr">
        <is>
          <t>median of 3 tested foods, range 52-60</t>
        </is>
      </c>
      <c r="N222" s="6" t="n">
        <v>54</v>
      </c>
      <c r="O222" s="7" t="inlineStr">
        <is>
          <t>Atkinson FS, Brand-Miller JC, Foster-Powell K, Buyken AE, Goletzke J. International tables of glycemic index and glycemic load values 2021. Am J Clin Nutr 2021;114(5):1625-32. doi:10.1093/ajcn/nqab233</t>
        </is>
      </c>
      <c r="P222" s="7" t="inlineStr">
        <is>
          <t>USDA FoodData Central (SR Legacy / Foundation Foods), fdc.nal.usda.gov</t>
        </is>
      </c>
      <c r="Q222" s="6" t="inlineStr">
        <is>
          <t>2026-09-26</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medium</t>
        </is>
      </c>
      <c r="L223" s="7" t="inlineStr">
        <is>
          <t>2021 International Tables, Suppl. Tables 1+2 (incl. studies with method deviations)</t>
        </is>
      </c>
      <c r="M223" s="7" t="inlineStr">
        <is>
          <t>median of 1 tested foods, range 56-56</t>
        </is>
      </c>
      <c r="N223" s="6" t="n">
        <v>56</v>
      </c>
      <c r="O223" s="7" t="inlineStr">
        <is>
          <t>Atkinson FS, Brand-Miller JC, Foster-Powell K, Buyken AE, Goletzke J. International tables of glycemic index and glycemic load values 2021. Am J Clin Nutr 2021;114(5):1625-32. doi:10.1093/ajcn/nqab233</t>
        </is>
      </c>
      <c r="P223" s="7" t="inlineStr">
        <is>
          <t>USDA FoodData Central (SR Legacy / Foundation Foods), fdc.nal.usda.gov</t>
        </is>
      </c>
      <c r="Q223" s="6" t="inlineStr">
        <is>
          <t>2026-09-26</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45</v>
      </c>
      <c r="K224" s="6" t="inlineStr">
        <is>
          <t>medium</t>
        </is>
      </c>
      <c r="L224" s="7" t="inlineStr">
        <is>
          <t>2021 International Tables, Suppl. Tables 1+2 (incl. studies with method deviations)</t>
        </is>
      </c>
      <c r="M224" s="7" t="inlineStr">
        <is>
          <t>median of 1 tested foods, range 45-45</t>
        </is>
      </c>
      <c r="N224" s="6" t="n">
        <v>45</v>
      </c>
      <c r="O224" s="7" t="inlineStr">
        <is>
          <t>Atkinson FS, Brand-Miller JC, Foster-Powell K, Buyken AE, Goletzke J. International tables of glycemic index and glycemic load values 2021. Am J Clin Nutr 2021;114(5):1625-32. doi:10.1093/ajcn/nqab233</t>
        </is>
      </c>
      <c r="P224" s="7" t="inlineStr">
        <is>
          <t>USDA FoodData Central (SR Legacy / Foundation Foods), fdc.nal.usda.gov</t>
        </is>
      </c>
      <c r="Q224" s="6" t="inlineStr">
        <is>
          <t>2026-09-26</t>
        </is>
      </c>
    </row>
    <row r="225">
      <c r="A225" s="6" t="inlineStr">
        <is>
          <t>white_rice</t>
        </is>
      </c>
      <c r="B225" s="6" t="inlineStr">
        <is>
          <t>White rice, long-grain, cooked</t>
        </is>
      </c>
      <c r="C225" s="6" t="inlineStr">
        <is>
          <t>grain</t>
        </is>
      </c>
      <c r="D225" s="6" t="n">
        <v>129</v>
      </c>
      <c r="E225" s="6" t="n">
        <v>2.67</v>
      </c>
      <c r="F225" s="6" t="n">
        <v>0.28</v>
      </c>
      <c r="G225" s="6" t="n">
        <v>28</v>
      </c>
      <c r="H225" s="6" t="n">
        <v>0.4</v>
      </c>
      <c r="I225" s="6" t="n">
        <v>27.6</v>
      </c>
      <c r="J225" s="6" t="n">
        <v>77</v>
      </c>
      <c r="K225" s="6" t="inlineStr">
        <is>
          <t>high</t>
        </is>
      </c>
      <c r="L225" s="7" t="inlineStr">
        <is>
          <t>2021 International Tables, Suppl. Table 1 (ISO 26642:2010-compliant studies)</t>
        </is>
      </c>
      <c r="M225" s="7" t="inlineStr">
        <is>
          <t>median of 11 tested foods, range 56-96</t>
        </is>
      </c>
      <c r="N225" s="6" t="n">
        <v>77</v>
      </c>
      <c r="O225" s="7" t="inlineStr">
        <is>
          <t>Atkinson FS, Brand-Miller JC, Foster-Powell K, Buyken AE, Goletzke J. International tables of glycemic index and glycemic load values 2021. Am J Clin Nutr 2021;114(5):1625-32. doi:10.1093/ajcn/nqab233</t>
        </is>
      </c>
      <c r="P225" s="7" t="inlineStr">
        <is>
          <t>USDA FoodData Central (SR Legacy / Foundation Foods), fdc.nal.usda.gov</t>
        </is>
      </c>
      <c r="Q225" s="6" t="inlineStr">
        <is>
          <t>2026-09-26</t>
        </is>
      </c>
    </row>
    <row r="226">
      <c r="A226" s="6" t="inlineStr">
        <is>
          <t>potato_boiled</t>
        </is>
      </c>
      <c r="B226" s="6" t="inlineStr">
        <is>
          <t>Potato, boiled, peeled</t>
        </is>
      </c>
      <c r="C226" s="6" t="inlineStr">
        <is>
          <t>veg</t>
        </is>
      </c>
      <c r="D226" s="6" t="n">
        <v>93</v>
      </c>
      <c r="E226" s="6" t="n">
        <v>1.95</v>
      </c>
      <c r="F226" s="6" t="n">
        <v>0.1</v>
      </c>
      <c r="G226" s="6" t="n">
        <v>21.5</v>
      </c>
      <c r="H226" s="6" t="n">
        <v>1.5</v>
      </c>
      <c r="I226" s="6" t="n">
        <v>20</v>
      </c>
      <c r="J226" s="6" t="n">
        <v>66</v>
      </c>
      <c r="K226" s="6" t="inlineStr">
        <is>
          <t>medium</t>
        </is>
      </c>
      <c r="L226" s="7" t="inlineStr">
        <is>
          <t>2021 International Tables, Suppl. Tables 1+2 (incl. studies with method deviations)</t>
        </is>
      </c>
      <c r="M226" s="7" t="inlineStr">
        <is>
          <t>median of 5 tested foods, range 55-87</t>
        </is>
      </c>
      <c r="N226" s="6" t="n">
        <v>66</v>
      </c>
      <c r="O226" s="7" t="inlineStr">
        <is>
          <t>Atkinson FS, Brand-Miller JC, Foster-Powell K, Buyken AE, Goletzke J. International tables of glycemic index and glycemic load values 2021. Am J Clin Nutr 2021;114(5):1625-32. doi:10.1093/ajcn/nqab233</t>
        </is>
      </c>
      <c r="P226" s="7" t="inlineStr">
        <is>
          <t>USDA FoodData Central (SR Legacy / Foundation Foods), fdc.nal.usda.gov</t>
        </is>
      </c>
      <c r="Q226" s="6" t="inlineStr">
        <is>
          <t>2026-09-26</t>
        </is>
      </c>
    </row>
    <row r="227">
      <c r="A227" s="6" t="inlineStr">
        <is>
          <t>potato_baked</t>
        </is>
      </c>
      <c r="B227" s="6" t="inlineStr">
        <is>
          <t>Potato, baked, flesh (russet)</t>
        </is>
      </c>
      <c r="C227" s="6" t="inlineStr">
        <is>
          <t>veg</t>
        </is>
      </c>
      <c r="D227" s="6" t="n">
        <v>93</v>
      </c>
      <c r="E227" s="6" t="n">
        <v>1.95</v>
      </c>
      <c r="F227" s="6" t="n">
        <v>0.1</v>
      </c>
      <c r="G227" s="6" t="n">
        <v>21.5</v>
      </c>
      <c r="H227" s="6" t="n">
        <v>1.5</v>
      </c>
      <c r="I227" s="6" t="n">
        <v>20</v>
      </c>
      <c r="J227" s="6" t="n">
        <v>85</v>
      </c>
      <c r="K227" s="6" t="inlineStr">
        <is>
          <t>medium</t>
        </is>
      </c>
      <c r="L227" s="7" t="inlineStr">
        <is>
          <t>2021 International Tables, Suppl. Tables 1+2 (incl. studies with method deviations)</t>
        </is>
      </c>
      <c r="M227" s="7" t="inlineStr">
        <is>
          <t>median of 5 tested foods, range 57-111</t>
        </is>
      </c>
      <c r="N227" s="6" t="n">
        <v>85</v>
      </c>
      <c r="O227" s="7" t="inlineStr">
        <is>
          <t>Atkinson FS, Brand-Miller JC, Foster-Powell K, Buyken AE, Goletzke J. International tables of glycemic index and glycemic load values 2021. Am J Clin Nutr 2021;114(5):1625-32. doi:10.1093/ajcn/nqab233</t>
        </is>
      </c>
      <c r="P227" s="7" t="inlineStr">
        <is>
          <t>USDA FoodData Central (SR Legacy / Foundation Foods), fdc.nal.usda.gov</t>
        </is>
      </c>
      <c r="Q227" s="6" t="inlineStr">
        <is>
          <t>2026-09-26</t>
        </is>
      </c>
    </row>
    <row r="228">
      <c r="A228" s="6" t="inlineStr">
        <is>
          <t>french_fries_baked</t>
        </is>
      </c>
      <c r="B228" s="6" t="inlineStr">
        <is>
          <t>Oven fries, frozen shoestring, baked</t>
        </is>
      </c>
      <c r="C228" s="6" t="inlineStr">
        <is>
          <t>veg</t>
        </is>
      </c>
      <c r="D228" s="6" t="n">
        <v>158</v>
      </c>
      <c r="E228" s="6" t="n">
        <v>2.75</v>
      </c>
      <c r="F228" s="6" t="n">
        <v>5.48</v>
      </c>
      <c r="G228" s="6" t="n">
        <v>25.6</v>
      </c>
      <c r="H228" s="6" t="n">
        <v>2</v>
      </c>
      <c r="I228" s="6" t="n">
        <v>23.6</v>
      </c>
      <c r="J228" s="6" t="n">
        <v>64</v>
      </c>
      <c r="K228" s="6" t="inlineStr">
        <is>
          <t>high</t>
        </is>
      </c>
      <c r="L228" s="7" t="inlineStr">
        <is>
          <t>2021 International Tables, Suppl. Table 1 (ISO 26642:2010-compliant studies)</t>
        </is>
      </c>
      <c r="M228" s="7" t="inlineStr">
        <is>
          <t>median of 2 tested foods, range 64-65</t>
        </is>
      </c>
      <c r="N228" s="6" t="n">
        <v>64</v>
      </c>
      <c r="O228" s="7" t="inlineStr">
        <is>
          <t>Atkinson FS, Brand-Miller JC, Foster-Powell K, Buyken AE, Goletzke J. International tables of glycemic index and glycemic load values 2021. Am J Clin Nutr 2021;114(5):1625-32. doi:10.1093/ajcn/nqab233</t>
        </is>
      </c>
      <c r="P228" s="7" t="inlineStr">
        <is>
          <t>USDA FoodData Central (SR Legacy / Foundation Foods), fdc.nal.usda.gov</t>
        </is>
      </c>
      <c r="Q228" s="6" t="inlineStr">
        <is>
          <t>2026-09-26</t>
        </is>
      </c>
    </row>
    <row r="229">
      <c r="A229" s="6" t="inlineStr">
        <is>
          <t>white_bread</t>
        </is>
      </c>
      <c r="B229" s="6" t="inlineStr">
        <is>
          <t>White bread</t>
        </is>
      </c>
      <c r="C229" s="6" t="inlineStr">
        <is>
          <t>grain</t>
        </is>
      </c>
      <c r="D229" s="6" t="n">
        <v>267</v>
      </c>
      <c r="E229" s="6" t="n">
        <v>9.43</v>
      </c>
      <c r="F229" s="6" t="n">
        <v>3.59</v>
      </c>
      <c r="G229" s="6" t="n">
        <v>49.2</v>
      </c>
      <c r="H229" s="6" t="n">
        <v>2.3</v>
      </c>
      <c r="I229" s="6" t="n">
        <v>46.9</v>
      </c>
      <c r="J229" s="6" t="n">
        <v>72</v>
      </c>
      <c r="K229" s="6" t="inlineStr">
        <is>
          <t>high</t>
        </is>
      </c>
      <c r="L229" s="7" t="inlineStr">
        <is>
          <t>2021 International Tables, Suppl. Table 1 (ISO 26642:2010-compliant studies)</t>
        </is>
      </c>
      <c r="M229" s="7" t="inlineStr">
        <is>
          <t>median of 26 tested foods, range 50-100</t>
        </is>
      </c>
      <c r="N229" s="6" t="n">
        <v>72</v>
      </c>
      <c r="O229" s="7" t="inlineStr">
        <is>
          <t>Atkinson FS, Brand-Miller JC, Foster-Powell K, Buyken AE, Goletzke J. International tables of glycemic index and glycemic load values 2021. Am J Clin Nutr 2021;114(5):1625-32. doi:10.1093/ajcn/nqab233</t>
        </is>
      </c>
      <c r="P229" s="7" t="inlineStr">
        <is>
          <t>USDA FoodData Central (SR Legacy / Foundation Foods), fdc.nal.usda.gov</t>
        </is>
      </c>
      <c r="Q229" s="6" t="inlineStr">
        <is>
          <t>2026-09-26</t>
        </is>
      </c>
    </row>
    <row r="230">
      <c r="A230" s="6" t="inlineStr">
        <is>
          <t>hamburger_bun</t>
        </is>
      </c>
      <c r="B230" s="6" t="inlineStr">
        <is>
          <t>Hamburger bun, white</t>
        </is>
      </c>
      <c r="C230" s="6" t="inlineStr">
        <is>
          <t>grain</t>
        </is>
      </c>
      <c r="D230" s="6" t="n">
        <v>267</v>
      </c>
      <c r="E230" s="6" t="n">
        <v>9.43</v>
      </c>
      <c r="F230" s="6" t="n">
        <v>3.59</v>
      </c>
      <c r="G230" s="6" t="n">
        <v>49.2</v>
      </c>
      <c r="H230" s="6" t="n">
        <v>2.3</v>
      </c>
      <c r="I230" s="6" t="n">
        <v>46.9</v>
      </c>
      <c r="J230" s="6" t="n">
        <v>62</v>
      </c>
      <c r="K230" s="6" t="inlineStr">
        <is>
          <t>medium</t>
        </is>
      </c>
      <c r="L230" s="7" t="inlineStr">
        <is>
          <t>2021 International Tables, Suppl. Tables 1+2 (incl. studies with method deviations)</t>
        </is>
      </c>
      <c r="M230" s="7" t="inlineStr">
        <is>
          <t>median of 1 tested foods, range 62-62</t>
        </is>
      </c>
      <c r="N230" s="6" t="n">
        <v>62</v>
      </c>
      <c r="O230" s="7" t="inlineStr">
        <is>
          <t>Atkinson FS, Brand-Miller JC, Foster-Powell K, Buyken AE, Goletzke J. International tables of glycemic index and glycemic load values 2021. Am J Clin Nutr 2021;114(5):1625-32. doi:10.1093/ajcn/nqab233</t>
        </is>
      </c>
      <c r="P230" s="7" t="inlineStr">
        <is>
          <t>USDA FoodData Central (SR Legacy / Foundation Foods), fdc.nal.usda.gov</t>
        </is>
      </c>
      <c r="Q230" s="6" t="inlineStr">
        <is>
          <t>2026-09-26</t>
        </is>
      </c>
    </row>
    <row r="231">
      <c r="A231" s="6" t="inlineStr">
        <is>
          <t>flour_tortilla</t>
        </is>
      </c>
      <c r="B231" s="6" t="inlineStr">
        <is>
          <t>Flour tortilla, 8-inch</t>
        </is>
      </c>
      <c r="C231" s="6" t="inlineStr">
        <is>
          <t>grain</t>
        </is>
      </c>
      <c r="D231" s="6" t="n">
        <v>306</v>
      </c>
      <c r="E231" s="6" t="n">
        <v>8.199999999999999</v>
      </c>
      <c r="F231" s="6" t="n">
        <v>7.99</v>
      </c>
      <c r="G231" s="6" t="n">
        <v>49.4</v>
      </c>
      <c r="H231" s="6" t="n">
        <v>3.5</v>
      </c>
      <c r="I231" s="6" t="n">
        <v>45.9</v>
      </c>
      <c r="J231" s="6" t="n">
        <v>34</v>
      </c>
      <c r="K231" s="6" t="inlineStr">
        <is>
          <t>medium</t>
        </is>
      </c>
      <c r="L231" s="7" t="inlineStr">
        <is>
          <t>2021 International Tables, Suppl. Tables 1+2 (incl. studies with method deviations)</t>
        </is>
      </c>
      <c r="M231" s="7" t="inlineStr">
        <is>
          <t>median of 2 tested foods, range 30-38</t>
        </is>
      </c>
      <c r="N231" s="6" t="n">
        <v>34</v>
      </c>
      <c r="O231" s="7" t="inlineStr">
        <is>
          <t>Atkinson FS, Brand-Miller JC, Foster-Powell K, Buyken AE, Goletzke J. International tables of glycemic index and glycemic load values 2021. Am J Clin Nutr 2021;114(5):1625-32. doi:10.1093/ajcn/nqab233</t>
        </is>
      </c>
      <c r="P231" s="7" t="inlineStr">
        <is>
          <t>USDA FoodData Central (SR Legacy / Foundation Foods), fdc.nal.usda.gov</t>
        </is>
      </c>
      <c r="Q231" s="6" t="inlineStr">
        <is>
          <t>2026-09-26</t>
        </is>
      </c>
    </row>
    <row r="232">
      <c r="A232" s="6" t="inlineStr">
        <is>
          <t>white_pasta</t>
        </is>
      </c>
      <c r="B232" s="6" t="inlineStr">
        <is>
          <t>White pasta, cooked al dente</t>
        </is>
      </c>
      <c r="C232" s="6" t="inlineStr">
        <is>
          <t>grain</t>
        </is>
      </c>
      <c r="D232" s="6" t="n">
        <v>157</v>
      </c>
      <c r="E232" s="6" t="n">
        <v>5.76</v>
      </c>
      <c r="F232" s="6" t="n">
        <v>0.92</v>
      </c>
      <c r="G232" s="6" t="n">
        <v>30.7</v>
      </c>
      <c r="H232" s="6" t="n">
        <v>1.8</v>
      </c>
      <c r="I232" s="6" t="n">
        <v>28.9</v>
      </c>
      <c r="J232" s="6" t="n">
        <v>49</v>
      </c>
      <c r="K232" s="6" t="inlineStr">
        <is>
          <t>high</t>
        </is>
      </c>
      <c r="L232" s="7" t="inlineStr">
        <is>
          <t>2021 International Tables, Suppl. Table 1 (ISO 26642:2010-compliant studies)</t>
        </is>
      </c>
      <c r="M232" s="7" t="inlineStr">
        <is>
          <t>median of 5 tested foods, range 44-56</t>
        </is>
      </c>
      <c r="N232" s="6" t="n">
        <v>49</v>
      </c>
      <c r="O232" s="7" t="inlineStr">
        <is>
          <t>Atkinson FS, Brand-Miller JC, Foster-Powell K, Buyken AE, Goletzke J. International tables of glycemic index and glycemic load values 2021. Am J Clin Nutr 2021;114(5):1625-32. doi:10.1093/ajcn/nqab233</t>
        </is>
      </c>
      <c r="P232" s="7" t="inlineStr">
        <is>
          <t>USDA FoodData Central (SR Legacy / Foundation Foods), fdc.nal.usda.gov</t>
        </is>
      </c>
      <c r="Q232" s="6" t="inlineStr">
        <is>
          <t>2026-09-26</t>
        </is>
      </c>
    </row>
    <row r="233">
      <c r="A233" s="6" t="inlineStr">
        <is>
          <t>egg_noodles</t>
        </is>
      </c>
      <c r="B233" s="6" t="inlineStr">
        <is>
          <t>Egg noodles, cooked</t>
        </is>
      </c>
      <c r="C233" s="6" t="inlineStr">
        <is>
          <t>grain</t>
        </is>
      </c>
      <c r="D233" s="6" t="n">
        <v>137</v>
      </c>
      <c r="E233" s="6" t="n">
        <v>4.51</v>
      </c>
      <c r="F233" s="6" t="n">
        <v>2.06</v>
      </c>
      <c r="G233" s="6" t="n">
        <v>25</v>
      </c>
      <c r="H233" s="6" t="n">
        <v>1.2</v>
      </c>
      <c r="I233" s="6" t="n">
        <v>23.8</v>
      </c>
      <c r="J233" s="6" t="n">
        <v>60</v>
      </c>
      <c r="K233" s="6" t="inlineStr">
        <is>
          <t>medium</t>
        </is>
      </c>
      <c r="L233" s="7" t="inlineStr">
        <is>
          <t>2021 International Tables, Suppl. Tables 1+2 (incl. studies with method deviations)</t>
        </is>
      </c>
      <c r="M233" s="7" t="inlineStr">
        <is>
          <t>median of 1 tested foods, range 60-60</t>
        </is>
      </c>
      <c r="N233" s="6" t="n">
        <v>60</v>
      </c>
      <c r="O233" s="7" t="inlineStr">
        <is>
          <t>Atkinson FS, Brand-Miller JC, Foster-Powell K, Buyken AE, Goletzke J. International tables of glycemic index and glycemic load values 2021. Am J Clin Nutr 2021;114(5):1625-32. doi:10.1093/ajcn/nqab233</t>
        </is>
      </c>
      <c r="P233" s="7" t="inlineStr">
        <is>
          <t>USDA FoodData Central (SR Legacy / Foundation Foods), fdc.nal.usda.gov</t>
        </is>
      </c>
      <c r="Q233" s="6" t="inlineStr">
        <is>
          <t>2026-09-26</t>
        </is>
      </c>
    </row>
    <row r="234">
      <c r="A234" s="6" t="inlineStr">
        <is>
          <t>grits</t>
        </is>
      </c>
      <c r="B234" s="6" t="inlineStr">
        <is>
          <t>Grits, cooked with water</t>
        </is>
      </c>
      <c r="C234" s="6" t="inlineStr">
        <is>
          <t>grain</t>
        </is>
      </c>
      <c r="D234" s="6" t="n">
        <v>58</v>
      </c>
      <c r="E234" s="6" t="n">
        <v>1.2</v>
      </c>
      <c r="F234" s="6" t="n">
        <v>0.28</v>
      </c>
      <c r="G234" s="6" t="n">
        <v>12.4</v>
      </c>
      <c r="H234" s="6" t="n">
        <v>0.7</v>
      </c>
      <c r="I234" s="6" t="n">
        <v>11.7</v>
      </c>
      <c r="J234" s="6" t="n">
        <v>68</v>
      </c>
      <c r="K234" s="6" t="inlineStr">
        <is>
          <t>medium</t>
        </is>
      </c>
      <c r="L234" s="7" t="inlineStr">
        <is>
          <t>2021 International Tables, Suppl. Tables 1+2 (incl. studies with method deviations)</t>
        </is>
      </c>
      <c r="M234" s="7" t="inlineStr">
        <is>
          <t>median of 1 tested foods, range 68-68</t>
        </is>
      </c>
      <c r="N234" s="6" t="n">
        <v>68</v>
      </c>
      <c r="O234" s="7" t="inlineStr">
        <is>
          <t>Atkinson FS, Brand-Miller JC, Foster-Powell K, Buyken AE, Goletzke J. International tables of glycemic index and glycemic load values 2021. Am J Clin Nutr 2021;114(5):1625-32. doi:10.1093/ajcn/nqab233</t>
        </is>
      </c>
      <c r="P234" s="7" t="inlineStr">
        <is>
          <t>USDA FoodData Central (SR Legacy / Foundation Foods), fdc.nal.usda.gov</t>
        </is>
      </c>
      <c r="Q234" s="6" t="inlineStr">
        <is>
          <t>2026-09-26</t>
        </is>
      </c>
    </row>
    <row r="235">
      <c r="A235" s="6" t="inlineStr">
        <is>
          <t>bagel</t>
        </is>
      </c>
      <c r="B235" s="6" t="inlineStr">
        <is>
          <t>Bagel, plain</t>
        </is>
      </c>
      <c r="C235" s="6" t="inlineStr">
        <is>
          <t>grain</t>
        </is>
      </c>
      <c r="D235" s="6" t="n">
        <v>264</v>
      </c>
      <c r="E235" s="6" t="n">
        <v>10.56</v>
      </c>
      <c r="F235" s="6" t="n">
        <v>1.32</v>
      </c>
      <c r="G235" s="6" t="n">
        <v>52.4</v>
      </c>
      <c r="H235" s="6" t="n">
        <v>1.6</v>
      </c>
      <c r="I235" s="6" t="n">
        <v>50.8</v>
      </c>
      <c r="J235" s="6" t="n">
        <v>75</v>
      </c>
      <c r="K235" s="6" t="inlineStr">
        <is>
          <t>medium</t>
        </is>
      </c>
      <c r="L235" s="7" t="inlineStr">
        <is>
          <t>2021 International Tables, Suppl. Tables 1+2 (incl. studies with method deviations)</t>
        </is>
      </c>
      <c r="M235" s="7" t="inlineStr">
        <is>
          <t>median of 2 tested foods, range 73-77</t>
        </is>
      </c>
      <c r="N235" s="6" t="n">
        <v>75</v>
      </c>
      <c r="O235" s="7" t="inlineStr">
        <is>
          <t>Atkinson FS, Brand-Miller JC, Foster-Powell K, Buyken AE, Goletzke J. International tables of glycemic index and glycemic load values 2021. Am J Clin Nutr 2021;114(5):1625-32. doi:10.1093/ajcn/nqab233</t>
        </is>
      </c>
      <c r="P235" s="7" t="inlineStr">
        <is>
          <t>USDA FoodData Central (SR Legacy / Foundation Foods), fdc.nal.usda.gov</t>
        </is>
      </c>
      <c r="Q235" s="6" t="inlineStr">
        <is>
          <t>2026-09-26</t>
        </is>
      </c>
    </row>
    <row r="236">
      <c r="A236" s="6" t="inlineStr">
        <is>
          <t>tortilla_chips</t>
        </is>
      </c>
      <c r="B236" s="6" t="inlineStr">
        <is>
          <t>Tortilla chips, plain</t>
        </is>
      </c>
      <c r="C236" s="6" t="inlineStr">
        <is>
          <t>grain</t>
        </is>
      </c>
      <c r="D236" s="6" t="n">
        <v>472</v>
      </c>
      <c r="E236" s="6" t="n">
        <v>7.1</v>
      </c>
      <c r="F236" s="6" t="n">
        <v>20.7</v>
      </c>
      <c r="G236" s="6" t="n">
        <v>67.8</v>
      </c>
      <c r="H236" s="6" t="n">
        <v>5.4</v>
      </c>
      <c r="I236" s="6" t="n">
        <v>62.4</v>
      </c>
      <c r="J236" s="6" t="n">
        <v>58</v>
      </c>
      <c r="K236" s="6" t="inlineStr">
        <is>
          <t>medium</t>
        </is>
      </c>
      <c r="L236" s="7" t="inlineStr">
        <is>
          <t>2021 International Tables, Suppl. Tables 1+2 (incl. studies with method deviations)</t>
        </is>
      </c>
      <c r="M236" s="7" t="inlineStr">
        <is>
          <t>median of 2 tested foods, range 42-75</t>
        </is>
      </c>
      <c r="N236" s="6" t="n">
        <v>58</v>
      </c>
      <c r="O236" s="7" t="inlineStr">
        <is>
          <t>Atkinson FS, Brand-Miller JC, Foster-Powell K, Buyken AE, Goletzke J. International tables of glycemic index and glycemic load values 2021. Am J Clin Nutr 2021;114(5):1625-32. doi:10.1093/ajcn/nqab233</t>
        </is>
      </c>
      <c r="P236" s="7" t="inlineStr">
        <is>
          <t>USDA FoodData Central (SR Legacy / Foundation Foods), fdc.nal.usda.gov</t>
        </is>
      </c>
      <c r="Q236" s="6" t="inlineStr">
        <is>
          <t>2026-09-26</t>
        </is>
      </c>
    </row>
    <row r="237">
      <c r="A237" s="6" t="inlineStr">
        <is>
          <t>sugar_white</t>
        </is>
      </c>
      <c r="B237" s="6" t="inlineStr">
        <is>
          <t>White sugar</t>
        </is>
      </c>
      <c r="C237" s="6" t="inlineStr">
        <is>
          <t>pantry</t>
        </is>
      </c>
      <c r="D237" s="6" t="n">
        <v>401</v>
      </c>
      <c r="E237" s="6" t="n">
        <v>0</v>
      </c>
      <c r="F237" s="6" t="n">
        <v>0.32</v>
      </c>
      <c r="G237" s="6" t="n">
        <v>99.59999999999999</v>
      </c>
      <c r="H237" s="6" t="n">
        <v>0</v>
      </c>
      <c r="I237" s="6" t="n">
        <v>99.59999999999999</v>
      </c>
      <c r="J237" s="6" t="n">
        <v>63</v>
      </c>
      <c r="K237" s="6" t="inlineStr">
        <is>
          <t>high</t>
        </is>
      </c>
      <c r="L237" s="7" t="inlineStr">
        <is>
          <t>2021 International Tables, Suppl. Table 1 (ISO 26642:2010-compliant studies)</t>
        </is>
      </c>
      <c r="M237" s="7" t="inlineStr">
        <is>
          <t>median of 10 tested foods, range 59-91</t>
        </is>
      </c>
      <c r="N237" s="6" t="n">
        <v>63</v>
      </c>
      <c r="O237" s="7" t="inlineStr">
        <is>
          <t>Atkinson FS, Brand-Miller JC, Foster-Powell K, Buyken AE, Goletzke J. International tables of glycemic index and glycemic load values 2021. Am J Clin Nutr 2021;114(5):1625-32. doi:10.1093/ajcn/nqab233</t>
        </is>
      </c>
      <c r="P237" s="7" t="inlineStr">
        <is>
          <t>USDA FoodData Central (SR Legacy / Foundation Foods), fdc.nal.usda.gov</t>
        </is>
      </c>
      <c r="Q237" s="6" t="inlineStr">
        <is>
          <t>2026-09-26</t>
        </is>
      </c>
    </row>
    <row r="238">
      <c r="A238" s="6" t="inlineStr">
        <is>
          <t>whole_grain_crackers</t>
        </is>
      </c>
      <c r="B238" s="6" t="inlineStr">
        <is>
          <t>Whole grain seed crackers</t>
        </is>
      </c>
      <c r="C238" s="6" t="inlineStr">
        <is>
          <t>grain</t>
        </is>
      </c>
      <c r="D238" s="6" t="n">
        <v>420</v>
      </c>
      <c r="E238" s="6" t="n">
        <v>10</v>
      </c>
      <c r="F238" s="6" t="n">
        <v>14</v>
      </c>
      <c r="G238" s="6" t="n">
        <v>66</v>
      </c>
      <c r="H238" s="6" t="n">
        <v>10</v>
      </c>
      <c r="I238" s="6" t="n">
        <v>56</v>
      </c>
      <c r="J238" s="6" t="n">
        <v>55</v>
      </c>
      <c r="K238" s="6" t="inlineStr">
        <is>
          <t>high</t>
        </is>
      </c>
      <c r="L238" s="7" t="inlineStr">
        <is>
          <t>2021 International Tables, Suppl. Table 1 (ISO 26642:2010-compliant studies)</t>
        </is>
      </c>
      <c r="M238" s="7" t="inlineStr">
        <is>
          <t>median of 2 tested foods, range 53-53</t>
        </is>
      </c>
      <c r="N238" s="6" t="n">
        <v>53</v>
      </c>
      <c r="O238" s="7" t="inlineStr">
        <is>
          <t>Atkinson FS, Brand-Miller JC, Foster-Powell K, Buyken AE, Goletzke J. International tables of glycemic index and glycemic load values 2021. Am J Clin Nutr 2021;114(5):1625-32. doi:10.1093/ajcn/nqab233</t>
        </is>
      </c>
      <c r="P238" s="7" t="inlineStr">
        <is>
          <t>USDA FoodData Central (SR Legacy / Foundation Foods), fdc.nal.usda.gov</t>
        </is>
      </c>
      <c r="Q238" s="6" t="inlineStr">
        <is>
          <t>2026-09-26</t>
        </is>
      </c>
    </row>
    <row r="239">
      <c r="A239" s="6" t="inlineStr">
        <is>
          <t>popcorn</t>
        </is>
      </c>
      <c r="B239" s="6" t="inlineStr">
        <is>
          <t>Popcorn, air-popped</t>
        </is>
      </c>
      <c r="C239" s="6" t="inlineStr">
        <is>
          <t>grain</t>
        </is>
      </c>
      <c r="D239" s="6" t="n">
        <v>387</v>
      </c>
      <c r="E239" s="6" t="n">
        <v>13</v>
      </c>
      <c r="F239" s="6" t="n">
        <v>4.5</v>
      </c>
      <c r="G239" s="6" t="n">
        <v>78</v>
      </c>
      <c r="H239" s="6" t="n">
        <v>14.5</v>
      </c>
      <c r="I239" s="6" t="n">
        <v>63.5</v>
      </c>
      <c r="J239" s="6" t="n">
        <v>70</v>
      </c>
      <c r="K239" s="6" t="inlineStr">
        <is>
          <t>medium</t>
        </is>
      </c>
      <c r="L239" s="7" t="inlineStr">
        <is>
          <t>2021 International Tables, Suppl. Tables 1+2 (incl. studies with method deviations)</t>
        </is>
      </c>
      <c r="M239" s="7" t="inlineStr">
        <is>
          <t>median of 3 tested foods, range 55-89</t>
        </is>
      </c>
      <c r="N239" s="6" t="n">
        <v>70</v>
      </c>
      <c r="O239" s="7" t="inlineStr">
        <is>
          <t>Atkinson FS, Brand-Miller JC, Foster-Powell K, Buyken AE, Goletzke J. International tables of glycemic index and glycemic load values 2021. Am J Clin Nutr 2021;114(5):1625-32. doi:10.1093/ajcn/nqab233</t>
        </is>
      </c>
      <c r="P239" s="7" t="inlineStr">
        <is>
          <t>USDA FoodData Central (SR Legacy / Foundation Foods), fdc.nal.usda.gov</t>
        </is>
      </c>
      <c r="Q239" s="6" t="inlineStr">
        <is>
          <t>2026-09-26</t>
        </is>
      </c>
    </row>
    <row r="240">
      <c r="A240" s="6" t="inlineStr">
        <is>
          <t>almond_flour</t>
        </is>
      </c>
      <c r="B240" s="6" t="inlineStr">
        <is>
          <t>Almond flour</t>
        </is>
      </c>
      <c r="C240" s="6" t="inlineStr">
        <is>
          <t>nut</t>
        </is>
      </c>
      <c r="D240" s="6" t="n">
        <v>590</v>
      </c>
      <c r="E240" s="6" t="n">
        <v>21</v>
      </c>
      <c r="F240" s="6" t="n">
        <v>50</v>
      </c>
      <c r="G240" s="6" t="n">
        <v>21</v>
      </c>
      <c r="H240" s="6" t="n">
        <v>12</v>
      </c>
      <c r="I240" s="6" t="n">
        <v>9</v>
      </c>
      <c r="J240" s="6" t="n">
        <v>15</v>
      </c>
      <c r="K240" s="6" t="inlineStr">
        <is>
          <t>none (placeholder)</t>
        </is>
      </c>
      <c r="L240" s="7" t="inlineStr">
        <is>
          <t>Conventional placeholder for foods with too little carbohydrate to test (non-starchy vegetables, nuts, seeds, herbs); no published measurement exists</t>
        </is>
      </c>
      <c r="M240" s="7" t="inlineStr">
        <is>
          <t>not measurable</t>
        </is>
      </c>
      <c r="N240" s="6" t="n">
        <v>15</v>
      </c>
      <c r="O240" s="7" t="inlineStr">
        <is>
          <t>clinical convention</t>
        </is>
      </c>
      <c r="P240" s="7" t="inlineStr">
        <is>
          <t>USDA FoodData Central (SR Legacy / Foundation Foods), fdc.nal.usda.gov</t>
        </is>
      </c>
      <c r="Q240" s="6" t="inlineStr">
        <is>
          <t>2026-09-26</t>
        </is>
      </c>
    </row>
    <row r="241">
      <c r="A241" s="6" t="inlineStr">
        <is>
          <t>coconut_flour</t>
        </is>
      </c>
      <c r="B241" s="6" t="inlineStr">
        <is>
          <t>Coconut flour</t>
        </is>
      </c>
      <c r="C241" s="6" t="inlineStr">
        <is>
          <t>nut</t>
        </is>
      </c>
      <c r="D241" s="6" t="n">
        <v>400</v>
      </c>
      <c r="E241" s="6" t="n">
        <v>18</v>
      </c>
      <c r="F241" s="6" t="n">
        <v>13</v>
      </c>
      <c r="G241" s="6" t="n">
        <v>60</v>
      </c>
      <c r="H241" s="6" t="n">
        <v>38</v>
      </c>
      <c r="I241" s="6" t="n">
        <v>22</v>
      </c>
      <c r="J241" s="6" t="n">
        <v>45</v>
      </c>
      <c r="K241" s="6" t="inlineStr">
        <is>
          <t>low</t>
        </is>
      </c>
      <c r="L241" s="7" t="inlineStr">
        <is>
          <t>Estimated from the closest tested food; no direct measurement found in the pooled sources</t>
        </is>
      </c>
      <c r="M241" s="7" t="inlineStr">
        <is>
          <t>no direct match</t>
        </is>
      </c>
      <c r="N241" s="6" t="n">
        <v>45</v>
      </c>
      <c r="O24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1" s="7" t="inlineStr">
        <is>
          <t>USDA FoodData Central (SR Legacy / Foundation Foods), fdc.nal.usda.gov</t>
        </is>
      </c>
      <c r="Q241" s="6" t="inlineStr">
        <is>
          <t>2026-09-26</t>
        </is>
      </c>
    </row>
    <row r="242">
      <c r="A242" s="6" t="inlineStr">
        <is>
          <t>arrowroot</t>
        </is>
      </c>
      <c r="B242" s="6" t="inlineStr">
        <is>
          <t>Arrowroot starch</t>
        </is>
      </c>
      <c r="C242" s="6" t="inlineStr">
        <is>
          <t>grain</t>
        </is>
      </c>
      <c r="D242" s="6" t="n">
        <v>357</v>
      </c>
      <c r="E242" s="6" t="n">
        <v>0.3</v>
      </c>
      <c r="F242" s="6" t="n">
        <v>0.1</v>
      </c>
      <c r="G242" s="6" t="n">
        <v>88</v>
      </c>
      <c r="H242" s="6" t="n">
        <v>3.4</v>
      </c>
      <c r="I242" s="6" t="n">
        <v>84.59999999999999</v>
      </c>
      <c r="J242" s="6" t="n">
        <v>65</v>
      </c>
      <c r="K242" s="6" t="inlineStr">
        <is>
          <t>medium</t>
        </is>
      </c>
      <c r="L242" s="7" t="inlineStr">
        <is>
          <t>2021 International Tables, Suppl. Tables 1+2 (incl. studies with method deviations)</t>
        </is>
      </c>
      <c r="M242" s="7" t="inlineStr">
        <is>
          <t>median of 2 tested foods, range 62-64</t>
        </is>
      </c>
      <c r="N242" s="6" t="n">
        <v>63</v>
      </c>
      <c r="O242" s="7" t="inlineStr">
        <is>
          <t>Atkinson FS, Brand-Miller JC, Foster-Powell K, Buyken AE, Goletzke J. International tables of glycemic index and glycemic load values 2021. Am J Clin Nutr 2021;114(5):1625-32. doi:10.1093/ajcn/nqab233</t>
        </is>
      </c>
      <c r="P242" s="7" t="inlineStr">
        <is>
          <t>USDA FoodData Central (SR Legacy / Foundation Foods), fdc.nal.usda.gov</t>
        </is>
      </c>
      <c r="Q242" s="6" t="inlineStr">
        <is>
          <t>2026-09-26</t>
        </is>
      </c>
    </row>
    <row r="243">
      <c r="A243" s="6" t="inlineStr">
        <is>
          <t>psyllium</t>
        </is>
      </c>
      <c r="B243" s="6" t="inlineStr">
        <is>
          <t>Psyllium husk</t>
        </is>
      </c>
      <c r="C243" s="6" t="inlineStr">
        <is>
          <t>grain</t>
        </is>
      </c>
      <c r="D243" s="6" t="n">
        <v>42</v>
      </c>
      <c r="E243" s="6" t="n">
        <v>1.5</v>
      </c>
      <c r="F243" s="6" t="n">
        <v>0</v>
      </c>
      <c r="G243" s="6" t="n">
        <v>90</v>
      </c>
      <c r="H243" s="6" t="n">
        <v>88</v>
      </c>
      <c r="I243" s="6" t="n">
        <v>2</v>
      </c>
      <c r="J243" s="6" t="n">
        <v>0</v>
      </c>
      <c r="K243" s="6" t="inlineStr">
        <is>
          <t>low</t>
        </is>
      </c>
      <c r="L243" s="7" t="inlineStr">
        <is>
          <t>Estimated from the closest tested food; no direct measurement found in the pooled sources</t>
        </is>
      </c>
      <c r="M243" s="7" t="inlineStr">
        <is>
          <t>no direct match</t>
        </is>
      </c>
      <c r="N243" s="6" t="inlineStr"/>
      <c r="O24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3" s="7" t="inlineStr">
        <is>
          <t>USDA FoodData Central (SR Legacy / Foundation Foods), fdc.nal.usda.gov</t>
        </is>
      </c>
      <c r="Q243" s="6" t="inlineStr">
        <is>
          <t>2026-09-26</t>
        </is>
      </c>
    </row>
    <row r="244">
      <c r="A244" s="6" t="inlineStr">
        <is>
          <t>almonds</t>
        </is>
      </c>
      <c r="B244" s="6" t="inlineStr">
        <is>
          <t>Almonds</t>
        </is>
      </c>
      <c r="C244" s="6" t="inlineStr">
        <is>
          <t>nut</t>
        </is>
      </c>
      <c r="D244" s="6" t="n">
        <v>579</v>
      </c>
      <c r="E244" s="6" t="n">
        <v>21</v>
      </c>
      <c r="F244" s="6" t="n">
        <v>50</v>
      </c>
      <c r="G244" s="6" t="n">
        <v>22</v>
      </c>
      <c r="H244" s="6" t="n">
        <v>12.5</v>
      </c>
      <c r="I244" s="6" t="n">
        <v>9.5</v>
      </c>
      <c r="J244" s="6" t="n">
        <v>15</v>
      </c>
      <c r="K244" s="6" t="inlineStr">
        <is>
          <t>none (placeholder)</t>
        </is>
      </c>
      <c r="L244" s="7" t="inlineStr">
        <is>
          <t>Conventional placeholder for foods with too little carbohydrate to test (non-starchy vegetables, nuts, seeds, herbs); no published measurement exists</t>
        </is>
      </c>
      <c r="M244" s="7" t="inlineStr">
        <is>
          <t>not measurable</t>
        </is>
      </c>
      <c r="N244" s="6" t="n">
        <v>15</v>
      </c>
      <c r="O244" s="7" t="inlineStr">
        <is>
          <t>clinical convention</t>
        </is>
      </c>
      <c r="P244" s="7" t="inlineStr">
        <is>
          <t>USDA FoodData Central (SR Legacy / Foundation Foods), fdc.nal.usda.gov</t>
        </is>
      </c>
      <c r="Q244" s="6" t="inlineStr">
        <is>
          <t>2026-09-26</t>
        </is>
      </c>
    </row>
    <row r="245">
      <c r="A245" s="6" t="inlineStr">
        <is>
          <t>walnuts</t>
        </is>
      </c>
      <c r="B245" s="6" t="inlineStr">
        <is>
          <t>Walnuts</t>
        </is>
      </c>
      <c r="C245" s="6" t="inlineStr">
        <is>
          <t>nut</t>
        </is>
      </c>
      <c r="D245" s="6" t="n">
        <v>654</v>
      </c>
      <c r="E245" s="6" t="n">
        <v>15</v>
      </c>
      <c r="F245" s="6" t="n">
        <v>65</v>
      </c>
      <c r="G245" s="6" t="n">
        <v>14</v>
      </c>
      <c r="H245" s="6" t="n">
        <v>6.7</v>
      </c>
      <c r="I245" s="6" t="n">
        <v>7.3</v>
      </c>
      <c r="J245" s="6" t="n">
        <v>15</v>
      </c>
      <c r="K245" s="6" t="inlineStr">
        <is>
          <t>none (placeholder)</t>
        </is>
      </c>
      <c r="L245" s="7" t="inlineStr">
        <is>
          <t>Conventional placeholder for foods with too little carbohydrate to test (non-starchy vegetables, nuts, seeds, herbs); no published measurement exists</t>
        </is>
      </c>
      <c r="M245" s="7" t="inlineStr">
        <is>
          <t>not measurable</t>
        </is>
      </c>
      <c r="N245" s="6" t="n">
        <v>15</v>
      </c>
      <c r="O245" s="7" t="inlineStr">
        <is>
          <t>clinical convention</t>
        </is>
      </c>
      <c r="P245" s="7" t="inlineStr">
        <is>
          <t>USDA FoodData Central (SR Legacy / Foundation Foods), fdc.nal.usda.gov</t>
        </is>
      </c>
      <c r="Q245" s="6" t="inlineStr">
        <is>
          <t>2026-09-26</t>
        </is>
      </c>
    </row>
    <row r="246">
      <c r="A246" s="6" t="inlineStr">
        <is>
          <t>pecans</t>
        </is>
      </c>
      <c r="B246" s="6" t="inlineStr">
        <is>
          <t>Pecans</t>
        </is>
      </c>
      <c r="C246" s="6" t="inlineStr">
        <is>
          <t>nut</t>
        </is>
      </c>
      <c r="D246" s="6" t="n">
        <v>691</v>
      </c>
      <c r="E246" s="6" t="n">
        <v>9</v>
      </c>
      <c r="F246" s="6" t="n">
        <v>72</v>
      </c>
      <c r="G246" s="6" t="n">
        <v>14</v>
      </c>
      <c r="H246" s="6" t="n">
        <v>9.6</v>
      </c>
      <c r="I246" s="6" t="n">
        <v>4.4</v>
      </c>
      <c r="J246" s="6" t="n">
        <v>15</v>
      </c>
      <c r="K246" s="6" t="inlineStr">
        <is>
          <t>none (placeholder)</t>
        </is>
      </c>
      <c r="L246" s="7" t="inlineStr">
        <is>
          <t>Conventional placeholder for foods with too little carbohydrate to test (non-starchy vegetables, nuts, seeds, herbs); no published measurement exists</t>
        </is>
      </c>
      <c r="M246" s="7" t="inlineStr">
        <is>
          <t>not measurable</t>
        </is>
      </c>
      <c r="N246" s="6" t="inlineStr"/>
      <c r="O246" s="7" t="inlineStr">
        <is>
          <t>clinical convention</t>
        </is>
      </c>
      <c r="P246" s="7" t="inlineStr">
        <is>
          <t>USDA FoodData Central (SR Legacy / Foundation Foods), fdc.nal.usda.gov</t>
        </is>
      </c>
      <c r="Q246" s="6" t="inlineStr">
        <is>
          <t>2026-09-26</t>
        </is>
      </c>
    </row>
    <row r="247">
      <c r="A247" s="6" t="inlineStr">
        <is>
          <t>pistachios</t>
        </is>
      </c>
      <c r="B247" s="6" t="inlineStr">
        <is>
          <t>Pistachios, shelled</t>
        </is>
      </c>
      <c r="C247" s="6" t="inlineStr">
        <is>
          <t>nut</t>
        </is>
      </c>
      <c r="D247" s="6" t="n">
        <v>560</v>
      </c>
      <c r="E247" s="6" t="n">
        <v>20</v>
      </c>
      <c r="F247" s="6" t="n">
        <v>45</v>
      </c>
      <c r="G247" s="6" t="n">
        <v>28</v>
      </c>
      <c r="H247" s="6" t="n">
        <v>10.6</v>
      </c>
      <c r="I247" s="6" t="n">
        <v>17.4</v>
      </c>
      <c r="J247" s="6" t="n">
        <v>28</v>
      </c>
      <c r="K247" s="6" t="inlineStr">
        <is>
          <t>medium</t>
        </is>
      </c>
      <c r="L247" s="7" t="inlineStr">
        <is>
          <t>2021 International Tables, Suppl. Tables 1+2 (incl. studies with method deviations)</t>
        </is>
      </c>
      <c r="M247" s="7" t="inlineStr">
        <is>
          <t>median of 1 tested foods, range 28-28</t>
        </is>
      </c>
      <c r="N247" s="6" t="n">
        <v>28</v>
      </c>
      <c r="O247" s="7" t="inlineStr">
        <is>
          <t>Atkinson FS, Brand-Miller JC, Foster-Powell K, Buyken AE, Goletzke J. International tables of glycemic index and glycemic load values 2021. Am J Clin Nutr 2021;114(5):1625-32. doi:10.1093/ajcn/nqab233</t>
        </is>
      </c>
      <c r="P247" s="7" t="inlineStr">
        <is>
          <t>USDA FoodData Central (SR Legacy / Foundation Foods), fdc.nal.usda.gov</t>
        </is>
      </c>
      <c r="Q247" s="6" t="inlineStr">
        <is>
          <t>2026-09-26</t>
        </is>
      </c>
    </row>
    <row r="248">
      <c r="A248" s="6" t="inlineStr">
        <is>
          <t>cashews</t>
        </is>
      </c>
      <c r="B248" s="6" t="inlineStr">
        <is>
          <t>Cashews</t>
        </is>
      </c>
      <c r="C248" s="6" t="inlineStr">
        <is>
          <t>nut</t>
        </is>
      </c>
      <c r="D248" s="6" t="n">
        <v>553</v>
      </c>
      <c r="E248" s="6" t="n">
        <v>18</v>
      </c>
      <c r="F248" s="6" t="n">
        <v>44</v>
      </c>
      <c r="G248" s="6" t="n">
        <v>30</v>
      </c>
      <c r="H248" s="6" t="n">
        <v>3.3</v>
      </c>
      <c r="I248" s="6" t="n">
        <v>26.7</v>
      </c>
      <c r="J248" s="6" t="n">
        <v>27</v>
      </c>
      <c r="K248" s="6" t="inlineStr">
        <is>
          <t>medium</t>
        </is>
      </c>
      <c r="L248" s="7" t="inlineStr">
        <is>
          <t>2021 International Tables, Suppl. Tables 1+2 (incl. studies with method deviations)</t>
        </is>
      </c>
      <c r="M248" s="7" t="inlineStr">
        <is>
          <t>median of 1 tested foods, range 27-27</t>
        </is>
      </c>
      <c r="N248" s="6" t="n">
        <v>27</v>
      </c>
      <c r="O248" s="7" t="inlineStr">
        <is>
          <t>Atkinson FS, Brand-Miller JC, Foster-Powell K, Buyken AE, Goletzke J. International tables of glycemic index and glycemic load values 2021. Am J Clin Nutr 2021;114(5):1625-32. doi:10.1093/ajcn/nqab233</t>
        </is>
      </c>
      <c r="P248" s="7" t="inlineStr">
        <is>
          <t>USDA FoodData Central (SR Legacy / Foundation Foods), fdc.nal.usda.gov</t>
        </is>
      </c>
      <c r="Q248" s="6" t="inlineStr">
        <is>
          <t>2026-09-26</t>
        </is>
      </c>
    </row>
    <row r="249">
      <c r="A249" s="6" t="inlineStr">
        <is>
          <t>peanuts</t>
        </is>
      </c>
      <c r="B249" s="6" t="inlineStr">
        <is>
          <t>Peanuts, dry roasted</t>
        </is>
      </c>
      <c r="C249" s="6" t="inlineStr">
        <is>
          <t>nut</t>
        </is>
      </c>
      <c r="D249" s="6" t="n">
        <v>567</v>
      </c>
      <c r="E249" s="6" t="n">
        <v>26</v>
      </c>
      <c r="F249" s="6" t="n">
        <v>49</v>
      </c>
      <c r="G249" s="6" t="n">
        <v>16</v>
      </c>
      <c r="H249" s="6" t="n">
        <v>8.5</v>
      </c>
      <c r="I249" s="6" t="n">
        <v>7.5</v>
      </c>
      <c r="J249" s="6" t="n">
        <v>14</v>
      </c>
      <c r="K249" s="6" t="inlineStr">
        <is>
          <t>medium</t>
        </is>
      </c>
      <c r="L249" s="7" t="inlineStr">
        <is>
          <t>2021 International Tables, Suppl. Tables 1+2 (incl. studies with method deviations)</t>
        </is>
      </c>
      <c r="M249" s="7" t="inlineStr">
        <is>
          <t>median of 6 tested foods, range 5-30</t>
        </is>
      </c>
      <c r="N249" s="6" t="n">
        <v>18</v>
      </c>
      <c r="O249" s="7" t="inlineStr">
        <is>
          <t>Atkinson FS, Brand-Miller JC, Foster-Powell K, Buyken AE, Goletzke J. International tables of glycemic index and glycemic load values 2021. Am J Clin Nutr 2021;114(5):1625-32. doi:10.1093/ajcn/nqab233</t>
        </is>
      </c>
      <c r="P249" s="7" t="inlineStr">
        <is>
          <t>USDA FoodData Central (SR Legacy / Foundation Foods), fdc.nal.usda.gov</t>
        </is>
      </c>
      <c r="Q249" s="6" t="inlineStr">
        <is>
          <t>2026-09-26</t>
        </is>
      </c>
    </row>
    <row r="250">
      <c r="A250" s="6" t="inlineStr">
        <is>
          <t>macadamia</t>
        </is>
      </c>
      <c r="B250" s="6" t="inlineStr">
        <is>
          <t>Macadamia nuts</t>
        </is>
      </c>
      <c r="C250" s="6" t="inlineStr">
        <is>
          <t>nut</t>
        </is>
      </c>
      <c r="D250" s="6" t="n">
        <v>718</v>
      </c>
      <c r="E250" s="6" t="n">
        <v>8</v>
      </c>
      <c r="F250" s="6" t="n">
        <v>76</v>
      </c>
      <c r="G250" s="6" t="n">
        <v>14</v>
      </c>
      <c r="H250" s="6" t="n">
        <v>8.6</v>
      </c>
      <c r="I250" s="6" t="n">
        <v>5.4</v>
      </c>
      <c r="J250" s="6" t="n">
        <v>15</v>
      </c>
      <c r="K250" s="6" t="inlineStr">
        <is>
          <t>none (placeholder)</t>
        </is>
      </c>
      <c r="L250" s="7" t="inlineStr">
        <is>
          <t>Conventional placeholder for foods with too little carbohydrate to test (non-starchy vegetables, nuts, seeds, herbs); no published measurement exists</t>
        </is>
      </c>
      <c r="M250" s="7" t="inlineStr">
        <is>
          <t>not measurable</t>
        </is>
      </c>
      <c r="N250" s="6" t="inlineStr"/>
      <c r="O250" s="7" t="inlineStr">
        <is>
          <t>clinical convention</t>
        </is>
      </c>
      <c r="P250" s="7" t="inlineStr">
        <is>
          <t>USDA FoodData Central (SR Legacy / Foundation Foods), fdc.nal.usda.gov</t>
        </is>
      </c>
      <c r="Q250" s="6" t="inlineStr">
        <is>
          <t>2026-09-26</t>
        </is>
      </c>
    </row>
    <row r="251">
      <c r="A251" s="6" t="inlineStr">
        <is>
          <t>hazelnuts</t>
        </is>
      </c>
      <c r="B251" s="6" t="inlineStr">
        <is>
          <t>Hazelnuts</t>
        </is>
      </c>
      <c r="C251" s="6" t="inlineStr">
        <is>
          <t>nut</t>
        </is>
      </c>
      <c r="D251" s="6" t="n">
        <v>628</v>
      </c>
      <c r="E251" s="6" t="n">
        <v>15</v>
      </c>
      <c r="F251" s="6" t="n">
        <v>61</v>
      </c>
      <c r="G251" s="6" t="n">
        <v>17</v>
      </c>
      <c r="H251" s="6" t="n">
        <v>9.699999999999999</v>
      </c>
      <c r="I251" s="6" t="n">
        <v>7.3</v>
      </c>
      <c r="J251" s="6" t="n">
        <v>15</v>
      </c>
      <c r="K251" s="6" t="inlineStr">
        <is>
          <t>none (placeholder)</t>
        </is>
      </c>
      <c r="L251" s="7" t="inlineStr">
        <is>
          <t>Conventional placeholder for foods with too little carbohydrate to test (non-starchy vegetables, nuts, seeds, herbs); no published measurement exists</t>
        </is>
      </c>
      <c r="M251" s="7" t="inlineStr">
        <is>
          <t>not measurable</t>
        </is>
      </c>
      <c r="N251" s="6" t="inlineStr"/>
      <c r="O251" s="7" t="inlineStr">
        <is>
          <t>clinical convention</t>
        </is>
      </c>
      <c r="P251" s="7" t="inlineStr">
        <is>
          <t>USDA FoodData Central (SR Legacy / Foundation Foods), fdc.nal.usda.gov</t>
        </is>
      </c>
      <c r="Q251" s="6" t="inlineStr">
        <is>
          <t>2026-09-26</t>
        </is>
      </c>
    </row>
    <row r="252">
      <c r="A252" s="6" t="inlineStr">
        <is>
          <t>pine_nuts</t>
        </is>
      </c>
      <c r="B252" s="6" t="inlineStr">
        <is>
          <t>Pine nuts</t>
        </is>
      </c>
      <c r="C252" s="6" t="inlineStr">
        <is>
          <t>nut</t>
        </is>
      </c>
      <c r="D252" s="6" t="n">
        <v>673</v>
      </c>
      <c r="E252" s="6" t="n">
        <v>14</v>
      </c>
      <c r="F252" s="6" t="n">
        <v>68</v>
      </c>
      <c r="G252" s="6" t="n">
        <v>13</v>
      </c>
      <c r="H252" s="6" t="n">
        <v>3.7</v>
      </c>
      <c r="I252" s="6" t="n">
        <v>9.300000000000001</v>
      </c>
      <c r="J252" s="6" t="n">
        <v>15</v>
      </c>
      <c r="K252" s="6" t="inlineStr">
        <is>
          <t>none (placeholder)</t>
        </is>
      </c>
      <c r="L252" s="7" t="inlineStr">
        <is>
          <t>Conventional placeholder for foods with too little carbohydrate to test (non-starchy vegetables, nuts, seeds, herbs); no published measurement exists</t>
        </is>
      </c>
      <c r="M252" s="7" t="inlineStr">
        <is>
          <t>not measurable</t>
        </is>
      </c>
      <c r="N252" s="6" t="inlineStr"/>
      <c r="O252" s="7" t="inlineStr">
        <is>
          <t>clinical convention</t>
        </is>
      </c>
      <c r="P252" s="7" t="inlineStr">
        <is>
          <t>USDA FoodData Central (SR Legacy / Foundation Foods), fdc.nal.usda.gov</t>
        </is>
      </c>
      <c r="Q252" s="6" t="inlineStr">
        <is>
          <t>2026-09-26</t>
        </is>
      </c>
    </row>
    <row r="253">
      <c r="A253" s="6" t="inlineStr">
        <is>
          <t>peanut_butter</t>
        </is>
      </c>
      <c r="B253" s="6" t="inlineStr">
        <is>
          <t>Peanut butter, natural</t>
        </is>
      </c>
      <c r="C253" s="6" t="inlineStr">
        <is>
          <t>nut</t>
        </is>
      </c>
      <c r="D253" s="6" t="n">
        <v>588</v>
      </c>
      <c r="E253" s="6" t="n">
        <v>25</v>
      </c>
      <c r="F253" s="6" t="n">
        <v>50</v>
      </c>
      <c r="G253" s="6" t="n">
        <v>20</v>
      </c>
      <c r="H253" s="6" t="n">
        <v>6</v>
      </c>
      <c r="I253" s="6" t="n">
        <v>14</v>
      </c>
      <c r="J253" s="6" t="n">
        <v>14</v>
      </c>
      <c r="K253" s="6" t="inlineStr">
        <is>
          <t>low</t>
        </is>
      </c>
      <c r="L253" s="7" t="inlineStr">
        <is>
          <t>Estimated from the closest tested food; no direct measurement found in the pooled sources</t>
        </is>
      </c>
      <c r="M253" s="7" t="inlineStr">
        <is>
          <t>no direct match</t>
        </is>
      </c>
      <c r="N253" s="6" t="n">
        <v>14</v>
      </c>
      <c r="O2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3" s="7" t="inlineStr">
        <is>
          <t>USDA FoodData Central (SR Legacy / Foundation Foods), fdc.nal.usda.gov</t>
        </is>
      </c>
      <c r="Q253" s="6" t="inlineStr">
        <is>
          <t>2026-09-26</t>
        </is>
      </c>
    </row>
    <row r="254">
      <c r="A254" s="6" t="inlineStr">
        <is>
          <t>almond_butter</t>
        </is>
      </c>
      <c r="B254" s="6" t="inlineStr">
        <is>
          <t>Almond butter</t>
        </is>
      </c>
      <c r="C254" s="6" t="inlineStr">
        <is>
          <t>nut</t>
        </is>
      </c>
      <c r="D254" s="6" t="n">
        <v>614</v>
      </c>
      <c r="E254" s="6" t="n">
        <v>21</v>
      </c>
      <c r="F254" s="6" t="n">
        <v>56</v>
      </c>
      <c r="G254" s="6" t="n">
        <v>19</v>
      </c>
      <c r="H254" s="6" t="n">
        <v>10</v>
      </c>
      <c r="I254" s="6" t="n">
        <v>9</v>
      </c>
      <c r="J254" s="6" t="n">
        <v>15</v>
      </c>
      <c r="K254" s="6" t="inlineStr">
        <is>
          <t>none (placeholder)</t>
        </is>
      </c>
      <c r="L254" s="7" t="inlineStr">
        <is>
          <t>Conventional placeholder for foods with too little carbohydrate to test (non-starchy vegetables, nuts, seeds, herbs); no published measurement exists</t>
        </is>
      </c>
      <c r="M254" s="7" t="inlineStr">
        <is>
          <t>not measurable</t>
        </is>
      </c>
      <c r="N254" s="6" t="inlineStr"/>
      <c r="O254" s="7" t="inlineStr">
        <is>
          <t>clinical convention</t>
        </is>
      </c>
      <c r="P254" s="7" t="inlineStr">
        <is>
          <t>USDA FoodData Central (SR Legacy / Foundation Foods), fdc.nal.usda.gov</t>
        </is>
      </c>
      <c r="Q254" s="6" t="inlineStr">
        <is>
          <t>2026-09-26</t>
        </is>
      </c>
    </row>
    <row r="255">
      <c r="A255" s="6" t="inlineStr">
        <is>
          <t>tahini</t>
        </is>
      </c>
      <c r="B255" s="6" t="inlineStr">
        <is>
          <t>Tahini</t>
        </is>
      </c>
      <c r="C255" s="6" t="inlineStr">
        <is>
          <t>nut</t>
        </is>
      </c>
      <c r="D255" s="6" t="n">
        <v>595</v>
      </c>
      <c r="E255" s="6" t="n">
        <v>17</v>
      </c>
      <c r="F255" s="6" t="n">
        <v>54</v>
      </c>
      <c r="G255" s="6" t="n">
        <v>21</v>
      </c>
      <c r="H255" s="6" t="n">
        <v>9</v>
      </c>
      <c r="I255" s="6" t="n">
        <v>12</v>
      </c>
      <c r="J255" s="6" t="n">
        <v>40</v>
      </c>
      <c r="K255" s="6" t="inlineStr">
        <is>
          <t>low</t>
        </is>
      </c>
      <c r="L255" s="7" t="inlineStr">
        <is>
          <t>Estimated from the closest tested food; no direct measurement found in the pooled sources</t>
        </is>
      </c>
      <c r="M255" s="7" t="inlineStr">
        <is>
          <t>no direct match</t>
        </is>
      </c>
      <c r="N255" s="6" t="n">
        <v>40</v>
      </c>
      <c r="O2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5" s="7" t="inlineStr">
        <is>
          <t>USDA FoodData Central (SR Legacy / Foundation Foods), fdc.nal.usda.gov</t>
        </is>
      </c>
      <c r="Q255" s="6" t="inlineStr">
        <is>
          <t>2026-09-26</t>
        </is>
      </c>
    </row>
    <row r="256">
      <c r="A256" s="6" t="inlineStr">
        <is>
          <t>chia_seeds</t>
        </is>
      </c>
      <c r="B256" s="6" t="inlineStr">
        <is>
          <t>Chia seeds</t>
        </is>
      </c>
      <c r="C256" s="6" t="inlineStr">
        <is>
          <t>seed</t>
        </is>
      </c>
      <c r="D256" s="6" t="n">
        <v>486</v>
      </c>
      <c r="E256" s="6" t="n">
        <v>17</v>
      </c>
      <c r="F256" s="6" t="n">
        <v>31</v>
      </c>
      <c r="G256" s="6" t="n">
        <v>42</v>
      </c>
      <c r="H256" s="6" t="n">
        <v>34</v>
      </c>
      <c r="I256" s="6" t="n">
        <v>8</v>
      </c>
      <c r="J256" s="6" t="n">
        <v>15</v>
      </c>
      <c r="K256" s="6" t="inlineStr">
        <is>
          <t>none (placeholder)</t>
        </is>
      </c>
      <c r="L256" s="7" t="inlineStr">
        <is>
          <t>Conventional placeholder for foods with too little carbohydrate to test (non-starchy vegetables, nuts, seeds, herbs); no published measurement exists</t>
        </is>
      </c>
      <c r="M256" s="7" t="inlineStr">
        <is>
          <t>not measurable</t>
        </is>
      </c>
      <c r="N256" s="6" t="n">
        <v>15</v>
      </c>
      <c r="O256" s="7" t="inlineStr">
        <is>
          <t>clinical convention</t>
        </is>
      </c>
      <c r="P256" s="7" t="inlineStr">
        <is>
          <t>USDA FoodData Central (SR Legacy / Foundation Foods), fdc.nal.usda.gov</t>
        </is>
      </c>
      <c r="Q256" s="6" t="inlineStr">
        <is>
          <t>2026-09-26</t>
        </is>
      </c>
    </row>
    <row r="257">
      <c r="A257" s="6" t="inlineStr">
        <is>
          <t>flaxseed</t>
        </is>
      </c>
      <c r="B257" s="6" t="inlineStr">
        <is>
          <t>Ground flaxseed</t>
        </is>
      </c>
      <c r="C257" s="6" t="inlineStr">
        <is>
          <t>seed</t>
        </is>
      </c>
      <c r="D257" s="6" t="n">
        <v>534</v>
      </c>
      <c r="E257" s="6" t="n">
        <v>18</v>
      </c>
      <c r="F257" s="6" t="n">
        <v>42</v>
      </c>
      <c r="G257" s="6" t="n">
        <v>29</v>
      </c>
      <c r="H257" s="6" t="n">
        <v>27</v>
      </c>
      <c r="I257" s="6" t="n">
        <v>2</v>
      </c>
      <c r="J257" s="6" t="n">
        <v>15</v>
      </c>
      <c r="K257" s="6" t="inlineStr">
        <is>
          <t>none (placeholder)</t>
        </is>
      </c>
      <c r="L257" s="7" t="inlineStr">
        <is>
          <t>Conventional placeholder for foods with too little carbohydrate to test (non-starchy vegetables, nuts, seeds, herbs); no published measurement exists</t>
        </is>
      </c>
      <c r="M257" s="7" t="inlineStr">
        <is>
          <t>not measurable</t>
        </is>
      </c>
      <c r="N257" s="6" t="n">
        <v>15</v>
      </c>
      <c r="O257" s="7" t="inlineStr">
        <is>
          <t>clinical convention</t>
        </is>
      </c>
      <c r="P257" s="7" t="inlineStr">
        <is>
          <t>USDA FoodData Central (SR Legacy / Foundation Foods), fdc.nal.usda.gov</t>
        </is>
      </c>
      <c r="Q257" s="6" t="inlineStr">
        <is>
          <t>2026-09-26</t>
        </is>
      </c>
    </row>
    <row r="258">
      <c r="A258" s="6" t="inlineStr">
        <is>
          <t>hemp_seeds</t>
        </is>
      </c>
      <c r="B258" s="6" t="inlineStr">
        <is>
          <t>Hemp seeds</t>
        </is>
      </c>
      <c r="C258" s="6" t="inlineStr">
        <is>
          <t>seed</t>
        </is>
      </c>
      <c r="D258" s="6" t="n">
        <v>553</v>
      </c>
      <c r="E258" s="6" t="n">
        <v>32</v>
      </c>
      <c r="F258" s="6" t="n">
        <v>49</v>
      </c>
      <c r="G258" s="6" t="n">
        <v>8.699999999999999</v>
      </c>
      <c r="H258" s="6" t="n">
        <v>4</v>
      </c>
      <c r="I258" s="6" t="n">
        <v>4.7</v>
      </c>
      <c r="J258" s="6" t="n">
        <v>15</v>
      </c>
      <c r="K258" s="6" t="inlineStr">
        <is>
          <t>none (placeholder)</t>
        </is>
      </c>
      <c r="L258" s="7" t="inlineStr">
        <is>
          <t>Conventional placeholder for foods with too little carbohydrate to test (non-starchy vegetables, nuts, seeds, herbs); no published measurement exists</t>
        </is>
      </c>
      <c r="M258" s="7" t="inlineStr">
        <is>
          <t>not measurable</t>
        </is>
      </c>
      <c r="N258" s="6" t="inlineStr"/>
      <c r="O258" s="7" t="inlineStr">
        <is>
          <t>clinical convention</t>
        </is>
      </c>
      <c r="P258" s="7" t="inlineStr">
        <is>
          <t>USDA FoodData Central (SR Legacy / Foundation Foods), fdc.nal.usda.gov</t>
        </is>
      </c>
      <c r="Q258" s="6" t="inlineStr">
        <is>
          <t>2026-09-26</t>
        </is>
      </c>
    </row>
    <row r="259">
      <c r="A259" s="6" t="inlineStr">
        <is>
          <t>sunflower_seeds</t>
        </is>
      </c>
      <c r="B259" s="6" t="inlineStr">
        <is>
          <t>Sunflower seeds</t>
        </is>
      </c>
      <c r="C259" s="6" t="inlineStr">
        <is>
          <t>seed</t>
        </is>
      </c>
      <c r="D259" s="6" t="n">
        <v>584</v>
      </c>
      <c r="E259" s="6" t="n">
        <v>21</v>
      </c>
      <c r="F259" s="6" t="n">
        <v>51</v>
      </c>
      <c r="G259" s="6" t="n">
        <v>20</v>
      </c>
      <c r="H259" s="6" t="n">
        <v>8.6</v>
      </c>
      <c r="I259" s="6" t="n">
        <v>11.4</v>
      </c>
      <c r="J259" s="6" t="n">
        <v>15</v>
      </c>
      <c r="K259" s="6" t="inlineStr">
        <is>
          <t>none (placeholder)</t>
        </is>
      </c>
      <c r="L259" s="7" t="inlineStr">
        <is>
          <t>Conventional placeholder for foods with too little carbohydrate to test (non-starchy vegetables, nuts, seeds, herbs); no published measurement exists</t>
        </is>
      </c>
      <c r="M259" s="7" t="inlineStr">
        <is>
          <t>not measurable</t>
        </is>
      </c>
      <c r="N259" s="6" t="n">
        <v>15</v>
      </c>
      <c r="O259" s="7" t="inlineStr">
        <is>
          <t>clinical convention</t>
        </is>
      </c>
      <c r="P259" s="7" t="inlineStr">
        <is>
          <t>USDA FoodData Central (SR Legacy / Foundation Foods), fdc.nal.usda.gov</t>
        </is>
      </c>
      <c r="Q259" s="6" t="inlineStr">
        <is>
          <t>2026-09-26</t>
        </is>
      </c>
    </row>
    <row r="260">
      <c r="A260" s="6" t="inlineStr">
        <is>
          <t>pumpkin_seeds</t>
        </is>
      </c>
      <c r="B260" s="6" t="inlineStr">
        <is>
          <t>Pumpkin seeds (pepitas)</t>
        </is>
      </c>
      <c r="C260" s="6" t="inlineStr">
        <is>
          <t>seed</t>
        </is>
      </c>
      <c r="D260" s="6" t="n">
        <v>559</v>
      </c>
      <c r="E260" s="6" t="n">
        <v>30</v>
      </c>
      <c r="F260" s="6" t="n">
        <v>49</v>
      </c>
      <c r="G260" s="6" t="n">
        <v>11</v>
      </c>
      <c r="H260" s="6" t="n">
        <v>6</v>
      </c>
      <c r="I260" s="6" t="n">
        <v>5</v>
      </c>
      <c r="J260" s="6" t="n">
        <v>15</v>
      </c>
      <c r="K260" s="6" t="inlineStr">
        <is>
          <t>none (placeholder)</t>
        </is>
      </c>
      <c r="L260" s="7" t="inlineStr">
        <is>
          <t>Conventional placeholder for foods with too little carbohydrate to test (non-starchy vegetables, nuts, seeds, herbs); no published measurement exists</t>
        </is>
      </c>
      <c r="M260" s="7" t="inlineStr">
        <is>
          <t>not measurable</t>
        </is>
      </c>
      <c r="N260" s="6" t="n">
        <v>15</v>
      </c>
      <c r="O260" s="7" t="inlineStr">
        <is>
          <t>clinical convention</t>
        </is>
      </c>
      <c r="P260" s="7" t="inlineStr">
        <is>
          <t>USDA FoodData Central (SR Legacy / Foundation Foods), fdc.nal.usda.gov</t>
        </is>
      </c>
      <c r="Q260" s="6" t="inlineStr">
        <is>
          <t>2026-09-26</t>
        </is>
      </c>
    </row>
    <row r="261">
      <c r="A261" s="6" t="inlineStr">
        <is>
          <t>sesame_seeds</t>
        </is>
      </c>
      <c r="B261" s="6" t="inlineStr">
        <is>
          <t>Sesame seeds</t>
        </is>
      </c>
      <c r="C261" s="6" t="inlineStr">
        <is>
          <t>seed</t>
        </is>
      </c>
      <c r="D261" s="6" t="n">
        <v>573</v>
      </c>
      <c r="E261" s="6" t="n">
        <v>18</v>
      </c>
      <c r="F261" s="6" t="n">
        <v>50</v>
      </c>
      <c r="G261" s="6" t="n">
        <v>23</v>
      </c>
      <c r="H261" s="6" t="n">
        <v>12</v>
      </c>
      <c r="I261" s="6" t="n">
        <v>11</v>
      </c>
      <c r="J261" s="6" t="n">
        <v>35</v>
      </c>
      <c r="K261" s="6" t="inlineStr">
        <is>
          <t>low</t>
        </is>
      </c>
      <c r="L261" s="7" t="inlineStr">
        <is>
          <t>Estimated from the closest tested food; no direct measurement found in the pooled sources</t>
        </is>
      </c>
      <c r="M261" s="7" t="inlineStr">
        <is>
          <t>no direct match</t>
        </is>
      </c>
      <c r="N261" s="6" t="n">
        <v>35</v>
      </c>
      <c r="O2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1" s="7" t="inlineStr">
        <is>
          <t>USDA FoodData Central (SR Legacy / Foundation Foods), fdc.nal.usda.gov</t>
        </is>
      </c>
      <c r="Q261" s="6" t="inlineStr">
        <is>
          <t>2026-09-26</t>
        </is>
      </c>
    </row>
    <row r="262">
      <c r="A262" s="6" t="inlineStr">
        <is>
          <t>olive_oil</t>
        </is>
      </c>
      <c r="B262" s="6" t="inlineStr">
        <is>
          <t>Extra-virgin olive oil</t>
        </is>
      </c>
      <c r="C262" s="6" t="inlineStr">
        <is>
          <t>fat</t>
        </is>
      </c>
      <c r="D262" s="6" t="n">
        <v>884</v>
      </c>
      <c r="E262" s="6" t="n">
        <v>0</v>
      </c>
      <c r="F262" s="6" t="n">
        <v>100</v>
      </c>
      <c r="G262" s="6" t="n">
        <v>0</v>
      </c>
      <c r="H262" s="6" t="n">
        <v>0</v>
      </c>
      <c r="I262" s="6" t="n">
        <v>0</v>
      </c>
      <c r="J262" s="6" t="n">
        <v>0</v>
      </c>
      <c r="K262" s="6" t="inlineStr">
        <is>
          <t>definitional</t>
        </is>
      </c>
      <c r="L262" s="7" t="inlineStr">
        <is>
          <t>No available carbohydrate — GI is 0 by definition (protein / fat / water)</t>
        </is>
      </c>
      <c r="M262" s="7" t="inlineStr">
        <is>
          <t>n/a</t>
        </is>
      </c>
      <c r="N262" s="6" t="inlineStr"/>
      <c r="O262" s="7" t="inlineStr">
        <is>
          <t>ISO 26642:2010</t>
        </is>
      </c>
      <c r="P262" s="7" t="inlineStr">
        <is>
          <t>USDA FoodData Central (SR Legacy / Foundation Foods), fdc.nal.usda.gov</t>
        </is>
      </c>
      <c r="Q262" s="6" t="inlineStr">
        <is>
          <t>2026-09-26</t>
        </is>
      </c>
    </row>
    <row r="263">
      <c r="A263" s="6" t="inlineStr">
        <is>
          <t>avocado_oil</t>
        </is>
      </c>
      <c r="B263" s="6" t="inlineStr">
        <is>
          <t>Avocado oil</t>
        </is>
      </c>
      <c r="C263" s="6" t="inlineStr">
        <is>
          <t>fat</t>
        </is>
      </c>
      <c r="D263" s="6" t="n">
        <v>884</v>
      </c>
      <c r="E263" s="6" t="n">
        <v>0</v>
      </c>
      <c r="F263" s="6" t="n">
        <v>100</v>
      </c>
      <c r="G263" s="6" t="n">
        <v>0</v>
      </c>
      <c r="H263" s="6" t="n">
        <v>0</v>
      </c>
      <c r="I263" s="6" t="n">
        <v>0</v>
      </c>
      <c r="J263" s="6" t="n">
        <v>0</v>
      </c>
      <c r="K263" s="6" t="inlineStr">
        <is>
          <t>definitional</t>
        </is>
      </c>
      <c r="L263" s="7" t="inlineStr">
        <is>
          <t>No available carbohydrate — GI is 0 by definition (protein / fat / water)</t>
        </is>
      </c>
      <c r="M263" s="7" t="inlineStr">
        <is>
          <t>n/a</t>
        </is>
      </c>
      <c r="N263" s="6" t="inlineStr"/>
      <c r="O263" s="7" t="inlineStr">
        <is>
          <t>ISO 26642:2010</t>
        </is>
      </c>
      <c r="P263" s="7" t="inlineStr">
        <is>
          <t>USDA FoodData Central (SR Legacy / Foundation Foods), fdc.nal.usda.gov</t>
        </is>
      </c>
      <c r="Q263" s="6" t="inlineStr">
        <is>
          <t>2026-09-26</t>
        </is>
      </c>
    </row>
    <row r="264">
      <c r="A264" s="6" t="inlineStr">
        <is>
          <t>coconut_oil</t>
        </is>
      </c>
      <c r="B264" s="6" t="inlineStr">
        <is>
          <t>Coconut oil</t>
        </is>
      </c>
      <c r="C264" s="6" t="inlineStr">
        <is>
          <t>fat</t>
        </is>
      </c>
      <c r="D264" s="6" t="n">
        <v>862</v>
      </c>
      <c r="E264" s="6" t="n">
        <v>0</v>
      </c>
      <c r="F264" s="6" t="n">
        <v>100</v>
      </c>
      <c r="G264" s="6" t="n">
        <v>0</v>
      </c>
      <c r="H264" s="6" t="n">
        <v>0</v>
      </c>
      <c r="I264" s="6" t="n">
        <v>0</v>
      </c>
      <c r="J264" s="6" t="n">
        <v>0</v>
      </c>
      <c r="K264" s="6" t="inlineStr">
        <is>
          <t>definitional</t>
        </is>
      </c>
      <c r="L264" s="7" t="inlineStr">
        <is>
          <t>No available carbohydrate — GI is 0 by definition (protein / fat / water)</t>
        </is>
      </c>
      <c r="M264" s="7" t="inlineStr">
        <is>
          <t>n/a</t>
        </is>
      </c>
      <c r="N264" s="6" t="inlineStr"/>
      <c r="O264" s="7" t="inlineStr">
        <is>
          <t>ISO 26642:2010</t>
        </is>
      </c>
      <c r="P264" s="7" t="inlineStr">
        <is>
          <t>USDA FoodData Central (SR Legacy / Foundation Foods), fdc.nal.usda.gov</t>
        </is>
      </c>
      <c r="Q264" s="6" t="inlineStr">
        <is>
          <t>2026-09-26</t>
        </is>
      </c>
    </row>
    <row r="265">
      <c r="A265" s="6" t="inlineStr">
        <is>
          <t>sesame_oil</t>
        </is>
      </c>
      <c r="B265" s="6" t="inlineStr">
        <is>
          <t>Toasted sesame oil</t>
        </is>
      </c>
      <c r="C265" s="6" t="inlineStr">
        <is>
          <t>fat</t>
        </is>
      </c>
      <c r="D265" s="6" t="n">
        <v>884</v>
      </c>
      <c r="E265" s="6" t="n">
        <v>0</v>
      </c>
      <c r="F265" s="6" t="n">
        <v>100</v>
      </c>
      <c r="G265" s="6" t="n">
        <v>0</v>
      </c>
      <c r="H265" s="6" t="n">
        <v>0</v>
      </c>
      <c r="I265" s="6" t="n">
        <v>0</v>
      </c>
      <c r="J265" s="6" t="n">
        <v>0</v>
      </c>
      <c r="K265" s="6" t="inlineStr">
        <is>
          <t>definitional</t>
        </is>
      </c>
      <c r="L265" s="7" t="inlineStr">
        <is>
          <t>No available carbohydrate — GI is 0 by definition (protein / fat / water)</t>
        </is>
      </c>
      <c r="M265" s="7" t="inlineStr">
        <is>
          <t>n/a</t>
        </is>
      </c>
      <c r="N265" s="6" t="inlineStr"/>
      <c r="O265" s="7" t="inlineStr">
        <is>
          <t>ISO 26642:2010</t>
        </is>
      </c>
      <c r="P265" s="7" t="inlineStr">
        <is>
          <t>USDA FoodData Central (SR Legacy / Foundation Foods), fdc.nal.usda.gov</t>
        </is>
      </c>
      <c r="Q265" s="6" t="inlineStr">
        <is>
          <t>2026-09-26</t>
        </is>
      </c>
    </row>
    <row r="266">
      <c r="A266" s="6" t="inlineStr">
        <is>
          <t>mayo</t>
        </is>
      </c>
      <c r="B266" s="6" t="inlineStr">
        <is>
          <t>Mayonnaise (avocado oil)</t>
        </is>
      </c>
      <c r="C266" s="6" t="inlineStr">
        <is>
          <t>fat</t>
        </is>
      </c>
      <c r="D266" s="6" t="n">
        <v>700</v>
      </c>
      <c r="E266" s="6" t="n">
        <v>0</v>
      </c>
      <c r="F266" s="6" t="n">
        <v>78</v>
      </c>
      <c r="G266" s="6" t="n">
        <v>0</v>
      </c>
      <c r="H266" s="6" t="n">
        <v>0</v>
      </c>
      <c r="I266" s="6" t="n">
        <v>0</v>
      </c>
      <c r="J266" s="6" t="n">
        <v>0</v>
      </c>
      <c r="K266" s="6" t="inlineStr">
        <is>
          <t>definitional</t>
        </is>
      </c>
      <c r="L266" s="7" t="inlineStr">
        <is>
          <t>No available carbohydrate — GI is 0 by definition (protein / fat / water)</t>
        </is>
      </c>
      <c r="M266" s="7" t="inlineStr">
        <is>
          <t>n/a</t>
        </is>
      </c>
      <c r="N266" s="6" t="inlineStr"/>
      <c r="O266" s="7" t="inlineStr">
        <is>
          <t>ISO 26642:2010</t>
        </is>
      </c>
      <c r="P266" s="7" t="inlineStr">
        <is>
          <t>USDA FoodData Central (SR Legacy / Foundation Foods), fdc.nal.usda.gov</t>
        </is>
      </c>
      <c r="Q266" s="6" t="inlineStr">
        <is>
          <t>2026-09-26</t>
        </is>
      </c>
    </row>
    <row r="267">
      <c r="A267" s="6" t="inlineStr">
        <is>
          <t>dijon</t>
        </is>
      </c>
      <c r="B267" s="6" t="inlineStr">
        <is>
          <t>Dijon mustard</t>
        </is>
      </c>
      <c r="C267" s="6" t="inlineStr">
        <is>
          <t>condiment</t>
        </is>
      </c>
      <c r="D267" s="6" t="n">
        <v>66</v>
      </c>
      <c r="E267" s="6" t="n">
        <v>4</v>
      </c>
      <c r="F267" s="6" t="n">
        <v>3.3</v>
      </c>
      <c r="G267" s="6" t="n">
        <v>5</v>
      </c>
      <c r="H267" s="6" t="n">
        <v>3</v>
      </c>
      <c r="I267" s="6" t="n">
        <v>2</v>
      </c>
      <c r="J267" s="6" t="n">
        <v>15</v>
      </c>
      <c r="K267" s="6" t="inlineStr">
        <is>
          <t>none (placeholder)</t>
        </is>
      </c>
      <c r="L267" s="7" t="inlineStr">
        <is>
          <t>Conventional placeholder for foods with too little carbohydrate to test (non-starchy vegetables, nuts, seeds, herbs); no published measurement exists</t>
        </is>
      </c>
      <c r="M267" s="7" t="inlineStr">
        <is>
          <t>not measurable</t>
        </is>
      </c>
      <c r="N267" s="6" t="inlineStr"/>
      <c r="O267" s="7" t="inlineStr">
        <is>
          <t>clinical convention</t>
        </is>
      </c>
      <c r="P267" s="7" t="inlineStr">
        <is>
          <t>USDA FoodData Central (SR Legacy / Foundation Foods), fdc.nal.usda.gov</t>
        </is>
      </c>
      <c r="Q267" s="6" t="inlineStr">
        <is>
          <t>2026-09-26</t>
        </is>
      </c>
    </row>
    <row r="268">
      <c r="A268" s="6" t="inlineStr">
        <is>
          <t>yellow_mustard</t>
        </is>
      </c>
      <c r="B268" s="6" t="inlineStr">
        <is>
          <t>Yellow mustard</t>
        </is>
      </c>
      <c r="C268" s="6" t="inlineStr">
        <is>
          <t>condiment</t>
        </is>
      </c>
      <c r="D268" s="6" t="n">
        <v>60</v>
      </c>
      <c r="E268" s="6" t="n">
        <v>4</v>
      </c>
      <c r="F268" s="6" t="n">
        <v>3</v>
      </c>
      <c r="G268" s="6" t="n">
        <v>5</v>
      </c>
      <c r="H268" s="6" t="n">
        <v>3</v>
      </c>
      <c r="I268" s="6" t="n">
        <v>2</v>
      </c>
      <c r="J268" s="6" t="n">
        <v>15</v>
      </c>
      <c r="K268" s="6" t="inlineStr">
        <is>
          <t>none (placeholder)</t>
        </is>
      </c>
      <c r="L268" s="7" t="inlineStr">
        <is>
          <t>Conventional placeholder for foods with too little carbohydrate to test (non-starchy vegetables, nuts, seeds, herbs); no published measurement exists</t>
        </is>
      </c>
      <c r="M268" s="7" t="inlineStr">
        <is>
          <t>not measurable</t>
        </is>
      </c>
      <c r="N268" s="6" t="inlineStr"/>
      <c r="O268" s="7" t="inlineStr">
        <is>
          <t>clinical convention</t>
        </is>
      </c>
      <c r="P268" s="7" t="inlineStr">
        <is>
          <t>USDA FoodData Central (SR Legacy / Foundation Foods), fdc.nal.usda.gov</t>
        </is>
      </c>
      <c r="Q268" s="6" t="inlineStr">
        <is>
          <t>2026-09-26</t>
        </is>
      </c>
    </row>
    <row r="269">
      <c r="A269" s="6" t="inlineStr">
        <is>
          <t>soy_sauce</t>
        </is>
      </c>
      <c r="B269" s="6" t="inlineStr">
        <is>
          <t>Soy sauce, low sodium</t>
        </is>
      </c>
      <c r="C269" s="6" t="inlineStr">
        <is>
          <t>condiment</t>
        </is>
      </c>
      <c r="D269" s="6" t="n">
        <v>53</v>
      </c>
      <c r="E269" s="6" t="n">
        <v>8</v>
      </c>
      <c r="F269" s="6" t="n">
        <v>0</v>
      </c>
      <c r="G269" s="6" t="n">
        <v>5</v>
      </c>
      <c r="H269" s="6" t="n">
        <v>0.8</v>
      </c>
      <c r="I269" s="6" t="n">
        <v>4.2</v>
      </c>
      <c r="J269" s="6" t="n">
        <v>20</v>
      </c>
      <c r="K269" s="6" t="inlineStr">
        <is>
          <t>low</t>
        </is>
      </c>
      <c r="L269" s="7" t="inlineStr">
        <is>
          <t>Estimated from the closest tested food; no direct measurement found in the pooled sources</t>
        </is>
      </c>
      <c r="M269" s="7" t="inlineStr">
        <is>
          <t>no direct match</t>
        </is>
      </c>
      <c r="N269" s="6" t="n">
        <v>20</v>
      </c>
      <c r="O2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9" s="7" t="inlineStr">
        <is>
          <t>USDA FoodData Central (SR Legacy / Foundation Foods), fdc.nal.usda.gov</t>
        </is>
      </c>
      <c r="Q269" s="6" t="inlineStr">
        <is>
          <t>2026-09-26</t>
        </is>
      </c>
    </row>
    <row r="270">
      <c r="A270" s="6" t="inlineStr">
        <is>
          <t>tamari</t>
        </is>
      </c>
      <c r="B270" s="6" t="inlineStr">
        <is>
          <t>Tamari (gluten-free soy sauce)</t>
        </is>
      </c>
      <c r="C270" s="6" t="inlineStr">
        <is>
          <t>condiment</t>
        </is>
      </c>
      <c r="D270" s="6" t="n">
        <v>60</v>
      </c>
      <c r="E270" s="6" t="n">
        <v>10</v>
      </c>
      <c r="F270" s="6" t="n">
        <v>0</v>
      </c>
      <c r="G270" s="6" t="n">
        <v>5</v>
      </c>
      <c r="H270" s="6" t="n">
        <v>0.8</v>
      </c>
      <c r="I270" s="6" t="n">
        <v>4.2</v>
      </c>
      <c r="J270" s="6" t="n">
        <v>20</v>
      </c>
      <c r="K270" s="6" t="inlineStr">
        <is>
          <t>low</t>
        </is>
      </c>
      <c r="L270" s="7" t="inlineStr">
        <is>
          <t>Estimated from the closest tested food; no direct measurement found in the pooled sources</t>
        </is>
      </c>
      <c r="M270" s="7" t="inlineStr">
        <is>
          <t>no direct match</t>
        </is>
      </c>
      <c r="N270" s="6" t="inlineStr"/>
      <c r="O2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0" s="7" t="inlineStr">
        <is>
          <t>USDA FoodData Central (SR Legacy / Foundation Foods), fdc.nal.usda.gov</t>
        </is>
      </c>
      <c r="Q270" s="6" t="inlineStr">
        <is>
          <t>2026-09-26</t>
        </is>
      </c>
    </row>
    <row r="271">
      <c r="A271" s="6" t="inlineStr">
        <is>
          <t>coconut_aminos</t>
        </is>
      </c>
      <c r="B271" s="6" t="inlineStr">
        <is>
          <t>Coconut aminos</t>
        </is>
      </c>
      <c r="C271" s="6" t="inlineStr">
        <is>
          <t>condiment</t>
        </is>
      </c>
      <c r="D271" s="6" t="n">
        <v>90</v>
      </c>
      <c r="E271" s="6" t="n">
        <v>0</v>
      </c>
      <c r="F271" s="6" t="n">
        <v>0</v>
      </c>
      <c r="G271" s="6" t="n">
        <v>22</v>
      </c>
      <c r="H271" s="6" t="n">
        <v>0</v>
      </c>
      <c r="I271" s="6" t="n">
        <v>22</v>
      </c>
      <c r="J271" s="6" t="n">
        <v>35</v>
      </c>
      <c r="K271" s="6" t="inlineStr">
        <is>
          <t>low</t>
        </is>
      </c>
      <c r="L271" s="7" t="inlineStr">
        <is>
          <t>Estimated from the closest tested food; no direct measurement found in the pooled sources</t>
        </is>
      </c>
      <c r="M271" s="7" t="inlineStr">
        <is>
          <t>no direct match</t>
        </is>
      </c>
      <c r="N271" s="6" t="inlineStr"/>
      <c r="O27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1" s="7" t="inlineStr">
        <is>
          <t>USDA FoodData Central (SR Legacy / Foundation Foods), fdc.nal.usda.gov</t>
        </is>
      </c>
      <c r="Q271" s="6" t="inlineStr">
        <is>
          <t>2026-09-26</t>
        </is>
      </c>
    </row>
    <row r="272">
      <c r="A272" s="6" t="inlineStr">
        <is>
          <t>fish_sauce</t>
        </is>
      </c>
      <c r="B272" s="6" t="inlineStr">
        <is>
          <t>Fish sauce</t>
        </is>
      </c>
      <c r="C272" s="6" t="inlineStr">
        <is>
          <t>condiment</t>
        </is>
      </c>
      <c r="D272" s="6" t="n">
        <v>35</v>
      </c>
      <c r="E272" s="6" t="n">
        <v>5</v>
      </c>
      <c r="F272" s="6" t="n">
        <v>0</v>
      </c>
      <c r="G272" s="6" t="n">
        <v>4</v>
      </c>
      <c r="H272" s="6" t="n">
        <v>0</v>
      </c>
      <c r="I272" s="6" t="n">
        <v>4</v>
      </c>
      <c r="J272" s="6" t="n">
        <v>0</v>
      </c>
      <c r="K272" s="6" t="inlineStr">
        <is>
          <t>low</t>
        </is>
      </c>
      <c r="L272" s="7" t="inlineStr">
        <is>
          <t>Estimated from the closest tested food; no direct measurement found in the pooled sources</t>
        </is>
      </c>
      <c r="M272" s="7" t="inlineStr">
        <is>
          <t>no direct match</t>
        </is>
      </c>
      <c r="N272" s="6" t="inlineStr"/>
      <c r="O2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2" s="7" t="inlineStr">
        <is>
          <t>USDA FoodData Central (SR Legacy / Foundation Foods), fdc.nal.usda.gov</t>
        </is>
      </c>
      <c r="Q272" s="6" t="inlineStr">
        <is>
          <t>2026-09-26</t>
        </is>
      </c>
    </row>
    <row r="273">
      <c r="A273" s="6" t="inlineStr">
        <is>
          <t>rice_vinegar</t>
        </is>
      </c>
      <c r="B273" s="6" t="inlineStr">
        <is>
          <t>Rice vinegar, unseasoned</t>
        </is>
      </c>
      <c r="C273" s="6" t="inlineStr">
        <is>
          <t>condiment</t>
        </is>
      </c>
      <c r="D273" s="6" t="n">
        <v>18</v>
      </c>
      <c r="E273" s="6" t="n">
        <v>0</v>
      </c>
      <c r="F273" s="6" t="n">
        <v>0</v>
      </c>
      <c r="G273" s="6" t="n">
        <v>0.5</v>
      </c>
      <c r="H273" s="6" t="n">
        <v>0</v>
      </c>
      <c r="I273" s="6" t="n">
        <v>0.5</v>
      </c>
      <c r="J273" s="6" t="n">
        <v>0</v>
      </c>
      <c r="K273" s="6" t="inlineStr">
        <is>
          <t>definitional</t>
        </is>
      </c>
      <c r="L273" s="7" t="inlineStr">
        <is>
          <t>No available carbohydrate — GI is 0 by definition (protein / fat / water)</t>
        </is>
      </c>
      <c r="M273" s="7" t="inlineStr">
        <is>
          <t>n/a</t>
        </is>
      </c>
      <c r="N273" s="6" t="inlineStr"/>
      <c r="O273" s="7" t="inlineStr">
        <is>
          <t>ISO 26642:2010</t>
        </is>
      </c>
      <c r="P273" s="7" t="inlineStr">
        <is>
          <t>USDA FoodData Central (SR Legacy / Foundation Foods), fdc.nal.usda.gov</t>
        </is>
      </c>
      <c r="Q273" s="6" t="inlineStr">
        <is>
          <t>2026-09-26</t>
        </is>
      </c>
    </row>
    <row r="274">
      <c r="A274" s="6" t="inlineStr">
        <is>
          <t>apple_cider_vinegar</t>
        </is>
      </c>
      <c r="B274" s="6" t="inlineStr">
        <is>
          <t>Apple cider vinegar</t>
        </is>
      </c>
      <c r="C274" s="6" t="inlineStr">
        <is>
          <t>condiment</t>
        </is>
      </c>
      <c r="D274" s="6" t="n">
        <v>21</v>
      </c>
      <c r="E274" s="6" t="n">
        <v>0</v>
      </c>
      <c r="F274" s="6" t="n">
        <v>0</v>
      </c>
      <c r="G274" s="6" t="n">
        <v>0.9</v>
      </c>
      <c r="H274" s="6" t="n">
        <v>0</v>
      </c>
      <c r="I274" s="6" t="n">
        <v>0.9</v>
      </c>
      <c r="J274" s="6" t="n">
        <v>0</v>
      </c>
      <c r="K274" s="6" t="inlineStr">
        <is>
          <t>low</t>
        </is>
      </c>
      <c r="L274" s="7" t="inlineStr">
        <is>
          <t>Estimated from the closest tested food; no direct measurement found in the pooled sources</t>
        </is>
      </c>
      <c r="M274" s="7" t="inlineStr">
        <is>
          <t>no direct match</t>
        </is>
      </c>
      <c r="N274" s="6" t="inlineStr"/>
      <c r="O27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4" s="7" t="inlineStr">
        <is>
          <t>USDA FoodData Central (SR Legacy / Foundation Foods), fdc.nal.usda.gov</t>
        </is>
      </c>
      <c r="Q274" s="6" t="inlineStr">
        <is>
          <t>2026-09-26</t>
        </is>
      </c>
    </row>
    <row r="275">
      <c r="A275" s="6" t="inlineStr">
        <is>
          <t>red_wine_vinegar</t>
        </is>
      </c>
      <c r="B275" s="6" t="inlineStr">
        <is>
          <t>Red wine vinegar</t>
        </is>
      </c>
      <c r="C275" s="6" t="inlineStr">
        <is>
          <t>condiment</t>
        </is>
      </c>
      <c r="D275" s="6" t="n">
        <v>19</v>
      </c>
      <c r="E275" s="6" t="n">
        <v>0</v>
      </c>
      <c r="F275" s="6" t="n">
        <v>0</v>
      </c>
      <c r="G275" s="6" t="n">
        <v>0.3</v>
      </c>
      <c r="H275" s="6" t="n">
        <v>0</v>
      </c>
      <c r="I275" s="6" t="n">
        <v>0.3</v>
      </c>
      <c r="J275" s="6" t="n">
        <v>0</v>
      </c>
      <c r="K275" s="6" t="inlineStr">
        <is>
          <t>definitional</t>
        </is>
      </c>
      <c r="L275" s="7" t="inlineStr">
        <is>
          <t>No available carbohydrate — GI is 0 by definition (protein / fat / water)</t>
        </is>
      </c>
      <c r="M275" s="7" t="inlineStr">
        <is>
          <t>n/a</t>
        </is>
      </c>
      <c r="N275" s="6" t="inlineStr"/>
      <c r="O275" s="7" t="inlineStr">
        <is>
          <t>ISO 26642:2010</t>
        </is>
      </c>
      <c r="P275" s="7" t="inlineStr">
        <is>
          <t>USDA FoodData Central (SR Legacy / Foundation Foods), fdc.nal.usda.gov</t>
        </is>
      </c>
      <c r="Q275" s="6" t="inlineStr">
        <is>
          <t>2026-09-26</t>
        </is>
      </c>
    </row>
    <row r="276">
      <c r="A276" s="6" t="inlineStr">
        <is>
          <t>white_wine_vinegar</t>
        </is>
      </c>
      <c r="B276" s="6" t="inlineStr">
        <is>
          <t>White wine vinegar</t>
        </is>
      </c>
      <c r="C276" s="6" t="inlineStr">
        <is>
          <t>condiment</t>
        </is>
      </c>
      <c r="D276" s="6" t="n">
        <v>19</v>
      </c>
      <c r="E276" s="6" t="n">
        <v>0</v>
      </c>
      <c r="F276" s="6" t="n">
        <v>0</v>
      </c>
      <c r="G276" s="6" t="n">
        <v>0.3</v>
      </c>
      <c r="H276" s="6" t="n">
        <v>0</v>
      </c>
      <c r="I276" s="6" t="n">
        <v>0.3</v>
      </c>
      <c r="J276" s="6" t="n">
        <v>0</v>
      </c>
      <c r="K276" s="6" t="inlineStr">
        <is>
          <t>definitional</t>
        </is>
      </c>
      <c r="L276" s="7" t="inlineStr">
        <is>
          <t>No available carbohydrate — GI is 0 by definition (protein / fat / water)</t>
        </is>
      </c>
      <c r="M276" s="7" t="inlineStr">
        <is>
          <t>n/a</t>
        </is>
      </c>
      <c r="N276" s="6" t="inlineStr"/>
      <c r="O276" s="7" t="inlineStr">
        <is>
          <t>ISO 26642:2010</t>
        </is>
      </c>
      <c r="P276" s="7" t="inlineStr">
        <is>
          <t>USDA FoodData Central (SR Legacy / Foundation Foods), fdc.nal.usda.gov</t>
        </is>
      </c>
      <c r="Q276" s="6" t="inlineStr">
        <is>
          <t>2026-09-26</t>
        </is>
      </c>
    </row>
    <row r="277">
      <c r="A277" s="6" t="inlineStr">
        <is>
          <t>balsamic_vinegar</t>
        </is>
      </c>
      <c r="B277" s="6" t="inlineStr">
        <is>
          <t>Balsamic vinegar</t>
        </is>
      </c>
      <c r="C277" s="6" t="inlineStr">
        <is>
          <t>condiment</t>
        </is>
      </c>
      <c r="D277" s="6" t="n">
        <v>88</v>
      </c>
      <c r="E277" s="6" t="n">
        <v>0.5</v>
      </c>
      <c r="F277" s="6" t="n">
        <v>0</v>
      </c>
      <c r="G277" s="6" t="n">
        <v>17</v>
      </c>
      <c r="H277" s="6" t="n">
        <v>0</v>
      </c>
      <c r="I277" s="6" t="n">
        <v>17</v>
      </c>
      <c r="J277" s="6" t="n">
        <v>35</v>
      </c>
      <c r="K277" s="6" t="inlineStr">
        <is>
          <t>low</t>
        </is>
      </c>
      <c r="L277" s="7" t="inlineStr">
        <is>
          <t>Estimated from the closest tested food; no direct measurement found in the pooled sources</t>
        </is>
      </c>
      <c r="M277" s="7" t="inlineStr">
        <is>
          <t>no direct match</t>
        </is>
      </c>
      <c r="N277" s="6" t="n">
        <v>35</v>
      </c>
      <c r="O2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7" s="7" t="inlineStr">
        <is>
          <t>USDA FoodData Central (SR Legacy / Foundation Foods), fdc.nal.usda.gov</t>
        </is>
      </c>
      <c r="Q277" s="6" t="inlineStr">
        <is>
          <t>2026-09-26</t>
        </is>
      </c>
    </row>
    <row r="278">
      <c r="A278" s="6" t="inlineStr">
        <is>
          <t>hot_sauce</t>
        </is>
      </c>
      <c r="B278" s="6" t="inlineStr">
        <is>
          <t>Hot sauce (Tabasco/Frank's)</t>
        </is>
      </c>
      <c r="C278" s="6" t="inlineStr">
        <is>
          <t>condiment</t>
        </is>
      </c>
      <c r="D278" s="6" t="n">
        <v>12</v>
      </c>
      <c r="E278" s="6" t="n">
        <v>0.5</v>
      </c>
      <c r="F278" s="6" t="n">
        <v>0.4</v>
      </c>
      <c r="G278" s="6" t="n">
        <v>1.8</v>
      </c>
      <c r="H278" s="6" t="n">
        <v>0.3</v>
      </c>
      <c r="I278" s="6" t="n">
        <v>1.5</v>
      </c>
      <c r="J278" s="6" t="n">
        <v>15</v>
      </c>
      <c r="K278" s="6" t="inlineStr">
        <is>
          <t>none (placeholder)</t>
        </is>
      </c>
      <c r="L278" s="7" t="inlineStr">
        <is>
          <t>Conventional placeholder for foods with too little carbohydrate to test (non-starchy vegetables, nuts, seeds, herbs); no published measurement exists</t>
        </is>
      </c>
      <c r="M278" s="7" t="inlineStr">
        <is>
          <t>not measurable</t>
        </is>
      </c>
      <c r="N278" s="6" t="inlineStr"/>
      <c r="O278" s="7" t="inlineStr">
        <is>
          <t>clinical convention</t>
        </is>
      </c>
      <c r="P278" s="7" t="inlineStr">
        <is>
          <t>USDA FoodData Central (SR Legacy / Foundation Foods), fdc.nal.usda.gov</t>
        </is>
      </c>
      <c r="Q278" s="6" t="inlineStr">
        <is>
          <t>2026-09-26</t>
        </is>
      </c>
    </row>
    <row r="279">
      <c r="A279" s="6" t="inlineStr">
        <is>
          <t>sriracha</t>
        </is>
      </c>
      <c r="B279" s="6" t="inlineStr">
        <is>
          <t>Sriracha</t>
        </is>
      </c>
      <c r="C279" s="6" t="inlineStr">
        <is>
          <t>condiment</t>
        </is>
      </c>
      <c r="D279" s="6" t="n">
        <v>93</v>
      </c>
      <c r="E279" s="6" t="n">
        <v>2</v>
      </c>
      <c r="F279" s="6" t="n">
        <v>1</v>
      </c>
      <c r="G279" s="6" t="n">
        <v>19</v>
      </c>
      <c r="H279" s="6" t="n">
        <v>2</v>
      </c>
      <c r="I279" s="6" t="n">
        <v>17</v>
      </c>
      <c r="J279" s="6" t="n">
        <v>35</v>
      </c>
      <c r="K279" s="6" t="inlineStr">
        <is>
          <t>low</t>
        </is>
      </c>
      <c r="L279" s="7" t="inlineStr">
        <is>
          <t>Estimated from the closest tested food; no direct measurement found in the pooled sources</t>
        </is>
      </c>
      <c r="M279" s="7" t="inlineStr">
        <is>
          <t>no direct match</t>
        </is>
      </c>
      <c r="N279" s="6" t="inlineStr"/>
      <c r="O2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9" s="7" t="inlineStr">
        <is>
          <t>USDA FoodData Central (SR Legacy / Foundation Foods), fdc.nal.usda.gov</t>
        </is>
      </c>
      <c r="Q279" s="6" t="inlineStr">
        <is>
          <t>2026-09-26</t>
        </is>
      </c>
    </row>
    <row r="280">
      <c r="A280" s="6" t="inlineStr">
        <is>
          <t>salsa</t>
        </is>
      </c>
      <c r="B280" s="6" t="inlineStr">
        <is>
          <t>Salsa, no sugar added</t>
        </is>
      </c>
      <c r="C280" s="6" t="inlineStr">
        <is>
          <t>condiment</t>
        </is>
      </c>
      <c r="D280" s="6" t="n">
        <v>36</v>
      </c>
      <c r="E280" s="6" t="n">
        <v>1.5</v>
      </c>
      <c r="F280" s="6" t="n">
        <v>0.2</v>
      </c>
      <c r="G280" s="6" t="n">
        <v>7</v>
      </c>
      <c r="H280" s="6" t="n">
        <v>1.5</v>
      </c>
      <c r="I280" s="6" t="n">
        <v>5.5</v>
      </c>
      <c r="J280" s="6" t="n">
        <v>30</v>
      </c>
      <c r="K280" s="6" t="inlineStr">
        <is>
          <t>low</t>
        </is>
      </c>
      <c r="L280" s="7" t="inlineStr">
        <is>
          <t>Estimated from the closest tested food; no direct measurement found in the pooled sources</t>
        </is>
      </c>
      <c r="M280" s="7" t="inlineStr">
        <is>
          <t>no direct match</t>
        </is>
      </c>
      <c r="N280" s="6" t="n">
        <v>30</v>
      </c>
      <c r="O2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0" s="7" t="inlineStr">
        <is>
          <t>USDA FoodData Central (SR Legacy / Foundation Foods), fdc.nal.usda.gov</t>
        </is>
      </c>
      <c r="Q280" s="6" t="inlineStr">
        <is>
          <t>2026-09-26</t>
        </is>
      </c>
    </row>
    <row r="281">
      <c r="A281" s="6" t="inlineStr">
        <is>
          <t>salsa_verde</t>
        </is>
      </c>
      <c r="B281" s="6" t="inlineStr">
        <is>
          <t>Salsa verde</t>
        </is>
      </c>
      <c r="C281" s="6" t="inlineStr">
        <is>
          <t>condiment</t>
        </is>
      </c>
      <c r="D281" s="6" t="n">
        <v>30</v>
      </c>
      <c r="E281" s="6" t="n">
        <v>1</v>
      </c>
      <c r="F281" s="6" t="n">
        <v>0.5</v>
      </c>
      <c r="G281" s="6" t="n">
        <v>6</v>
      </c>
      <c r="H281" s="6" t="n">
        <v>1.5</v>
      </c>
      <c r="I281" s="6" t="n">
        <v>4.5</v>
      </c>
      <c r="J281" s="6" t="n">
        <v>30</v>
      </c>
      <c r="K281" s="6" t="inlineStr">
        <is>
          <t>low</t>
        </is>
      </c>
      <c r="L281" s="7" t="inlineStr">
        <is>
          <t>Estimated from the closest tested food; no direct measurement found in the pooled sources</t>
        </is>
      </c>
      <c r="M281" s="7" t="inlineStr">
        <is>
          <t>no direct match</t>
        </is>
      </c>
      <c r="N281" s="6" t="inlineStr"/>
      <c r="O2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1" s="7" t="inlineStr">
        <is>
          <t>USDA FoodData Central (SR Legacy / Foundation Foods), fdc.nal.usda.gov</t>
        </is>
      </c>
      <c r="Q281" s="6" t="inlineStr">
        <is>
          <t>2026-09-26</t>
        </is>
      </c>
    </row>
    <row r="282">
      <c r="A282" s="6" t="inlineStr">
        <is>
          <t>pico_de_gallo</t>
        </is>
      </c>
      <c r="B282" s="6" t="inlineStr">
        <is>
          <t>Pico de gallo</t>
        </is>
      </c>
      <c r="C282" s="6" t="inlineStr">
        <is>
          <t>condiment</t>
        </is>
      </c>
      <c r="D282" s="6" t="n">
        <v>20</v>
      </c>
      <c r="E282" s="6" t="n">
        <v>0.9</v>
      </c>
      <c r="F282" s="6" t="n">
        <v>0.2</v>
      </c>
      <c r="G282" s="6" t="n">
        <v>4.5</v>
      </c>
      <c r="H282" s="6" t="n">
        <v>1.2</v>
      </c>
      <c r="I282" s="6" t="n">
        <v>3.3</v>
      </c>
      <c r="J282" s="6" t="n">
        <v>15</v>
      </c>
      <c r="K282" s="6" t="inlineStr">
        <is>
          <t>none (placeholder)</t>
        </is>
      </c>
      <c r="L282" s="7" t="inlineStr">
        <is>
          <t>Conventional placeholder for foods with too little carbohydrate to test (non-starchy vegetables, nuts, seeds, herbs); no published measurement exists</t>
        </is>
      </c>
      <c r="M282" s="7" t="inlineStr">
        <is>
          <t>not measurable</t>
        </is>
      </c>
      <c r="N282" s="6" t="inlineStr"/>
      <c r="O282" s="7" t="inlineStr">
        <is>
          <t>clinical convention</t>
        </is>
      </c>
      <c r="P282" s="7" t="inlineStr">
        <is>
          <t>USDA FoodData Central (SR Legacy / Foundation Foods), fdc.nal.usda.gov</t>
        </is>
      </c>
      <c r="Q282" s="6" t="inlineStr">
        <is>
          <t>2026-09-26</t>
        </is>
      </c>
    </row>
    <row r="283">
      <c r="A283" s="6" t="inlineStr">
        <is>
          <t>pesto</t>
        </is>
      </c>
      <c r="B283" s="6" t="inlineStr">
        <is>
          <t>Basil pesto</t>
        </is>
      </c>
      <c r="C283" s="6" t="inlineStr">
        <is>
          <t>condiment</t>
        </is>
      </c>
      <c r="D283" s="6" t="n">
        <v>400</v>
      </c>
      <c r="E283" s="6" t="n">
        <v>5</v>
      </c>
      <c r="F283" s="6" t="n">
        <v>40</v>
      </c>
      <c r="G283" s="6" t="n">
        <v>6</v>
      </c>
      <c r="H283" s="6" t="n">
        <v>2</v>
      </c>
      <c r="I283" s="6" t="n">
        <v>4</v>
      </c>
      <c r="J283" s="6" t="n">
        <v>15</v>
      </c>
      <c r="K283" s="6" t="inlineStr">
        <is>
          <t>none (placeholder)</t>
        </is>
      </c>
      <c r="L283" s="7" t="inlineStr">
        <is>
          <t>Conventional placeholder for foods with too little carbohydrate to test (non-starchy vegetables, nuts, seeds, herbs); no published measurement exists</t>
        </is>
      </c>
      <c r="M283" s="7" t="inlineStr">
        <is>
          <t>not measurable</t>
        </is>
      </c>
      <c r="N283" s="6" t="inlineStr"/>
      <c r="O283" s="7" t="inlineStr">
        <is>
          <t>clinical convention</t>
        </is>
      </c>
      <c r="P283" s="7" t="inlineStr">
        <is>
          <t>USDA FoodData Central (SR Legacy / Foundation Foods), fdc.nal.usda.gov</t>
        </is>
      </c>
      <c r="Q283" s="6" t="inlineStr">
        <is>
          <t>2026-09-26</t>
        </is>
      </c>
    </row>
    <row r="284">
      <c r="A284" s="6" t="inlineStr">
        <is>
          <t>marinara</t>
        </is>
      </c>
      <c r="B284" s="6" t="inlineStr">
        <is>
          <t>Marinara sauce, no sugar added</t>
        </is>
      </c>
      <c r="C284" s="6" t="inlineStr">
        <is>
          <t>condiment</t>
        </is>
      </c>
      <c r="D284" s="6" t="n">
        <v>45</v>
      </c>
      <c r="E284" s="6" t="n">
        <v>1.5</v>
      </c>
      <c r="F284" s="6" t="n">
        <v>2.5</v>
      </c>
      <c r="G284" s="6" t="n">
        <v>5</v>
      </c>
      <c r="H284" s="6" t="n">
        <v>1.5</v>
      </c>
      <c r="I284" s="6" t="n">
        <v>3.5</v>
      </c>
      <c r="J284" s="6" t="n">
        <v>35</v>
      </c>
      <c r="K284" s="6" t="inlineStr">
        <is>
          <t>medium</t>
        </is>
      </c>
      <c r="L284" s="7" t="inlineStr">
        <is>
          <t>2021 International Tables, Suppl. Tables 1+2 (incl. studies with method deviations)</t>
        </is>
      </c>
      <c r="M284" s="7" t="inlineStr">
        <is>
          <t>median of 1 tested foods, range 35-35</t>
        </is>
      </c>
      <c r="N284" s="6" t="n">
        <v>35</v>
      </c>
      <c r="O284" s="7" t="inlineStr">
        <is>
          <t>Atkinson FS, Brand-Miller JC, Foster-Powell K, Buyken AE, Goletzke J. International tables of glycemic index and glycemic load values 2021. Am J Clin Nutr 2021;114(5):1625-32. doi:10.1093/ajcn/nqab233</t>
        </is>
      </c>
      <c r="P284" s="7" t="inlineStr">
        <is>
          <t>USDA FoodData Central (SR Legacy / Foundation Foods), fdc.nal.usda.gov</t>
        </is>
      </c>
      <c r="Q284" s="6" t="inlineStr">
        <is>
          <t>2026-09-26</t>
        </is>
      </c>
    </row>
    <row r="285">
      <c r="A285" s="6" t="inlineStr">
        <is>
          <t>crushed_tomatoes</t>
        </is>
      </c>
      <c r="B285" s="6" t="inlineStr">
        <is>
          <t>Crushed tomatoes, canned</t>
        </is>
      </c>
      <c r="C285" s="6" t="inlineStr">
        <is>
          <t>condiment</t>
        </is>
      </c>
      <c r="D285" s="6" t="n">
        <v>32</v>
      </c>
      <c r="E285" s="6" t="n">
        <v>1.6</v>
      </c>
      <c r="F285" s="6" t="n">
        <v>0.3</v>
      </c>
      <c r="G285" s="6" t="n">
        <v>7</v>
      </c>
      <c r="H285" s="6" t="n">
        <v>1.9</v>
      </c>
      <c r="I285" s="6" t="n">
        <v>5.1</v>
      </c>
      <c r="J285" s="6" t="n">
        <v>35</v>
      </c>
      <c r="K285" s="6" t="inlineStr">
        <is>
          <t>low</t>
        </is>
      </c>
      <c r="L285" s="7" t="inlineStr">
        <is>
          <t>Estimated from the closest tested food; no direct measurement found in the pooled sources</t>
        </is>
      </c>
      <c r="M285" s="7" t="inlineStr">
        <is>
          <t>no direct match</t>
        </is>
      </c>
      <c r="N285" s="6" t="inlineStr"/>
      <c r="O2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5" s="7" t="inlineStr">
        <is>
          <t>USDA FoodData Central (SR Legacy / Foundation Foods), fdc.nal.usda.gov</t>
        </is>
      </c>
      <c r="Q285" s="6" t="inlineStr">
        <is>
          <t>2026-09-26</t>
        </is>
      </c>
    </row>
    <row r="286">
      <c r="A286" s="6" t="inlineStr">
        <is>
          <t>diced_tomatoes</t>
        </is>
      </c>
      <c r="B286" s="6" t="inlineStr">
        <is>
          <t>Diced tomatoes, canned</t>
        </is>
      </c>
      <c r="C286" s="6" t="inlineStr">
        <is>
          <t>condiment</t>
        </is>
      </c>
      <c r="D286" s="6" t="n">
        <v>24</v>
      </c>
      <c r="E286" s="6" t="n">
        <v>1.2</v>
      </c>
      <c r="F286" s="6" t="n">
        <v>0.2</v>
      </c>
      <c r="G286" s="6" t="n">
        <v>5</v>
      </c>
      <c r="H286" s="6" t="n">
        <v>1.5</v>
      </c>
      <c r="I286" s="6" t="n">
        <v>3.5</v>
      </c>
      <c r="J286" s="6" t="n">
        <v>35</v>
      </c>
      <c r="K286" s="6" t="inlineStr">
        <is>
          <t>low</t>
        </is>
      </c>
      <c r="L286" s="7" t="inlineStr">
        <is>
          <t>Estimated from the closest tested food; no direct measurement found in the pooled sources</t>
        </is>
      </c>
      <c r="M286" s="7" t="inlineStr">
        <is>
          <t>no direct match</t>
        </is>
      </c>
      <c r="N286" s="6" t="inlineStr"/>
      <c r="O2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6" s="7" t="inlineStr">
        <is>
          <t>USDA FoodData Central (SR Legacy / Foundation Foods), fdc.nal.usda.gov</t>
        </is>
      </c>
      <c r="Q286" s="6" t="inlineStr">
        <is>
          <t>2026-09-26</t>
        </is>
      </c>
    </row>
    <row r="287">
      <c r="A287" s="6" t="inlineStr">
        <is>
          <t>tomato_paste</t>
        </is>
      </c>
      <c r="B287" s="6" t="inlineStr">
        <is>
          <t>Tomato paste</t>
        </is>
      </c>
      <c r="C287" s="6" t="inlineStr">
        <is>
          <t>condiment</t>
        </is>
      </c>
      <c r="D287" s="6" t="n">
        <v>82</v>
      </c>
      <c r="E287" s="6" t="n">
        <v>4.3</v>
      </c>
      <c r="F287" s="6" t="n">
        <v>0.5</v>
      </c>
      <c r="G287" s="6" t="n">
        <v>19</v>
      </c>
      <c r="H287" s="6" t="n">
        <v>4</v>
      </c>
      <c r="I287" s="6" t="n">
        <v>15</v>
      </c>
      <c r="J287" s="6" t="n">
        <v>35</v>
      </c>
      <c r="K287" s="6" t="inlineStr">
        <is>
          <t>low</t>
        </is>
      </c>
      <c r="L287" s="7" t="inlineStr">
        <is>
          <t>Estimated from the closest tested food; no direct measurement found in the pooled sources</t>
        </is>
      </c>
      <c r="M287" s="7" t="inlineStr">
        <is>
          <t>no direct match</t>
        </is>
      </c>
      <c r="N287" s="6" t="inlineStr"/>
      <c r="O28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7" s="7" t="inlineStr">
        <is>
          <t>USDA FoodData Central (SR Legacy / Foundation Foods), fdc.nal.usda.gov</t>
        </is>
      </c>
      <c r="Q287" s="6" t="inlineStr">
        <is>
          <t>2026-09-26</t>
        </is>
      </c>
    </row>
    <row r="288">
      <c r="A288" s="6" t="inlineStr">
        <is>
          <t>tomato_sauce</t>
        </is>
      </c>
      <c r="B288" s="6" t="inlineStr">
        <is>
          <t>Tomato sauce, canned, no sugar added</t>
        </is>
      </c>
      <c r="C288" s="6" t="inlineStr">
        <is>
          <t>condiment</t>
        </is>
      </c>
      <c r="D288" s="6" t="n">
        <v>24</v>
      </c>
      <c r="E288" s="6" t="n">
        <v>1.3</v>
      </c>
      <c r="F288" s="6" t="n">
        <v>0.2</v>
      </c>
      <c r="G288" s="6" t="n">
        <v>5.3</v>
      </c>
      <c r="H288" s="6" t="n">
        <v>1.5</v>
      </c>
      <c r="I288" s="6" t="n">
        <v>3.8</v>
      </c>
      <c r="J288" s="6" t="n">
        <v>35</v>
      </c>
      <c r="K288" s="6" t="inlineStr">
        <is>
          <t>low</t>
        </is>
      </c>
      <c r="L288" s="7" t="inlineStr">
        <is>
          <t>Estimated from the closest tested food; no direct measurement found in the pooled sources</t>
        </is>
      </c>
      <c r="M288" s="7" t="inlineStr">
        <is>
          <t>no direct match</t>
        </is>
      </c>
      <c r="N288" s="6" t="n">
        <v>35</v>
      </c>
      <c r="O28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8" s="7" t="inlineStr">
        <is>
          <t>USDA FoodData Central (SR Legacy / Foundation Foods), fdc.nal.usda.gov</t>
        </is>
      </c>
      <c r="Q288" s="6" t="inlineStr">
        <is>
          <t>2026-09-26</t>
        </is>
      </c>
    </row>
    <row r="289">
      <c r="A289" s="6" t="inlineStr">
        <is>
          <t>chicken_broth</t>
        </is>
      </c>
      <c r="B289" s="6" t="inlineStr">
        <is>
          <t>Chicken broth, low sodium</t>
        </is>
      </c>
      <c r="C289" s="6" t="inlineStr">
        <is>
          <t>condiment</t>
        </is>
      </c>
      <c r="D289" s="6" t="n">
        <v>7</v>
      </c>
      <c r="E289" s="6" t="n">
        <v>1</v>
      </c>
      <c r="F289" s="6" t="n">
        <v>0.2</v>
      </c>
      <c r="G289" s="6" t="n">
        <v>0.5</v>
      </c>
      <c r="H289" s="6" t="n">
        <v>0</v>
      </c>
      <c r="I289" s="6" t="n">
        <v>0.5</v>
      </c>
      <c r="J289" s="6" t="n">
        <v>0</v>
      </c>
      <c r="K289" s="6" t="inlineStr">
        <is>
          <t>definitional</t>
        </is>
      </c>
      <c r="L289" s="7" t="inlineStr">
        <is>
          <t>No available carbohydrate — GI is 0 by definition (protein / fat / water)</t>
        </is>
      </c>
      <c r="M289" s="7" t="inlineStr">
        <is>
          <t>n/a</t>
        </is>
      </c>
      <c r="N289" s="6" t="inlineStr"/>
      <c r="O289" s="7" t="inlineStr">
        <is>
          <t>ISO 26642:2010</t>
        </is>
      </c>
      <c r="P289" s="7" t="inlineStr">
        <is>
          <t>USDA FoodData Central (SR Legacy / Foundation Foods), fdc.nal.usda.gov</t>
        </is>
      </c>
      <c r="Q289" s="6" t="inlineStr">
        <is>
          <t>2026-09-26</t>
        </is>
      </c>
    </row>
    <row r="290">
      <c r="A290" s="6" t="inlineStr">
        <is>
          <t>vegetable_broth</t>
        </is>
      </c>
      <c r="B290" s="6" t="inlineStr">
        <is>
          <t>Vegetable broth, low sodium</t>
        </is>
      </c>
      <c r="C290" s="6" t="inlineStr">
        <is>
          <t>condiment</t>
        </is>
      </c>
      <c r="D290" s="6" t="n">
        <v>8</v>
      </c>
      <c r="E290" s="6" t="n">
        <v>0.5</v>
      </c>
      <c r="F290" s="6" t="n">
        <v>0.2</v>
      </c>
      <c r="G290" s="6" t="n">
        <v>1.5</v>
      </c>
      <c r="H290" s="6" t="n">
        <v>0</v>
      </c>
      <c r="I290" s="6" t="n">
        <v>1.5</v>
      </c>
      <c r="J290" s="6" t="n">
        <v>0</v>
      </c>
      <c r="K290" s="6" t="inlineStr">
        <is>
          <t>low</t>
        </is>
      </c>
      <c r="L290" s="7" t="inlineStr">
        <is>
          <t>Estimated from the closest tested food; no direct measurement found in the pooled sources</t>
        </is>
      </c>
      <c r="M290" s="7" t="inlineStr">
        <is>
          <t>no direct match</t>
        </is>
      </c>
      <c r="N290" s="6" t="inlineStr"/>
      <c r="O29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0" s="7" t="inlineStr">
        <is>
          <t>USDA FoodData Central (SR Legacy / Foundation Foods), fdc.nal.usda.gov</t>
        </is>
      </c>
      <c r="Q290" s="6" t="inlineStr">
        <is>
          <t>2026-09-26</t>
        </is>
      </c>
    </row>
    <row r="291">
      <c r="A291" s="6" t="inlineStr">
        <is>
          <t>beef_broth</t>
        </is>
      </c>
      <c r="B291" s="6" t="inlineStr">
        <is>
          <t>Beef broth, low sodium</t>
        </is>
      </c>
      <c r="C291" s="6" t="inlineStr">
        <is>
          <t>condiment</t>
        </is>
      </c>
      <c r="D291" s="6" t="n">
        <v>7</v>
      </c>
      <c r="E291" s="6" t="n">
        <v>1.3</v>
      </c>
      <c r="F291" s="6" t="n">
        <v>0.2</v>
      </c>
      <c r="G291" s="6" t="n">
        <v>0.4</v>
      </c>
      <c r="H291" s="6" t="n">
        <v>0</v>
      </c>
      <c r="I291" s="6" t="n">
        <v>0.4</v>
      </c>
      <c r="J291" s="6" t="n">
        <v>0</v>
      </c>
      <c r="K291" s="6" t="inlineStr">
        <is>
          <t>definitional</t>
        </is>
      </c>
      <c r="L291" s="7" t="inlineStr">
        <is>
          <t>No available carbohydrate — GI is 0 by definition (protein / fat / water)</t>
        </is>
      </c>
      <c r="M291" s="7" t="inlineStr">
        <is>
          <t>n/a</t>
        </is>
      </c>
      <c r="N291" s="6" t="inlineStr"/>
      <c r="O291" s="7" t="inlineStr">
        <is>
          <t>ISO 26642:2010</t>
        </is>
      </c>
      <c r="P291" s="7" t="inlineStr">
        <is>
          <t>USDA FoodData Central (SR Legacy / Foundation Foods), fdc.nal.usda.gov</t>
        </is>
      </c>
      <c r="Q291" s="6" t="inlineStr">
        <is>
          <t>2026-09-26</t>
        </is>
      </c>
    </row>
    <row r="292">
      <c r="A292" s="6" t="inlineStr">
        <is>
          <t>bone_broth</t>
        </is>
      </c>
      <c r="B292" s="6" t="inlineStr">
        <is>
          <t>Bone broth</t>
        </is>
      </c>
      <c r="C292" s="6" t="inlineStr">
        <is>
          <t>condiment</t>
        </is>
      </c>
      <c r="D292" s="6" t="n">
        <v>35</v>
      </c>
      <c r="E292" s="6" t="n">
        <v>8</v>
      </c>
      <c r="F292" s="6" t="n">
        <v>0.3</v>
      </c>
      <c r="G292" s="6" t="n">
        <v>0.5</v>
      </c>
      <c r="H292" s="6" t="n">
        <v>0</v>
      </c>
      <c r="I292" s="6" t="n">
        <v>0.5</v>
      </c>
      <c r="J292" s="6" t="n">
        <v>0</v>
      </c>
      <c r="K292" s="6" t="inlineStr">
        <is>
          <t>definitional</t>
        </is>
      </c>
      <c r="L292" s="7" t="inlineStr">
        <is>
          <t>No available carbohydrate — GI is 0 by definition (protein / fat / water)</t>
        </is>
      </c>
      <c r="M292" s="7" t="inlineStr">
        <is>
          <t>n/a</t>
        </is>
      </c>
      <c r="N292" s="6" t="inlineStr"/>
      <c r="O292" s="7" t="inlineStr">
        <is>
          <t>ISO 26642:2010</t>
        </is>
      </c>
      <c r="P292" s="7" t="inlineStr">
        <is>
          <t>USDA FoodData Central (SR Legacy / Foundation Foods), fdc.nal.usda.gov</t>
        </is>
      </c>
      <c r="Q292" s="6" t="inlineStr">
        <is>
          <t>2026-09-26</t>
        </is>
      </c>
    </row>
    <row r="293">
      <c r="A293" s="6" t="inlineStr">
        <is>
          <t>curry_paste</t>
        </is>
      </c>
      <c r="B293" s="6" t="inlineStr">
        <is>
          <t>Thai curry paste (red/green)</t>
        </is>
      </c>
      <c r="C293" s="6" t="inlineStr">
        <is>
          <t>condiment</t>
        </is>
      </c>
      <c r="D293" s="6" t="n">
        <v>95</v>
      </c>
      <c r="E293" s="6" t="n">
        <v>2</v>
      </c>
      <c r="F293" s="6" t="n">
        <v>4</v>
      </c>
      <c r="G293" s="6" t="n">
        <v>12</v>
      </c>
      <c r="H293" s="6" t="n">
        <v>3</v>
      </c>
      <c r="I293" s="6" t="n">
        <v>9</v>
      </c>
      <c r="J293" s="6" t="n">
        <v>30</v>
      </c>
      <c r="K293" s="6" t="inlineStr">
        <is>
          <t>low</t>
        </is>
      </c>
      <c r="L293" s="7" t="inlineStr">
        <is>
          <t>Estimated from the closest tested food; no direct measurement found in the pooled sources</t>
        </is>
      </c>
      <c r="M293" s="7" t="inlineStr">
        <is>
          <t>no direct match</t>
        </is>
      </c>
      <c r="N293" s="6" t="inlineStr"/>
      <c r="O29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3" s="7" t="inlineStr">
        <is>
          <t>USDA FoodData Central (SR Legacy / Foundation Foods), fdc.nal.usda.gov</t>
        </is>
      </c>
      <c r="Q293" s="6" t="inlineStr">
        <is>
          <t>2026-09-26</t>
        </is>
      </c>
    </row>
    <row r="294">
      <c r="A294" s="6" t="inlineStr">
        <is>
          <t>miso</t>
        </is>
      </c>
      <c r="B294" s="6" t="inlineStr">
        <is>
          <t>White miso paste</t>
        </is>
      </c>
      <c r="C294" s="6" t="inlineStr">
        <is>
          <t>condiment</t>
        </is>
      </c>
      <c r="D294" s="6" t="n">
        <v>199</v>
      </c>
      <c r="E294" s="6" t="n">
        <v>12</v>
      </c>
      <c r="F294" s="6" t="n">
        <v>6</v>
      </c>
      <c r="G294" s="6" t="n">
        <v>26</v>
      </c>
      <c r="H294" s="6" t="n">
        <v>5</v>
      </c>
      <c r="I294" s="6" t="n">
        <v>21</v>
      </c>
      <c r="J294" s="6" t="n">
        <v>30</v>
      </c>
      <c r="K294" s="6" t="inlineStr">
        <is>
          <t>low</t>
        </is>
      </c>
      <c r="L294" s="7" t="inlineStr">
        <is>
          <t>Estimated from the closest tested food; no direct measurement found in the pooled sources</t>
        </is>
      </c>
      <c r="M294" s="7" t="inlineStr">
        <is>
          <t>no direct match</t>
        </is>
      </c>
      <c r="N294" s="6" t="n">
        <v>30</v>
      </c>
      <c r="O2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4" s="7" t="inlineStr">
        <is>
          <t>USDA FoodData Central (SR Legacy / Foundation Foods), fdc.nal.usda.gov</t>
        </is>
      </c>
      <c r="Q294" s="6" t="inlineStr">
        <is>
          <t>2026-09-26</t>
        </is>
      </c>
    </row>
    <row r="295">
      <c r="A295" s="6" t="inlineStr">
        <is>
          <t>gochujang</t>
        </is>
      </c>
      <c r="B295" s="6" t="inlineStr">
        <is>
          <t>Gochujang (small amount)</t>
        </is>
      </c>
      <c r="C295" s="6" t="inlineStr">
        <is>
          <t>condiment</t>
        </is>
      </c>
      <c r="D295" s="6" t="n">
        <v>200</v>
      </c>
      <c r="E295" s="6" t="n">
        <v>4</v>
      </c>
      <c r="F295" s="6" t="n">
        <v>1</v>
      </c>
      <c r="G295" s="6" t="n">
        <v>45</v>
      </c>
      <c r="H295" s="6" t="n">
        <v>3</v>
      </c>
      <c r="I295" s="6" t="n">
        <v>42</v>
      </c>
      <c r="J295" s="6" t="n">
        <v>45</v>
      </c>
      <c r="K295" s="6" t="inlineStr">
        <is>
          <t>low</t>
        </is>
      </c>
      <c r="L295" s="7" t="inlineStr">
        <is>
          <t>Estimated from the closest tested food; no direct measurement found in the pooled sources</t>
        </is>
      </c>
      <c r="M295" s="7" t="inlineStr">
        <is>
          <t>no direct match</t>
        </is>
      </c>
      <c r="N295" s="6" t="inlineStr"/>
      <c r="O29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5" s="7" t="inlineStr">
        <is>
          <t>USDA FoodData Central (SR Legacy / Foundation Foods), fdc.nal.usda.gov</t>
        </is>
      </c>
      <c r="Q295" s="6" t="inlineStr">
        <is>
          <t>2026-09-26</t>
        </is>
      </c>
    </row>
    <row r="296">
      <c r="A296" s="6" t="inlineStr">
        <is>
          <t>harissa</t>
        </is>
      </c>
      <c r="B296" s="6" t="inlineStr">
        <is>
          <t>Harissa paste</t>
        </is>
      </c>
      <c r="C296" s="6" t="inlineStr">
        <is>
          <t>condiment</t>
        </is>
      </c>
      <c r="D296" s="6" t="n">
        <v>70</v>
      </c>
      <c r="E296" s="6" t="n">
        <v>2</v>
      </c>
      <c r="F296" s="6" t="n">
        <v>3</v>
      </c>
      <c r="G296" s="6" t="n">
        <v>9</v>
      </c>
      <c r="H296" s="6" t="n">
        <v>3</v>
      </c>
      <c r="I296" s="6" t="n">
        <v>6</v>
      </c>
      <c r="J296" s="6" t="n">
        <v>15</v>
      </c>
      <c r="K296" s="6" t="inlineStr">
        <is>
          <t>none (placeholder)</t>
        </is>
      </c>
      <c r="L296" s="7" t="inlineStr">
        <is>
          <t>Conventional placeholder for foods with too little carbohydrate to test (non-starchy vegetables, nuts, seeds, herbs); no published measurement exists</t>
        </is>
      </c>
      <c r="M296" s="7" t="inlineStr">
        <is>
          <t>not measurable</t>
        </is>
      </c>
      <c r="N296" s="6" t="inlineStr"/>
      <c r="O296" s="7" t="inlineStr">
        <is>
          <t>clinical convention</t>
        </is>
      </c>
      <c r="P296" s="7" t="inlineStr">
        <is>
          <t>USDA FoodData Central (SR Legacy / Foundation Foods), fdc.nal.usda.gov</t>
        </is>
      </c>
      <c r="Q296" s="6" t="inlineStr">
        <is>
          <t>2026-09-26</t>
        </is>
      </c>
    </row>
    <row r="297">
      <c r="A297" s="6" t="inlineStr">
        <is>
          <t>chipotle_adobo</t>
        </is>
      </c>
      <c r="B297" s="6" t="inlineStr">
        <is>
          <t>Chipotle peppers in adobo</t>
        </is>
      </c>
      <c r="C297" s="6" t="inlineStr">
        <is>
          <t>condiment</t>
        </is>
      </c>
      <c r="D297" s="6" t="n">
        <v>70</v>
      </c>
      <c r="E297" s="6" t="n">
        <v>2</v>
      </c>
      <c r="F297" s="6" t="n">
        <v>1</v>
      </c>
      <c r="G297" s="6" t="n">
        <v>14</v>
      </c>
      <c r="H297" s="6" t="n">
        <v>4</v>
      </c>
      <c r="I297" s="6" t="n">
        <v>10</v>
      </c>
      <c r="J297" s="6" t="n">
        <v>30</v>
      </c>
      <c r="K297" s="6" t="inlineStr">
        <is>
          <t>low</t>
        </is>
      </c>
      <c r="L297" s="7" t="inlineStr">
        <is>
          <t>Estimated from the closest tested food; no direct measurement found in the pooled sources</t>
        </is>
      </c>
      <c r="M297" s="7" t="inlineStr">
        <is>
          <t>no direct match</t>
        </is>
      </c>
      <c r="N297" s="6" t="inlineStr"/>
      <c r="O29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7" s="7" t="inlineStr">
        <is>
          <t>USDA FoodData Central (SR Legacy / Foundation Foods), fdc.nal.usda.gov</t>
        </is>
      </c>
      <c r="Q297" s="6" t="inlineStr">
        <is>
          <t>2026-09-26</t>
        </is>
      </c>
    </row>
    <row r="298">
      <c r="A298" s="6" t="inlineStr">
        <is>
          <t>green_chiles</t>
        </is>
      </c>
      <c r="B298" s="6" t="inlineStr">
        <is>
          <t>Diced green chiles, canned</t>
        </is>
      </c>
      <c r="C298" s="6" t="inlineStr">
        <is>
          <t>condiment</t>
        </is>
      </c>
      <c r="D298" s="6" t="n">
        <v>20</v>
      </c>
      <c r="E298" s="6" t="n">
        <v>0.8</v>
      </c>
      <c r="F298" s="6" t="n">
        <v>0.1</v>
      </c>
      <c r="G298" s="6" t="n">
        <v>4.5</v>
      </c>
      <c r="H298" s="6" t="n">
        <v>1.5</v>
      </c>
      <c r="I298" s="6" t="n">
        <v>3</v>
      </c>
      <c r="J298" s="6" t="n">
        <v>15</v>
      </c>
      <c r="K298" s="6" t="inlineStr">
        <is>
          <t>none (placeholder)</t>
        </is>
      </c>
      <c r="L298" s="7" t="inlineStr">
        <is>
          <t>Conventional placeholder for foods with too little carbohydrate to test (non-starchy vegetables, nuts, seeds, herbs); no published measurement exists</t>
        </is>
      </c>
      <c r="M298" s="7" t="inlineStr">
        <is>
          <t>not measurable</t>
        </is>
      </c>
      <c r="N298" s="6" t="inlineStr"/>
      <c r="O298" s="7" t="inlineStr">
        <is>
          <t>clinical convention</t>
        </is>
      </c>
      <c r="P298" s="7" t="inlineStr">
        <is>
          <t>USDA FoodData Central (SR Legacy / Foundation Foods), fdc.nal.usda.gov</t>
        </is>
      </c>
      <c r="Q298" s="6" t="inlineStr">
        <is>
          <t>2026-09-26</t>
        </is>
      </c>
    </row>
    <row r="299">
      <c r="A299" s="6" t="inlineStr">
        <is>
          <t>enchilada_sauce</t>
        </is>
      </c>
      <c r="B299" s="6" t="inlineStr">
        <is>
          <t>Red enchilada sauce, no sugar added</t>
        </is>
      </c>
      <c r="C299" s="6" t="inlineStr">
        <is>
          <t>condiment</t>
        </is>
      </c>
      <c r="D299" s="6" t="n">
        <v>40</v>
      </c>
      <c r="E299" s="6" t="n">
        <v>1</v>
      </c>
      <c r="F299" s="6" t="n">
        <v>2</v>
      </c>
      <c r="G299" s="6" t="n">
        <v>5</v>
      </c>
      <c r="H299" s="6" t="n">
        <v>1</v>
      </c>
      <c r="I299" s="6" t="n">
        <v>4</v>
      </c>
      <c r="J299" s="6" t="n">
        <v>30</v>
      </c>
      <c r="K299" s="6" t="inlineStr">
        <is>
          <t>low</t>
        </is>
      </c>
      <c r="L299" s="7" t="inlineStr">
        <is>
          <t>Estimated from the closest tested food; no direct measurement found in the pooled sources</t>
        </is>
      </c>
      <c r="M299" s="7" t="inlineStr">
        <is>
          <t>no direct match</t>
        </is>
      </c>
      <c r="N299" s="6" t="inlineStr"/>
      <c r="O2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9" s="7" t="inlineStr">
        <is>
          <t>USDA FoodData Central (SR Legacy / Foundation Foods), fdc.nal.usda.gov</t>
        </is>
      </c>
      <c r="Q299" s="6" t="inlineStr">
        <is>
          <t>2026-09-26</t>
        </is>
      </c>
    </row>
    <row r="300">
      <c r="A300" s="6" t="inlineStr">
        <is>
          <t>nutritional_yeast</t>
        </is>
      </c>
      <c r="B300" s="6" t="inlineStr">
        <is>
          <t>Nutritional yeast</t>
        </is>
      </c>
      <c r="C300" s="6" t="inlineStr">
        <is>
          <t>condiment</t>
        </is>
      </c>
      <c r="D300" s="6" t="n">
        <v>325</v>
      </c>
      <c r="E300" s="6" t="n">
        <v>50</v>
      </c>
      <c r="F300" s="6" t="n">
        <v>5</v>
      </c>
      <c r="G300" s="6" t="n">
        <v>35</v>
      </c>
      <c r="H300" s="6" t="n">
        <v>25</v>
      </c>
      <c r="I300" s="6" t="n">
        <v>10</v>
      </c>
      <c r="J300" s="6" t="n">
        <v>15</v>
      </c>
      <c r="K300" s="6" t="inlineStr">
        <is>
          <t>none (placeholder)</t>
        </is>
      </c>
      <c r="L300" s="7" t="inlineStr">
        <is>
          <t>Conventional placeholder for foods with too little carbohydrate to test (non-starchy vegetables, nuts, seeds, herbs); no published measurement exists</t>
        </is>
      </c>
      <c r="M300" s="7" t="inlineStr">
        <is>
          <t>not measurable</t>
        </is>
      </c>
      <c r="N300" s="6" t="inlineStr"/>
      <c r="O300" s="7" t="inlineStr">
        <is>
          <t>clinical convention</t>
        </is>
      </c>
      <c r="P300" s="7" t="inlineStr">
        <is>
          <t>USDA FoodData Central (SR Legacy / Foundation Foods), fdc.nal.usda.gov</t>
        </is>
      </c>
      <c r="Q300" s="6" t="inlineStr">
        <is>
          <t>2026-09-26</t>
        </is>
      </c>
    </row>
    <row r="301">
      <c r="A301" s="6" t="inlineStr">
        <is>
          <t>cocoa_powder</t>
        </is>
      </c>
      <c r="B301" s="6" t="inlineStr">
        <is>
          <t>Cocoa powder, unsweetened</t>
        </is>
      </c>
      <c r="C301" s="6" t="inlineStr">
        <is>
          <t>pantry</t>
        </is>
      </c>
      <c r="D301" s="6" t="n">
        <v>228</v>
      </c>
      <c r="E301" s="6" t="n">
        <v>20</v>
      </c>
      <c r="F301" s="6" t="n">
        <v>14</v>
      </c>
      <c r="G301" s="6" t="n">
        <v>58</v>
      </c>
      <c r="H301" s="6" t="n">
        <v>33</v>
      </c>
      <c r="I301" s="6" t="n">
        <v>25</v>
      </c>
      <c r="J301" s="6" t="n">
        <v>20</v>
      </c>
      <c r="K301" s="6" t="inlineStr">
        <is>
          <t>low</t>
        </is>
      </c>
      <c r="L301" s="7" t="inlineStr">
        <is>
          <t>Estimated from the closest tested food; no direct measurement found in the pooled sources</t>
        </is>
      </c>
      <c r="M301" s="7" t="inlineStr">
        <is>
          <t>no direct match</t>
        </is>
      </c>
      <c r="N301" s="6" t="n">
        <v>20</v>
      </c>
      <c r="O30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1" s="7" t="inlineStr">
        <is>
          <t>USDA FoodData Central (SR Legacy / Foundation Foods), fdc.nal.usda.gov</t>
        </is>
      </c>
      <c r="Q301" s="6" t="inlineStr">
        <is>
          <t>2026-09-26</t>
        </is>
      </c>
    </row>
    <row r="302">
      <c r="A302" s="6" t="inlineStr">
        <is>
          <t>dark_chocolate</t>
        </is>
      </c>
      <c r="B302" s="6" t="inlineStr">
        <is>
          <t>Dark chocolate 85%</t>
        </is>
      </c>
      <c r="C302" s="6" t="inlineStr">
        <is>
          <t>pantry</t>
        </is>
      </c>
      <c r="D302" s="6" t="n">
        <v>600</v>
      </c>
      <c r="E302" s="6" t="n">
        <v>12</v>
      </c>
      <c r="F302" s="6" t="n">
        <v>46</v>
      </c>
      <c r="G302" s="6" t="n">
        <v>30</v>
      </c>
      <c r="H302" s="6" t="n">
        <v>12</v>
      </c>
      <c r="I302" s="6" t="n">
        <v>18</v>
      </c>
      <c r="J302" s="6" t="n">
        <v>23</v>
      </c>
      <c r="K302" s="6" t="inlineStr">
        <is>
          <t>high</t>
        </is>
      </c>
      <c r="L302" s="7" t="inlineStr">
        <is>
          <t>2021 International Tables, Suppl. Table 1 (ISO 26642:2010-compliant studies)</t>
        </is>
      </c>
      <c r="M302" s="7" t="inlineStr">
        <is>
          <t>median of 2 tested foods, range 23-44</t>
        </is>
      </c>
      <c r="N302" s="6" t="n">
        <v>34</v>
      </c>
      <c r="O302" s="7" t="inlineStr">
        <is>
          <t>Atkinson FS, Brand-Miller JC, Foster-Powell K, Buyken AE, Goletzke J. International tables of glycemic index and glycemic load values 2021. Am J Clin Nutr 2021;114(5):1625-32. doi:10.1093/ajcn/nqab233</t>
        </is>
      </c>
      <c r="P302" s="7" t="inlineStr">
        <is>
          <t>USDA FoodData Central (SR Legacy / Foundation Foods), fdc.nal.usda.gov</t>
        </is>
      </c>
      <c r="Q302" s="6" t="inlineStr">
        <is>
          <t>2026-09-26</t>
        </is>
      </c>
    </row>
    <row r="303">
      <c r="A303" s="6" t="inlineStr">
        <is>
          <t>sugar_free_chocolate_chips</t>
        </is>
      </c>
      <c r="B303" s="6" t="inlineStr">
        <is>
          <t>Stevia-sweetened dark chocolate chips</t>
        </is>
      </c>
      <c r="C303" s="6" t="inlineStr">
        <is>
          <t>pantry</t>
        </is>
      </c>
      <c r="D303" s="6" t="n">
        <v>470</v>
      </c>
      <c r="E303" s="6" t="n">
        <v>6</v>
      </c>
      <c r="F303" s="6" t="n">
        <v>42</v>
      </c>
      <c r="G303" s="6" t="n">
        <v>20</v>
      </c>
      <c r="H303" s="6" t="n">
        <v>12</v>
      </c>
      <c r="I303" s="6" t="n">
        <v>8</v>
      </c>
      <c r="J303" s="6" t="n">
        <v>20</v>
      </c>
      <c r="K303" s="6" t="inlineStr">
        <is>
          <t>medium</t>
        </is>
      </c>
      <c r="L303" s="7" t="inlineStr">
        <is>
          <t>University of Sydney online GI database</t>
        </is>
      </c>
      <c r="M303" s="7" t="inlineStr">
        <is>
          <t>median of 1 tested foods, range 23-23</t>
        </is>
      </c>
      <c r="N303" s="6" t="n">
        <v>23</v>
      </c>
      <c r="O303" s="7" t="inlineStr">
        <is>
          <t>University of Sydney GI database, glycemicindex.com/gi-search (accessed 2026-09-16)</t>
        </is>
      </c>
      <c r="P303" s="7" t="inlineStr">
        <is>
          <t>USDA FoodData Central (SR Legacy / Foundation Foods), fdc.nal.usda.gov</t>
        </is>
      </c>
      <c r="Q303" s="6" t="inlineStr">
        <is>
          <t>2026-09-26</t>
        </is>
      </c>
    </row>
    <row r="304">
      <c r="A304" s="6" t="inlineStr">
        <is>
          <t>monk_fruit_sweetener</t>
        </is>
      </c>
      <c r="B304" s="6" t="inlineStr">
        <is>
          <t>Monk fruit/erythritol sweetener</t>
        </is>
      </c>
      <c r="C304" s="6" t="inlineStr">
        <is>
          <t>pantry</t>
        </is>
      </c>
      <c r="D304" s="6" t="n">
        <v>0</v>
      </c>
      <c r="E304" s="6" t="n">
        <v>0</v>
      </c>
      <c r="F304" s="6" t="n">
        <v>0</v>
      </c>
      <c r="G304" s="6" t="n">
        <v>0</v>
      </c>
      <c r="H304" s="6" t="n">
        <v>0</v>
      </c>
      <c r="I304" s="6" t="n">
        <v>0</v>
      </c>
      <c r="J304" s="6" t="n">
        <v>0</v>
      </c>
      <c r="K304" s="6" t="inlineStr">
        <is>
          <t>definitional</t>
        </is>
      </c>
      <c r="L304" s="7" t="inlineStr">
        <is>
          <t>No available carbohydrate — GI is 0 by definition (protein / fat / water)</t>
        </is>
      </c>
      <c r="M304" s="7" t="inlineStr">
        <is>
          <t>n/a</t>
        </is>
      </c>
      <c r="N304" s="6" t="n">
        <v>15</v>
      </c>
      <c r="O304" s="7" t="inlineStr">
        <is>
          <t>ISO 26642:2010</t>
        </is>
      </c>
      <c r="P304" s="7" t="inlineStr">
        <is>
          <t>USDA FoodData Central (SR Legacy / Foundation Foods), fdc.nal.usda.gov</t>
        </is>
      </c>
      <c r="Q304" s="6" t="inlineStr">
        <is>
          <t>2026-09-26</t>
        </is>
      </c>
    </row>
    <row r="305">
      <c r="A305" s="6" t="inlineStr">
        <is>
          <t>stevia</t>
        </is>
      </c>
      <c r="B305" s="6" t="inlineStr">
        <is>
          <t>Stevia (liquid)</t>
        </is>
      </c>
      <c r="C305" s="6" t="inlineStr">
        <is>
          <t>pantry</t>
        </is>
      </c>
      <c r="D305" s="6" t="n">
        <v>0</v>
      </c>
      <c r="E305" s="6" t="n">
        <v>0</v>
      </c>
      <c r="F305" s="6" t="n">
        <v>0</v>
      </c>
      <c r="G305" s="6" t="n">
        <v>0</v>
      </c>
      <c r="H305" s="6" t="n">
        <v>0</v>
      </c>
      <c r="I305" s="6" t="n">
        <v>0</v>
      </c>
      <c r="J305" s="6" t="n">
        <v>0</v>
      </c>
      <c r="K305" s="6" t="inlineStr">
        <is>
          <t>definitional</t>
        </is>
      </c>
      <c r="L305" s="7" t="inlineStr">
        <is>
          <t>No available carbohydrate — GI is 0 by definition (protein / fat / water)</t>
        </is>
      </c>
      <c r="M305" s="7" t="inlineStr">
        <is>
          <t>n/a</t>
        </is>
      </c>
      <c r="N305" s="6" t="n">
        <v>0</v>
      </c>
      <c r="O305" s="7" t="inlineStr">
        <is>
          <t>ISO 26642:2010</t>
        </is>
      </c>
      <c r="P305" s="7" t="inlineStr">
        <is>
          <t>USDA FoodData Central (SR Legacy / Foundation Foods), fdc.nal.usda.gov</t>
        </is>
      </c>
      <c r="Q305" s="6" t="inlineStr">
        <is>
          <t>2026-09-26</t>
        </is>
      </c>
    </row>
    <row r="306">
      <c r="A306" s="6" t="inlineStr">
        <is>
          <t>honey</t>
        </is>
      </c>
      <c r="B306" s="6" t="inlineStr">
        <is>
          <t>Honey (small amount)</t>
        </is>
      </c>
      <c r="C306" s="6" t="inlineStr">
        <is>
          <t>pantry</t>
        </is>
      </c>
      <c r="D306" s="6" t="n">
        <v>304</v>
      </c>
      <c r="E306" s="6" t="n">
        <v>0.3</v>
      </c>
      <c r="F306" s="6" t="n">
        <v>0</v>
      </c>
      <c r="G306" s="6" t="n">
        <v>82</v>
      </c>
      <c r="H306" s="6" t="n">
        <v>0.2</v>
      </c>
      <c r="I306" s="6" t="n">
        <v>81.8</v>
      </c>
      <c r="J306" s="6" t="n">
        <v>54</v>
      </c>
      <c r="K306" s="6" t="inlineStr">
        <is>
          <t>high</t>
        </is>
      </c>
      <c r="L306" s="7" t="inlineStr">
        <is>
          <t>2021 International Tables, Suppl. Table 1 (ISO 26642:2010-compliant studies)</t>
        </is>
      </c>
      <c r="M306" s="7" t="inlineStr">
        <is>
          <t>median of 2 tested foods, range 35-74</t>
        </is>
      </c>
      <c r="N306" s="6" t="n">
        <v>54</v>
      </c>
      <c r="O306" s="7" t="inlineStr">
        <is>
          <t>Atkinson FS, Brand-Miller JC, Foster-Powell K, Buyken AE, Goletzke J. International tables of glycemic index and glycemic load values 2021. Am J Clin Nutr 2021;114(5):1625-32. doi:10.1093/ajcn/nqab233</t>
        </is>
      </c>
      <c r="P306" s="7" t="inlineStr">
        <is>
          <t>USDA FoodData Central (SR Legacy / Foundation Foods), fdc.nal.usda.gov</t>
        </is>
      </c>
      <c r="Q306" s="6" t="inlineStr">
        <is>
          <t>2026-09-26</t>
        </is>
      </c>
    </row>
    <row r="307">
      <c r="A307" s="6" t="inlineStr">
        <is>
          <t>maple_syrup</t>
        </is>
      </c>
      <c r="B307" s="6" t="inlineStr">
        <is>
          <t>Pure maple syrup (small amount)</t>
        </is>
      </c>
      <c r="C307" s="6" t="inlineStr">
        <is>
          <t>pantry</t>
        </is>
      </c>
      <c r="D307" s="6" t="n">
        <v>260</v>
      </c>
      <c r="E307" s="6" t="n">
        <v>0</v>
      </c>
      <c r="F307" s="6" t="n">
        <v>0</v>
      </c>
      <c r="G307" s="6" t="n">
        <v>67</v>
      </c>
      <c r="H307" s="6" t="n">
        <v>0</v>
      </c>
      <c r="I307" s="6" t="n">
        <v>67</v>
      </c>
      <c r="J307" s="6" t="n">
        <v>54</v>
      </c>
      <c r="K307" s="6" t="inlineStr">
        <is>
          <t>medium</t>
        </is>
      </c>
      <c r="L307" s="7" t="inlineStr">
        <is>
          <t>2021 International Tables, Suppl. Tables 1+2 (incl. studies with method deviations)</t>
        </is>
      </c>
      <c r="M307" s="7" t="inlineStr">
        <is>
          <t>median of 1 tested foods, range 54-54</t>
        </is>
      </c>
      <c r="N307" s="6" t="n">
        <v>54</v>
      </c>
      <c r="O307" s="7" t="inlineStr">
        <is>
          <t>Atkinson FS, Brand-Miller JC, Foster-Powell K, Buyken AE, Goletzke J. International tables of glycemic index and glycemic load values 2021. Am J Clin Nutr 2021;114(5):1625-32. doi:10.1093/ajcn/nqab233</t>
        </is>
      </c>
      <c r="P307" s="7" t="inlineStr">
        <is>
          <t>USDA FoodData Central (SR Legacy / Foundation Foods), fdc.nal.usda.gov</t>
        </is>
      </c>
      <c r="Q307" s="6" t="inlineStr">
        <is>
          <t>2026-09-26</t>
        </is>
      </c>
    </row>
    <row r="308">
      <c r="A308" s="6" t="inlineStr">
        <is>
          <t>vanilla_extract</t>
        </is>
      </c>
      <c r="B308" s="6" t="inlineStr">
        <is>
          <t>Vanilla extract</t>
        </is>
      </c>
      <c r="C308" s="6" t="inlineStr">
        <is>
          <t>pantry</t>
        </is>
      </c>
      <c r="D308" s="6" t="n">
        <v>288</v>
      </c>
      <c r="E308" s="6" t="n">
        <v>0</v>
      </c>
      <c r="F308" s="6" t="n">
        <v>0</v>
      </c>
      <c r="G308" s="6" t="n">
        <v>12.7</v>
      </c>
      <c r="H308" s="6" t="n">
        <v>0</v>
      </c>
      <c r="I308" s="6" t="n">
        <v>12.7</v>
      </c>
      <c r="J308" s="6" t="n">
        <v>0</v>
      </c>
      <c r="K308" s="6" t="inlineStr">
        <is>
          <t>low</t>
        </is>
      </c>
      <c r="L308" s="7" t="inlineStr">
        <is>
          <t>Estimated from the closest tested food; no direct measurement found in the pooled sources</t>
        </is>
      </c>
      <c r="M308" s="7" t="inlineStr">
        <is>
          <t>no direct match</t>
        </is>
      </c>
      <c r="N308" s="6" t="inlineStr"/>
      <c r="O30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8" s="7" t="inlineStr">
        <is>
          <t>USDA FoodData Central (SR Legacy / Foundation Foods), fdc.nal.usda.gov</t>
        </is>
      </c>
      <c r="Q308" s="6" t="inlineStr">
        <is>
          <t>2026-09-26</t>
        </is>
      </c>
    </row>
    <row r="309">
      <c r="A309" s="6" t="inlineStr">
        <is>
          <t>gelatin</t>
        </is>
      </c>
      <c r="B309" s="6" t="inlineStr">
        <is>
          <t>Unflavored gelatin</t>
        </is>
      </c>
      <c r="C309" s="6" t="inlineStr">
        <is>
          <t>pantry</t>
        </is>
      </c>
      <c r="D309" s="6" t="n">
        <v>335</v>
      </c>
      <c r="E309" s="6" t="n">
        <v>85</v>
      </c>
      <c r="F309" s="6" t="n">
        <v>0</v>
      </c>
      <c r="G309" s="6" t="n">
        <v>0</v>
      </c>
      <c r="H309" s="6" t="n">
        <v>0</v>
      </c>
      <c r="I309" s="6" t="n">
        <v>0</v>
      </c>
      <c r="J309" s="6" t="n">
        <v>0</v>
      </c>
      <c r="K309" s="6" t="inlineStr">
        <is>
          <t>definitional</t>
        </is>
      </c>
      <c r="L309" s="7" t="inlineStr">
        <is>
          <t>No available carbohydrate — GI is 0 by definition (protein / fat / water)</t>
        </is>
      </c>
      <c r="M309" s="7" t="inlineStr">
        <is>
          <t>n/a</t>
        </is>
      </c>
      <c r="N309" s="6" t="inlineStr"/>
      <c r="O309" s="7" t="inlineStr">
        <is>
          <t>ISO 26642:2010</t>
        </is>
      </c>
      <c r="P309" s="7" t="inlineStr">
        <is>
          <t>USDA FoodData Central (SR Legacy / Foundation Foods), fdc.nal.usda.gov</t>
        </is>
      </c>
      <c r="Q309" s="6" t="inlineStr">
        <is>
          <t>2026-09-26</t>
        </is>
      </c>
    </row>
    <row r="310">
      <c r="A310" s="6" t="inlineStr">
        <is>
          <t>baking_powder</t>
        </is>
      </c>
      <c r="B310" s="6" t="inlineStr">
        <is>
          <t>Baking powder</t>
        </is>
      </c>
      <c r="C310" s="6" t="inlineStr">
        <is>
          <t>pantry</t>
        </is>
      </c>
      <c r="D310" s="6" t="n">
        <v>53</v>
      </c>
      <c r="E310" s="6" t="n">
        <v>0</v>
      </c>
      <c r="F310" s="6" t="n">
        <v>0</v>
      </c>
      <c r="G310" s="6" t="n">
        <v>28</v>
      </c>
      <c r="H310" s="6" t="n">
        <v>0</v>
      </c>
      <c r="I310" s="6" t="n">
        <v>28</v>
      </c>
      <c r="J310" s="6" t="n">
        <v>0</v>
      </c>
      <c r="K310" s="6" t="inlineStr">
        <is>
          <t>low</t>
        </is>
      </c>
      <c r="L310" s="7" t="inlineStr">
        <is>
          <t>Estimated from the closest tested food; no direct measurement found in the pooled sources</t>
        </is>
      </c>
      <c r="M310" s="7" t="inlineStr">
        <is>
          <t>no direct match</t>
        </is>
      </c>
      <c r="N310" s="6" t="inlineStr"/>
      <c r="O3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0" s="7" t="inlineStr">
        <is>
          <t>USDA FoodData Central (SR Legacy / Foundation Foods), fdc.nal.usda.gov</t>
        </is>
      </c>
      <c r="Q310" s="6" t="inlineStr">
        <is>
          <t>2026-09-26</t>
        </is>
      </c>
    </row>
    <row r="311">
      <c r="A311" s="6" t="inlineStr">
        <is>
          <t>baking_soda</t>
        </is>
      </c>
      <c r="B311" s="6" t="inlineStr">
        <is>
          <t>Baking soda</t>
        </is>
      </c>
      <c r="C311" s="6" t="inlineStr">
        <is>
          <t>pantry</t>
        </is>
      </c>
      <c r="D311" s="6" t="n">
        <v>0</v>
      </c>
      <c r="E311" s="6" t="n">
        <v>0</v>
      </c>
      <c r="F311" s="6" t="n">
        <v>0</v>
      </c>
      <c r="G311" s="6" t="n">
        <v>0</v>
      </c>
      <c r="H311" s="6" t="n">
        <v>0</v>
      </c>
      <c r="I311" s="6" t="n">
        <v>0</v>
      </c>
      <c r="J311" s="6" t="n">
        <v>0</v>
      </c>
      <c r="K311" s="6" t="inlineStr">
        <is>
          <t>definitional</t>
        </is>
      </c>
      <c r="L311" s="7" t="inlineStr">
        <is>
          <t>No available carbohydrate — GI is 0 by definition (protein / fat / water)</t>
        </is>
      </c>
      <c r="M311" s="7" t="inlineStr">
        <is>
          <t>n/a</t>
        </is>
      </c>
      <c r="N311" s="6" t="inlineStr"/>
      <c r="O311" s="7" t="inlineStr">
        <is>
          <t>ISO 26642:2010</t>
        </is>
      </c>
      <c r="P311" s="7" t="inlineStr">
        <is>
          <t>USDA FoodData Central (SR Legacy / Foundation Foods), fdc.nal.usda.gov</t>
        </is>
      </c>
      <c r="Q311" s="6" t="inlineStr">
        <is>
          <t>2026-09-26</t>
        </is>
      </c>
    </row>
    <row r="312">
      <c r="A312" s="6" t="inlineStr">
        <is>
          <t>coffee</t>
        </is>
      </c>
      <c r="B312" s="6" t="inlineStr">
        <is>
          <t>Brewed coffee / espresso</t>
        </is>
      </c>
      <c r="C312" s="6" t="inlineStr">
        <is>
          <t>drink</t>
        </is>
      </c>
      <c r="D312" s="6" t="n">
        <v>1</v>
      </c>
      <c r="E312" s="6" t="n">
        <v>0.1</v>
      </c>
      <c r="F312" s="6" t="n">
        <v>0</v>
      </c>
      <c r="G312" s="6" t="n">
        <v>0</v>
      </c>
      <c r="H312" s="6" t="n">
        <v>0</v>
      </c>
      <c r="I312" s="6" t="n">
        <v>0</v>
      </c>
      <c r="J312" s="6" t="n">
        <v>0</v>
      </c>
      <c r="K312" s="6" t="inlineStr">
        <is>
          <t>definitional</t>
        </is>
      </c>
      <c r="L312" s="7" t="inlineStr">
        <is>
          <t>No available carbohydrate — GI is 0 by definition (protein / fat / water)</t>
        </is>
      </c>
      <c r="M312" s="7" t="inlineStr">
        <is>
          <t>n/a</t>
        </is>
      </c>
      <c r="N312" s="6" t="inlineStr"/>
      <c r="O312" s="7" t="inlineStr">
        <is>
          <t>ISO 26642:2010</t>
        </is>
      </c>
      <c r="P312" s="7" t="inlineStr">
        <is>
          <t>USDA FoodData Central (SR Legacy / Foundation Foods), fdc.nal.usda.gov</t>
        </is>
      </c>
      <c r="Q312" s="6" t="inlineStr">
        <is>
          <t>2026-09-26</t>
        </is>
      </c>
    </row>
    <row r="313">
      <c r="A313" s="6" t="inlineStr">
        <is>
          <t>green_tea</t>
        </is>
      </c>
      <c r="B313" s="6" t="inlineStr">
        <is>
          <t>Brewed green tea</t>
        </is>
      </c>
      <c r="C313" s="6" t="inlineStr">
        <is>
          <t>drink</t>
        </is>
      </c>
      <c r="D313" s="6" t="n">
        <v>0</v>
      </c>
      <c r="E313" s="6" t="n">
        <v>0</v>
      </c>
      <c r="F313" s="6" t="n">
        <v>0</v>
      </c>
      <c r="G313" s="6" t="n">
        <v>0</v>
      </c>
      <c r="H313" s="6" t="n">
        <v>0</v>
      </c>
      <c r="I313" s="6" t="n">
        <v>0</v>
      </c>
      <c r="J313" s="6" t="n">
        <v>0</v>
      </c>
      <c r="K313" s="6" t="inlineStr">
        <is>
          <t>definitional</t>
        </is>
      </c>
      <c r="L313" s="7" t="inlineStr">
        <is>
          <t>No available carbohydrate — GI is 0 by definition (protein / fat / water)</t>
        </is>
      </c>
      <c r="M313" s="7" t="inlineStr">
        <is>
          <t>n/a</t>
        </is>
      </c>
      <c r="N313" s="6" t="inlineStr"/>
      <c r="O313" s="7" t="inlineStr">
        <is>
          <t>ISO 26642:2010</t>
        </is>
      </c>
      <c r="P313" s="7" t="inlineStr">
        <is>
          <t>USDA FoodData Central (SR Legacy / Foundation Foods), fdc.nal.usda.gov</t>
        </is>
      </c>
      <c r="Q313" s="6" t="inlineStr">
        <is>
          <t>2026-09-26</t>
        </is>
      </c>
    </row>
    <row r="314">
      <c r="A314" s="6" t="inlineStr">
        <is>
          <t>water</t>
        </is>
      </c>
      <c r="B314" s="6" t="inlineStr">
        <is>
          <t>Water / ice</t>
        </is>
      </c>
      <c r="C314" s="6" t="inlineStr">
        <is>
          <t>drink</t>
        </is>
      </c>
      <c r="D314" s="6" t="n">
        <v>0</v>
      </c>
      <c r="E314" s="6" t="n">
        <v>0</v>
      </c>
      <c r="F314" s="6" t="n">
        <v>0</v>
      </c>
      <c r="G314" s="6" t="n">
        <v>0</v>
      </c>
      <c r="H314" s="6" t="n">
        <v>0</v>
      </c>
      <c r="I314" s="6" t="n">
        <v>0</v>
      </c>
      <c r="J314" s="6" t="n">
        <v>0</v>
      </c>
      <c r="K314" s="6" t="inlineStr">
        <is>
          <t>definitional</t>
        </is>
      </c>
      <c r="L314" s="7" t="inlineStr">
        <is>
          <t>No available carbohydrate — GI is 0 by definition (protein / fat / water)</t>
        </is>
      </c>
      <c r="M314" s="7" t="inlineStr">
        <is>
          <t>n/a</t>
        </is>
      </c>
      <c r="N314" s="6" t="inlineStr"/>
      <c r="O314" s="7" t="inlineStr">
        <is>
          <t>ISO 26642:2010</t>
        </is>
      </c>
      <c r="P314" s="7" t="inlineStr">
        <is>
          <t>USDA FoodData Central (SR Legacy / Foundation Foods), fdc.nal.usda.gov</t>
        </is>
      </c>
      <c r="Q314" s="6" t="inlineStr">
        <is>
          <t>2026-09-26</t>
        </is>
      </c>
    </row>
    <row r="315">
      <c r="A315" s="6" t="inlineStr">
        <is>
          <t>sparkling_water</t>
        </is>
      </c>
      <c r="B315" s="6" t="inlineStr">
        <is>
          <t>Sparkling water</t>
        </is>
      </c>
      <c r="C315" s="6" t="inlineStr">
        <is>
          <t>drink</t>
        </is>
      </c>
      <c r="D315" s="6" t="n">
        <v>0</v>
      </c>
      <c r="E315" s="6" t="n">
        <v>0</v>
      </c>
      <c r="F315" s="6" t="n">
        <v>0</v>
      </c>
      <c r="G315" s="6" t="n">
        <v>0</v>
      </c>
      <c r="H315" s="6" t="n">
        <v>0</v>
      </c>
      <c r="I315" s="6" t="n">
        <v>0</v>
      </c>
      <c r="J315" s="6" t="n">
        <v>0</v>
      </c>
      <c r="K315" s="6" t="inlineStr">
        <is>
          <t>definitional</t>
        </is>
      </c>
      <c r="L315" s="7" t="inlineStr">
        <is>
          <t>No available carbohydrate — GI is 0 by definition (protein / fat / water)</t>
        </is>
      </c>
      <c r="M315" s="7" t="inlineStr">
        <is>
          <t>n/a</t>
        </is>
      </c>
      <c r="N315" s="6" t="inlineStr"/>
      <c r="O315" s="7" t="inlineStr">
        <is>
          <t>ISO 26642:2010</t>
        </is>
      </c>
      <c r="P315" s="7" t="inlineStr">
        <is>
          <t>USDA FoodData Central (SR Legacy / Foundation Foods), fdc.nal.usda.gov</t>
        </is>
      </c>
      <c r="Q315" s="6" t="inlineStr">
        <is>
          <t>2026-09-26</t>
        </is>
      </c>
    </row>
    <row r="316">
      <c r="A316" s="6" t="inlineStr">
        <is>
          <t>red_wine</t>
        </is>
      </c>
      <c r="B316" s="6" t="inlineStr">
        <is>
          <t>Dry red wine (cooking)</t>
        </is>
      </c>
      <c r="C316" s="6" t="inlineStr">
        <is>
          <t>pantry</t>
        </is>
      </c>
      <c r="D316" s="6" t="n">
        <v>85</v>
      </c>
      <c r="E316" s="6" t="n">
        <v>0</v>
      </c>
      <c r="F316" s="6" t="n">
        <v>0</v>
      </c>
      <c r="G316" s="6" t="n">
        <v>2.6</v>
      </c>
      <c r="H316" s="6" t="n">
        <v>0</v>
      </c>
      <c r="I316" s="6" t="n">
        <v>2.6</v>
      </c>
      <c r="J316" s="6" t="n">
        <v>0</v>
      </c>
      <c r="K316" s="6" t="inlineStr">
        <is>
          <t>low</t>
        </is>
      </c>
      <c r="L316" s="7" t="inlineStr">
        <is>
          <t>Estimated from the closest tested food; no direct measurement found in the pooled sources</t>
        </is>
      </c>
      <c r="M316" s="7" t="inlineStr">
        <is>
          <t>no direct match</t>
        </is>
      </c>
      <c r="N316" s="6" t="inlineStr"/>
      <c r="O31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6" s="7" t="inlineStr">
        <is>
          <t>USDA FoodData Central (SR Legacy / Foundation Foods), fdc.nal.usda.gov</t>
        </is>
      </c>
      <c r="Q316" s="6" t="inlineStr">
        <is>
          <t>2026-09-26</t>
        </is>
      </c>
    </row>
    <row r="317">
      <c r="A317" s="6" t="inlineStr">
        <is>
          <t>white_wine</t>
        </is>
      </c>
      <c r="B317" s="6" t="inlineStr">
        <is>
          <t>Dry white wine (cooking)</t>
        </is>
      </c>
      <c r="C317" s="6" t="inlineStr">
        <is>
          <t>pantry</t>
        </is>
      </c>
      <c r="D317" s="6" t="n">
        <v>82</v>
      </c>
      <c r="E317" s="6" t="n">
        <v>0</v>
      </c>
      <c r="F317" s="6" t="n">
        <v>0</v>
      </c>
      <c r="G317" s="6" t="n">
        <v>2.6</v>
      </c>
      <c r="H317" s="6" t="n">
        <v>0</v>
      </c>
      <c r="I317" s="6" t="n">
        <v>2.6</v>
      </c>
      <c r="J317" s="6" t="n">
        <v>0</v>
      </c>
      <c r="K317" s="6" t="inlineStr">
        <is>
          <t>low</t>
        </is>
      </c>
      <c r="L317" s="7" t="inlineStr">
        <is>
          <t>Estimated from the closest tested food; no direct measurement found in the pooled sources</t>
        </is>
      </c>
      <c r="M317" s="7" t="inlineStr">
        <is>
          <t>no direct match</t>
        </is>
      </c>
      <c r="N317" s="6" t="inlineStr"/>
      <c r="O31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7" s="7" t="inlineStr">
        <is>
          <t>USDA FoodData Central (SR Legacy / Foundation Foods), fdc.nal.usda.gov</t>
        </is>
      </c>
      <c r="Q317" s="6" t="inlineStr">
        <is>
          <t>2026-09-26</t>
        </is>
      </c>
    </row>
    <row r="318">
      <c r="A318" s="6" t="inlineStr">
        <is>
          <t>pork_rinds</t>
        </is>
      </c>
      <c r="B318" s="6" t="inlineStr">
        <is>
          <t>Pork rinds, crushed</t>
        </is>
      </c>
      <c r="C318" s="6" t="inlineStr">
        <is>
          <t>protein</t>
        </is>
      </c>
      <c r="D318" s="6" t="n">
        <v>544</v>
      </c>
      <c r="E318" s="6" t="n">
        <v>61</v>
      </c>
      <c r="F318" s="6" t="n">
        <v>31</v>
      </c>
      <c r="G318" s="6" t="n">
        <v>0</v>
      </c>
      <c r="H318" s="6" t="n">
        <v>0</v>
      </c>
      <c r="I318" s="6" t="n">
        <v>0</v>
      </c>
      <c r="J318" s="6" t="n">
        <v>0</v>
      </c>
      <c r="K318" s="6" t="inlineStr">
        <is>
          <t>definitional</t>
        </is>
      </c>
      <c r="L318" s="7" t="inlineStr">
        <is>
          <t>No available carbohydrate — GI is 0 by definition (protein / fat / water)</t>
        </is>
      </c>
      <c r="M318" s="7" t="inlineStr">
        <is>
          <t>n/a</t>
        </is>
      </c>
      <c r="N318" s="6" t="inlineStr"/>
      <c r="O318" s="7" t="inlineStr">
        <is>
          <t>ISO 26642:2010</t>
        </is>
      </c>
      <c r="P318" s="7" t="inlineStr">
        <is>
          <t>USDA FoodData Central (SR Legacy / Foundation Foods), fdc.nal.usda.gov</t>
        </is>
      </c>
      <c r="Q318" s="6" t="inlineStr">
        <is>
          <t>2026-09-26</t>
        </is>
      </c>
    </row>
    <row r="319">
      <c r="A319" s="6" t="inlineStr">
        <is>
          <t>basil</t>
        </is>
      </c>
      <c r="B319" s="6" t="inlineStr">
        <is>
          <t>Fresh basil</t>
        </is>
      </c>
      <c r="C319" s="6" t="inlineStr">
        <is>
          <t>herb</t>
        </is>
      </c>
      <c r="D319" s="6" t="n">
        <v>23</v>
      </c>
      <c r="E319" s="6" t="n">
        <v>3.2</v>
      </c>
      <c r="F319" s="6" t="n">
        <v>0.6</v>
      </c>
      <c r="G319" s="6" t="n">
        <v>2.7</v>
      </c>
      <c r="H319" s="6" t="n">
        <v>1.6</v>
      </c>
      <c r="I319" s="6" t="n">
        <v>1.1</v>
      </c>
      <c r="J319" s="6" t="n">
        <v>15</v>
      </c>
      <c r="K319" s="6" t="inlineStr">
        <is>
          <t>none (placeholder)</t>
        </is>
      </c>
      <c r="L319" s="7" t="inlineStr">
        <is>
          <t>Conventional placeholder for foods with too little carbohydrate to test (non-starchy vegetables, nuts, seeds, herbs); no published measurement exists</t>
        </is>
      </c>
      <c r="M319" s="7" t="inlineStr">
        <is>
          <t>not measurable</t>
        </is>
      </c>
      <c r="N319" s="6" t="inlineStr"/>
      <c r="O319" s="7" t="inlineStr">
        <is>
          <t>clinical convention</t>
        </is>
      </c>
      <c r="P319" s="7" t="inlineStr">
        <is>
          <t>USDA FoodData Central (SR Legacy / Foundation Foods), fdc.nal.usda.gov</t>
        </is>
      </c>
      <c r="Q319" s="6" t="inlineStr">
        <is>
          <t>2026-09-26</t>
        </is>
      </c>
    </row>
    <row r="320">
      <c r="A320" s="6" t="inlineStr">
        <is>
          <t>cilantro</t>
        </is>
      </c>
      <c r="B320" s="6" t="inlineStr">
        <is>
          <t>Fresh cilantro</t>
        </is>
      </c>
      <c r="C320" s="6" t="inlineStr">
        <is>
          <t>herb</t>
        </is>
      </c>
      <c r="D320" s="6" t="n">
        <v>23</v>
      </c>
      <c r="E320" s="6" t="n">
        <v>2.1</v>
      </c>
      <c r="F320" s="6" t="n">
        <v>0.5</v>
      </c>
      <c r="G320" s="6" t="n">
        <v>3.7</v>
      </c>
      <c r="H320" s="6" t="n">
        <v>2.8</v>
      </c>
      <c r="I320" s="6" t="n">
        <v>0.9</v>
      </c>
      <c r="J320" s="6" t="n">
        <v>15</v>
      </c>
      <c r="K320" s="6" t="inlineStr">
        <is>
          <t>none (placeholder)</t>
        </is>
      </c>
      <c r="L320" s="7" t="inlineStr">
        <is>
          <t>Conventional placeholder for foods with too little carbohydrate to test (non-starchy vegetables, nuts, seeds, herbs); no published measurement exists</t>
        </is>
      </c>
      <c r="M320" s="7" t="inlineStr">
        <is>
          <t>not measurable</t>
        </is>
      </c>
      <c r="N320" s="6" t="inlineStr"/>
      <c r="O320" s="7" t="inlineStr">
        <is>
          <t>clinical convention</t>
        </is>
      </c>
      <c r="P320" s="7" t="inlineStr">
        <is>
          <t>USDA FoodData Central (SR Legacy / Foundation Foods), fdc.nal.usda.gov</t>
        </is>
      </c>
      <c r="Q320" s="6" t="inlineStr">
        <is>
          <t>2026-09-26</t>
        </is>
      </c>
    </row>
    <row r="321">
      <c r="A321" s="6" t="inlineStr">
        <is>
          <t>parsley</t>
        </is>
      </c>
      <c r="B321" s="6" t="inlineStr">
        <is>
          <t>Fresh parsley</t>
        </is>
      </c>
      <c r="C321" s="6" t="inlineStr">
        <is>
          <t>herb</t>
        </is>
      </c>
      <c r="D321" s="6" t="n">
        <v>36</v>
      </c>
      <c r="E321" s="6" t="n">
        <v>3</v>
      </c>
      <c r="F321" s="6" t="n">
        <v>0.8</v>
      </c>
      <c r="G321" s="6" t="n">
        <v>6.3</v>
      </c>
      <c r="H321" s="6" t="n">
        <v>3.3</v>
      </c>
      <c r="I321" s="6" t="n">
        <v>3</v>
      </c>
      <c r="J321" s="6" t="n">
        <v>15</v>
      </c>
      <c r="K321" s="6" t="inlineStr">
        <is>
          <t>none (placeholder)</t>
        </is>
      </c>
      <c r="L321" s="7" t="inlineStr">
        <is>
          <t>Conventional placeholder for foods with too little carbohydrate to test (non-starchy vegetables, nuts, seeds, herbs); no published measurement exists</t>
        </is>
      </c>
      <c r="M321" s="7" t="inlineStr">
        <is>
          <t>not measurable</t>
        </is>
      </c>
      <c r="N321" s="6" t="inlineStr"/>
      <c r="O321" s="7" t="inlineStr">
        <is>
          <t>clinical convention</t>
        </is>
      </c>
      <c r="P321" s="7" t="inlineStr">
        <is>
          <t>USDA FoodData Central (SR Legacy / Foundation Foods), fdc.nal.usda.gov</t>
        </is>
      </c>
      <c r="Q321" s="6" t="inlineStr">
        <is>
          <t>2026-09-26</t>
        </is>
      </c>
    </row>
    <row r="322">
      <c r="A322" s="6" t="inlineStr">
        <is>
          <t>dill</t>
        </is>
      </c>
      <c r="B322" s="6" t="inlineStr">
        <is>
          <t>Fresh dill</t>
        </is>
      </c>
      <c r="C322" s="6" t="inlineStr">
        <is>
          <t>herb</t>
        </is>
      </c>
      <c r="D322" s="6" t="n">
        <v>43</v>
      </c>
      <c r="E322" s="6" t="n">
        <v>3.5</v>
      </c>
      <c r="F322" s="6" t="n">
        <v>1.1</v>
      </c>
      <c r="G322" s="6" t="n">
        <v>7</v>
      </c>
      <c r="H322" s="6" t="n">
        <v>2.1</v>
      </c>
      <c r="I322" s="6" t="n">
        <v>4.9</v>
      </c>
      <c r="J322" s="6" t="n">
        <v>15</v>
      </c>
      <c r="K322" s="6" t="inlineStr">
        <is>
          <t>none (placeholder)</t>
        </is>
      </c>
      <c r="L322" s="7" t="inlineStr">
        <is>
          <t>Conventional placeholder for foods with too little carbohydrate to test (non-starchy vegetables, nuts, seeds, herbs); no published measurement exists</t>
        </is>
      </c>
      <c r="M322" s="7" t="inlineStr">
        <is>
          <t>not measurable</t>
        </is>
      </c>
      <c r="N322" s="6" t="inlineStr"/>
      <c r="O322" s="7" t="inlineStr">
        <is>
          <t>clinical convention</t>
        </is>
      </c>
      <c r="P322" s="7" t="inlineStr">
        <is>
          <t>USDA FoodData Central (SR Legacy / Foundation Foods), fdc.nal.usda.gov</t>
        </is>
      </c>
      <c r="Q322" s="6" t="inlineStr">
        <is>
          <t>2026-09-26</t>
        </is>
      </c>
    </row>
    <row r="323">
      <c r="A323" s="6" t="inlineStr">
        <is>
          <t>mint</t>
        </is>
      </c>
      <c r="B323" s="6" t="inlineStr">
        <is>
          <t>Fresh mint</t>
        </is>
      </c>
      <c r="C323" s="6" t="inlineStr">
        <is>
          <t>herb</t>
        </is>
      </c>
      <c r="D323" s="6" t="n">
        <v>44</v>
      </c>
      <c r="E323" s="6" t="n">
        <v>3.3</v>
      </c>
      <c r="F323" s="6" t="n">
        <v>0.7</v>
      </c>
      <c r="G323" s="6" t="n">
        <v>8.4</v>
      </c>
      <c r="H323" s="6" t="n">
        <v>6.8</v>
      </c>
      <c r="I323" s="6" t="n">
        <v>1.6</v>
      </c>
      <c r="J323" s="6" t="n">
        <v>15</v>
      </c>
      <c r="K323" s="6" t="inlineStr">
        <is>
          <t>none (placeholder)</t>
        </is>
      </c>
      <c r="L323" s="7" t="inlineStr">
        <is>
          <t>Conventional placeholder for foods with too little carbohydrate to test (non-starchy vegetables, nuts, seeds, herbs); no published measurement exists</t>
        </is>
      </c>
      <c r="M323" s="7" t="inlineStr">
        <is>
          <t>not measurable</t>
        </is>
      </c>
      <c r="N323" s="6" t="inlineStr"/>
      <c r="O323" s="7" t="inlineStr">
        <is>
          <t>clinical convention</t>
        </is>
      </c>
      <c r="P323" s="7" t="inlineStr">
        <is>
          <t>USDA FoodData Central (SR Legacy / Foundation Foods), fdc.nal.usda.gov</t>
        </is>
      </c>
      <c r="Q323" s="6" t="inlineStr">
        <is>
          <t>2026-09-26</t>
        </is>
      </c>
    </row>
    <row r="324">
      <c r="A324" s="6" t="inlineStr">
        <is>
          <t>chives</t>
        </is>
      </c>
      <c r="B324" s="6" t="inlineStr">
        <is>
          <t>Fresh chives</t>
        </is>
      </c>
      <c r="C324" s="6" t="inlineStr">
        <is>
          <t>herb</t>
        </is>
      </c>
      <c r="D324" s="6" t="n">
        <v>30</v>
      </c>
      <c r="E324" s="6" t="n">
        <v>3.3</v>
      </c>
      <c r="F324" s="6" t="n">
        <v>0.7</v>
      </c>
      <c r="G324" s="6" t="n">
        <v>4.4</v>
      </c>
      <c r="H324" s="6" t="n">
        <v>2.5</v>
      </c>
      <c r="I324" s="6" t="n">
        <v>1.9</v>
      </c>
      <c r="J324" s="6" t="n">
        <v>15</v>
      </c>
      <c r="K324" s="6" t="inlineStr">
        <is>
          <t>none (placeholder)</t>
        </is>
      </c>
      <c r="L324" s="7" t="inlineStr">
        <is>
          <t>Conventional placeholder for foods with too little carbohydrate to test (non-starchy vegetables, nuts, seeds, herbs); no published measurement exists</t>
        </is>
      </c>
      <c r="M324" s="7" t="inlineStr">
        <is>
          <t>not measurable</t>
        </is>
      </c>
      <c r="N324" s="6" t="inlineStr"/>
      <c r="O324" s="7" t="inlineStr">
        <is>
          <t>clinical convention</t>
        </is>
      </c>
      <c r="P324" s="7" t="inlineStr">
        <is>
          <t>USDA FoodData Central (SR Legacy / Foundation Foods), fdc.nal.usda.gov</t>
        </is>
      </c>
      <c r="Q324" s="6" t="inlineStr">
        <is>
          <t>2026-09-26</t>
        </is>
      </c>
    </row>
    <row r="325">
      <c r="A325" s="6" t="inlineStr">
        <is>
          <t>rosemary</t>
        </is>
      </c>
      <c r="B325" s="6" t="inlineStr">
        <is>
          <t>Fresh rosemary</t>
        </is>
      </c>
      <c r="C325" s="6" t="inlineStr">
        <is>
          <t>herb</t>
        </is>
      </c>
      <c r="D325" s="6" t="n">
        <v>131</v>
      </c>
      <c r="E325" s="6" t="n">
        <v>3.3</v>
      </c>
      <c r="F325" s="6" t="n">
        <v>5.9</v>
      </c>
      <c r="G325" s="6" t="n">
        <v>20.7</v>
      </c>
      <c r="H325" s="6" t="n">
        <v>14.1</v>
      </c>
      <c r="I325" s="6" t="n">
        <v>6.6</v>
      </c>
      <c r="J325" s="6" t="n">
        <v>15</v>
      </c>
      <c r="K325" s="6" t="inlineStr">
        <is>
          <t>none (placeholder)</t>
        </is>
      </c>
      <c r="L325" s="7" t="inlineStr">
        <is>
          <t>Conventional placeholder for foods with too little carbohydrate to test (non-starchy vegetables, nuts, seeds, herbs); no published measurement exists</t>
        </is>
      </c>
      <c r="M325" s="7" t="inlineStr">
        <is>
          <t>not measurable</t>
        </is>
      </c>
      <c r="N325" s="6" t="inlineStr"/>
      <c r="O325" s="7" t="inlineStr">
        <is>
          <t>clinical convention</t>
        </is>
      </c>
      <c r="P325" s="7" t="inlineStr">
        <is>
          <t>USDA FoodData Central (SR Legacy / Foundation Foods), fdc.nal.usda.gov</t>
        </is>
      </c>
      <c r="Q325" s="6" t="inlineStr">
        <is>
          <t>2026-09-26</t>
        </is>
      </c>
    </row>
    <row r="326">
      <c r="A326" s="6" t="inlineStr">
        <is>
          <t>thyme</t>
        </is>
      </c>
      <c r="B326" s="6" t="inlineStr">
        <is>
          <t>Fresh thyme</t>
        </is>
      </c>
      <c r="C326" s="6" t="inlineStr">
        <is>
          <t>herb</t>
        </is>
      </c>
      <c r="D326" s="6" t="n">
        <v>101</v>
      </c>
      <c r="E326" s="6" t="n">
        <v>5.6</v>
      </c>
      <c r="F326" s="6" t="n">
        <v>1.7</v>
      </c>
      <c r="G326" s="6" t="n">
        <v>24</v>
      </c>
      <c r="H326" s="6" t="n">
        <v>14</v>
      </c>
      <c r="I326" s="6" t="n">
        <v>10</v>
      </c>
      <c r="J326" s="6" t="n">
        <v>15</v>
      </c>
      <c r="K326" s="6" t="inlineStr">
        <is>
          <t>none (placeholder)</t>
        </is>
      </c>
      <c r="L326" s="7" t="inlineStr">
        <is>
          <t>Conventional placeholder for foods with too little carbohydrate to test (non-starchy vegetables, nuts, seeds, herbs); no published measurement exists</t>
        </is>
      </c>
      <c r="M326" s="7" t="inlineStr">
        <is>
          <t>not measurable</t>
        </is>
      </c>
      <c r="N326" s="6" t="inlineStr"/>
      <c r="O326" s="7" t="inlineStr">
        <is>
          <t>clinical convention</t>
        </is>
      </c>
      <c r="P326" s="7" t="inlineStr">
        <is>
          <t>USDA FoodData Central (SR Legacy / Foundation Foods), fdc.nal.usda.gov</t>
        </is>
      </c>
      <c r="Q326" s="6" t="inlineStr">
        <is>
          <t>2026-09-26</t>
        </is>
      </c>
    </row>
    <row r="327">
      <c r="A327" s="6" t="inlineStr">
        <is>
          <t>oregano_fresh</t>
        </is>
      </c>
      <c r="B327" s="6" t="inlineStr">
        <is>
          <t>Fresh oregano</t>
        </is>
      </c>
      <c r="C327" s="6" t="inlineStr">
        <is>
          <t>herb</t>
        </is>
      </c>
      <c r="D327" s="6" t="n">
        <v>66</v>
      </c>
      <c r="E327" s="6" t="n">
        <v>2.2</v>
      </c>
      <c r="F327" s="6" t="n">
        <v>1.4</v>
      </c>
      <c r="G327" s="6" t="n">
        <v>15</v>
      </c>
      <c r="H327" s="6" t="n">
        <v>8.6</v>
      </c>
      <c r="I327" s="6" t="n">
        <v>6.4</v>
      </c>
      <c r="J327" s="6" t="n">
        <v>15</v>
      </c>
      <c r="K327" s="6" t="inlineStr">
        <is>
          <t>none (placeholder)</t>
        </is>
      </c>
      <c r="L327" s="7" t="inlineStr">
        <is>
          <t>Conventional placeholder for foods with too little carbohydrate to test (non-starchy vegetables, nuts, seeds, herbs); no published measurement exists</t>
        </is>
      </c>
      <c r="M327" s="7" t="inlineStr">
        <is>
          <t>not measurable</t>
        </is>
      </c>
      <c r="N327" s="6" t="inlineStr"/>
      <c r="O327" s="7" t="inlineStr">
        <is>
          <t>clinical convention</t>
        </is>
      </c>
      <c r="P327" s="7" t="inlineStr">
        <is>
          <t>USDA FoodData Central (SR Legacy / Foundation Foods), fdc.nal.usda.gov</t>
        </is>
      </c>
      <c r="Q327" s="6" t="inlineStr">
        <is>
          <t>2026-09-26</t>
        </is>
      </c>
    </row>
    <row r="328">
      <c r="A328" s="6" t="inlineStr">
        <is>
          <t>sage</t>
        </is>
      </c>
      <c r="B328" s="6" t="inlineStr">
        <is>
          <t>Fresh sage</t>
        </is>
      </c>
      <c r="C328" s="6" t="inlineStr">
        <is>
          <t>herb</t>
        </is>
      </c>
      <c r="D328" s="6" t="n">
        <v>315</v>
      </c>
      <c r="E328" s="6" t="n">
        <v>10.6</v>
      </c>
      <c r="F328" s="6" t="n">
        <v>12.7</v>
      </c>
      <c r="G328" s="6" t="n">
        <v>60</v>
      </c>
      <c r="H328" s="6" t="n">
        <v>40</v>
      </c>
      <c r="I328" s="6" t="n">
        <v>20</v>
      </c>
      <c r="J328" s="6" t="n">
        <v>15</v>
      </c>
      <c r="K328" s="6" t="inlineStr">
        <is>
          <t>none (placeholder)</t>
        </is>
      </c>
      <c r="L328" s="7" t="inlineStr">
        <is>
          <t>Conventional placeholder for foods with too little carbohydrate to test (non-starchy vegetables, nuts, seeds, herbs); no published measurement exists</t>
        </is>
      </c>
      <c r="M328" s="7" t="inlineStr">
        <is>
          <t>not measurable</t>
        </is>
      </c>
      <c r="N328" s="6" t="inlineStr"/>
      <c r="O328" s="7" t="inlineStr">
        <is>
          <t>clinical convention</t>
        </is>
      </c>
      <c r="P328" s="7" t="inlineStr">
        <is>
          <t>USDA FoodData Central (SR Legacy / Foundation Foods), fdc.nal.usda.gov</t>
        </is>
      </c>
      <c r="Q328" s="6" t="inlineStr">
        <is>
          <t>2026-09-26</t>
        </is>
      </c>
    </row>
    <row r="329">
      <c r="A329" s="6" t="inlineStr">
        <is>
          <t>lemongrass</t>
        </is>
      </c>
      <c r="B329" s="6" t="inlineStr">
        <is>
          <t>Lemongrass</t>
        </is>
      </c>
      <c r="C329" s="6" t="inlineStr">
        <is>
          <t>herb</t>
        </is>
      </c>
      <c r="D329" s="6" t="n">
        <v>99</v>
      </c>
      <c r="E329" s="6" t="n">
        <v>1.8</v>
      </c>
      <c r="F329" s="6" t="n">
        <v>0.5</v>
      </c>
      <c r="G329" s="6" t="n">
        <v>25</v>
      </c>
      <c r="H329" s="6" t="n">
        <v>0</v>
      </c>
      <c r="I329" s="6" t="n">
        <v>25</v>
      </c>
      <c r="J329" s="6" t="n">
        <v>15</v>
      </c>
      <c r="K329" s="6" t="inlineStr">
        <is>
          <t>none (placeholder)</t>
        </is>
      </c>
      <c r="L329" s="7" t="inlineStr">
        <is>
          <t>Conventional placeholder for foods with too little carbohydrate to test (non-starchy vegetables, nuts, seeds, herbs); no published measurement exists</t>
        </is>
      </c>
      <c r="M329" s="7" t="inlineStr">
        <is>
          <t>not measurable</t>
        </is>
      </c>
      <c r="N329" s="6" t="inlineStr"/>
      <c r="O329" s="7" t="inlineStr">
        <is>
          <t>clinical convention</t>
        </is>
      </c>
      <c r="P329" s="7" t="inlineStr">
        <is>
          <t>USDA FoodData Central (SR Legacy / Foundation Foods), fdc.nal.usda.gov</t>
        </is>
      </c>
      <c r="Q329" s="6" t="inlineStr">
        <is>
          <t>2026-09-26</t>
        </is>
      </c>
    </row>
    <row r="330">
      <c r="A330" s="6" t="inlineStr">
        <is>
          <t>salt</t>
        </is>
      </c>
      <c r="B330" s="6" t="inlineStr">
        <is>
          <t>Salt</t>
        </is>
      </c>
      <c r="C330" s="6" t="inlineStr">
        <is>
          <t>spice</t>
        </is>
      </c>
      <c r="D330" s="6" t="n">
        <v>0</v>
      </c>
      <c r="E330" s="6" t="n">
        <v>0</v>
      </c>
      <c r="F330" s="6" t="n">
        <v>0</v>
      </c>
      <c r="G330" s="6" t="n">
        <v>0</v>
      </c>
      <c r="H330" s="6" t="n">
        <v>0</v>
      </c>
      <c r="I330" s="6" t="n">
        <v>0</v>
      </c>
      <c r="J330" s="6" t="n">
        <v>0</v>
      </c>
      <c r="K330" s="6" t="inlineStr">
        <is>
          <t>definitional</t>
        </is>
      </c>
      <c r="L330" s="7" t="inlineStr">
        <is>
          <t>No available carbohydrate — GI is 0 by definition (protein / fat / water)</t>
        </is>
      </c>
      <c r="M330" s="7" t="inlineStr">
        <is>
          <t>n/a</t>
        </is>
      </c>
      <c r="N330" s="6" t="inlineStr"/>
      <c r="O330" s="7" t="inlineStr">
        <is>
          <t>ISO 26642:2010</t>
        </is>
      </c>
      <c r="P330" s="7" t="inlineStr">
        <is>
          <t>USDA FoodData Central (SR Legacy / Foundation Foods), fdc.nal.usda.gov</t>
        </is>
      </c>
      <c r="Q330" s="6" t="inlineStr">
        <is>
          <t>2026-09-26</t>
        </is>
      </c>
    </row>
    <row r="331">
      <c r="A331" s="6" t="inlineStr">
        <is>
          <t>black_pepper</t>
        </is>
      </c>
      <c r="B331" s="6" t="inlineStr">
        <is>
          <t>Black pepper</t>
        </is>
      </c>
      <c r="C331" s="6" t="inlineStr">
        <is>
          <t>spice</t>
        </is>
      </c>
      <c r="D331" s="6" t="n">
        <v>251</v>
      </c>
      <c r="E331" s="6" t="n">
        <v>10</v>
      </c>
      <c r="F331" s="6" t="n">
        <v>3.3</v>
      </c>
      <c r="G331" s="6" t="n">
        <v>64</v>
      </c>
      <c r="H331" s="6" t="n">
        <v>25</v>
      </c>
      <c r="I331" s="6" t="n">
        <v>39</v>
      </c>
      <c r="J331" s="6" t="n">
        <v>15</v>
      </c>
      <c r="K331" s="6" t="inlineStr">
        <is>
          <t>none (placeholder)</t>
        </is>
      </c>
      <c r="L331" s="7" t="inlineStr">
        <is>
          <t>Conventional placeholder for foods with too little carbohydrate to test (non-starchy vegetables, nuts, seeds, herbs); no published measurement exists</t>
        </is>
      </c>
      <c r="M331" s="7" t="inlineStr">
        <is>
          <t>not measurable</t>
        </is>
      </c>
      <c r="N331" s="6" t="inlineStr"/>
      <c r="O331" s="7" t="inlineStr">
        <is>
          <t>clinical convention</t>
        </is>
      </c>
      <c r="P331" s="7" t="inlineStr">
        <is>
          <t>USDA FoodData Central (SR Legacy / Foundation Foods), fdc.nal.usda.gov</t>
        </is>
      </c>
      <c r="Q331" s="6" t="inlineStr">
        <is>
          <t>2026-09-26</t>
        </is>
      </c>
    </row>
    <row r="332">
      <c r="A332" s="6" t="inlineStr">
        <is>
          <t>spice</t>
        </is>
      </c>
      <c r="B332" s="6" t="inlineStr">
        <is>
          <t>Dried spices/herbs (generic)</t>
        </is>
      </c>
      <c r="C332" s="6" t="inlineStr">
        <is>
          <t>spice</t>
        </is>
      </c>
      <c r="D332" s="6" t="n">
        <v>300</v>
      </c>
      <c r="E332" s="6" t="n">
        <v>10</v>
      </c>
      <c r="F332" s="6" t="n">
        <v>8</v>
      </c>
      <c r="G332" s="6" t="n">
        <v>55</v>
      </c>
      <c r="H332" s="6" t="n">
        <v>25</v>
      </c>
      <c r="I332" s="6" t="n">
        <v>30</v>
      </c>
      <c r="J332" s="6" t="n">
        <v>15</v>
      </c>
      <c r="K332" s="6" t="inlineStr">
        <is>
          <t>none (placeholder)</t>
        </is>
      </c>
      <c r="L332" s="7" t="inlineStr">
        <is>
          <t>Conventional placeholder for foods with too little carbohydrate to test (non-starchy vegetables, nuts, seeds, herbs); no published measurement exists</t>
        </is>
      </c>
      <c r="M332" s="7" t="inlineStr">
        <is>
          <t>not measurable</t>
        </is>
      </c>
      <c r="N332" s="6" t="inlineStr"/>
      <c r="O332" s="7" t="inlineStr">
        <is>
          <t>clinical convention</t>
        </is>
      </c>
      <c r="P332" s="7" t="inlineStr">
        <is>
          <t>USDA FoodData Central (SR Legacy / Foundation Foods), fdc.nal.usda.gov</t>
        </is>
      </c>
      <c r="Q332" s="6" t="inlineStr">
        <is>
          <t>2026-09-26</t>
        </is>
      </c>
    </row>
    <row r="333">
      <c r="A333" s="6" t="inlineStr">
        <is>
          <t>cumin</t>
        </is>
      </c>
      <c r="B333" s="6" t="inlineStr">
        <is>
          <t>Ground cumin</t>
        </is>
      </c>
      <c r="C333" s="6" t="inlineStr">
        <is>
          <t>spice</t>
        </is>
      </c>
      <c r="D333" s="6" t="n">
        <v>375</v>
      </c>
      <c r="E333" s="6" t="n">
        <v>18</v>
      </c>
      <c r="F333" s="6" t="n">
        <v>22</v>
      </c>
      <c r="G333" s="6" t="n">
        <v>44</v>
      </c>
      <c r="H333" s="6" t="n">
        <v>10.5</v>
      </c>
      <c r="I333" s="6" t="n">
        <v>33.5</v>
      </c>
      <c r="J333" s="6" t="n">
        <v>15</v>
      </c>
      <c r="K333" s="6" t="inlineStr">
        <is>
          <t>none (placeholder)</t>
        </is>
      </c>
      <c r="L333" s="7" t="inlineStr">
        <is>
          <t>Conventional placeholder for foods with too little carbohydrate to test (non-starchy vegetables, nuts, seeds, herbs); no published measurement exists</t>
        </is>
      </c>
      <c r="M333" s="7" t="inlineStr">
        <is>
          <t>not measurable</t>
        </is>
      </c>
      <c r="N333" s="6" t="inlineStr"/>
      <c r="O333" s="7" t="inlineStr">
        <is>
          <t>clinical convention</t>
        </is>
      </c>
      <c r="P333" s="7" t="inlineStr">
        <is>
          <t>USDA FoodData Central (SR Legacy / Foundation Foods), fdc.nal.usda.gov</t>
        </is>
      </c>
      <c r="Q333" s="6" t="inlineStr">
        <is>
          <t>2026-09-26</t>
        </is>
      </c>
    </row>
    <row r="334">
      <c r="A334" s="6" t="inlineStr">
        <is>
          <t>chili_powder</t>
        </is>
      </c>
      <c r="B334" s="6" t="inlineStr">
        <is>
          <t>Chili powder</t>
        </is>
      </c>
      <c r="C334" s="6" t="inlineStr">
        <is>
          <t>spice</t>
        </is>
      </c>
      <c r="D334" s="6" t="n">
        <v>282</v>
      </c>
      <c r="E334" s="6" t="n">
        <v>13.5</v>
      </c>
      <c r="F334" s="6" t="n">
        <v>14</v>
      </c>
      <c r="G334" s="6" t="n">
        <v>50</v>
      </c>
      <c r="H334" s="6" t="n">
        <v>35</v>
      </c>
      <c r="I334" s="6" t="n">
        <v>15</v>
      </c>
      <c r="J334" s="6" t="n">
        <v>15</v>
      </c>
      <c r="K334" s="6" t="inlineStr">
        <is>
          <t>none (placeholder)</t>
        </is>
      </c>
      <c r="L334" s="7" t="inlineStr">
        <is>
          <t>Conventional placeholder for foods with too little carbohydrate to test (non-starchy vegetables, nuts, seeds, herbs); no published measurement exists</t>
        </is>
      </c>
      <c r="M334" s="7" t="inlineStr">
        <is>
          <t>not measurable</t>
        </is>
      </c>
      <c r="N334" s="6" t="inlineStr"/>
      <c r="O334" s="7" t="inlineStr">
        <is>
          <t>clinical convention</t>
        </is>
      </c>
      <c r="P334" s="7" t="inlineStr">
        <is>
          <t>USDA FoodData Central (SR Legacy / Foundation Foods), fdc.nal.usda.gov</t>
        </is>
      </c>
      <c r="Q334" s="6" t="inlineStr">
        <is>
          <t>2026-09-26</t>
        </is>
      </c>
    </row>
    <row r="335">
      <c r="A335" s="6" t="inlineStr">
        <is>
          <t>smoked_paprika</t>
        </is>
      </c>
      <c r="B335" s="6" t="inlineStr">
        <is>
          <t>Smoked paprika</t>
        </is>
      </c>
      <c r="C335" s="6" t="inlineStr">
        <is>
          <t>spice</t>
        </is>
      </c>
      <c r="D335" s="6" t="n">
        <v>282</v>
      </c>
      <c r="E335" s="6" t="n">
        <v>14</v>
      </c>
      <c r="F335" s="6" t="n">
        <v>13</v>
      </c>
      <c r="G335" s="6" t="n">
        <v>54</v>
      </c>
      <c r="H335" s="6" t="n">
        <v>35</v>
      </c>
      <c r="I335" s="6" t="n">
        <v>19</v>
      </c>
      <c r="J335" s="6" t="n">
        <v>15</v>
      </c>
      <c r="K335" s="6" t="inlineStr">
        <is>
          <t>none (placeholder)</t>
        </is>
      </c>
      <c r="L335" s="7" t="inlineStr">
        <is>
          <t>Conventional placeholder for foods with too little carbohydrate to test (non-starchy vegetables, nuts, seeds, herbs); no published measurement exists</t>
        </is>
      </c>
      <c r="M335" s="7" t="inlineStr">
        <is>
          <t>not measurable</t>
        </is>
      </c>
      <c r="N335" s="6" t="inlineStr"/>
      <c r="O335" s="7" t="inlineStr">
        <is>
          <t>clinical convention</t>
        </is>
      </c>
      <c r="P335" s="7" t="inlineStr">
        <is>
          <t>USDA FoodData Central (SR Legacy / Foundation Foods), fdc.nal.usda.gov</t>
        </is>
      </c>
      <c r="Q335" s="6" t="inlineStr">
        <is>
          <t>2026-09-26</t>
        </is>
      </c>
    </row>
    <row r="336">
      <c r="A336" s="6" t="inlineStr">
        <is>
          <t>paprika</t>
        </is>
      </c>
      <c r="B336" s="6" t="inlineStr">
        <is>
          <t>Paprika</t>
        </is>
      </c>
      <c r="C336" s="6" t="inlineStr">
        <is>
          <t>spice</t>
        </is>
      </c>
      <c r="D336" s="6" t="n">
        <v>282</v>
      </c>
      <c r="E336" s="6" t="n">
        <v>14</v>
      </c>
      <c r="F336" s="6" t="n">
        <v>13</v>
      </c>
      <c r="G336" s="6" t="n">
        <v>54</v>
      </c>
      <c r="H336" s="6" t="n">
        <v>35</v>
      </c>
      <c r="I336" s="6" t="n">
        <v>19</v>
      </c>
      <c r="J336" s="6" t="n">
        <v>15</v>
      </c>
      <c r="K336" s="6" t="inlineStr">
        <is>
          <t>none (placeholder)</t>
        </is>
      </c>
      <c r="L336" s="7" t="inlineStr">
        <is>
          <t>Conventional placeholder for foods with too little carbohydrate to test (non-starchy vegetables, nuts, seeds, herbs); no published measurement exists</t>
        </is>
      </c>
      <c r="M336" s="7" t="inlineStr">
        <is>
          <t>not measurable</t>
        </is>
      </c>
      <c r="N336" s="6" t="inlineStr"/>
      <c r="O336" s="7" t="inlineStr">
        <is>
          <t>clinical convention</t>
        </is>
      </c>
      <c r="P336" s="7" t="inlineStr">
        <is>
          <t>USDA FoodData Central (SR Legacy / Foundation Foods), fdc.nal.usda.gov</t>
        </is>
      </c>
      <c r="Q336" s="6" t="inlineStr">
        <is>
          <t>2026-09-26</t>
        </is>
      </c>
    </row>
    <row r="337">
      <c r="A337" s="6" t="inlineStr">
        <is>
          <t>turmeric</t>
        </is>
      </c>
      <c r="B337" s="6" t="inlineStr">
        <is>
          <t>Ground turmeric</t>
        </is>
      </c>
      <c r="C337" s="6" t="inlineStr">
        <is>
          <t>spice</t>
        </is>
      </c>
      <c r="D337" s="6" t="n">
        <v>312</v>
      </c>
      <c r="E337" s="6" t="n">
        <v>9.699999999999999</v>
      </c>
      <c r="F337" s="6" t="n">
        <v>3.3</v>
      </c>
      <c r="G337" s="6" t="n">
        <v>67</v>
      </c>
      <c r="H337" s="6" t="n">
        <v>22.7</v>
      </c>
      <c r="I337" s="6" t="n">
        <v>44.3</v>
      </c>
      <c r="J337" s="6" t="n">
        <v>15</v>
      </c>
      <c r="K337" s="6" t="inlineStr">
        <is>
          <t>none (placeholder)</t>
        </is>
      </c>
      <c r="L337" s="7" t="inlineStr">
        <is>
          <t>Conventional placeholder for foods with too little carbohydrate to test (non-starchy vegetables, nuts, seeds, herbs); no published measurement exists</t>
        </is>
      </c>
      <c r="M337" s="7" t="inlineStr">
        <is>
          <t>not measurable</t>
        </is>
      </c>
      <c r="N337" s="6" t="inlineStr"/>
      <c r="O337" s="7" t="inlineStr">
        <is>
          <t>clinical convention</t>
        </is>
      </c>
      <c r="P337" s="7" t="inlineStr">
        <is>
          <t>USDA FoodData Central (SR Legacy / Foundation Foods), fdc.nal.usda.gov</t>
        </is>
      </c>
      <c r="Q337" s="6" t="inlineStr">
        <is>
          <t>2026-09-26</t>
        </is>
      </c>
    </row>
    <row r="338">
      <c r="A338" s="6" t="inlineStr">
        <is>
          <t>cinnamon</t>
        </is>
      </c>
      <c r="B338" s="6" t="inlineStr">
        <is>
          <t>Ground cinnamon</t>
        </is>
      </c>
      <c r="C338" s="6" t="inlineStr">
        <is>
          <t>spice</t>
        </is>
      </c>
      <c r="D338" s="6" t="n">
        <v>247</v>
      </c>
      <c r="E338" s="6" t="n">
        <v>4</v>
      </c>
      <c r="F338" s="6" t="n">
        <v>1.2</v>
      </c>
      <c r="G338" s="6" t="n">
        <v>81</v>
      </c>
      <c r="H338" s="6" t="n">
        <v>53</v>
      </c>
      <c r="I338" s="6" t="n">
        <v>28</v>
      </c>
      <c r="J338" s="6" t="n">
        <v>5</v>
      </c>
      <c r="K338" s="6" t="inlineStr">
        <is>
          <t>low</t>
        </is>
      </c>
      <c r="L338" s="7" t="inlineStr">
        <is>
          <t>Estimated from the closest tested food; no direct measurement found in the pooled sources</t>
        </is>
      </c>
      <c r="M338" s="7" t="inlineStr">
        <is>
          <t>no direct match</t>
        </is>
      </c>
      <c r="N338" s="6" t="inlineStr"/>
      <c r="O3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38" s="7" t="inlineStr">
        <is>
          <t>USDA FoodData Central (SR Legacy / Foundation Foods), fdc.nal.usda.gov</t>
        </is>
      </c>
      <c r="Q338" s="6" t="inlineStr">
        <is>
          <t>2026-09-26</t>
        </is>
      </c>
    </row>
    <row r="339">
      <c r="A339" s="6" t="inlineStr">
        <is>
          <t>nutmeg</t>
        </is>
      </c>
      <c r="B339" s="6" t="inlineStr">
        <is>
          <t>Ground nutmeg</t>
        </is>
      </c>
      <c r="C339" s="6" t="inlineStr">
        <is>
          <t>spice</t>
        </is>
      </c>
      <c r="D339" s="6" t="n">
        <v>525</v>
      </c>
      <c r="E339" s="6" t="n">
        <v>6</v>
      </c>
      <c r="F339" s="6" t="n">
        <v>36</v>
      </c>
      <c r="G339" s="6" t="n">
        <v>49</v>
      </c>
      <c r="H339" s="6" t="n">
        <v>21</v>
      </c>
      <c r="I339" s="6" t="n">
        <v>28</v>
      </c>
      <c r="J339" s="6" t="n">
        <v>15</v>
      </c>
      <c r="K339" s="6" t="inlineStr">
        <is>
          <t>none (placeholder)</t>
        </is>
      </c>
      <c r="L339" s="7" t="inlineStr">
        <is>
          <t>Conventional placeholder for foods with too little carbohydrate to test (non-starchy vegetables, nuts, seeds, herbs); no published measurement exists</t>
        </is>
      </c>
      <c r="M339" s="7" t="inlineStr">
        <is>
          <t>not measurable</t>
        </is>
      </c>
      <c r="N339" s="6" t="inlineStr"/>
      <c r="O339" s="7" t="inlineStr">
        <is>
          <t>clinical convention</t>
        </is>
      </c>
      <c r="P339" s="7" t="inlineStr">
        <is>
          <t>USDA FoodData Central (SR Legacy / Foundation Foods), fdc.nal.usda.gov</t>
        </is>
      </c>
      <c r="Q339" s="6" t="inlineStr">
        <is>
          <t>2026-09-26</t>
        </is>
      </c>
    </row>
    <row r="340">
      <c r="A340" s="6" t="inlineStr">
        <is>
          <t>cardamom</t>
        </is>
      </c>
      <c r="B340" s="6" t="inlineStr">
        <is>
          <t>Ground cardamom</t>
        </is>
      </c>
      <c r="C340" s="6" t="inlineStr">
        <is>
          <t>spice</t>
        </is>
      </c>
      <c r="D340" s="6" t="n">
        <v>311</v>
      </c>
      <c r="E340" s="6" t="n">
        <v>11</v>
      </c>
      <c r="F340" s="6" t="n">
        <v>7</v>
      </c>
      <c r="G340" s="6" t="n">
        <v>68</v>
      </c>
      <c r="H340" s="6" t="n">
        <v>28</v>
      </c>
      <c r="I340" s="6" t="n">
        <v>40</v>
      </c>
      <c r="J340" s="6" t="n">
        <v>15</v>
      </c>
      <c r="K340" s="6" t="inlineStr">
        <is>
          <t>none (placeholder)</t>
        </is>
      </c>
      <c r="L340" s="7" t="inlineStr">
        <is>
          <t>Conventional placeholder for foods with too little carbohydrate to test (non-starchy vegetables, nuts, seeds, herbs); no published measurement exists</t>
        </is>
      </c>
      <c r="M340" s="7" t="inlineStr">
        <is>
          <t>not measurable</t>
        </is>
      </c>
      <c r="N340" s="6" t="inlineStr"/>
      <c r="O340" s="7" t="inlineStr">
        <is>
          <t>clinical convention</t>
        </is>
      </c>
      <c r="P340" s="7" t="inlineStr">
        <is>
          <t>USDA FoodData Central (SR Legacy / Foundation Foods), fdc.nal.usda.gov</t>
        </is>
      </c>
      <c r="Q340" s="6" t="inlineStr">
        <is>
          <t>2026-09-26</t>
        </is>
      </c>
    </row>
    <row r="341">
      <c r="A341" s="6" t="inlineStr">
        <is>
          <t>cayenne</t>
        </is>
      </c>
      <c r="B341" s="6" t="inlineStr">
        <is>
          <t>Cayenne pepper</t>
        </is>
      </c>
      <c r="C341" s="6" t="inlineStr">
        <is>
          <t>spice</t>
        </is>
      </c>
      <c r="D341" s="6" t="n">
        <v>318</v>
      </c>
      <c r="E341" s="6" t="n">
        <v>12</v>
      </c>
      <c r="F341" s="6" t="n">
        <v>17</v>
      </c>
      <c r="G341" s="6" t="n">
        <v>57</v>
      </c>
      <c r="H341" s="6" t="n">
        <v>27</v>
      </c>
      <c r="I341" s="6" t="n">
        <v>30</v>
      </c>
      <c r="J341" s="6" t="n">
        <v>15</v>
      </c>
      <c r="K341" s="6" t="inlineStr">
        <is>
          <t>none (placeholder)</t>
        </is>
      </c>
      <c r="L341" s="7" t="inlineStr">
        <is>
          <t>Conventional placeholder for foods with too little carbohydrate to test (non-starchy vegetables, nuts, seeds, herbs); no published measurement exists</t>
        </is>
      </c>
      <c r="M341" s="7" t="inlineStr">
        <is>
          <t>not measurable</t>
        </is>
      </c>
      <c r="N341" s="6" t="inlineStr"/>
      <c r="O341" s="7" t="inlineStr">
        <is>
          <t>clinical convention</t>
        </is>
      </c>
      <c r="P341" s="7" t="inlineStr">
        <is>
          <t>USDA FoodData Central (SR Legacy / Foundation Foods), fdc.nal.usda.gov</t>
        </is>
      </c>
      <c r="Q341" s="6" t="inlineStr">
        <is>
          <t>2026-09-26</t>
        </is>
      </c>
    </row>
    <row r="342">
      <c r="A342" s="6" t="inlineStr">
        <is>
          <t>red_pepper_flakes</t>
        </is>
      </c>
      <c r="B342" s="6" t="inlineStr">
        <is>
          <t>Red pepper flakes</t>
        </is>
      </c>
      <c r="C342" s="6" t="inlineStr">
        <is>
          <t>spice</t>
        </is>
      </c>
      <c r="D342" s="6" t="n">
        <v>318</v>
      </c>
      <c r="E342" s="6" t="n">
        <v>12</v>
      </c>
      <c r="F342" s="6" t="n">
        <v>17</v>
      </c>
      <c r="G342" s="6" t="n">
        <v>57</v>
      </c>
      <c r="H342" s="6" t="n">
        <v>27</v>
      </c>
      <c r="I342" s="6" t="n">
        <v>30</v>
      </c>
      <c r="J342" s="6" t="n">
        <v>15</v>
      </c>
      <c r="K342" s="6" t="inlineStr">
        <is>
          <t>none (placeholder)</t>
        </is>
      </c>
      <c r="L342" s="7" t="inlineStr">
        <is>
          <t>Conventional placeholder for foods with too little carbohydrate to test (non-starchy vegetables, nuts, seeds, herbs); no published measurement exists</t>
        </is>
      </c>
      <c r="M342" s="7" t="inlineStr">
        <is>
          <t>not measurable</t>
        </is>
      </c>
      <c r="N342" s="6" t="inlineStr"/>
      <c r="O342" s="7" t="inlineStr">
        <is>
          <t>clinical convention</t>
        </is>
      </c>
      <c r="P342" s="7" t="inlineStr">
        <is>
          <t>USDA FoodData Central (SR Legacy / Foundation Foods), fdc.nal.usda.gov</t>
        </is>
      </c>
      <c r="Q342" s="6" t="inlineStr">
        <is>
          <t>2026-09-26</t>
        </is>
      </c>
    </row>
    <row r="343">
      <c r="A343" s="6" t="inlineStr">
        <is>
          <t>garlic_powder</t>
        </is>
      </c>
      <c r="B343" s="6" t="inlineStr">
        <is>
          <t>Garlic powder</t>
        </is>
      </c>
      <c r="C343" s="6" t="inlineStr">
        <is>
          <t>spice</t>
        </is>
      </c>
      <c r="D343" s="6" t="n">
        <v>331</v>
      </c>
      <c r="E343" s="6" t="n">
        <v>16.5</v>
      </c>
      <c r="F343" s="6" t="n">
        <v>0.7</v>
      </c>
      <c r="G343" s="6" t="n">
        <v>72.7</v>
      </c>
      <c r="H343" s="6" t="n">
        <v>9</v>
      </c>
      <c r="I343" s="6" t="n">
        <v>63.7</v>
      </c>
      <c r="J343" s="6" t="n">
        <v>15</v>
      </c>
      <c r="K343" s="6" t="inlineStr">
        <is>
          <t>none (placeholder)</t>
        </is>
      </c>
      <c r="L343" s="7" t="inlineStr">
        <is>
          <t>Conventional placeholder for foods with too little carbohydrate to test (non-starchy vegetables, nuts, seeds, herbs); no published measurement exists</t>
        </is>
      </c>
      <c r="M343" s="7" t="inlineStr">
        <is>
          <t>not measurable</t>
        </is>
      </c>
      <c r="N343" s="6" t="inlineStr"/>
      <c r="O343" s="7" t="inlineStr">
        <is>
          <t>clinical convention</t>
        </is>
      </c>
      <c r="P343" s="7" t="inlineStr">
        <is>
          <t>USDA FoodData Central (SR Legacy / Foundation Foods), fdc.nal.usda.gov</t>
        </is>
      </c>
      <c r="Q343" s="6" t="inlineStr">
        <is>
          <t>2026-09-26</t>
        </is>
      </c>
    </row>
    <row r="344">
      <c r="A344" s="6" t="inlineStr">
        <is>
          <t>onion_powder</t>
        </is>
      </c>
      <c r="B344" s="6" t="inlineStr">
        <is>
          <t>Onion powder</t>
        </is>
      </c>
      <c r="C344" s="6" t="inlineStr">
        <is>
          <t>spice</t>
        </is>
      </c>
      <c r="D344" s="6" t="n">
        <v>341</v>
      </c>
      <c r="E344" s="6" t="n">
        <v>10</v>
      </c>
      <c r="F344" s="6" t="n">
        <v>1</v>
      </c>
      <c r="G344" s="6" t="n">
        <v>79</v>
      </c>
      <c r="H344" s="6" t="n">
        <v>15</v>
      </c>
      <c r="I344" s="6" t="n">
        <v>64</v>
      </c>
      <c r="J344" s="6" t="n">
        <v>15</v>
      </c>
      <c r="K344" s="6" t="inlineStr">
        <is>
          <t>none (placeholder)</t>
        </is>
      </c>
      <c r="L344" s="7" t="inlineStr">
        <is>
          <t>Conventional placeholder for foods with too little carbohydrate to test (non-starchy vegetables, nuts, seeds, herbs); no published measurement exists</t>
        </is>
      </c>
      <c r="M344" s="7" t="inlineStr">
        <is>
          <t>not measurable</t>
        </is>
      </c>
      <c r="N344" s="6" t="inlineStr"/>
      <c r="O344" s="7" t="inlineStr">
        <is>
          <t>clinical convention</t>
        </is>
      </c>
      <c r="P344" s="7" t="inlineStr">
        <is>
          <t>USDA FoodData Central (SR Legacy / Foundation Foods), fdc.nal.usda.gov</t>
        </is>
      </c>
      <c r="Q344" s="6" t="inlineStr">
        <is>
          <t>2026-09-26</t>
        </is>
      </c>
    </row>
    <row r="345">
      <c r="A345" s="6" t="inlineStr">
        <is>
          <t>oregano</t>
        </is>
      </c>
      <c r="B345" s="6" t="inlineStr">
        <is>
          <t>Dried oregano</t>
        </is>
      </c>
      <c r="C345" s="6" t="inlineStr">
        <is>
          <t>spice</t>
        </is>
      </c>
      <c r="D345" s="6" t="n">
        <v>265</v>
      </c>
      <c r="E345" s="6" t="n">
        <v>9</v>
      </c>
      <c r="F345" s="6" t="n">
        <v>4.3</v>
      </c>
      <c r="G345" s="6" t="n">
        <v>69</v>
      </c>
      <c r="H345" s="6" t="n">
        <v>42.5</v>
      </c>
      <c r="I345" s="6" t="n">
        <v>26.5</v>
      </c>
      <c r="J345" s="6" t="n">
        <v>15</v>
      </c>
      <c r="K345" s="6" t="inlineStr">
        <is>
          <t>none (placeholder)</t>
        </is>
      </c>
      <c r="L345" s="7" t="inlineStr">
        <is>
          <t>Conventional placeholder for foods with too little carbohydrate to test (non-starchy vegetables, nuts, seeds, herbs); no published measurement exists</t>
        </is>
      </c>
      <c r="M345" s="7" t="inlineStr">
        <is>
          <t>not measurable</t>
        </is>
      </c>
      <c r="N345" s="6" t="inlineStr"/>
      <c r="O345" s="7" t="inlineStr">
        <is>
          <t>clinical convention</t>
        </is>
      </c>
      <c r="P345" s="7" t="inlineStr">
        <is>
          <t>USDA FoodData Central (SR Legacy / Foundation Foods), fdc.nal.usda.gov</t>
        </is>
      </c>
      <c r="Q345" s="6" t="inlineStr">
        <is>
          <t>2026-09-26</t>
        </is>
      </c>
    </row>
    <row r="346">
      <c r="A346" s="6" t="inlineStr">
        <is>
          <t>italian_seasoning</t>
        </is>
      </c>
      <c r="B346" s="6" t="inlineStr">
        <is>
          <t>Italian seasoning</t>
        </is>
      </c>
      <c r="C346" s="6" t="inlineStr">
        <is>
          <t>spice</t>
        </is>
      </c>
      <c r="D346" s="6" t="n">
        <v>265</v>
      </c>
      <c r="E346" s="6" t="n">
        <v>9</v>
      </c>
      <c r="F346" s="6" t="n">
        <v>4.3</v>
      </c>
      <c r="G346" s="6" t="n">
        <v>69</v>
      </c>
      <c r="H346" s="6" t="n">
        <v>42.5</v>
      </c>
      <c r="I346" s="6" t="n">
        <v>26.5</v>
      </c>
      <c r="J346" s="6" t="n">
        <v>15</v>
      </c>
      <c r="K346" s="6" t="inlineStr">
        <is>
          <t>none (placeholder)</t>
        </is>
      </c>
      <c r="L346" s="7" t="inlineStr">
        <is>
          <t>Conventional placeholder for foods with too little carbohydrate to test (non-starchy vegetables, nuts, seeds, herbs); no published measurement exists</t>
        </is>
      </c>
      <c r="M346" s="7" t="inlineStr">
        <is>
          <t>not measurable</t>
        </is>
      </c>
      <c r="N346" s="6" t="inlineStr"/>
      <c r="O346" s="7" t="inlineStr">
        <is>
          <t>clinical convention</t>
        </is>
      </c>
      <c r="P346" s="7" t="inlineStr">
        <is>
          <t>USDA FoodData Central (SR Legacy / Foundation Foods), fdc.nal.usda.gov</t>
        </is>
      </c>
      <c r="Q346" s="6" t="inlineStr">
        <is>
          <t>2026-09-26</t>
        </is>
      </c>
    </row>
    <row r="347">
      <c r="A347" s="6" t="inlineStr">
        <is>
          <t>taco_seasoning</t>
        </is>
      </c>
      <c r="B347" s="6" t="inlineStr">
        <is>
          <t>Taco seasoning, low sodium</t>
        </is>
      </c>
      <c r="C347" s="6" t="inlineStr">
        <is>
          <t>spice</t>
        </is>
      </c>
      <c r="D347" s="6" t="n">
        <v>300</v>
      </c>
      <c r="E347" s="6" t="n">
        <v>10</v>
      </c>
      <c r="F347" s="6" t="n">
        <v>8</v>
      </c>
      <c r="G347" s="6" t="n">
        <v>55</v>
      </c>
      <c r="H347" s="6" t="n">
        <v>25</v>
      </c>
      <c r="I347" s="6" t="n">
        <v>30</v>
      </c>
      <c r="J347" s="6" t="n">
        <v>15</v>
      </c>
      <c r="K347" s="6" t="inlineStr">
        <is>
          <t>none (placeholder)</t>
        </is>
      </c>
      <c r="L347" s="7" t="inlineStr">
        <is>
          <t>Conventional placeholder for foods with too little carbohydrate to test (non-starchy vegetables, nuts, seeds, herbs); no published measurement exists</t>
        </is>
      </c>
      <c r="M347" s="7" t="inlineStr">
        <is>
          <t>not measurable</t>
        </is>
      </c>
      <c r="N347" s="6" t="inlineStr"/>
      <c r="O347" s="7" t="inlineStr">
        <is>
          <t>clinical convention</t>
        </is>
      </c>
      <c r="P347" s="7" t="inlineStr">
        <is>
          <t>USDA FoodData Central (SR Legacy / Foundation Foods), fdc.nal.usda.gov</t>
        </is>
      </c>
      <c r="Q347" s="6" t="inlineStr">
        <is>
          <t>2026-09-26</t>
        </is>
      </c>
    </row>
    <row r="348">
      <c r="A348" s="6" t="inlineStr">
        <is>
          <t>curry_powder</t>
        </is>
      </c>
      <c r="B348" s="6" t="inlineStr">
        <is>
          <t>Curry powder</t>
        </is>
      </c>
      <c r="C348" s="6" t="inlineStr">
        <is>
          <t>spice</t>
        </is>
      </c>
      <c r="D348" s="6" t="n">
        <v>325</v>
      </c>
      <c r="E348" s="6" t="n">
        <v>14</v>
      </c>
      <c r="F348" s="6" t="n">
        <v>14</v>
      </c>
      <c r="G348" s="6" t="n">
        <v>58</v>
      </c>
      <c r="H348" s="6" t="n">
        <v>53</v>
      </c>
      <c r="I348" s="6" t="n">
        <v>5</v>
      </c>
      <c r="J348" s="6" t="n">
        <v>15</v>
      </c>
      <c r="K348" s="6" t="inlineStr">
        <is>
          <t>none (placeholder)</t>
        </is>
      </c>
      <c r="L348" s="7" t="inlineStr">
        <is>
          <t>Conventional placeholder for foods with too little carbohydrate to test (non-starchy vegetables, nuts, seeds, herbs); no published measurement exists</t>
        </is>
      </c>
      <c r="M348" s="7" t="inlineStr">
        <is>
          <t>not measurable</t>
        </is>
      </c>
      <c r="N348" s="6" t="inlineStr"/>
      <c r="O348" s="7" t="inlineStr">
        <is>
          <t>clinical convention</t>
        </is>
      </c>
      <c r="P348" s="7" t="inlineStr">
        <is>
          <t>USDA FoodData Central (SR Legacy / Foundation Foods), fdc.nal.usda.gov</t>
        </is>
      </c>
      <c r="Q348" s="6" t="inlineStr">
        <is>
          <t>2026-09-26</t>
        </is>
      </c>
    </row>
    <row r="349">
      <c r="A349" s="6" t="inlineStr">
        <is>
          <t>garam_masala</t>
        </is>
      </c>
      <c r="B349" s="6" t="inlineStr">
        <is>
          <t>Garam masala</t>
        </is>
      </c>
      <c r="C349" s="6" t="inlineStr">
        <is>
          <t>spice</t>
        </is>
      </c>
      <c r="D349" s="6" t="n">
        <v>325</v>
      </c>
      <c r="E349" s="6" t="n">
        <v>14</v>
      </c>
      <c r="F349" s="6" t="n">
        <v>14</v>
      </c>
      <c r="G349" s="6" t="n">
        <v>58</v>
      </c>
      <c r="H349" s="6" t="n">
        <v>53</v>
      </c>
      <c r="I349" s="6" t="n">
        <v>5</v>
      </c>
      <c r="J349" s="6" t="n">
        <v>15</v>
      </c>
      <c r="K349" s="6" t="inlineStr">
        <is>
          <t>none (placeholder)</t>
        </is>
      </c>
      <c r="L349" s="7" t="inlineStr">
        <is>
          <t>Conventional placeholder for foods with too little carbohydrate to test (non-starchy vegetables, nuts, seeds, herbs); no published measurement exists</t>
        </is>
      </c>
      <c r="M349" s="7" t="inlineStr">
        <is>
          <t>not measurable</t>
        </is>
      </c>
      <c r="N349" s="6" t="inlineStr"/>
      <c r="O349" s="7" t="inlineStr">
        <is>
          <t>clinical convention</t>
        </is>
      </c>
      <c r="P349" s="7" t="inlineStr">
        <is>
          <t>USDA FoodData Central (SR Legacy / Foundation Foods), fdc.nal.usda.gov</t>
        </is>
      </c>
      <c r="Q349" s="6" t="inlineStr">
        <is>
          <t>2026-09-26</t>
        </is>
      </c>
    </row>
    <row r="350">
      <c r="A350" s="6" t="inlineStr">
        <is>
          <t>zaatar</t>
        </is>
      </c>
      <c r="B350" s="6" t="inlineStr">
        <is>
          <t>Za'atar</t>
        </is>
      </c>
      <c r="C350" s="6" t="inlineStr">
        <is>
          <t>spice</t>
        </is>
      </c>
      <c r="D350" s="6" t="n">
        <v>300</v>
      </c>
      <c r="E350" s="6" t="n">
        <v>10</v>
      </c>
      <c r="F350" s="6" t="n">
        <v>8</v>
      </c>
      <c r="G350" s="6" t="n">
        <v>55</v>
      </c>
      <c r="H350" s="6" t="n">
        <v>25</v>
      </c>
      <c r="I350" s="6" t="n">
        <v>30</v>
      </c>
      <c r="J350" s="6" t="n">
        <v>15</v>
      </c>
      <c r="K350" s="6" t="inlineStr">
        <is>
          <t>none (placeholder)</t>
        </is>
      </c>
      <c r="L350" s="7" t="inlineStr">
        <is>
          <t>Conventional placeholder for foods with too little carbohydrate to test (non-starchy vegetables, nuts, seeds, herbs); no published measurement exists</t>
        </is>
      </c>
      <c r="M350" s="7" t="inlineStr">
        <is>
          <t>not measurable</t>
        </is>
      </c>
      <c r="N350" s="6" t="inlineStr"/>
      <c r="O350" s="7" t="inlineStr">
        <is>
          <t>clinical convention</t>
        </is>
      </c>
      <c r="P350" s="7" t="inlineStr">
        <is>
          <t>USDA FoodData Central (SR Legacy / Foundation Foods), fdc.nal.usda.gov</t>
        </is>
      </c>
      <c r="Q350" s="6" t="inlineStr">
        <is>
          <t>2026-09-26</t>
        </is>
      </c>
    </row>
    <row r="351">
      <c r="A351" s="6" t="inlineStr">
        <is>
          <t>everything_seasoning</t>
        </is>
      </c>
      <c r="B351" s="6" t="inlineStr">
        <is>
          <t>Everything bagel seasoning</t>
        </is>
      </c>
      <c r="C351" s="6" t="inlineStr">
        <is>
          <t>spice</t>
        </is>
      </c>
      <c r="D351" s="6" t="n">
        <v>350</v>
      </c>
      <c r="E351" s="6" t="n">
        <v>15</v>
      </c>
      <c r="F351" s="6" t="n">
        <v>20</v>
      </c>
      <c r="G351" s="6" t="n">
        <v>30</v>
      </c>
      <c r="H351" s="6" t="n">
        <v>10</v>
      </c>
      <c r="I351" s="6" t="n">
        <v>20</v>
      </c>
      <c r="J351" s="6" t="n">
        <v>15</v>
      </c>
      <c r="K351" s="6" t="inlineStr">
        <is>
          <t>none (placeholder)</t>
        </is>
      </c>
      <c r="L351" s="7" t="inlineStr">
        <is>
          <t>Conventional placeholder for foods with too little carbohydrate to test (non-starchy vegetables, nuts, seeds, herbs); no published measurement exists</t>
        </is>
      </c>
      <c r="M351" s="7" t="inlineStr">
        <is>
          <t>not measurable</t>
        </is>
      </c>
      <c r="N351" s="6" t="inlineStr"/>
      <c r="O351" s="7" t="inlineStr">
        <is>
          <t>clinical convention</t>
        </is>
      </c>
      <c r="P351" s="7" t="inlineStr">
        <is>
          <t>USDA FoodData Central (SR Legacy / Foundation Foods), fdc.nal.usda.gov</t>
        </is>
      </c>
      <c r="Q351" s="6" t="inlineStr">
        <is>
          <t>2026-09-26</t>
        </is>
      </c>
    </row>
    <row r="352">
      <c r="A352" s="6" t="inlineStr">
        <is>
          <t>old_bay</t>
        </is>
      </c>
      <c r="B352" s="6" t="inlineStr">
        <is>
          <t>Old Bay seasoning</t>
        </is>
      </c>
      <c r="C352" s="6" t="inlineStr">
        <is>
          <t>spice</t>
        </is>
      </c>
      <c r="D352" s="6" t="n">
        <v>300</v>
      </c>
      <c r="E352" s="6" t="n">
        <v>10</v>
      </c>
      <c r="F352" s="6" t="n">
        <v>8</v>
      </c>
      <c r="G352" s="6" t="n">
        <v>55</v>
      </c>
      <c r="H352" s="6" t="n">
        <v>25</v>
      </c>
      <c r="I352" s="6" t="n">
        <v>30</v>
      </c>
      <c r="J352" s="6" t="n">
        <v>15</v>
      </c>
      <c r="K352" s="6" t="inlineStr">
        <is>
          <t>none (placeholder)</t>
        </is>
      </c>
      <c r="L352" s="7" t="inlineStr">
        <is>
          <t>Conventional placeholder for foods with too little carbohydrate to test (non-starchy vegetables, nuts, seeds, herbs); no published measurement exists</t>
        </is>
      </c>
      <c r="M352" s="7" t="inlineStr">
        <is>
          <t>not measurable</t>
        </is>
      </c>
      <c r="N352" s="6" t="inlineStr"/>
      <c r="O352" s="7" t="inlineStr">
        <is>
          <t>clinical convention</t>
        </is>
      </c>
      <c r="P352" s="7" t="inlineStr">
        <is>
          <t>USDA FoodData Central (SR Legacy / Foundation Foods), fdc.nal.usda.gov</t>
        </is>
      </c>
      <c r="Q352" s="6" t="inlineStr">
        <is>
          <t>2026-09-26</t>
        </is>
      </c>
    </row>
    <row r="353">
      <c r="A353" s="6" t="inlineStr">
        <is>
          <t>cajun_seasoning</t>
        </is>
      </c>
      <c r="B353" s="6" t="inlineStr">
        <is>
          <t>Cajun seasoning</t>
        </is>
      </c>
      <c r="C353" s="6" t="inlineStr">
        <is>
          <t>spice</t>
        </is>
      </c>
      <c r="D353" s="6" t="n">
        <v>300</v>
      </c>
      <c r="E353" s="6" t="n">
        <v>10</v>
      </c>
      <c r="F353" s="6" t="n">
        <v>8</v>
      </c>
      <c r="G353" s="6" t="n">
        <v>55</v>
      </c>
      <c r="H353" s="6" t="n">
        <v>25</v>
      </c>
      <c r="I353" s="6" t="n">
        <v>30</v>
      </c>
      <c r="J353" s="6" t="n">
        <v>15</v>
      </c>
      <c r="K353" s="6" t="inlineStr">
        <is>
          <t>none (placeholder)</t>
        </is>
      </c>
      <c r="L353" s="7" t="inlineStr">
        <is>
          <t>Conventional placeholder for foods with too little carbohydrate to test (non-starchy vegetables, nuts, seeds, herbs); no published measurement exists</t>
        </is>
      </c>
      <c r="M353" s="7" t="inlineStr">
        <is>
          <t>not measurable</t>
        </is>
      </c>
      <c r="N353" s="6" t="inlineStr"/>
      <c r="O353" s="7" t="inlineStr">
        <is>
          <t>clinical convention</t>
        </is>
      </c>
      <c r="P353" s="7" t="inlineStr">
        <is>
          <t>USDA FoodData Central (SR Legacy / Foundation Foods), fdc.nal.usda.gov</t>
        </is>
      </c>
      <c r="Q353" s="6" t="inlineStr">
        <is>
          <t>2026-09-26</t>
        </is>
      </c>
    </row>
    <row r="354">
      <c r="A354" s="6" t="inlineStr">
        <is>
          <t>ranch_seasoning</t>
        </is>
      </c>
      <c r="B354" s="6" t="inlineStr">
        <is>
          <t>Ranch seasoning (dry)</t>
        </is>
      </c>
      <c r="C354" s="6" t="inlineStr">
        <is>
          <t>spice</t>
        </is>
      </c>
      <c r="D354" s="6" t="n">
        <v>300</v>
      </c>
      <c r="E354" s="6" t="n">
        <v>10</v>
      </c>
      <c r="F354" s="6" t="n">
        <v>8</v>
      </c>
      <c r="G354" s="6" t="n">
        <v>55</v>
      </c>
      <c r="H354" s="6" t="n">
        <v>25</v>
      </c>
      <c r="I354" s="6" t="n">
        <v>30</v>
      </c>
      <c r="J354" s="6" t="n">
        <v>15</v>
      </c>
      <c r="K354" s="6" t="inlineStr">
        <is>
          <t>none (placeholder)</t>
        </is>
      </c>
      <c r="L354" s="7" t="inlineStr">
        <is>
          <t>Conventional placeholder for foods with too little carbohydrate to test (non-starchy vegetables, nuts, seeds, herbs); no published measurement exists</t>
        </is>
      </c>
      <c r="M354" s="7" t="inlineStr">
        <is>
          <t>not measurable</t>
        </is>
      </c>
      <c r="N354" s="6" t="inlineStr"/>
      <c r="O354" s="7" t="inlineStr">
        <is>
          <t>clinical convention</t>
        </is>
      </c>
      <c r="P354" s="7" t="inlineStr">
        <is>
          <t>USDA FoodData Central (SR Legacy / Foundation Foods), fdc.nal.usda.gov</t>
        </is>
      </c>
      <c r="Q354" s="6" t="inlineStr">
        <is>
          <t>2026-09-26</t>
        </is>
      </c>
    </row>
    <row r="355">
      <c r="A355" s="6" t="inlineStr">
        <is>
          <t>bay_leaf</t>
        </is>
      </c>
      <c r="B355" s="6" t="inlineStr">
        <is>
          <t>Bay leaves</t>
        </is>
      </c>
      <c r="C355" s="6" t="inlineStr">
        <is>
          <t>spice</t>
        </is>
      </c>
      <c r="D355" s="6" t="n">
        <v>313</v>
      </c>
      <c r="E355" s="6" t="n">
        <v>7.6</v>
      </c>
      <c r="F355" s="6" t="n">
        <v>8.4</v>
      </c>
      <c r="G355" s="6" t="n">
        <v>75</v>
      </c>
      <c r="H355" s="6" t="n">
        <v>26</v>
      </c>
      <c r="I355" s="6" t="n">
        <v>49</v>
      </c>
      <c r="J355" s="6" t="n">
        <v>15</v>
      </c>
      <c r="K355" s="6" t="inlineStr">
        <is>
          <t>none (placeholder)</t>
        </is>
      </c>
      <c r="L355" s="7" t="inlineStr">
        <is>
          <t>Conventional placeholder for foods with too little carbohydrate to test (non-starchy vegetables, nuts, seeds, herbs); no published measurement exists</t>
        </is>
      </c>
      <c r="M355" s="7" t="inlineStr">
        <is>
          <t>not measurable</t>
        </is>
      </c>
      <c r="N355" s="6" t="inlineStr"/>
      <c r="O355" s="7" t="inlineStr">
        <is>
          <t>clinical convention</t>
        </is>
      </c>
      <c r="P355" s="7" t="inlineStr">
        <is>
          <t>USDA FoodData Central (SR Legacy / Foundation Foods), fdc.nal.usda.gov</t>
        </is>
      </c>
      <c r="Q355" s="6" t="inlineStr">
        <is>
          <t>2026-09-26</t>
        </is>
      </c>
    </row>
    <row r="356">
      <c r="A356" s="6" t="inlineStr">
        <is>
          <t>dried_dill</t>
        </is>
      </c>
      <c r="B356" s="6" t="inlineStr">
        <is>
          <t>Dried dill</t>
        </is>
      </c>
      <c r="C356" s="6" t="inlineStr">
        <is>
          <t>spice</t>
        </is>
      </c>
      <c r="D356" s="6" t="n">
        <v>253</v>
      </c>
      <c r="E356" s="6" t="n">
        <v>20</v>
      </c>
      <c r="F356" s="6" t="n">
        <v>4.4</v>
      </c>
      <c r="G356" s="6" t="n">
        <v>56</v>
      </c>
      <c r="H356" s="6" t="n">
        <v>14</v>
      </c>
      <c r="I356" s="6" t="n">
        <v>42</v>
      </c>
      <c r="J356" s="6" t="n">
        <v>15</v>
      </c>
      <c r="K356" s="6" t="inlineStr">
        <is>
          <t>none (placeholder)</t>
        </is>
      </c>
      <c r="L356" s="7" t="inlineStr">
        <is>
          <t>Conventional placeholder for foods with too little carbohydrate to test (non-starchy vegetables, nuts, seeds, herbs); no published measurement exists</t>
        </is>
      </c>
      <c r="M356" s="7" t="inlineStr">
        <is>
          <t>not measurable</t>
        </is>
      </c>
      <c r="N356" s="6" t="inlineStr"/>
      <c r="O356" s="7" t="inlineStr">
        <is>
          <t>clinical convention</t>
        </is>
      </c>
      <c r="P356" s="7" t="inlineStr">
        <is>
          <t>USDA FoodData Central (SR Legacy / Foundation Foods), fdc.nal.usda.gov</t>
        </is>
      </c>
      <c r="Q356" s="6" t="inlineStr">
        <is>
          <t>2026-09-26</t>
        </is>
      </c>
    </row>
    <row r="357">
      <c r="A357" s="6" t="inlineStr">
        <is>
          <t>dried_thyme</t>
        </is>
      </c>
      <c r="B357" s="6" t="inlineStr">
        <is>
          <t>Dried thyme</t>
        </is>
      </c>
      <c r="C357" s="6" t="inlineStr">
        <is>
          <t>spice</t>
        </is>
      </c>
      <c r="D357" s="6" t="n">
        <v>276</v>
      </c>
      <c r="E357" s="6" t="n">
        <v>9</v>
      </c>
      <c r="F357" s="6" t="n">
        <v>7.4</v>
      </c>
      <c r="G357" s="6" t="n">
        <v>64</v>
      </c>
      <c r="H357" s="6" t="n">
        <v>37</v>
      </c>
      <c r="I357" s="6" t="n">
        <v>27</v>
      </c>
      <c r="J357" s="6" t="n">
        <v>15</v>
      </c>
      <c r="K357" s="6" t="inlineStr">
        <is>
          <t>none (placeholder)</t>
        </is>
      </c>
      <c r="L357" s="7" t="inlineStr">
        <is>
          <t>Conventional placeholder for foods with too little carbohydrate to test (non-starchy vegetables, nuts, seeds, herbs); no published measurement exists</t>
        </is>
      </c>
      <c r="M357" s="7" t="inlineStr">
        <is>
          <t>not measurable</t>
        </is>
      </c>
      <c r="N357" s="6" t="inlineStr"/>
      <c r="O357" s="7" t="inlineStr">
        <is>
          <t>clinical convention</t>
        </is>
      </c>
      <c r="P357" s="7" t="inlineStr">
        <is>
          <t>USDA FoodData Central (SR Legacy / Foundation Foods), fdc.nal.usda.gov</t>
        </is>
      </c>
      <c r="Q357" s="6" t="inlineStr">
        <is>
          <t>2026-09-26</t>
        </is>
      </c>
    </row>
    <row r="358">
      <c r="A358" s="6" t="inlineStr">
        <is>
          <t>dried_rosemary</t>
        </is>
      </c>
      <c r="B358" s="6" t="inlineStr">
        <is>
          <t>Dried rosemary</t>
        </is>
      </c>
      <c r="C358" s="6" t="inlineStr">
        <is>
          <t>spice</t>
        </is>
      </c>
      <c r="D358" s="6" t="n">
        <v>331</v>
      </c>
      <c r="E358" s="6" t="n">
        <v>5</v>
      </c>
      <c r="F358" s="6" t="n">
        <v>15</v>
      </c>
      <c r="G358" s="6" t="n">
        <v>64</v>
      </c>
      <c r="H358" s="6" t="n">
        <v>43</v>
      </c>
      <c r="I358" s="6" t="n">
        <v>21</v>
      </c>
      <c r="J358" s="6" t="n">
        <v>15</v>
      </c>
      <c r="K358" s="6" t="inlineStr">
        <is>
          <t>none (placeholder)</t>
        </is>
      </c>
      <c r="L358" s="7" t="inlineStr">
        <is>
          <t>Conventional placeholder for foods with too little carbohydrate to test (non-starchy vegetables, nuts, seeds, herbs); no published measurement exists</t>
        </is>
      </c>
      <c r="M358" s="7" t="inlineStr">
        <is>
          <t>not measurable</t>
        </is>
      </c>
      <c r="N358" s="6" t="inlineStr"/>
      <c r="O358" s="7" t="inlineStr">
        <is>
          <t>clinical convention</t>
        </is>
      </c>
      <c r="P358" s="7" t="inlineStr">
        <is>
          <t>USDA FoodData Central (SR Legacy / Foundation Foods), fdc.nal.usda.gov</t>
        </is>
      </c>
      <c r="Q358" s="6" t="inlineStr">
        <is>
          <t>2026-09-26</t>
        </is>
      </c>
    </row>
    <row r="359">
      <c r="A359" s="6" t="inlineStr">
        <is>
          <t>coriander</t>
        </is>
      </c>
      <c r="B359" s="6" t="inlineStr">
        <is>
          <t>Ground coriander</t>
        </is>
      </c>
      <c r="C359" s="6" t="inlineStr">
        <is>
          <t>spice</t>
        </is>
      </c>
      <c r="D359" s="6" t="n">
        <v>298</v>
      </c>
      <c r="E359" s="6" t="n">
        <v>12</v>
      </c>
      <c r="F359" s="6" t="n">
        <v>18</v>
      </c>
      <c r="G359" s="6" t="n">
        <v>55</v>
      </c>
      <c r="H359" s="6" t="n">
        <v>42</v>
      </c>
      <c r="I359" s="6" t="n">
        <v>13</v>
      </c>
      <c r="J359" s="6" t="n">
        <v>15</v>
      </c>
      <c r="K359" s="6" t="inlineStr">
        <is>
          <t>none (placeholder)</t>
        </is>
      </c>
      <c r="L359" s="7" t="inlineStr">
        <is>
          <t>Conventional placeholder for foods with too little carbohydrate to test (non-starchy vegetables, nuts, seeds, herbs); no published measurement exists</t>
        </is>
      </c>
      <c r="M359" s="7" t="inlineStr">
        <is>
          <t>not measurable</t>
        </is>
      </c>
      <c r="N359" s="6" t="inlineStr"/>
      <c r="O359" s="7" t="inlineStr">
        <is>
          <t>clinical convention</t>
        </is>
      </c>
      <c r="P359" s="7" t="inlineStr">
        <is>
          <t>USDA FoodData Central (SR Legacy / Foundation Foods), fdc.nal.usda.gov</t>
        </is>
      </c>
      <c r="Q359" s="6" t="inlineStr">
        <is>
          <t>2026-09-26</t>
        </is>
      </c>
    </row>
    <row r="360">
      <c r="A360" s="6" t="inlineStr">
        <is>
          <t>mustard_seed</t>
        </is>
      </c>
      <c r="B360" s="6" t="inlineStr">
        <is>
          <t>Mustard seeds</t>
        </is>
      </c>
      <c r="C360" s="6" t="inlineStr">
        <is>
          <t>spice</t>
        </is>
      </c>
      <c r="D360" s="6" t="n">
        <v>508</v>
      </c>
      <c r="E360" s="6" t="n">
        <v>26</v>
      </c>
      <c r="F360" s="6" t="n">
        <v>36</v>
      </c>
      <c r="G360" s="6" t="n">
        <v>28</v>
      </c>
      <c r="H360" s="6" t="n">
        <v>12</v>
      </c>
      <c r="I360" s="6" t="n">
        <v>16</v>
      </c>
      <c r="J360" s="6" t="n">
        <v>15</v>
      </c>
      <c r="K360" s="6" t="inlineStr">
        <is>
          <t>none (placeholder)</t>
        </is>
      </c>
      <c r="L360" s="7" t="inlineStr">
        <is>
          <t>Conventional placeholder for foods with too little carbohydrate to test (non-starchy vegetables, nuts, seeds, herbs); no published measurement exists</t>
        </is>
      </c>
      <c r="M360" s="7" t="inlineStr">
        <is>
          <t>not measurable</t>
        </is>
      </c>
      <c r="N360" s="6" t="inlineStr"/>
      <c r="O360" s="7" t="inlineStr">
        <is>
          <t>clinical convention</t>
        </is>
      </c>
      <c r="P360" s="7" t="inlineStr">
        <is>
          <t>USDA FoodData Central (SR Legacy / Foundation Foods), fdc.nal.usda.gov</t>
        </is>
      </c>
      <c r="Q360" s="6" t="inlineStr">
        <is>
          <t>2026-09-26</t>
        </is>
      </c>
    </row>
    <row r="361">
      <c r="A361" s="6" t="inlineStr">
        <is>
          <t>pumpkin_pie_spice</t>
        </is>
      </c>
      <c r="B361" s="6" t="inlineStr">
        <is>
          <t>Pumpkin pie spice</t>
        </is>
      </c>
      <c r="C361" s="6" t="inlineStr">
        <is>
          <t>spice</t>
        </is>
      </c>
      <c r="D361" s="6" t="n">
        <v>342</v>
      </c>
      <c r="E361" s="6" t="n">
        <v>4</v>
      </c>
      <c r="F361" s="6" t="n">
        <v>5</v>
      </c>
      <c r="G361" s="6" t="n">
        <v>74</v>
      </c>
      <c r="H361" s="6" t="n">
        <v>25</v>
      </c>
      <c r="I361" s="6" t="n">
        <v>49</v>
      </c>
      <c r="J361" s="6" t="n">
        <v>15</v>
      </c>
      <c r="K361" s="6" t="inlineStr">
        <is>
          <t>none (placeholder)</t>
        </is>
      </c>
      <c r="L361" s="7" t="inlineStr">
        <is>
          <t>Conventional placeholder for foods with too little carbohydrate to test (non-starchy vegetables, nuts, seeds, herbs); no published measurement exists</t>
        </is>
      </c>
      <c r="M361" s="7" t="inlineStr">
        <is>
          <t>not measurable</t>
        </is>
      </c>
      <c r="N361" s="6" t="inlineStr"/>
      <c r="O361" s="7" t="inlineStr">
        <is>
          <t>clinical convention</t>
        </is>
      </c>
      <c r="P361" s="7" t="inlineStr">
        <is>
          <t>USDA FoodData Central (SR Legacy / Foundation Foods), fdc.nal.usda.gov</t>
        </is>
      </c>
      <c r="Q361" s="6" t="inlineStr">
        <is>
          <t>2026-09-26</t>
        </is>
      </c>
    </row>
    <row r="362">
      <c r="A362" s="6" t="inlineStr">
        <is>
          <t>five_spice</t>
        </is>
      </c>
      <c r="B362" s="6" t="inlineStr">
        <is>
          <t>Chinese five-spice</t>
        </is>
      </c>
      <c r="C362" s="6" t="inlineStr">
        <is>
          <t>spice</t>
        </is>
      </c>
      <c r="D362" s="6" t="n">
        <v>300</v>
      </c>
      <c r="E362" s="6" t="n">
        <v>10</v>
      </c>
      <c r="F362" s="6" t="n">
        <v>8</v>
      </c>
      <c r="G362" s="6" t="n">
        <v>55</v>
      </c>
      <c r="H362" s="6" t="n">
        <v>25</v>
      </c>
      <c r="I362" s="6" t="n">
        <v>30</v>
      </c>
      <c r="J362" s="6" t="n">
        <v>15</v>
      </c>
      <c r="K362" s="6" t="inlineStr">
        <is>
          <t>none (placeholder)</t>
        </is>
      </c>
      <c r="L362" s="7" t="inlineStr">
        <is>
          <t>Conventional placeholder for foods with too little carbohydrate to test (non-starchy vegetables, nuts, seeds, herbs); no published measurement exists</t>
        </is>
      </c>
      <c r="M362" s="7" t="inlineStr">
        <is>
          <t>not measurable</t>
        </is>
      </c>
      <c r="N362" s="6" t="inlineStr"/>
      <c r="O362" s="7" t="inlineStr">
        <is>
          <t>clinical convention</t>
        </is>
      </c>
      <c r="P362" s="7" t="inlineStr">
        <is>
          <t>USDA FoodData Central (SR Legacy / Foundation Foods), fdc.nal.usda.gov</t>
        </is>
      </c>
      <c r="Q362" s="6" t="inlineStr">
        <is>
          <t>2026-09-26</t>
        </is>
      </c>
    </row>
    <row r="363">
      <c r="A363" s="6" t="inlineStr">
        <is>
          <t>sumac</t>
        </is>
      </c>
      <c r="B363" s="6" t="inlineStr">
        <is>
          <t>Sumac</t>
        </is>
      </c>
      <c r="C363" s="6" t="inlineStr">
        <is>
          <t>spice</t>
        </is>
      </c>
      <c r="D363" s="6" t="n">
        <v>300</v>
      </c>
      <c r="E363" s="6" t="n">
        <v>10</v>
      </c>
      <c r="F363" s="6" t="n">
        <v>8</v>
      </c>
      <c r="G363" s="6" t="n">
        <v>55</v>
      </c>
      <c r="H363" s="6" t="n">
        <v>25</v>
      </c>
      <c r="I363" s="6" t="n">
        <v>30</v>
      </c>
      <c r="J363" s="6" t="n">
        <v>15</v>
      </c>
      <c r="K363" s="6" t="inlineStr">
        <is>
          <t>none (placeholder)</t>
        </is>
      </c>
      <c r="L363" s="7" t="inlineStr">
        <is>
          <t>Conventional placeholder for foods with too little carbohydrate to test (non-starchy vegetables, nuts, seeds, herbs); no published measurement exists</t>
        </is>
      </c>
      <c r="M363" s="7" t="inlineStr">
        <is>
          <t>not measurable</t>
        </is>
      </c>
      <c r="N363" s="6" t="inlineStr"/>
      <c r="O363" s="7" t="inlineStr">
        <is>
          <t>clinical convention</t>
        </is>
      </c>
      <c r="P363" s="7" t="inlineStr">
        <is>
          <t>USDA FoodData Central (SR Legacy / Foundation Foods), fdc.nal.usda.gov</t>
        </is>
      </c>
      <c r="Q363" s="6" t="inlineStr">
        <is>
          <t>2026-09-26</t>
        </is>
      </c>
    </row>
    <row r="364">
      <c r="A364" s="6" t="inlineStr">
        <is>
          <t>star_anise</t>
        </is>
      </c>
      <c r="B364" s="6" t="inlineStr">
        <is>
          <t>Star anise</t>
        </is>
      </c>
      <c r="C364" s="6" t="inlineStr">
        <is>
          <t>spice</t>
        </is>
      </c>
      <c r="D364" s="6" t="n">
        <v>337</v>
      </c>
      <c r="E364" s="6" t="n">
        <v>18</v>
      </c>
      <c r="F364" s="6" t="n">
        <v>16</v>
      </c>
      <c r="G364" s="6" t="n">
        <v>50</v>
      </c>
      <c r="H364" s="6" t="n">
        <v>15</v>
      </c>
      <c r="I364" s="6" t="n">
        <v>35</v>
      </c>
      <c r="J364" s="6" t="n">
        <v>15</v>
      </c>
      <c r="K364" s="6" t="inlineStr">
        <is>
          <t>none (placeholder)</t>
        </is>
      </c>
      <c r="L364" s="7" t="inlineStr">
        <is>
          <t>Conventional placeholder for foods with too little carbohydrate to test (non-starchy vegetables, nuts, seeds, herbs); no published measurement exists</t>
        </is>
      </c>
      <c r="M364" s="7" t="inlineStr">
        <is>
          <t>not measurable</t>
        </is>
      </c>
      <c r="N364" s="6" t="inlineStr"/>
      <c r="O364" s="7" t="inlineStr">
        <is>
          <t>clinical convention</t>
        </is>
      </c>
      <c r="P364" s="7" t="inlineStr">
        <is>
          <t>USDA FoodData Central (SR Legacy / Foundation Foods), fdc.nal.usda.gov</t>
        </is>
      </c>
      <c r="Q364" s="6" t="inlineStr">
        <is>
          <t>2026-09-26</t>
        </is>
      </c>
    </row>
    <row r="365">
      <c r="A365" s="6" t="inlineStr">
        <is>
          <t>chili_crisp</t>
        </is>
      </c>
      <c r="B365" s="6" t="inlineStr">
        <is>
          <t>Chili crisp (small amount)</t>
        </is>
      </c>
      <c r="C365" s="6" t="inlineStr">
        <is>
          <t>condiment</t>
        </is>
      </c>
      <c r="D365" s="6" t="n">
        <v>500</v>
      </c>
      <c r="E365" s="6" t="n">
        <v>5</v>
      </c>
      <c r="F365" s="6" t="n">
        <v>50</v>
      </c>
      <c r="G365" s="6" t="n">
        <v>10</v>
      </c>
      <c r="H365" s="6" t="n">
        <v>3</v>
      </c>
      <c r="I365" s="6" t="n">
        <v>7</v>
      </c>
      <c r="J365" s="6" t="n">
        <v>15</v>
      </c>
      <c r="K365" s="6" t="inlineStr">
        <is>
          <t>none (placeholder)</t>
        </is>
      </c>
      <c r="L365" s="7" t="inlineStr">
        <is>
          <t>Conventional placeholder for foods with too little carbohydrate to test (non-starchy vegetables, nuts, seeds, herbs); no published measurement exists</t>
        </is>
      </c>
      <c r="M365" s="7" t="inlineStr">
        <is>
          <t>not measurable</t>
        </is>
      </c>
      <c r="N365" s="6" t="inlineStr"/>
      <c r="O365" s="7" t="inlineStr">
        <is>
          <t>clinical convention</t>
        </is>
      </c>
      <c r="P365" s="7" t="inlineStr">
        <is>
          <t>USDA FoodData Central (SR Legacy / Foundation Foods), fdc.nal.usda.gov</t>
        </is>
      </c>
      <c r="Q365" s="6" t="inlineStr">
        <is>
          <t>2026-09-26</t>
        </is>
      </c>
    </row>
  </sheetData>
  <autoFilter ref="A1:Q365"/>
  <conditionalFormatting sqref="K2:K365">
    <cfRule type="cellIs" priority="1" operator="equal" dxfId="0">
      <formula>"high"</formula>
    </cfRule>
    <cfRule type="cellIs" priority="2" operator="equal" dxfId="1">
      <formula>"medium"</formula>
    </cfRule>
    <cfRule type="cellIs" priority="3" operator="containsText" dxfId="2">
      <formula>NOT(ISERROR(SEARCH("placeholder",K2)))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44" customWidth="1" min="2" max="2"/>
    <col width="14" customWidth="1" min="3" max="3"/>
    <col width="96" customWidth="1" min="4" max="4"/>
  </cols>
  <sheetData>
    <row r="1">
      <c r="A1" s="1" t="inlineStr">
        <is>
          <t>#</t>
        </is>
      </c>
      <c r="B1" s="1" t="inlineStr">
        <is>
          <t>Source</t>
        </is>
      </c>
      <c r="C1" s="1" t="inlineStr">
        <is>
          <t>Used here</t>
        </is>
      </c>
      <c r="D1" s="1" t="inlineStr">
        <is>
          <t>What it gives / why it is or is not in this build</t>
        </is>
      </c>
    </row>
    <row r="2">
      <c r="A2" s="7" t="n">
        <v>1</v>
      </c>
      <c r="B2" s="7" t="inlineStr">
        <is>
          <t>Diogenes GI database (18,808 entries)</t>
        </is>
      </c>
      <c r="C2" s="8" t="inlineStr">
        <is>
          <t>нет</t>
        </is>
      </c>
      <c r="D2" s="7" t="inlineStr">
        <is>
          <t>Крупнейшая сводка ГИ, собрана в проекте Diogenes (EU FP6). Не в открытом доступе: распространяется по запросу к авторам консорциума. Не использована — данных нет на руках.</t>
        </is>
      </c>
    </row>
    <row r="3">
      <c r="A3" s="7" t="n">
        <v>2</v>
      </c>
      <c r="B3" s="7" t="inlineStr">
        <is>
          <t>2024 US national GI database (10,978 описаний / 7,976 кодов USDA)</t>
        </is>
      </c>
      <c r="C3" s="8" t="inlineStr">
        <is>
          <t>нет</t>
        </is>
      </c>
      <c r="D3" s="7" t="inlineStr">
        <is>
          <t>Sheng X. et al. Development of a national database for dietary glycemic index and load for nutritional epidemiologic studies in the United States. Am J Clin Nutr 2024. Это именно то, что нужно рынку США: ГИ, сопоставленный с кодами USDA FNDDS. Полный текст и приложения за пейволом Elsevier (403 при загрузке); данные — по запросу к авторам. Рекомендую запросить: это лучший источник для v2.</t>
        </is>
      </c>
    </row>
    <row r="4">
      <c r="A4" s="7" t="n">
        <v>3</v>
      </c>
      <c r="B4" s="7" t="inlineStr">
        <is>
          <t>2021 International Tables (4,018 значений)</t>
        </is>
      </c>
      <c r="C4" s="8" t="inlineStr">
        <is>
          <t>ДА — основной</t>
        </is>
      </c>
      <c r="D4" s="7" t="inlineStr">
        <is>
          <t>Atkinson FS et al. Am J Clin Nutr 2021;114:1625-32. Suppl. Table 1 = 2,091 значение, метод соответствует ISO 26642:2010 (золотой стандарт). Suppl. Table 2 = 1,924 значения с отклонениями метода. Извлечено 4,015 из 4,018 строк (99.9%) из присланных PDF — файл data/gi-evidence/intl_tables_2021.json. По PRISMA-схеме (Suppl. Fig. 1) за этими значениями стоят 253 отобранных исследования из 3 717 просмотренных записей: 102 исследования в Таблице 1 и 151 в Таблице 2; исключены, в частности, 161 работа по смешанным приёмам пищи и 27 измерений in vitro.</t>
        </is>
      </c>
    </row>
    <row r="5">
      <c r="A5" s="7" t="n">
        <v>4</v>
      </c>
      <c r="B5" s="7" t="inlineStr">
        <is>
          <t>Компендиум 940 незападных продуктов</t>
        </is>
      </c>
      <c r="C5" s="8" t="inlineStr">
        <is>
          <t>нет</t>
        </is>
      </c>
      <c r="D5" s="7" t="inlineStr">
        <is>
          <t>Региональные измерения (Азия, Африка, Латинская Америка). Для меню рынка США нужен мало; большая часть этих значений всё равно вошла в таблицы 2021 года.</t>
        </is>
      </c>
    </row>
    <row r="6">
      <c r="A6" s="7" t="n">
        <v>5</v>
      </c>
      <c r="B6" s="7" t="inlineStr">
        <is>
          <t>2008 International Tables (~2,480)</t>
        </is>
      </c>
      <c r="C6" s="8" t="inlineStr">
        <is>
          <t>частично</t>
        </is>
      </c>
      <c r="D6" s="7" t="inlineStr">
        <is>
          <t>Atkinson FS et al. Diabetes Care 2008;31:2281-3. Исторический предшественник; значения перенесены и переоценены в редакции 2021 года, поэтому отдельно не загружались.</t>
        </is>
      </c>
    </row>
    <row r="7">
      <c r="A7" s="7" t="n">
        <v>6</v>
      </c>
      <c r="B7" s="7" t="inlineStr">
        <is>
          <t>Первичная литература</t>
        </is>
      </c>
      <c r="C7" s="8" t="inlineStr">
        <is>
          <t>точечно</t>
        </is>
      </c>
      <c r="D7" s="7" t="inlineStr">
        <is>
          <t>Каждое значение в таблицах 2021 года несёт номер ссылки (колонка ref_no в intl_tables_2021.json) — по нему можно поднять исходный эксперимент, если понадобится проверка.</t>
        </is>
      </c>
    </row>
    <row r="8">
      <c r="A8" s="7" t="n">
        <v>7</v>
      </c>
      <c r="B8" s="7" t="inlineStr">
        <is>
          <t>CENTRAL / MEDLINE / EMBASE</t>
        </is>
      </c>
      <c r="C8" s="8" t="inlineStr">
        <is>
          <t>нет</t>
        </is>
      </c>
      <c r="D8" s="7" t="inlineStr">
        <is>
          <t>Поиск исследований. PRISMA-схема присланного приложения показывает, что авторы 2021 года уже прочесали эти базы; дублировать поиск смысла нет.</t>
        </is>
      </c>
    </row>
    <row r="9">
      <c r="A9" s="7" t="n">
        <v>8</v>
      </c>
      <c r="B9" s="7" t="inlineStr">
        <is>
          <t>USDA FoodData Central</t>
        </is>
      </c>
      <c r="C9" s="8" t="inlineStr">
        <is>
          <t>ДА — основной</t>
        </is>
      </c>
      <c r="D9" s="7" t="inlineStr">
        <is>
          <t>Все нутриенты (ккал, белки, жиры, углеводы, клетчатка) на 100 г. ГИ оттуда не берётся — его там нет.</t>
        </is>
      </c>
    </row>
    <row r="10">
      <c r="A10" s="7" t="n">
        <v>9</v>
      </c>
      <c r="B10" s="7" t="inlineStr">
        <is>
          <t>University of Sydney GI database (4,384 записи)</t>
        </is>
      </c>
      <c r="C10" s="8" t="inlineStr">
        <is>
          <t>ДА — сверка</t>
        </is>
      </c>
      <c r="D10" s="7" t="inlineStr">
        <is>
          <t>glycemicindex.com/gi-search, выгружено 2026-09-16 (data/recipes-db/sydney_gi_db.json). Онлайн-версия тех же данных плюс записи после 2021 года. Используется, когда в таблицах 2021 года продукта нет. Для платного продукта нужно разрешение: glycemic.index@gmail.com.</t>
        </is>
      </c>
    </row>
    <row r="12">
      <c r="A12" s="9" t="inlineStr"/>
      <c r="B12" s="10" t="inlineStr">
        <is>
          <t>Правило выбора значения (v1, 26.09.2026)</t>
        </is>
      </c>
      <c r="C12" s="9" t="inlineStr"/>
      <c r="D12" s="9" t="inlineStr">
        <is>
          <t>1) Если в Suppl. Table 1 (ISO-метод) есть &gt;= 2 измерения — берём их медиану. 2) Иначе медиана Table 1 + Table 2. 3) Иначе онлайн-база Сиднея. 4) Если измерений нет вообще — условное значение 15 для продуктов с ничтожным количеством углеводов и 0 для чистого белка/жира; в колонке gi_confidence это помечено как placeholder. Колонка gi_value_in_sources на листе Ingredients показывает, что дают источники, даже если принятое значение отличается.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11" t="inlineStr">
        <is>
          <t>Beef, Pork &amp; Lamb</t>
        </is>
      </c>
      <c r="B2" s="11">
        <f>COUNTIF(Recipes!$C$2:$C$1624,A2)</f>
        <v/>
      </c>
      <c r="C2" s="12">
        <f>AVERAGEIF(Recipes!$C$2:$C$1624,A2,Recipes!$N$2:$N$1624)</f>
        <v/>
      </c>
      <c r="D2" s="13">
        <f>AVERAGEIF(Recipes!$C$2:$C$1624,A2,Recipes!$S$2:$S$1624)</f>
        <v/>
      </c>
      <c r="E2" s="12">
        <f>AVERAGEIF(Recipes!$C$2:$C$1624,A2,Recipes!$T$2:$T$1624)</f>
        <v/>
      </c>
      <c r="F2" s="13">
        <f>AVERAGEIF(Recipes!$C$2:$C$1624,A2,Recipes!$V$2:$V$1624)</f>
        <v/>
      </c>
      <c r="G2" s="14">
        <f>COUNTIFS(Recipes!$C$2:$C$1624,A2,Recipes!$U$2:$U$1624,"low")/B2</f>
        <v/>
      </c>
    </row>
    <row r="3">
      <c r="A3" s="11" t="inlineStr">
        <is>
          <t>Breakfast</t>
        </is>
      </c>
      <c r="B3" s="11">
        <f>COUNTIF(Recipes!$C$2:$C$1624,A3)</f>
        <v/>
      </c>
      <c r="C3" s="12">
        <f>AVERAGEIF(Recipes!$C$2:$C$1624,A3,Recipes!$N$2:$N$1624)</f>
        <v/>
      </c>
      <c r="D3" s="13">
        <f>AVERAGEIF(Recipes!$C$2:$C$1624,A3,Recipes!$S$2:$S$1624)</f>
        <v/>
      </c>
      <c r="E3" s="12">
        <f>AVERAGEIF(Recipes!$C$2:$C$1624,A3,Recipes!$T$2:$T$1624)</f>
        <v/>
      </c>
      <c r="F3" s="13">
        <f>AVERAGEIF(Recipes!$C$2:$C$1624,A3,Recipes!$V$2:$V$1624)</f>
        <v/>
      </c>
      <c r="G3" s="14">
        <f>COUNTIFS(Recipes!$C$2:$C$1624,A3,Recipes!$U$2:$U$1624,"low")/B3</f>
        <v/>
      </c>
    </row>
    <row r="4">
      <c r="A4" s="11" t="inlineStr">
        <is>
          <t>Dessert</t>
        </is>
      </c>
      <c r="B4" s="11">
        <f>COUNTIF(Recipes!$C$2:$C$1624,A4)</f>
        <v/>
      </c>
      <c r="C4" s="12">
        <f>AVERAGEIF(Recipes!$C$2:$C$1624,A4,Recipes!$N$2:$N$1624)</f>
        <v/>
      </c>
      <c r="D4" s="13">
        <f>AVERAGEIF(Recipes!$C$2:$C$1624,A4,Recipes!$S$2:$S$1624)</f>
        <v/>
      </c>
      <c r="E4" s="12">
        <f>AVERAGEIF(Recipes!$C$2:$C$1624,A4,Recipes!$T$2:$T$1624)</f>
        <v/>
      </c>
      <c r="F4" s="13">
        <f>AVERAGEIF(Recipes!$C$2:$C$1624,A4,Recipes!$V$2:$V$1624)</f>
        <v/>
      </c>
      <c r="G4" s="14">
        <f>COUNTIFS(Recipes!$C$2:$C$1624,A4,Recipes!$U$2:$U$1624,"low")/B4</f>
        <v/>
      </c>
    </row>
    <row r="5">
      <c r="A5" s="11" t="inlineStr">
        <is>
          <t>Drinks &amp; Smoothies</t>
        </is>
      </c>
      <c r="B5" s="11">
        <f>COUNTIF(Recipes!$C$2:$C$1624,A5)</f>
        <v/>
      </c>
      <c r="C5" s="12">
        <f>AVERAGEIF(Recipes!$C$2:$C$1624,A5,Recipes!$N$2:$N$1624)</f>
        <v/>
      </c>
      <c r="D5" s="13">
        <f>AVERAGEIF(Recipes!$C$2:$C$1624,A5,Recipes!$S$2:$S$1624)</f>
        <v/>
      </c>
      <c r="E5" s="12">
        <f>AVERAGEIF(Recipes!$C$2:$C$1624,A5,Recipes!$T$2:$T$1624)</f>
        <v/>
      </c>
      <c r="F5" s="13">
        <f>AVERAGEIF(Recipes!$C$2:$C$1624,A5,Recipes!$V$2:$V$1624)</f>
        <v/>
      </c>
      <c r="G5" s="14">
        <f>COUNTIFS(Recipes!$C$2:$C$1624,A5,Recipes!$U$2:$U$1624,"low")/B5</f>
        <v/>
      </c>
    </row>
    <row r="6">
      <c r="A6" s="11" t="inlineStr">
        <is>
          <t>Poultry</t>
        </is>
      </c>
      <c r="B6" s="11">
        <f>COUNTIF(Recipes!$C$2:$C$1624,A6)</f>
        <v/>
      </c>
      <c r="C6" s="12">
        <f>AVERAGEIF(Recipes!$C$2:$C$1624,A6,Recipes!$N$2:$N$1624)</f>
        <v/>
      </c>
      <c r="D6" s="13">
        <f>AVERAGEIF(Recipes!$C$2:$C$1624,A6,Recipes!$S$2:$S$1624)</f>
        <v/>
      </c>
      <c r="E6" s="12">
        <f>AVERAGEIF(Recipes!$C$2:$C$1624,A6,Recipes!$T$2:$T$1624)</f>
        <v/>
      </c>
      <c r="F6" s="13">
        <f>AVERAGEIF(Recipes!$C$2:$C$1624,A6,Recipes!$V$2:$V$1624)</f>
        <v/>
      </c>
      <c r="G6" s="14">
        <f>COUNTIFS(Recipes!$C$2:$C$1624,A6,Recipes!$U$2:$U$1624,"low")/B6</f>
        <v/>
      </c>
    </row>
    <row r="7">
      <c r="A7" s="11" t="inlineStr">
        <is>
          <t>Salad</t>
        </is>
      </c>
      <c r="B7" s="11">
        <f>COUNTIF(Recipes!$C$2:$C$1624,A7)</f>
        <v/>
      </c>
      <c r="C7" s="12">
        <f>AVERAGEIF(Recipes!$C$2:$C$1624,A7,Recipes!$N$2:$N$1624)</f>
        <v/>
      </c>
      <c r="D7" s="13">
        <f>AVERAGEIF(Recipes!$C$2:$C$1624,A7,Recipes!$S$2:$S$1624)</f>
        <v/>
      </c>
      <c r="E7" s="12">
        <f>AVERAGEIF(Recipes!$C$2:$C$1624,A7,Recipes!$T$2:$T$1624)</f>
        <v/>
      </c>
      <c r="F7" s="13">
        <f>AVERAGEIF(Recipes!$C$2:$C$1624,A7,Recipes!$V$2:$V$1624)</f>
        <v/>
      </c>
      <c r="G7" s="14">
        <f>COUNTIFS(Recipes!$C$2:$C$1624,A7,Recipes!$U$2:$U$1624,"low")/B7</f>
        <v/>
      </c>
    </row>
    <row r="8">
      <c r="A8" s="11" t="inlineStr">
        <is>
          <t>Sandwiches &amp; Wraps</t>
        </is>
      </c>
      <c r="B8" s="11">
        <f>COUNTIF(Recipes!$C$2:$C$1624,A8)</f>
        <v/>
      </c>
      <c r="C8" s="12">
        <f>AVERAGEIF(Recipes!$C$2:$C$1624,A8,Recipes!$N$2:$N$1624)</f>
        <v/>
      </c>
      <c r="D8" s="13">
        <f>AVERAGEIF(Recipes!$C$2:$C$1624,A8,Recipes!$S$2:$S$1624)</f>
        <v/>
      </c>
      <c r="E8" s="12">
        <f>AVERAGEIF(Recipes!$C$2:$C$1624,A8,Recipes!$T$2:$T$1624)</f>
        <v/>
      </c>
      <c r="F8" s="13">
        <f>AVERAGEIF(Recipes!$C$2:$C$1624,A8,Recipes!$V$2:$V$1624)</f>
        <v/>
      </c>
      <c r="G8" s="14">
        <f>COUNTIFS(Recipes!$C$2:$C$1624,A8,Recipes!$U$2:$U$1624,"low")/B8</f>
        <v/>
      </c>
    </row>
    <row r="9">
      <c r="A9" s="11" t="inlineStr">
        <is>
          <t>Seafood</t>
        </is>
      </c>
      <c r="B9" s="11">
        <f>COUNTIF(Recipes!$C$2:$C$1624,A9)</f>
        <v/>
      </c>
      <c r="C9" s="12">
        <f>AVERAGEIF(Recipes!$C$2:$C$1624,A9,Recipes!$N$2:$N$1624)</f>
        <v/>
      </c>
      <c r="D9" s="13">
        <f>AVERAGEIF(Recipes!$C$2:$C$1624,A9,Recipes!$S$2:$S$1624)</f>
        <v/>
      </c>
      <c r="E9" s="12">
        <f>AVERAGEIF(Recipes!$C$2:$C$1624,A9,Recipes!$T$2:$T$1624)</f>
        <v/>
      </c>
      <c r="F9" s="13">
        <f>AVERAGEIF(Recipes!$C$2:$C$1624,A9,Recipes!$V$2:$V$1624)</f>
        <v/>
      </c>
      <c r="G9" s="14">
        <f>COUNTIFS(Recipes!$C$2:$C$1624,A9,Recipes!$U$2:$U$1624,"low")/B9</f>
        <v/>
      </c>
    </row>
    <row r="10">
      <c r="A10" s="11" t="inlineStr">
        <is>
          <t>Side Dish</t>
        </is>
      </c>
      <c r="B10" s="11">
        <f>COUNTIF(Recipes!$C$2:$C$1624,A10)</f>
        <v/>
      </c>
      <c r="C10" s="12">
        <f>AVERAGEIF(Recipes!$C$2:$C$1624,A10,Recipes!$N$2:$N$1624)</f>
        <v/>
      </c>
      <c r="D10" s="13">
        <f>AVERAGEIF(Recipes!$C$2:$C$1624,A10,Recipes!$S$2:$S$1624)</f>
        <v/>
      </c>
      <c r="E10" s="12">
        <f>AVERAGEIF(Recipes!$C$2:$C$1624,A10,Recipes!$T$2:$T$1624)</f>
        <v/>
      </c>
      <c r="F10" s="13">
        <f>AVERAGEIF(Recipes!$C$2:$C$1624,A10,Recipes!$V$2:$V$1624)</f>
        <v/>
      </c>
      <c r="G10" s="14">
        <f>COUNTIFS(Recipes!$C$2:$C$1624,A10,Recipes!$U$2:$U$1624,"low")/B10</f>
        <v/>
      </c>
    </row>
    <row r="11">
      <c r="A11" s="11" t="inlineStr">
        <is>
          <t>Snack &amp; Appetizer</t>
        </is>
      </c>
      <c r="B11" s="11">
        <f>COUNTIF(Recipes!$C$2:$C$1624,A11)</f>
        <v/>
      </c>
      <c r="C11" s="12">
        <f>AVERAGEIF(Recipes!$C$2:$C$1624,A11,Recipes!$N$2:$N$1624)</f>
        <v/>
      </c>
      <c r="D11" s="13">
        <f>AVERAGEIF(Recipes!$C$2:$C$1624,A11,Recipes!$S$2:$S$1624)</f>
        <v/>
      </c>
      <c r="E11" s="12">
        <f>AVERAGEIF(Recipes!$C$2:$C$1624,A11,Recipes!$T$2:$T$1624)</f>
        <v/>
      </c>
      <c r="F11" s="13">
        <f>AVERAGEIF(Recipes!$C$2:$C$1624,A11,Recipes!$V$2:$V$1624)</f>
        <v/>
      </c>
      <c r="G11" s="14">
        <f>COUNTIFS(Recipes!$C$2:$C$1624,A11,Recipes!$U$2:$U$1624,"low")/B11</f>
        <v/>
      </c>
    </row>
    <row r="12">
      <c r="A12" s="11" t="inlineStr">
        <is>
          <t>Soup &amp; Stew</t>
        </is>
      </c>
      <c r="B12" s="11">
        <f>COUNTIF(Recipes!$C$2:$C$1624,A12)</f>
        <v/>
      </c>
      <c r="C12" s="12">
        <f>AVERAGEIF(Recipes!$C$2:$C$1624,A12,Recipes!$N$2:$N$1624)</f>
        <v/>
      </c>
      <c r="D12" s="13">
        <f>AVERAGEIF(Recipes!$C$2:$C$1624,A12,Recipes!$S$2:$S$1624)</f>
        <v/>
      </c>
      <c r="E12" s="12">
        <f>AVERAGEIF(Recipes!$C$2:$C$1624,A12,Recipes!$T$2:$T$1624)</f>
        <v/>
      </c>
      <c r="F12" s="13">
        <f>AVERAGEIF(Recipes!$C$2:$C$1624,A12,Recipes!$V$2:$V$1624)</f>
        <v/>
      </c>
      <c r="G12" s="14">
        <f>COUNTIFS(Recipes!$C$2:$C$1624,A12,Recipes!$U$2:$U$1624,"low")/B12</f>
        <v/>
      </c>
    </row>
    <row r="13">
      <c r="A13" s="11" t="inlineStr">
        <is>
          <t>Vegetarian &amp; Vegan</t>
        </is>
      </c>
      <c r="B13" s="11">
        <f>COUNTIF(Recipes!$C$2:$C$1624,A13)</f>
        <v/>
      </c>
      <c r="C13" s="12">
        <f>AVERAGEIF(Recipes!$C$2:$C$1624,A13,Recipes!$N$2:$N$1624)</f>
        <v/>
      </c>
      <c r="D13" s="13">
        <f>AVERAGEIF(Recipes!$C$2:$C$1624,A13,Recipes!$S$2:$S$1624)</f>
        <v/>
      </c>
      <c r="E13" s="12">
        <f>AVERAGEIF(Recipes!$C$2:$C$1624,A13,Recipes!$T$2:$T$1624)</f>
        <v/>
      </c>
      <c r="F13" s="13">
        <f>AVERAGEIF(Recipes!$C$2:$C$1624,A13,Recipes!$V$2:$V$1624)</f>
        <v/>
      </c>
      <c r="G13" s="14">
        <f>COUNTIFS(Recipes!$C$2:$C$1624,A13,Recipes!$U$2:$U$1624,"low")/B13</f>
        <v/>
      </c>
    </row>
    <row r="14">
      <c r="A14" s="15" t="inlineStr">
        <is>
          <t>TOTAL</t>
        </is>
      </c>
      <c r="B14" s="15">
        <f>SUM(B2:B13)</f>
        <v/>
      </c>
      <c r="G14" s="16">
        <f>COUNTIF(Recipes!$U$2:$U$1624,"low")/B14</f>
        <v/>
      </c>
    </row>
    <row r="16">
      <c r="A16" s="17" t="inlineStr">
        <is>
          <t>Formulas reference the Recipes sheet and recalculate automatically when it is opened in Excel / Google Sheets / Numbers.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6" customWidth="1" min="1" max="1"/>
    <col width="110" customWidth="1" min="2" max="2"/>
  </cols>
  <sheetData>
    <row r="1">
      <c r="A1" s="18" t="inlineStr">
        <is>
          <t>DiaBite recipe database</t>
        </is>
      </c>
      <c r="B1" s="9"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0" t="inlineStr"/>
      <c r="B2" s="9" t="inlineStr"/>
    </row>
    <row r="3">
      <c r="A3" s="10" t="inlineStr">
        <is>
          <t>КАК СЧИТАЕТСЯ</t>
        </is>
      </c>
      <c r="B3" s="9" t="inlineStr"/>
    </row>
    <row r="4">
      <c r="A4" s="10" t="inlineStr">
        <is>
          <t>Nutrition (kcal, protein, fat, carbs, fiber)</t>
        </is>
      </c>
      <c r="B4" s="9" t="inlineStr">
        <is>
          <t>Сумма по ингредиентам: граммы × значение на 100 г из листа Ingredients (USDA FoodData Central), делённая на число порций. Все значения на 1 порцию.</t>
        </is>
      </c>
    </row>
    <row r="5">
      <c r="A5" s="10" t="inlineStr">
        <is>
          <t>net_carbs_g</t>
        </is>
      </c>
      <c r="B5" s="9" t="inlineStr">
        <is>
          <t>Усвояемые углеводы = carbs − fiber (на порцию). Именно от них считается гликемическая нагрузка.</t>
        </is>
      </c>
    </row>
    <row r="6">
      <c r="A6" s="10" t="inlineStr">
        <is>
          <t>glycemic_index</t>
        </is>
      </c>
      <c r="B6" s="9"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0" t="inlineStr">
        <is>
          <t>gi_category</t>
        </is>
      </c>
      <c r="B7" s="9" t="inlineStr">
        <is>
          <t>low ≤ 55, medium 56–69, high ≥ 70 (классификация ISO 26642:2010 / Brand-Miller).</t>
        </is>
      </c>
    </row>
    <row r="8">
      <c r="A8" s="10" t="inlineStr">
        <is>
          <t>glycemic_load</t>
        </is>
      </c>
      <c r="B8" s="9" t="inlineStr">
        <is>
          <t>ГН порции = ГИ × net_carbs_g / 100.</t>
        </is>
      </c>
    </row>
    <row r="9">
      <c r="A9" s="10" t="inlineStr">
        <is>
          <t>gl_category</t>
        </is>
      </c>
      <c r="B9" s="9" t="inlineStr">
        <is>
          <t>low ≤ 10, medium 11–19, high ≥ 20 на порцию.</t>
        </is>
      </c>
    </row>
    <row r="10">
      <c r="A10" s="10" t="inlineStr">
        <is>
          <t>gi_note</t>
        </is>
      </c>
      <c r="B10" s="9"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0" t="inlineStr">
        <is>
          <t>ИСТОЧНИКИ И ПРАВИЛО ВЫБОРА</t>
        </is>
      </c>
      <c r="B11" s="9" t="inlineStr">
        <is>
          <t>Полный разбор — на листе Sources. Коротко: значение ГИ каждого ингредиента взято из измерений, приоритет 1) 2021 International Tables, Suppl. Table 1 (метод по ISO 26642:2010), 2) Suppl. Tables 1+2, 3) онлайн-база University of Sydney. Из присланных PDF извлечено 4 015 из 4 018 записей. Колонки gi_confidence / gi_source / gi_evidence_basis / gi_citation на листе Ingredients показывают происхождение каждого значения; gi_value_in_sources — что дают источники, даже если принято другое число.</t>
        </is>
      </c>
    </row>
    <row r="12">
      <c r="A12" s="10" t="inlineStr">
        <is>
          <t>Пересмотр 26.09.2026</t>
        </is>
      </c>
      <c r="B12" s="9" t="inlineStr">
        <is>
          <t>По правилу «побеждают измерения» изменены 28 значений (нут 28→38, чечевица 29→36, бурый рис 55→68, ячмень 28→44, финики 42→54, зелёный горошек 51→38, груша 38→28, манго 51→42, картофель 56→71, паста цельнозерновая 42→54 и др.). Пять значений сохранены намеренно: морковь 39, monk fruit 0, черника 53, хумус 15, тёмный шоколад 23 — причины в gi_source соответствующей строки листа Ingredients.</t>
        </is>
      </c>
    </row>
    <row r="13">
      <c r="A13" s="10" t="inlineStr">
        <is>
          <t>Честность про охват</t>
        </is>
      </c>
      <c r="B13" s="9" t="inlineStr">
        <is>
          <t>Колонка gi_measured_carb_share_pct показывает, какая доля усвояемых углеводов блюда приходится на ингредиенты с опубликованным измеренным ГИ. В блюдах с ≥20 г углеводов это в среднем 69 %, в блюдах 10–20 г — 39 %, в блюдах &lt;10 г — 14 % (там почти все углеводы из некрахмалистых овощей, у которых ГИ не измеряют; для таких блюд ориентируйтесь на гликемическую нагрузку, а не на ГИ).</t>
        </is>
      </c>
    </row>
    <row r="14">
      <c r="A14" s="10" t="inlineStr"/>
      <c r="B14" s="9" t="inlineStr"/>
    </row>
    <row r="15">
      <c r="A15" s="10" t="inlineStr">
        <is>
          <t>ОГРАНИЧЕНИЯ МЕТОДА</t>
        </is>
      </c>
      <c r="B15" s="9"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6">
      <c r="A16" s="10" t="inlineStr"/>
      <c r="B16" s="9" t="inlineStr"/>
    </row>
    <row r="17">
      <c r="A17" s="10" t="inlineStr">
        <is>
          <t>КОЛОНКИ</t>
        </is>
      </c>
      <c r="B17" s="9" t="inlineStr"/>
    </row>
    <row r="18">
      <c r="A18" s="10" t="inlineStr">
        <is>
          <t>id</t>
        </is>
      </c>
      <c r="B18" s="9" t="inlineStr">
        <is>
          <t>Уникальный ключ DB-0001…DB-1000.</t>
        </is>
      </c>
    </row>
    <row r="19">
      <c r="A19" s="10" t="inlineStr">
        <is>
          <t>name / category / cuisine</t>
        </is>
      </c>
      <c r="B19" s="9" t="inlineStr">
        <is>
          <t>Название (англ., для рынка США), категория (Breakfast, Salad, Soup &amp; Stew, Poultry, Beef Pork &amp; Lamb, Seafood, Vegetarian &amp; Vegan, Snack &amp; Appetizer, Side Dish, Dessert, Drinks &amp; Smoothies, Sandwiches &amp; Wraps), кухня.</t>
        </is>
      </c>
    </row>
    <row r="20">
      <c r="A20" s="10" t="inlineStr">
        <is>
          <t>servings / prep_min / cook_min / total_min</t>
        </is>
      </c>
      <c r="B20" s="9" t="inlineStr">
        <is>
          <t>Число порций в рецепте (граммы в ingredients — на весь рецепт); время подготовки, готовки и общее в минутах.</t>
        </is>
      </c>
    </row>
    <row r="21">
      <c r="A21" s="10" t="inlineStr">
        <is>
          <t>photo_file / photo_keywords / photo_url</t>
        </is>
      </c>
      <c r="B21" s="9"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2">
      <c r="A22" s="10" t="inlineStr">
        <is>
          <t>ingredients</t>
        </is>
      </c>
      <c r="B22" s="9" t="inlineStr">
        <is>
          <t>Список для отображения: название — граммы (унции) [пояснение в штуках, если есть]. Граммы на ВЕСЬ рецепт.</t>
        </is>
      </c>
    </row>
    <row r="23">
      <c r="A23" s="10" t="inlineStr">
        <is>
          <t>ingredients_json</t>
        </is>
      </c>
      <c r="B23" s="9" t="inlineStr">
        <is>
          <t>Тот же список в JSON для импорта в приложение: ingredient_id ссылается на лист Ingredients.</t>
        </is>
      </c>
    </row>
    <row r="24">
      <c r="A24" s="10" t="inlineStr">
        <is>
          <t>kcal … net_carbs_g</t>
        </is>
      </c>
      <c r="B24" s="9" t="inlineStr">
        <is>
          <t>БЖУ и клетчатка на 1 порцию.</t>
        </is>
      </c>
    </row>
    <row r="25">
      <c r="A25" s="10" t="inlineStr">
        <is>
          <t>diet_tags</t>
        </is>
      </c>
      <c r="B25" s="9"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6">
      <c r="A26" s="10" t="inlineStr">
        <is>
          <t>instructions / steps_json</t>
        </is>
      </c>
      <c r="B26" s="9" t="inlineStr">
        <is>
          <t>Рецепт по шагам: текстом (нумерованный) и в JSON-массиве.</t>
        </is>
      </c>
    </row>
    <row r="27">
      <c r="A27" s="10" t="inlineStr"/>
      <c r="B27" s="9" t="inlineStr"/>
    </row>
    <row r="28">
      <c r="A28" s="10" t="inlineStr">
        <is>
          <t>Листы</t>
        </is>
      </c>
      <c r="B28" s="9" t="inlineStr">
        <is>
          <t>Recipes — база; Ingredients — справочник (ключ ingredient_id); Summary — сводка по категориям (живые формулы); Methodology — этот лист.</t>
        </is>
      </c>
    </row>
    <row r="29">
      <c r="A29" s="10" t="inlineStr">
        <is>
          <t>Источники</t>
        </is>
      </c>
      <c r="B29" s="9"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2026-10-12T06:58:45Z</dcterms:created>
  <dcterms:modified xsi:type="dcterms:W3CDTF">2026-10-12T06:58:46Z</dcterms:modified>
</cp:coreProperties>
</file>