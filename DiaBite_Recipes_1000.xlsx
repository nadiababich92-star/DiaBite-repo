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'Recipes'!$A$1:$AC$1223</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sheetData>
  <autoFilter ref="A1:AC1223"/>
  <conditionalFormatting sqref="T2:T1223">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223">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COUNTIF(Recipes!$C$2:$C$1223,A2)</f>
        <v/>
      </c>
      <c r="C2" s="12">
        <f>AVERAGEIF(Recipes!$C$2:$C$1223,A2,Recipes!$N$2:$N$1223)</f>
        <v/>
      </c>
      <c r="D2" s="13">
        <f>AVERAGEIF(Recipes!$C$2:$C$1223,A2,Recipes!$S$2:$S$1223)</f>
        <v/>
      </c>
      <c r="E2" s="12">
        <f>AVERAGEIF(Recipes!$C$2:$C$1223,A2,Recipes!$T$2:$T$1223)</f>
        <v/>
      </c>
      <c r="F2" s="13">
        <f>AVERAGEIF(Recipes!$C$2:$C$1223,A2,Recipes!$V$2:$V$1223)</f>
        <v/>
      </c>
      <c r="G2" s="14">
        <f>COUNTIFS(Recipes!$C$2:$C$1223,A2,Recipes!$U$2:$U$1223,"low")/B2</f>
        <v/>
      </c>
    </row>
    <row r="3">
      <c r="A3" s="11" t="inlineStr">
        <is>
          <t>Breakfast</t>
        </is>
      </c>
      <c r="B3" s="11">
        <f>COUNTIF(Recipes!$C$2:$C$1223,A3)</f>
        <v/>
      </c>
      <c r="C3" s="12">
        <f>AVERAGEIF(Recipes!$C$2:$C$1223,A3,Recipes!$N$2:$N$1223)</f>
        <v/>
      </c>
      <c r="D3" s="13">
        <f>AVERAGEIF(Recipes!$C$2:$C$1223,A3,Recipes!$S$2:$S$1223)</f>
        <v/>
      </c>
      <c r="E3" s="12">
        <f>AVERAGEIF(Recipes!$C$2:$C$1223,A3,Recipes!$T$2:$T$1223)</f>
        <v/>
      </c>
      <c r="F3" s="13">
        <f>AVERAGEIF(Recipes!$C$2:$C$1223,A3,Recipes!$V$2:$V$1223)</f>
        <v/>
      </c>
      <c r="G3" s="14">
        <f>COUNTIFS(Recipes!$C$2:$C$1223,A3,Recipes!$U$2:$U$1223,"low")/B3</f>
        <v/>
      </c>
    </row>
    <row r="4">
      <c r="A4" s="11" t="inlineStr">
        <is>
          <t>Dessert</t>
        </is>
      </c>
      <c r="B4" s="11">
        <f>COUNTIF(Recipes!$C$2:$C$1223,A4)</f>
        <v/>
      </c>
      <c r="C4" s="12">
        <f>AVERAGEIF(Recipes!$C$2:$C$1223,A4,Recipes!$N$2:$N$1223)</f>
        <v/>
      </c>
      <c r="D4" s="13">
        <f>AVERAGEIF(Recipes!$C$2:$C$1223,A4,Recipes!$S$2:$S$1223)</f>
        <v/>
      </c>
      <c r="E4" s="12">
        <f>AVERAGEIF(Recipes!$C$2:$C$1223,A4,Recipes!$T$2:$T$1223)</f>
        <v/>
      </c>
      <c r="F4" s="13">
        <f>AVERAGEIF(Recipes!$C$2:$C$1223,A4,Recipes!$V$2:$V$1223)</f>
        <v/>
      </c>
      <c r="G4" s="14">
        <f>COUNTIFS(Recipes!$C$2:$C$1223,A4,Recipes!$U$2:$U$1223,"low")/B4</f>
        <v/>
      </c>
    </row>
    <row r="5">
      <c r="A5" s="11" t="inlineStr">
        <is>
          <t>Drinks &amp; Smoothies</t>
        </is>
      </c>
      <c r="B5" s="11">
        <f>COUNTIF(Recipes!$C$2:$C$1223,A5)</f>
        <v/>
      </c>
      <c r="C5" s="12">
        <f>AVERAGEIF(Recipes!$C$2:$C$1223,A5,Recipes!$N$2:$N$1223)</f>
        <v/>
      </c>
      <c r="D5" s="13">
        <f>AVERAGEIF(Recipes!$C$2:$C$1223,A5,Recipes!$S$2:$S$1223)</f>
        <v/>
      </c>
      <c r="E5" s="12">
        <f>AVERAGEIF(Recipes!$C$2:$C$1223,A5,Recipes!$T$2:$T$1223)</f>
        <v/>
      </c>
      <c r="F5" s="13">
        <f>AVERAGEIF(Recipes!$C$2:$C$1223,A5,Recipes!$V$2:$V$1223)</f>
        <v/>
      </c>
      <c r="G5" s="14">
        <f>COUNTIFS(Recipes!$C$2:$C$1223,A5,Recipes!$U$2:$U$1223,"low")/B5</f>
        <v/>
      </c>
    </row>
    <row r="6">
      <c r="A6" s="11" t="inlineStr">
        <is>
          <t>Poultry</t>
        </is>
      </c>
      <c r="B6" s="11">
        <f>COUNTIF(Recipes!$C$2:$C$1223,A6)</f>
        <v/>
      </c>
      <c r="C6" s="12">
        <f>AVERAGEIF(Recipes!$C$2:$C$1223,A6,Recipes!$N$2:$N$1223)</f>
        <v/>
      </c>
      <c r="D6" s="13">
        <f>AVERAGEIF(Recipes!$C$2:$C$1223,A6,Recipes!$S$2:$S$1223)</f>
        <v/>
      </c>
      <c r="E6" s="12">
        <f>AVERAGEIF(Recipes!$C$2:$C$1223,A6,Recipes!$T$2:$T$1223)</f>
        <v/>
      </c>
      <c r="F6" s="13">
        <f>AVERAGEIF(Recipes!$C$2:$C$1223,A6,Recipes!$V$2:$V$1223)</f>
        <v/>
      </c>
      <c r="G6" s="14">
        <f>COUNTIFS(Recipes!$C$2:$C$1223,A6,Recipes!$U$2:$U$1223,"low")/B6</f>
        <v/>
      </c>
    </row>
    <row r="7">
      <c r="A7" s="11" t="inlineStr">
        <is>
          <t>Salad</t>
        </is>
      </c>
      <c r="B7" s="11">
        <f>COUNTIF(Recipes!$C$2:$C$1223,A7)</f>
        <v/>
      </c>
      <c r="C7" s="12">
        <f>AVERAGEIF(Recipes!$C$2:$C$1223,A7,Recipes!$N$2:$N$1223)</f>
        <v/>
      </c>
      <c r="D7" s="13">
        <f>AVERAGEIF(Recipes!$C$2:$C$1223,A7,Recipes!$S$2:$S$1223)</f>
        <v/>
      </c>
      <c r="E7" s="12">
        <f>AVERAGEIF(Recipes!$C$2:$C$1223,A7,Recipes!$T$2:$T$1223)</f>
        <v/>
      </c>
      <c r="F7" s="13">
        <f>AVERAGEIF(Recipes!$C$2:$C$1223,A7,Recipes!$V$2:$V$1223)</f>
        <v/>
      </c>
      <c r="G7" s="14">
        <f>COUNTIFS(Recipes!$C$2:$C$1223,A7,Recipes!$U$2:$U$1223,"low")/B7</f>
        <v/>
      </c>
    </row>
    <row r="8">
      <c r="A8" s="11" t="inlineStr">
        <is>
          <t>Sandwiches &amp; Wraps</t>
        </is>
      </c>
      <c r="B8" s="11">
        <f>COUNTIF(Recipes!$C$2:$C$1223,A8)</f>
        <v/>
      </c>
      <c r="C8" s="12">
        <f>AVERAGEIF(Recipes!$C$2:$C$1223,A8,Recipes!$N$2:$N$1223)</f>
        <v/>
      </c>
      <c r="D8" s="13">
        <f>AVERAGEIF(Recipes!$C$2:$C$1223,A8,Recipes!$S$2:$S$1223)</f>
        <v/>
      </c>
      <c r="E8" s="12">
        <f>AVERAGEIF(Recipes!$C$2:$C$1223,A8,Recipes!$T$2:$T$1223)</f>
        <v/>
      </c>
      <c r="F8" s="13">
        <f>AVERAGEIF(Recipes!$C$2:$C$1223,A8,Recipes!$V$2:$V$1223)</f>
        <v/>
      </c>
      <c r="G8" s="14">
        <f>COUNTIFS(Recipes!$C$2:$C$1223,A8,Recipes!$U$2:$U$1223,"low")/B8</f>
        <v/>
      </c>
    </row>
    <row r="9">
      <c r="A9" s="11" t="inlineStr">
        <is>
          <t>Seafood</t>
        </is>
      </c>
      <c r="B9" s="11">
        <f>COUNTIF(Recipes!$C$2:$C$1223,A9)</f>
        <v/>
      </c>
      <c r="C9" s="12">
        <f>AVERAGEIF(Recipes!$C$2:$C$1223,A9,Recipes!$N$2:$N$1223)</f>
        <v/>
      </c>
      <c r="D9" s="13">
        <f>AVERAGEIF(Recipes!$C$2:$C$1223,A9,Recipes!$S$2:$S$1223)</f>
        <v/>
      </c>
      <c r="E9" s="12">
        <f>AVERAGEIF(Recipes!$C$2:$C$1223,A9,Recipes!$T$2:$T$1223)</f>
        <v/>
      </c>
      <c r="F9" s="13">
        <f>AVERAGEIF(Recipes!$C$2:$C$1223,A9,Recipes!$V$2:$V$1223)</f>
        <v/>
      </c>
      <c r="G9" s="14">
        <f>COUNTIFS(Recipes!$C$2:$C$1223,A9,Recipes!$U$2:$U$1223,"low")/B9</f>
        <v/>
      </c>
    </row>
    <row r="10">
      <c r="A10" s="11" t="inlineStr">
        <is>
          <t>Side Dish</t>
        </is>
      </c>
      <c r="B10" s="11">
        <f>COUNTIF(Recipes!$C$2:$C$1223,A10)</f>
        <v/>
      </c>
      <c r="C10" s="12">
        <f>AVERAGEIF(Recipes!$C$2:$C$1223,A10,Recipes!$N$2:$N$1223)</f>
        <v/>
      </c>
      <c r="D10" s="13">
        <f>AVERAGEIF(Recipes!$C$2:$C$1223,A10,Recipes!$S$2:$S$1223)</f>
        <v/>
      </c>
      <c r="E10" s="12">
        <f>AVERAGEIF(Recipes!$C$2:$C$1223,A10,Recipes!$T$2:$T$1223)</f>
        <v/>
      </c>
      <c r="F10" s="13">
        <f>AVERAGEIF(Recipes!$C$2:$C$1223,A10,Recipes!$V$2:$V$1223)</f>
        <v/>
      </c>
      <c r="G10" s="14">
        <f>COUNTIFS(Recipes!$C$2:$C$1223,A10,Recipes!$U$2:$U$1223,"low")/B10</f>
        <v/>
      </c>
    </row>
    <row r="11">
      <c r="A11" s="11" t="inlineStr">
        <is>
          <t>Snack &amp; Appetizer</t>
        </is>
      </c>
      <c r="B11" s="11">
        <f>COUNTIF(Recipes!$C$2:$C$1223,A11)</f>
        <v/>
      </c>
      <c r="C11" s="12">
        <f>AVERAGEIF(Recipes!$C$2:$C$1223,A11,Recipes!$N$2:$N$1223)</f>
        <v/>
      </c>
      <c r="D11" s="13">
        <f>AVERAGEIF(Recipes!$C$2:$C$1223,A11,Recipes!$S$2:$S$1223)</f>
        <v/>
      </c>
      <c r="E11" s="12">
        <f>AVERAGEIF(Recipes!$C$2:$C$1223,A11,Recipes!$T$2:$T$1223)</f>
        <v/>
      </c>
      <c r="F11" s="13">
        <f>AVERAGEIF(Recipes!$C$2:$C$1223,A11,Recipes!$V$2:$V$1223)</f>
        <v/>
      </c>
      <c r="G11" s="14">
        <f>COUNTIFS(Recipes!$C$2:$C$1223,A11,Recipes!$U$2:$U$1223,"low")/B11</f>
        <v/>
      </c>
    </row>
    <row r="12">
      <c r="A12" s="11" t="inlineStr">
        <is>
          <t>Soup &amp; Stew</t>
        </is>
      </c>
      <c r="B12" s="11">
        <f>COUNTIF(Recipes!$C$2:$C$1223,A12)</f>
        <v/>
      </c>
      <c r="C12" s="12">
        <f>AVERAGEIF(Recipes!$C$2:$C$1223,A12,Recipes!$N$2:$N$1223)</f>
        <v/>
      </c>
      <c r="D12" s="13">
        <f>AVERAGEIF(Recipes!$C$2:$C$1223,A12,Recipes!$S$2:$S$1223)</f>
        <v/>
      </c>
      <c r="E12" s="12">
        <f>AVERAGEIF(Recipes!$C$2:$C$1223,A12,Recipes!$T$2:$T$1223)</f>
        <v/>
      </c>
      <c r="F12" s="13">
        <f>AVERAGEIF(Recipes!$C$2:$C$1223,A12,Recipes!$V$2:$V$1223)</f>
        <v/>
      </c>
      <c r="G12" s="14">
        <f>COUNTIFS(Recipes!$C$2:$C$1223,A12,Recipes!$U$2:$U$1223,"low")/B12</f>
        <v/>
      </c>
    </row>
    <row r="13">
      <c r="A13" s="11" t="inlineStr">
        <is>
          <t>Vegetarian &amp; Vegan</t>
        </is>
      </c>
      <c r="B13" s="11">
        <f>COUNTIF(Recipes!$C$2:$C$1223,A13)</f>
        <v/>
      </c>
      <c r="C13" s="12">
        <f>AVERAGEIF(Recipes!$C$2:$C$1223,A13,Recipes!$N$2:$N$1223)</f>
        <v/>
      </c>
      <c r="D13" s="13">
        <f>AVERAGEIF(Recipes!$C$2:$C$1223,A13,Recipes!$S$2:$S$1223)</f>
        <v/>
      </c>
      <c r="E13" s="12">
        <f>AVERAGEIF(Recipes!$C$2:$C$1223,A13,Recipes!$T$2:$T$1223)</f>
        <v/>
      </c>
      <c r="F13" s="13">
        <f>AVERAGEIF(Recipes!$C$2:$C$1223,A13,Recipes!$V$2:$V$1223)</f>
        <v/>
      </c>
      <c r="G13" s="14">
        <f>COUNTIFS(Recipes!$C$2:$C$1223,A13,Recipes!$U$2:$U$1223,"low")/B13</f>
        <v/>
      </c>
    </row>
    <row r="14">
      <c r="A14" s="15" t="inlineStr">
        <is>
          <t>TOTAL</t>
        </is>
      </c>
      <c r="B14" s="15">
        <f>SUM(B2:B13)</f>
        <v/>
      </c>
      <c r="G14" s="16">
        <f>COUNTIF(Recipes!$U$2:$U$1223,"low")/B14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2026-10-11T19:37:05Z</dcterms:created>
  <dcterms:modified xsi:type="dcterms:W3CDTF">2026-10-11T19:37:06Z</dcterms:modified>
</cp:coreProperties>
</file>