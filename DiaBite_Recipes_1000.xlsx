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es" sheetId="1" state="visible" r:id="rId1"/>
    <sheet name="Ingredients" sheetId="2" state="visible" r:id="rId2"/>
    <sheet name="Sources" sheetId="3" state="visible" r:id="rId3"/>
    <sheet name="Summary" sheetId="4" state="visible" r:id="rId4"/>
    <sheet name="Methodology" sheetId="5" state="visible" r:id="rId5"/>
  </sheets>
  <definedNames>
    <definedName name="_xlnm._FilterDatabase" localSheetId="0" hidden="1">'Recipes'!$A$1:$AC$1113</definedName>
    <definedName name="_xlnm._FilterDatabase" localSheetId="1" hidden="1">'Ingredients'!$A$1:$Q$352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name val="Arial"/>
      <sz val="10"/>
    </font>
    <font>
      <name val="Arial"/>
      <b val="1"/>
      <sz val="10"/>
    </font>
    <font>
      <name val="Arial"/>
      <b val="1"/>
    </font>
    <font>
      <name val="Arial"/>
      <i val="1"/>
      <sz val="9"/>
    </font>
    <font>
      <name val="Arial"/>
      <b val="1"/>
      <sz val="14"/>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left" vertical="top"/>
    </xf>
    <xf numFmtId="164" fontId="2" fillId="0"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center"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1" pivotButton="0" quotePrefix="0" xfId="0"/>
    <xf numFmtId="1" fontId="2" fillId="0" borderId="1" pivotButton="0" quotePrefix="0" xfId="0"/>
    <xf numFmtId="164" fontId="2" fillId="0" borderId="1" pivotButton="0" quotePrefix="0" xfId="0"/>
    <xf numFmtId="9" fontId="2" fillId="0" borderId="1" pivotButton="0" quotePrefix="0" xfId="0"/>
    <xf numFmtId="0" fontId="4" fillId="0" borderId="0" pivotButton="0" quotePrefix="0" xfId="0"/>
    <xf numFmtId="9" fontId="0" fillId="0" borderId="0" pivotButton="0" quotePrefix="0" xfId="0"/>
    <xf numFmtId="0" fontId="5" fillId="0" borderId="0" pivotButton="0" quotePrefix="0" xfId="0"/>
    <xf numFmtId="0" fontId="6"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18" customWidth="1" min="3" max="3"/>
    <col width="16" customWidth="1" min="4" max="4"/>
    <col width="9" customWidth="1" min="5" max="5"/>
    <col width="9" customWidth="1" min="6" max="6"/>
    <col width="9" customWidth="1" min="7" max="7"/>
    <col width="9" customWidth="1" min="8" max="8"/>
    <col width="34" customWidth="1" min="9" max="9"/>
    <col width="40" customWidth="1" min="10" max="10"/>
    <col width="18" customWidth="1" min="11" max="11"/>
    <col width="58" customWidth="1" min="12" max="12"/>
    <col width="30" customWidth="1" min="13" max="13"/>
    <col width="8" customWidth="1" min="14" max="14"/>
    <col width="10" customWidth="1" min="15" max="15"/>
    <col width="8" customWidth="1" min="16" max="16"/>
    <col width="9" customWidth="1" min="17" max="17"/>
    <col width="9" customWidth="1" min="18" max="18"/>
    <col width="11" customWidth="1" min="19" max="19"/>
    <col width="11" customWidth="1" min="20" max="20"/>
    <col width="11" customWidth="1" min="21" max="21"/>
    <col width="11" customWidth="1" min="22" max="22"/>
    <col width="11" customWidth="1" min="23" max="23"/>
    <col width="40" customWidth="1" min="24" max="24"/>
    <col width="46" customWidth="1" min="25" max="25"/>
    <col width="12" customWidth="1" min="26" max="26"/>
    <col width="36" customWidth="1" min="27" max="27"/>
    <col width="80" customWidth="1" min="28" max="28"/>
    <col width="30" customWidth="1" min="29" max="29"/>
  </cols>
  <sheetData>
    <row r="1" ht="32" customHeight="1">
      <c r="A1" s="1" t="inlineStr">
        <is>
          <t>id</t>
        </is>
      </c>
      <c r="B1" s="1" t="inlineStr">
        <is>
          <t>name</t>
        </is>
      </c>
      <c r="C1" s="1" t="inlineStr">
        <is>
          <t>category</t>
        </is>
      </c>
      <c r="D1" s="1" t="inlineStr">
        <is>
          <t>cuisine</t>
        </is>
      </c>
      <c r="E1" s="1" t="inlineStr">
        <is>
          <t>servings</t>
        </is>
      </c>
      <c r="F1" s="1" t="inlineStr">
        <is>
          <t>prep_min</t>
        </is>
      </c>
      <c r="G1" s="1" t="inlineStr">
        <is>
          <t>cook_min</t>
        </is>
      </c>
      <c r="H1" s="1" t="inlineStr">
        <is>
          <t>total_min</t>
        </is>
      </c>
      <c r="I1" s="1" t="inlineStr">
        <is>
          <t>photo_file</t>
        </is>
      </c>
      <c r="J1" s="1" t="inlineStr">
        <is>
          <t>photo_keywords</t>
        </is>
      </c>
      <c r="K1" s="1" t="inlineStr">
        <is>
          <t>photo_url</t>
        </is>
      </c>
      <c r="L1" s="1" t="inlineStr">
        <is>
          <t>ingredients</t>
        </is>
      </c>
      <c r="M1" s="1" t="inlineStr">
        <is>
          <t>ingredients_json</t>
        </is>
      </c>
      <c r="N1" s="1" t="inlineStr">
        <is>
          <t>kcal</t>
        </is>
      </c>
      <c r="O1" s="1" t="inlineStr">
        <is>
          <t>protein_g</t>
        </is>
      </c>
      <c r="P1" s="1" t="inlineStr">
        <is>
          <t>fat_g</t>
        </is>
      </c>
      <c r="Q1" s="1" t="inlineStr">
        <is>
          <t>carbs_g</t>
        </is>
      </c>
      <c r="R1" s="1" t="inlineStr">
        <is>
          <t>fiber_g</t>
        </is>
      </c>
      <c r="S1" s="1" t="inlineStr">
        <is>
          <t>net_carbs_g</t>
        </is>
      </c>
      <c r="T1" s="1" t="inlineStr">
        <is>
          <t>glycemic_index</t>
        </is>
      </c>
      <c r="U1" s="1" t="inlineStr">
        <is>
          <t>gi_category</t>
        </is>
      </c>
      <c r="V1" s="1" t="inlineStr">
        <is>
          <t>glycemic_load</t>
        </is>
      </c>
      <c r="W1" s="1" t="inlineStr">
        <is>
          <t>gl_category</t>
        </is>
      </c>
      <c r="X1" s="1" t="inlineStr">
        <is>
          <t>gi_note</t>
        </is>
      </c>
      <c r="Y1" s="1" t="inlineStr">
        <is>
          <t>gi_evidence</t>
        </is>
      </c>
      <c r="Z1" s="1" t="inlineStr">
        <is>
          <t>gi_measured_carb_share_pct</t>
        </is>
      </c>
      <c r="AA1" s="1" t="inlineStr">
        <is>
          <t>diet_tags</t>
        </is>
      </c>
      <c r="AB1" s="1" t="inlineStr">
        <is>
          <t>instructions</t>
        </is>
      </c>
      <c r="AC1" s="1" t="inlineStr">
        <is>
          <t>steps_json</t>
        </is>
      </c>
    </row>
    <row r="2" ht="96" customHeight="1">
      <c r="A2" s="2" t="inlineStr">
        <is>
          <t>DB-0001</t>
        </is>
      </c>
      <c r="B2" s="3" t="inlineStr">
        <is>
          <t>Spinach &amp; Feta Egg White Omelet</t>
        </is>
      </c>
      <c r="C2" s="4" t="inlineStr">
        <is>
          <t>Breakfast</t>
        </is>
      </c>
      <c r="D2" s="4" t="inlineStr">
        <is>
          <t>Mediterranean</t>
        </is>
      </c>
      <c r="E2" s="2" t="n">
        <v>1</v>
      </c>
      <c r="F2" s="2" t="n">
        <v>5</v>
      </c>
      <c r="G2" s="2" t="n">
        <v>8</v>
      </c>
      <c r="H2" s="2" t="n">
        <v>13</v>
      </c>
      <c r="I2" s="4" t="inlineStr">
        <is>
          <t>spinach-and-feta-egg-white-omelet.jpg</t>
        </is>
      </c>
      <c r="J2" s="3" t="inlineStr">
        <is>
          <t>Spinach &amp; Feta Egg White Omelet, healthy food photography, plated, natural light</t>
        </is>
      </c>
      <c r="K2" s="4" t="inlineStr"/>
      <c r="L2" s="3" t="inlineStr">
        <is>
          <t>Egg whites — 150 g (5.3 oz) [5 egg whites]
Spinach — 60 g (2.1 oz)
Feta cheese — 30 g (1.1 oz)
Extra-virgin olive oil — 5 g (0.2 oz)
Green onions (scallions) — 10 g (0.4 oz)
Black pepper — 1 g (0.0 oz)</t>
        </is>
      </c>
      <c r="M2" s="4" t="inlineStr">
        <is>
          <t>[{"ingredient_id": "egg_white", "name": "Egg whites", "grams": 150.0, "note": "5 egg whites"}, {"ingredient_id": "spinach", "name": "Spinach", "grams": 60.0, "note": ""}, {"ingredient_id": "feta", "name": "Feta cheese", "grams": 30.0, "note": ""}, {"ingredient_id": "olive_oil", "name": "Extra-virgin olive oil", "grams": 5.0, "note": ""}, {"ingredient_id": "green_onion", "name": "Green onions (scallions)", "grams": 10.0, "note": ""}, {"ingredient_id": "black_pepper", "name": "Black pepper", "grams": 1.0, "note": ""}]</t>
        </is>
      </c>
      <c r="N2" s="2" t="n">
        <v>221</v>
      </c>
      <c r="O2" s="5" t="n">
        <v>22.7</v>
      </c>
      <c r="P2" s="5" t="n">
        <v>11.9</v>
      </c>
      <c r="Q2" s="5" t="n">
        <v>5.8</v>
      </c>
      <c r="R2" s="5" t="n">
        <v>1.8</v>
      </c>
      <c r="S2" s="5" t="n">
        <v>4</v>
      </c>
      <c r="T2" s="2" t="n">
        <v>6</v>
      </c>
      <c r="U2" s="2" t="inlineStr">
        <is>
          <t>low</t>
        </is>
      </c>
      <c r="V2" s="5" t="n">
        <v>0.2</v>
      </c>
      <c r="W2" s="2" t="inlineStr">
        <is>
          <t>low</t>
        </is>
      </c>
      <c r="X2" s="3" t="inlineStr">
        <is>
          <t>Negligible carbohydrate (&lt;5 g net/serving): GI has little practical meaning, glycemic load is what matters.</t>
        </is>
      </c>
      <c r="Y2" s="3" t="inlineStr">
        <is>
          <t>0% of this dish's available carbohydrate comes from ingredients with a published, measured GI; the rest uses conventional placeholders (see Ingredients sheet)</t>
        </is>
      </c>
      <c r="Z2" s="2" t="n">
        <v>0</v>
      </c>
      <c r="AA2" s="3" t="inlineStr">
        <is>
          <t>vegetarian, gluten-free, nut-free, low-carb, quick</t>
        </is>
      </c>
      <c r="AB2" s="3" t="inlineStr">
        <is>
          <t>1. Heat olive oil in a nonstick skillet over medium heat and wilt the spinach for 1 minute.
2. Pour in the egg whites, season with pepper, and cook undisturbed until the edges set.
3. Sprinkle feta and green onion over one half, fold the omelet over and cook 1 more minute.
4. Slide onto a plate and serve immediately.</t>
        </is>
      </c>
      <c r="AC2" s="4" t="inlineStr">
        <is>
          <t>["Heat olive oil in a nonstick skillet over medium heat and wilt the spinach for 1 minute.", "Pour in the egg whites, season with pepper, and cook undisturbed until the edges set.", "Sprinkle feta and green onion over one half, fold the omelet over and cook 1 more minute.", "Slide onto a plate and serve immediately."]</t>
        </is>
      </c>
    </row>
    <row r="3" ht="96" customHeight="1">
      <c r="A3" s="2" t="inlineStr">
        <is>
          <t>DB-0002</t>
        </is>
      </c>
      <c r="B3" s="3" t="inlineStr">
        <is>
          <t>Veggie-Loaded Scrambled Eggs</t>
        </is>
      </c>
      <c r="C3" s="4" t="inlineStr">
        <is>
          <t>Breakfast</t>
        </is>
      </c>
      <c r="D3" s="4" t="inlineStr">
        <is>
          <t>American</t>
        </is>
      </c>
      <c r="E3" s="2" t="n">
        <v>2</v>
      </c>
      <c r="F3" s="2" t="n">
        <v>10</v>
      </c>
      <c r="G3" s="2" t="n">
        <v>10</v>
      </c>
      <c r="H3" s="2" t="n">
        <v>20</v>
      </c>
      <c r="I3" s="4" t="inlineStr">
        <is>
          <t>veggie-loaded-scrambled-eggs.jpg</t>
        </is>
      </c>
      <c r="J3" s="3" t="inlineStr">
        <is>
          <t>Veggie-Loaded Scrambled Eggs, healthy food photography, plated, natural light</t>
        </is>
      </c>
      <c r="K3" s="4" t="inlineStr"/>
      <c r="L3" s="3" t="inlineStr">
        <is>
          <t>Egg, large (50 g each) — 200 g (7.1 oz) [4 large eggs]
Bell pepper — 80 g (2.8 oz)
Mushrooms (cremini/white) — 80 g (2.8 oz)
Spinach — 50 g (1.8 oz)
Yellow onion — 40 g (1.4 oz)
Extra-virgin olive oil — 10 g (0.4 oz)
Cheddar cheese — 30 g (1.1 oz)
Salt — 1 g (0.0 oz)
Black pepper — 1 g (0.0 oz)</t>
        </is>
      </c>
      <c r="M3" s="4" t="inlineStr">
        <is>
          <t>[{"ingredient_id": "egg", "name": "Egg, large (50 g each)", "grams": 200.0, "note": "4 large eggs"}, {"ingredient_id": "bell_pepper", "name": "Bell pepper", "grams": 80.0, "note": ""}, {"ingredient_id": "mushrooms", "name": "Mushrooms (cremini/white)", "grams": 80.0, "note": ""}, {"ingredient_id": "spinach", "name": "Spinach", "grams": 50.0, "note": ""}, {"ingredient_id": "onion", "name": "Yellow onion", "grams": 40.0, "note": ""}, {"ingredient_id": "olive_oil", "name": "Extra-virgin olive oil", "grams": 10.0, "note": ""}, {"ingredient_id": "cheddar", "name": "Cheddar cheese", "grams": 30.0, "note": ""}, {"ingredient_id": "salt", "name": "Salt", "grams": 1.0, "note": ""}, {"ingredient_id": "black_pepper", "name": "Black pepper", "grams": 1.0, "note": ""}]</t>
        </is>
      </c>
      <c r="N3" s="2" t="n">
        <v>284</v>
      </c>
      <c r="O3" s="5" t="n">
        <v>18.7</v>
      </c>
      <c r="P3" s="5" t="n">
        <v>19.8</v>
      </c>
      <c r="Q3" s="5" t="n">
        <v>7.7</v>
      </c>
      <c r="R3" s="5" t="n">
        <v>2.3</v>
      </c>
      <c r="S3" s="5" t="n">
        <v>5.4</v>
      </c>
      <c r="T3" s="2" t="n">
        <v>13</v>
      </c>
      <c r="U3" s="2" t="inlineStr">
        <is>
          <t>low</t>
        </is>
      </c>
      <c r="V3" s="5" t="n">
        <v>0.7</v>
      </c>
      <c r="W3" s="2" t="inlineStr">
        <is>
          <t>low</t>
        </is>
      </c>
      <c r="X3" s="3" t="inlineStr"/>
      <c r="Y3" s="3" t="inlineStr">
        <is>
          <t>0% of this dish's available carbohydrate comes from ingredients with a published, measured GI; the rest uses conventional placeholders (see Ingredients sheet)</t>
        </is>
      </c>
      <c r="Z3" s="2" t="n">
        <v>0</v>
      </c>
      <c r="AA3" s="3" t="inlineStr">
        <is>
          <t>vegetarian, gluten-free, nut-free, low-carb, quick</t>
        </is>
      </c>
      <c r="AB3" s="3" t="inlineStr">
        <is>
          <t>1. Sauté onion, bell pepper and mushrooms in olive oil over medium heat for 5 minutes until soft.
2. Add spinach and stir until wilted.
3. Whisk eggs with salt and pepper, pour over the vegetables and stir gently until softly set.
4. Fold in the cheddar, remove from heat and serve.</t>
        </is>
      </c>
      <c r="AC3" s="4" t="inlineStr">
        <is>
          <t>["Sauté onion, bell pepper and mushrooms in olive oil over medium heat for 5 minutes until soft.", "Add spinach and stir until wilted.", "Whisk eggs with salt and pepper, pour over the vegetables and stir gently until softly set.", "Fold in the cheddar, remove from heat and serve."]</t>
        </is>
      </c>
    </row>
    <row r="4" ht="96" customHeight="1">
      <c r="A4" s="2" t="inlineStr">
        <is>
          <t>DB-0003</t>
        </is>
      </c>
      <c r="B4" s="3" t="inlineStr">
        <is>
          <t>Avocado &amp; Egg Sprouted-Grain Toast</t>
        </is>
      </c>
      <c r="C4" s="4" t="inlineStr">
        <is>
          <t>Breakfast</t>
        </is>
      </c>
      <c r="D4" s="4" t="inlineStr">
        <is>
          <t>American</t>
        </is>
      </c>
      <c r="E4" s="2" t="n">
        <v>1</v>
      </c>
      <c r="F4" s="2" t="n">
        <v>5</v>
      </c>
      <c r="G4" s="2" t="n">
        <v>6</v>
      </c>
      <c r="H4" s="2" t="n">
        <v>11</v>
      </c>
      <c r="I4" s="4" t="inlineStr">
        <is>
          <t>avocado-and-egg-sprouted-grain-toast.jpg</t>
        </is>
      </c>
      <c r="J4" s="3" t="inlineStr">
        <is>
          <t>Avocado &amp; Egg Sprouted-Grain Toast, healthy food photography, plated, natural light</t>
        </is>
      </c>
      <c r="K4" s="4" t="inlineStr"/>
      <c r="L4" s="3" t="inlineStr">
        <is>
          <t>Sprouted grain bread (Ezekiel-style) — 34 g (1.2 oz) [1 slice]
Avocado — 70 g (2.5 oz) [half avocado]
Egg, large (50 g each) — 50 g (1.8 oz) [1 large egg]
Lemon juice — 5 g (0.2 oz)
Red pepper flakes — 0.5 g (0.0 oz)
Salt — 0.5 g (0.0 oz)</t>
        </is>
      </c>
      <c r="M4" s="4" t="inlineStr">
        <is>
          <t>[{"ingredient_id": "ezekiel_bread", "name": "Sprouted grain bread (Ezekiel-style)", "grams": 34.0, "note": "1 slice"}, {"ingredient_id": "avocado", "name": "Avocado", "grams": 70.0, "note": "half avocado"}, {"ingredient_id": "egg", "name": "Egg, large (50 g each)", "grams": 50.0, "note": "1 large egg"}, {"ingredient_id": "lemon_juice", "name": "Lemon juice", "grams": 5.0, "note": ""}, {"ingredient_id": "red_pepper_flakes", "name": "Red pepper flakes", "grams": 0.5, "note": ""}, {"ingredient_id": "salt", "name": "Salt", "grams": 0.5, "note": ""}]</t>
        </is>
      </c>
      <c r="N4" s="2" t="n">
        <v>266</v>
      </c>
      <c r="O4" s="5" t="n">
        <v>11.9</v>
      </c>
      <c r="P4" s="5" t="n">
        <v>15.9</v>
      </c>
      <c r="Q4" s="5" t="n">
        <v>21.9</v>
      </c>
      <c r="R4" s="5" t="n">
        <v>7.9</v>
      </c>
      <c r="S4" s="5" t="n">
        <v>14</v>
      </c>
      <c r="T4" s="2" t="n">
        <v>55</v>
      </c>
      <c r="U4" s="2" t="inlineStr">
        <is>
          <t>low</t>
        </is>
      </c>
      <c r="V4" s="5" t="n">
        <v>7.7</v>
      </c>
      <c r="W4" s="2" t="inlineStr">
        <is>
          <t>low</t>
        </is>
      </c>
      <c r="X4" s="3" t="inlineStr"/>
      <c r="Y4" s="3" t="inlineStr">
        <is>
          <t>85% of this dish's available carbohydrate comes from ingredients with a published, measured GI; the rest uses conventional placeholders (see Ingredients sheet)</t>
        </is>
      </c>
      <c r="Z4" s="2" t="n">
        <v>85</v>
      </c>
      <c r="AA4" s="3" t="inlineStr">
        <is>
          <t>vegetarian, gluten-free, dairy-free, nut-free, low-carb, high-fiber, quick</t>
        </is>
      </c>
      <c r="AB4" s="3" t="inlineStr">
        <is>
          <t>1. Toast the bread until golden.
2. Mash the avocado with lemon juice and salt and spread over the toast.
3. Fry or poach the egg to your liking and set it on top.
4. Finish with red pepper flakes.</t>
        </is>
      </c>
      <c r="AC4" s="4" t="inlineStr">
        <is>
          <t>["Toast the bread until golden.", "Mash the avocado with lemon juice and salt and spread over the toast.", "Fry or poach the egg to your liking and set it on top.", "Finish with red pepper flakes."]</t>
        </is>
      </c>
    </row>
    <row r="5" ht="96" customHeight="1">
      <c r="A5" s="2" t="inlineStr">
        <is>
          <t>DB-0004</t>
        </is>
      </c>
      <c r="B5" s="3" t="inlineStr">
        <is>
          <t>Greek Yogurt Berry Parfait with Walnuts</t>
        </is>
      </c>
      <c r="C5" s="4" t="inlineStr">
        <is>
          <t>Breakfast</t>
        </is>
      </c>
      <c r="D5" s="4" t="inlineStr">
        <is>
          <t>American</t>
        </is>
      </c>
      <c r="E5" s="2" t="n">
        <v>1</v>
      </c>
      <c r="F5" s="2" t="n">
        <v>5</v>
      </c>
      <c r="G5" s="2" t="n">
        <v>0</v>
      </c>
      <c r="H5" s="2" t="n">
        <v>5</v>
      </c>
      <c r="I5" s="4" t="inlineStr">
        <is>
          <t>greek-yogurt-berry-parfait-with-walnuts.jpg</t>
        </is>
      </c>
      <c r="J5" s="3" t="inlineStr">
        <is>
          <t>Greek Yogurt Berry Parfait with Walnuts, healthy food photography, plated, natural light</t>
        </is>
      </c>
      <c r="K5" s="4" t="inlineStr"/>
      <c r="L5" s="3" t="inlineStr">
        <is>
          <t>Greek yogurt, plain 2% — 200 g (7.1 oz)
Mixed berries, frozen — 80 g (2.8 oz)
Walnuts — 20 g (0.7 oz)
Chia seeds — 8 g (0.3 oz)
Ground cinnamon — 1 g (0.0 oz)</t>
        </is>
      </c>
      <c r="M5" s="4" t="inlineStr">
        <is>
          <t>[{"ingredient_id": "greek_yogurt", "name": "Greek yogurt, plain 2%", "grams": 200.0, "note": ""}, {"ingredient_id": "mixed_berries", "name": "Mixed berries, frozen", "grams": 80.0, "note": ""}, {"ingredient_id": "walnuts", "name": "Walnuts", "grams": 20.0, "note": ""}, {"ingredient_id": "chia_seeds", "name": "Chia seeds", "grams": 8.0, "note": ""}, {"ingredient_id": "cinnamon", "name": "Ground cinnamon", "grams": 1.0, "note": ""}]</t>
        </is>
      </c>
      <c r="N5" s="2" t="n">
        <v>354</v>
      </c>
      <c r="O5" s="5" t="n">
        <v>25</v>
      </c>
      <c r="P5" s="5" t="n">
        <v>19.8</v>
      </c>
      <c r="Q5" s="5" t="n">
        <v>23.8</v>
      </c>
      <c r="R5" s="5" t="n">
        <v>7.8</v>
      </c>
      <c r="S5" s="5" t="n">
        <v>16</v>
      </c>
      <c r="T5" s="2" t="n">
        <v>22</v>
      </c>
      <c r="U5" s="2" t="inlineStr">
        <is>
          <t>low</t>
        </is>
      </c>
      <c r="V5" s="5" t="n">
        <v>3.5</v>
      </c>
      <c r="W5" s="2" t="inlineStr">
        <is>
          <t>low</t>
        </is>
      </c>
      <c r="X5" s="3" t="inlineStr"/>
      <c r="Y5" s="3" t="inlineStr">
        <is>
          <t>50% of this dish's available carbohydrate comes from ingredients with a published, measured GI; the rest uses conventional placeholders (see Ingredients sheet)</t>
        </is>
      </c>
      <c r="Z5" s="2" t="n">
        <v>50</v>
      </c>
      <c r="AA5" s="3" t="inlineStr">
        <is>
          <t>vegetarian, gluten-free, high-protein, high-fiber, no-cook, quick</t>
        </is>
      </c>
      <c r="AB5" s="3" t="inlineStr">
        <is>
          <t>1. Spoon half the yogurt into a glass or bowl.
2. Layer half the berries and walnuts, then repeat with the remaining yogurt and toppings.
3. Sprinkle chia seeds and cinnamon on top and serve, or refrigerate up to 24 hours.</t>
        </is>
      </c>
      <c r="AC5" s="4" t="inlineStr">
        <is>
          <t>["Spoon half the yogurt into a glass or bowl.", "Layer half the berries and walnuts, then repeat with the remaining yogurt and toppings.", "Sprinkle chia seeds and cinnamon on top and serve, or refrigerate up to 24 hours."]</t>
        </is>
      </c>
    </row>
    <row r="6" ht="96" customHeight="1">
      <c r="A6" s="2" t="inlineStr">
        <is>
          <t>DB-0005</t>
        </is>
      </c>
      <c r="B6" s="3" t="inlineStr">
        <is>
          <t>Overnight Steel-Cut Oats with Blueberries</t>
        </is>
      </c>
      <c r="C6" s="4" t="inlineStr">
        <is>
          <t>Breakfast</t>
        </is>
      </c>
      <c r="D6" s="4" t="inlineStr">
        <is>
          <t>American</t>
        </is>
      </c>
      <c r="E6" s="2" t="n">
        <v>2</v>
      </c>
      <c r="F6" s="2" t="n">
        <v>5</v>
      </c>
      <c r="G6" s="2" t="n">
        <v>0</v>
      </c>
      <c r="H6" s="2" t="n">
        <v>5</v>
      </c>
      <c r="I6" s="4" t="inlineStr">
        <is>
          <t>overnight-steel-cut-oats-with-blueberries.jpg</t>
        </is>
      </c>
      <c r="J6" s="3" t="inlineStr">
        <is>
          <t>Overnight Steel-Cut Oats with Blueberries, healthy food photography, plated, natural light</t>
        </is>
      </c>
      <c r="K6" s="4" t="inlineStr"/>
      <c r="L6" s="3" t="inlineStr">
        <is>
          <t>Steel-cut oats, dry — 70 g (2.5 oz)
Almond milk, unsweetened — 300 g (10.6 oz)
Chia seeds — 15 g (0.5 oz)
Blueberries — 100 g (3.5 oz)
Almonds — 20 g (0.7 oz)
Ground cinnamon — 2 g (0.1 oz)
Vanilla extract — 3 g (0.1 oz)</t>
        </is>
      </c>
      <c r="M6" s="4" t="inlineStr">
        <is>
          <t>[{"ingredient_id": "steel_cut_oats", "name": "Steel-cut oats, dry", "grams": 70.0, "note": ""}, {"ingredient_id": "almond_milk", "name": "Almond milk, unsweetened", "grams": 300.0, "note": ""}, {"ingredient_id": "chia_seeds", "name": "Chia seeds", "grams": 15.0, "note": ""}, {"ingredient_id": "blueberries", "name": "Blueberries", "grams": 100.0, "note": ""}, {"ingredient_id": "almonds", "name": "Almonds", "grams": 20.0, "note": ""}, {"ingredient_id": "cinnamon", "name": "Ground cinnamon", "grams": 2.0, "note": ""}, {"ingredient_id": "vanilla_extract", "name": "Vanilla extract", "grams": 3.0, "note": ""}]</t>
        </is>
      </c>
      <c r="N6" s="2" t="n">
        <v>283</v>
      </c>
      <c r="O6" s="5" t="n">
        <v>9.199999999999999</v>
      </c>
      <c r="P6" s="5" t="n">
        <v>11.6</v>
      </c>
      <c r="Q6" s="5" t="n">
        <v>38</v>
      </c>
      <c r="R6" s="5" t="n">
        <v>9</v>
      </c>
      <c r="S6" s="5" t="n">
        <v>28.9</v>
      </c>
      <c r="T6" s="2" t="n">
        <v>49</v>
      </c>
      <c r="U6" s="2" t="inlineStr">
        <is>
          <t>low</t>
        </is>
      </c>
      <c r="V6" s="5" t="n">
        <v>14.2</v>
      </c>
      <c r="W6" s="2" t="inlineStr">
        <is>
          <t>medium</t>
        </is>
      </c>
      <c r="X6" s="3" t="inlineStr"/>
      <c r="Y6" s="3" t="inlineStr">
        <is>
          <t>90% of this dish's available carbohydrate comes from ingredients with a published, measured GI; the rest uses conventional placeholders (see Ingredients sheet)</t>
        </is>
      </c>
      <c r="Z6" s="2" t="n">
        <v>90</v>
      </c>
      <c r="AA6" s="3" t="inlineStr">
        <is>
          <t>vegan, dairy-free, high-fiber, no-cook, make-ahead</t>
        </is>
      </c>
      <c r="AB6" s="3" t="inlineStr">
        <is>
          <t>1. Combine oats, almond milk, chia seeds, cinnamon and vanilla in a jar and stir well.
2. Refrigerate overnight (at least 8 hours) so the oats soften without cooking, which keeps the GI lower.
3. In the morning stir, divide into two bowls and top with blueberries and sliced almonds.</t>
        </is>
      </c>
      <c r="AC6" s="4" t="inlineStr">
        <is>
          <t>["Combine oats, almond milk, chia seeds, cinnamon and vanilla in a jar and stir well.", "Refrigerate overnight (at least 8 hours) so the oats soften without cooking, which keeps the GI lower.", "In the morning stir, divide into two bowls and top with blueberries and sliced almonds."]</t>
        </is>
      </c>
    </row>
    <row r="7" ht="96" customHeight="1">
      <c r="A7" s="2" t="inlineStr">
        <is>
          <t>DB-0006</t>
        </is>
      </c>
      <c r="B7" s="3" t="inlineStr">
        <is>
          <t>Chia Seed Pudding with Raspberries</t>
        </is>
      </c>
      <c r="C7" s="4" t="inlineStr">
        <is>
          <t>Breakfast</t>
        </is>
      </c>
      <c r="D7" s="4" t="inlineStr">
        <is>
          <t>American</t>
        </is>
      </c>
      <c r="E7" s="2" t="n">
        <v>2</v>
      </c>
      <c r="F7" s="2" t="n">
        <v>5</v>
      </c>
      <c r="G7" s="2" t="n">
        <v>0</v>
      </c>
      <c r="H7" s="2" t="n">
        <v>5</v>
      </c>
      <c r="I7" s="4" t="inlineStr">
        <is>
          <t>chia-seed-pudding-with-raspberries.jpg</t>
        </is>
      </c>
      <c r="J7" s="3" t="inlineStr">
        <is>
          <t>Chia Seed Pudding with Raspberries, healthy food photography, plated, natural light</t>
        </is>
      </c>
      <c r="K7" s="4" t="inlineStr"/>
      <c r="L7" s="3" t="inlineStr">
        <is>
          <t>Chia seeds — 40 g (1.4 oz)
Almond milk, unsweetened — 300 g (10.6 oz)
Raspberries — 100 g (3.5 oz)
Vanilla extract — 3 g (0.1 oz)
Monk fruit/erythritol sweetener — 5 g (0.2 oz)
Almonds — 15 g (0.5 oz)</t>
        </is>
      </c>
      <c r="M7" s="4" t="inlineStr">
        <is>
          <t>[{"ingredient_id": "chia_seeds", "name": "Chia seeds", "grams": 40.0, "note": ""}, {"ingredient_id": "almond_milk", "name": "Almond milk, unsweetened", "grams": 300.0, "note": ""}, {"ingredient_id": "raspberries", "name": "Raspberries", "grams": 100.0, "note": ""}, {"ingredient_id": "vanilla_extract", "name": "Vanilla extract", "grams": 3.0, "note": ""}, {"ingredient_id": "monk_fruit_sweetener", "name": "Monk fruit/erythritol sweetener", "grams": 5.0, "note": ""}, {"ingredient_id": "almonds", "name": "Almonds", "grams": 15.0, "note": ""}]</t>
        </is>
      </c>
      <c r="N7" s="2" t="n">
        <v>193</v>
      </c>
      <c r="O7" s="5" t="n">
        <v>6.5</v>
      </c>
      <c r="P7" s="5" t="n">
        <v>12.1</v>
      </c>
      <c r="Q7" s="5" t="n">
        <v>17.1</v>
      </c>
      <c r="R7" s="5" t="n">
        <v>11</v>
      </c>
      <c r="S7" s="5" t="n">
        <v>6.2</v>
      </c>
      <c r="T7" s="2" t="n">
        <v>24</v>
      </c>
      <c r="U7" s="2" t="inlineStr">
        <is>
          <t>low</t>
        </is>
      </c>
      <c r="V7" s="5" t="n">
        <v>1.5</v>
      </c>
      <c r="W7" s="2" t="inlineStr">
        <is>
          <t>low</t>
        </is>
      </c>
      <c r="X7" s="3" t="inlineStr"/>
      <c r="Y7" s="3" t="inlineStr">
        <is>
          <t>0% of this dish's available carbohydrate comes from ingredients with a published, measured GI; the rest uses conventional placeholders (see Ingredients sheet)</t>
        </is>
      </c>
      <c r="Z7" s="2" t="n">
        <v>0</v>
      </c>
      <c r="AA7" s="3" t="inlineStr">
        <is>
          <t>vegan, gluten-free, dairy-free, low-carb, high-fiber, no-cook, make-ahead</t>
        </is>
      </c>
      <c r="AB7" s="3" t="inlineStr">
        <is>
          <t>1. Whisk chia seeds, almond milk, vanilla and sweetener in a bowl.
2. Let stand 10 minutes, whisk again to break up clumps, then refrigerate at least 4 hours or overnight.
3. Spoon into bowls and top with raspberries and sliced almonds.</t>
        </is>
      </c>
      <c r="AC7" s="4" t="inlineStr">
        <is>
          <t>["Whisk chia seeds, almond milk, vanilla and sweetener in a bowl.", "Let stand 10 minutes, whisk again to break up clumps, then refrigerate at least 4 hours or overnight.", "Spoon into bowls and top with raspberries and sliced almonds."]</t>
        </is>
      </c>
    </row>
    <row r="8" ht="96" customHeight="1">
      <c r="A8" s="2" t="inlineStr">
        <is>
          <t>DB-0007</t>
        </is>
      </c>
      <c r="B8" s="3" t="inlineStr">
        <is>
          <t>Cottage Cheese Bowl with Peaches &amp; Pecans</t>
        </is>
      </c>
      <c r="C8" s="4" t="inlineStr">
        <is>
          <t>Breakfast</t>
        </is>
      </c>
      <c r="D8" s="4" t="inlineStr">
        <is>
          <t>American</t>
        </is>
      </c>
      <c r="E8" s="2" t="n">
        <v>1</v>
      </c>
      <c r="F8" s="2" t="n">
        <v>5</v>
      </c>
      <c r="G8" s="2" t="n">
        <v>0</v>
      </c>
      <c r="H8" s="2" t="n">
        <v>5</v>
      </c>
      <c r="I8" s="4" t="inlineStr">
        <is>
          <t>cottage-cheese-bowl-with-peaches-and-pecans.jpg</t>
        </is>
      </c>
      <c r="J8" s="3" t="inlineStr">
        <is>
          <t>Cottage Cheese Bowl with Peaches &amp; Pecans, healthy food photography, plated, natural light</t>
        </is>
      </c>
      <c r="K8" s="4" t="inlineStr"/>
      <c r="L8" s="3" t="inlineStr">
        <is>
          <t>Cottage cheese, low-fat — 200 g (7.1 oz)
Peach — 120 g (4.2 oz) [1 medium peach]
Pecans — 20 g (0.7 oz)
Ground cinnamon — 1 g (0.0 oz)
Ground flaxseed — 8 g (0.3 oz)</t>
        </is>
      </c>
      <c r="M8" s="4" t="inlineStr">
        <is>
          <t>[{"ingredient_id": "cottage_cheese", "name": "Cottage cheese, low-fat", "grams": 200.0, "note": ""}, {"ingredient_id": "peach", "name": "Peach", "grams": 120.0, "note": "1 medium peach"}, {"ingredient_id": "pecans", "name": "Pecans", "grams": 20.0, "note": ""}, {"ingredient_id": "cinnamon", "name": "Ground cinnamon", "grams": 1.0, "note": ""}, {"ingredient_id": "flaxseed", "name": "Ground flaxseed", "grams": 8.0, "note": ""}]</t>
        </is>
      </c>
      <c r="N8" s="2" t="n">
        <v>398</v>
      </c>
      <c r="O8" s="5" t="n">
        <v>26.4</v>
      </c>
      <c r="P8" s="5" t="n">
        <v>22.7</v>
      </c>
      <c r="Q8" s="5" t="n">
        <v>25.9</v>
      </c>
      <c r="R8" s="5" t="n">
        <v>6.4</v>
      </c>
      <c r="S8" s="5" t="n">
        <v>19.5</v>
      </c>
      <c r="T8" s="2" t="n">
        <v>33</v>
      </c>
      <c r="U8" s="2" t="inlineStr">
        <is>
          <t>low</t>
        </is>
      </c>
      <c r="V8" s="5" t="n">
        <v>6.4</v>
      </c>
      <c r="W8" s="2" t="inlineStr">
        <is>
          <t>low</t>
        </is>
      </c>
      <c r="X8" s="3" t="inlineStr"/>
      <c r="Y8" s="3" t="inlineStr">
        <is>
          <t>49% of this dish's available carbohydrate comes from ingredients with a published, measured GI; the rest uses conventional placeholders (see Ingredients sheet)</t>
        </is>
      </c>
      <c r="Z8" s="2" t="n">
        <v>49</v>
      </c>
      <c r="AA8" s="3" t="inlineStr">
        <is>
          <t>vegetarian, gluten-free, high-protein, no-cook, quick</t>
        </is>
      </c>
      <c r="AB8" s="3" t="inlineStr">
        <is>
          <t>1. Spoon the cottage cheese into a bowl.
2. Slice the peach and arrange on top.
3. Sprinkle with chopped pecans, ground flaxseed and cinnamon.</t>
        </is>
      </c>
      <c r="AC8" s="4" t="inlineStr">
        <is>
          <t>["Spoon the cottage cheese into a bowl.", "Slice the peach and arrange on top.", "Sprinkle with chopped pecans, ground flaxseed and cinnamon."]</t>
        </is>
      </c>
    </row>
    <row r="9" ht="96" customHeight="1">
      <c r="A9" s="2" t="inlineStr">
        <is>
          <t>DB-0008</t>
        </is>
      </c>
      <c r="B9" s="3" t="inlineStr">
        <is>
          <t>Southwest Breakfast Burrito</t>
        </is>
      </c>
      <c r="C9" s="4" t="inlineStr">
        <is>
          <t>Breakfast</t>
        </is>
      </c>
      <c r="D9" s="4" t="inlineStr">
        <is>
          <t>Tex-Mex</t>
        </is>
      </c>
      <c r="E9" s="2" t="n">
        <v>2</v>
      </c>
      <c r="F9" s="2" t="n">
        <v>10</v>
      </c>
      <c r="G9" s="2" t="n">
        <v>12</v>
      </c>
      <c r="H9" s="2" t="n">
        <v>22</v>
      </c>
      <c r="I9" s="4" t="inlineStr">
        <is>
          <t>southwest-breakfast-burrito.jpg</t>
        </is>
      </c>
      <c r="J9" s="3" t="inlineStr">
        <is>
          <t>Southwest Breakfast Burrito, healthy food photography, plated, natural light</t>
        </is>
      </c>
      <c r="K9" s="4" t="inlineStr"/>
      <c r="L9" s="3" t="inlineStr">
        <is>
          <t>Low-carb high-fiber tortilla — 84 g (3.0 oz) [2 tortillas]
Egg, large (50 g each) — 200 g (7.1 oz) [4 large eggs]
Black beans, cooked — 80 g (2.8 oz)
Bell pepper — 60 g (2.1 oz)
Yellow onion — 30 g (1.1 oz)
Pepper jack cheese — 40 g (1.4 oz)
Salsa, no sugar added — 60 g (2.1 oz)
Avocado — 60 g (2.1 oz)
Extra-virgin olive oil — 8 g (0.3 oz)
Ground cumin — 1 g (0.0 oz)</t>
        </is>
      </c>
      <c r="M9" s="4" t="inlineStr">
        <is>
          <t>[{"ingredient_id": "low_carb_tortilla", "name": "Low-carb high-fiber tortilla", "grams": 84.0, "note": "2 tortillas"}, {"ingredient_id": "egg", "name": "Egg, large (50 g each)", "grams": 200.0, "note": "4 large eggs"}, {"ingredient_id": "black_beans", "name": "Black beans, cooked", "grams": 80.0, "note": ""}, {"ingredient_id": "bell_pepper", "name": "Bell pepper", "grams": 60.0, "note": ""}, {"ingredient_id": "onion", "name": "Yellow onion", "grams": 30.0, "note": ""}, {"ingredient_id": "pepper_jack", "name": "Pepper jack cheese", "grams": 40.0, "note": ""}, {"ingredient_id": "salsa", "name": "Salsa, no sugar added", "grams": 60.0, "note": ""}, {"ingredient_id": "avocado", "name": "Avocado", "grams": 60.0, "note": ""}, {"ingredient_id": "olive_oil", "name": "Extra-virgin olive oil", "grams": 8.0, "note": ""}, {"ingredient_id": "cumin", "name": "Ground cumin", "grams": 1.0, "note": ""}]</t>
        </is>
      </c>
      <c r="N9" s="2" t="n">
        <v>488</v>
      </c>
      <c r="O9" s="5" t="n">
        <v>27.6</v>
      </c>
      <c r="P9" s="5" t="n">
        <v>27.8</v>
      </c>
      <c r="Q9" s="5" t="n">
        <v>35.3</v>
      </c>
      <c r="R9" s="5" t="n">
        <v>17.4</v>
      </c>
      <c r="S9" s="5" t="n">
        <v>18</v>
      </c>
      <c r="T9" s="2" t="n">
        <v>26</v>
      </c>
      <c r="U9" s="2" t="inlineStr">
        <is>
          <t>low</t>
        </is>
      </c>
      <c r="V9" s="5" t="n">
        <v>4.7</v>
      </c>
      <c r="W9" s="2" t="inlineStr">
        <is>
          <t>low</t>
        </is>
      </c>
      <c r="X9" s="3" t="inlineStr"/>
      <c r="Y9" s="3" t="inlineStr">
        <is>
          <t>33% of this dish's available carbohydrate comes from ingredients with a published, measured GI; the rest uses conventional placeholders (see Ingredients sheet)</t>
        </is>
      </c>
      <c r="Z9" s="2" t="n">
        <v>33</v>
      </c>
      <c r="AA9" s="3" t="inlineStr">
        <is>
          <t>vegetarian, nut-free, high-protein, high-fiber</t>
        </is>
      </c>
      <c r="AB9" s="3" t="inlineStr">
        <is>
          <t>1. Sauté onion and bell pepper in olive oil for 4 minutes, add black beans and cumin and warm through.
2. Whisk the eggs, pour into the pan and scramble until just set.
3. Warm the tortillas, fill with the egg mixture, cheese, avocado and salsa.
4. Roll tightly, folding in the sides, and cut in half.</t>
        </is>
      </c>
      <c r="AC9" s="4" t="inlineStr">
        <is>
          <t>["Sauté onion and bell pepper in olive oil for 4 minutes, add black beans and cumin and warm through.", "Whisk the eggs, pour into the pan and scramble until just set.", "Warm the tortillas, fill with the egg mixture, cheese, avocado and salsa.", "Roll tightly, folding in the sides, and cut in half."]</t>
        </is>
      </c>
    </row>
    <row r="10" ht="96" customHeight="1">
      <c r="A10" s="2" t="inlineStr">
        <is>
          <t>DB-0009</t>
        </is>
      </c>
      <c r="B10" s="3" t="inlineStr">
        <is>
          <t>Turkey Sausage &amp; Kale Frittata</t>
        </is>
      </c>
      <c r="C10" s="4" t="inlineStr">
        <is>
          <t>Breakfast</t>
        </is>
      </c>
      <c r="D10" s="4" t="inlineStr">
        <is>
          <t>American</t>
        </is>
      </c>
      <c r="E10" s="2" t="n">
        <v>4</v>
      </c>
      <c r="F10" s="2" t="n">
        <v>10</v>
      </c>
      <c r="G10" s="2" t="n">
        <v>25</v>
      </c>
      <c r="H10" s="2" t="n">
        <v>35</v>
      </c>
      <c r="I10" s="4" t="inlineStr">
        <is>
          <t>turkey-sausage-and-kale-frittata.jpg</t>
        </is>
      </c>
      <c r="J10" s="3" t="inlineStr">
        <is>
          <t>Turkey Sausage &amp; Kale Frittata, healthy food photography, plated, natural light</t>
        </is>
      </c>
      <c r="K10" s="4" t="inlineStr"/>
      <c r="L10" s="3" t="inlineStr">
        <is>
          <t>Egg, large (50 g each) — 400 g (14.1 oz) [8 large eggs]
Turkey sausage — 200 g (7.1 oz)
Kale — 100 g (3.5 oz)
Yellow onion — 60 g (2.1 oz)
Mozzarella, part-skim — 60 g (2.1 oz)
Extra-virgin olive oil — 10 g (0.4 oz)
Garlic — 5 g (0.2 oz)
Salt — 2 g (0.1 oz)
Black pepper — 1 g (0.0 oz)</t>
        </is>
      </c>
      <c r="M10" s="4" t="inlineStr">
        <is>
          <t>[{"ingredient_id": "egg", "name": "Egg, large (50 g each)", "grams": 400.0, "note": "8 large eggs"}, {"ingredient_id": "turkey_sausage", "name": "Turkey sausage", "grams": 200.0, "note": ""}, {"ingredient_id": "kale", "name": "Kale", "grams": 100.0, "note": ""}, {"ingredient_id": "onion", "name": "Yellow onion", "grams": 60.0, "note": ""}, {"ingredient_id": "mozzarella", "name": "Mozzarella, part-skim", "grams": 60.0, "note": ""}, {"ingredient_id": "olive_oil", "name": "Extra-virgin olive oil", "grams": 10.0, "note": ""}, {"ingredient_id": "garlic", "name": "Garlic", "grams": 5.0, "note": ""}, {"ingredient_id": "salt", "name": "Salt", "grams": 2.0, "note": ""}, {"ingredient_id": "black_pepper", "name": "Black pepper", "grams": 1.0, "note": ""}]</t>
        </is>
      </c>
      <c r="N10" s="2" t="n">
        <v>301</v>
      </c>
      <c r="O10" s="5" t="n">
        <v>25</v>
      </c>
      <c r="P10" s="5" t="n">
        <v>19.7</v>
      </c>
      <c r="Q10" s="5" t="n">
        <v>6.3</v>
      </c>
      <c r="R10" s="5" t="n">
        <v>1.2</v>
      </c>
      <c r="S10" s="5" t="n">
        <v>5.1</v>
      </c>
      <c r="T10" s="2" t="n">
        <v>10</v>
      </c>
      <c r="U10" s="2" t="inlineStr">
        <is>
          <t>low</t>
        </is>
      </c>
      <c r="V10" s="5" t="n">
        <v>0.5</v>
      </c>
      <c r="W10" s="2" t="inlineStr">
        <is>
          <t>low</t>
        </is>
      </c>
      <c r="X10" s="3" t="inlineStr"/>
      <c r="Y10" s="3" t="inlineStr">
        <is>
          <t>0% of this dish's available carbohydrate comes from ingredients with a published, measured GI; the rest uses conventional placeholders (see Ingredients sheet)</t>
        </is>
      </c>
      <c r="Z10" s="2" t="n">
        <v>0</v>
      </c>
      <c r="AA10" s="3" t="inlineStr">
        <is>
          <t>gluten-free, nut-free, low-carb, high-protein, make-ahead</t>
        </is>
      </c>
      <c r="AB10" s="3" t="inlineStr">
        <is>
          <t>1. Preheat oven to 375°F. Brown crumbled turkey sausage in an ovenproof skillet, then remove.
2. Sauté onion and garlic in olive oil, add kale and cook until wilted. Return sausage to the pan.
3. Whisk eggs with salt and pepper, pour over the filling and scatter mozzarella on top.
4. Cook 2 minutes on the stove, then bake 15–18 minutes until set. Cool 5 minutes before slicing.</t>
        </is>
      </c>
      <c r="AC10" s="4" t="inlineStr">
        <is>
          <t>["Preheat oven to 375°F. Brown crumbled turkey sausage in an ovenproof skillet, then remove.", "Sauté onion and garlic in olive oil, add kale and cook until wilted. Return sausage to the pan.", "Whisk eggs with salt and pepper, pour over the filling and scatter mozzarella on top.", "Cook 2 minutes on the stove, then bake 15–18 minutes until set. Cool 5 minutes before slicing."]</t>
        </is>
      </c>
    </row>
    <row r="11" ht="96" customHeight="1">
      <c r="A11" s="2" t="inlineStr">
        <is>
          <t>DB-0010</t>
        </is>
      </c>
      <c r="B11" s="3" t="inlineStr">
        <is>
          <t>Almond Flour Blueberry Pancakes</t>
        </is>
      </c>
      <c r="C11" s="4" t="inlineStr">
        <is>
          <t>Breakfast</t>
        </is>
      </c>
      <c r="D11" s="4" t="inlineStr">
        <is>
          <t>American</t>
        </is>
      </c>
      <c r="E11" s="2" t="n">
        <v>2</v>
      </c>
      <c r="F11" s="2" t="n">
        <v>10</v>
      </c>
      <c r="G11" s="2" t="n">
        <v>12</v>
      </c>
      <c r="H11" s="2" t="n">
        <v>22</v>
      </c>
      <c r="I11" s="4" t="inlineStr">
        <is>
          <t>almond-flour-blueberry-pancakes.jpg</t>
        </is>
      </c>
      <c r="J11" s="3" t="inlineStr">
        <is>
          <t>Almond Flour Blueberry Pancakes, healthy food photography, plated, natural light</t>
        </is>
      </c>
      <c r="K11" s="4" t="inlineStr"/>
      <c r="L11" s="3" t="inlineStr">
        <is>
          <t>Almond flour — 100 g (3.5 oz)
Egg, large (50 g each) — 100 g (3.5 oz) [2 large eggs]
Almond milk, unsweetened — 60 g (2.1 oz)
Baking powder — 4 g (0.1 oz)
Vanilla extract — 3 g (0.1 oz)
Monk fruit/erythritol sweetener — 8 g (0.3 oz)
Blueberries — 80 g (2.8 oz)
Coconut oil — 10 g (0.4 oz)</t>
        </is>
      </c>
      <c r="M11" s="4" t="inlineStr">
        <is>
          <t>[{"ingredient_id": "almond_flour", "name": "Almond flour", "grams": 100.0, "note": ""}, {"ingredient_id": "egg", "name": "Egg, large (50 g each)", "grams": 100.0, "note": "2 large eggs"}, {"ingredient_id": "almond_milk", "name": "Almond milk, unsweetened", "grams": 60.0, "note": ""}, {"ingredient_id": "baking_powder", "name": "Baking powder", "grams": 4.0, "note": ""}, {"ingredient_id": "vanilla_extract", "name": "Vanilla extract", "grams": 3.0, "note": ""}, {"ingredient_id": "monk_fruit_sweetener", "name": "Monk fruit/erythritol sweetener", "grams": 8.0, "note": ""}, {"ingredient_id": "blueberries", "name": "Blueberries", "grams": 80.0, "note": ""}, {"ingredient_id": "coconut_oil", "name": "Coconut oil", "grams": 10.0, "note": ""}]</t>
        </is>
      </c>
      <c r="N11" s="2" t="n">
        <v>442</v>
      </c>
      <c r="O11" s="5" t="n">
        <v>17.3</v>
      </c>
      <c r="P11" s="5" t="n">
        <v>35.2</v>
      </c>
      <c r="Q11" s="5" t="n">
        <v>17.6</v>
      </c>
      <c r="R11" s="5" t="n">
        <v>7</v>
      </c>
      <c r="S11" s="5" t="n">
        <v>10.6</v>
      </c>
      <c r="T11" s="2" t="n">
        <v>31</v>
      </c>
      <c r="U11" s="2" t="inlineStr">
        <is>
          <t>low</t>
        </is>
      </c>
      <c r="V11" s="5" t="n">
        <v>3.3</v>
      </c>
      <c r="W11" s="2" t="inlineStr">
        <is>
          <t>low</t>
        </is>
      </c>
      <c r="X11" s="3" t="inlineStr"/>
      <c r="Y11" s="3" t="inlineStr">
        <is>
          <t>46% of this dish's available carbohydrate comes from ingredients with a published, measured GI; the rest uses conventional placeholders (see Ingredients sheet)</t>
        </is>
      </c>
      <c r="Z11" s="2" t="n">
        <v>46</v>
      </c>
      <c r="AA11" s="3" t="inlineStr">
        <is>
          <t>vegetarian, gluten-free, dairy-free, low-carb</t>
        </is>
      </c>
      <c r="AB11" s="3" t="inlineStr">
        <is>
          <t>1. Whisk eggs, almond milk, vanilla and sweetener, then stir in almond flour and baking powder to a thick batter.
2. Fold in the blueberries.
3. Cook 1/4-cup portions in coconut oil over medium-low heat, 3 minutes per side, flipping carefully.
4. Serve warm with extra berries if desired.</t>
        </is>
      </c>
      <c r="AC11" s="4" t="inlineStr">
        <is>
          <t>["Whisk eggs, almond milk, vanilla and sweetener, then stir in almond flour and baking powder to a thick batter.", "Fold in the blueberries.", "Cook 1/4-cup portions in coconut oil over medium-low heat, 3 minutes per side, flipping carefully.", "Serve warm with extra berries if desired."]</t>
        </is>
      </c>
    </row>
    <row r="12" ht="96" customHeight="1">
      <c r="A12" s="2" t="inlineStr">
        <is>
          <t>DB-0011</t>
        </is>
      </c>
      <c r="B12" s="3" t="inlineStr">
        <is>
          <t>Shakshuka with Feta</t>
        </is>
      </c>
      <c r="C12" s="4" t="inlineStr">
        <is>
          <t>Breakfast</t>
        </is>
      </c>
      <c r="D12" s="4" t="inlineStr">
        <is>
          <t>Middle Eastern</t>
        </is>
      </c>
      <c r="E12" s="2" t="n">
        <v>2</v>
      </c>
      <c r="F12" s="2" t="n">
        <v>10</v>
      </c>
      <c r="G12" s="2" t="n">
        <v>25</v>
      </c>
      <c r="H12" s="2" t="n">
        <v>35</v>
      </c>
      <c r="I12" s="4" t="inlineStr">
        <is>
          <t>shakshuka-with-feta.jpg</t>
        </is>
      </c>
      <c r="J12" s="3" t="inlineStr">
        <is>
          <t>Shakshuka with Feta, healthy food photography, plated, natural light</t>
        </is>
      </c>
      <c r="K12" s="4" t="inlineStr"/>
      <c r="L12" s="3" t="inlineStr">
        <is>
          <t>Egg, large (50 g each) — 200 g (7.1 oz) [4 large eggs]
Crushed tomatoes, canned — 400 g (14.1 oz)
Bell pepper — 120 g (4.2 oz)
Yellow onion — 80 g (2.8 oz)
Garlic — 8 g (0.3 oz)
Extra-virgin olive oil — 15 g (0.5 oz)
Ground cumin — 2 g (0.1 oz)
Smoked paprika — 2 g (0.1 oz)
Feta cheese — 40 g (1.4 oz)
Fresh parsley — 10 g (0.4 oz)
Salt — 2 g (0.1 oz)</t>
        </is>
      </c>
      <c r="M12" s="4" t="inlineStr">
        <is>
          <t>[{"ingredient_id": "egg", "name": "Egg, large (50 g each)", "grams": 200.0, "note": "4 large eggs"}, {"ingredient_id": "crushed_tomatoes", "name": "Crushed tomatoes, canned", "grams": 400.0, "note": ""}, {"ingredient_id": "bell_pepper", "name": "Bell pepper", "grams": 120.0, "note": ""}, {"ingredient_id": "onion", "name": "Yellow onion", "grams": 80.0, "note": ""}, {"ingredient_id": "garlic", "name": "Garlic", "grams": 8.0, "note": ""}, {"ingredient_id": "olive_oil", "name": "Extra-virgin olive oil", "grams": 15.0, "note": ""}, {"ingredient_id": "cumin", "name": "Ground cumin", "grams": 2.0, "note": ""}, {"ingredient_id": "smoked_paprika", "name": "Smoked paprika", "grams": 2.0, "note": ""}, {"ingredient_id": "feta", "name": "Feta cheese", "grams": 40.0, "note": ""}, {"ingredient_id": "parsley", "name": "Fresh parsley", "grams": 10.0, "note": ""}, {"ingredient_id": "salt", "name": "Salt", "grams": 2.0, "note": ""}]</t>
        </is>
      </c>
      <c r="N12" s="2" t="n">
        <v>375</v>
      </c>
      <c r="O12" s="5" t="n">
        <v>20.4</v>
      </c>
      <c r="P12" s="5" t="n">
        <v>22.4</v>
      </c>
      <c r="Q12" s="5" t="n">
        <v>25.4</v>
      </c>
      <c r="R12" s="5" t="n">
        <v>6.4</v>
      </c>
      <c r="S12" s="5" t="n">
        <v>19</v>
      </c>
      <c r="T12" s="2" t="n">
        <v>26</v>
      </c>
      <c r="U12" s="2" t="inlineStr">
        <is>
          <t>low</t>
        </is>
      </c>
      <c r="V12" s="5" t="n">
        <v>4.9</v>
      </c>
      <c r="W12" s="2" t="inlineStr">
        <is>
          <t>low</t>
        </is>
      </c>
      <c r="X12" s="3" t="inlineStr"/>
      <c r="Y12" s="3" t="inlineStr">
        <is>
          <t>0% of this dish's available carbohydrate comes from ingredients with a published, measured GI; the rest uses conventional placeholders (see Ingredients sheet)</t>
        </is>
      </c>
      <c r="Z12" s="2" t="n">
        <v>0</v>
      </c>
      <c r="AA12" s="3" t="inlineStr">
        <is>
          <t>vegetarian, gluten-free, nut-free, one-pan</t>
        </is>
      </c>
      <c r="AB12" s="3" t="inlineStr">
        <is>
          <t>1. Sauté onion and bell pepper in olive oil over medium heat for 7 minutes, add garlic, cumin and paprika and cook 1 minute.
2. Pour in crushed tomatoes, season with salt and simmer 10 minutes until slightly thickened.
3. Make four wells, crack an egg into each, cover and cook 6–8 minutes until whites are set.
4. Top with crumbled feta and parsley and serve straight from the pan.</t>
        </is>
      </c>
      <c r="AC12" s="4" t="inlineStr">
        <is>
          <t>["Sauté onion and bell pepper in olive oil over medium heat for 7 minutes, add garlic, cumin and paprika and cook 1 minute.", "Pour in crushed tomatoes, season with salt and simmer 10 minutes until slightly thickened.", "Make four wells, crack an egg into each, cover and cook 6–8 minutes until whites are set.", "Top with crumbled feta and parsley and serve straight from the pan."]</t>
        </is>
      </c>
    </row>
    <row r="13" ht="96" customHeight="1">
      <c r="A13" s="2" t="inlineStr">
        <is>
          <t>DB-0012</t>
        </is>
      </c>
      <c r="B13" s="3" t="inlineStr">
        <is>
          <t>Smoked Salmon &amp; Cream Cheese Egg Wrap</t>
        </is>
      </c>
      <c r="C13" s="4" t="inlineStr">
        <is>
          <t>Breakfast</t>
        </is>
      </c>
      <c r="D13" s="4" t="inlineStr">
        <is>
          <t>American</t>
        </is>
      </c>
      <c r="E13" s="2" t="n">
        <v>1</v>
      </c>
      <c r="F13" s="2" t="n">
        <v>5</v>
      </c>
      <c r="G13" s="2" t="n">
        <v>5</v>
      </c>
      <c r="H13" s="2" t="n">
        <v>10</v>
      </c>
      <c r="I13" s="4" t="inlineStr">
        <is>
          <t>smoked-salmon-and-cream-cheese-egg-wrap.jpg</t>
        </is>
      </c>
      <c r="J13" s="3" t="inlineStr">
        <is>
          <t>Smoked Salmon &amp; Cream Cheese Egg Wrap, healthy food photography, plated, natural light</t>
        </is>
      </c>
      <c r="K13" s="4" t="inlineStr"/>
      <c r="L13" s="3" t="inlineStr">
        <is>
          <t>Egg, large (50 g each) — 100 g (3.5 oz) [2 large eggs]
Smoked salmon — 60 g (2.1 oz)
Cream cheese — 20 g (0.7 oz)
Cucumber — 40 g (1.4 oz)
Fresh dill — 3 g (0.1 oz)
Capers — 5 g (0.2 oz)
Extra-virgin olive oil — 4 g (0.1 oz)</t>
        </is>
      </c>
      <c r="M13" s="4" t="inlineStr">
        <is>
          <t>[{"ingredient_id": "egg", "name": "Egg, large (50 g each)", "grams": 100.0, "note": "2 large eggs"}, {"ingredient_id": "smoked_salmon", "name": "Smoked salmon", "grams": 60.0, "note": ""}, {"ingredient_id": "cream_cheese", "name": "Cream cheese", "grams": 20.0, "note": ""}, {"ingredient_id": "cucumber", "name": "Cucumber", "grams": 40.0, "note": ""}, {"ingredient_id": "dill", "name": "Fresh dill", "grams": 3.0, "note": ""}, {"ingredient_id": "capers", "name": "Capers", "grams": 5.0, "note": ""}, {"ingredient_id": "olive_oil", "name": "Extra-virgin olive oil", "grams": 4.0, "note": ""}]</t>
        </is>
      </c>
      <c r="N13" s="2" t="n">
        <v>325</v>
      </c>
      <c r="O13" s="5" t="n">
        <v>25.1</v>
      </c>
      <c r="P13" s="5" t="n">
        <v>23</v>
      </c>
      <c r="Q13" s="5" t="n">
        <v>3.4</v>
      </c>
      <c r="R13" s="5" t="n">
        <v>0.4</v>
      </c>
      <c r="S13" s="5" t="n">
        <v>3</v>
      </c>
      <c r="T13" s="2" t="n">
        <v>7</v>
      </c>
      <c r="U13" s="2" t="inlineStr">
        <is>
          <t>low</t>
        </is>
      </c>
      <c r="V13" s="5" t="n">
        <v>0.2</v>
      </c>
      <c r="W13" s="2" t="inlineStr">
        <is>
          <t>low</t>
        </is>
      </c>
      <c r="X13" s="3" t="inlineStr">
        <is>
          <t>Negligible carbohydrate (&lt;5 g net/serving): GI has little practical meaning, glycemic load is what matters.</t>
        </is>
      </c>
      <c r="Y13" s="3" t="inlineStr">
        <is>
          <t>0% of this dish's available carbohydrate comes from ingredients with a published, measured GI; the rest uses conventional placeholders (see Ingredients sheet)</t>
        </is>
      </c>
      <c r="Z13" s="2" t="n">
        <v>0</v>
      </c>
      <c r="AA13" s="3" t="inlineStr">
        <is>
          <t>pescatarian, gluten-free, nut-free, low-carb, high-protein, quick</t>
        </is>
      </c>
      <c r="AB13" s="3" t="inlineStr">
        <is>
          <t>1. Whisk eggs and cook in a lightly oiled nonstick pan as one thin round crepe-like layer, about 2 minutes.
2. Slide the egg wrap onto a plate and spread with cream cheese.
3. Layer smoked salmon, thin cucumber slices, capers and dill.
4. Roll up tightly and slice in half.</t>
        </is>
      </c>
      <c r="AC13" s="4" t="inlineStr">
        <is>
          <t>["Whisk eggs and cook in a lightly oiled nonstick pan as one thin round crepe-like layer, about 2 minutes.", "Slide the egg wrap onto a plate and spread with cream cheese.", "Layer smoked salmon, thin cucumber slices, capers and dill.", "Roll up tightly and slice in half."]</t>
        </is>
      </c>
    </row>
    <row r="14" ht="96" customHeight="1">
      <c r="A14" s="2" t="inlineStr">
        <is>
          <t>DB-0013</t>
        </is>
      </c>
      <c r="B14" s="3" t="inlineStr">
        <is>
          <t>Peanut Butter Protein Smoothie</t>
        </is>
      </c>
      <c r="C14" s="4" t="inlineStr">
        <is>
          <t>Breakfast</t>
        </is>
      </c>
      <c r="D14" s="4" t="inlineStr">
        <is>
          <t>American</t>
        </is>
      </c>
      <c r="E14" s="2" t="n">
        <v>1</v>
      </c>
      <c r="F14" s="2" t="n">
        <v>5</v>
      </c>
      <c r="G14" s="2" t="n">
        <v>0</v>
      </c>
      <c r="H14" s="2" t="n">
        <v>5</v>
      </c>
      <c r="I14" s="4" t="inlineStr">
        <is>
          <t>peanut-butter-protein-smoothie.jpg</t>
        </is>
      </c>
      <c r="J14" s="3" t="inlineStr">
        <is>
          <t>Peanut Butter Protein Smoothie, healthy food photography, plated, natural light</t>
        </is>
      </c>
      <c r="K14" s="4" t="inlineStr"/>
      <c r="L14" s="3" t="inlineStr">
        <is>
          <t>Almond milk, unsweetened — 300 g (10.6 oz)
Whey protein powder, unsweetened — 30 g (1.1 oz)
Peanut butter, natural — 16 g (0.6 oz)
Spinach — 40 g (1.4 oz)
Banana (small amount) — 50 g (1.8 oz) [half small banana]
Chia seeds — 8 g (0.3 oz)
Water / ice — 50 g (1.8 oz) [ice]</t>
        </is>
      </c>
      <c r="M14" s="4" t="inlineStr">
        <is>
          <t>[{"ingredient_id": "almond_milk", "name": "Almond milk, unsweetened", "grams": 300.0, "note": ""}, {"ingredient_id": "whey_protein", "name": "Whey protein powder, unsweetened", "grams": 30.0, "note": ""}, {"ingredient_id": "peanut_butter", "name": "Peanut butter, natural", "grams": 16.0, "note": ""}, {"ingredient_id": "spinach", "name": "Spinach", "grams": 40.0, "note": ""}, {"ingredient_id": "banana", "name": "Banana (small amount)", "grams": 50.0, "note": "half small banana"}, {"ingredient_id": "chia_seeds", "name": "Chia seeds", "grams": 8.0, "note": ""}, {"ingredient_id": "water", "name": "Water / ice", "grams": 50.0, "note": "ice"}]</t>
        </is>
      </c>
      <c r="N14" s="2" t="n">
        <v>346</v>
      </c>
      <c r="O14" s="5" t="n">
        <v>32.3</v>
      </c>
      <c r="P14" s="5" t="n">
        <v>15.9</v>
      </c>
      <c r="Q14" s="5" t="n">
        <v>23.7</v>
      </c>
      <c r="R14" s="5" t="n">
        <v>6.2</v>
      </c>
      <c r="S14" s="5" t="n">
        <v>17.5</v>
      </c>
      <c r="T14" s="2" t="n">
        <v>39</v>
      </c>
      <c r="U14" s="2" t="inlineStr">
        <is>
          <t>low</t>
        </is>
      </c>
      <c r="V14" s="5" t="n">
        <v>6.8</v>
      </c>
      <c r="W14" s="2" t="inlineStr">
        <is>
          <t>low</t>
        </is>
      </c>
      <c r="X14" s="3" t="inlineStr"/>
      <c r="Y14" s="3" t="inlineStr">
        <is>
          <t>70% of this dish's available carbohydrate comes from ingredients with a published, measured GI; the rest uses conventional placeholders (see Ingredients sheet)</t>
        </is>
      </c>
      <c r="Z14" s="2" t="n">
        <v>70</v>
      </c>
      <c r="AA14" s="3" t="inlineStr">
        <is>
          <t>vegetarian, gluten-free, high-protein, no-cook, quick</t>
        </is>
      </c>
      <c r="AB14" s="3" t="inlineStr">
        <is>
          <t>1. Add almond milk, protein powder, peanut butter, spinach, banana and chia seeds to a blender.
2. Add a handful of ice and blend on high until completely smooth.
3. Pour into a glass and drink right away.</t>
        </is>
      </c>
      <c r="AC14" s="4" t="inlineStr">
        <is>
          <t>["Add almond milk, protein powder, peanut butter, spinach, banana and chia seeds to a blender.", "Add a handful of ice and blend on high until completely smooth.", "Pour into a glass and drink right away."]</t>
        </is>
      </c>
    </row>
    <row r="15" ht="96" customHeight="1">
      <c r="A15" s="2" t="inlineStr">
        <is>
          <t>DB-0014</t>
        </is>
      </c>
      <c r="B15" s="3" t="inlineStr">
        <is>
          <t>Green Power Smoothie</t>
        </is>
      </c>
      <c r="C15" s="4" t="inlineStr">
        <is>
          <t>Breakfast</t>
        </is>
      </c>
      <c r="D15" s="4" t="inlineStr">
        <is>
          <t>American</t>
        </is>
      </c>
      <c r="E15" s="2" t="n">
        <v>1</v>
      </c>
      <c r="F15" s="2" t="n">
        <v>5</v>
      </c>
      <c r="G15" s="2" t="n">
        <v>0</v>
      </c>
      <c r="H15" s="2" t="n">
        <v>5</v>
      </c>
      <c r="I15" s="4" t="inlineStr">
        <is>
          <t>green-power-smoothie.jpg</t>
        </is>
      </c>
      <c r="J15" s="3" t="inlineStr">
        <is>
          <t>Green Power Smoothie, healthy food photography, plated, natural light</t>
        </is>
      </c>
      <c r="K15" s="4" t="inlineStr"/>
      <c r="L15" s="3" t="inlineStr">
        <is>
          <t>Spinach — 60 g (2.1 oz)
Kale — 30 g (1.1 oz)
Avocado — 50 g (1.8 oz)
Cucumber — 80 g (2.8 oz)
Greek yogurt, plain 2% — 120 g (4.2 oz)
Lemon juice — 10 g (0.4 oz)
Fresh ginger — 5 g (0.2 oz)
Water / ice — 150 g (5.3 oz) [water + ice]
Hemp seeds — 10 g (0.4 oz)</t>
        </is>
      </c>
      <c r="M15" s="4" t="inlineStr">
        <is>
          <t>[{"ingredient_id": "spinach", "name": "Spinach", "grams": 60.0, "note": ""}, {"ingredient_id": "kale", "name": "Kale", "grams": 30.0, "note": ""}, {"ingredient_id": "avocado", "name": "Avocado", "grams": 50.0, "note": ""}, {"ingredient_id": "cucumber", "name": "Cucumber", "grams": 80.0, "note": ""}, {"ingredient_id": "greek_yogurt", "name": "Greek yogurt, plain 2%", "grams": 120.0, "note": ""}, {"ingredient_id": "lemon_juice", "name": "Lemon juice", "grams": 10.0, "note": ""}, {"ingredient_id": "ginger", "name": "Fresh ginger", "grams": 5.0, "note": ""}, {"ingredient_id": "water", "name": "Water / ice", "grams": 150.0, "note": "water + ice"}, {"ingredient_id": "hemp_seeds", "name": "Hemp seeds", "grams": 10.0, "note": ""}]</t>
        </is>
      </c>
      <c r="N15" s="2" t="n">
        <v>270</v>
      </c>
      <c r="O15" s="5" t="n">
        <v>19.9</v>
      </c>
      <c r="P15" s="5" t="n">
        <v>15.4</v>
      </c>
      <c r="Q15" s="5" t="n">
        <v>19.2</v>
      </c>
      <c r="R15" s="5" t="n">
        <v>6.7</v>
      </c>
      <c r="S15" s="5" t="n">
        <v>12.5</v>
      </c>
      <c r="T15" s="2" t="n">
        <v>14</v>
      </c>
      <c r="U15" s="2" t="inlineStr">
        <is>
          <t>low</t>
        </is>
      </c>
      <c r="V15" s="5" t="n">
        <v>1.8</v>
      </c>
      <c r="W15" s="2" t="inlineStr">
        <is>
          <t>low</t>
        </is>
      </c>
      <c r="X15" s="3" t="inlineStr"/>
      <c r="Y15" s="3" t="inlineStr">
        <is>
          <t>38% of this dish's available carbohydrate comes from ingredients with a published, measured GI; the rest uses conventional placeholders (see Ingredients sheet)</t>
        </is>
      </c>
      <c r="Z15" s="2" t="n">
        <v>38</v>
      </c>
      <c r="AA15" s="3" t="inlineStr">
        <is>
          <t>vegetarian, gluten-free, nut-free, low-carb, no-cook, quick</t>
        </is>
      </c>
      <c r="AB15" s="3" t="inlineStr">
        <is>
          <t>1. Combine all ingredients in a blender.
2. Blend on high for 45–60 seconds until silky.
3. Adjust thickness with water and serve cold.</t>
        </is>
      </c>
      <c r="AC15" s="4" t="inlineStr">
        <is>
          <t>["Combine all ingredients in a blender.", "Blend on high for 45–60 seconds until silky.", "Adjust thickness with water and serve cold."]</t>
        </is>
      </c>
    </row>
    <row r="16" ht="96" customHeight="1">
      <c r="A16" s="2" t="inlineStr">
        <is>
          <t>DB-0015</t>
        </is>
      </c>
      <c r="B16" s="3" t="inlineStr">
        <is>
          <t>Mushroom &amp; Swiss Omelet</t>
        </is>
      </c>
      <c r="C16" s="4" t="inlineStr">
        <is>
          <t>Breakfast</t>
        </is>
      </c>
      <c r="D16" s="4" t="inlineStr">
        <is>
          <t>American</t>
        </is>
      </c>
      <c r="E16" s="2" t="n">
        <v>1</v>
      </c>
      <c r="F16" s="2" t="n">
        <v>5</v>
      </c>
      <c r="G16" s="2" t="n">
        <v>10</v>
      </c>
      <c r="H16" s="2" t="n">
        <v>15</v>
      </c>
      <c r="I16" s="4" t="inlineStr">
        <is>
          <t>mushroom-and-swiss-omelet.jpg</t>
        </is>
      </c>
      <c r="J16" s="3" t="inlineStr">
        <is>
          <t>Mushroom &amp; Swiss Omelet, healthy food photography, plated, natural light</t>
        </is>
      </c>
      <c r="K16" s="4" t="inlineStr"/>
      <c r="L16" s="3" t="inlineStr">
        <is>
          <t>Egg, large (50 g each) — 150 g (5.3 oz) [3 large eggs]
Mushrooms (cremini/white) — 80 g (2.8 oz)
Swiss cheese — 30 g (1.1 oz)
Butter — 8 g (0.3 oz)
Fresh chives — 3 g (0.1 oz)
Salt — 1 g (0.0 oz)
Black pepper — 1 g (0.0 oz)</t>
        </is>
      </c>
      <c r="M16" s="4" t="inlineStr">
        <is>
          <t>[{"ingredient_id": "egg", "name": "Egg, large (50 g each)", "grams": 150.0, "note": "3 large eggs"}, {"ingredient_id": "mushrooms", "name": "Mushrooms (cremini/white)", "grams": 80.0, "note": ""}, {"ingredient_id": "swiss_cheese", "name": "Swiss cheese", "grams": 30.0, "note": ""}, {"ingredient_id": "butter", "name": "Butter", "grams": 8.0, "note": ""}, {"ingredient_id": "chives", "name": "Fresh chives", "grams": 3.0, "note": ""}, {"ingredient_id": "salt", "name": "Salt", "grams": 1.0, "note": ""}, {"ingredient_id": "black_pepper", "name": "Black pepper", "grams": 1.0, "note": ""}]</t>
        </is>
      </c>
      <c r="N16" s="2" t="n">
        <v>407</v>
      </c>
      <c r="O16" s="5" t="n">
        <v>29.8</v>
      </c>
      <c r="P16" s="5" t="n">
        <v>29.4</v>
      </c>
      <c r="Q16" s="5" t="n">
        <v>4.9</v>
      </c>
      <c r="R16" s="5" t="n">
        <v>1.1</v>
      </c>
      <c r="S16" s="5" t="n">
        <v>3.8</v>
      </c>
      <c r="T16" s="2" t="n">
        <v>9</v>
      </c>
      <c r="U16" s="2" t="inlineStr">
        <is>
          <t>low</t>
        </is>
      </c>
      <c r="V16" s="5" t="n">
        <v>0.3</v>
      </c>
      <c r="W16" s="2" t="inlineStr">
        <is>
          <t>low</t>
        </is>
      </c>
      <c r="X16" s="3" t="inlineStr">
        <is>
          <t>Negligible carbohydrate (&lt;5 g net/serving): GI has little practical meaning, glycemic load is what matters.</t>
        </is>
      </c>
      <c r="Y16" s="3" t="inlineStr">
        <is>
          <t>0% of this dish's available carbohydrate comes from ingredients with a published, measured GI; the rest uses conventional placeholders (see Ingredients sheet)</t>
        </is>
      </c>
      <c r="Z16" s="2" t="n">
        <v>0</v>
      </c>
      <c r="AA16" s="3" t="inlineStr">
        <is>
          <t>vegetarian, gluten-free, nut-free, low-carb, high-protein, quick</t>
        </is>
      </c>
      <c r="AB16" s="3" t="inlineStr">
        <is>
          <t>1. Sauté mushrooms in half the butter until browned, about 5 minutes; set aside.
2. Whisk eggs with salt and pepper, melt the remaining butter and pour in the eggs, tilting the pan as they set.
3. Add mushrooms and Swiss cheese to one side, fold and cook 1 minute more.
4. Garnish with chives.</t>
        </is>
      </c>
      <c r="AC16" s="4" t="inlineStr">
        <is>
          <t>["Sauté mushrooms in half the butter until browned, about 5 minutes; set aside.", "Whisk eggs with salt and pepper, melt the remaining butter and pour in the eggs, tilting the pan as they set.", "Add mushrooms and Swiss cheese to one side, fold and cook 1 minute more.", "Garnish with chives."]</t>
        </is>
      </c>
    </row>
    <row r="17" ht="96" customHeight="1">
      <c r="A17" s="2" t="inlineStr">
        <is>
          <t>DB-0016</t>
        </is>
      </c>
      <c r="B17" s="3" t="inlineStr">
        <is>
          <t>Tomato, Basil &amp; Mozzarella Egg Bake</t>
        </is>
      </c>
      <c r="C17" s="4" t="inlineStr">
        <is>
          <t>Breakfast</t>
        </is>
      </c>
      <c r="D17" s="4" t="inlineStr">
        <is>
          <t>Italian</t>
        </is>
      </c>
      <c r="E17" s="2" t="n">
        <v>4</v>
      </c>
      <c r="F17" s="2" t="n">
        <v>10</v>
      </c>
      <c r="G17" s="2" t="n">
        <v>30</v>
      </c>
      <c r="H17" s="2" t="n">
        <v>40</v>
      </c>
      <c r="I17" s="4" t="inlineStr">
        <is>
          <t>tomato-basil-and-mozzarella-egg-bake.jpg</t>
        </is>
      </c>
      <c r="J17" s="3" t="inlineStr">
        <is>
          <t>Tomato, Basil &amp; Mozzarella Egg Bake, healthy food photography, plated, natural light</t>
        </is>
      </c>
      <c r="K17" s="4" t="inlineStr"/>
      <c r="L17" s="3" t="inlineStr">
        <is>
          <t>Egg, large (50 g each) — 400 g (14.1 oz) [8 large eggs]
Cherry tomatoes — 200 g (7.1 oz)
Mozzarella, part-skim — 100 g (3.5 oz)
Fresh basil — 15 g (0.5 oz)
Milk, 2% — 60 g (2.1 oz)
Garlic — 5 g (0.2 oz)
Extra-virgin olive oil — 10 g (0.4 oz)
Salt — 2 g (0.1 oz)
Black pepper — 1 g (0.0 oz)</t>
        </is>
      </c>
      <c r="M17" s="4" t="inlineStr">
        <is>
          <t>[{"ingredient_id": "egg", "name": "Egg, large (50 g each)", "grams": 400.0, "note": "8 large eggs"}, {"ingredient_id": "cherry_tomato", "name": "Cherry tomatoes", "grams": 200.0, "note": ""}, {"ingredient_id": "mozzarella", "name": "Mozzarella, part-skim", "grams": 100.0, "note": ""}, {"ingredient_id": "basil", "name": "Fresh basil", "grams": 15.0, "note": ""}, {"ingredient_id": "milk", "name": "Milk, 2%", "grams": 60.0, "note": ""}, {"ingredient_id": "garlic", "name": "Garlic", "grams": 5.0, "note": ""}, {"ingredient_id": "olive_oil", "name": "Extra-virgin olive oil", "grams": 10.0, "note": ""}, {"ingredient_id": "salt", "name": "Salt", "grams": 2.0, "note": ""}, {"ingredient_id": "black_pepper", "name": "Black pepper", "grams": 1.0, "note": ""}]</t>
        </is>
      </c>
      <c r="N17" s="2" t="n">
        <v>248</v>
      </c>
      <c r="O17" s="5" t="n">
        <v>19.8</v>
      </c>
      <c r="P17" s="5" t="n">
        <v>16.4</v>
      </c>
      <c r="Q17" s="5" t="n">
        <v>4.8</v>
      </c>
      <c r="R17" s="5" t="n">
        <v>0.7</v>
      </c>
      <c r="S17" s="5" t="n">
        <v>4</v>
      </c>
      <c r="T17" s="2" t="n">
        <v>13</v>
      </c>
      <c r="U17" s="2" t="inlineStr">
        <is>
          <t>low</t>
        </is>
      </c>
      <c r="V17" s="5" t="n">
        <v>0.5</v>
      </c>
      <c r="W17" s="2" t="inlineStr">
        <is>
          <t>low</t>
        </is>
      </c>
      <c r="X17" s="3" t="inlineStr">
        <is>
          <t>Negligible carbohydrate (&lt;5 g net/serving): GI has little practical meaning, glycemic load is what matters.</t>
        </is>
      </c>
      <c r="Y17" s="3" t="inlineStr">
        <is>
          <t>18% of this dish's available carbohydrate comes from ingredients with a published, measured GI; the rest uses conventional placeholders (see Ingredients sheet)</t>
        </is>
      </c>
      <c r="Z17" s="2" t="n">
        <v>18</v>
      </c>
      <c r="AA17" s="3" t="inlineStr">
        <is>
          <t>vegetarian, gluten-free, nut-free, low-carb, make-ahead</t>
        </is>
      </c>
      <c r="AB17" s="3" t="inlineStr">
        <is>
          <t>1. Preheat oven to 375°F and oil a 9-inch baking dish.
2. Whisk eggs, milk, garlic, salt and pepper; pour into the dish.
3. Scatter halved cherry tomatoes and torn mozzarella over the top.
4. Bake 25–30 minutes until puffed and set; top with torn basil before serving.</t>
        </is>
      </c>
      <c r="AC17" s="4" t="inlineStr">
        <is>
          <t>["Preheat oven to 375°F and oil a 9-inch baking dish.", "Whisk eggs, milk, garlic, salt and pepper; pour into the dish.", "Scatter halved cherry tomatoes and torn mozzarella over the top.", "Bake 25–30 minutes until puffed and set; top with torn basil before serving."]</t>
        </is>
      </c>
    </row>
    <row r="18" ht="96" customHeight="1">
      <c r="A18" s="2" t="inlineStr">
        <is>
          <t>DB-0017</t>
        </is>
      </c>
      <c r="B18" s="3" t="inlineStr">
        <is>
          <t>Egg Muffin Cups with Broccoli &amp; Cheddar</t>
        </is>
      </c>
      <c r="C18" s="4" t="inlineStr">
        <is>
          <t>Breakfast</t>
        </is>
      </c>
      <c r="D18" s="4" t="inlineStr">
        <is>
          <t>American</t>
        </is>
      </c>
      <c r="E18" s="2" t="n">
        <v>6</v>
      </c>
      <c r="F18" s="2" t="n">
        <v>10</v>
      </c>
      <c r="G18" s="2" t="n">
        <v>22</v>
      </c>
      <c r="H18" s="2" t="n">
        <v>32</v>
      </c>
      <c r="I18" s="4" t="inlineStr">
        <is>
          <t>egg-muffin-cups-with-broccoli-and-cheddar.jpg</t>
        </is>
      </c>
      <c r="J18" s="3" t="inlineStr">
        <is>
          <t>Egg Muffin Cups with Broccoli &amp; Cheddar, healthy food photography, plated, natural light</t>
        </is>
      </c>
      <c r="K18" s="4" t="inlineStr"/>
      <c r="L18" s="3" t="inlineStr">
        <is>
          <t>Egg, large (50 g each) — 500 g (17.6 oz) [10 large eggs]
Broccoli — 200 g (7.1 oz)
Cheddar cheese — 90 g (3.2 oz)
Green onions (scallions) — 30 g (1.1 oz)
Milk, 2% — 60 g (2.1 oz)
Salt — 2 g (0.1 oz)
Black pepper — 1 g (0.0 oz)
Extra-virgin olive oil — 5 g (0.2 oz)</t>
        </is>
      </c>
      <c r="M18" s="4" t="inlineStr">
        <is>
          <t>[{"ingredient_id": "egg", "name": "Egg, large (50 g each)", "grams": 500.0, "note": "10 large eggs"}, {"ingredient_id": "broccoli", "name": "Broccoli", "grams": 200.0, "note": ""}, {"ingredient_id": "cheddar", "name": "Cheddar cheese", "grams": 90.0, "note": ""}, {"ingredient_id": "green_onion", "name": "Green onions (scallions)", "grams": 30.0, "note": ""}, {"ingredient_id": "milk", "name": "Milk, 2%", "grams": 60.0, "note": ""}, {"ingredient_id": "salt", "name": "Salt", "grams": 2.0, "note": ""}, {"ingredient_id": "black_pepper", "name": "Black pepper", "grams": 1.0, "note": ""}, {"ingredient_id": "olive_oil", "name": "Extra-virgin olive oil", "grams": 5.0, "note": ""}]</t>
        </is>
      </c>
      <c r="N18" s="2" t="n">
        <v>205</v>
      </c>
      <c r="O18" s="5" t="n">
        <v>15.3</v>
      </c>
      <c r="P18" s="5" t="n">
        <v>14</v>
      </c>
      <c r="Q18" s="5" t="n">
        <v>3.9</v>
      </c>
      <c r="R18" s="5" t="n">
        <v>1</v>
      </c>
      <c r="S18" s="5" t="n">
        <v>2.9</v>
      </c>
      <c r="T18" s="2" t="n">
        <v>13</v>
      </c>
      <c r="U18" s="2" t="inlineStr">
        <is>
          <t>low</t>
        </is>
      </c>
      <c r="V18" s="5" t="n">
        <v>0.4</v>
      </c>
      <c r="W18" s="2" t="inlineStr">
        <is>
          <t>low</t>
        </is>
      </c>
      <c r="X18" s="3" t="inlineStr">
        <is>
          <t>Negligible carbohydrate (&lt;5 g net/serving): GI has little practical meaning, glycemic load is what matters.</t>
        </is>
      </c>
      <c r="Y18" s="3" t="inlineStr">
        <is>
          <t>17% of this dish's available carbohydrate comes from ingredients with a published, measured GI; the rest uses conventional placeholders (see Ingredients sheet)</t>
        </is>
      </c>
      <c r="Z18" s="2" t="n">
        <v>17</v>
      </c>
      <c r="AA18" s="3" t="inlineStr">
        <is>
          <t>vegetarian, gluten-free, nut-free, low-carb, make-ahead, meal-prep</t>
        </is>
      </c>
      <c r="AB18" s="3" t="inlineStr">
        <is>
          <t>1. Preheat oven to 350°F and oil a 12-cup muffin tin.
2. Steam finely chopped broccoli 2 minutes and divide among the cups with cheddar and green onion.
3. Whisk eggs with milk, salt and pepper and pour over the fillings.
4. Bake 20–22 minutes until set. Cool, then refrigerate up to 5 days or freeze.</t>
        </is>
      </c>
      <c r="AC18" s="4" t="inlineStr">
        <is>
          <t>["Preheat oven to 350°F and oil a 12-cup muffin tin.", "Steam finely chopped broccoli 2 minutes and divide among the cups with cheddar and green onion.", "Whisk eggs with milk, salt and pepper and pour over the fillings.", "Bake 20–22 minutes until set. Cool, then refrigerate up to 5 days or freeze."]</t>
        </is>
      </c>
    </row>
    <row r="19" ht="96" customHeight="1">
      <c r="A19" s="2" t="inlineStr">
        <is>
          <t>DB-0018</t>
        </is>
      </c>
      <c r="B19" s="3" t="inlineStr">
        <is>
          <t>Savory Oatmeal with Egg &amp; Avocado</t>
        </is>
      </c>
      <c r="C19" s="4" t="inlineStr">
        <is>
          <t>Breakfast</t>
        </is>
      </c>
      <c r="D19" s="4" t="inlineStr">
        <is>
          <t>American</t>
        </is>
      </c>
      <c r="E19" s="2" t="n">
        <v>1</v>
      </c>
      <c r="F19" s="2" t="n">
        <v>5</v>
      </c>
      <c r="G19" s="2" t="n">
        <v>12</v>
      </c>
      <c r="H19" s="2" t="n">
        <v>17</v>
      </c>
      <c r="I19" s="4" t="inlineStr">
        <is>
          <t>savory-oatmeal-with-egg-and-avocado.jpg</t>
        </is>
      </c>
      <c r="J19" s="3" t="inlineStr">
        <is>
          <t>Savory Oatmeal with Egg &amp; Avocado, healthy food photography, plated, natural light</t>
        </is>
      </c>
      <c r="K19" s="4" t="inlineStr"/>
      <c r="L19" s="3" t="inlineStr">
        <is>
          <t>Rolled oats, dry — 40 g (1.4 oz)
Chicken broth, low sodium — 200 g (7.1 oz)
Egg, large (50 g each) — 50 g (1.8 oz) [1 large egg]
Avocado — 50 g (1.8 oz)
Green onions (scallions) — 10 g (0.4 oz)
Parmesan, grated — 10 g (0.4 oz)
Hot sauce (Tabasco/Frank's) — 5 g (0.2 oz)
Extra-virgin olive oil — 4 g (0.1 oz)</t>
        </is>
      </c>
      <c r="M19" s="4" t="inlineStr">
        <is>
          <t>[{"ingredient_id": "rolled_oats", "name": "Rolled oats, dry", "grams": 40.0, "note": ""}, {"ingredient_id": "chicken_broth", "name": "Chicken broth, low sodium", "grams": 200.0, "note": ""}, {"ingredient_id": "egg", "name": "Egg, large (50 g each)", "grams": 50.0, "note": "1 large egg"}, {"ingredient_id": "avocado", "name": "Avocado", "grams": 50.0, "note": ""}, {"ingredient_id": "green_onion", "name": "Green onions (scallions)", "grams": 10.0, "note": ""}, {"ingredient_id": "parmesan", "name": "Parmesan, grated", "grams": 10.0, "note": ""}, {"ingredient_id": "hot_sauce", "name": "Hot sauce (Tabasco/Frank's)", "grams": 5.0, "note": ""}, {"ingredient_id": "olive_oil", "name": "Extra-virgin olive oil", "grams": 4.0, "note": ""}]</t>
        </is>
      </c>
      <c r="N19" s="2" t="n">
        <v>399</v>
      </c>
      <c r="O19" s="5" t="n">
        <v>18.5</v>
      </c>
      <c r="P19" s="5" t="n">
        <v>22.2</v>
      </c>
      <c r="Q19" s="5" t="n">
        <v>34</v>
      </c>
      <c r="R19" s="5" t="n">
        <v>7.6</v>
      </c>
      <c r="S19" s="5" t="n">
        <v>26.4</v>
      </c>
      <c r="T19" s="2" t="n">
        <v>51</v>
      </c>
      <c r="U19" s="2" t="inlineStr">
        <is>
          <t>low</t>
        </is>
      </c>
      <c r="V19" s="5" t="n">
        <v>13.5</v>
      </c>
      <c r="W19" s="2" t="inlineStr">
        <is>
          <t>medium</t>
        </is>
      </c>
      <c r="X19" s="3" t="inlineStr"/>
      <c r="Y19" s="3" t="inlineStr">
        <is>
          <t>88% of this dish's available carbohydrate comes from ingredients with a published, measured GI; the rest uses conventional placeholders (see Ingredients sheet)</t>
        </is>
      </c>
      <c r="Z19" s="2" t="n">
        <v>88</v>
      </c>
      <c r="AA19" s="3" t="inlineStr">
        <is>
          <t>vegetarian, nut-free, high-fiber, quick</t>
        </is>
      </c>
      <c r="AB19" s="3" t="inlineStr">
        <is>
          <t>1. Simmer oats in broth for 8–10 minutes, stirring, until creamy.
2. Meanwhile fry the egg in olive oil until the white is set and yolk still runny.
3. Spoon oats into a bowl, top with the egg, sliced avocado, green onion and parmesan.
4. Add a dash of hot sauce.</t>
        </is>
      </c>
      <c r="AC19" s="4" t="inlineStr">
        <is>
          <t>["Simmer oats in broth for 8–10 minutes, stirring, until creamy.", "Meanwhile fry the egg in olive oil until the white is set and yolk still runny.", "Spoon oats into a bowl, top with the egg, sliced avocado, green onion and parmesan.", "Add a dash of hot sauce."]</t>
        </is>
      </c>
    </row>
    <row r="20" ht="96" customHeight="1">
      <c r="A20" s="2" t="inlineStr">
        <is>
          <t>DB-0019</t>
        </is>
      </c>
      <c r="B20" s="3" t="inlineStr">
        <is>
          <t>Cinnamon Ricotta Bowl with Strawberries</t>
        </is>
      </c>
      <c r="C20" s="4" t="inlineStr">
        <is>
          <t>Breakfast</t>
        </is>
      </c>
      <c r="D20" s="4" t="inlineStr">
        <is>
          <t>Italian</t>
        </is>
      </c>
      <c r="E20" s="2" t="n">
        <v>1</v>
      </c>
      <c r="F20" s="2" t="n">
        <v>5</v>
      </c>
      <c r="G20" s="2" t="n">
        <v>0</v>
      </c>
      <c r="H20" s="2" t="n">
        <v>5</v>
      </c>
      <c r="I20" s="4" t="inlineStr">
        <is>
          <t>cinnamon-ricotta-bowl-with-strawberries.jpg</t>
        </is>
      </c>
      <c r="J20" s="3" t="inlineStr">
        <is>
          <t>Cinnamon Ricotta Bowl with Strawberries, healthy food photography, plated, natural light</t>
        </is>
      </c>
      <c r="K20" s="4" t="inlineStr"/>
      <c r="L20" s="3" t="inlineStr">
        <is>
          <t>Ricotta, part-skim — 150 g (5.3 oz)
Strawberries — 120 g (4.2 oz)
Ground cinnamon — 1 g (0.0 oz)
Vanilla extract — 2 g (0.1 oz)
Pistachios, shelled — 15 g (0.5 oz)
Monk fruit/erythritol sweetener — 3 g (0.1 oz)</t>
        </is>
      </c>
      <c r="M20" s="4" t="inlineStr">
        <is>
          <t>[{"ingredient_id": "ricotta", "name": "Ricotta, part-skim", "grams": 150.0, "note": ""}, {"ingredient_id": "strawberries", "name": "Strawberries", "grams": 120.0, "note": ""}, {"ingredient_id": "cinnamon", "name": "Ground cinnamon", "grams": 1.0, "note": ""}, {"ingredient_id": "vanilla_extract", "name": "Vanilla extract", "grams": 2.0, "note": ""}, {"ingredient_id": "pistachios", "name": "Pistachios, shelled", "grams": 15.0, "note": ""}, {"ingredient_id": "monk_fruit_sweetener", "name": "Monk fruit/erythritol sweetener", "grams": 3.0, "note": ""}]</t>
        </is>
      </c>
      <c r="N20" s="2" t="n">
        <v>338</v>
      </c>
      <c r="O20" s="5" t="n">
        <v>20.4</v>
      </c>
      <c r="P20" s="5" t="n">
        <v>19.1</v>
      </c>
      <c r="Q20" s="5" t="n">
        <v>22</v>
      </c>
      <c r="R20" s="5" t="n">
        <v>4.5</v>
      </c>
      <c r="S20" s="5" t="n">
        <v>17.5</v>
      </c>
      <c r="T20" s="2" t="n">
        <v>26</v>
      </c>
      <c r="U20" s="2" t="inlineStr">
        <is>
          <t>low</t>
        </is>
      </c>
      <c r="V20" s="5" t="n">
        <v>4.5</v>
      </c>
      <c r="W20" s="2" t="inlineStr">
        <is>
          <t>low</t>
        </is>
      </c>
      <c r="X20" s="3" t="inlineStr"/>
      <c r="Y20" s="3" t="inlineStr">
        <is>
          <t>54% of this dish's available carbohydrate comes from ingredients with a published, measured GI; the rest uses conventional placeholders (see Ingredients sheet)</t>
        </is>
      </c>
      <c r="Z20" s="2" t="n">
        <v>54</v>
      </c>
      <c r="AA20" s="3" t="inlineStr">
        <is>
          <t>vegetarian, gluten-free, no-cook, quick</t>
        </is>
      </c>
      <c r="AB20" s="3" t="inlineStr">
        <is>
          <t>1. Whisk ricotta with vanilla, cinnamon and sweetener until fluffy.
2. Spoon into a bowl and top with sliced strawberries.
3. Sprinkle with chopped pistachios.</t>
        </is>
      </c>
      <c r="AC20" s="4" t="inlineStr">
        <is>
          <t>["Whisk ricotta with vanilla, cinnamon and sweetener until fluffy.", "Spoon into a bowl and top with sliced strawberries.", "Sprinkle with chopped pistachios."]</t>
        </is>
      </c>
    </row>
    <row r="21" ht="96" customHeight="1">
      <c r="A21" s="2" t="inlineStr">
        <is>
          <t>DB-0020</t>
        </is>
      </c>
      <c r="B21" s="3" t="inlineStr">
        <is>
          <t>Huevos Rancheros with Black Beans</t>
        </is>
      </c>
      <c r="C21" s="4" t="inlineStr">
        <is>
          <t>Breakfast</t>
        </is>
      </c>
      <c r="D21" s="4" t="inlineStr">
        <is>
          <t>Mexican</t>
        </is>
      </c>
      <c r="E21" s="2" t="n">
        <v>2</v>
      </c>
      <c r="F21" s="2" t="n">
        <v>10</v>
      </c>
      <c r="G21" s="2" t="n">
        <v>15</v>
      </c>
      <c r="H21" s="2" t="n">
        <v>25</v>
      </c>
      <c r="I21" s="4" t="inlineStr">
        <is>
          <t>huevos-rancheros-with-black-beans.jpg</t>
        </is>
      </c>
      <c r="J21" s="3" t="inlineStr">
        <is>
          <t>Huevos Rancheros with Black Beans, healthy food photography, plated, natural light</t>
        </is>
      </c>
      <c r="K21" s="4" t="inlineStr"/>
      <c r="L21" s="3" t="inlineStr">
        <is>
          <t>Corn tortilla — 50 g (1.8 oz) [2 small tortillas]
Egg, large (50 g each) — 200 g (7.1 oz) [4 large eggs]
Black beans, cooked — 150 g (5.3 oz)
Salsa, no sugar added — 120 g (4.2 oz)
Avocado — 60 g (2.1 oz)
Cotija cheese — 20 g (0.7 oz)
Fresh cilantro — 8 g (0.3 oz)
Extra-virgin olive oil — 10 g (0.4 oz)
Ground cumin — 1 g (0.0 oz)</t>
        </is>
      </c>
      <c r="M21" s="4" t="inlineStr">
        <is>
          <t>[{"ingredient_id": "corn_tortilla", "name": "Corn tortilla", "grams": 50.0, "note": "2 small tortillas"}, {"ingredient_id": "egg", "name": "Egg, large (50 g each)", "grams": 200.0, "note": "4 large eggs"}, {"ingredient_id": "black_beans", "name": "Black beans, cooked", "grams": 150.0, "note": ""}, {"ingredient_id": "salsa", "name": "Salsa, no sugar added", "grams": 120.0, "note": ""}, {"ingredient_id": "avocado", "name": "Avocado", "grams": 60.0, "note": ""}, {"ingredient_id": "cotija", "name": "Cotija cheese", "grams": 20.0, "note": ""}, {"ingredient_id": "cilantro", "name": "Fresh cilantro", "grams": 8.0, "note": ""}, {"ingredient_id": "olive_oil", "name": "Extra-virgin olive oil", "grams": 10.0, "note": ""}, {"ingredient_id": "cumin", "name": "Ground cumin", "grams": 1.0, "note": ""}]</t>
        </is>
      </c>
      <c r="N21" s="2" t="n">
        <v>450</v>
      </c>
      <c r="O21" s="5" t="n">
        <v>24.4</v>
      </c>
      <c r="P21" s="5" t="n">
        <v>23.3</v>
      </c>
      <c r="Q21" s="5" t="n">
        <v>37.2</v>
      </c>
      <c r="R21" s="5" t="n">
        <v>11.2</v>
      </c>
      <c r="S21" s="5" t="n">
        <v>26.1</v>
      </c>
      <c r="T21" s="2" t="n">
        <v>36</v>
      </c>
      <c r="U21" s="2" t="inlineStr">
        <is>
          <t>low</t>
        </is>
      </c>
      <c r="V21" s="5" t="n">
        <v>9.4</v>
      </c>
      <c r="W21" s="2" t="inlineStr">
        <is>
          <t>low</t>
        </is>
      </c>
      <c r="X21" s="3" t="inlineStr"/>
      <c r="Y21" s="3" t="inlineStr">
        <is>
          <t>80% of this dish's available carbohydrate comes from ingredients with a published, measured GI; the rest uses conventional placeholders (see Ingredients sheet)</t>
        </is>
      </c>
      <c r="Z21" s="2" t="n">
        <v>80</v>
      </c>
      <c r="AA21" s="3" t="inlineStr">
        <is>
          <t>vegetarian, gluten-free, nut-free, high-fiber</t>
        </is>
      </c>
      <c r="AB21" s="3" t="inlineStr">
        <is>
          <t>1. Warm black beans with cumin and mash lightly.
2. Toast tortillas in a dry skillet until pliable and lightly charred.
3. Fry the eggs in olive oil until the whites are set.
4. Top each tortilla with beans, two eggs, warm salsa, avocado, cotija and cilantro.</t>
        </is>
      </c>
      <c r="AC21" s="4" t="inlineStr">
        <is>
          <t>["Warm black beans with cumin and mash lightly.", "Toast tortillas in a dry skillet until pliable and lightly charred.", "Fry the eggs in olive oil until the whites are set.", "Top each tortilla with beans, two eggs, warm salsa, avocado, cotija and cilantro."]</t>
        </is>
      </c>
    </row>
    <row r="22" ht="96" customHeight="1">
      <c r="A22" s="2" t="inlineStr">
        <is>
          <t>DB-0021</t>
        </is>
      </c>
      <c r="B22" s="3" t="inlineStr">
        <is>
          <t>Turkey Bacon, Egg &amp; Cheese English Muffin</t>
        </is>
      </c>
      <c r="C22" s="4" t="inlineStr">
        <is>
          <t>Breakfast</t>
        </is>
      </c>
      <c r="D22" s="4" t="inlineStr">
        <is>
          <t>American</t>
        </is>
      </c>
      <c r="E22" s="2" t="n">
        <v>1</v>
      </c>
      <c r="F22" s="2" t="n">
        <v>5</v>
      </c>
      <c r="G22" s="2" t="n">
        <v>10</v>
      </c>
      <c r="H22" s="2" t="n">
        <v>15</v>
      </c>
      <c r="I22" s="4" t="inlineStr">
        <is>
          <t>turkey-bacon-egg-and-cheese-english-muffin.jpg</t>
        </is>
      </c>
      <c r="J22" s="3" t="inlineStr">
        <is>
          <t>Turkey Bacon, Egg &amp; Cheese English Muffin, healthy food photography, plated, natural light</t>
        </is>
      </c>
      <c r="K22" s="4" t="inlineStr"/>
      <c r="L22" s="3" t="inlineStr">
        <is>
          <t>Whole wheat English muffin — 57 g (2.0 oz) [1 muffin]
Egg, large (50 g each) — 50 g (1.8 oz) [1 large egg]
Turkey bacon — 30 g (1.1 oz) [2 slices]
Cheddar cheese — 20 g (0.7 oz)
Tomato — 40 g (1.4 oz)
Extra-virgin olive oil — 3 g (0.1 oz)</t>
        </is>
      </c>
      <c r="M22" s="4" t="inlineStr">
        <is>
          <t>[{"ingredient_id": "whole_wheat_english_muffin", "name": "Whole wheat English muffin", "grams": 57.0, "note": "1 muffin"}, {"ingredient_id": "egg", "name": "Egg, large (50 g each)", "grams": 50.0, "note": "1 large egg"}, {"ingredient_id": "turkey_bacon", "name": "Turkey bacon", "grams": 30.0, "note": "2 slices"}, {"ingredient_id": "cheddar", "name": "Cheddar cheese", "grams": 20.0, "note": ""}, {"ingredient_id": "tomato", "name": "Tomato", "grams": 40.0, "note": ""}, {"ingredient_id": "olive_oil", "name": "Extra-virgin olive oil", "grams": 3.0, "note": ""}]</t>
        </is>
      </c>
      <c r="N22" s="2" t="n">
        <v>377</v>
      </c>
      <c r="O22" s="5" t="n">
        <v>21.8</v>
      </c>
      <c r="P22" s="5" t="n">
        <v>20.1</v>
      </c>
      <c r="Q22" s="5" t="n">
        <v>28.4</v>
      </c>
      <c r="R22" s="5" t="n">
        <v>4.5</v>
      </c>
      <c r="S22" s="5" t="n">
        <v>24</v>
      </c>
      <c r="T22" s="2" t="n">
        <v>41</v>
      </c>
      <c r="U22" s="2" t="inlineStr">
        <is>
          <t>low</t>
        </is>
      </c>
      <c r="V22" s="5" t="n">
        <v>9.800000000000001</v>
      </c>
      <c r="W22" s="2" t="inlineStr">
        <is>
          <t>low</t>
        </is>
      </c>
      <c r="X22" s="3" t="inlineStr"/>
      <c r="Y22" s="3" t="inlineStr">
        <is>
          <t>90% of this dish's available carbohydrate comes from ingredients with a published, measured GI; the rest uses conventional placeholders (see Ingredients sheet)</t>
        </is>
      </c>
      <c r="Z22" s="2" t="n">
        <v>90</v>
      </c>
      <c r="AA22" s="3" t="inlineStr">
        <is>
          <t>nut-free, quick</t>
        </is>
      </c>
      <c r="AB22" s="3" t="inlineStr">
        <is>
          <t>1. Cook turkey bacon in a skillet until crisp; set aside.
2. Fry the egg in olive oil, breaking the yolk for a firmer sandwich.
3. Toast the English muffin and layer cheese, egg, bacon and tomato slices.
4. Close and serve warm.</t>
        </is>
      </c>
      <c r="AC22" s="4" t="inlineStr">
        <is>
          <t>["Cook turkey bacon in a skillet until crisp; set aside.", "Fry the egg in olive oil, breaking the yolk for a firmer sandwich.", "Toast the English muffin and layer cheese, egg, bacon and tomato slices.", "Close and serve warm."]</t>
        </is>
      </c>
    </row>
    <row r="23" ht="96" customHeight="1">
      <c r="A23" s="2" t="inlineStr">
        <is>
          <t>DB-0022</t>
        </is>
      </c>
      <c r="B23" s="3" t="inlineStr">
        <is>
          <t>Zucchini &amp; Goat Cheese Frittata</t>
        </is>
      </c>
      <c r="C23" s="4" t="inlineStr">
        <is>
          <t>Breakfast</t>
        </is>
      </c>
      <c r="D23" s="4" t="inlineStr">
        <is>
          <t>Mediterranean</t>
        </is>
      </c>
      <c r="E23" s="2" t="n">
        <v>4</v>
      </c>
      <c r="F23" s="2" t="n">
        <v>10</v>
      </c>
      <c r="G23" s="2" t="n">
        <v>22</v>
      </c>
      <c r="H23" s="2" t="n">
        <v>32</v>
      </c>
      <c r="I23" s="4" t="inlineStr">
        <is>
          <t>zucchini-and-goat-cheese-frittata.jpg</t>
        </is>
      </c>
      <c r="J23" s="3" t="inlineStr">
        <is>
          <t>Zucchini &amp; Goat Cheese Frittata, healthy food photography, plated, natural light</t>
        </is>
      </c>
      <c r="K23" s="4" t="inlineStr"/>
      <c r="L23" s="3" t="inlineStr">
        <is>
          <t>Egg, large (50 g each) — 350 g (12.3 oz) [7 large eggs]
Zucchini — 250 g (8.8 oz)
Goat cheese — 60 g (2.1 oz)
Yellow onion — 60 g (2.1 oz)
Extra-virgin olive oil — 12 g (0.4 oz)
Fresh thyme — 2 g (0.1 oz)
Salt — 2 g (0.1 oz)
Black pepper — 1 g (0.0 oz)</t>
        </is>
      </c>
      <c r="M23" s="4" t="inlineStr">
        <is>
          <t>[{"ingredient_id": "egg", "name": "Egg, large (50 g each)", "grams": 350.0, "note": "7 large eggs"}, {"ingredient_id": "zucchini", "name": "Zucchini", "grams": 250.0, "note": ""}, {"ingredient_id": "goat_cheese", "name": "Goat cheese", "grams": 60.0, "note": ""}, {"ingredient_id": "onion", "name": "Yellow onion", "grams": 60.0, "note": ""}, {"ingredient_id": "olive_oil", "name": "Extra-virgin olive oil", "grams": 12.0, "note": ""}, {"ingredient_id": "thyme", "name": "Fresh thyme", "grams": 2.0, "note": ""}, {"ingredient_id": "salt", "name": "Salt", "grams": 2.0, "note": ""}, {"ingredient_id": "black_pepper", "name": "Black pepper", "grams": 1.0, "note": ""}]</t>
        </is>
      </c>
      <c r="N23" s="2" t="n">
        <v>224</v>
      </c>
      <c r="O23" s="5" t="n">
        <v>15.3</v>
      </c>
      <c r="P23" s="5" t="n">
        <v>16</v>
      </c>
      <c r="Q23" s="5" t="n">
        <v>4.2</v>
      </c>
      <c r="R23" s="5" t="n">
        <v>1</v>
      </c>
      <c r="S23" s="5" t="n">
        <v>3.2</v>
      </c>
      <c r="T23" s="2" t="n">
        <v>12</v>
      </c>
      <c r="U23" s="2" t="inlineStr">
        <is>
          <t>low</t>
        </is>
      </c>
      <c r="V23" s="5" t="n">
        <v>0.4</v>
      </c>
      <c r="W23" s="2" t="inlineStr">
        <is>
          <t>low</t>
        </is>
      </c>
      <c r="X23" s="3" t="inlineStr">
        <is>
          <t>Negligible carbohydrate (&lt;5 g net/serving): GI has little practical meaning, glycemic load is what matters.</t>
        </is>
      </c>
      <c r="Y23" s="3" t="inlineStr">
        <is>
          <t>0% of this dish's available carbohydrate comes from ingredients with a published, measured GI; the rest uses conventional placeholders (see Ingredients sheet)</t>
        </is>
      </c>
      <c r="Z23" s="2" t="n">
        <v>0</v>
      </c>
      <c r="AA23" s="3" t="inlineStr">
        <is>
          <t>vegetarian, gluten-free, nut-free, low-carb, make-ahead</t>
        </is>
      </c>
      <c r="AB23" s="3" t="inlineStr">
        <is>
          <t>1. Preheat oven to 375°F. Sauté onion and grated zucchini in olive oil in an ovenproof skillet until moisture evaporates, 6 minutes.
2. Whisk eggs with thyme, salt and pepper and pour over the vegetables.
3. Dot with goat cheese and bake 15 minutes until just set.
4. Rest 5 minutes and cut into wedges.</t>
        </is>
      </c>
      <c r="AC23" s="4" t="inlineStr">
        <is>
          <t>["Preheat oven to 375°F. Sauté onion and grated zucchini in olive oil in an ovenproof skillet until moisture evaporates, 6 minutes.", "Whisk eggs with thyme, salt and pepper and pour over the vegetables.", "Dot with goat cheese and bake 15 minutes until just set.", "Rest 5 minutes and cut into wedges."]</t>
        </is>
      </c>
    </row>
    <row r="24" ht="96" customHeight="1">
      <c r="A24" s="2" t="inlineStr">
        <is>
          <t>DB-0023</t>
        </is>
      </c>
      <c r="B24" s="3" t="inlineStr">
        <is>
          <t>Tofu Veggie Scramble</t>
        </is>
      </c>
      <c r="C24" s="4" t="inlineStr">
        <is>
          <t>Breakfast</t>
        </is>
      </c>
      <c r="D24" s="4" t="inlineStr">
        <is>
          <t>American</t>
        </is>
      </c>
      <c r="E24" s="2" t="n">
        <v>2</v>
      </c>
      <c r="F24" s="2" t="n">
        <v>10</v>
      </c>
      <c r="G24" s="2" t="n">
        <v>12</v>
      </c>
      <c r="H24" s="2" t="n">
        <v>22</v>
      </c>
      <c r="I24" s="4" t="inlineStr">
        <is>
          <t>tofu-veggie-scramble.jpg</t>
        </is>
      </c>
      <c r="J24" s="3" t="inlineStr">
        <is>
          <t>Tofu Veggie Scramble, healthy food photography, plated, natural light</t>
        </is>
      </c>
      <c r="K24" s="4" t="inlineStr"/>
      <c r="L24" s="3" t="inlineStr">
        <is>
          <t>Tofu, extra-firm — 300 g (10.6 oz)
Bell pepper — 80 g (2.8 oz)
Spinach — 60 g (2.1 oz)
Yellow onion — 40 g (1.4 oz)
Ground turmeric — 2 g (0.1 oz)
Nutritional yeast — 10 g (0.4 oz)
Extra-virgin olive oil — 10 g (0.4 oz)
Garlic powder — 1 g (0.0 oz)
Salt — 2 g (0.1 oz)
Black pepper — 1 g (0.0 oz)</t>
        </is>
      </c>
      <c r="M24" s="4" t="inlineStr">
        <is>
          <t>[{"ingredient_id": "tofu", "name": "Tofu, extra-firm", "grams": 300.0, "note": ""}, {"ingredient_id": "bell_pepper", "name": "Bell pepper", "grams": 80.0, "note": ""}, {"ingredient_id": "spinach", "name": "Spinach", "grams": 60.0, "note": ""}, {"ingredient_id": "onion", "name": "Yellow onion", "grams": 40.0, "note": ""}, {"ingredient_id": "turmeric", "name": "Ground turmeric", "grams": 2.0, "note": ""}, {"ingredient_id": "nutritional_yeast", "name": "Nutritional yeast", "grams": 10.0, "note": ""}, {"ingredient_id": "olive_oil", "name": "Extra-virgin olive oil", "grams": 10.0, "note": ""}, {"ingredient_id": "garlic_powder", "name": "Garlic powder", "grams": 1.0, "note": ""}, {"ingredient_id": "salt", "name": "Salt", "grams": 2.0, "note": ""}, {"ingredient_id": "black_pepper", "name": "Black pepper", "grams": 1.0, "note": ""}]</t>
        </is>
      </c>
      <c r="N24" s="2" t="n">
        <v>310</v>
      </c>
      <c r="O24" s="5" t="n">
        <v>29.7</v>
      </c>
      <c r="P24" s="5" t="n">
        <v>19.1</v>
      </c>
      <c r="Q24" s="5" t="n">
        <v>12.9</v>
      </c>
      <c r="R24" s="5" t="n">
        <v>6.5</v>
      </c>
      <c r="S24" s="5" t="n">
        <v>6.5</v>
      </c>
      <c r="T24" s="2" t="n">
        <v>15</v>
      </c>
      <c r="U24" s="2" t="inlineStr">
        <is>
          <t>low</t>
        </is>
      </c>
      <c r="V24" s="5" t="n">
        <v>1</v>
      </c>
      <c r="W24" s="2" t="inlineStr">
        <is>
          <t>low</t>
        </is>
      </c>
      <c r="X24" s="3" t="inlineStr"/>
      <c r="Y24" s="3" t="inlineStr">
        <is>
          <t>0% of this dish's available carbohydrate comes from ingredients with a published, measured GI; the rest uses conventional placeholders (see Ingredients sheet)</t>
        </is>
      </c>
      <c r="Z24" s="2" t="n">
        <v>0</v>
      </c>
      <c r="AA24" s="3" t="inlineStr">
        <is>
          <t>vegan, gluten-free, dairy-free, nut-free, low-carb, high-protein, quick</t>
        </is>
      </c>
      <c r="AB24" s="3" t="inlineStr">
        <is>
          <t>1. Press the tofu and crumble it with your hands.
2. Sauté onion and bell pepper in olive oil for 4 minutes, add tofu, turmeric, garlic powder, salt and pepper and cook 5 minutes.
3. Stir in spinach and nutritional yeast and cook until wilted.
4. Serve hot with hot sauce if desired.</t>
        </is>
      </c>
      <c r="AC24" s="4" t="inlineStr">
        <is>
          <t>["Press the tofu and crumble it with your hands.", "Sauté onion and bell pepper in olive oil for 4 minutes, add tofu, turmeric, garlic powder, salt and pepper and cook 5 minutes.", "Stir in spinach and nutritional yeast and cook until wilted.", "Serve hot with hot sauce if desired."]</t>
        </is>
      </c>
    </row>
    <row r="25" ht="96" customHeight="1">
      <c r="A25" s="2" t="inlineStr">
        <is>
          <t>DB-0024</t>
        </is>
      </c>
      <c r="B25" s="3" t="inlineStr">
        <is>
          <t>Salmon &amp; Asparagus Egg Skillet</t>
        </is>
      </c>
      <c r="C25" s="4" t="inlineStr">
        <is>
          <t>Breakfast</t>
        </is>
      </c>
      <c r="D25" s="4" t="inlineStr">
        <is>
          <t>American</t>
        </is>
      </c>
      <c r="E25" s="2" t="n">
        <v>2</v>
      </c>
      <c r="F25" s="2" t="n">
        <v>5</v>
      </c>
      <c r="G25" s="2" t="n">
        <v>12</v>
      </c>
      <c r="H25" s="2" t="n">
        <v>17</v>
      </c>
      <c r="I25" s="4" t="inlineStr">
        <is>
          <t>salmon-and-asparagus-egg-skillet.jpg</t>
        </is>
      </c>
      <c r="J25" s="3" t="inlineStr">
        <is>
          <t>Salmon &amp; Asparagus Egg Skillet, healthy food photography, plated, natural light</t>
        </is>
      </c>
      <c r="K25" s="4" t="inlineStr"/>
      <c r="L25" s="3" t="inlineStr">
        <is>
          <t>Egg, large (50 g each) — 200 g (7.1 oz) [4 large eggs]
Canned salmon — 120 g (4.2 oz)
Asparagus — 150 g (5.3 oz)
Green onions (scallions) — 20 g (0.7 oz)
Extra-virgin olive oil — 10 g (0.4 oz)
Lemon (with juice &amp; zest) — 20 g (0.7 oz)
Fresh dill — 3 g (0.1 oz)
Salt — 1 g (0.0 oz)</t>
        </is>
      </c>
      <c r="M25" s="4" t="inlineStr">
        <is>
          <t>[{"ingredient_id": "egg", "name": "Egg, large (50 g each)", "grams": 200.0, "note": "4 large eggs"}, {"ingredient_id": "canned_salmon", "name": "Canned salmon", "grams": 120.0, "note": ""}, {"ingredient_id": "asparagus", "name": "Asparagus", "grams": 150.0, "note": ""}, {"ingredient_id": "green_onion", "name": "Green onions (scallions)", "grams": 20.0, "note": ""}, {"ingredient_id": "olive_oil", "name": "Extra-virgin olive oil", "grams": 10.0, "note": ""}, {"ingredient_id": "lemon", "name": "Lemon (with juice &amp; zest)", "grams": 20.0, "note": ""}, {"ingredient_id": "dill", "name": "Fresh dill", "grams": 3.0, "note": ""}, {"ingredient_id": "salt", "name": "Salt", "grams": 1.0, "note": ""}]</t>
        </is>
      </c>
      <c r="N25" s="2" t="n">
        <v>293</v>
      </c>
      <c r="O25" s="5" t="n">
        <v>26.6</v>
      </c>
      <c r="P25" s="5" t="n">
        <v>18.2</v>
      </c>
      <c r="Q25" s="5" t="n">
        <v>5.4</v>
      </c>
      <c r="R25" s="5" t="n">
        <v>2.1</v>
      </c>
      <c r="S25" s="5" t="n">
        <v>3.2</v>
      </c>
      <c r="T25" s="2" t="n">
        <v>13</v>
      </c>
      <c r="U25" s="2" t="inlineStr">
        <is>
          <t>low</t>
        </is>
      </c>
      <c r="V25" s="5" t="n">
        <v>0.4</v>
      </c>
      <c r="W25" s="2" t="inlineStr">
        <is>
          <t>low</t>
        </is>
      </c>
      <c r="X25" s="3" t="inlineStr">
        <is>
          <t>Negligible carbohydrate (&lt;5 g net/serving): GI has little practical meaning, glycemic load is what matters.</t>
        </is>
      </c>
      <c r="Y25" s="3" t="inlineStr">
        <is>
          <t>0% of this dish's available carbohydrate comes from ingredients with a published, measured GI; the rest uses conventional placeholders (see Ingredients sheet)</t>
        </is>
      </c>
      <c r="Z25" s="2" t="n">
        <v>0</v>
      </c>
      <c r="AA25" s="3" t="inlineStr">
        <is>
          <t>pescatarian, gluten-free, dairy-free, nut-free, low-carb, high-protein, quick, omega-3</t>
        </is>
      </c>
      <c r="AB25" s="3" t="inlineStr">
        <is>
          <t>1. Sauté chopped asparagus in olive oil for 4 minutes until crisp-tender.
2. Add flaked salmon and green onion and warm through.
3. Pour in whisked eggs seasoned with salt and stir gently until softly scrambled.
4. Finish with dill and a squeeze of lemon.</t>
        </is>
      </c>
      <c r="AC25" s="4" t="inlineStr">
        <is>
          <t>["Sauté chopped asparagus in olive oil for 4 minutes until crisp-tender.", "Add flaked salmon and green onion and warm through.", "Pour in whisked eggs seasoned with salt and stir gently until softly scrambled.", "Finish with dill and a squeeze of lemon."]</t>
        </is>
      </c>
    </row>
    <row r="26" ht="96" customHeight="1">
      <c r="A26" s="2" t="inlineStr">
        <is>
          <t>DB-0025</t>
        </is>
      </c>
      <c r="B26" s="3" t="inlineStr">
        <is>
          <t>Peanut Butter Chia Overnight Oats</t>
        </is>
      </c>
      <c r="C26" s="4" t="inlineStr">
        <is>
          <t>Breakfast</t>
        </is>
      </c>
      <c r="D26" s="4" t="inlineStr">
        <is>
          <t>American</t>
        </is>
      </c>
      <c r="E26" s="2" t="n">
        <v>1</v>
      </c>
      <c r="F26" s="2" t="n">
        <v>5</v>
      </c>
      <c r="G26" s="2" t="n">
        <v>0</v>
      </c>
      <c r="H26" s="2" t="n">
        <v>5</v>
      </c>
      <c r="I26" s="4" t="inlineStr">
        <is>
          <t>peanut-butter-chia-overnight-oats.jpg</t>
        </is>
      </c>
      <c r="J26" s="3" t="inlineStr">
        <is>
          <t>Peanut Butter Chia Overnight Oats, healthy food photography, plated, natural light</t>
        </is>
      </c>
      <c r="K26" s="4" t="inlineStr"/>
      <c r="L26" s="3" t="inlineStr">
        <is>
          <t>Rolled oats, dry — 40 g (1.4 oz)
Chia seeds — 10 g (0.4 oz)
Almond milk, unsweetened — 180 g (6.3 oz)
Peanut butter, natural — 16 g (0.6 oz)
Greek yogurt, plain 2% — 60 g (2.1 oz)
Strawberries — 60 g (2.1 oz)
Ground cinnamon — 1 g (0.0 oz)</t>
        </is>
      </c>
      <c r="M26" s="4" t="inlineStr">
        <is>
          <t>[{"ingredient_id": "rolled_oats", "name": "Rolled oats, dry", "grams": 40.0, "note": ""}, {"ingredient_id": "chia_seeds", "name": "Chia seeds", "grams": 10.0, "note": ""}, {"ingredient_id": "almond_milk", "name": "Almond milk, unsweetened", "grams": 180.0, "note": ""}, {"ingredient_id": "peanut_butter", "name": "Peanut butter, natural", "grams": 16.0, "note": ""}, {"ingredient_id": "greek_yogurt", "name": "Greek yogurt, plain 2%", "grams": 60.0, "note": ""}, {"ingredient_id": "strawberries", "name": "Strawberries", "grams": 60.0, "note": ""}, {"ingredient_id": "cinnamon", "name": "Ground cinnamon", "grams": 1.0, "note": ""}]</t>
        </is>
      </c>
      <c r="N26" s="2" t="n">
        <v>387</v>
      </c>
      <c r="O26" s="5" t="n">
        <v>18.4</v>
      </c>
      <c r="P26" s="5" t="n">
        <v>17.3</v>
      </c>
      <c r="Q26" s="5" t="n">
        <v>43.5</v>
      </c>
      <c r="R26" s="5" t="n">
        <v>10.1</v>
      </c>
      <c r="S26" s="5" t="n">
        <v>33.4</v>
      </c>
      <c r="T26" s="2" t="n">
        <v>47</v>
      </c>
      <c r="U26" s="2" t="inlineStr">
        <is>
          <t>low</t>
        </is>
      </c>
      <c r="V26" s="5" t="n">
        <v>15.7</v>
      </c>
      <c r="W26" s="2" t="inlineStr">
        <is>
          <t>medium</t>
        </is>
      </c>
      <c r="X26" s="3" t="inlineStr"/>
      <c r="Y26" s="3" t="inlineStr">
        <is>
          <t>87% of this dish's available carbohydrate comes from ingredients with a published, measured GI; the rest uses conventional placeholders (see Ingredients sheet)</t>
        </is>
      </c>
      <c r="Z26" s="2" t="n">
        <v>87</v>
      </c>
      <c r="AA26" s="3" t="inlineStr">
        <is>
          <t>vegetarian, high-fiber, no-cook, make-ahead</t>
        </is>
      </c>
      <c r="AB26" s="3" t="inlineStr">
        <is>
          <t>1. Stir oats, chia, almond milk, yogurt, peanut butter and cinnamon together in a jar.
2. Refrigerate overnight.
3. Top with sliced strawberries before eating.</t>
        </is>
      </c>
      <c r="AC26" s="4" t="inlineStr">
        <is>
          <t>["Stir oats, chia, almond milk, yogurt, peanut butter and cinnamon together in a jar.", "Refrigerate overnight.", "Top with sliced strawberries before eating."]</t>
        </is>
      </c>
    </row>
    <row r="27" ht="96" customHeight="1">
      <c r="A27" s="2" t="inlineStr">
        <is>
          <t>DB-0026</t>
        </is>
      </c>
      <c r="B27" s="3" t="inlineStr">
        <is>
          <t>Breakfast Tacos with Eggs &amp; Pico</t>
        </is>
      </c>
      <c r="C27" s="4" t="inlineStr">
        <is>
          <t>Breakfast</t>
        </is>
      </c>
      <c r="D27" s="4" t="inlineStr">
        <is>
          <t>Tex-Mex</t>
        </is>
      </c>
      <c r="E27" s="2" t="n">
        <v>2</v>
      </c>
      <c r="F27" s="2" t="n">
        <v>10</v>
      </c>
      <c r="G27" s="2" t="n">
        <v>8</v>
      </c>
      <c r="H27" s="2" t="n">
        <v>18</v>
      </c>
      <c r="I27" s="4" t="inlineStr">
        <is>
          <t>breakfast-tacos-with-eggs-and-pico.jpg</t>
        </is>
      </c>
      <c r="J27" s="3" t="inlineStr">
        <is>
          <t>Breakfast Tacos with Eggs &amp; Pico, healthy food photography, plated, natural light</t>
        </is>
      </c>
      <c r="K27" s="4" t="inlineStr"/>
      <c r="L27" s="3" t="inlineStr">
        <is>
          <t>Corn tortilla — 75 g (2.6 oz) [3 small tortillas]
Egg, large (50 g each) — 150 g (5.3 oz) [3 large eggs]
Pico de gallo — 90 g (3.2 oz)
Avocado — 60 g (2.1 oz)
Cheddar cheese — 30 g (1.1 oz)
Fresh cilantro — 5 g (0.2 oz)
Extra-virgin olive oil — 6 g (0.2 oz)
Jalapeño — 10 g (0.4 oz)</t>
        </is>
      </c>
      <c r="M27" s="4" t="inlineStr">
        <is>
          <t>[{"ingredient_id": "corn_tortilla", "name": "Corn tortilla", "grams": 75.0, "note": "3 small tortillas"}, {"ingredient_id": "egg", "name": "Egg, large (50 g each)", "grams": 150.0, "note": "3 large eggs"}, {"ingredient_id": "pico_de_gallo", "name": "Pico de gallo", "grams": 90.0, "note": ""}, {"ingredient_id": "avocado", "name": "Avocado", "grams": 60.0, "note": ""}, {"ingredient_id": "cheddar", "name": "Cheddar cheese", "grams": 30.0, "note": ""}, {"ingredient_id": "cilantro", "name": "Fresh cilantro", "grams": 5.0, "note": ""}, {"ingredient_id": "olive_oil", "name": "Extra-virgin olive oil", "grams": 6.0, "note": ""}, {"ingredient_id": "jalapeno", "name": "Jalapeño", "grams": 10.0, "note": ""}]</t>
        </is>
      </c>
      <c r="N27" s="2" t="n">
        <v>335</v>
      </c>
      <c r="O27" s="5" t="n">
        <v>16.1</v>
      </c>
      <c r="P27" s="5" t="n">
        <v>20.8</v>
      </c>
      <c r="Q27" s="5" t="n">
        <v>22.6</v>
      </c>
      <c r="R27" s="5" t="n">
        <v>5.1</v>
      </c>
      <c r="S27" s="5" t="n">
        <v>17.5</v>
      </c>
      <c r="T27" s="2" t="n">
        <v>45</v>
      </c>
      <c r="U27" s="2" t="inlineStr">
        <is>
          <t>low</t>
        </is>
      </c>
      <c r="V27" s="5" t="n">
        <v>7.9</v>
      </c>
      <c r="W27" s="2" t="inlineStr">
        <is>
          <t>low</t>
        </is>
      </c>
      <c r="X27" s="3" t="inlineStr"/>
      <c r="Y27" s="3" t="inlineStr">
        <is>
          <t>83% of this dish's available carbohydrate comes from ingredients with a published, measured GI; the rest uses conventional placeholders (see Ingredients sheet)</t>
        </is>
      </c>
      <c r="Z27" s="2" t="n">
        <v>83</v>
      </c>
      <c r="AA27" s="3" t="inlineStr">
        <is>
          <t>vegetarian, gluten-free, nut-free, quick</t>
        </is>
      </c>
      <c r="AB27" s="3" t="inlineStr">
        <is>
          <t>1. Whisk the eggs and scramble softly in olive oil.
2. Warm tortillas in a dry skillet.
3. Fill each with eggs, cheddar, pico de gallo, avocado and sliced jalapeño.
4. Top with cilantro and serve.</t>
        </is>
      </c>
      <c r="AC27" s="4" t="inlineStr">
        <is>
          <t>["Whisk the eggs and scramble softly in olive oil.", "Warm tortillas in a dry skillet.", "Fill each with eggs, cheddar, pico de gallo, avocado and sliced jalapeño.", "Top with cilantro and serve."]</t>
        </is>
      </c>
    </row>
    <row r="28" ht="96" customHeight="1">
      <c r="A28" s="2" t="inlineStr">
        <is>
          <t>DB-0027</t>
        </is>
      </c>
      <c r="B28" s="3" t="inlineStr">
        <is>
          <t>Cauliflower Hash Browns with Fried Eggs</t>
        </is>
      </c>
      <c r="C28" s="4" t="inlineStr">
        <is>
          <t>Breakfast</t>
        </is>
      </c>
      <c r="D28" s="4" t="inlineStr">
        <is>
          <t>American</t>
        </is>
      </c>
      <c r="E28" s="2" t="n">
        <v>2</v>
      </c>
      <c r="F28" s="2" t="n">
        <v>15</v>
      </c>
      <c r="G28" s="2" t="n">
        <v>15</v>
      </c>
      <c r="H28" s="2" t="n">
        <v>30</v>
      </c>
      <c r="I28" s="4" t="inlineStr">
        <is>
          <t>cauliflower-hash-browns-with-fried-eggs.jpg</t>
        </is>
      </c>
      <c r="J28" s="3" t="inlineStr">
        <is>
          <t>Cauliflower Hash Browns with Fried Eggs, healthy food photography, plated, natural light</t>
        </is>
      </c>
      <c r="K28" s="4" t="inlineStr"/>
      <c r="L28" s="3" t="inlineStr">
        <is>
          <t>Cauliflower rice — 300 g (10.6 oz)
Egg, large (50 g each) — 200 g (7.1 oz) [4 large eggs (2 in hash)]
Parmesan, grated — 30 g (1.1 oz)
Green onions (scallions) — 20 g (0.7 oz)
Garlic powder — 1 g (0.0 oz)
Extra-virgin olive oil — 15 g (0.5 oz)
Salt — 2 g (0.1 oz)</t>
        </is>
      </c>
      <c r="M28" s="4" t="inlineStr">
        <is>
          <t>[{"ingredient_id": "cauliflower_rice", "name": "Cauliflower rice", "grams": 300.0, "note": ""}, {"ingredient_id": "egg", "name": "Egg, large (50 g each)", "grams": 200.0, "note": "4 large eggs (2 in hash)"}, {"ingredient_id": "parmesan", "name": "Parmesan, grated", "grams": 30.0, "note": ""}, {"ingredient_id": "green_onion", "name": "Green onions (scallions)", "grams": 20.0, "note": ""}, {"ingredient_id": "garlic_powder", "name": "Garlic powder", "grams": 1.0, "note": ""}, {"ingredient_id": "olive_oil", "name": "Extra-virgin olive oil", "grams": 15.0, "note": ""}, {"ingredient_id": "salt", "name": "Salt", "grams": 2.0, "note": ""}]</t>
        </is>
      </c>
      <c r="N28" s="2" t="n">
        <v>316</v>
      </c>
      <c r="O28" s="5" t="n">
        <v>21.4</v>
      </c>
      <c r="P28" s="5" t="n">
        <v>21.8</v>
      </c>
      <c r="Q28" s="5" t="n">
        <v>9.9</v>
      </c>
      <c r="R28" s="5" t="n">
        <v>3.3</v>
      </c>
      <c r="S28" s="5" t="n">
        <v>6.6</v>
      </c>
      <c r="T28" s="2" t="n">
        <v>12</v>
      </c>
      <c r="U28" s="2" t="inlineStr">
        <is>
          <t>low</t>
        </is>
      </c>
      <c r="V28" s="5" t="n">
        <v>0.8</v>
      </c>
      <c r="W28" s="2" t="inlineStr">
        <is>
          <t>low</t>
        </is>
      </c>
      <c r="X28" s="3" t="inlineStr"/>
      <c r="Y28" s="3" t="inlineStr">
        <is>
          <t>0% of this dish's available carbohydrate comes from ingredients with a published, measured GI; the rest uses conventional placeholders (see Ingredients sheet)</t>
        </is>
      </c>
      <c r="Z28" s="2" t="n">
        <v>0</v>
      </c>
      <c r="AA28" s="3" t="inlineStr">
        <is>
          <t>vegetarian, gluten-free, nut-free, low-carb</t>
        </is>
      </c>
      <c r="AB28" s="3" t="inlineStr">
        <is>
          <t>1. Microwave cauliflower rice 4 minutes, cool and squeeze dry in a clean towel.
2. Mix with 2 beaten eggs, parmesan, green onion, garlic powder and salt; form 4 patties.
3. Pan-fry in olive oil 4–5 minutes per side until golden and crisp.
4. Fry the remaining 2 eggs and serve on top of the hash browns.</t>
        </is>
      </c>
      <c r="AC28" s="4" t="inlineStr">
        <is>
          <t>["Microwave cauliflower rice 4 minutes, cool and squeeze dry in a clean towel.", "Mix with 2 beaten eggs, parmesan, green onion, garlic powder and salt; form 4 patties.", "Pan-fry in olive oil 4–5 minutes per side until golden and crisp.", "Fry the remaining 2 eggs and serve on top of the hash browns."]</t>
        </is>
      </c>
    </row>
    <row r="29" ht="96" customHeight="1">
      <c r="A29" s="2" t="inlineStr">
        <is>
          <t>DB-0028</t>
        </is>
      </c>
      <c r="B29" s="3" t="inlineStr">
        <is>
          <t>Denver Omelet</t>
        </is>
      </c>
      <c r="C29" s="4" t="inlineStr">
        <is>
          <t>Breakfast</t>
        </is>
      </c>
      <c r="D29" s="4" t="inlineStr">
        <is>
          <t>American</t>
        </is>
      </c>
      <c r="E29" s="2" t="n">
        <v>1</v>
      </c>
      <c r="F29" s="2" t="n">
        <v>5</v>
      </c>
      <c r="G29" s="2" t="n">
        <v>10</v>
      </c>
      <c r="H29" s="2" t="n">
        <v>15</v>
      </c>
      <c r="I29" s="4" t="inlineStr">
        <is>
          <t>denver-omelet.jpg</t>
        </is>
      </c>
      <c r="J29" s="3" t="inlineStr">
        <is>
          <t>Denver Omelet, healthy food photography, plated, natural light</t>
        </is>
      </c>
      <c r="K29" s="4" t="inlineStr"/>
      <c r="L29" s="3" t="inlineStr">
        <is>
          <t>Egg, large (50 g each) — 150 g (5.3 oz) [3 large eggs]
Ham, lean — 50 g (1.8 oz)
Bell pepper — 50 g (1.8 oz)
Yellow onion — 30 g (1.1 oz)
Cheddar cheese — 25 g (0.9 oz)
Extra-virgin olive oil — 6 g (0.2 oz)
Salt — 1 g (0.0 oz)
Black pepper — 1 g (0.0 oz)</t>
        </is>
      </c>
      <c r="M29" s="4" t="inlineStr">
        <is>
          <t>[{"ingredient_id": "egg", "name": "Egg, large (50 g each)", "grams": 150.0, "note": "3 large eggs"}, {"ingredient_id": "ham", "name": "Ham, lean", "grams": 50.0, "note": ""}, {"ingredient_id": "bell_pepper", "name": "Bell pepper", "grams": 50.0, "note": ""}, {"ingredient_id": "onion", "name": "Yellow onion", "grams": 30.0, "note": ""}, {"ingredient_id": "cheddar", "name": "Cheddar cheese", "grams": 25.0, "note": ""}, {"ingredient_id": "olive_oil", "name": "Extra-virgin olive oil", "grams": 6.0, "note": ""}, {"ingredient_id": "salt", "name": "Salt", "grams": 1.0, "note": ""}, {"ingredient_id": "black_pepper", "name": "Black pepper", "grams": 1.0, "note": ""}]</t>
        </is>
      </c>
      <c r="N29" s="2" t="n">
        <v>471</v>
      </c>
      <c r="O29" s="5" t="n">
        <v>36.1</v>
      </c>
      <c r="P29" s="5" t="n">
        <v>31.7</v>
      </c>
      <c r="Q29" s="5" t="n">
        <v>8.6</v>
      </c>
      <c r="R29" s="5" t="n">
        <v>1.8</v>
      </c>
      <c r="S29" s="5" t="n">
        <v>6.7</v>
      </c>
      <c r="T29" s="2" t="n">
        <v>10</v>
      </c>
      <c r="U29" s="2" t="inlineStr">
        <is>
          <t>low</t>
        </is>
      </c>
      <c r="V29" s="5" t="n">
        <v>0.7</v>
      </c>
      <c r="W29" s="2" t="inlineStr">
        <is>
          <t>low</t>
        </is>
      </c>
      <c r="X29" s="3" t="inlineStr"/>
      <c r="Y29" s="3" t="inlineStr">
        <is>
          <t>0% of this dish's available carbohydrate comes from ingredients with a published, measured GI; the rest uses conventional placeholders (see Ingredients sheet)</t>
        </is>
      </c>
      <c r="Z29" s="2" t="n">
        <v>0</v>
      </c>
      <c r="AA29" s="3" t="inlineStr">
        <is>
          <t>gluten-free, nut-free, low-carb, high-protein, quick</t>
        </is>
      </c>
      <c r="AB29" s="3" t="inlineStr">
        <is>
          <t>1. Sauté diced ham, bell pepper and onion in olive oil for 4 minutes.
2. Pour in whisked, seasoned eggs and cook until nearly set.
3. Sprinkle cheddar over one half, fold and cook 1 minute more.
4. Slide onto a plate.</t>
        </is>
      </c>
      <c r="AC29" s="4" t="inlineStr">
        <is>
          <t>["Sauté diced ham, bell pepper and onion in olive oil for 4 minutes.", "Pour in whisked, seasoned eggs and cook until nearly set.", "Sprinkle cheddar over one half, fold and cook 1 minute more.", "Slide onto a plate."]</t>
        </is>
      </c>
    </row>
    <row r="30" ht="96" customHeight="1">
      <c r="A30" s="2" t="inlineStr">
        <is>
          <t>DB-0029</t>
        </is>
      </c>
      <c r="B30" s="3" t="inlineStr">
        <is>
          <t>Apple Cinnamon Baked Oatmeal Cups</t>
        </is>
      </c>
      <c r="C30" s="4" t="inlineStr">
        <is>
          <t>Breakfast</t>
        </is>
      </c>
      <c r="D30" s="4" t="inlineStr">
        <is>
          <t>American</t>
        </is>
      </c>
      <c r="E30" s="2" t="n">
        <v>6</v>
      </c>
      <c r="F30" s="2" t="n">
        <v>10</v>
      </c>
      <c r="G30" s="2" t="n">
        <v>25</v>
      </c>
      <c r="H30" s="2" t="n">
        <v>35</v>
      </c>
      <c r="I30" s="4" t="inlineStr">
        <is>
          <t>apple-cinnamon-baked-oatmeal-cups.jpg</t>
        </is>
      </c>
      <c r="J30" s="3" t="inlineStr">
        <is>
          <t>Apple Cinnamon Baked Oatmeal Cups, healthy food photography, plated, natural light</t>
        </is>
      </c>
      <c r="K30" s="4" t="inlineStr"/>
      <c r="L30" s="3" t="inlineStr">
        <is>
          <t>Rolled oats, dry — 150 g (5.3 oz)
Apple — 150 g (5.3 oz)
Egg, large (50 g each) — 100 g (3.5 oz) [2 large eggs]
Almond milk, unsweetened — 200 g (7.1 oz)
Greek yogurt, plain 2% — 100 g (3.5 oz)
Walnuts — 40 g (1.4 oz)
Ground cinnamon — 4 g (0.1 oz)
Baking powder — 4 g (0.1 oz)
Monk fruit/erythritol sweetener — 15 g (0.5 oz)
Vanilla extract — 4 g (0.1 oz)</t>
        </is>
      </c>
      <c r="M30" s="4" t="inlineStr">
        <is>
          <t>[{"ingredient_id": "rolled_oats", "name": "Rolled oats, dry", "grams": 150.0, "note": ""}, {"ingredient_id": "apple", "name": "Apple", "grams": 150.0, "note": ""}, {"ingredient_id": "egg", "name": "Egg, large (50 g each)", "grams": 100.0, "note": "2 large eggs"}, {"ingredient_id": "almond_milk", "name": "Almond milk, unsweetened", "grams": 200.0, "note": ""}, {"ingredient_id": "greek_yogurt", "name": "Greek yogurt, plain 2%", "grams": 100.0, "note": ""}, {"ingredient_id": "walnuts", "name": "Walnuts", "grams": 40.0, "note": ""}, {"ingredient_id": "cinnamon", "name": "Ground cinnamon", "grams": 4.0, "note": ""}, {"ingredient_id": "baking_powder", "name": "Baking powder", "grams": 4.0, "note": ""}, {"ingredient_id": "monk_fruit_sweetener", "name": "Monk fruit/erythritol sweetener", "grams": 15.0, "note": ""}, {"ingredient_id": "vanilla_extract", "name": "Vanilla extract", "grams": 4.0, "note": ""}]</t>
        </is>
      </c>
      <c r="N30" s="2" t="n">
        <v>196</v>
      </c>
      <c r="O30" s="5" t="n">
        <v>8.300000000000001</v>
      </c>
      <c r="P30" s="5" t="n">
        <v>8.300000000000001</v>
      </c>
      <c r="Q30" s="5" t="n">
        <v>23.2</v>
      </c>
      <c r="R30" s="5" t="n">
        <v>3.9</v>
      </c>
      <c r="S30" s="5" t="n">
        <v>19.3</v>
      </c>
      <c r="T30" s="2" t="n">
        <v>49</v>
      </c>
      <c r="U30" s="2" t="inlineStr">
        <is>
          <t>low</t>
        </is>
      </c>
      <c r="V30" s="5" t="n">
        <v>9.5</v>
      </c>
      <c r="W30" s="2" t="inlineStr">
        <is>
          <t>low</t>
        </is>
      </c>
      <c r="X30" s="3" t="inlineStr"/>
      <c r="Y30" s="3" t="inlineStr">
        <is>
          <t>93% of this dish's available carbohydrate comes from ingredients with a published, measured GI; the rest uses conventional placeholders (see Ingredients sheet)</t>
        </is>
      </c>
      <c r="Z30" s="2" t="n">
        <v>93</v>
      </c>
      <c r="AA30" s="3" t="inlineStr">
        <is>
          <t>vegetarian, make-ahead, meal-prep</t>
        </is>
      </c>
      <c r="AB30" s="3" t="inlineStr">
        <is>
          <t>1. Preheat oven to 350°F and line a muffin tin.
2. Whisk eggs, almond milk, yogurt, vanilla and sweetener; stir in oats, cinnamon, baking powder, diced apple and walnuts.
3. Divide into 12 cups and bake 22–25 minutes until set.
4. Cool completely; keep refrigerated 5 days or freeze.</t>
        </is>
      </c>
      <c r="AC30" s="4" t="inlineStr">
        <is>
          <t>["Preheat oven to 350°F and line a muffin tin.", "Whisk eggs, almond milk, yogurt, vanilla and sweetener; stir in oats, cinnamon, baking powder, diced apple and walnuts.", "Divide into 12 cups and bake 22–25 minutes until set.", "Cool completely; keep refrigerated 5 days or freeze."]</t>
        </is>
      </c>
    </row>
    <row r="31" ht="96" customHeight="1">
      <c r="A31" s="2" t="inlineStr">
        <is>
          <t>DB-0030</t>
        </is>
      </c>
      <c r="B31" s="3" t="inlineStr">
        <is>
          <t>Lox Bagel Bowl (No Bagel)</t>
        </is>
      </c>
      <c r="C31" s="4" t="inlineStr">
        <is>
          <t>Breakfast</t>
        </is>
      </c>
      <c r="D31" s="4" t="inlineStr">
        <is>
          <t>American</t>
        </is>
      </c>
      <c r="E31" s="2" t="n">
        <v>1</v>
      </c>
      <c r="F31" s="2" t="n">
        <v>10</v>
      </c>
      <c r="G31" s="2" t="n">
        <v>0</v>
      </c>
      <c r="H31" s="2" t="n">
        <v>10</v>
      </c>
      <c r="I31" s="4" t="inlineStr">
        <is>
          <t>lox-bagel-bowl-no-bagel.jpg</t>
        </is>
      </c>
      <c r="J31" s="3" t="inlineStr">
        <is>
          <t>Lox Bagel Bowl (No Bagel), healthy food photography, plated, natural light</t>
        </is>
      </c>
      <c r="K31" s="4" t="inlineStr"/>
      <c r="L31" s="3" t="inlineStr">
        <is>
          <t>Smoked salmon — 80 g (2.8 oz)
Cottage cheese, low-fat — 120 g (4.2 oz)
Cucumber — 80 g (2.8 oz)
Tomato — 60 g (2.1 oz)
Red onion — 20 g (0.7 oz)
Capers — 8 g (0.3 oz)
Everything bagel seasoning — 3 g (0.1 oz)
Fresh dill — 3 g (0.1 oz)</t>
        </is>
      </c>
      <c r="M31" s="4" t="inlineStr">
        <is>
          <t>[{"ingredient_id": "smoked_salmon", "name": "Smoked salmon", "grams": 80.0, "note": ""}, {"ingredient_id": "cottage_cheese", "name": "Cottage cheese, low-fat", "grams": 120.0, "note": ""}, {"ingredient_id": "cucumber", "name": "Cucumber", "grams": 80.0, "note": ""}, {"ingredient_id": "tomato", "name": "Tomato", "grams": 60.0, "note": ""}, {"ingredient_id": "red_onion", "name": "Red onion", "grams": 20.0, "note": ""}, {"ingredient_id": "capers", "name": "Capers", "grams": 8.0, "note": ""}, {"ingredient_id": "everything_seasoning", "name": "Everything bagel seasoning", "grams": 3.0, "note": ""}, {"ingredient_id": "dill", "name": "Fresh dill", "grams": 3.0, "note": ""}]</t>
        </is>
      </c>
      <c r="N31" s="2" t="n">
        <v>239</v>
      </c>
      <c r="O31" s="5" t="n">
        <v>29.7</v>
      </c>
      <c r="P31" s="5" t="n">
        <v>7.1</v>
      </c>
      <c r="Q31" s="5" t="n">
        <v>13.7</v>
      </c>
      <c r="R31" s="5" t="n">
        <v>2.1</v>
      </c>
      <c r="S31" s="5" t="n">
        <v>11.7</v>
      </c>
      <c r="T31" s="2" t="n">
        <v>13</v>
      </c>
      <c r="U31" s="2" t="inlineStr">
        <is>
          <t>low</t>
        </is>
      </c>
      <c r="V31" s="5" t="n">
        <v>1.5</v>
      </c>
      <c r="W31" s="2" t="inlineStr">
        <is>
          <t>low</t>
        </is>
      </c>
      <c r="X31" s="3" t="inlineStr"/>
      <c r="Y31" s="3" t="inlineStr">
        <is>
          <t>0% of this dish's available carbohydrate comes from ingredients with a published, measured GI; the rest uses conventional placeholders (see Ingredients sheet)</t>
        </is>
      </c>
      <c r="Z31" s="2" t="n">
        <v>0</v>
      </c>
      <c r="AA31" s="3" t="inlineStr">
        <is>
          <t>pescatarian, gluten-free, nut-free, low-carb, high-protein, no-cook, quick</t>
        </is>
      </c>
      <c r="AB31" s="3" t="inlineStr">
        <is>
          <t>1. Spread cottage cheese in a shallow bowl.
2. Arrange smoked salmon, sliced cucumber, tomato and red onion on top.
3. Scatter capers, dill and everything seasoning and serve.</t>
        </is>
      </c>
      <c r="AC31" s="4" t="inlineStr">
        <is>
          <t>["Spread cottage cheese in a shallow bowl.", "Arrange smoked salmon, sliced cucumber, tomato and red onion on top.", "Scatter capers, dill and everything seasoning and serve."]</t>
        </is>
      </c>
    </row>
    <row r="32" ht="96" customHeight="1">
      <c r="A32" s="2" t="inlineStr">
        <is>
          <t>DB-0031</t>
        </is>
      </c>
      <c r="B32" s="3" t="inlineStr">
        <is>
          <t>Egg &amp; Veggie Breakfast Quesadilla</t>
        </is>
      </c>
      <c r="C32" s="4" t="inlineStr">
        <is>
          <t>Breakfast</t>
        </is>
      </c>
      <c r="D32" s="4" t="inlineStr">
        <is>
          <t>Tex-Mex</t>
        </is>
      </c>
      <c r="E32" s="2" t="n">
        <v>1</v>
      </c>
      <c r="F32" s="2" t="n">
        <v>5</v>
      </c>
      <c r="G32" s="2" t="n">
        <v>10</v>
      </c>
      <c r="H32" s="2" t="n">
        <v>15</v>
      </c>
      <c r="I32" s="4" t="inlineStr">
        <is>
          <t>egg-and-veggie-breakfast-quesadilla.jpg</t>
        </is>
      </c>
      <c r="J32" s="3" t="inlineStr">
        <is>
          <t>Egg &amp; Veggie Breakfast Quesadilla, healthy food photography, plated, natural light</t>
        </is>
      </c>
      <c r="K32" s="4" t="inlineStr"/>
      <c r="L32" s="3" t="inlineStr">
        <is>
          <t>Low-carb high-fiber tortilla — 42 g (1.5 oz) [1 tortilla]
Egg, large (50 g each) — 100 g (3.5 oz) [2 large eggs]
Spinach — 40 g (1.4 oz)
Mushrooms (cremini/white) — 50 g (1.8 oz)
Mozzarella, part-skim — 30 g (1.1 oz)
Salsa, no sugar added — 40 g (1.4 oz)
Extra-virgin olive oil — 6 g (0.2 oz)</t>
        </is>
      </c>
      <c r="M32" s="4" t="inlineStr">
        <is>
          <t>[{"ingredient_id": "low_carb_tortilla", "name": "Low-carb high-fiber tortilla", "grams": 42.0, "note": "1 tortilla"}, {"ingredient_id": "egg", "name": "Egg, large (50 g each)", "grams": 100.0, "note": "2 large eggs"}, {"ingredient_id": "spinach", "name": "Spinach", "grams": 40.0, "note": ""}, {"ingredient_id": "mushrooms", "name": "Mushrooms (cremini/white)", "grams": 50.0, "note": ""}, {"ingredient_id": "mozzarella", "name": "Mozzarella, part-skim", "grams": 30.0, "note": ""}, {"ingredient_id": "salsa", "name": "Salsa, no sugar added", "grams": 40.0, "note": ""}, {"ingredient_id": "olive_oil", "name": "Extra-virgin olive oil", "grams": 6.0, "note": ""}]</t>
        </is>
      </c>
      <c r="N32" s="2" t="n">
        <v>412</v>
      </c>
      <c r="O32" s="5" t="n">
        <v>28.2</v>
      </c>
      <c r="P32" s="5" t="n">
        <v>24</v>
      </c>
      <c r="Q32" s="5" t="n">
        <v>24.3</v>
      </c>
      <c r="R32" s="5" t="n">
        <v>12.5</v>
      </c>
      <c r="S32" s="5" t="n">
        <v>11.8</v>
      </c>
      <c r="T32" s="2" t="n">
        <v>24</v>
      </c>
      <c r="U32" s="2" t="inlineStr">
        <is>
          <t>low</t>
        </is>
      </c>
      <c r="V32" s="5" t="n">
        <v>2.8</v>
      </c>
      <c r="W32" s="2" t="inlineStr">
        <is>
          <t>low</t>
        </is>
      </c>
      <c r="X32" s="3" t="inlineStr"/>
      <c r="Y32" s="3" t="inlineStr">
        <is>
          <t>0% of this dish's available carbohydrate comes from ingredients with a published, measured GI; the rest uses conventional placeholders (see Ingredients sheet)</t>
        </is>
      </c>
      <c r="Z32" s="2" t="n">
        <v>0</v>
      </c>
      <c r="AA32" s="3" t="inlineStr">
        <is>
          <t>vegetarian, nut-free, low-carb, high-protein, high-fiber, quick</t>
        </is>
      </c>
      <c r="AB32" s="3" t="inlineStr">
        <is>
          <t>1. Sauté mushrooms and spinach in half the oil, add whisked eggs and scramble.
2. Place the tortilla in the pan, put cheese and eggs on one half and fold.
3. Cook 2 minutes per side in the remaining oil until crisp.
4. Cut into wedges and serve with salsa.</t>
        </is>
      </c>
      <c r="AC32" s="4" t="inlineStr">
        <is>
          <t>["Sauté mushrooms and spinach in half the oil, add whisked eggs and scramble.", "Place the tortilla in the pan, put cheese and eggs on one half and fold.", "Cook 2 minutes per side in the remaining oil until crisp.", "Cut into wedges and serve with salsa."]</t>
        </is>
      </c>
    </row>
    <row r="33" ht="96" customHeight="1">
      <c r="A33" s="2" t="inlineStr">
        <is>
          <t>DB-0032</t>
        </is>
      </c>
      <c r="B33" s="3" t="inlineStr">
        <is>
          <t>Pumpkin Spice Protein Oats</t>
        </is>
      </c>
      <c r="C33" s="4" t="inlineStr">
        <is>
          <t>Breakfast</t>
        </is>
      </c>
      <c r="D33" s="4" t="inlineStr">
        <is>
          <t>American</t>
        </is>
      </c>
      <c r="E33" s="2" t="n">
        <v>1</v>
      </c>
      <c r="F33" s="2" t="n">
        <v>5</v>
      </c>
      <c r="G33" s="2" t="n">
        <v>8</v>
      </c>
      <c r="H33" s="2" t="n">
        <v>13</v>
      </c>
      <c r="I33" s="4" t="inlineStr">
        <is>
          <t>pumpkin-spice-protein-oats.jpg</t>
        </is>
      </c>
      <c r="J33" s="3" t="inlineStr">
        <is>
          <t>Pumpkin Spice Protein Oats, healthy food photography, plated, natural light</t>
        </is>
      </c>
      <c r="K33" s="4" t="inlineStr"/>
      <c r="L33" s="3" t="inlineStr">
        <is>
          <t>Rolled oats, dry — 40 g (1.4 oz)
Pumpkin puree, canned — 80 g (2.8 oz)
Almond milk, unsweetened — 200 g (7.1 oz)
Whey protein powder, unsweetened — 20 g (0.7 oz)
Pumpkin pie spice — 2 g (0.1 oz)
Pecans — 15 g (0.5 oz)
Monk fruit/erythritol sweetener — 5 g (0.2 oz)</t>
        </is>
      </c>
      <c r="M33" s="4" t="inlineStr">
        <is>
          <t>[{"ingredient_id": "rolled_oats", "name": "Rolled oats, dry", "grams": 40.0, "note": ""}, {"ingredient_id": "pumpkin_puree", "name": "Pumpkin puree, canned", "grams": 80.0, "note": ""}, {"ingredient_id": "almond_milk", "name": "Almond milk, unsweetened", "grams": 200.0, "note": ""}, {"ingredient_id": "whey_protein", "name": "Whey protein powder, unsweetened", "grams": 20.0, "note": ""}, {"ingredient_id": "pumpkin_pie_spice", "name": "Pumpkin pie spice", "grams": 2.0, "note": ""}, {"ingredient_id": "pecans", "name": "Pecans", "grams": 15.0, "note": ""}, {"ingredient_id": "monk_fruit_sweetener", "name": "Monk fruit/erythritol sweetener", "grams": 5.0, "note": ""}]</t>
        </is>
      </c>
      <c r="N33" s="2" t="n">
        <v>395</v>
      </c>
      <c r="O33" s="5" t="n">
        <v>24.3</v>
      </c>
      <c r="P33" s="5" t="n">
        <v>17</v>
      </c>
      <c r="Q33" s="5" t="n">
        <v>40</v>
      </c>
      <c r="R33" s="5" t="n">
        <v>8.5</v>
      </c>
      <c r="S33" s="5" t="n">
        <v>31.4</v>
      </c>
      <c r="T33" s="2" t="n">
        <v>55</v>
      </c>
      <c r="U33" s="2" t="inlineStr">
        <is>
          <t>low</t>
        </is>
      </c>
      <c r="V33" s="5" t="n">
        <v>17.3</v>
      </c>
      <c r="W33" s="2" t="inlineStr">
        <is>
          <t>medium</t>
        </is>
      </c>
      <c r="X33" s="3" t="inlineStr"/>
      <c r="Y33" s="3" t="inlineStr">
        <is>
          <t>91% of this dish's available carbohydrate comes from ingredients with a published, measured GI; the rest uses conventional placeholders (see Ingredients sheet)</t>
        </is>
      </c>
      <c r="Z33" s="2" t="n">
        <v>91</v>
      </c>
      <c r="AA33" s="3" t="inlineStr">
        <is>
          <t>vegetarian, high-fiber, quick</t>
        </is>
      </c>
      <c r="AB33" s="3" t="inlineStr">
        <is>
          <t>1. Simmer oats, pumpkin puree and almond milk for 6–7 minutes, stirring.
2. Remove from heat and stir in protein powder, spice and sweetener.
3. Top with chopped pecans.</t>
        </is>
      </c>
      <c r="AC33" s="4" t="inlineStr">
        <is>
          <t>["Simmer oats, pumpkin puree and almond milk for 6–7 minutes, stirring.", "Remove from heat and stir in protein powder, spice and sweetener.", "Top with chopped pecans."]</t>
        </is>
      </c>
    </row>
    <row r="34" ht="96" customHeight="1">
      <c r="A34" s="2" t="inlineStr">
        <is>
          <t>DB-0033</t>
        </is>
      </c>
      <c r="B34" s="3" t="inlineStr">
        <is>
          <t>Caprese Egg Cups</t>
        </is>
      </c>
      <c r="C34" s="4" t="inlineStr">
        <is>
          <t>Breakfast</t>
        </is>
      </c>
      <c r="D34" s="4" t="inlineStr">
        <is>
          <t>Italian</t>
        </is>
      </c>
      <c r="E34" s="2" t="n">
        <v>4</v>
      </c>
      <c r="F34" s="2" t="n">
        <v>10</v>
      </c>
      <c r="G34" s="2" t="n">
        <v>20</v>
      </c>
      <c r="H34" s="2" t="n">
        <v>30</v>
      </c>
      <c r="I34" s="4" t="inlineStr">
        <is>
          <t>caprese-egg-cups.jpg</t>
        </is>
      </c>
      <c r="J34" s="3" t="inlineStr">
        <is>
          <t>Caprese Egg Cups, healthy food photography, plated, natural light</t>
        </is>
      </c>
      <c r="K34" s="4" t="inlineStr"/>
      <c r="L34" s="3" t="inlineStr">
        <is>
          <t>Egg, large (50 g each) — 300 g (10.6 oz) [6 large eggs]
Cherry tomatoes — 120 g (4.2 oz)
Mozzarella, part-skim — 80 g (2.8 oz)
Fresh basil — 10 g (0.4 oz)
Milk, 2% — 40 g (1.4 oz)
Salt — 2 g (0.1 oz)
Extra-virgin olive oil — 5 g (0.2 oz)</t>
        </is>
      </c>
      <c r="M34" s="4" t="inlineStr">
        <is>
          <t>[{"ingredient_id": "egg", "name": "Egg, large (50 g each)", "grams": 300.0, "note": "6 large eggs"}, {"ingredient_id": "cherry_tomato", "name": "Cherry tomatoes", "grams": 120.0, "note": ""}, {"ingredient_id": "mozzarella", "name": "Mozzarella, part-skim", "grams": 80.0, "note": ""}, {"ingredient_id": "basil", "name": "Fresh basil", "grams": 10.0, "note": ""}, {"ingredient_id": "milk", "name": "Milk, 2%", "grams": 40.0, "note": ""}, {"ingredient_id": "salt", "name": "Salt", "grams": 2.0, "note": ""}, {"ingredient_id": "olive_oil", "name": "Extra-virgin olive oil", "grams": 5.0, "note": ""}]</t>
        </is>
      </c>
      <c r="N34" s="2" t="n">
        <v>180</v>
      </c>
      <c r="O34" s="5" t="n">
        <v>14.9</v>
      </c>
      <c r="P34" s="5" t="n">
        <v>11.8</v>
      </c>
      <c r="Q34" s="5" t="n">
        <v>2.8</v>
      </c>
      <c r="R34" s="5" t="n">
        <v>0.4</v>
      </c>
      <c r="S34" s="5" t="n">
        <v>2.4</v>
      </c>
      <c r="T34" s="2" t="n">
        <v>10</v>
      </c>
      <c r="U34" s="2" t="inlineStr">
        <is>
          <t>low</t>
        </is>
      </c>
      <c r="V34" s="5" t="n">
        <v>0.2</v>
      </c>
      <c r="W34" s="2" t="inlineStr">
        <is>
          <t>low</t>
        </is>
      </c>
      <c r="X34" s="3" t="inlineStr">
        <is>
          <t>Negligible carbohydrate (&lt;5 g net/serving): GI has little practical meaning, glycemic load is what matters.</t>
        </is>
      </c>
      <c r="Y34" s="3" t="inlineStr">
        <is>
          <t>20% of this dish's available carbohydrate comes from ingredients with a published, measured GI; the rest uses conventional placeholders (see Ingredients sheet)</t>
        </is>
      </c>
      <c r="Z34" s="2" t="n">
        <v>20</v>
      </c>
      <c r="AA34" s="3" t="inlineStr">
        <is>
          <t>vegetarian, gluten-free, nut-free, low-carb, make-ahead</t>
        </is>
      </c>
      <c r="AB34" s="3" t="inlineStr">
        <is>
          <t>1. Preheat oven to 350°F and oil 8 muffin cups.
2. Divide halved tomatoes, mozzarella and basil among the cups.
3. Pour in whisked eggs with milk and salt and bake 18–20 minutes.
4. Cool 5 minutes before removing.</t>
        </is>
      </c>
      <c r="AC34" s="4" t="inlineStr">
        <is>
          <t>["Preheat oven to 350°F and oil 8 muffin cups.", "Divide halved tomatoes, mozzarella and basil among the cups.", "Pour in whisked eggs with milk and salt and bake 18–20 minutes.", "Cool 5 minutes before removing."]</t>
        </is>
      </c>
    </row>
    <row r="35" ht="96" customHeight="1">
      <c r="A35" s="2" t="inlineStr">
        <is>
          <t>DB-0034</t>
        </is>
      </c>
      <c r="B35" s="3" t="inlineStr">
        <is>
          <t>Steak &amp; Eggs with Sautéed Spinach</t>
        </is>
      </c>
      <c r="C35" s="4" t="inlineStr">
        <is>
          <t>Breakfast</t>
        </is>
      </c>
      <c r="D35" s="4" t="inlineStr">
        <is>
          <t>American</t>
        </is>
      </c>
      <c r="E35" s="2" t="n">
        <v>2</v>
      </c>
      <c r="F35" s="2" t="n">
        <v>5</v>
      </c>
      <c r="G35" s="2" t="n">
        <v>15</v>
      </c>
      <c r="H35" s="2" t="n">
        <v>20</v>
      </c>
      <c r="I35" s="4" t="inlineStr">
        <is>
          <t>steak-and-eggs-with-saut-ed-spinach.jpg</t>
        </is>
      </c>
      <c r="J35" s="3" t="inlineStr">
        <is>
          <t>Steak &amp; Eggs with Sautéed Spinach, healthy food photography, plated, natural light</t>
        </is>
      </c>
      <c r="K35" s="4" t="inlineStr"/>
      <c r="L35" s="3" t="inlineStr">
        <is>
          <t>Beef sirloin, trimmed — 220 g (7.8 oz)
Egg, large (50 g each) — 200 g (7.1 oz) [4 large eggs]
Spinach — 150 g (5.3 oz)
Garlic — 5 g (0.2 oz)
Extra-virgin olive oil — 15 g (0.5 oz)
Salt — 2 g (0.1 oz)
Black pepper — 1 g (0.0 oz)</t>
        </is>
      </c>
      <c r="M35" s="4" t="inlineStr">
        <is>
          <t>[{"ingredient_id": "beef_sirloin", "name": "Beef sirloin, trimmed", "grams": 220.0, "note": ""}, {"ingredient_id": "egg", "name": "Egg, large (50 g each)", "grams": 200.0, "note": "4 large eggs"}, {"ingredient_id": "spinach", "name": "Spinach", "grams": 150.0, "note": ""}, {"ingredient_id": "garlic", "name": "Garlic", "grams": 5.0, "note": ""}, {"ingredient_id": "olive_oil", "name": "Extra-virgin olive oil", "grams": 15.0, "note": ""}, {"ingredient_id": "salt", "name": "Salt", "grams": 2.0, "note": ""}, {"ingredient_id": "black_pepper", "name": "Black pepper", "grams": 1.0, "note": ""}]</t>
        </is>
      </c>
      <c r="N35" s="2" t="n">
        <v>375</v>
      </c>
      <c r="O35" s="5" t="n">
        <v>39.2</v>
      </c>
      <c r="P35" s="5" t="n">
        <v>22.3</v>
      </c>
      <c r="Q35" s="5" t="n">
        <v>4.5</v>
      </c>
      <c r="R35" s="5" t="n">
        <v>1.8</v>
      </c>
      <c r="S35" s="5" t="n">
        <v>2.7</v>
      </c>
      <c r="T35" s="2" t="n">
        <v>15</v>
      </c>
      <c r="U35" s="2" t="inlineStr">
        <is>
          <t>low</t>
        </is>
      </c>
      <c r="V35" s="5" t="n">
        <v>0.4</v>
      </c>
      <c r="W35" s="2" t="inlineStr">
        <is>
          <t>low</t>
        </is>
      </c>
      <c r="X35" s="3" t="inlineStr">
        <is>
          <t>Negligible carbohydrate (&lt;5 g net/serving): GI has little practical meaning, glycemic load is what matters.</t>
        </is>
      </c>
      <c r="Y35" s="3" t="inlineStr">
        <is>
          <t>0% of this dish's available carbohydrate comes from ingredients with a published, measured GI; the rest uses conventional placeholders (see Ingredients sheet)</t>
        </is>
      </c>
      <c r="Z35" s="2" t="n">
        <v>0</v>
      </c>
      <c r="AA35" s="3" t="inlineStr">
        <is>
          <t>gluten-free, dairy-free, nut-free, low-carb, high-protein</t>
        </is>
      </c>
      <c r="AB35" s="3" t="inlineStr">
        <is>
          <t>1. Season the steak and sear in olive oil 3–4 minutes per side for medium; rest 5 minutes.
2. In the same pan, sauté garlic and spinach until wilted.
3. Fry the eggs to your liking.
4. Slice the steak and serve with eggs and spinach.</t>
        </is>
      </c>
      <c r="AC35" s="4" t="inlineStr">
        <is>
          <t>["Season the steak and sear in olive oil 3–4 minutes per side for medium; rest 5 minutes.", "In the same pan, sauté garlic and spinach until wilted.", "Fry the eggs to your liking.", "Slice the steak and serve with eggs and spinach."]</t>
        </is>
      </c>
    </row>
    <row r="36" ht="96" customHeight="1">
      <c r="A36" s="2" t="inlineStr">
        <is>
          <t>DB-0035</t>
        </is>
      </c>
      <c r="B36" s="3" t="inlineStr">
        <is>
          <t>Berry Kefir Smoothie</t>
        </is>
      </c>
      <c r="C36" s="4" t="inlineStr">
        <is>
          <t>Breakfast</t>
        </is>
      </c>
      <c r="D36" s="4" t="inlineStr">
        <is>
          <t>American</t>
        </is>
      </c>
      <c r="E36" s="2" t="n">
        <v>1</v>
      </c>
      <c r="F36" s="2" t="n">
        <v>5</v>
      </c>
      <c r="G36" s="2" t="n">
        <v>0</v>
      </c>
      <c r="H36" s="2" t="n">
        <v>5</v>
      </c>
      <c r="I36" s="4" t="inlineStr">
        <is>
          <t>berry-kefir-smoothie.jpg</t>
        </is>
      </c>
      <c r="J36" s="3" t="inlineStr">
        <is>
          <t>Berry Kefir Smoothie, healthy food photography, plated, natural light</t>
        </is>
      </c>
      <c r="K36" s="4" t="inlineStr"/>
      <c r="L36" s="3" t="inlineStr">
        <is>
          <t>Kefir, plain — 250 g (8.8 oz)
Mixed berries, frozen — 100 g (3.5 oz)
Ground flaxseed — 10 g (0.4 oz)
Whey protein powder, unsweetened — 20 g (0.7 oz)
Vanilla extract — 2 g (0.1 oz)</t>
        </is>
      </c>
      <c r="M36" s="4" t="inlineStr">
        <is>
          <t>[{"ingredient_id": "kefir", "name": "Kefir, plain", "grams": 250.0, "note": ""}, {"ingredient_id": "mixed_berries", "name": "Mixed berries, frozen", "grams": 100.0, "note": ""}, {"ingredient_id": "flaxseed", "name": "Ground flaxseed", "grams": 10.0, "note": ""}, {"ingredient_id": "whey_protein", "name": "Whey protein powder, unsweetened", "grams": 20.0, "note": ""}, {"ingredient_id": "vanilla_extract", "name": "Vanilla extract", "grams": 2.0, "note": ""}]</t>
        </is>
      </c>
      <c r="N36" s="2" t="n">
        <v>283</v>
      </c>
      <c r="O36" s="5" t="n">
        <v>26.5</v>
      </c>
      <c r="P36" s="5" t="n">
        <v>8.1</v>
      </c>
      <c r="Q36" s="5" t="n">
        <v>25.8</v>
      </c>
      <c r="R36" s="5" t="n">
        <v>6.9</v>
      </c>
      <c r="S36" s="5" t="n">
        <v>18.9</v>
      </c>
      <c r="T36" s="2" t="n">
        <v>36</v>
      </c>
      <c r="U36" s="2" t="inlineStr">
        <is>
          <t>low</t>
        </is>
      </c>
      <c r="V36" s="5" t="n">
        <v>6.8</v>
      </c>
      <c r="W36" s="2" t="inlineStr">
        <is>
          <t>low</t>
        </is>
      </c>
      <c r="X36" s="3" t="inlineStr"/>
      <c r="Y36" s="3" t="inlineStr">
        <is>
          <t>60% of this dish's available carbohydrate comes from ingredients with a published, measured GI; the rest uses conventional placeholders (see Ingredients sheet)</t>
        </is>
      </c>
      <c r="Z36" s="2" t="n">
        <v>60</v>
      </c>
      <c r="AA36" s="3" t="inlineStr">
        <is>
          <t>vegetarian, gluten-free, nut-free, high-protein, no-cook, quick, probiotic</t>
        </is>
      </c>
      <c r="AB36" s="3" t="inlineStr">
        <is>
          <t>1. Blend kefir, berries, flaxseed, protein powder and vanilla until smooth.
2. Add ice if you like it thicker.
3. Serve immediately.</t>
        </is>
      </c>
      <c r="AC36" s="4" t="inlineStr">
        <is>
          <t>["Blend kefir, berries, flaxseed, protein powder and vanilla until smooth.", "Add ice if you like it thicker.", "Serve immediately."]</t>
        </is>
      </c>
    </row>
    <row r="37" ht="96" customHeight="1">
      <c r="A37" s="2" t="inlineStr">
        <is>
          <t>DB-0036</t>
        </is>
      </c>
      <c r="B37" s="3" t="inlineStr">
        <is>
          <t>Mediterranean Breakfast Plate</t>
        </is>
      </c>
      <c r="C37" s="4" t="inlineStr">
        <is>
          <t>Breakfast</t>
        </is>
      </c>
      <c r="D37" s="4" t="inlineStr">
        <is>
          <t>Mediterranean</t>
        </is>
      </c>
      <c r="E37" s="2" t="n">
        <v>1</v>
      </c>
      <c r="F37" s="2" t="n">
        <v>10</v>
      </c>
      <c r="G37" s="2" t="n">
        <v>8</v>
      </c>
      <c r="H37" s="2" t="n">
        <v>18</v>
      </c>
      <c r="I37" s="4" t="inlineStr">
        <is>
          <t>mediterranean-breakfast-plate.jpg</t>
        </is>
      </c>
      <c r="J37" s="3" t="inlineStr">
        <is>
          <t>Mediterranean Breakfast Plate, healthy food photography, plated, natural light</t>
        </is>
      </c>
      <c r="K37" s="4" t="inlineStr"/>
      <c r="L37" s="3" t="inlineStr">
        <is>
          <t>Egg, large (50 g each) — 100 g (3.5 oz) [2 hard-boiled eggs]
Cucumber — 80 g (2.8 oz)
Tomato — 80 g (2.8 oz)
Olives (kalamata/green) — 25 g (0.9 oz)
Feta cheese — 30 g (1.1 oz)
Hummus — 50 g (1.8 oz)
Whole wheat pita — 30 g (1.1 oz) [half pita]
Extra-virgin olive oil — 5 g (0.2 oz)
Za'atar — 2 g (0.1 oz)</t>
        </is>
      </c>
      <c r="M37" s="4" t="inlineStr">
        <is>
          <t>[{"ingredient_id": "egg", "name": "Egg, large (50 g each)", "grams": 100.0, "note": "2 hard-boiled eggs"}, {"ingredient_id": "cucumber", "name": "Cucumber", "grams": 80.0, "note": ""}, {"ingredient_id": "tomato", "name": "Tomato", "grams": 80.0, "note": ""}, {"ingredient_id": "olives", "name": "Olives (kalamata/green)", "grams": 25.0, "note": ""}, {"ingredient_id": "feta", "name": "Feta cheese", "grams": 30.0, "note": ""}, {"ingredient_id": "hummus", "name": "Hummus", "grams": 50.0, "note": ""}, {"ingredient_id": "whole_wheat_pita", "name": "Whole wheat pita", "grams": 30.0, "note": "half pita"}, {"ingredient_id": "olive_oil", "name": "Extra-virgin olive oil", "grams": 5.0, "note": ""}, {"ingredient_id": "zaatar", "name": "Za'atar", "grams": 2.0, "note": ""}]</t>
        </is>
      </c>
      <c r="N37" s="2" t="n">
        <v>490</v>
      </c>
      <c r="O37" s="5" t="n">
        <v>25.5</v>
      </c>
      <c r="P37" s="5" t="n">
        <v>29.5</v>
      </c>
      <c r="Q37" s="5" t="n">
        <v>34</v>
      </c>
      <c r="R37" s="5" t="n">
        <v>7.9</v>
      </c>
      <c r="S37" s="5" t="n">
        <v>26.1</v>
      </c>
      <c r="T37" s="2" t="n">
        <v>37</v>
      </c>
      <c r="U37" s="2" t="inlineStr">
        <is>
          <t>low</t>
        </is>
      </c>
      <c r="V37" s="5" t="n">
        <v>9.699999999999999</v>
      </c>
      <c r="W37" s="2" t="inlineStr">
        <is>
          <t>low</t>
        </is>
      </c>
      <c r="X37" s="3" t="inlineStr"/>
      <c r="Y37" s="3" t="inlineStr">
        <is>
          <t>70% of this dish's available carbohydrate comes from ingredients with a published, measured GI; the rest uses conventional placeholders (see Ingredients sheet)</t>
        </is>
      </c>
      <c r="Z37" s="2" t="n">
        <v>70</v>
      </c>
      <c r="AA37" s="3" t="inlineStr">
        <is>
          <t>vegetarian, nut-free, high-protein, high-fiber</t>
        </is>
      </c>
      <c r="AB37" s="3" t="inlineStr">
        <is>
          <t>1. Hard-boil the eggs (8 minutes), cool and halve.
2. Arrange eggs, cucumber, tomato, olives and feta on a plate.
3. Add hummus drizzled with olive oil and za'atar, and the warmed pita half on the side.</t>
        </is>
      </c>
      <c r="AC37" s="4" t="inlineStr">
        <is>
          <t>["Hard-boil the eggs (8 minutes), cool and halve.", "Arrange eggs, cucumber, tomato, olives and feta on a plate.", "Add hummus drizzled with olive oil and za'atar, and the warmed pita half on the side."]</t>
        </is>
      </c>
    </row>
    <row r="38" ht="96" customHeight="1">
      <c r="A38" s="2" t="inlineStr">
        <is>
          <t>DB-0037</t>
        </is>
      </c>
      <c r="B38" s="3" t="inlineStr">
        <is>
          <t>Cottage Cheese Egg Bites (Sous-Vide Style)</t>
        </is>
      </c>
      <c r="C38" s="4" t="inlineStr">
        <is>
          <t>Breakfast</t>
        </is>
      </c>
      <c r="D38" s="4" t="inlineStr">
        <is>
          <t>American</t>
        </is>
      </c>
      <c r="E38" s="2" t="n">
        <v>4</v>
      </c>
      <c r="F38" s="2" t="n">
        <v>10</v>
      </c>
      <c r="G38" s="2" t="n">
        <v>30</v>
      </c>
      <c r="H38" s="2" t="n">
        <v>40</v>
      </c>
      <c r="I38" s="4" t="inlineStr">
        <is>
          <t>cottage-cheese-egg-bites-sous-vide-style.jpg</t>
        </is>
      </c>
      <c r="J38" s="3" t="inlineStr">
        <is>
          <t>Cottage Cheese Egg Bites (Sous-Vide Style), healthy food photography, plated, natural light</t>
        </is>
      </c>
      <c r="K38" s="4" t="inlineStr"/>
      <c r="L38" s="3" t="inlineStr">
        <is>
          <t>Egg, large (50 g each) — 300 g (10.6 oz) [6 large eggs]
Cottage cheese, low-fat — 200 g (7.1 oz)
Roasted red peppers, jarred — 60 g (2.1 oz)
Spinach — 50 g (1.8 oz)
Swiss cheese — 50 g (1.8 oz)
Salt — 2 g (0.1 oz)
Black pepper — 1 g (0.0 oz)</t>
        </is>
      </c>
      <c r="M38" s="4" t="inlineStr">
        <is>
          <t>[{"ingredient_id": "egg", "name": "Egg, large (50 g each)", "grams": 300.0, "note": "6 large eggs"}, {"ingredient_id": "cottage_cheese", "name": "Cottage cheese, low-fat", "grams": 200.0, "note": ""}, {"ingredient_id": "roasted_red_pepper", "name": "Roasted red peppers, jarred", "grams": 60.0, "note": ""}, {"ingredient_id": "spinach", "name": "Spinach", "grams": 50.0, "note": ""}, {"ingredient_id": "swiss_cheese", "name": "Swiss cheese", "grams": 50.0, "note": ""}, {"ingredient_id": "salt", "name": "Salt", "grams": 2.0, "note": ""}, {"ingredient_id": "black_pepper", "name": "Black pepper", "grams": 1.0, "note": ""}]</t>
        </is>
      </c>
      <c r="N38" s="2" t="n">
        <v>205</v>
      </c>
      <c r="O38" s="5" t="n">
        <v>18.9</v>
      </c>
      <c r="P38" s="5" t="n">
        <v>11.9</v>
      </c>
      <c r="Q38" s="5" t="n">
        <v>4.4</v>
      </c>
      <c r="R38" s="5" t="n">
        <v>0.6</v>
      </c>
      <c r="S38" s="5" t="n">
        <v>3.7</v>
      </c>
      <c r="T38" s="2" t="n">
        <v>9</v>
      </c>
      <c r="U38" s="2" t="inlineStr">
        <is>
          <t>low</t>
        </is>
      </c>
      <c r="V38" s="5" t="n">
        <v>0.3</v>
      </c>
      <c r="W38" s="2" t="inlineStr">
        <is>
          <t>low</t>
        </is>
      </c>
      <c r="X38" s="3" t="inlineStr">
        <is>
          <t>Negligible carbohydrate (&lt;5 g net/serving): GI has little practical meaning, glycemic load is what matters.</t>
        </is>
      </c>
      <c r="Y38" s="3" t="inlineStr">
        <is>
          <t>0% of this dish's available carbohydrate comes from ingredients with a published, measured GI; the rest uses conventional placeholders (see Ingredients sheet)</t>
        </is>
      </c>
      <c r="Z38" s="2" t="n">
        <v>0</v>
      </c>
      <c r="AA38" s="3" t="inlineStr">
        <is>
          <t>vegetarian, gluten-free, nut-free, low-carb, make-ahead, meal-prep</t>
        </is>
      </c>
      <c r="AB38" s="3" t="inlineStr">
        <is>
          <t>1. Preheat oven to 325°F and set a silicone muffin pan in a larger pan of hot water.
2. Blend eggs, cottage cheese, salt and pepper until smooth.
3. Divide chopped pepper, spinach and cheese among 8 cups and pour in the egg mixture.
4. Bake in the water bath 28–30 minutes until just set.</t>
        </is>
      </c>
      <c r="AC38" s="4" t="inlineStr">
        <is>
          <t>["Preheat oven to 325°F and set a silicone muffin pan in a larger pan of hot water.", "Blend eggs, cottage cheese, salt and pepper until smooth.", "Divide chopped pepper, spinach and cheese among 8 cups and pour in the egg mixture.", "Bake in the water bath 28–30 minutes until just set."]</t>
        </is>
      </c>
    </row>
    <row r="39" ht="96" customHeight="1">
      <c r="A39" s="2" t="inlineStr">
        <is>
          <t>DB-0038</t>
        </is>
      </c>
      <c r="B39" s="3" t="inlineStr">
        <is>
          <t>Sweet Potato &amp; Turkey Breakfast Hash</t>
        </is>
      </c>
      <c r="C39" s="4" t="inlineStr">
        <is>
          <t>Breakfast</t>
        </is>
      </c>
      <c r="D39" s="4" t="inlineStr">
        <is>
          <t>American</t>
        </is>
      </c>
      <c r="E39" s="2" t="n">
        <v>3</v>
      </c>
      <c r="F39" s="2" t="n">
        <v>10</v>
      </c>
      <c r="G39" s="2" t="n">
        <v>25</v>
      </c>
      <c r="H39" s="2" t="n">
        <v>35</v>
      </c>
      <c r="I39" s="4" t="inlineStr">
        <is>
          <t>sweet-potato-and-turkey-breakfast-hash.jpg</t>
        </is>
      </c>
      <c r="J39" s="3" t="inlineStr">
        <is>
          <t>Sweet Potato &amp; Turkey Breakfast Hash, healthy food photography, plated, natural light</t>
        </is>
      </c>
      <c r="K39" s="4" t="inlineStr"/>
      <c r="L39" s="3" t="inlineStr">
        <is>
          <t>Ground turkey 93% lean — 300 g (10.6 oz)
Sweet potato, boiled/simmered — 200 g (7.1 oz)
Bell pepper — 120 g (4.2 oz)
Yellow onion — 80 g (2.8 oz)
Kale — 80 g (2.8 oz)
Egg, large (50 g each) — 150 g (5.3 oz) [3 large eggs]
Extra-virgin olive oil — 15 g (0.5 oz)
Smoked paprika — 2 g (0.1 oz)
Salt — 2 g (0.1 oz)</t>
        </is>
      </c>
      <c r="M39" s="4" t="inlineStr">
        <is>
          <t>[{"ingredient_id": "ground_turkey", "name": "Ground turkey 93% lean", "grams": 300.0, "note": ""}, {"ingredient_id": "sweet_potato", "name": "Sweet potato, boiled/simmered", "grams": 200.0, "note": ""}, {"ingredient_id": "bell_pepper", "name": "Bell pepper", "grams": 120.0, "note": ""}, {"ingredient_id": "onion", "name": "Yellow onion", "grams": 80.0, "note": ""}, {"ingredient_id": "kale", "name": "Kale", "grams": 80.0, "note": ""}, {"ingredient_id": "egg", "name": "Egg, large (50 g each)", "grams": 150.0, "note": "3 large eggs"}, {"ingredient_id": "olive_oil", "name": "Extra-virgin olive oil", "grams": 15.0, "note": ""}, {"ingredient_id": "smoked_paprika", "name": "Smoked paprika", "grams": 2.0, "note": ""}, {"ingredient_id": "salt", "name": "Salt", "grams": 2.0, "note": ""}]</t>
        </is>
      </c>
      <c r="N39" s="2" t="n">
        <v>361</v>
      </c>
      <c r="O39" s="5" t="n">
        <v>28</v>
      </c>
      <c r="P39" s="5" t="n">
        <v>18.3</v>
      </c>
      <c r="Q39" s="5" t="n">
        <v>21.3</v>
      </c>
      <c r="R39" s="5" t="n">
        <v>4.5</v>
      </c>
      <c r="S39" s="5" t="n">
        <v>16.8</v>
      </c>
      <c r="T39" s="2" t="n">
        <v>36</v>
      </c>
      <c r="U39" s="2" t="inlineStr">
        <is>
          <t>low</t>
        </is>
      </c>
      <c r="V39" s="5" t="n">
        <v>6</v>
      </c>
      <c r="W39" s="2" t="inlineStr">
        <is>
          <t>low</t>
        </is>
      </c>
      <c r="X39" s="3" t="inlineStr"/>
      <c r="Y39" s="3" t="inlineStr">
        <is>
          <t>68% of this dish's available carbohydrate comes from ingredients with a published, measured GI; the rest uses conventional placeholders (see Ingredients sheet)</t>
        </is>
      </c>
      <c r="Z39" s="2" t="n">
        <v>68</v>
      </c>
      <c r="AA39" s="3" t="inlineStr">
        <is>
          <t>gluten-free, dairy-free, nut-free, high-protein, one-pan</t>
        </is>
      </c>
      <c r="AB39" s="3" t="inlineStr">
        <is>
          <t>1. Cook diced sweet potato in olive oil over medium heat, covered, for 8 minutes, stirring occasionally.
2. Add onion, pepper and turkey; cook until browned, seasoning with paprika and salt.
3. Stir in kale until wilted. Make three wells and crack an egg into each.
4. Cover and cook 5 minutes until the eggs are set.</t>
        </is>
      </c>
      <c r="AC39" s="4" t="inlineStr">
        <is>
          <t>["Cook diced sweet potato in olive oil over medium heat, covered, for 8 minutes, stirring occasionally.", "Add onion, pepper and turkey; cook until browned, seasoning with paprika and salt.", "Stir in kale until wilted. Make three wells and crack an egg into each.", "Cover and cook 5 minutes until the eggs are set."]</t>
        </is>
      </c>
    </row>
    <row r="40" ht="96" customHeight="1">
      <c r="A40" s="2" t="inlineStr">
        <is>
          <t>DB-0039</t>
        </is>
      </c>
      <c r="B40" s="3" t="inlineStr">
        <is>
          <t>Egg Salad Lettuce Wraps</t>
        </is>
      </c>
      <c r="C40" s="4" t="inlineStr">
        <is>
          <t>Breakfast</t>
        </is>
      </c>
      <c r="D40" s="4" t="inlineStr">
        <is>
          <t>American</t>
        </is>
      </c>
      <c r="E40" s="2" t="n">
        <v>2</v>
      </c>
      <c r="F40" s="2" t="n">
        <v>15</v>
      </c>
      <c r="G40" s="2" t="n">
        <v>10</v>
      </c>
      <c r="H40" s="2" t="n">
        <v>25</v>
      </c>
      <c r="I40" s="4" t="inlineStr">
        <is>
          <t>egg-salad-lettuce-wraps.jpg</t>
        </is>
      </c>
      <c r="J40" s="3" t="inlineStr">
        <is>
          <t>Egg Salad Lettuce Wraps, healthy food photography, plated, natural light</t>
        </is>
      </c>
      <c r="K40" s="4" t="inlineStr"/>
      <c r="L40" s="3" t="inlineStr">
        <is>
          <t>Egg, large (50 g each) — 250 g (8.8 oz) [5 hard-boiled eggs]
Greek yogurt, plain 2% — 50 g (1.8 oz)
Mayonnaise (avocado oil) — 15 g (0.5 oz)
Dijon mustard — 8 g (0.3 oz)
Celery — 40 g (1.4 oz)
Fresh chives — 5 g (0.2 oz)
Butter lettuce — 80 g (2.8 oz)
Salt — 1 g (0.0 oz)
Black pepper — 1 g (0.0 oz)</t>
        </is>
      </c>
      <c r="M40" s="4" t="inlineStr">
        <is>
          <t>[{"ingredient_id": "egg", "name": "Egg, large (50 g each)", "grams": 250.0, "note": "5 hard-boiled eggs"}, {"ingredient_id": "greek_yogurt", "name": "Greek yogurt, plain 2%", "grams": 50.0, "note": ""}, {"ingredient_id": "mayo", "name": "Mayonnaise (avocado oil)", "grams": 15.0, "note": ""}, {"ingredient_id": "dijon", "name": "Dijon mustard", "grams": 8.0, "note": ""}, {"ingredient_id": "celery", "name": "Celery", "grams": 40.0, "note": ""}, {"ingredient_id": "chives", "name": "Fresh chives", "grams": 5.0, "note": ""}, {"ingredient_id": "butter_lettuce", "name": "Butter lettuce", "grams": 80.0, "note": ""}, {"ingredient_id": "salt", "name": "Salt", "grams": 1.0, "note": ""}, {"ingredient_id": "black_pepper", "name": "Black pepper", "grams": 1.0, "note": ""}]</t>
        </is>
      </c>
      <c r="N40" s="2" t="n">
        <v>263</v>
      </c>
      <c r="O40" s="5" t="n">
        <v>19.2</v>
      </c>
      <c r="P40" s="5" t="n">
        <v>18.5</v>
      </c>
      <c r="Q40" s="5" t="n">
        <v>4</v>
      </c>
      <c r="R40" s="5" t="n">
        <v>1.1</v>
      </c>
      <c r="S40" s="5" t="n">
        <v>2.9</v>
      </c>
      <c r="T40" s="2" t="n">
        <v>9</v>
      </c>
      <c r="U40" s="2" t="inlineStr">
        <is>
          <t>low</t>
        </is>
      </c>
      <c r="V40" s="5" t="n">
        <v>0.3</v>
      </c>
      <c r="W40" s="2" t="inlineStr">
        <is>
          <t>low</t>
        </is>
      </c>
      <c r="X40" s="3" t="inlineStr">
        <is>
          <t>Negligible carbohydrate (&lt;5 g net/serving): GI has little practical meaning, glycemic load is what matters.</t>
        </is>
      </c>
      <c r="Y40" s="3" t="inlineStr">
        <is>
          <t>34% of this dish's available carbohydrate comes from ingredients with a published, measured GI; the rest uses conventional placeholders (see Ingredients sheet)</t>
        </is>
      </c>
      <c r="Z40" s="2" t="n">
        <v>34</v>
      </c>
      <c r="AA40" s="3" t="inlineStr">
        <is>
          <t>vegetarian, gluten-free, nut-free, low-carb, make-ahead</t>
        </is>
      </c>
      <c r="AB40" s="3" t="inlineStr">
        <is>
          <t>1. Hard-boil the eggs, cool, peel and chop.
2. Mix with yogurt, mayo, Dijon, celery, chives, salt and pepper.
3. Spoon into butter lettuce leaves and serve.</t>
        </is>
      </c>
      <c r="AC40" s="4" t="inlineStr">
        <is>
          <t>["Hard-boil the eggs, cool, peel and chop.", "Mix with yogurt, mayo, Dijon, celery, chives, salt and pepper.", "Spoon into butter lettuce leaves and serve."]</t>
        </is>
      </c>
    </row>
    <row r="41" ht="96" customHeight="1">
      <c r="A41" s="2" t="inlineStr">
        <is>
          <t>DB-0040</t>
        </is>
      </c>
      <c r="B41" s="3" t="inlineStr">
        <is>
          <t>Coconut Almond Chia Pudding</t>
        </is>
      </c>
      <c r="C41" s="4" t="inlineStr">
        <is>
          <t>Breakfast</t>
        </is>
      </c>
      <c r="D41" s="4" t="inlineStr">
        <is>
          <t>American</t>
        </is>
      </c>
      <c r="E41" s="2" t="n">
        <v>2</v>
      </c>
      <c r="F41" s="2" t="n">
        <v>5</v>
      </c>
      <c r="G41" s="2" t="n">
        <v>0</v>
      </c>
      <c r="H41" s="2" t="n">
        <v>5</v>
      </c>
      <c r="I41" s="4" t="inlineStr">
        <is>
          <t>coconut-almond-chia-pudding.jpg</t>
        </is>
      </c>
      <c r="J41" s="3" t="inlineStr">
        <is>
          <t>Coconut Almond Chia Pudding, healthy food photography, plated, natural light</t>
        </is>
      </c>
      <c r="K41" s="4" t="inlineStr"/>
      <c r="L41" s="3" t="inlineStr">
        <is>
          <t>Chia seeds — 40 g (1.4 oz)
Coconut milk, canned light — 250 g (8.8 oz)
Almond milk, unsweetened — 100 g (3.5 oz)
Coconut, unsweetened shredded — 10 g (0.4 oz)
Almonds — 20 g (0.7 oz)
Blackberries — 80 g (2.8 oz)
Vanilla extract — 3 g (0.1 oz)
Stevia (liquid) — 1 g (0.0 oz)</t>
        </is>
      </c>
      <c r="M41" s="4" t="inlineStr">
        <is>
          <t>[{"ingredient_id": "chia_seeds", "name": "Chia seeds", "grams": 40.0, "note": ""}, {"ingredient_id": "coconut_milk_light", "name": "Coconut milk, canned light", "grams": 250.0, "note": ""}, {"ingredient_id": "almond_milk", "name": "Almond milk, unsweetened", "grams": 100.0, "note": ""}, {"ingredient_id": "coconut_shredded", "name": "Coconut, unsweetened shredded", "grams": 10.0, "note": ""}, {"ingredient_id": "almonds", "name": "Almonds", "grams": 20.0, "note": ""}, {"ingredient_id": "blackberries", "name": "Blackberries", "grams": 80.0, "note": ""}, {"ingredient_id": "vanilla_extract", "name": "Vanilla extract", "grams": 3.0, "note": ""}, {"ingredient_id": "stevia", "name": "Stevia (liquid)", "grams": 1.0, "note": ""}]</t>
        </is>
      </c>
      <c r="N41" s="2" t="n">
        <v>302</v>
      </c>
      <c r="O41" s="5" t="n">
        <v>7.6</v>
      </c>
      <c r="P41" s="5" t="n">
        <v>22.7</v>
      </c>
      <c r="Q41" s="5" t="n">
        <v>19.3</v>
      </c>
      <c r="R41" s="5" t="n">
        <v>11</v>
      </c>
      <c r="S41" s="5" t="n">
        <v>8.300000000000001</v>
      </c>
      <c r="T41" s="2" t="n">
        <v>26</v>
      </c>
      <c r="U41" s="2" t="inlineStr">
        <is>
          <t>low</t>
        </is>
      </c>
      <c r="V41" s="5" t="n">
        <v>2.2</v>
      </c>
      <c r="W41" s="2" t="inlineStr">
        <is>
          <t>low</t>
        </is>
      </c>
      <c r="X41" s="3" t="inlineStr"/>
      <c r="Y41" s="3" t="inlineStr">
        <is>
          <t>0% of this dish's available carbohydrate comes from ingredients with a published, measured GI; the rest uses conventional placeholders (see Ingredients sheet)</t>
        </is>
      </c>
      <c r="Z41" s="2" t="n">
        <v>0</v>
      </c>
      <c r="AA41" s="3" t="inlineStr">
        <is>
          <t>vegan, gluten-free, dairy-free, low-carb, high-fiber, no-cook, make-ahead</t>
        </is>
      </c>
      <c r="AB41" s="3" t="inlineStr">
        <is>
          <t>1. Whisk chia with both milks, vanilla and stevia; refrigerate overnight.
2. Toast coconut and almonds in a dry pan for 2 minutes.
3. Top the pudding with blackberries and the toasted mix.</t>
        </is>
      </c>
      <c r="AC41" s="4" t="inlineStr">
        <is>
          <t>["Whisk chia with both milks, vanilla and stevia; refrigerate overnight.", "Toast coconut and almonds in a dry pan for 2 minutes.", "Top the pudding with blackberries and the toasted mix."]</t>
        </is>
      </c>
    </row>
    <row r="42" ht="96" customHeight="1">
      <c r="A42" s="2" t="inlineStr">
        <is>
          <t>DB-0041</t>
        </is>
      </c>
      <c r="B42" s="3" t="inlineStr">
        <is>
          <t>Spinach Mushroom Crustless Quiche</t>
        </is>
      </c>
      <c r="C42" s="4" t="inlineStr">
        <is>
          <t>Breakfast</t>
        </is>
      </c>
      <c r="D42" s="4" t="inlineStr">
        <is>
          <t>French</t>
        </is>
      </c>
      <c r="E42" s="2" t="n">
        <v>6</v>
      </c>
      <c r="F42" s="2" t="n">
        <v>15</v>
      </c>
      <c r="G42" s="2" t="n">
        <v>40</v>
      </c>
      <c r="H42" s="2" t="n">
        <v>55</v>
      </c>
      <c r="I42" s="4" t="inlineStr">
        <is>
          <t>spinach-mushroom-crustless-quiche.jpg</t>
        </is>
      </c>
      <c r="J42" s="3" t="inlineStr">
        <is>
          <t>Spinach Mushroom Crustless Quiche, healthy food photography, plated, natural light</t>
        </is>
      </c>
      <c r="K42" s="4" t="inlineStr"/>
      <c r="L42" s="3" t="inlineStr">
        <is>
          <t>Egg, large (50 g each) — 300 g (10.6 oz) [6 large eggs]
Milk, 2% — 150 g (5.3 oz)
Greek yogurt, plain 2% — 100 g (3.5 oz)
Spinach — 200 g (7.1 oz)
Mushrooms (cremini/white) — 200 g (7.1 oz)
Yellow onion — 80 g (2.8 oz)
Swiss cheese — 100 g (3.5 oz)
Extra-virgin olive oil — 12 g (0.4 oz)
Ground nutmeg — 0.5 g (0.0 oz)
Salt — 2 g (0.1 oz)</t>
        </is>
      </c>
      <c r="M42" s="4" t="inlineStr">
        <is>
          <t>[{"ingredient_id": "egg", "name": "Egg, large (50 g each)", "grams": 300.0, "note": "6 large eggs"}, {"ingredient_id": "milk", "name": "Milk, 2%", "grams": 150.0, "note": ""}, {"ingredient_id": "greek_yogurt", "name": "Greek yogurt, plain 2%", "grams": 100.0, "note": ""}, {"ingredient_id": "spinach", "name": "Spinach", "grams": 200.0, "note": ""}, {"ingredient_id": "mushrooms", "name": "Mushrooms (cremini/white)", "grams": 200.0, "note": ""}, {"ingredient_id": "onion", "name": "Yellow onion", "grams": 80.0, "note": ""}, {"ingredient_id": "swiss_cheese", "name": "Swiss cheese", "grams": 100.0, "note": ""}, {"ingredient_id": "olive_oil", "name": "Extra-virgin olive oil", "grams": 12.0, "note": ""}, {"ingredient_id": "nutmeg", "name": "Ground nutmeg", "grams": 0.5, "note": ""}, {"ingredient_id": "salt", "name": "Salt", "grams": 2.0, "note": ""}]</t>
        </is>
      </c>
      <c r="N42" s="2" t="n">
        <v>198</v>
      </c>
      <c r="O42" s="5" t="n">
        <v>15.4</v>
      </c>
      <c r="P42" s="5" t="n">
        <v>12.5</v>
      </c>
      <c r="Q42" s="5" t="n">
        <v>6</v>
      </c>
      <c r="R42" s="5" t="n">
        <v>1.3</v>
      </c>
      <c r="S42" s="5" t="n">
        <v>4.7</v>
      </c>
      <c r="T42" s="2" t="n">
        <v>16</v>
      </c>
      <c r="U42" s="2" t="inlineStr">
        <is>
          <t>low</t>
        </is>
      </c>
      <c r="V42" s="5" t="n">
        <v>0.8</v>
      </c>
      <c r="W42" s="2" t="inlineStr">
        <is>
          <t>low</t>
        </is>
      </c>
      <c r="X42" s="3" t="inlineStr">
        <is>
          <t>Negligible carbohydrate (&lt;5 g net/serving): GI has little practical meaning, glycemic load is what matters.</t>
        </is>
      </c>
      <c r="Y42" s="3" t="inlineStr">
        <is>
          <t>39% of this dish's available carbohydrate comes from ingredients with a published, measured GI; the rest uses conventional placeholders (see Ingredients sheet)</t>
        </is>
      </c>
      <c r="Z42" s="2" t="n">
        <v>39</v>
      </c>
      <c r="AA42" s="3" t="inlineStr">
        <is>
          <t>vegetarian, gluten-free, nut-free, low-carb, make-ahead</t>
        </is>
      </c>
      <c r="AB42" s="3" t="inlineStr">
        <is>
          <t>1. Preheat oven to 350°F and oil a 9-inch pie dish.
2. Sauté onion and mushrooms in olive oil until dry and golden, add spinach and wilt.
3. Whisk eggs, milk, yogurt, nutmeg and salt; stir in the vegetables and cheese and pour into the dish.
4. Bake 35–40 minutes until the center is set. Rest 10 minutes.</t>
        </is>
      </c>
      <c r="AC42" s="4" t="inlineStr">
        <is>
          <t>["Preheat oven to 350°F and oil a 9-inch pie dish.", "Sauté onion and mushrooms in olive oil until dry and golden, add spinach and wilt.", "Whisk eggs, milk, yogurt, nutmeg and salt; stir in the vegetables and cheese and pour into the dish.", "Bake 35–40 minutes until the center is set. Rest 10 minutes."]</t>
        </is>
      </c>
    </row>
    <row r="43" ht="96" customHeight="1">
      <c r="A43" s="2" t="inlineStr">
        <is>
          <t>DB-0042</t>
        </is>
      </c>
      <c r="B43" s="3" t="inlineStr">
        <is>
          <t>Protein Waffles (Oat &amp; Cottage Cheese)</t>
        </is>
      </c>
      <c r="C43" s="4" t="inlineStr">
        <is>
          <t>Breakfast</t>
        </is>
      </c>
      <c r="D43" s="4" t="inlineStr">
        <is>
          <t>American</t>
        </is>
      </c>
      <c r="E43" s="2" t="n">
        <v>2</v>
      </c>
      <c r="F43" s="2" t="n">
        <v>5</v>
      </c>
      <c r="G43" s="2" t="n">
        <v>10</v>
      </c>
      <c r="H43" s="2" t="n">
        <v>15</v>
      </c>
      <c r="I43" s="4" t="inlineStr">
        <is>
          <t>protein-waffles-oat-and-cottage-cheese.jpg</t>
        </is>
      </c>
      <c r="J43" s="3" t="inlineStr">
        <is>
          <t>Protein Waffles (Oat &amp; Cottage Cheese), healthy food photography, plated, natural light</t>
        </is>
      </c>
      <c r="K43" s="4" t="inlineStr"/>
      <c r="L43" s="3" t="inlineStr">
        <is>
          <t>Rolled oats, dry — 60 g (2.1 oz)
Cottage cheese, low-fat — 150 g (5.3 oz)
Egg, large (50 g each) — 100 g (3.5 oz) [2 large eggs]
Baking powder — 3 g (0.1 oz)
Vanilla extract — 3 g (0.1 oz)
Ground cinnamon — 1 g (0.0 oz)
Strawberries — 100 g (3.5 oz)
Greek yogurt, plain 2% — 80 g (2.8 oz)</t>
        </is>
      </c>
      <c r="M43" s="4" t="inlineStr">
        <is>
          <t>[{"ingredient_id": "rolled_oats", "name": "Rolled oats, dry", "grams": 60.0, "note": ""}, {"ingredient_id": "cottage_cheese", "name": "Cottage cheese, low-fat", "grams": 150.0, "note": ""}, {"ingredient_id": "egg", "name": "Egg, large (50 g each)", "grams": 100.0, "note": "2 large eggs"}, {"ingredient_id": "baking_powder", "name": "Baking powder", "grams": 3.0, "note": ""}, {"ingredient_id": "vanilla_extract", "name": "Vanilla extract", "grams": 3.0, "note": ""}, {"ingredient_id": "cinnamon", "name": "Ground cinnamon", "grams": 1.0, "note": ""}, {"ingredient_id": "strawberries", "name": "Strawberries", "grams": 100.0, "note": ""}, {"ingredient_id": "greek_yogurt", "name": "Greek yogurt, plain 2%", "grams": 80.0, "note": ""}]</t>
        </is>
      </c>
      <c r="N43" s="2" t="n">
        <v>300</v>
      </c>
      <c r="O43" s="5" t="n">
        <v>22.8</v>
      </c>
      <c r="P43" s="5" t="n">
        <v>9.4</v>
      </c>
      <c r="Q43" s="5" t="n">
        <v>30.4</v>
      </c>
      <c r="R43" s="5" t="n">
        <v>4.3</v>
      </c>
      <c r="S43" s="5" t="n">
        <v>26.2</v>
      </c>
      <c r="T43" s="2" t="n">
        <v>44</v>
      </c>
      <c r="U43" s="2" t="inlineStr">
        <is>
          <t>low</t>
        </is>
      </c>
      <c r="V43" s="5" t="n">
        <v>11.5</v>
      </c>
      <c r="W43" s="2" t="inlineStr">
        <is>
          <t>medium</t>
        </is>
      </c>
      <c r="X43" s="3" t="inlineStr"/>
      <c r="Y43" s="3" t="inlineStr">
        <is>
          <t>83% of this dish's available carbohydrate comes from ingredients with a published, measured GI; the rest uses conventional placeholders (see Ingredients sheet)</t>
        </is>
      </c>
      <c r="Z43" s="2" t="n">
        <v>83</v>
      </c>
      <c r="AA43" s="3" t="inlineStr">
        <is>
          <t>vegetarian, nut-free</t>
        </is>
      </c>
      <c r="AB43" s="3" t="inlineStr">
        <is>
          <t>1. Blend oats, cottage cheese, eggs, baking powder, vanilla and cinnamon into a smooth batter.
2. Cook in a preheated, lightly greased waffle iron until golden, about 4 minutes per waffle.
3. Serve with Greek yogurt and sliced strawberries.</t>
        </is>
      </c>
      <c r="AC43" s="4" t="inlineStr">
        <is>
          <t>["Blend oats, cottage cheese, eggs, baking powder, vanilla and cinnamon into a smooth batter.", "Cook in a preheated, lightly greased waffle iron until golden, about 4 minutes per waffle.", "Serve with Greek yogurt and sliced strawberries."]</t>
        </is>
      </c>
    </row>
    <row r="44" ht="96" customHeight="1">
      <c r="A44" s="2" t="inlineStr">
        <is>
          <t>DB-0043</t>
        </is>
      </c>
      <c r="B44" s="3" t="inlineStr">
        <is>
          <t>Breakfast Salad with Poached Egg</t>
        </is>
      </c>
      <c r="C44" s="4" t="inlineStr">
        <is>
          <t>Breakfast</t>
        </is>
      </c>
      <c r="D44" s="4" t="inlineStr">
        <is>
          <t>American</t>
        </is>
      </c>
      <c r="E44" s="2" t="n">
        <v>1</v>
      </c>
      <c r="F44" s="2" t="n">
        <v>10</v>
      </c>
      <c r="G44" s="2" t="n">
        <v>5</v>
      </c>
      <c r="H44" s="2" t="n">
        <v>15</v>
      </c>
      <c r="I44" s="4" t="inlineStr">
        <is>
          <t>breakfast-salad-with-poached-egg.jpg</t>
        </is>
      </c>
      <c r="J44" s="3" t="inlineStr">
        <is>
          <t>Breakfast Salad with Poached Egg, healthy food photography, plated, natural light</t>
        </is>
      </c>
      <c r="K44" s="4" t="inlineStr"/>
      <c r="L44" s="3" t="inlineStr">
        <is>
          <t>Mixed salad greens — 80 g (2.8 oz)
Egg, large (50 g each) — 100 g (3.5 oz) [2 large eggs]
Avocado — 50 g (1.8 oz)
Cherry tomatoes — 80 g (2.8 oz)
Pumpkin seeds (pepitas) — 10 g (0.4 oz)
Extra-virgin olive oil — 8 g (0.3 oz)
Lemon juice — 8 g (0.3 oz)
Salt — 1 g (0.0 oz)</t>
        </is>
      </c>
      <c r="M44" s="4" t="inlineStr">
        <is>
          <t>[{"ingredient_id": "mixed_greens", "name": "Mixed salad greens", "grams": 80.0, "note": ""}, {"ingredient_id": "egg", "name": "Egg, large (50 g each)", "grams": 100.0, "note": "2 large eggs"}, {"ingredient_id": "avocado", "name": "Avocado", "grams": 50.0, "note": ""}, {"ingredient_id": "cherry_tomato", "name": "Cherry tomatoes", "grams": 80.0, "note": ""}, {"ingredient_id": "pumpkin_seeds", "name": "Pumpkin seeds (pepitas)", "grams": 10.0, "note": ""}, {"ingredient_id": "olive_oil", "name": "Extra-virgin olive oil", "grams": 8.0, "note": ""}, {"ingredient_id": "lemon_juice", "name": "Lemon juice", "grams": 8.0, "note": ""}, {"ingredient_id": "salt", "name": "Salt", "grams": 1.0, "note": ""}]</t>
        </is>
      </c>
      <c r="N44" s="2" t="n">
        <v>382</v>
      </c>
      <c r="O44" s="5" t="n">
        <v>19</v>
      </c>
      <c r="P44" s="5" t="n">
        <v>30.3</v>
      </c>
      <c r="Q44" s="5" t="n">
        <v>12.5</v>
      </c>
      <c r="R44" s="5" t="n">
        <v>6.5</v>
      </c>
      <c r="S44" s="5" t="n">
        <v>6</v>
      </c>
      <c r="T44" s="2" t="n">
        <v>14</v>
      </c>
      <c r="U44" s="2" t="inlineStr">
        <is>
          <t>low</t>
        </is>
      </c>
      <c r="V44" s="5" t="n">
        <v>0.8</v>
      </c>
      <c r="W44" s="2" t="inlineStr">
        <is>
          <t>low</t>
        </is>
      </c>
      <c r="X44" s="3" t="inlineStr"/>
      <c r="Y44" s="3" t="inlineStr">
        <is>
          <t>0% of this dish's available carbohydrate comes from ingredients with a published, measured GI; the rest uses conventional placeholders (see Ingredients sheet)</t>
        </is>
      </c>
      <c r="Z44" s="2" t="n">
        <v>0</v>
      </c>
      <c r="AA44" s="3" t="inlineStr">
        <is>
          <t>vegetarian, gluten-free, dairy-free, nut-free, low-carb, quick</t>
        </is>
      </c>
      <c r="AB44" s="3" t="inlineStr">
        <is>
          <t>1. Poach the eggs in simmering water with a splash of vinegar for 3 minutes.
2. Toss greens with olive oil, lemon juice and salt.
3. Top with avocado, tomatoes, pumpkin seeds and the poached eggs.</t>
        </is>
      </c>
      <c r="AC44" s="4" t="inlineStr">
        <is>
          <t>["Poach the eggs in simmering water with a splash of vinegar for 3 minutes.", "Toss greens with olive oil, lemon juice and salt.", "Top with avocado, tomatoes, pumpkin seeds and the poached eggs."]</t>
        </is>
      </c>
    </row>
    <row r="45" ht="96" customHeight="1">
      <c r="A45" s="2" t="inlineStr">
        <is>
          <t>DB-0044</t>
        </is>
      </c>
      <c r="B45" s="3" t="inlineStr">
        <is>
          <t>Chorizo-Style Turkey Breakfast Skillet</t>
        </is>
      </c>
      <c r="C45" s="4" t="inlineStr">
        <is>
          <t>Breakfast</t>
        </is>
      </c>
      <c r="D45" s="4" t="inlineStr">
        <is>
          <t>Mexican</t>
        </is>
      </c>
      <c r="E45" s="2" t="n">
        <v>3</v>
      </c>
      <c r="F45" s="2" t="n">
        <v>10</v>
      </c>
      <c r="G45" s="2" t="n">
        <v>20</v>
      </c>
      <c r="H45" s="2" t="n">
        <v>30</v>
      </c>
      <c r="I45" s="4" t="inlineStr">
        <is>
          <t>chorizo-style-turkey-breakfast-skillet.jpg</t>
        </is>
      </c>
      <c r="J45" s="3" t="inlineStr">
        <is>
          <t>Chorizo-Style Turkey Breakfast Skillet, healthy food photography, plated, natural light</t>
        </is>
      </c>
      <c r="K45" s="4" t="inlineStr"/>
      <c r="L45" s="3" t="inlineStr">
        <is>
          <t>Ground turkey 93% lean — 350 g (12.3 oz)
Chili powder — 6 g (0.2 oz)
Smoked paprika — 3 g (0.1 oz)
Ground cumin — 2 g (0.1 oz)
Apple cider vinegar — 10 g (0.4 oz)
Egg, large (50 g each) — 150 g (5.3 oz) [3 large eggs]
Bell pepper — 120 g (4.2 oz)
Yellow onion — 60 g (2.1 oz)
Extra-virgin olive oil — 12 g (0.4 oz)
Fresh cilantro — 8 g (0.3 oz)
Salt — 2 g (0.1 oz)</t>
        </is>
      </c>
      <c r="M45" s="4" t="inlineStr">
        <is>
          <t>[{"ingredient_id": "ground_turkey", "name": "Ground turkey 93% lean", "grams": 350.0, "note": ""}, {"ingredient_id": "chili_powder", "name": "Chili powder", "grams": 6.0, "note": ""}, {"ingredient_id": "smoked_paprika", "name": "Smoked paprika", "grams": 3.0, "note": ""}, {"ingredient_id": "cumin", "name": "Ground cumin", "grams": 2.0, "note": ""}, {"ingredient_id": "apple_cider_vinegar", "name": "Apple cider vinegar", "grams": 10.0, "note": ""}, {"ingredient_id": "egg", "name": "Egg, large (50 g each)", "grams": 150.0, "note": "3 large eggs"}, {"ingredient_id": "bell_pepper", "name": "Bell pepper", "grams": 120.0, "note": ""}, {"ingredient_id": "onion", "name": "Yellow onion", "grams": 60.0, "note": ""}, {"ingredient_id": "olive_oil", "name": "Extra-virgin olive oil", "grams": 12.0, "note": ""}, {"ingredient_id": "cilantro", "name": "Fresh cilantro", "grams": 8.0, "note": ""}, {"ingredient_id": "salt", "name": "Salt", "grams": 2.0, "note": ""}]</t>
        </is>
      </c>
      <c r="N45" s="2" t="n">
        <v>315</v>
      </c>
      <c r="O45" s="5" t="n">
        <v>29.3</v>
      </c>
      <c r="P45" s="5" t="n">
        <v>18.8</v>
      </c>
      <c r="Q45" s="5" t="n">
        <v>6.6</v>
      </c>
      <c r="R45" s="5" t="n">
        <v>2.4</v>
      </c>
      <c r="S45" s="5" t="n">
        <v>4.2</v>
      </c>
      <c r="T45" s="2" t="n">
        <v>14</v>
      </c>
      <c r="U45" s="2" t="inlineStr">
        <is>
          <t>low</t>
        </is>
      </c>
      <c r="V45" s="5" t="n">
        <v>0.6</v>
      </c>
      <c r="W45" s="2" t="inlineStr">
        <is>
          <t>low</t>
        </is>
      </c>
      <c r="X45" s="3" t="inlineStr">
        <is>
          <t>Negligible carbohydrate (&lt;5 g net/serving): GI has little practical meaning, glycemic load is what matters.</t>
        </is>
      </c>
      <c r="Y45" s="3" t="inlineStr">
        <is>
          <t>0% of this dish's available carbohydrate comes from ingredients with a published, measured GI; the rest uses conventional placeholders (see Ingredients sheet)</t>
        </is>
      </c>
      <c r="Z45" s="2" t="n">
        <v>0</v>
      </c>
      <c r="AA45" s="3" t="inlineStr">
        <is>
          <t>gluten-free, dairy-free, nut-free, low-carb, high-protein, one-pan</t>
        </is>
      </c>
      <c r="AB45" s="3" t="inlineStr">
        <is>
          <t>1. Mix turkey with chili powder, paprika, cumin, vinegar and salt to make a quick chorizo.
2. Brown the turkey mixture with onion and pepper in olive oil, breaking it up, about 10 minutes.
3. Make wells, crack in the eggs, cover and cook until set.
4. Sprinkle with cilantro.</t>
        </is>
      </c>
      <c r="AC45" s="4" t="inlineStr">
        <is>
          <t>["Mix turkey with chili powder, paprika, cumin, vinegar and salt to make a quick chorizo.", "Brown the turkey mixture with onion and pepper in olive oil, breaking it up, about 10 minutes.", "Make wells, crack in the eggs, cover and cook until set.", "Sprinkle with cilantro."]</t>
        </is>
      </c>
    </row>
    <row r="46" ht="96" customHeight="1">
      <c r="A46" s="2" t="inlineStr">
        <is>
          <t>DB-0045</t>
        </is>
      </c>
      <c r="B46" s="3" t="inlineStr">
        <is>
          <t>Blueberry Cottage Cheese Pancakes</t>
        </is>
      </c>
      <c r="C46" s="4" t="inlineStr">
        <is>
          <t>Breakfast</t>
        </is>
      </c>
      <c r="D46" s="4" t="inlineStr">
        <is>
          <t>American</t>
        </is>
      </c>
      <c r="E46" s="2" t="n">
        <v>2</v>
      </c>
      <c r="F46" s="2" t="n">
        <v>5</v>
      </c>
      <c r="G46" s="2" t="n">
        <v>12</v>
      </c>
      <c r="H46" s="2" t="n">
        <v>17</v>
      </c>
      <c r="I46" s="4" t="inlineStr">
        <is>
          <t>blueberry-cottage-cheese-pancakes.jpg</t>
        </is>
      </c>
      <c r="J46" s="3" t="inlineStr">
        <is>
          <t>Blueberry Cottage Cheese Pancakes, healthy food photography, plated, natural light</t>
        </is>
      </c>
      <c r="K46" s="4" t="inlineStr"/>
      <c r="L46" s="3" t="inlineStr">
        <is>
          <t>Cottage cheese, low-fat — 200 g (7.1 oz)
Egg, large (50 g each) — 100 g (3.5 oz) [2 large eggs]
Rolled oats, dry — 50 g (1.8 oz)
Blueberries — 80 g (2.8 oz)
Vanilla extract — 3 g (0.1 oz)
Baking powder — 3 g (0.1 oz)
Coconut oil — 8 g (0.3 oz)</t>
        </is>
      </c>
      <c r="M46" s="4" t="inlineStr">
        <is>
          <t>[{"ingredient_id": "cottage_cheese", "name": "Cottage cheese, low-fat", "grams": 200.0, "note": ""}, {"ingredient_id": "egg", "name": "Egg, large (50 g each)", "grams": 100.0, "note": "2 large eggs"}, {"ingredient_id": "rolled_oats", "name": "Rolled oats, dry", "grams": 50.0, "note": ""}, {"ingredient_id": "blueberries", "name": "Blueberries", "grams": 80.0, "note": ""}, {"ingredient_id": "vanilla_extract", "name": "Vanilla extract", "grams": 3.0, "note": ""}, {"ingredient_id": "baking_powder", "name": "Baking powder", "grams": 3.0, "note": ""}, {"ingredient_id": "coconut_oil", "name": "Coconut oil", "grams": 8.0, "note": ""}]</t>
        </is>
      </c>
      <c r="N46" s="2" t="n">
        <v>313</v>
      </c>
      <c r="O46" s="5" t="n">
        <v>20.8</v>
      </c>
      <c r="P46" s="5" t="n">
        <v>12.8</v>
      </c>
      <c r="Q46" s="5" t="n">
        <v>28.1</v>
      </c>
      <c r="R46" s="5" t="n">
        <v>3.5</v>
      </c>
      <c r="S46" s="5" t="n">
        <v>24.6</v>
      </c>
      <c r="T46" s="2" t="n">
        <v>46</v>
      </c>
      <c r="U46" s="2" t="inlineStr">
        <is>
          <t>low</t>
        </is>
      </c>
      <c r="V46" s="5" t="n">
        <v>11.3</v>
      </c>
      <c r="W46" s="2" t="inlineStr">
        <is>
          <t>medium</t>
        </is>
      </c>
      <c r="X46" s="3" t="inlineStr"/>
      <c r="Y46" s="3" t="inlineStr">
        <is>
          <t>79% of this dish's available carbohydrate comes from ingredients with a published, measured GI; the rest uses conventional placeholders (see Ingredients sheet)</t>
        </is>
      </c>
      <c r="Z46" s="2" t="n">
        <v>79</v>
      </c>
      <c r="AA46" s="3" t="inlineStr">
        <is>
          <t>vegetarian, nut-free</t>
        </is>
      </c>
      <c r="AB46" s="3" t="inlineStr">
        <is>
          <t>1. Blend cottage cheese, eggs, oats, vanilla and baking powder until smooth.
2. Fold in blueberries and let batter rest 5 minutes.
3. Cook small pancakes in coconut oil over medium-low heat, 2–3 minutes per side.</t>
        </is>
      </c>
      <c r="AC46" s="4" t="inlineStr">
        <is>
          <t>["Blend cottage cheese, eggs, oats, vanilla and baking powder until smooth.", "Fold in blueberries and let batter rest 5 minutes.", "Cook small pancakes in coconut oil over medium-low heat, 2–3 minutes per side."]</t>
        </is>
      </c>
    </row>
    <row r="47" ht="96" customHeight="1">
      <c r="A47" s="2" t="inlineStr">
        <is>
          <t>DB-0046</t>
        </is>
      </c>
      <c r="B47" s="3" t="inlineStr">
        <is>
          <t>Eggs Benedict on Portobello with Yogurt Hollandaise</t>
        </is>
      </c>
      <c r="C47" s="4" t="inlineStr">
        <is>
          <t>Breakfast</t>
        </is>
      </c>
      <c r="D47" s="4" t="inlineStr">
        <is>
          <t>American</t>
        </is>
      </c>
      <c r="E47" s="2" t="n">
        <v>2</v>
      </c>
      <c r="F47" s="2" t="n">
        <v>10</v>
      </c>
      <c r="G47" s="2" t="n">
        <v>15</v>
      </c>
      <c r="H47" s="2" t="n">
        <v>25</v>
      </c>
      <c r="I47" s="4" t="inlineStr">
        <is>
          <t>eggs-benedict-on-portobello-with-yogurt-hollandaise.jpg</t>
        </is>
      </c>
      <c r="J47" s="3" t="inlineStr">
        <is>
          <t>Eggs Benedict on Portobello with Yogurt Hollandaise, healthy food photography, plated, natural light</t>
        </is>
      </c>
      <c r="K47" s="4" t="inlineStr"/>
      <c r="L47" s="3" t="inlineStr">
        <is>
          <t>Portobello mushrooms — 200 g (7.1 oz) [2 large caps]
Egg, large (50 g each) — 200 g (7.1 oz) [4 large eggs]
Canadian bacon — 80 g (2.8 oz)
Greek yogurt, plain 2% — 80 g (2.8 oz)
Lemon juice — 8 g (0.3 oz)
Dijon mustard — 5 g (0.2 oz)
Butter — 10 g (0.4 oz)
Extra-virgin olive oil — 8 g (0.3 oz)
Fresh chives — 3 g (0.1 oz)</t>
        </is>
      </c>
      <c r="M47" s="4" t="inlineStr">
        <is>
          <t>[{"ingredient_id": "portobello", "name": "Portobello mushrooms", "grams": 200.0, "note": "2 large caps"}, {"ingredient_id": "egg", "name": "Egg, large (50 g each)", "grams": 200.0, "note": "4 large eggs"}, {"ingredient_id": "canadian_bacon", "name": "Canadian bacon", "grams": 80.0, "note": ""}, {"ingredient_id": "greek_yogurt", "name": "Greek yogurt, plain 2%", "grams": 80.0, "note": ""}, {"ingredient_id": "lemon_juice", "name": "Lemon juice", "grams": 8.0, "note": ""}, {"ingredient_id": "dijon", "name": "Dijon mustard", "grams": 5.0, "note": ""}, {"ingredient_id": "butter", "name": "Butter", "grams": 10.0, "note": ""}, {"ingredient_id": "olive_oil", "name": "Extra-virgin olive oil", "grams": 8.0, "note": ""}, {"ingredient_id": "chives", "name": "Fresh chives", "grams": 3.0, "note": ""}]</t>
        </is>
      </c>
      <c r="N47" s="2" t="n">
        <v>312</v>
      </c>
      <c r="O47" s="5" t="n">
        <v>26.9</v>
      </c>
      <c r="P47" s="5" t="n">
        <v>19.7</v>
      </c>
      <c r="Q47" s="5" t="n">
        <v>7.1</v>
      </c>
      <c r="R47" s="5" t="n">
        <v>1.4</v>
      </c>
      <c r="S47" s="5" t="n">
        <v>5.6</v>
      </c>
      <c r="T47" s="2" t="n">
        <v>11</v>
      </c>
      <c r="U47" s="2" t="inlineStr">
        <is>
          <t>low</t>
        </is>
      </c>
      <c r="V47" s="5" t="n">
        <v>0.6</v>
      </c>
      <c r="W47" s="2" t="inlineStr">
        <is>
          <t>low</t>
        </is>
      </c>
      <c r="X47" s="3" t="inlineStr"/>
      <c r="Y47" s="3" t="inlineStr">
        <is>
          <t>28% of this dish's available carbohydrate comes from ingredients with a published, measured GI; the rest uses conventional placeholders (see Ingredients sheet)</t>
        </is>
      </c>
      <c r="Z47" s="2" t="n">
        <v>28</v>
      </c>
      <c r="AA47" s="3" t="inlineStr">
        <is>
          <t>gluten-free, nut-free, low-carb, high-protein</t>
        </is>
      </c>
      <c r="AB47" s="3" t="inlineStr">
        <is>
          <t>1. Brush portobellos with olive oil and roast at 400°F for 12 minutes.
2. Whisk yogurt, lemon juice, Dijon and melted butter for a quick hollandaise; warm gently.
3. Poach the eggs 3 minutes and sear the Canadian bacon.
4. Stack mushroom, bacon and egg, spoon sauce over and top with chives.</t>
        </is>
      </c>
      <c r="AC47" s="4" t="inlineStr">
        <is>
          <t>["Brush portobellos with olive oil and roast at 400°F for 12 minutes.", "Whisk yogurt, lemon juice, Dijon and melted butter for a quick hollandaise; warm gently.", "Poach the eggs 3 minutes and sear the Canadian bacon.", "Stack mushroom, bacon and egg, spoon sauce over and top with chives."]</t>
        </is>
      </c>
    </row>
    <row r="48" ht="96" customHeight="1">
      <c r="A48" s="2" t="inlineStr">
        <is>
          <t>DB-0047</t>
        </is>
      </c>
      <c r="B48" s="3" t="inlineStr">
        <is>
          <t>Almond Butter Banana Protein Toast</t>
        </is>
      </c>
      <c r="C48" s="4" t="inlineStr">
        <is>
          <t>Breakfast</t>
        </is>
      </c>
      <c r="D48" s="4" t="inlineStr">
        <is>
          <t>American</t>
        </is>
      </c>
      <c r="E48" s="2" t="n">
        <v>1</v>
      </c>
      <c r="F48" s="2" t="n">
        <v>5</v>
      </c>
      <c r="G48" s="2" t="n">
        <v>3</v>
      </c>
      <c r="H48" s="2" t="n">
        <v>8</v>
      </c>
      <c r="I48" s="4" t="inlineStr">
        <is>
          <t>almond-butter-banana-protein-toast.jpg</t>
        </is>
      </c>
      <c r="J48" s="3" t="inlineStr">
        <is>
          <t>Almond Butter Banana Protein Toast, healthy food photography, plated, natural light</t>
        </is>
      </c>
      <c r="K48" s="4" t="inlineStr"/>
      <c r="L48" s="3" t="inlineStr">
        <is>
          <t>Sprouted grain bread (Ezekiel-style) — 34 g (1.2 oz) [1 slice]
Almond butter — 20 g (0.7 oz)
Banana (small amount) — 40 g (1.4 oz) [1/3 banana]
Hemp seeds — 8 g (0.3 oz)
Ground cinnamon — 1 g (0.0 oz)</t>
        </is>
      </c>
      <c r="M48" s="4" t="inlineStr">
        <is>
          <t>[{"ingredient_id": "ezekiel_bread", "name": "Sprouted grain bread (Ezekiel-style)", "grams": 34.0, "note": "1 slice"}, {"ingredient_id": "almond_butter", "name": "Almond butter", "grams": 20.0, "note": ""}, {"ingredient_id": "banana", "name": "Banana (small amount)", "grams": 40.0, "note": "1/3 banana"}, {"ingredient_id": "hemp_seeds", "name": "Hemp seeds", "grams": 8.0, "note": ""}, {"ingredient_id": "cinnamon", "name": "Ground cinnamon", "grams": 1.0, "note": ""}]</t>
        </is>
      </c>
      <c r="N48" s="2" t="n">
        <v>285</v>
      </c>
      <c r="O48" s="5" t="n">
        <v>11.3</v>
      </c>
      <c r="P48" s="5" t="n">
        <v>15.8</v>
      </c>
      <c r="Q48" s="5" t="n">
        <v>29.5</v>
      </c>
      <c r="R48" s="5" t="n">
        <v>7</v>
      </c>
      <c r="S48" s="5" t="n">
        <v>22.5</v>
      </c>
      <c r="T48" s="2" t="n">
        <v>53</v>
      </c>
      <c r="U48" s="2" t="inlineStr">
        <is>
          <t>low</t>
        </is>
      </c>
      <c r="V48" s="5" t="n">
        <v>11.9</v>
      </c>
      <c r="W48" s="2" t="inlineStr">
        <is>
          <t>medium</t>
        </is>
      </c>
      <c r="X48" s="3" t="inlineStr"/>
      <c r="Y48" s="3" t="inlineStr">
        <is>
          <t>89% of this dish's available carbohydrate comes from ingredients with a published, measured GI; the rest uses conventional placeholders (see Ingredients sheet)</t>
        </is>
      </c>
      <c r="Z48" s="2" t="n">
        <v>89</v>
      </c>
      <c r="AA48" s="3" t="inlineStr">
        <is>
          <t>vegan, gluten-free, dairy-free, quick</t>
        </is>
      </c>
      <c r="AB48" s="3" t="inlineStr">
        <is>
          <t>1. Toast the bread.
2. Spread with almond butter and top with thin banana slices.
3. Sprinkle with hemp seeds and cinnamon.</t>
        </is>
      </c>
      <c r="AC48" s="4" t="inlineStr">
        <is>
          <t>["Toast the bread.", "Spread with almond butter and top with thin banana slices.", "Sprinkle with hemp seeds and cinnamon."]</t>
        </is>
      </c>
    </row>
    <row r="49" ht="96" customHeight="1">
      <c r="A49" s="2" t="inlineStr">
        <is>
          <t>DB-0048</t>
        </is>
      </c>
      <c r="B49" s="3" t="inlineStr">
        <is>
          <t>Ham &amp; Asparagus Egg White Frittata</t>
        </is>
      </c>
      <c r="C49" s="4" t="inlineStr">
        <is>
          <t>Breakfast</t>
        </is>
      </c>
      <c r="D49" s="4" t="inlineStr">
        <is>
          <t>American</t>
        </is>
      </c>
      <c r="E49" s="2" t="n">
        <v>4</v>
      </c>
      <c r="F49" s="2" t="n">
        <v>10</v>
      </c>
      <c r="G49" s="2" t="n">
        <v>20</v>
      </c>
      <c r="H49" s="2" t="n">
        <v>30</v>
      </c>
      <c r="I49" s="4" t="inlineStr">
        <is>
          <t>ham-and-asparagus-egg-white-frittata.jpg</t>
        </is>
      </c>
      <c r="J49" s="3" t="inlineStr">
        <is>
          <t>Ham &amp; Asparagus Egg White Frittata, healthy food photography, plated, natural light</t>
        </is>
      </c>
      <c r="K49" s="4" t="inlineStr"/>
      <c r="L49" s="3" t="inlineStr">
        <is>
          <t>Egg whites — 400 g (14.1 oz) [about 13 egg whites]
Egg, large (50 g each) — 100 g (3.5 oz) [2 whole eggs]
Ham, lean — 120 g (4.2 oz)
Asparagus — 200 g (7.1 oz)
Parmesan, grated — 40 g (1.4 oz)
Yellow onion — 50 g (1.8 oz)
Extra-virgin olive oil — 10 g (0.4 oz)
Black pepper — 1 g (0.0 oz)</t>
        </is>
      </c>
      <c r="M49" s="4" t="inlineStr">
        <is>
          <t>[{"ingredient_id": "egg_white", "name": "Egg whites", "grams": 400.0, "note": "about 13 egg whites"}, {"ingredient_id": "egg", "name": "Egg, large (50 g each)", "grams": 100.0, "note": "2 whole eggs"}, {"ingredient_id": "ham", "name": "Ham, lean", "grams": 120.0, "note": ""}, {"ingredient_id": "asparagus", "name": "Asparagus", "grams": 200.0, "note": ""}, {"ingredient_id": "parmesan", "name": "Parmesan, grated", "grams": 40.0, "note": ""}, {"ingredient_id": "onion", "name": "Yellow onion", "grams": 50.0, "note": ""}, {"ingredient_id": "olive_oil", "name": "Extra-virgin olive oil", "grams": 10.0, "note": ""}, {"ingredient_id": "black_pepper", "name": "Black pepper", "grams": 1.0, "note": ""}]</t>
        </is>
      </c>
      <c r="N49" s="2" t="n">
        <v>212</v>
      </c>
      <c r="O49" s="5" t="n">
        <v>25.5</v>
      </c>
      <c r="P49" s="5" t="n">
        <v>9.800000000000001</v>
      </c>
      <c r="Q49" s="5" t="n">
        <v>5</v>
      </c>
      <c r="R49" s="5" t="n">
        <v>1.3</v>
      </c>
      <c r="S49" s="5" t="n">
        <v>3.7</v>
      </c>
      <c r="T49" s="2" t="n">
        <v>8</v>
      </c>
      <c r="U49" s="2" t="inlineStr">
        <is>
          <t>low</t>
        </is>
      </c>
      <c r="V49" s="5" t="n">
        <v>0.3</v>
      </c>
      <c r="W49" s="2" t="inlineStr">
        <is>
          <t>low</t>
        </is>
      </c>
      <c r="X49" s="3" t="inlineStr">
        <is>
          <t>Negligible carbohydrate (&lt;5 g net/serving): GI has little practical meaning, glycemic load is what matters.</t>
        </is>
      </c>
      <c r="Y49" s="3" t="inlineStr">
        <is>
          <t>0% of this dish's available carbohydrate comes from ingredients with a published, measured GI; the rest uses conventional placeholders (see Ingredients sheet)</t>
        </is>
      </c>
      <c r="Z49" s="2" t="n">
        <v>0</v>
      </c>
      <c r="AA49" s="3" t="inlineStr">
        <is>
          <t>gluten-free, nut-free, low-carb, high-protein, make-ahead</t>
        </is>
      </c>
      <c r="AB49" s="3" t="inlineStr">
        <is>
          <t>1. Preheat oven to 375°F. Sauté onion and asparagus pieces in oil in an ovenproof skillet for 4 minutes; add diced ham.
2. Whisk egg whites and eggs with pepper, pour over and sprinkle with parmesan.
3. Bake 15 minutes until set; slice into wedges.</t>
        </is>
      </c>
      <c r="AC49" s="4" t="inlineStr">
        <is>
          <t>["Preheat oven to 375°F. Sauté onion and asparagus pieces in oil in an ovenproof skillet for 4 minutes; add diced ham.", "Whisk egg whites and eggs with pepper, pour over and sprinkle with parmesan.", "Bake 15 minutes until set; slice into wedges."]</t>
        </is>
      </c>
    </row>
    <row r="50" ht="96" customHeight="1">
      <c r="A50" s="2" t="inlineStr">
        <is>
          <t>DB-0049</t>
        </is>
      </c>
      <c r="B50" s="3" t="inlineStr">
        <is>
          <t>Chocolate Avocado Protein Smoothie</t>
        </is>
      </c>
      <c r="C50" s="4" t="inlineStr">
        <is>
          <t>Breakfast</t>
        </is>
      </c>
      <c r="D50" s="4" t="inlineStr">
        <is>
          <t>American</t>
        </is>
      </c>
      <c r="E50" s="2" t="n">
        <v>1</v>
      </c>
      <c r="F50" s="2" t="n">
        <v>5</v>
      </c>
      <c r="G50" s="2" t="n">
        <v>0</v>
      </c>
      <c r="H50" s="2" t="n">
        <v>5</v>
      </c>
      <c r="I50" s="4" t="inlineStr">
        <is>
          <t>chocolate-avocado-protein-smoothie.jpg</t>
        </is>
      </c>
      <c r="J50" s="3" t="inlineStr">
        <is>
          <t>Chocolate Avocado Protein Smoothie, healthy food photography, plated, natural light</t>
        </is>
      </c>
      <c r="K50" s="4" t="inlineStr"/>
      <c r="L50" s="3" t="inlineStr">
        <is>
          <t>Almond milk, unsweetened — 300 g (10.6 oz)
Avocado — 50 g (1.8 oz)
Cocoa powder, unsweetened — 8 g (0.3 oz)
Whey protein powder, unsweetened — 30 g (1.1 oz)
Spinach — 30 g (1.1 oz)
Monk fruit/erythritol sweetener — 5 g (0.2 oz)
Water / ice — 60 g (2.1 oz) [ice]</t>
        </is>
      </c>
      <c r="M50" s="4" t="inlineStr">
        <is>
          <t>[{"ingredient_id": "almond_milk", "name": "Almond milk, unsweetened", "grams": 300.0, "note": ""}, {"ingredient_id": "avocado", "name": "Avocado", "grams": 50.0, "note": ""}, {"ingredient_id": "cocoa_powder", "name": "Cocoa powder, unsweetened", "grams": 8.0, "note": ""}, {"ingredient_id": "whey_protein", "name": "Whey protein powder, unsweetened", "grams": 30.0, "note": ""}, {"ingredient_id": "spinach", "name": "Spinach", "grams": 30.0, "note": ""}, {"ingredient_id": "monk_fruit_sweetener", "name": "Monk fruit/erythritol sweetener", "grams": 5.0, "note": ""}, {"ingredient_id": "water", "name": "Water / ice", "grams": 60.0, "note": "ice"}]</t>
        </is>
      </c>
      <c r="N50" s="2" t="n">
        <v>264</v>
      </c>
      <c r="O50" s="5" t="n">
        <v>28.7</v>
      </c>
      <c r="P50" s="5" t="n">
        <v>13.8</v>
      </c>
      <c r="Q50" s="5" t="n">
        <v>14.2</v>
      </c>
      <c r="R50" s="5" t="n">
        <v>7</v>
      </c>
      <c r="S50" s="5" t="n">
        <v>7.2</v>
      </c>
      <c r="T50" s="2" t="n">
        <v>23</v>
      </c>
      <c r="U50" s="2" t="inlineStr">
        <is>
          <t>low</t>
        </is>
      </c>
      <c r="V50" s="5" t="n">
        <v>1.7</v>
      </c>
      <c r="W50" s="2" t="inlineStr">
        <is>
          <t>low</t>
        </is>
      </c>
      <c r="X50" s="3" t="inlineStr"/>
      <c r="Y50" s="3" t="inlineStr">
        <is>
          <t>29% of this dish's available carbohydrate comes from ingredients with a published, measured GI; the rest uses conventional placeholders (see Ingredients sheet)</t>
        </is>
      </c>
      <c r="Z50" s="2" t="n">
        <v>29</v>
      </c>
      <c r="AA50" s="3" t="inlineStr">
        <is>
          <t>vegetarian, gluten-free, low-carb, high-protein, no-cook, quick</t>
        </is>
      </c>
      <c r="AB50" s="3" t="inlineStr">
        <is>
          <t>1. Combine everything in a blender.
2. Blend until creamy and thick.
3. Serve immediately.</t>
        </is>
      </c>
      <c r="AC50" s="4" t="inlineStr">
        <is>
          <t>["Combine everything in a blender.", "Blend until creamy and thick.", "Serve immediately."]</t>
        </is>
      </c>
    </row>
    <row r="51" ht="96" customHeight="1">
      <c r="A51" s="2" t="inlineStr">
        <is>
          <t>DB-0050</t>
        </is>
      </c>
      <c r="B51" s="3" t="inlineStr">
        <is>
          <t>Bacon, Egg &amp; Avocado Breakfast Bowl</t>
        </is>
      </c>
      <c r="C51" s="4" t="inlineStr">
        <is>
          <t>Breakfast</t>
        </is>
      </c>
      <c r="D51" s="4" t="inlineStr">
        <is>
          <t>American</t>
        </is>
      </c>
      <c r="E51" s="2" t="n">
        <v>1</v>
      </c>
      <c r="F51" s="2" t="n">
        <v>5</v>
      </c>
      <c r="G51" s="2" t="n">
        <v>12</v>
      </c>
      <c r="H51" s="2" t="n">
        <v>17</v>
      </c>
      <c r="I51" s="4" t="inlineStr">
        <is>
          <t>bacon-egg-and-avocado-breakfast-bowl.jpg</t>
        </is>
      </c>
      <c r="J51" s="3" t="inlineStr">
        <is>
          <t>Bacon, Egg &amp; Avocado Breakfast Bowl, healthy food photography, plated, natural light</t>
        </is>
      </c>
      <c r="K51" s="4" t="inlineStr"/>
      <c r="L51" s="3" t="inlineStr">
        <is>
          <t>Bacon — 30 g (1.1 oz) [2 slices]
Egg, large (50 g each) — 100 g (3.5 oz) [2 large eggs]
Avocado — 70 g (2.5 oz)
Cherry tomatoes — 80 g (2.8 oz)
Arugula — 40 g (1.4 oz)
Extra-virgin olive oil — 5 g (0.2 oz)
Salt — 1 g (0.0 oz)</t>
        </is>
      </c>
      <c r="M51" s="4" t="inlineStr">
        <is>
          <t>[{"ingredient_id": "bacon", "name": "Bacon", "grams": 30.0, "note": "2 slices"}, {"ingredient_id": "egg", "name": "Egg, large (50 g each)", "grams": 100.0, "note": "2 large eggs"}, {"ingredient_id": "avocado", "name": "Avocado", "grams": 70.0, "note": ""}, {"ingredient_id": "cherry_tomato", "name": "Cherry tomatoes", "grams": 80.0, "note": ""}, {"ingredient_id": "arugula", "name": "Arugula", "grams": 40.0, "note": ""}, {"ingredient_id": "olive_oil", "name": "Extra-virgin olive oil", "grams": 5.0, "note": ""}, {"ingredient_id": "salt", "name": "Salt", "grams": 1.0, "note": ""}]</t>
        </is>
      </c>
      <c r="N51" s="2" t="n">
        <v>486</v>
      </c>
      <c r="O51" s="5" t="n">
        <v>26.9</v>
      </c>
      <c r="P51" s="5" t="n">
        <v>38</v>
      </c>
      <c r="Q51" s="5" t="n">
        <v>11.7</v>
      </c>
      <c r="R51" s="5" t="n">
        <v>6.3</v>
      </c>
      <c r="S51" s="5" t="n">
        <v>5.4</v>
      </c>
      <c r="T51" s="2" t="n">
        <v>12</v>
      </c>
      <c r="U51" s="2" t="inlineStr">
        <is>
          <t>low</t>
        </is>
      </c>
      <c r="V51" s="5" t="n">
        <v>0.6</v>
      </c>
      <c r="W51" s="2" t="inlineStr">
        <is>
          <t>low</t>
        </is>
      </c>
      <c r="X51" s="3" t="inlineStr"/>
      <c r="Y51" s="3" t="inlineStr">
        <is>
          <t>0% of this dish's available carbohydrate comes from ingredients with a published, measured GI; the rest uses conventional placeholders (see Ingredients sheet)</t>
        </is>
      </c>
      <c r="Z51" s="2" t="n">
        <v>0</v>
      </c>
      <c r="AA51" s="3" t="inlineStr">
        <is>
          <t>gluten-free, dairy-free, nut-free, low-carb, high-protein, quick</t>
        </is>
      </c>
      <c r="AB51" s="3" t="inlineStr">
        <is>
          <t>1. Cook bacon until crisp; drain and crumble.
2. Fry the eggs in a little of the bacon fat or olive oil.
3. Fill a bowl with arugula, tomatoes and sliced avocado; add eggs and bacon and season.</t>
        </is>
      </c>
      <c r="AC51" s="4" t="inlineStr">
        <is>
          <t>["Cook bacon until crisp; drain and crumble.", "Fry the eggs in a little of the bacon fat or olive oil.", "Fill a bowl with arugula, tomatoes and sliced avocado; add eggs and bacon and season."]</t>
        </is>
      </c>
    </row>
    <row r="52" ht="96" customHeight="1">
      <c r="A52" s="2" t="inlineStr">
        <is>
          <t>DB-0051</t>
        </is>
      </c>
      <c r="B52" s="3" t="inlineStr">
        <is>
          <t>Buckwheat Porridge with Cherries &amp; Almonds</t>
        </is>
      </c>
      <c r="C52" s="4" t="inlineStr">
        <is>
          <t>Breakfast</t>
        </is>
      </c>
      <c r="D52" s="4" t="inlineStr">
        <is>
          <t>Eastern European</t>
        </is>
      </c>
      <c r="E52" s="2" t="n">
        <v>2</v>
      </c>
      <c r="F52" s="2" t="n">
        <v>5</v>
      </c>
      <c r="G52" s="2" t="n">
        <v>15</v>
      </c>
      <c r="H52" s="2" t="n">
        <v>20</v>
      </c>
      <c r="I52" s="4" t="inlineStr">
        <is>
          <t>buckwheat-porridge-with-cherries-and-almonds.jpg</t>
        </is>
      </c>
      <c r="J52" s="3" t="inlineStr">
        <is>
          <t>Buckwheat Porridge with Cherries &amp; Almonds, healthy food photography, plated, natural light</t>
        </is>
      </c>
      <c r="K52" s="4" t="inlineStr"/>
      <c r="L52" s="3" t="inlineStr">
        <is>
          <t>Buckwheat groats, cooked — 300 g (10.6 oz) [from 100 g dry groats]
Almond milk, unsweetened — 200 g (7.1 oz)
Cherries, pitted — 100 g (3.5 oz)
Almonds — 20 g (0.7 oz)
Ground cinnamon — 2 g (0.1 oz)
Vanilla extract — 3 g (0.1 oz)</t>
        </is>
      </c>
      <c r="M52" s="4" t="inlineStr">
        <is>
          <t>[{"ingredient_id": "buckwheat", "name": "Buckwheat groats, cooked", "grams": 300.0, "note": "from 100 g dry groats"}, {"ingredient_id": "almond_milk", "name": "Almond milk, unsweetened", "grams": 200.0, "note": ""}, {"ingredient_id": "cherries", "name": "Cherries, pitted", "grams": 100.0, "note": ""}, {"ingredient_id": "almonds", "name": "Almonds", "grams": 20.0, "note": ""}, {"ingredient_id": "cinnamon", "name": "Ground cinnamon", "grams": 2.0, "note": ""}, {"ingredient_id": "vanilla_extract", "name": "Vanilla extract", "grams": 3.0, "note": ""}]</t>
        </is>
      </c>
      <c r="N52" s="2" t="n">
        <v>249</v>
      </c>
      <c r="O52" s="5" t="n">
        <v>8.4</v>
      </c>
      <c r="P52" s="5" t="n">
        <v>7.2</v>
      </c>
      <c r="Q52" s="5" t="n">
        <v>41.8</v>
      </c>
      <c r="R52" s="5" t="n">
        <v>6.9</v>
      </c>
      <c r="S52" s="5" t="n">
        <v>34.9</v>
      </c>
      <c r="T52" s="2" t="n">
        <v>45</v>
      </c>
      <c r="U52" s="2" t="inlineStr">
        <is>
          <t>low</t>
        </is>
      </c>
      <c r="V52" s="5" t="n">
        <v>15.7</v>
      </c>
      <c r="W52" s="2" t="inlineStr">
        <is>
          <t>medium</t>
        </is>
      </c>
      <c r="X52" s="3" t="inlineStr"/>
      <c r="Y52" s="3" t="inlineStr">
        <is>
          <t>94% of this dish's available carbohydrate comes from ingredients with a published, measured GI; the rest uses conventional placeholders (see Ingredients sheet)</t>
        </is>
      </c>
      <c r="Z52" s="2" t="n">
        <v>94</v>
      </c>
      <c r="AA52" s="3" t="inlineStr">
        <is>
          <t>vegan, gluten-free, dairy-free</t>
        </is>
      </c>
      <c r="AB52" s="3" t="inlineStr">
        <is>
          <t>1. Warm cooked buckwheat with almond milk, cinnamon and vanilla until creamy, 5 minutes.
2. Divide into bowls.
3. Top with pitted cherries and sliced almonds.</t>
        </is>
      </c>
      <c r="AC52" s="4" t="inlineStr">
        <is>
          <t>["Warm cooked buckwheat with almond milk, cinnamon and vanilla until creamy, 5 minutes.", "Divide into bowls.", "Top with pitted cherries and sliced almonds."]</t>
        </is>
      </c>
    </row>
    <row r="53" ht="96" customHeight="1">
      <c r="A53" s="2" t="inlineStr">
        <is>
          <t>DB-0052</t>
        </is>
      </c>
      <c r="B53" s="3" t="inlineStr">
        <is>
          <t>Egg-in-a-Hole Avocado</t>
        </is>
      </c>
      <c r="C53" s="4" t="inlineStr">
        <is>
          <t>Breakfast</t>
        </is>
      </c>
      <c r="D53" s="4" t="inlineStr">
        <is>
          <t>American</t>
        </is>
      </c>
      <c r="E53" s="2" t="n">
        <v>1</v>
      </c>
      <c r="F53" s="2" t="n">
        <v>5</v>
      </c>
      <c r="G53" s="2" t="n">
        <v>15</v>
      </c>
      <c r="H53" s="2" t="n">
        <v>20</v>
      </c>
      <c r="I53" s="4" t="inlineStr">
        <is>
          <t>egg-in-a-hole-avocado.jpg</t>
        </is>
      </c>
      <c r="J53" s="3" t="inlineStr">
        <is>
          <t>Egg-in-a-Hole Avocado, healthy food photography, plated, natural light</t>
        </is>
      </c>
      <c r="K53" s="4" t="inlineStr"/>
      <c r="L53" s="3" t="inlineStr">
        <is>
          <t>Avocado — 140 g (4.9 oz) [1 avocado]
Egg, large (50 g each) — 100 g (3.5 oz) [2 large eggs]
Cheddar cheese — 20 g (0.7 oz)
Fresh chives — 3 g (0.1 oz)
Salt — 1 g (0.0 oz)
Black pepper — 1 g (0.0 oz)
Hot sauce (Tabasco/Frank's) — 3 g (0.1 oz)</t>
        </is>
      </c>
      <c r="M53" s="4" t="inlineStr">
        <is>
          <t>[{"ingredient_id": "avocado", "name": "Avocado", "grams": 140.0, "note": "1 avocado"}, {"ingredient_id": "egg", "name": "Egg, large (50 g each)", "grams": 100.0, "note": "2 large eggs"}, {"ingredient_id": "cheddar", "name": "Cheddar cheese", "grams": 20.0, "note": ""}, {"ingredient_id": "chives", "name": "Fresh chives", "grams": 3.0, "note": ""}, {"ingredient_id": "salt", "name": "Salt", "grams": 1.0, "note": ""}, {"ingredient_id": "black_pepper", "name": "Black pepper", "grams": 1.0, "note": ""}, {"ingredient_id": "hot_sauce", "name": "Hot sauce (Tabasco/Frank's)", "grams": 3.0, "note": ""}]</t>
        </is>
      </c>
      <c r="N53" s="2" t="n">
        <v>451</v>
      </c>
      <c r="O53" s="5" t="n">
        <v>20.2</v>
      </c>
      <c r="P53" s="5" t="n">
        <v>37.2</v>
      </c>
      <c r="Q53" s="5" t="n">
        <v>13.7</v>
      </c>
      <c r="R53" s="5" t="n">
        <v>9.699999999999999</v>
      </c>
      <c r="S53" s="5" t="n">
        <v>4</v>
      </c>
      <c r="T53" s="2" t="n">
        <v>11</v>
      </c>
      <c r="U53" s="2" t="inlineStr">
        <is>
          <t>low</t>
        </is>
      </c>
      <c r="V53" s="5" t="n">
        <v>0.4</v>
      </c>
      <c r="W53" s="2" t="inlineStr">
        <is>
          <t>low</t>
        </is>
      </c>
      <c r="X53" s="3" t="inlineStr">
        <is>
          <t>Negligible carbohydrate (&lt;5 g net/serving): GI has little practical meaning, glycemic load is what matters.</t>
        </is>
      </c>
      <c r="Y53" s="3" t="inlineStr">
        <is>
          <t>0% of this dish's available carbohydrate comes from ingredients with a published, measured GI; the rest uses conventional placeholders (see Ingredients sheet)</t>
        </is>
      </c>
      <c r="Z53" s="2" t="n">
        <v>0</v>
      </c>
      <c r="AA53" s="3" t="inlineStr">
        <is>
          <t>vegetarian, gluten-free, nut-free, low-carb, high-fiber</t>
        </is>
      </c>
      <c r="AB53" s="3" t="inlineStr">
        <is>
          <t>1. Preheat oven to 425°F. Halve the avocado and scoop out a little flesh to enlarge the cavities.
2. Set halves in a small dish, crack an egg into each and season.
3. Bake 12–15 minutes until whites are set; top with cheddar for the last 2 minutes.
4. Garnish with chives and hot sauce.</t>
        </is>
      </c>
      <c r="AC53" s="4" t="inlineStr">
        <is>
          <t>["Preheat oven to 425°F. Halve the avocado and scoop out a little flesh to enlarge the cavities.", "Set halves in a small dish, crack an egg into each and season.", "Bake 12–15 minutes until whites are set; top with cheddar for the last 2 minutes.", "Garnish with chives and hot sauce."]</t>
        </is>
      </c>
    </row>
    <row r="54" ht="96" customHeight="1">
      <c r="A54" s="2" t="inlineStr">
        <is>
          <t>DB-0053</t>
        </is>
      </c>
      <c r="B54" s="3" t="inlineStr">
        <is>
          <t>Veggie Breakfast Bowl with Quinoa</t>
        </is>
      </c>
      <c r="C54" s="4" t="inlineStr">
        <is>
          <t>Breakfast</t>
        </is>
      </c>
      <c r="D54" s="4" t="inlineStr">
        <is>
          <t>American</t>
        </is>
      </c>
      <c r="E54" s="2" t="n">
        <v>2</v>
      </c>
      <c r="F54" s="2" t="n">
        <v>10</v>
      </c>
      <c r="G54" s="2" t="n">
        <v>10</v>
      </c>
      <c r="H54" s="2" t="n">
        <v>20</v>
      </c>
      <c r="I54" s="4" t="inlineStr">
        <is>
          <t>veggie-breakfast-bowl-with-quinoa.jpg</t>
        </is>
      </c>
      <c r="J54" s="3" t="inlineStr">
        <is>
          <t>Veggie Breakfast Bowl with Quinoa, healthy food photography, plated, natural light</t>
        </is>
      </c>
      <c r="K54" s="4" t="inlineStr"/>
      <c r="L54" s="3" t="inlineStr">
        <is>
          <t>Quinoa, cooked — 200 g (7.1 oz)
Egg, large (50 g each) — 200 g (7.1 oz) [4 large eggs]
Kale — 100 g (3.5 oz)
Cherry tomatoes — 100 g (3.5 oz)
Avocado — 70 g (2.5 oz)
Feta cheese — 30 g (1.1 oz)
Extra-virgin olive oil — 10 g (0.4 oz)
Lemon juice — 8 g (0.3 oz)
Salt — 1 g (0.0 oz)</t>
        </is>
      </c>
      <c r="M54" s="4" t="inlineStr">
        <is>
          <t>[{"ingredient_id": "quinoa", "name": "Quinoa, cooked", "grams": 200.0, "note": ""}, {"ingredient_id": "egg", "name": "Egg, large (50 g each)", "grams": 200.0, "note": "4 large eggs"}, {"ingredient_id": "kale", "name": "Kale", "grams": 100.0, "note": ""}, {"ingredient_id": "cherry_tomato", "name": "Cherry tomatoes", "grams": 100.0, "note": ""}, {"ingredient_id": "avocado", "name": "Avocado", "grams": 70.0, "note": ""}, {"ingredient_id": "feta", "name": "Feta cheese", "grams": 30.0, "note": ""}, {"ingredient_id": "olive_oil", "name": "Extra-virgin olive oil", "grams": 10.0, "note": ""}, {"ingredient_id": "lemon_juice", "name": "Lemon juice", "grams": 8.0, "note": ""}, {"ingredient_id": "salt", "name": "Salt", "grams": 1.0, "note": ""}]</t>
        </is>
      </c>
      <c r="N54" s="2" t="n">
        <v>437</v>
      </c>
      <c r="O54" s="5" t="n">
        <v>22.4</v>
      </c>
      <c r="P54" s="5" t="n">
        <v>25.4</v>
      </c>
      <c r="Q54" s="5" t="n">
        <v>31.9</v>
      </c>
      <c r="R54" s="5" t="n">
        <v>7.6</v>
      </c>
      <c r="S54" s="5" t="n">
        <v>24.3</v>
      </c>
      <c r="T54" s="2" t="n">
        <v>43</v>
      </c>
      <c r="U54" s="2" t="inlineStr">
        <is>
          <t>low</t>
        </is>
      </c>
      <c r="V54" s="5" t="n">
        <v>10.5</v>
      </c>
      <c r="W54" s="2" t="inlineStr">
        <is>
          <t>medium</t>
        </is>
      </c>
      <c r="X54" s="3" t="inlineStr"/>
      <c r="Y54" s="3" t="inlineStr">
        <is>
          <t>75% of this dish's available carbohydrate comes from ingredients with a published, measured GI; the rest uses conventional placeholders (see Ingredients sheet)</t>
        </is>
      </c>
      <c r="Z54" s="2" t="n">
        <v>75</v>
      </c>
      <c r="AA54" s="3" t="inlineStr">
        <is>
          <t>vegetarian, gluten-free, nut-free, high-fiber</t>
        </is>
      </c>
      <c r="AB54" s="3" t="inlineStr">
        <is>
          <t>1. Sauté kale in olive oil until tender; season and add lemon juice.
2. Fry or poach the eggs.
3. Divide quinoa between bowls, add kale, tomatoes, avocado and feta, and top with eggs.</t>
        </is>
      </c>
      <c r="AC54" s="4" t="inlineStr">
        <is>
          <t>["Sauté kale in olive oil until tender; season and add lemon juice.", "Fry or poach the eggs.", "Divide quinoa between bowls, add kale, tomatoes, avocado and feta, and top with eggs."]</t>
        </is>
      </c>
    </row>
    <row r="55" ht="96" customHeight="1">
      <c r="A55" s="2" t="inlineStr">
        <is>
          <t>DB-0054</t>
        </is>
      </c>
      <c r="B55" s="3" t="inlineStr">
        <is>
          <t>Smoked Trout &amp; Egg Breakfast Board</t>
        </is>
      </c>
      <c r="C55" s="4" t="inlineStr">
        <is>
          <t>Breakfast</t>
        </is>
      </c>
      <c r="D55" s="4" t="inlineStr">
        <is>
          <t>Scandinavian</t>
        </is>
      </c>
      <c r="E55" s="2" t="n">
        <v>2</v>
      </c>
      <c r="F55" s="2" t="n">
        <v>10</v>
      </c>
      <c r="G55" s="2" t="n">
        <v>8</v>
      </c>
      <c r="H55" s="2" t="n">
        <v>18</v>
      </c>
      <c r="I55" s="4" t="inlineStr">
        <is>
          <t>smoked-trout-and-egg-breakfast-board.jpg</t>
        </is>
      </c>
      <c r="J55" s="3" t="inlineStr">
        <is>
          <t>Smoked Trout &amp; Egg Breakfast Board, healthy food photography, plated, natural light</t>
        </is>
      </c>
      <c r="K55" s="4" t="inlineStr"/>
      <c r="L55" s="3" t="inlineStr">
        <is>
          <t>Rainbow trout fillet — 150 g (5.3 oz)
Egg, large (50 g each) — 200 g (7.1 oz) [4 hard-boiled eggs]
Pumpernickel / whole rye bread — 70 g (2.5 oz) [2 thin slices]
Cucumber — 100 g (3.5 oz)
Radishes — 50 g (1.8 oz)
Greek yogurt, plain 2% — 60 g (2.1 oz)
Fresh dill — 5 g (0.2 oz)
Lemon (with juice &amp; zest) — 30 g (1.1 oz)
Black pepper — 1 g (0.0 oz)</t>
        </is>
      </c>
      <c r="M55" s="4" t="inlineStr">
        <is>
          <t>[{"ingredient_id": "trout", "name": "Rainbow trout fillet", "grams": 150.0, "note": ""}, {"ingredient_id": "egg", "name": "Egg, large (50 g each)", "grams": 200.0, "note": "4 hard-boiled eggs"}, {"ingredient_id": "rye_bread", "name": "Pumpernickel / whole rye bread", "grams": 70.0, "note": "2 thin slices"}, {"ingredient_id": "cucumber", "name": "Cucumber", "grams": 100.0, "note": ""}, {"ingredient_id": "radish", "name": "Radishes", "grams": 50.0, "note": ""}, {"ingredient_id": "greek_yogurt", "name": "Greek yogurt, plain 2%", "grams": 60.0, "note": ""}, {"ingredient_id": "dill", "name": "Fresh dill", "grams": 5.0, "note": ""}, {"ingredient_id": "lemon", "name": "Lemon (with juice &amp; zest)", "grams": 30.0, "note": ""}, {"ingredient_id": "black_pepper", "name": "Black pepper", "grams": 1.0, "note": ""}]</t>
        </is>
      </c>
      <c r="N55" s="2" t="n">
        <v>360</v>
      </c>
      <c r="O55" s="5" t="n">
        <v>34.5</v>
      </c>
      <c r="P55" s="5" t="n">
        <v>14</v>
      </c>
      <c r="Q55" s="5" t="n">
        <v>22.9</v>
      </c>
      <c r="R55" s="5" t="n">
        <v>3.5</v>
      </c>
      <c r="S55" s="5" t="n">
        <v>19.4</v>
      </c>
      <c r="T55" s="2" t="n">
        <v>40</v>
      </c>
      <c r="U55" s="2" t="inlineStr">
        <is>
          <t>low</t>
        </is>
      </c>
      <c r="V55" s="5" t="n">
        <v>7.7</v>
      </c>
      <c r="W55" s="2" t="inlineStr">
        <is>
          <t>low</t>
        </is>
      </c>
      <c r="X55" s="3" t="inlineStr"/>
      <c r="Y55" s="3" t="inlineStr">
        <is>
          <t>79% of this dish's available carbohydrate comes from ingredients with a published, measured GI; the rest uses conventional placeholders (see Ingredients sheet)</t>
        </is>
      </c>
      <c r="Z55" s="2" t="n">
        <v>79</v>
      </c>
      <c r="AA55" s="3" t="inlineStr">
        <is>
          <t>pescatarian, nut-free, high-protein, omega-3</t>
        </is>
      </c>
      <c r="AB55" s="3" t="inlineStr">
        <is>
          <t>1. Poach or bake trout fillet (or use smoked trout), then flake.
2. Hard-boil eggs, cool and halve.
3. Arrange trout, eggs, rye bread, cucumber and radish slices on a board with a bowl of yogurt mixed with dill, lemon and pepper.</t>
        </is>
      </c>
      <c r="AC55" s="4" t="inlineStr">
        <is>
          <t>["Poach or bake trout fillet (or use smoked trout), then flake.", "Hard-boil eggs, cool and halve.", "Arrange trout, eggs, rye bread, cucumber and radish slices on a board with a bowl of yogurt mixed with dill, lemon and pepper."]</t>
        </is>
      </c>
    </row>
    <row r="56" ht="96" customHeight="1">
      <c r="A56" s="2" t="inlineStr">
        <is>
          <t>DB-0055</t>
        </is>
      </c>
      <c r="B56" s="3" t="inlineStr">
        <is>
          <t>Cinnamon Apple Cottage Cheese Toast</t>
        </is>
      </c>
      <c r="C56" s="4" t="inlineStr">
        <is>
          <t>Breakfast</t>
        </is>
      </c>
      <c r="D56" s="4" t="inlineStr">
        <is>
          <t>American</t>
        </is>
      </c>
      <c r="E56" s="2" t="n">
        <v>1</v>
      </c>
      <c r="F56" s="2" t="n">
        <v>5</v>
      </c>
      <c r="G56" s="2" t="n">
        <v>3</v>
      </c>
      <c r="H56" s="2" t="n">
        <v>8</v>
      </c>
      <c r="I56" s="4" t="inlineStr">
        <is>
          <t>cinnamon-apple-cottage-cheese-toast.jpg</t>
        </is>
      </c>
      <c r="J56" s="3" t="inlineStr">
        <is>
          <t>Cinnamon Apple Cottage Cheese Toast, healthy food photography, plated, natural light</t>
        </is>
      </c>
      <c r="K56" s="4" t="inlineStr"/>
      <c r="L56" s="3" t="inlineStr">
        <is>
          <t>Whole wheat bread (100% whole wheat) — 35 g (1.2 oz) [1 slice]
Cottage cheese, low-fat — 100 g (3.5 oz)
Apple — 70 g (2.5 oz) [half small apple]
Ground cinnamon — 1 g (0.0 oz)
Walnuts — 10 g (0.4 oz)</t>
        </is>
      </c>
      <c r="M56" s="4" t="inlineStr">
        <is>
          <t>[{"ingredient_id": "whole_grain_bread", "name": "Whole wheat bread (100% whole wheat)", "grams": 35.0, "note": "1 slice"}, {"ingredient_id": "cottage_cheese", "name": "Cottage cheese, low-fat", "grams": 100.0, "note": ""}, {"ingredient_id": "apple", "name": "Apple", "grams": 70.0, "note": "half small apple"}, {"ingredient_id": "cinnamon", "name": "Ground cinnamon", "grams": 1.0, "note": ""}, {"ingredient_id": "walnuts", "name": "Walnuts", "grams": 10.0, "note": ""}]</t>
        </is>
      </c>
      <c r="N56" s="2" t="n">
        <v>276</v>
      </c>
      <c r="O56" s="5" t="n">
        <v>16.9</v>
      </c>
      <c r="P56" s="5" t="n">
        <v>10.2</v>
      </c>
      <c r="Q56" s="5" t="n">
        <v>31.4</v>
      </c>
      <c r="R56" s="5" t="n">
        <v>5.2</v>
      </c>
      <c r="S56" s="5" t="n">
        <v>26.2</v>
      </c>
      <c r="T56" s="2" t="n">
        <v>48</v>
      </c>
      <c r="U56" s="2" t="inlineStr">
        <is>
          <t>low</t>
        </is>
      </c>
      <c r="V56" s="5" t="n">
        <v>12.6</v>
      </c>
      <c r="W56" s="2" t="inlineStr">
        <is>
          <t>medium</t>
        </is>
      </c>
      <c r="X56" s="3" t="inlineStr"/>
      <c r="Y56" s="3" t="inlineStr">
        <is>
          <t>80% of this dish's available carbohydrate comes from ingredients with a published, measured GI; the rest uses conventional placeholders (see Ingredients sheet)</t>
        </is>
      </c>
      <c r="Z56" s="2" t="n">
        <v>80</v>
      </c>
      <c r="AA56" s="3" t="inlineStr">
        <is>
          <t>vegetarian, quick</t>
        </is>
      </c>
      <c r="AB56" s="3" t="inlineStr">
        <is>
          <t>1. Toast the bread.
2. Spread with cottage cheese and top with thin apple slices.
3. Sprinkle with cinnamon and chopped walnuts.</t>
        </is>
      </c>
      <c r="AC56" s="4" t="inlineStr">
        <is>
          <t>["Toast the bread.", "Spread with cottage cheese and top with thin apple slices.", "Sprinkle with cinnamon and chopped walnuts."]</t>
        </is>
      </c>
    </row>
    <row r="57" ht="96" customHeight="1">
      <c r="A57" s="2" t="inlineStr">
        <is>
          <t>DB-0056</t>
        </is>
      </c>
      <c r="B57" s="3" t="inlineStr">
        <is>
          <t>Kale &amp; White Bean Breakfast Skillet</t>
        </is>
      </c>
      <c r="C57" s="4" t="inlineStr">
        <is>
          <t>Breakfast</t>
        </is>
      </c>
      <c r="D57" s="4" t="inlineStr">
        <is>
          <t>Italian</t>
        </is>
      </c>
      <c r="E57" s="2" t="n">
        <v>2</v>
      </c>
      <c r="F57" s="2" t="n">
        <v>10</v>
      </c>
      <c r="G57" s="2" t="n">
        <v>15</v>
      </c>
      <c r="H57" s="2" t="n">
        <v>25</v>
      </c>
      <c r="I57" s="4" t="inlineStr">
        <is>
          <t>kale-and-white-bean-breakfast-skillet.jpg</t>
        </is>
      </c>
      <c r="J57" s="3" t="inlineStr">
        <is>
          <t>Kale &amp; White Bean Breakfast Skillet, healthy food photography, plated, natural light</t>
        </is>
      </c>
      <c r="K57" s="4" t="inlineStr"/>
      <c r="L57" s="3" t="inlineStr">
        <is>
          <t>Cannellini beans, cooked — 200 g (7.1 oz)
Kale — 150 g (5.3 oz)
Egg, large (50 g each) — 200 g (7.1 oz) [4 large eggs]
Garlic — 8 g (0.3 oz)
Extra-virgin olive oil — 15 g (0.5 oz)
Red pepper flakes — 1 g (0.0 oz)
Parmesan, grated — 20 g (0.7 oz)
Lemon juice — 8 g (0.3 oz)
Salt — 1 g (0.0 oz)</t>
        </is>
      </c>
      <c r="M57" s="4" t="inlineStr">
        <is>
          <t>[{"ingredient_id": "white_beans", "name": "Cannellini beans, cooked", "grams": 200.0, "note": ""}, {"ingredient_id": "kale", "name": "Kale", "grams": 150.0, "note": ""}, {"ingredient_id": "egg", "name": "Egg, large (50 g each)", "grams": 200.0, "note": "4 large eggs"}, {"ingredient_id": "garlic", "name": "Garlic", "grams": 8.0, "note": ""}, {"ingredient_id": "olive_oil", "name": "Extra-virgin olive oil", "grams": 15.0, "note": ""}, {"ingredient_id": "red_pepper_flakes", "name": "Red pepper flakes", "grams": 1.0, "note": ""}, {"ingredient_id": "parmesan", "name": "Parmesan, grated", "grams": 20.0, "note": ""}, {"ingredient_id": "lemon_juice", "name": "Lemon juice", "grams": 8.0, "note": ""}, {"ingredient_id": "salt", "name": "Salt", "grams": 1.0, "note": ""}]</t>
        </is>
      </c>
      <c r="N57" s="2" t="n">
        <v>437</v>
      </c>
      <c r="O57" s="5" t="n">
        <v>29.7</v>
      </c>
      <c r="P57" s="5" t="n">
        <v>21.1</v>
      </c>
      <c r="Q57" s="5" t="n">
        <v>34.6</v>
      </c>
      <c r="R57" s="5" t="n">
        <v>9.199999999999999</v>
      </c>
      <c r="S57" s="5" t="n">
        <v>25.4</v>
      </c>
      <c r="T57" s="2" t="n">
        <v>27</v>
      </c>
      <c r="U57" s="2" t="inlineStr">
        <is>
          <t>low</t>
        </is>
      </c>
      <c r="V57" s="5" t="n">
        <v>6.8</v>
      </c>
      <c r="W57" s="2" t="inlineStr">
        <is>
          <t>low</t>
        </is>
      </c>
      <c r="X57" s="3" t="inlineStr"/>
      <c r="Y57" s="3" t="inlineStr">
        <is>
          <t>74% of this dish's available carbohydrate comes from ingredients with a published, measured GI; the rest uses conventional placeholders (see Ingredients sheet)</t>
        </is>
      </c>
      <c r="Z57" s="2" t="n">
        <v>74</v>
      </c>
      <c r="AA57" s="3" t="inlineStr">
        <is>
          <t>vegetarian, gluten-free, nut-free, high-protein, high-fiber, one-pan</t>
        </is>
      </c>
      <c r="AB57" s="3" t="inlineStr">
        <is>
          <t>1. Sauté garlic and red pepper flakes in olive oil 30 seconds, add kale and cook until wilted.
2. Stir in beans, lemon juice and salt; heat through.
3. Make four wells, crack in the eggs, cover and cook 5–6 minutes.
4. Top with parmesan.</t>
        </is>
      </c>
      <c r="AC57" s="4" t="inlineStr">
        <is>
          <t>["Sauté garlic and red pepper flakes in olive oil 30 seconds, add kale and cook until wilted.", "Stir in beans, lemon juice and salt; heat through.", "Make four wells, crack in the eggs, cover and cook 5–6 minutes.", "Top with parmesan."]</t>
        </is>
      </c>
    </row>
    <row r="58" ht="96" customHeight="1">
      <c r="A58" s="2" t="inlineStr">
        <is>
          <t>DB-0057</t>
        </is>
      </c>
      <c r="B58" s="3" t="inlineStr">
        <is>
          <t>Turkey &amp; Avocado Breakfast Sandwich</t>
        </is>
      </c>
      <c r="C58" s="4" t="inlineStr">
        <is>
          <t>Breakfast</t>
        </is>
      </c>
      <c r="D58" s="4" t="inlineStr">
        <is>
          <t>American</t>
        </is>
      </c>
      <c r="E58" s="2" t="n">
        <v>1</v>
      </c>
      <c r="F58" s="2" t="n">
        <v>5</v>
      </c>
      <c r="G58" s="2" t="n">
        <v>5</v>
      </c>
      <c r="H58" s="2" t="n">
        <v>10</v>
      </c>
      <c r="I58" s="4" t="inlineStr">
        <is>
          <t>turkey-and-avocado-breakfast-sandwich.jpg</t>
        </is>
      </c>
      <c r="J58" s="3" t="inlineStr">
        <is>
          <t>Turkey &amp; Avocado Breakfast Sandwich, healthy food photography, plated, natural light</t>
        </is>
      </c>
      <c r="K58" s="4" t="inlineStr"/>
      <c r="L58" s="3" t="inlineStr">
        <is>
          <t>Sprouted grain bread (Ezekiel-style) — 68 g (2.4 oz) [2 slices]
Deli turkey breast, low sodium — 60 g (2.1 oz)
Egg, large (50 g each) — 50 g (1.8 oz) [1 large egg]
Avocado — 50 g (1.8 oz)
Tomato — 40 g (1.4 oz)
Dijon mustard — 5 g (0.2 oz)
Extra-virgin olive oil — 3 g (0.1 oz)</t>
        </is>
      </c>
      <c r="M58" s="4" t="inlineStr">
        <is>
          <t>[{"ingredient_id": "ezekiel_bread", "name": "Sprouted grain bread (Ezekiel-style)", "grams": 68.0, "note": "2 slices"}, {"ingredient_id": "deli_turkey", "name": "Deli turkey breast, low sodium", "grams": 60.0, "note": ""}, {"ingredient_id": "egg", "name": "Egg, large (50 g each)", "grams": 50.0, "note": "1 large egg"}, {"ingredient_id": "avocado", "name": "Avocado", "grams": 50.0, "note": ""}, {"ingredient_id": "tomato", "name": "Tomato", "grams": 40.0, "note": ""}, {"ingredient_id": "dijon", "name": "Dijon mustard", "grams": 5.0, "note": ""}, {"ingredient_id": "olive_oil", "name": "Extra-virgin olive oil", "grams": 3.0, "note": ""}]</t>
        </is>
      </c>
      <c r="N58" s="2" t="n">
        <v>411</v>
      </c>
      <c r="O58" s="5" t="n">
        <v>26.2</v>
      </c>
      <c r="P58" s="5" t="n">
        <v>17.4</v>
      </c>
      <c r="Q58" s="5" t="n">
        <v>38.7</v>
      </c>
      <c r="R58" s="5" t="n">
        <v>10.1</v>
      </c>
      <c r="S58" s="5" t="n">
        <v>28.6</v>
      </c>
      <c r="T58" s="2" t="n">
        <v>53</v>
      </c>
      <c r="U58" s="2" t="inlineStr">
        <is>
          <t>low</t>
        </is>
      </c>
      <c r="V58" s="5" t="n">
        <v>15.2</v>
      </c>
      <c r="W58" s="2" t="inlineStr">
        <is>
          <t>medium</t>
        </is>
      </c>
      <c r="X58" s="3" t="inlineStr"/>
      <c r="Y58" s="3" t="inlineStr">
        <is>
          <t>83% of this dish's available carbohydrate comes from ingredients with a published, measured GI; the rest uses conventional placeholders (see Ingredients sheet)</t>
        </is>
      </c>
      <c r="Z58" s="2" t="n">
        <v>83</v>
      </c>
      <c r="AA58" s="3" t="inlineStr">
        <is>
          <t>gluten-free, dairy-free, nut-free, high-protein, high-fiber, quick</t>
        </is>
      </c>
      <c r="AB58" s="3" t="inlineStr">
        <is>
          <t>1. Toast the bread and fry the egg in olive oil.
2. Spread Dijon on one slice, mash avocado on the other.
3. Layer turkey, tomato and the egg; close the sandwich.</t>
        </is>
      </c>
      <c r="AC58" s="4" t="inlineStr">
        <is>
          <t>["Toast the bread and fry the egg in olive oil.", "Spread Dijon on one slice, mash avocado on the other.", "Layer turkey, tomato and the egg; close the sandwich."]</t>
        </is>
      </c>
    </row>
    <row r="59" ht="96" customHeight="1">
      <c r="A59" s="2" t="inlineStr">
        <is>
          <t>DB-0058</t>
        </is>
      </c>
      <c r="B59" s="3" t="inlineStr">
        <is>
          <t>Matcha Chia Protein Pudding</t>
        </is>
      </c>
      <c r="C59" s="4" t="inlineStr">
        <is>
          <t>Breakfast</t>
        </is>
      </c>
      <c r="D59" s="4" t="inlineStr">
        <is>
          <t>Japanese</t>
        </is>
      </c>
      <c r="E59" s="2" t="n">
        <v>2</v>
      </c>
      <c r="F59" s="2" t="n">
        <v>5</v>
      </c>
      <c r="G59" s="2" t="n">
        <v>0</v>
      </c>
      <c r="H59" s="2" t="n">
        <v>5</v>
      </c>
      <c r="I59" s="4" t="inlineStr">
        <is>
          <t>matcha-chia-protein-pudding.jpg</t>
        </is>
      </c>
      <c r="J59" s="3" t="inlineStr">
        <is>
          <t>Matcha Chia Protein Pudding, healthy food photography, plated, natural light</t>
        </is>
      </c>
      <c r="K59" s="4" t="inlineStr"/>
      <c r="L59" s="3" t="inlineStr">
        <is>
          <t>Chia seeds — 40 g (1.4 oz)
Almond milk, unsweetened — 320 g (11.3 oz)
Pea protein powder, unsweetened — 25 g (0.9 oz)
Brewed green tea — 3 g (0.1 oz) [1 tsp matcha powder]
Vanilla extract — 2 g (0.1 oz)
Monk fruit/erythritol sweetener — 6 g (0.2 oz)
Kiwi — 100 g (3.5 oz)</t>
        </is>
      </c>
      <c r="M59" s="4" t="inlineStr">
        <is>
          <t>[{"ingredient_id": "chia_seeds", "name": "Chia seeds", "grams": 40.0, "note": ""}, {"ingredient_id": "almond_milk", "name": "Almond milk, unsweetened", "grams": 320.0, "note": ""}, {"ingredient_id": "plant_protein", "name": "Pea protein powder, unsweetened", "grams": 25.0, "note": ""}, {"ingredient_id": "green_tea", "name": "Brewed green tea", "grams": 3.0, "note": "1 tsp matcha powder"}, {"ingredient_id": "vanilla_extract", "name": "Vanilla extract", "grams": 2.0, "note": ""}, {"ingredient_id": "monk_fruit_sweetener", "name": "Monk fruit/erythritol sweetener", "grams": 6.0, "note": ""}, {"ingredient_id": "kiwi", "name": "Kiwi", "grams": 100.0, "note": ""}]</t>
        </is>
      </c>
      <c r="N59" s="2" t="n">
        <v>201</v>
      </c>
      <c r="O59" s="5" t="n">
        <v>14.3</v>
      </c>
      <c r="P59" s="5" t="n">
        <v>9.1</v>
      </c>
      <c r="Q59" s="5" t="n">
        <v>17.8</v>
      </c>
      <c r="R59" s="5" t="n">
        <v>8.6</v>
      </c>
      <c r="S59" s="5" t="n">
        <v>9.300000000000001</v>
      </c>
      <c r="T59" s="2" t="n">
        <v>39</v>
      </c>
      <c r="U59" s="2" t="inlineStr">
        <is>
          <t>low</t>
        </is>
      </c>
      <c r="V59" s="5" t="n">
        <v>3.6</v>
      </c>
      <c r="W59" s="2" t="inlineStr">
        <is>
          <t>low</t>
        </is>
      </c>
      <c r="X59" s="3" t="inlineStr"/>
      <c r="Y59" s="3" t="inlineStr">
        <is>
          <t>63% of this dish's available carbohydrate comes from ingredients with a published, measured GI; the rest uses conventional placeholders (see Ingredients sheet)</t>
        </is>
      </c>
      <c r="Z59" s="2" t="n">
        <v>63</v>
      </c>
      <c r="AA59" s="3" t="inlineStr">
        <is>
          <t>vegan, gluten-free, dairy-free, low-carb, high-fiber, no-cook, make-ahead</t>
        </is>
      </c>
      <c r="AB59" s="3" t="inlineStr">
        <is>
          <t>1. Whisk almond milk with protein powder, matcha, vanilla and sweetener until no lumps remain.
2. Stir in chia seeds, rest 10 minutes, stir again and refrigerate 4+ hours.
3. Top with diced kiwi.</t>
        </is>
      </c>
      <c r="AC59" s="4" t="inlineStr">
        <is>
          <t>["Whisk almond milk with protein powder, matcha, vanilla and sweetener until no lumps remain.", "Stir in chia seeds, rest 10 minutes, stir again and refrigerate 4+ hours.", "Top with diced kiwi."]</t>
        </is>
      </c>
    </row>
    <row r="60" ht="96" customHeight="1">
      <c r="A60" s="2" t="inlineStr">
        <is>
          <t>DB-0059</t>
        </is>
      </c>
      <c r="B60" s="3" t="inlineStr">
        <is>
          <t>Mexican Egg White Scramble with Salsa Verde</t>
        </is>
      </c>
      <c r="C60" s="4" t="inlineStr">
        <is>
          <t>Breakfast</t>
        </is>
      </c>
      <c r="D60" s="4" t="inlineStr">
        <is>
          <t>Mexican</t>
        </is>
      </c>
      <c r="E60" s="2" t="n">
        <v>1</v>
      </c>
      <c r="F60" s="2" t="n">
        <v>5</v>
      </c>
      <c r="G60" s="2" t="n">
        <v>8</v>
      </c>
      <c r="H60" s="2" t="n">
        <v>13</v>
      </c>
      <c r="I60" s="4" t="inlineStr">
        <is>
          <t>mexican-egg-white-scramble-with-salsa-verde.jpg</t>
        </is>
      </c>
      <c r="J60" s="3" t="inlineStr">
        <is>
          <t>Mexican Egg White Scramble with Salsa Verde, healthy food photography, plated, natural light</t>
        </is>
      </c>
      <c r="K60" s="4" t="inlineStr"/>
      <c r="L60" s="3" t="inlineStr">
        <is>
          <t>Egg whites — 180 g (6.3 oz) [6 egg whites]
Black beans, cooked — 60 g (2.1 oz)
Salsa verde — 50 g (1.8 oz)
Cotija cheese — 15 g (0.5 oz)
Fresh cilantro — 5 g (0.2 oz)
Extra-virgin olive oil — 5 g (0.2 oz)
Ground cumin — 1 g (0.0 oz)</t>
        </is>
      </c>
      <c r="M60" s="4" t="inlineStr">
        <is>
          <t>[{"ingredient_id": "egg_white", "name": "Egg whites", "grams": 180.0, "note": "6 egg whites"}, {"ingredient_id": "black_beans", "name": "Black beans, cooked", "grams": 60.0, "note": ""}, {"ingredient_id": "salsa_verde", "name": "Salsa verde", "grams": 50.0, "note": ""}, {"ingredient_id": "cotija", "name": "Cotija cheese", "grams": 15.0, "note": ""}, {"ingredient_id": "cilantro", "name": "Fresh cilantro", "grams": 5.0, "note": ""}, {"ingredient_id": "olive_oil", "name": "Extra-virgin olive oil", "grams": 5.0, "note": ""}, {"ingredient_id": "cumin", "name": "Ground cumin", "grams": 1.0, "note": ""}]</t>
        </is>
      </c>
      <c r="N60" s="2" t="n">
        <v>292</v>
      </c>
      <c r="O60" s="5" t="n">
        <v>28.9</v>
      </c>
      <c r="P60" s="5" t="n">
        <v>10.7</v>
      </c>
      <c r="Q60" s="5" t="n">
        <v>19.7</v>
      </c>
      <c r="R60" s="5" t="n">
        <v>6.2</v>
      </c>
      <c r="S60" s="5" t="n">
        <v>13.5</v>
      </c>
      <c r="T60" s="2" t="n">
        <v>25</v>
      </c>
      <c r="U60" s="2" t="inlineStr">
        <is>
          <t>low</t>
        </is>
      </c>
      <c r="V60" s="5" t="n">
        <v>3.4</v>
      </c>
      <c r="W60" s="2" t="inlineStr">
        <is>
          <t>low</t>
        </is>
      </c>
      <c r="X60" s="3" t="inlineStr"/>
      <c r="Y60" s="3" t="inlineStr">
        <is>
          <t>67% of this dish's available carbohydrate comes from ingredients with a published, measured GI; the rest uses conventional placeholders (see Ingredients sheet)</t>
        </is>
      </c>
      <c r="Z60" s="2" t="n">
        <v>67</v>
      </c>
      <c r="AA60" s="3" t="inlineStr">
        <is>
          <t>vegetarian, gluten-free, nut-free, low-carb, high-protein, quick</t>
        </is>
      </c>
      <c r="AB60" s="3" t="inlineStr">
        <is>
          <t>1. Warm black beans with cumin in olive oil.
2. Add egg whites and stir gently until set.
3. Top with salsa verde, cotija and cilantro.</t>
        </is>
      </c>
      <c r="AC60" s="4" t="inlineStr">
        <is>
          <t>["Warm black beans with cumin in olive oil.", "Add egg whites and stir gently until set.", "Top with salsa verde, cotija and cilantro."]</t>
        </is>
      </c>
    </row>
    <row r="61" ht="96" customHeight="1">
      <c r="A61" s="2" t="inlineStr">
        <is>
          <t>DB-0060</t>
        </is>
      </c>
      <c r="B61" s="3" t="inlineStr">
        <is>
          <t>Sardine &amp; Avocado Toast</t>
        </is>
      </c>
      <c r="C61" s="4" t="inlineStr">
        <is>
          <t>Breakfast</t>
        </is>
      </c>
      <c r="D61" s="4" t="inlineStr">
        <is>
          <t>Mediterranean</t>
        </is>
      </c>
      <c r="E61" s="2" t="n">
        <v>1</v>
      </c>
      <c r="F61" s="2" t="n">
        <v>5</v>
      </c>
      <c r="G61" s="2" t="n">
        <v>3</v>
      </c>
      <c r="H61" s="2" t="n">
        <v>8</v>
      </c>
      <c r="I61" s="4" t="inlineStr">
        <is>
          <t>sardine-and-avocado-toast.jpg</t>
        </is>
      </c>
      <c r="J61" s="3" t="inlineStr">
        <is>
          <t>Sardine &amp; Avocado Toast, healthy food photography, plated, natural light</t>
        </is>
      </c>
      <c r="K61" s="4" t="inlineStr"/>
      <c r="L61" s="3" t="inlineStr">
        <is>
          <t>Pumpernickel / whole rye bread — 35 g (1.2 oz) [1 slice]
Sardines, canned in olive oil, drained — 60 g (2.1 oz)
Avocado — 60 g (2.1 oz)
Lemon juice — 8 g (0.3 oz)
Red onion — 15 g (0.5 oz)
Fresh parsley — 3 g (0.1 oz)
Red pepper flakes — 0.5 g (0.0 oz)</t>
        </is>
      </c>
      <c r="M61" s="4" t="inlineStr">
        <is>
          <t>[{"ingredient_id": "rye_bread", "name": "Pumpernickel / whole rye bread", "grams": 35.0, "note": "1 slice"}, {"ingredient_id": "sardines", "name": "Sardines, canned in olive oil, drained", "grams": 60.0, "note": ""}, {"ingredient_id": "avocado", "name": "Avocado", "grams": 60.0, "note": ""}, {"ingredient_id": "lemon_juice", "name": "Lemon juice", "grams": 8.0, "note": ""}, {"ingredient_id": "red_onion", "name": "Red onion", "grams": 15.0, "note": ""}, {"ingredient_id": "parsley", "name": "Fresh parsley", "grams": 3.0, "note": ""}, {"ingredient_id": "red_pepper_flakes", "name": "Red pepper flakes", "grams": 0.5, "note": ""}]</t>
        </is>
      </c>
      <c r="N61" s="2" t="n">
        <v>319</v>
      </c>
      <c r="O61" s="5" t="n">
        <v>19.6</v>
      </c>
      <c r="P61" s="5" t="n">
        <v>16.8</v>
      </c>
      <c r="Q61" s="5" t="n">
        <v>24</v>
      </c>
      <c r="R61" s="5" t="n">
        <v>6.8</v>
      </c>
      <c r="S61" s="5" t="n">
        <v>17.2</v>
      </c>
      <c r="T61" s="2" t="n">
        <v>44</v>
      </c>
      <c r="U61" s="2" t="inlineStr">
        <is>
          <t>low</t>
        </is>
      </c>
      <c r="V61" s="5" t="n">
        <v>7.6</v>
      </c>
      <c r="W61" s="2" t="inlineStr">
        <is>
          <t>low</t>
        </is>
      </c>
      <c r="X61" s="3" t="inlineStr"/>
      <c r="Y61" s="3" t="inlineStr">
        <is>
          <t>83% of this dish's available carbohydrate comes from ingredients with a published, measured GI; the rest uses conventional placeholders (see Ingredients sheet)</t>
        </is>
      </c>
      <c r="Z61" s="2" t="n">
        <v>83</v>
      </c>
      <c r="AA61" s="3" t="inlineStr">
        <is>
          <t>pescatarian, dairy-free, nut-free, quick, omega-3</t>
        </is>
      </c>
      <c r="AB61" s="3" t="inlineStr">
        <is>
          <t>1. Toast the rye bread.
2. Mash avocado with lemon juice and spread on the toast.
3. Top with sardines, thin red onion, parsley and pepper flakes.</t>
        </is>
      </c>
      <c r="AC61" s="4" t="inlineStr">
        <is>
          <t>["Toast the rye bread.", "Mash avocado with lemon juice and spread on the toast.", "Top with sardines, thin red onion, parsley and pepper flakes."]</t>
        </is>
      </c>
    </row>
    <row r="62" ht="96" customHeight="1">
      <c r="A62" s="2" t="inlineStr">
        <is>
          <t>DB-0061</t>
        </is>
      </c>
      <c r="B62" s="3" t="inlineStr">
        <is>
          <t>Greek Yogurt Protein Bowl with Pomegranate</t>
        </is>
      </c>
      <c r="C62" s="4" t="inlineStr">
        <is>
          <t>Breakfast</t>
        </is>
      </c>
      <c r="D62" s="4" t="inlineStr">
        <is>
          <t>Mediterranean</t>
        </is>
      </c>
      <c r="E62" s="2" t="n">
        <v>1</v>
      </c>
      <c r="F62" s="2" t="n">
        <v>5</v>
      </c>
      <c r="G62" s="2" t="n">
        <v>0</v>
      </c>
      <c r="H62" s="2" t="n">
        <v>5</v>
      </c>
      <c r="I62" s="4" t="inlineStr">
        <is>
          <t>greek-yogurt-protein-bowl-with-pomegranate.jpg</t>
        </is>
      </c>
      <c r="J62" s="3" t="inlineStr">
        <is>
          <t>Greek Yogurt Protein Bowl with Pomegranate, healthy food photography, plated, natural light</t>
        </is>
      </c>
      <c r="K62" s="4" t="inlineStr"/>
      <c r="L62" s="3" t="inlineStr">
        <is>
          <t>Greek yogurt, plain 2% — 220 g (7.8 oz)
Pomegranate arils — 50 g (1.8 oz)
Pistachios, shelled — 15 g (0.5 oz)
Hemp seeds — 8 g (0.3 oz)
Fresh mint — 2 g (0.1 oz)
Stevia (liquid) — 1 g (0.0 oz)</t>
        </is>
      </c>
      <c r="M62" s="4" t="inlineStr">
        <is>
          <t>[{"ingredient_id": "greek_yogurt", "name": "Greek yogurt, plain 2%", "grams": 220.0, "note": ""}, {"ingredient_id": "pomegranate", "name": "Pomegranate arils", "grams": 50.0, "note": ""}, {"ingredient_id": "pistachios", "name": "Pistachios, shelled", "grams": 15.0, "note": ""}, {"ingredient_id": "hemp_seeds", "name": "Hemp seeds", "grams": 8.0, "note": ""}, {"ingredient_id": "mint", "name": "Fresh mint", "grams": 2.0, "note": ""}, {"ingredient_id": "stevia", "name": "Stevia (liquid)", "grams": 1.0, "note": ""}]</t>
        </is>
      </c>
      <c r="N62" s="2" t="n">
        <v>331</v>
      </c>
      <c r="O62" s="5" t="n">
        <v>28.5</v>
      </c>
      <c r="P62" s="5" t="n">
        <v>15.7</v>
      </c>
      <c r="Q62" s="5" t="n">
        <v>23.4</v>
      </c>
      <c r="R62" s="5" t="n">
        <v>4</v>
      </c>
      <c r="S62" s="5" t="n">
        <v>19.3</v>
      </c>
      <c r="T62" s="2" t="n">
        <v>30</v>
      </c>
      <c r="U62" s="2" t="inlineStr">
        <is>
          <t>low</t>
        </is>
      </c>
      <c r="V62" s="5" t="n">
        <v>5.8</v>
      </c>
      <c r="W62" s="2" t="inlineStr">
        <is>
          <t>low</t>
        </is>
      </c>
      <c r="X62" s="3" t="inlineStr"/>
      <c r="Y62" s="3" t="inlineStr">
        <is>
          <t>59% of this dish's available carbohydrate comes from ingredients with a published, measured GI; the rest uses conventional placeholders (see Ingredients sheet)</t>
        </is>
      </c>
      <c r="Z62" s="2" t="n">
        <v>59</v>
      </c>
      <c r="AA62" s="3" t="inlineStr">
        <is>
          <t>vegetarian, gluten-free, high-protein, no-cook, quick</t>
        </is>
      </c>
      <c r="AB62" s="3" t="inlineStr">
        <is>
          <t>1. Stir stevia into the yogurt if desired.
2. Top with pomegranate arils, pistachios and hemp seeds.
3. Garnish with torn mint.</t>
        </is>
      </c>
      <c r="AC62" s="4" t="inlineStr">
        <is>
          <t>["Stir stevia into the yogurt if desired.", "Top with pomegranate arils, pistachios and hemp seeds.", "Garnish with torn mint."]</t>
        </is>
      </c>
    </row>
    <row r="63" ht="96" customHeight="1">
      <c r="A63" s="2" t="inlineStr">
        <is>
          <t>DB-0062</t>
        </is>
      </c>
      <c r="B63" s="3" t="inlineStr">
        <is>
          <t>Egg &amp; Turkey Sausage Breakfast Skillet Pizza</t>
        </is>
      </c>
      <c r="C63" s="4" t="inlineStr">
        <is>
          <t>Breakfast</t>
        </is>
      </c>
      <c r="D63" s="4" t="inlineStr">
        <is>
          <t>American</t>
        </is>
      </c>
      <c r="E63" s="2" t="n">
        <v>2</v>
      </c>
      <c r="F63" s="2" t="n">
        <v>10</v>
      </c>
      <c r="G63" s="2" t="n">
        <v>15</v>
      </c>
      <c r="H63" s="2" t="n">
        <v>25</v>
      </c>
      <c r="I63" s="4" t="inlineStr">
        <is>
          <t>egg-and-turkey-sausage-breakfast-skillet-pizza.jpg</t>
        </is>
      </c>
      <c r="J63" s="3" t="inlineStr">
        <is>
          <t>Egg &amp; Turkey Sausage Breakfast Skillet Pizza, healthy food photography, plated, natural light</t>
        </is>
      </c>
      <c r="K63" s="4" t="inlineStr"/>
      <c r="L63" s="3" t="inlineStr">
        <is>
          <t>Egg, large (50 g each) — 250 g (8.8 oz) [5 large eggs]
Turkey sausage — 120 g (4.2 oz)
Marinara sauce, no sugar added — 60 g (2.1 oz)
Mozzarella, part-skim — 60 g (2.1 oz)
Bell pepper — 60 g (2.1 oz)
Mushrooms (cremini/white) — 60 g (2.1 oz)
Extra-virgin olive oil — 8 g (0.3 oz)
Italian seasoning — 1 g (0.0 oz)</t>
        </is>
      </c>
      <c r="M63" s="4" t="inlineStr">
        <is>
          <t>[{"ingredient_id": "egg", "name": "Egg, large (50 g each)", "grams": 250.0, "note": "5 large eggs"}, {"ingredient_id": "turkey_sausage", "name": "Turkey sausage", "grams": 120.0, "note": ""}, {"ingredient_id": "marinara", "name": "Marinara sauce, no sugar added", "grams": 60.0, "note": ""}, {"ingredient_id": "mozzarella", "name": "Mozzarella, part-skim", "grams": 60.0, "note": ""}, {"ingredient_id": "bell_pepper", "name": "Bell pepper", "grams": 60.0, "note": ""}, {"ingredient_id": "mushrooms", "name": "Mushrooms (cremini/white)", "grams": 60.0, "note": ""}, {"ingredient_id": "olive_oil", "name": "Extra-virgin olive oil", "grams": 8.0, "note": ""}, {"ingredient_id": "italian_seasoning", "name": "Italian seasoning", "grams": 1.0, "note": ""}]</t>
        </is>
      </c>
      <c r="N63" s="2" t="n">
        <v>414</v>
      </c>
      <c r="O63" s="5" t="n">
        <v>33.7</v>
      </c>
      <c r="P63" s="5" t="n">
        <v>27.6</v>
      </c>
      <c r="Q63" s="5" t="n">
        <v>7.6</v>
      </c>
      <c r="R63" s="5" t="n">
        <v>1.6</v>
      </c>
      <c r="S63" s="5" t="n">
        <v>6</v>
      </c>
      <c r="T63" s="2" t="n">
        <v>11</v>
      </c>
      <c r="U63" s="2" t="inlineStr">
        <is>
          <t>low</t>
        </is>
      </c>
      <c r="V63" s="5" t="n">
        <v>0.7</v>
      </c>
      <c r="W63" s="2" t="inlineStr">
        <is>
          <t>low</t>
        </is>
      </c>
      <c r="X63" s="3" t="inlineStr"/>
      <c r="Y63" s="3" t="inlineStr">
        <is>
          <t>17% of this dish's available carbohydrate comes from ingredients with a published, measured GI; the rest uses conventional placeholders (see Ingredients sheet)</t>
        </is>
      </c>
      <c r="Z63" s="2" t="n">
        <v>17</v>
      </c>
      <c r="AA63" s="3" t="inlineStr">
        <is>
          <t>gluten-free, nut-free, low-carb, high-protein</t>
        </is>
      </c>
      <c r="AB63" s="3" t="inlineStr">
        <is>
          <t>1. Brown the sausage with pepper and mushrooms in an ovenproof skillet.
2. Pour in whisked eggs with Italian seasoning; cook until the bottom sets.
3. Spread marinara over the top, add mozzarella and broil 3–4 minutes until bubbly.
4. Slice like a pizza.</t>
        </is>
      </c>
      <c r="AC63" s="4" t="inlineStr">
        <is>
          <t>["Brown the sausage with pepper and mushrooms in an ovenproof skillet.", "Pour in whisked eggs with Italian seasoning; cook until the bottom sets.", "Spread marinara over the top, add mozzarella and broil 3–4 minutes until bubbly.", "Slice like a pizza."]</t>
        </is>
      </c>
    </row>
    <row r="64" ht="96" customHeight="1">
      <c r="A64" s="2" t="inlineStr">
        <is>
          <t>DB-0063</t>
        </is>
      </c>
      <c r="B64" s="3" t="inlineStr">
        <is>
          <t>Farro Breakfast Bowl with Pear &amp; Walnuts</t>
        </is>
      </c>
      <c r="C64" s="4" t="inlineStr">
        <is>
          <t>Breakfast</t>
        </is>
      </c>
      <c r="D64" s="4" t="inlineStr">
        <is>
          <t>American</t>
        </is>
      </c>
      <c r="E64" s="2" t="n">
        <v>2</v>
      </c>
      <c r="F64" s="2" t="n">
        <v>5</v>
      </c>
      <c r="G64" s="2" t="n">
        <v>10</v>
      </c>
      <c r="H64" s="2" t="n">
        <v>15</v>
      </c>
      <c r="I64" s="4" t="inlineStr">
        <is>
          <t>farro-breakfast-bowl-with-pear-and-walnuts.jpg</t>
        </is>
      </c>
      <c r="J64" s="3" t="inlineStr">
        <is>
          <t>Farro Breakfast Bowl with Pear &amp; Walnuts, healthy food photography, plated, natural light</t>
        </is>
      </c>
      <c r="K64" s="4" t="inlineStr"/>
      <c r="L64" s="3" t="inlineStr">
        <is>
          <t>Farro (pearled spelt), cooked — 180 g (6.3 oz)
Almond milk, unsweetened — 150 g (5.3 oz)
Pear — 120 g (4.2 oz)
Walnuts — 25 g (0.9 oz)
Ground cinnamon — 2 g (0.1 oz)
Greek yogurt, plain 2% — 100 g (3.5 oz)
Vanilla extract — 2 g (0.1 oz)</t>
        </is>
      </c>
      <c r="M64" s="4" t="inlineStr">
        <is>
          <t>[{"ingredient_id": "farro", "name": "Farro (pearled spelt), cooked", "grams": 180.0, "note": ""}, {"ingredient_id": "almond_milk", "name": "Almond milk, unsweetened", "grams": 150.0, "note": ""}, {"ingredient_id": "pear", "name": "Pear", "grams": 120.0, "note": ""}, {"ingredient_id": "walnuts", "name": "Walnuts", "grams": 25.0, "note": ""}, {"ingredient_id": "cinnamon", "name": "Ground cinnamon", "grams": 2.0, "note": ""}, {"ingredient_id": "greek_yogurt", "name": "Greek yogurt, plain 2%", "grams": 100.0, "note": ""}, {"ingredient_id": "vanilla_extract", "name": "Vanilla extract", "grams": 2.0, "note": ""}]</t>
        </is>
      </c>
      <c r="N64" s="2" t="n">
        <v>286</v>
      </c>
      <c r="O64" s="5" t="n">
        <v>12.1</v>
      </c>
      <c r="P64" s="5" t="n">
        <v>11</v>
      </c>
      <c r="Q64" s="5" t="n">
        <v>37.5</v>
      </c>
      <c r="R64" s="5" t="n">
        <v>6.4</v>
      </c>
      <c r="S64" s="5" t="n">
        <v>31.2</v>
      </c>
      <c r="T64" s="2" t="n">
        <v>49</v>
      </c>
      <c r="U64" s="2" t="inlineStr">
        <is>
          <t>low</t>
        </is>
      </c>
      <c r="V64" s="5" t="n">
        <v>15.3</v>
      </c>
      <c r="W64" s="2" t="inlineStr">
        <is>
          <t>medium</t>
        </is>
      </c>
      <c r="X64" s="3" t="inlineStr"/>
      <c r="Y64" s="3" t="inlineStr">
        <is>
          <t>94% of this dish's available carbohydrate comes from ingredients with a published, measured GI; the rest uses conventional placeholders (see Ingredients sheet)</t>
        </is>
      </c>
      <c r="Z64" s="2" t="n">
        <v>94</v>
      </c>
      <c r="AA64" s="3" t="inlineStr">
        <is>
          <t>vegetarian</t>
        </is>
      </c>
      <c r="AB64" s="3" t="inlineStr">
        <is>
          <t>1. Warm cooked farro with almond milk, cinnamon and vanilla for 5 minutes.
2. Divide into bowls and add a spoon of Greek yogurt.
3. Top with diced pear and walnuts.</t>
        </is>
      </c>
      <c r="AC64" s="4" t="inlineStr">
        <is>
          <t>["Warm cooked farro with almond milk, cinnamon and vanilla for 5 minutes.", "Divide into bowls and add a spoon of Greek yogurt.", "Top with diced pear and walnuts."]</t>
        </is>
      </c>
    </row>
    <row r="65" ht="96" customHeight="1">
      <c r="A65" s="2" t="inlineStr">
        <is>
          <t>DB-0064</t>
        </is>
      </c>
      <c r="B65" s="3" t="inlineStr">
        <is>
          <t>Cheesy Cauliflower Breakfast Bake</t>
        </is>
      </c>
      <c r="C65" s="4" t="inlineStr">
        <is>
          <t>Breakfast</t>
        </is>
      </c>
      <c r="D65" s="4" t="inlineStr">
        <is>
          <t>American</t>
        </is>
      </c>
      <c r="E65" s="2" t="n">
        <v>6</v>
      </c>
      <c r="F65" s="2" t="n">
        <v>15</v>
      </c>
      <c r="G65" s="2" t="n">
        <v>35</v>
      </c>
      <c r="H65" s="2" t="n">
        <v>50</v>
      </c>
      <c r="I65" s="4" t="inlineStr">
        <is>
          <t>cheesy-cauliflower-breakfast-bake.jpg</t>
        </is>
      </c>
      <c r="J65" s="3" t="inlineStr">
        <is>
          <t>Cheesy Cauliflower Breakfast Bake, healthy food photography, plated, natural light</t>
        </is>
      </c>
      <c r="K65" s="4" t="inlineStr"/>
      <c r="L65" s="3" t="inlineStr">
        <is>
          <t>Cauliflower — 600 g (21.2 oz)
Egg, large (50 g each) — 400 g (14.1 oz) [8 large eggs]
Cheddar cheese — 120 g (4.2 oz)
Turkey bacon — 90 g (3.2 oz)
Green onions (scallions) — 30 g (1.1 oz)
Milk, 2% — 80 g (2.8 oz)
Salt — 3 g (0.1 oz)
Black pepper — 1 g (0.0 oz)
Extra-virgin olive oil — 5 g (0.2 oz)</t>
        </is>
      </c>
      <c r="M65" s="4" t="inlineStr">
        <is>
          <t>[{"ingredient_id": "cauliflower", "name": "Cauliflower", "grams": 600.0, "note": ""}, {"ingredient_id": "egg", "name": "Egg, large (50 g each)", "grams": 400.0, "note": "8 large eggs"}, {"ingredient_id": "cheddar", "name": "Cheddar cheese", "grams": 120.0, "note": ""}, {"ingredient_id": "turkey_bacon", "name": "Turkey bacon", "grams": 90.0, "note": ""}, {"ingredient_id": "green_onion", "name": "Green onions (scallions)", "grams": 30.0, "note": ""}, {"ingredient_id": "milk", "name": "Milk, 2%", "grams": 80.0, "note": ""}, {"ingredient_id": "salt", "name": "Salt", "grams": 3.0, "note": ""}, {"ingredient_id": "black_pepper", "name": "Black pepper", "grams": 1.0, "note": ""}, {"ingredient_id": "olive_oil", "name": "Extra-virgin olive oil", "grams": 5.0, "note": ""}]</t>
        </is>
      </c>
      <c r="N65" s="2" t="n">
        <v>250</v>
      </c>
      <c r="O65" s="5" t="n">
        <v>18.1</v>
      </c>
      <c r="P65" s="5" t="n">
        <v>16.6</v>
      </c>
      <c r="Q65" s="5" t="n">
        <v>7.1</v>
      </c>
      <c r="R65" s="5" t="n">
        <v>2.2</v>
      </c>
      <c r="S65" s="5" t="n">
        <v>5</v>
      </c>
      <c r="T65" s="2" t="n">
        <v>13</v>
      </c>
      <c r="U65" s="2" t="inlineStr">
        <is>
          <t>low</t>
        </is>
      </c>
      <c r="V65" s="5" t="n">
        <v>0.6</v>
      </c>
      <c r="W65" s="2" t="inlineStr">
        <is>
          <t>low</t>
        </is>
      </c>
      <c r="X65" s="3" t="inlineStr">
        <is>
          <t>Negligible carbohydrate (&lt;5 g net/serving): GI has little practical meaning, glycemic load is what matters.</t>
        </is>
      </c>
      <c r="Y65" s="3" t="inlineStr">
        <is>
          <t>13% of this dish's available carbohydrate comes from ingredients with a published, measured GI; the rest uses conventional placeholders (see Ingredients sheet)</t>
        </is>
      </c>
      <c r="Z65" s="2" t="n">
        <v>13</v>
      </c>
      <c r="AA65" s="3" t="inlineStr">
        <is>
          <t>gluten-free, nut-free, low-carb, make-ahead</t>
        </is>
      </c>
      <c r="AB65" s="3" t="inlineStr">
        <is>
          <t>1. Preheat oven to 375°F. Steam cauliflower florets 5 minutes and spread in an oiled 9x13 dish.
2. Cook turkey bacon until crisp and crumble over the cauliflower.
3. Whisk eggs, milk, salt and pepper; pour over, top with cheddar and green onion.
4. Bake 30–35 minutes until golden and set.</t>
        </is>
      </c>
      <c r="AC65" s="4" t="inlineStr">
        <is>
          <t>["Preheat oven to 375°F. Steam cauliflower florets 5 minutes and spread in an oiled 9x13 dish.", "Cook turkey bacon until crisp and crumble over the cauliflower.", "Whisk eggs, milk, salt and pepper; pour over, top with cheddar and green onion.", "Bake 30–35 minutes until golden and set."]</t>
        </is>
      </c>
    </row>
    <row r="66" ht="96" customHeight="1">
      <c r="A66" s="2" t="inlineStr">
        <is>
          <t>DB-0065</t>
        </is>
      </c>
      <c r="B66" s="3" t="inlineStr">
        <is>
          <t>Strawberry Almond Overnight Oats</t>
        </is>
      </c>
      <c r="C66" s="4" t="inlineStr">
        <is>
          <t>Breakfast</t>
        </is>
      </c>
      <c r="D66" s="4" t="inlineStr">
        <is>
          <t>American</t>
        </is>
      </c>
      <c r="E66" s="2" t="n">
        <v>1</v>
      </c>
      <c r="F66" s="2" t="n">
        <v>5</v>
      </c>
      <c r="G66" s="2" t="n">
        <v>0</v>
      </c>
      <c r="H66" s="2" t="n">
        <v>5</v>
      </c>
      <c r="I66" s="4" t="inlineStr">
        <is>
          <t>strawberry-almond-overnight-oats.jpg</t>
        </is>
      </c>
      <c r="J66" s="3" t="inlineStr">
        <is>
          <t>Strawberry Almond Overnight Oats, healthy food photography, plated, natural light</t>
        </is>
      </c>
      <c r="K66" s="4" t="inlineStr"/>
      <c r="L66" s="3" t="inlineStr">
        <is>
          <t>Rolled oats, dry — 40 g (1.4 oz)
Almond milk, unsweetened — 150 g (5.3 oz)
Greek yogurt, plain 2% — 80 g (2.8 oz)
Strawberries — 80 g (2.8 oz)
Almond butter — 12 g (0.4 oz)
Chia seeds — 8 g (0.3 oz)
Vanilla extract — 2 g (0.1 oz)</t>
        </is>
      </c>
      <c r="M66" s="4" t="inlineStr">
        <is>
          <t>[{"ingredient_id": "rolled_oats", "name": "Rolled oats, dry", "grams": 40.0, "note": ""}, {"ingredient_id": "almond_milk", "name": "Almond milk, unsweetened", "grams": 150.0, "note": ""}, {"ingredient_id": "greek_yogurt", "name": "Greek yogurt, plain 2%", "grams": 80.0, "note": ""}, {"ingredient_id": "strawberries", "name": "Strawberries", "grams": 80.0, "note": ""}, {"ingredient_id": "almond_butter", "name": "Almond butter", "grams": 12.0, "note": ""}, {"ingredient_id": "chia_seeds", "name": "Chia seeds", "grams": 8.0, "note": ""}, {"ingredient_id": "vanilla_extract", "name": "Vanilla extract", "grams": 2.0, "note": ""}]</t>
        </is>
      </c>
      <c r="N66" s="2" t="n">
        <v>376</v>
      </c>
      <c r="O66" s="5" t="n">
        <v>18.5</v>
      </c>
      <c r="P66" s="5" t="n">
        <v>15.4</v>
      </c>
      <c r="Q66" s="5" t="n">
        <v>43.4</v>
      </c>
      <c r="R66" s="5" t="n">
        <v>9.5</v>
      </c>
      <c r="S66" s="5" t="n">
        <v>33.8</v>
      </c>
      <c r="T66" s="2" t="n">
        <v>47</v>
      </c>
      <c r="U66" s="2" t="inlineStr">
        <is>
          <t>low</t>
        </is>
      </c>
      <c r="V66" s="5" t="n">
        <v>15.9</v>
      </c>
      <c r="W66" s="2" t="inlineStr">
        <is>
          <t>medium</t>
        </is>
      </c>
      <c r="X66" s="3" t="inlineStr"/>
      <c r="Y66" s="3" t="inlineStr">
        <is>
          <t>92% of this dish's available carbohydrate comes from ingredients with a published, measured GI; the rest uses conventional placeholders (see Ingredients sheet)</t>
        </is>
      </c>
      <c r="Z66" s="2" t="n">
        <v>92</v>
      </c>
      <c r="AA66" s="3" t="inlineStr">
        <is>
          <t>vegetarian, high-fiber, no-cook, make-ahead</t>
        </is>
      </c>
      <c r="AB66" s="3" t="inlineStr">
        <is>
          <t>1. Stir oats, almond milk, yogurt, chia and vanilla in a jar.
2. Refrigerate overnight.
3. Top with sliced strawberries and a drizzle of almond butter.</t>
        </is>
      </c>
      <c r="AC66" s="4" t="inlineStr">
        <is>
          <t>["Stir oats, almond milk, yogurt, chia and vanilla in a jar.", "Refrigerate overnight.", "Top with sliced strawberries and a drizzle of almond butter."]</t>
        </is>
      </c>
    </row>
    <row r="67" ht="96" customHeight="1">
      <c r="A67" s="2" t="inlineStr">
        <is>
          <t>DB-0066</t>
        </is>
      </c>
      <c r="B67" s="3" t="inlineStr">
        <is>
          <t>Crab &amp; Avocado Omelet</t>
        </is>
      </c>
      <c r="C67" s="4" t="inlineStr">
        <is>
          <t>Breakfast</t>
        </is>
      </c>
      <c r="D67" s="4" t="inlineStr">
        <is>
          <t>American</t>
        </is>
      </c>
      <c r="E67" s="2" t="n">
        <v>1</v>
      </c>
      <c r="F67" s="2" t="n">
        <v>5</v>
      </c>
      <c r="G67" s="2" t="n">
        <v>8</v>
      </c>
      <c r="H67" s="2" t="n">
        <v>13</v>
      </c>
      <c r="I67" s="4" t="inlineStr">
        <is>
          <t>crab-and-avocado-omelet.jpg</t>
        </is>
      </c>
      <c r="J67" s="3" t="inlineStr">
        <is>
          <t>Crab &amp; Avocado Omelet, healthy food photography, plated, natural light</t>
        </is>
      </c>
      <c r="K67" s="4" t="inlineStr"/>
      <c r="L67" s="3" t="inlineStr">
        <is>
          <t>Egg, large (50 g each) — 150 g (5.3 oz) [3 large eggs]
Crab meat, lump — 70 g (2.5 oz)
Avocado — 50 g (1.8 oz)
Green onions (scallions) — 10 g (0.4 oz)
Extra-virgin olive oil — 6 g (0.2 oz)
Old Bay seasoning — 1 g (0.0 oz)
Lemon juice — 5 g (0.2 oz)</t>
        </is>
      </c>
      <c r="M67" s="4" t="inlineStr">
        <is>
          <t>[{"ingredient_id": "egg", "name": "Egg, large (50 g each)", "grams": 150.0, "note": "3 large eggs"}, {"ingredient_id": "crab", "name": "Crab meat, lump", "grams": 70.0, "note": ""}, {"ingredient_id": "avocado", "name": "Avocado", "grams": 50.0, "note": ""}, {"ingredient_id": "green_onion", "name": "Green onions (scallions)", "grams": 10.0, "note": ""}, {"ingredient_id": "olive_oil", "name": "Extra-virgin olive oil", "grams": 6.0, "note": ""}, {"ingredient_id": "old_bay", "name": "Old Bay seasoning", "grams": 1.0, "note": ""}, {"ingredient_id": "lemon_juice", "name": "Lemon juice", "grams": 5.0, "note": ""}]</t>
        </is>
      </c>
      <c r="N67" s="2" t="n">
        <v>414</v>
      </c>
      <c r="O67" s="5" t="n">
        <v>32.8</v>
      </c>
      <c r="P67" s="5" t="n">
        <v>28.6</v>
      </c>
      <c r="Q67" s="5" t="n">
        <v>6.9</v>
      </c>
      <c r="R67" s="5" t="n">
        <v>3.9</v>
      </c>
      <c r="S67" s="5" t="n">
        <v>3</v>
      </c>
      <c r="T67" s="2" t="n">
        <v>10</v>
      </c>
      <c r="U67" s="2" t="inlineStr">
        <is>
          <t>low</t>
        </is>
      </c>
      <c r="V67" s="5" t="n">
        <v>0.3</v>
      </c>
      <c r="W67" s="2" t="inlineStr">
        <is>
          <t>low</t>
        </is>
      </c>
      <c r="X67" s="3" t="inlineStr">
        <is>
          <t>Negligible carbohydrate (&lt;5 g net/serving): GI has little practical meaning, glycemic load is what matters.</t>
        </is>
      </c>
      <c r="Y67" s="3" t="inlineStr">
        <is>
          <t>0% of this dish's available carbohydrate comes from ingredients with a published, measured GI; the rest uses conventional placeholders (see Ingredients sheet)</t>
        </is>
      </c>
      <c r="Z67" s="2" t="n">
        <v>0</v>
      </c>
      <c r="AA67" s="3" t="inlineStr">
        <is>
          <t>pescatarian, gluten-free, dairy-free, nut-free, low-carb, high-protein, quick</t>
        </is>
      </c>
      <c r="AB67" s="3" t="inlineStr">
        <is>
          <t>1. Whisk eggs with Old Bay and cook in olive oil until nearly set.
2. Add crab and green onion to one half, fold and cook 1 minute.
3. Top with sliced avocado and lemon juice.</t>
        </is>
      </c>
      <c r="AC67" s="4" t="inlineStr">
        <is>
          <t>["Whisk eggs with Old Bay and cook in olive oil until nearly set.", "Add crab and green onion to one half, fold and cook 1 minute.", "Top with sliced avocado and lemon juice."]</t>
        </is>
      </c>
    </row>
    <row r="68" ht="96" customHeight="1">
      <c r="A68" s="2" t="inlineStr">
        <is>
          <t>DB-0067</t>
        </is>
      </c>
      <c r="B68" s="3" t="inlineStr">
        <is>
          <t>Cinnamon Flax Microwave Muffin</t>
        </is>
      </c>
      <c r="C68" s="4" t="inlineStr">
        <is>
          <t>Breakfast</t>
        </is>
      </c>
      <c r="D68" s="4" t="inlineStr">
        <is>
          <t>American</t>
        </is>
      </c>
      <c r="E68" s="2" t="n">
        <v>1</v>
      </c>
      <c r="F68" s="2" t="n">
        <v>3</v>
      </c>
      <c r="G68" s="2" t="n">
        <v>2</v>
      </c>
      <c r="H68" s="2" t="n">
        <v>5</v>
      </c>
      <c r="I68" s="4" t="inlineStr">
        <is>
          <t>cinnamon-flax-microwave-muffin.jpg</t>
        </is>
      </c>
      <c r="J68" s="3" t="inlineStr">
        <is>
          <t>Cinnamon Flax Microwave Muffin, healthy food photography, plated, natural light</t>
        </is>
      </c>
      <c r="K68" s="4" t="inlineStr"/>
      <c r="L68" s="3" t="inlineStr">
        <is>
          <t>Ground flaxseed — 30 g (1.1 oz)
Egg, large (50 g each) — 50 g (1.8 oz) [1 large egg]
Baking powder — 2 g (0.1 oz)
Ground cinnamon — 2 g (0.1 oz)
Monk fruit/erythritol sweetener — 6 g (0.2 oz)
Coconut oil — 5 g (0.2 oz)
Greek yogurt, plain 2% — 60 g (2.1 oz)
Raspberries — 40 g (1.4 oz)</t>
        </is>
      </c>
      <c r="M68" s="4" t="inlineStr">
        <is>
          <t>[{"ingredient_id": "flaxseed", "name": "Ground flaxseed", "grams": 30.0, "note": ""}, {"ingredient_id": "egg", "name": "Egg, large (50 g each)", "grams": 50.0, "note": "1 large egg"}, {"ingredient_id": "baking_powder", "name": "Baking powder", "grams": 2.0, "note": ""}, {"ingredient_id": "cinnamon", "name": "Ground cinnamon", "grams": 2.0, "note": ""}, {"ingredient_id": "monk_fruit_sweetener", "name": "Monk fruit/erythritol sweetener", "grams": 6.0, "note": ""}, {"ingredient_id": "coconut_oil", "name": "Coconut oil", "grams": 5.0, "note": ""}, {"ingredient_id": "greek_yogurt", "name": "Greek yogurt, plain 2%", "grams": 60.0, "note": ""}, {"ingredient_id": "raspberries", "name": "Raspberries", "grams": 40.0, "note": ""}]</t>
        </is>
      </c>
      <c r="N68" s="2" t="n">
        <v>345</v>
      </c>
      <c r="O68" s="5" t="n">
        <v>18.3</v>
      </c>
      <c r="P68" s="5" t="n">
        <v>23.9</v>
      </c>
      <c r="Q68" s="5" t="n">
        <v>18.4</v>
      </c>
      <c r="R68" s="5" t="n">
        <v>11.8</v>
      </c>
      <c r="S68" s="5" t="n">
        <v>6.7</v>
      </c>
      <c r="T68" s="2" t="n">
        <v>16</v>
      </c>
      <c r="U68" s="2" t="inlineStr">
        <is>
          <t>low</t>
        </is>
      </c>
      <c r="V68" s="5" t="n">
        <v>1.1</v>
      </c>
      <c r="W68" s="2" t="inlineStr">
        <is>
          <t>low</t>
        </is>
      </c>
      <c r="X68" s="3" t="inlineStr"/>
      <c r="Y68" s="3" t="inlineStr">
        <is>
          <t>36% of this dish's available carbohydrate comes from ingredients with a published, measured GI; the rest uses conventional placeholders (see Ingredients sheet)</t>
        </is>
      </c>
      <c r="Z68" s="2" t="n">
        <v>36</v>
      </c>
      <c r="AA68" s="3" t="inlineStr">
        <is>
          <t>vegetarian, gluten-free, nut-free, low-carb, high-fiber, quick</t>
        </is>
      </c>
      <c r="AB68" s="3" t="inlineStr">
        <is>
          <t>1. Mix flaxseed, egg, baking powder, cinnamon, sweetener and melted coconut oil in a mug.
2. Microwave 90 seconds until set.
3. Turn out, split and serve with Greek yogurt and raspberries.</t>
        </is>
      </c>
      <c r="AC68" s="4" t="inlineStr">
        <is>
          <t>["Mix flaxseed, egg, baking powder, cinnamon, sweetener and melted coconut oil in a mug.", "Microwave 90 seconds until set.", "Turn out, split and serve with Greek yogurt and raspberries."]</t>
        </is>
      </c>
    </row>
    <row r="69" ht="96" customHeight="1">
      <c r="A69" s="2" t="inlineStr">
        <is>
          <t>DB-0068</t>
        </is>
      </c>
      <c r="B69" s="3" t="inlineStr">
        <is>
          <t>Breakfast Stuffed Bell Peppers</t>
        </is>
      </c>
      <c r="C69" s="4" t="inlineStr">
        <is>
          <t>Breakfast</t>
        </is>
      </c>
      <c r="D69" s="4" t="inlineStr">
        <is>
          <t>American</t>
        </is>
      </c>
      <c r="E69" s="2" t="n">
        <v>2</v>
      </c>
      <c r="F69" s="2" t="n">
        <v>10</v>
      </c>
      <c r="G69" s="2" t="n">
        <v>30</v>
      </c>
      <c r="H69" s="2" t="n">
        <v>40</v>
      </c>
      <c r="I69" s="4" t="inlineStr">
        <is>
          <t>breakfast-stuffed-bell-peppers.jpg</t>
        </is>
      </c>
      <c r="J69" s="3" t="inlineStr">
        <is>
          <t>Breakfast Stuffed Bell Peppers, healthy food photography, plated, natural light</t>
        </is>
      </c>
      <c r="K69" s="4" t="inlineStr"/>
      <c r="L69" s="3" t="inlineStr">
        <is>
          <t>Bell pepper — 300 g (10.6 oz) [2 large peppers]
Egg, large (50 g each) — 200 g (7.1 oz) [4 large eggs]
Turkey sausage — 100 g (3.5 oz)
Spinach — 50 g (1.8 oz)
Cheddar cheese — 40 g (1.4 oz)
Salt — 1 g (0.0 oz)
Black pepper — 1 g (0.0 oz)</t>
        </is>
      </c>
      <c r="M69" s="4" t="inlineStr">
        <is>
          <t>[{"ingredient_id": "bell_pepper", "name": "Bell pepper", "grams": 300.0, "note": "2 large peppers"}, {"ingredient_id": "egg", "name": "Egg, large (50 g each)", "grams": 200.0, "note": "4 large eggs"}, {"ingredient_id": "turkey_sausage", "name": "Turkey sausage", "grams": 100.0, "note": ""}, {"ingredient_id": "spinach", "name": "Spinach", "grams": 50.0, "note": ""}, {"ingredient_id": "cheddar", "name": "Cheddar cheese", "grams": 40.0, "note": ""}, {"ingredient_id": "salt", "name": "Salt", "grams": 1.0, "note": ""}, {"ingredient_id": "black_pepper", "name": "Black pepper", "grams": 1.0, "note": ""}]</t>
        </is>
      </c>
      <c r="N69" s="2" t="n">
        <v>355</v>
      </c>
      <c r="O69" s="5" t="n">
        <v>27</v>
      </c>
      <c r="P69" s="5" t="n">
        <v>21.7</v>
      </c>
      <c r="Q69" s="5" t="n">
        <v>12.2</v>
      </c>
      <c r="R69" s="5" t="n">
        <v>3.8</v>
      </c>
      <c r="S69" s="5" t="n">
        <v>8.4</v>
      </c>
      <c r="T69" s="2" t="n">
        <v>11</v>
      </c>
      <c r="U69" s="2" t="inlineStr">
        <is>
          <t>low</t>
        </is>
      </c>
      <c r="V69" s="5" t="n">
        <v>0.9</v>
      </c>
      <c r="W69" s="2" t="inlineStr">
        <is>
          <t>low</t>
        </is>
      </c>
      <c r="X69" s="3" t="inlineStr"/>
      <c r="Y69" s="3" t="inlineStr">
        <is>
          <t>0% of this dish's available carbohydrate comes from ingredients with a published, measured GI; the rest uses conventional placeholders (see Ingredients sheet)</t>
        </is>
      </c>
      <c r="Z69" s="2" t="n">
        <v>0</v>
      </c>
      <c r="AA69" s="3" t="inlineStr">
        <is>
          <t>gluten-free, nut-free, low-carb, high-protein</t>
        </is>
      </c>
      <c r="AB69" s="3" t="inlineStr">
        <is>
          <t>1. Preheat oven to 375°F. Halve peppers lengthwise and remove seeds; bake 10 minutes.
2. Brown sausage and wilt spinach together.
3. Fill the pepper halves with sausage-spinach mix, pour in whisked eggs, top with cheddar.
4. Bake 18–20 minutes until eggs are set.</t>
        </is>
      </c>
      <c r="AC69" s="4" t="inlineStr">
        <is>
          <t>["Preheat oven to 375°F. Halve peppers lengthwise and remove seeds; bake 10 minutes.", "Brown sausage and wilt spinach together.", "Fill the pepper halves with sausage-spinach mix, pour in whisked eggs, top with cheddar.", "Bake 18–20 minutes until eggs are set."]</t>
        </is>
      </c>
    </row>
    <row r="70" ht="96" customHeight="1">
      <c r="A70" s="2" t="inlineStr">
        <is>
          <t>DB-0069</t>
        </is>
      </c>
      <c r="B70" s="3" t="inlineStr">
        <is>
          <t>Tempeh Bacon, Lettuce &amp; Tomato Wrap</t>
        </is>
      </c>
      <c r="C70" s="4" t="inlineStr">
        <is>
          <t>Breakfast</t>
        </is>
      </c>
      <c r="D70" s="4" t="inlineStr">
        <is>
          <t>American</t>
        </is>
      </c>
      <c r="E70" s="2" t="n">
        <v>2</v>
      </c>
      <c r="F70" s="2" t="n">
        <v>10</v>
      </c>
      <c r="G70" s="2" t="n">
        <v>10</v>
      </c>
      <c r="H70" s="2" t="n">
        <v>20</v>
      </c>
      <c r="I70" s="4" t="inlineStr">
        <is>
          <t>tempeh-bacon-lettuce-and-tomato-wrap.jpg</t>
        </is>
      </c>
      <c r="J70" s="3" t="inlineStr">
        <is>
          <t>Tempeh Bacon, Lettuce &amp; Tomato Wrap, healthy food photography, plated, natural light</t>
        </is>
      </c>
      <c r="K70" s="4" t="inlineStr"/>
      <c r="L70" s="3" t="inlineStr">
        <is>
          <t>Tempeh — 150 g (5.3 oz)
Tamari (gluten-free soy sauce) — 15 g (0.5 oz)
Smoked paprika — 2 g (0.1 oz)
Pure maple syrup (small amount) — 5 g (0.2 oz)
Low-carb high-fiber tortilla — 84 g (3.0 oz) [2 tortillas]
Romaine lettuce — 60 g (2.1 oz)
Tomato — 100 g (3.5 oz)
Avocado — 60 g (2.1 oz)
Extra-virgin olive oil — 8 g (0.3 oz)</t>
        </is>
      </c>
      <c r="M70" s="4" t="inlineStr">
        <is>
          <t>[{"ingredient_id": "tempeh", "name": "Tempeh", "grams": 150.0, "note": ""}, {"ingredient_id": "tamari", "name": "Tamari (gluten-free soy sauce)", "grams": 15.0, "note": ""}, {"ingredient_id": "smoked_paprika", "name": "Smoked paprika", "grams": 2.0, "note": ""}, {"ingredient_id": "maple_syrup", "name": "Pure maple syrup (small amount)", "grams": 5.0, "note": ""}, {"ingredient_id": "low_carb_tortilla", "name": "Low-carb high-fiber tortilla", "grams": 84.0, "note": "2 tortillas"}, {"ingredient_id": "romaine", "name": "Romaine lettuce", "grams": 60.0, "note": ""}, {"ingredient_id": "tomato", "name": "Tomato", "grams": 100.0, "note": ""}, {"ingredient_id": "avocado", "name": "Avocado", "grams": 60.0, "note": ""}, {"ingredient_id": "olive_oil", "name": "Extra-virgin olive oil", "grams": 8.0, "note": ""}]</t>
        </is>
      </c>
      <c r="N70" s="2" t="n">
        <v>360</v>
      </c>
      <c r="O70" s="5" t="n">
        <v>22.3</v>
      </c>
      <c r="P70" s="5" t="n">
        <v>20.4</v>
      </c>
      <c r="Q70" s="5" t="n">
        <v>30.9</v>
      </c>
      <c r="R70" s="5" t="n">
        <v>18.6</v>
      </c>
      <c r="S70" s="5" t="n">
        <v>12.2</v>
      </c>
      <c r="T70" s="2" t="n">
        <v>28</v>
      </c>
      <c r="U70" s="2" t="inlineStr">
        <is>
          <t>low</t>
        </is>
      </c>
      <c r="V70" s="5" t="n">
        <v>3.4</v>
      </c>
      <c r="W70" s="2" t="inlineStr">
        <is>
          <t>low</t>
        </is>
      </c>
      <c r="X70" s="3" t="inlineStr"/>
      <c r="Y70" s="3" t="inlineStr">
        <is>
          <t>14% of this dish's available carbohydrate comes from ingredients with a published, measured GI; the rest uses conventional placeholders (see Ingredients sheet)</t>
        </is>
      </c>
      <c r="Z70" s="2" t="n">
        <v>14</v>
      </c>
      <c r="AA70" s="3" t="inlineStr">
        <is>
          <t>vegan, dairy-free, nut-free, low-carb, high-fiber</t>
        </is>
      </c>
      <c r="AB70" s="3" t="inlineStr">
        <is>
          <t>1. Slice tempeh thin and marinate 5 minutes in tamari, paprika and maple syrup.
2. Pan-fry in olive oil 3 minutes per side until crisp.
3. Fill tortillas with lettuce, tomato, avocado and tempeh bacon; roll up.</t>
        </is>
      </c>
      <c r="AC70" s="4" t="inlineStr">
        <is>
          <t>["Slice tempeh thin and marinate 5 minutes in tamari, paprika and maple syrup.", "Pan-fry in olive oil 3 minutes per side until crisp.", "Fill tortillas with lettuce, tomato, avocado and tempeh bacon; roll up."]</t>
        </is>
      </c>
    </row>
    <row r="71" ht="96" customHeight="1">
      <c r="A71" s="2" t="inlineStr">
        <is>
          <t>DB-0070</t>
        </is>
      </c>
      <c r="B71" s="3" t="inlineStr">
        <is>
          <t>Salmon Cakes with Poached Eggs</t>
        </is>
      </c>
      <c r="C71" s="4" t="inlineStr">
        <is>
          <t>Breakfast</t>
        </is>
      </c>
      <c r="D71" s="4" t="inlineStr">
        <is>
          <t>American</t>
        </is>
      </c>
      <c r="E71" s="2" t="n">
        <v>2</v>
      </c>
      <c r="F71" s="2" t="n">
        <v>10</v>
      </c>
      <c r="G71" s="2" t="n">
        <v>12</v>
      </c>
      <c r="H71" s="2" t="n">
        <v>22</v>
      </c>
      <c r="I71" s="4" t="inlineStr">
        <is>
          <t>salmon-cakes-with-poached-eggs.jpg</t>
        </is>
      </c>
      <c r="J71" s="3" t="inlineStr">
        <is>
          <t>Salmon Cakes with Poached Eggs, healthy food photography, plated, natural light</t>
        </is>
      </c>
      <c r="K71" s="4" t="inlineStr"/>
      <c r="L71" s="3" t="inlineStr">
        <is>
          <t>Canned salmon — 220 g (7.8 oz)
Egg, large (50 g each) — 150 g (5.3 oz) [1 egg in cakes + 2 poached]
Almond flour — 25 g (0.9 oz)
Green onions (scallions) — 20 g (0.7 oz)
Dijon mustard — 8 g (0.3 oz)
Lemon juice — 8 g (0.3 oz)
Extra-virgin olive oil — 12 g (0.4 oz)
Arugula — 60 g (2.1 oz)</t>
        </is>
      </c>
      <c r="M71" s="4" t="inlineStr">
        <is>
          <t>[{"ingredient_id": "canned_salmon", "name": "Canned salmon", "grams": 220.0, "note": ""}, {"ingredient_id": "egg", "name": "Egg, large (50 g each)", "grams": 150.0, "note": "1 egg in cakes + 2 poached"}, {"ingredient_id": "almond_flour", "name": "Almond flour", "grams": 25.0, "note": ""}, {"ingredient_id": "green_onion", "name": "Green onions (scallions)", "grams": 20.0, "note": ""}, {"ingredient_id": "dijon", "name": "Dijon mustard", "grams": 8.0, "note": ""}, {"ingredient_id": "lemon_juice", "name": "Lemon juice", "grams": 8.0, "note": ""}, {"ingredient_id": "olive_oil", "name": "Extra-virgin olive oil", "grams": 12.0, "note": ""}, {"ingredient_id": "arugula", "name": "Arugula", "grams": 60.0, "note": ""}]</t>
        </is>
      </c>
      <c r="N71" s="2" t="n">
        <v>402</v>
      </c>
      <c r="O71" s="5" t="n">
        <v>35.2</v>
      </c>
      <c r="P71" s="5" t="n">
        <v>26.3</v>
      </c>
      <c r="Q71" s="5" t="n">
        <v>5.5</v>
      </c>
      <c r="R71" s="5" t="n">
        <v>2.4</v>
      </c>
      <c r="S71" s="5" t="n">
        <v>3.1</v>
      </c>
      <c r="T71" s="2" t="n">
        <v>13</v>
      </c>
      <c r="U71" s="2" t="inlineStr">
        <is>
          <t>low</t>
        </is>
      </c>
      <c r="V71" s="5" t="n">
        <v>0.4</v>
      </c>
      <c r="W71" s="2" t="inlineStr">
        <is>
          <t>low</t>
        </is>
      </c>
      <c r="X71" s="3" t="inlineStr">
        <is>
          <t>Negligible carbohydrate (&lt;5 g net/serving): GI has little practical meaning, glycemic load is what matters.</t>
        </is>
      </c>
      <c r="Y71" s="3" t="inlineStr">
        <is>
          <t>0% of this dish's available carbohydrate comes from ingredients with a published, measured GI; the rest uses conventional placeholders (see Ingredients sheet)</t>
        </is>
      </c>
      <c r="Z71" s="2" t="n">
        <v>0</v>
      </c>
      <c r="AA71" s="3" t="inlineStr">
        <is>
          <t>pescatarian, gluten-free, dairy-free, low-carb, high-protein, omega-3</t>
        </is>
      </c>
      <c r="AB71" s="3" t="inlineStr">
        <is>
          <t>1. Mix salmon, 1 egg, almond flour, green onion, Dijon and lemon juice; form 4 patties.
2. Pan-fry in olive oil 4 minutes per side until golden.
3. Poach the remaining 2 eggs.
4. Serve cakes on arugula topped with a poached egg.</t>
        </is>
      </c>
      <c r="AC71" s="4" t="inlineStr">
        <is>
          <t>["Mix salmon, 1 egg, almond flour, green onion, Dijon and lemon juice; form 4 patties.", "Pan-fry in olive oil 4 minutes per side until golden.", "Poach the remaining 2 eggs.", "Serve cakes on arugula topped with a poached egg."]</t>
        </is>
      </c>
    </row>
    <row r="72" ht="96" customHeight="1">
      <c r="A72" s="2" t="inlineStr">
        <is>
          <t>DB-0071</t>
        </is>
      </c>
      <c r="B72" s="3" t="inlineStr">
        <is>
          <t>Pesto Egg Toast</t>
        </is>
      </c>
      <c r="C72" s="4" t="inlineStr">
        <is>
          <t>Breakfast</t>
        </is>
      </c>
      <c r="D72" s="4" t="inlineStr">
        <is>
          <t>Italian</t>
        </is>
      </c>
      <c r="E72" s="2" t="n">
        <v>1</v>
      </c>
      <c r="F72" s="2" t="n">
        <v>3</v>
      </c>
      <c r="G72" s="2" t="n">
        <v>5</v>
      </c>
      <c r="H72" s="2" t="n">
        <v>8</v>
      </c>
      <c r="I72" s="4" t="inlineStr">
        <is>
          <t>pesto-egg-toast.jpg</t>
        </is>
      </c>
      <c r="J72" s="3" t="inlineStr">
        <is>
          <t>Pesto Egg Toast, healthy food photography, plated, natural light</t>
        </is>
      </c>
      <c r="K72" s="4" t="inlineStr"/>
      <c r="L72" s="3" t="inlineStr">
        <is>
          <t>Whole wheat bread (100% whole wheat) — 35 g (1.2 oz) [1 slice]
Egg, large (50 g each) — 100 g (3.5 oz) [2 large eggs]
Basil pesto — 15 g (0.5 oz)
Cherry tomatoes — 50 g (1.8 oz)
Parmesan, grated — 8 g (0.3 oz)</t>
        </is>
      </c>
      <c r="M72" s="4" t="inlineStr">
        <is>
          <t>[{"ingredient_id": "whole_grain_bread", "name": "Whole wheat bread (100% whole wheat)", "grams": 35.0, "note": "1 slice"}, {"ingredient_id": "egg", "name": "Egg, large (50 g each)", "grams": 100.0, "note": "2 large eggs"}, {"ingredient_id": "pesto", "name": "Basil pesto", "grams": 15.0, "note": ""}, {"ingredient_id": "cherry_tomato", "name": "Cherry tomatoes", "grams": 50.0, "note": ""}, {"ingredient_id": "parmesan", "name": "Parmesan, grated", "grams": 8.0, "note": ""}]</t>
        </is>
      </c>
      <c r="N72" s="2" t="n">
        <v>334</v>
      </c>
      <c r="O72" s="5" t="n">
        <v>21</v>
      </c>
      <c r="P72" s="5" t="n">
        <v>19.1</v>
      </c>
      <c r="Q72" s="5" t="n">
        <v>18.9</v>
      </c>
      <c r="R72" s="5" t="n">
        <v>3.2</v>
      </c>
      <c r="S72" s="5" t="n">
        <v>15.7</v>
      </c>
      <c r="T72" s="2" t="n">
        <v>59</v>
      </c>
      <c r="U72" s="2" t="inlineStr">
        <is>
          <t>medium</t>
        </is>
      </c>
      <c r="V72" s="5" t="n">
        <v>9.300000000000001</v>
      </c>
      <c r="W72" s="2" t="inlineStr">
        <is>
          <t>low</t>
        </is>
      </c>
      <c r="X72" s="3" t="inlineStr">
        <is>
          <t>Medium-GI dish: keep to the stated portion and pair with the protein/fat in the recipe; GL per serving is the better guide.</t>
        </is>
      </c>
      <c r="Y72" s="3" t="inlineStr">
        <is>
          <t>81% of this dish's available carbohydrate comes from ingredients with a published, measured GI; the rest uses conventional placeholders (see Ingredients sheet)</t>
        </is>
      </c>
      <c r="Z72" s="2" t="n">
        <v>81</v>
      </c>
      <c r="AA72" s="3" t="inlineStr">
        <is>
          <t>vegetarian, quick</t>
        </is>
      </c>
      <c r="AB72" s="3" t="inlineStr">
        <is>
          <t>1. Heat pesto in a nonstick pan and crack in the eggs; fry until whites set.
2. Toast the bread.
3. Slide the pesto eggs onto the toast and top with halved tomatoes and parmesan.</t>
        </is>
      </c>
      <c r="AC72" s="4" t="inlineStr">
        <is>
          <t>["Heat pesto in a nonstick pan and crack in the eggs; fry until whites set.", "Toast the bread.", "Slide the pesto eggs onto the toast and top with halved tomatoes and parmesan."]</t>
        </is>
      </c>
    </row>
    <row r="73" ht="96" customHeight="1">
      <c r="A73" s="2" t="inlineStr">
        <is>
          <t>DB-0072</t>
        </is>
      </c>
      <c r="B73" s="3" t="inlineStr">
        <is>
          <t>Blackberry Ricotta Protein Crepes</t>
        </is>
      </c>
      <c r="C73" s="4" t="inlineStr">
        <is>
          <t>Breakfast</t>
        </is>
      </c>
      <c r="D73" s="4" t="inlineStr">
        <is>
          <t>French</t>
        </is>
      </c>
      <c r="E73" s="2" t="n">
        <v>2</v>
      </c>
      <c r="F73" s="2" t="n">
        <v>10</v>
      </c>
      <c r="G73" s="2" t="n">
        <v>12</v>
      </c>
      <c r="H73" s="2" t="n">
        <v>22</v>
      </c>
      <c r="I73" s="4" t="inlineStr">
        <is>
          <t>blackberry-ricotta-protein-crepes.jpg</t>
        </is>
      </c>
      <c r="J73" s="3" t="inlineStr">
        <is>
          <t>Blackberry Ricotta Protein Crepes, healthy food photography, plated, natural light</t>
        </is>
      </c>
      <c r="K73" s="4" t="inlineStr"/>
      <c r="L73" s="3" t="inlineStr">
        <is>
          <t>Egg, large (50 g each) — 150 g (5.3 oz) [3 large eggs]
Egg whites — 60 g (2.1 oz) [2 egg whites]
Almond milk, unsweetened — 60 g (2.1 oz)
Oat flour — 30 g (1.1 oz)
Ricotta, part-skim — 150 g (5.3 oz)
Blackberries — 120 g (4.2 oz)
Vanilla extract — 3 g (0.1 oz)
Monk fruit/erythritol sweetener — 8 g (0.3 oz)
Coconut oil — 6 g (0.2 oz)</t>
        </is>
      </c>
      <c r="M73" s="4" t="inlineStr">
        <is>
          <t>[{"ingredient_id": "egg", "name": "Egg, large (50 g each)", "grams": 150.0, "note": "3 large eggs"}, {"ingredient_id": "egg_white", "name": "Egg whites", "grams": 60.0, "note": "2 egg whites"}, {"ingredient_id": "almond_milk", "name": "Almond milk, unsweetened", "grams": 60.0, "note": ""}, {"ingredient_id": "oat_flour", "name": "Oat flour", "grams": 30.0, "note": ""}, {"ingredient_id": "ricotta", "name": "Ricotta, part-skim", "grams": 150.0, "note": ""}, {"ingredient_id": "blackberries", "name": "Blackberries", "grams": 120.0, "note": ""}, {"ingredient_id": "vanilla_extract", "name": "Vanilla extract", "grams": 3.0, "note": ""}, {"ingredient_id": "monk_fruit_sweetener", "name": "Monk fruit/erythritol sweetener", "grams": 8.0, "note": ""}, {"ingredient_id": "coconut_oil", "name": "Coconut oil", "grams": 6.0, "note": ""}]</t>
        </is>
      </c>
      <c r="N73" s="2" t="n">
        <v>347</v>
      </c>
      <c r="O73" s="5" t="n">
        <v>24.3</v>
      </c>
      <c r="P73" s="5" t="n">
        <v>18.2</v>
      </c>
      <c r="Q73" s="5" t="n">
        <v>20.5</v>
      </c>
      <c r="R73" s="5" t="n">
        <v>4.2</v>
      </c>
      <c r="S73" s="5" t="n">
        <v>16.4</v>
      </c>
      <c r="T73" s="2" t="n">
        <v>38</v>
      </c>
      <c r="U73" s="2" t="inlineStr">
        <is>
          <t>low</t>
        </is>
      </c>
      <c r="V73" s="5" t="n">
        <v>6.2</v>
      </c>
      <c r="W73" s="2" t="inlineStr">
        <is>
          <t>low</t>
        </is>
      </c>
      <c r="X73" s="3" t="inlineStr"/>
      <c r="Y73" s="3" t="inlineStr">
        <is>
          <t>0% of this dish's available carbohydrate comes from ingredients with a published, measured GI; the rest uses conventional placeholders (see Ingredients sheet)</t>
        </is>
      </c>
      <c r="Z73" s="2" t="n">
        <v>0</v>
      </c>
      <c r="AA73" s="3" t="inlineStr">
        <is>
          <t>vegetarian</t>
        </is>
      </c>
      <c r="AB73" s="3" t="inlineStr">
        <is>
          <t>1. Blend eggs, egg whites, almond milk, oat flour and vanilla into a thin batter.
2. Cook thin crepes in a lightly oiled pan, 1 minute per side; makes about 6.
3. Mix ricotta with sweetener, fill crepes, fold and top with blackberries.</t>
        </is>
      </c>
      <c r="AC73" s="4" t="inlineStr">
        <is>
          <t>["Blend eggs, egg whites, almond milk, oat flour and vanilla into a thin batter.", "Cook thin crepes in a lightly oiled pan, 1 minute per side; makes about 6.", "Mix ricotta with sweetener, fill crepes, fold and top with blackberries."]</t>
        </is>
      </c>
    </row>
    <row r="74" ht="96" customHeight="1">
      <c r="A74" s="2" t="inlineStr">
        <is>
          <t>DB-0073</t>
        </is>
      </c>
      <c r="B74" s="3" t="inlineStr">
        <is>
          <t>Miso Egg Drop Breakfast Soup</t>
        </is>
      </c>
      <c r="C74" s="4" t="inlineStr">
        <is>
          <t>Breakfast</t>
        </is>
      </c>
      <c r="D74" s="4" t="inlineStr">
        <is>
          <t>Japanese</t>
        </is>
      </c>
      <c r="E74" s="2" t="n">
        <v>2</v>
      </c>
      <c r="F74" s="2" t="n">
        <v>5</v>
      </c>
      <c r="G74" s="2" t="n">
        <v>10</v>
      </c>
      <c r="H74" s="2" t="n">
        <v>15</v>
      </c>
      <c r="I74" s="4" t="inlineStr">
        <is>
          <t>miso-egg-drop-breakfast-soup.jpg</t>
        </is>
      </c>
      <c r="J74" s="3" t="inlineStr">
        <is>
          <t>Miso Egg Drop Breakfast Soup, healthy food photography, plated, natural light</t>
        </is>
      </c>
      <c r="K74" s="4" t="inlineStr"/>
      <c r="L74" s="3" t="inlineStr">
        <is>
          <t>Chicken broth, low sodium — 600 g (21.2 oz)
White miso paste — 20 g (0.7 oz)
Egg, large (50 g each) — 100 g (3.5 oz) [2 large eggs]
Tofu, extra-firm — 120 g (4.2 oz)
Green onions (scallions) — 20 g (0.7 oz)
Spinach — 60 g (2.1 oz)
Nori seaweed sheets — 2 g (0.1 oz)
Fresh ginger — 5 g (0.2 oz)</t>
        </is>
      </c>
      <c r="M74" s="4" t="inlineStr">
        <is>
          <t>[{"ingredient_id": "chicken_broth", "name": "Chicken broth, low sodium", "grams": 600.0, "note": ""}, {"ingredient_id": "miso", "name": "White miso paste", "grams": 20.0, "note": ""}, {"ingredient_id": "egg", "name": "Egg, large (50 g each)", "grams": 100.0, "note": "2 large eggs"}, {"ingredient_id": "tofu", "name": "Tofu, extra-firm", "grams": 120.0, "note": ""}, {"ingredient_id": "green_onion", "name": "Green onions (scallions)", "grams": 20.0, "note": ""}, {"ingredient_id": "spinach", "name": "Spinach", "grams": 60.0, "note": ""}, {"ingredient_id": "nori", "name": "Nori seaweed sheets", "grams": 2.0, "note": ""}, {"ingredient_id": "ginger", "name": "Fresh ginger", "grams": 5.0, "note": ""}]</t>
        </is>
      </c>
      <c r="N74" s="2" t="n">
        <v>211</v>
      </c>
      <c r="O74" s="5" t="n">
        <v>21.9</v>
      </c>
      <c r="P74" s="5" t="n">
        <v>11.5</v>
      </c>
      <c r="Q74" s="5" t="n">
        <v>8.6</v>
      </c>
      <c r="R74" s="5" t="n">
        <v>2.7</v>
      </c>
      <c r="S74" s="5" t="n">
        <v>5.9</v>
      </c>
      <c r="T74" s="2" t="n">
        <v>16</v>
      </c>
      <c r="U74" s="2" t="inlineStr">
        <is>
          <t>low</t>
        </is>
      </c>
      <c r="V74" s="5" t="n">
        <v>0.9</v>
      </c>
      <c r="W74" s="2" t="inlineStr">
        <is>
          <t>low</t>
        </is>
      </c>
      <c r="X74" s="3" t="inlineStr"/>
      <c r="Y74" s="3" t="inlineStr">
        <is>
          <t>0% of this dish's available carbohydrate comes from ingredients with a published, measured GI; the rest uses conventional placeholders (see Ingredients sheet)</t>
        </is>
      </c>
      <c r="Z74" s="2" t="n">
        <v>0</v>
      </c>
      <c r="AA74" s="3" t="inlineStr">
        <is>
          <t>vegetarian, dairy-free, nut-free, low-carb, quick</t>
        </is>
      </c>
      <c r="AB74" s="3" t="inlineStr">
        <is>
          <t>1. Bring broth with ginger to a simmer; add cubed tofu and spinach.
2. Whisk miso with a ladle of hot broth and stir back in (do not boil).
3. Slowly pour in beaten eggs while stirring to form ribbons.
4. Top with green onion and torn nori.</t>
        </is>
      </c>
      <c r="AC74" s="4" t="inlineStr">
        <is>
          <t>["Bring broth with ginger to a simmer; add cubed tofu and spinach.", "Whisk miso with a ladle of hot broth and stir back in (do not boil).", "Slowly pour in beaten eggs while stirring to form ribbons.", "Top with green onion and torn nori."]</t>
        </is>
      </c>
    </row>
    <row r="75" ht="96" customHeight="1">
      <c r="A75" s="2" t="inlineStr">
        <is>
          <t>DB-0074</t>
        </is>
      </c>
      <c r="B75" s="3" t="inlineStr">
        <is>
          <t>Zucchini Bread Protein Oatmeal</t>
        </is>
      </c>
      <c r="C75" s="4" t="inlineStr">
        <is>
          <t>Breakfast</t>
        </is>
      </c>
      <c r="D75" s="4" t="inlineStr">
        <is>
          <t>American</t>
        </is>
      </c>
      <c r="E75" s="2" t="n">
        <v>1</v>
      </c>
      <c r="F75" s="2" t="n">
        <v>5</v>
      </c>
      <c r="G75" s="2" t="n">
        <v>8</v>
      </c>
      <c r="H75" s="2" t="n">
        <v>13</v>
      </c>
      <c r="I75" s="4" t="inlineStr">
        <is>
          <t>zucchini-bread-protein-oatmeal.jpg</t>
        </is>
      </c>
      <c r="J75" s="3" t="inlineStr">
        <is>
          <t>Zucchini Bread Protein Oatmeal, healthy food photography, plated, natural light</t>
        </is>
      </c>
      <c r="K75" s="4" t="inlineStr"/>
      <c r="L75" s="3" t="inlineStr">
        <is>
          <t>Rolled oats, dry — 40 g (1.4 oz)
Zucchini — 80 g (2.8 oz)
Almond milk, unsweetened — 200 g (7.1 oz)
Egg whites — 60 g (2.1 oz) [2 egg whites]
Ground cinnamon — 2 g (0.1 oz)
Ground nutmeg — 0.3 g (0.0 oz)
Walnuts — 15 g (0.5 oz)
Monk fruit/erythritol sweetener — 5 g (0.2 oz)
Vanilla extract — 2 g (0.1 oz)</t>
        </is>
      </c>
      <c r="M75" s="4" t="inlineStr">
        <is>
          <t>[{"ingredient_id": "rolled_oats", "name": "Rolled oats, dry", "grams": 40.0, "note": ""}, {"ingredient_id": "zucchini", "name": "Zucchini", "grams": 80.0, "note": ""}, {"ingredient_id": "almond_milk", "name": "Almond milk, unsweetened", "grams": 200.0, "note": ""}, {"ingredient_id": "egg_white", "name": "Egg whites", "grams": 60.0, "note": "2 egg whites"}, {"ingredient_id": "cinnamon", "name": "Ground cinnamon", "grams": 2.0, "note": ""}, {"ingredient_id": "nutmeg", "name": "Ground nutmeg", "grams": 0.3, "note": ""}, {"ingredient_id": "walnuts", "name": "Walnuts", "grams": 15.0, "note": ""}, {"ingredient_id": "monk_fruit_sweetener", "name": "Monk fruit/erythritol sweetener", "grams": 5.0, "note": ""}, {"ingredient_id": "vanilla_extract", "name": "Vanilla extract", "grams": 2.0, "note": ""}]</t>
        </is>
      </c>
      <c r="N75" s="2" t="n">
        <v>337</v>
      </c>
      <c r="O75" s="5" t="n">
        <v>16.3</v>
      </c>
      <c r="P75" s="5" t="n">
        <v>15.2</v>
      </c>
      <c r="Q75" s="5" t="n">
        <v>35.4</v>
      </c>
      <c r="R75" s="5" t="n">
        <v>6.9</v>
      </c>
      <c r="S75" s="5" t="n">
        <v>28.5</v>
      </c>
      <c r="T75" s="2" t="n">
        <v>49</v>
      </c>
      <c r="U75" s="2" t="inlineStr">
        <is>
          <t>low</t>
        </is>
      </c>
      <c r="V75" s="5" t="n">
        <v>14</v>
      </c>
      <c r="W75" s="2" t="inlineStr">
        <is>
          <t>medium</t>
        </is>
      </c>
      <c r="X75" s="3" t="inlineStr"/>
      <c r="Y75" s="3" t="inlineStr">
        <is>
          <t>81% of this dish's available carbohydrate comes from ingredients with a published, measured GI; the rest uses conventional placeholders (see Ingredients sheet)</t>
        </is>
      </c>
      <c r="Z75" s="2" t="n">
        <v>81</v>
      </c>
      <c r="AA75" s="3" t="inlineStr">
        <is>
          <t>vegetarian, dairy-free</t>
        </is>
      </c>
      <c r="AB75" s="3" t="inlineStr">
        <is>
          <t>1. Simmer oats, grated zucchini and almond milk 5 minutes.
2. Whisk in egg whites while stirring quickly to thicken and add protein; cook 1 minute.
3. Stir in spices, vanilla and sweetener; top with walnuts.</t>
        </is>
      </c>
      <c r="AC75" s="4" t="inlineStr">
        <is>
          <t>["Simmer oats, grated zucchini and almond milk 5 minutes.", "Whisk in egg whites while stirring quickly to thicken and add protein; cook 1 minute.", "Stir in spices, vanilla and sweetener; top with walnuts."]</t>
        </is>
      </c>
    </row>
    <row r="76" ht="96" customHeight="1">
      <c r="A76" s="2" t="inlineStr">
        <is>
          <t>DB-0075</t>
        </is>
      </c>
      <c r="B76" s="3" t="inlineStr">
        <is>
          <t>Loaded Veggie Egg White Wrap</t>
        </is>
      </c>
      <c r="C76" s="4" t="inlineStr">
        <is>
          <t>Breakfast</t>
        </is>
      </c>
      <c r="D76" s="4" t="inlineStr">
        <is>
          <t>American</t>
        </is>
      </c>
      <c r="E76" s="2" t="n">
        <v>1</v>
      </c>
      <c r="F76" s="2" t="n">
        <v>5</v>
      </c>
      <c r="G76" s="2" t="n">
        <v>8</v>
      </c>
      <c r="H76" s="2" t="n">
        <v>13</v>
      </c>
      <c r="I76" s="4" t="inlineStr">
        <is>
          <t>loaded-veggie-egg-white-wrap.jpg</t>
        </is>
      </c>
      <c r="J76" s="3" t="inlineStr">
        <is>
          <t>Loaded Veggie Egg White Wrap, healthy food photography, plated, natural light</t>
        </is>
      </c>
      <c r="K76" s="4" t="inlineStr"/>
      <c r="L76" s="3" t="inlineStr">
        <is>
          <t>Low-carb high-fiber tortilla — 42 g (1.5 oz) [1 tortilla]
Egg whites — 150 g (5.3 oz) [5 egg whites]
Spinach — 40 g (1.4 oz)
Mushrooms (cremini/white) — 50 g (1.8 oz)
Roasted red peppers, jarred — 30 g (1.1 oz)
Feta cheese — 20 g (0.7 oz)
Extra-virgin olive oil — 5 g (0.2 oz)</t>
        </is>
      </c>
      <c r="M76" s="4" t="inlineStr">
        <is>
          <t>[{"ingredient_id": "low_carb_tortilla", "name": "Low-carb high-fiber tortilla", "grams": 42.0, "note": "1 tortilla"}, {"ingredient_id": "egg_white", "name": "Egg whites", "grams": 150.0, "note": "5 egg whites"}, {"ingredient_id": "spinach", "name": "Spinach", "grams": 40.0, "note": ""}, {"ingredient_id": "mushrooms", "name": "Mushrooms (cremini/white)", "grams": 50.0, "note": ""}, {"ingredient_id": "roasted_red_pepper", "name": "Roasted red peppers, jarred", "grams": 30.0, "note": ""}, {"ingredient_id": "feta", "name": "Feta cheese", "grams": 20.0, "note": ""}, {"ingredient_id": "olive_oil", "name": "Extra-virgin olive oil", "grams": 5.0, "note": ""}]</t>
        </is>
      </c>
      <c r="N76" s="2" t="n">
        <v>309</v>
      </c>
      <c r="O76" s="5" t="n">
        <v>27.4</v>
      </c>
      <c r="P76" s="5" t="n">
        <v>13.3</v>
      </c>
      <c r="Q76" s="5" t="n">
        <v>23.5</v>
      </c>
      <c r="R76" s="5" t="n">
        <v>12.5</v>
      </c>
      <c r="S76" s="5" t="n">
        <v>11.1</v>
      </c>
      <c r="T76" s="2" t="n">
        <v>21</v>
      </c>
      <c r="U76" s="2" t="inlineStr">
        <is>
          <t>low</t>
        </is>
      </c>
      <c r="V76" s="5" t="n">
        <v>2.3</v>
      </c>
      <c r="W76" s="2" t="inlineStr">
        <is>
          <t>low</t>
        </is>
      </c>
      <c r="X76" s="3" t="inlineStr"/>
      <c r="Y76" s="3" t="inlineStr">
        <is>
          <t>0% of this dish's available carbohydrate comes from ingredients with a published, measured GI; the rest uses conventional placeholders (see Ingredients sheet)</t>
        </is>
      </c>
      <c r="Z76" s="2" t="n">
        <v>0</v>
      </c>
      <c r="AA76" s="3" t="inlineStr">
        <is>
          <t>vegetarian, nut-free, low-carb, high-protein, high-fiber, quick</t>
        </is>
      </c>
      <c r="AB76" s="3" t="inlineStr">
        <is>
          <t>1. Sauté mushrooms and spinach in olive oil 3 minutes.
2. Add egg whites and scramble until set; stir in roasted pepper and feta.
3. Spoon into the warmed tortilla and roll up.</t>
        </is>
      </c>
      <c r="AC76" s="4" t="inlineStr">
        <is>
          <t>["Sauté mushrooms and spinach in olive oil 3 minutes.", "Add egg whites and scramble until set; stir in roasted pepper and feta.", "Spoon into the warmed tortilla and roll up."]</t>
        </is>
      </c>
    </row>
    <row r="77" ht="96" customHeight="1">
      <c r="A77" s="2" t="inlineStr">
        <is>
          <t>DB-0076</t>
        </is>
      </c>
      <c r="B77" s="3" t="inlineStr">
        <is>
          <t>Cherry Vanilla Protein Smoothie Bowl</t>
        </is>
      </c>
      <c r="C77" s="4" t="inlineStr">
        <is>
          <t>Breakfast</t>
        </is>
      </c>
      <c r="D77" s="4" t="inlineStr">
        <is>
          <t>American</t>
        </is>
      </c>
      <c r="E77" s="2" t="n">
        <v>1</v>
      </c>
      <c r="F77" s="2" t="n">
        <v>5</v>
      </c>
      <c r="G77" s="2" t="n">
        <v>0</v>
      </c>
      <c r="H77" s="2" t="n">
        <v>5</v>
      </c>
      <c r="I77" s="4" t="inlineStr">
        <is>
          <t>cherry-vanilla-protein-smoothie-bowl.jpg</t>
        </is>
      </c>
      <c r="J77" s="3" t="inlineStr">
        <is>
          <t>Cherry Vanilla Protein Smoothie Bowl, healthy food photography, plated, natural light</t>
        </is>
      </c>
      <c r="K77" s="4" t="inlineStr"/>
      <c r="L77" s="3" t="inlineStr">
        <is>
          <t>Cherries, pitted — 100 g (3.5 oz) [frozen]
Greek yogurt, plain 2% — 150 g (5.3 oz)
Whey protein powder, unsweetened — 20 g (0.7 oz)
Almond milk, unsweetened — 80 g (2.8 oz)
Vanilla extract — 2 g (0.1 oz)
Chia seeds — 8 g (0.3 oz)
Almonds — 12 g (0.4 oz)
Coconut, unsweetened shredded — 5 g (0.2 oz)</t>
        </is>
      </c>
      <c r="M77" s="4" t="inlineStr">
        <is>
          <t>[{"ingredient_id": "cherries", "name": "Cherries, pitted", "grams": 100.0, "note": "frozen"}, {"ingredient_id": "greek_yogurt", "name": "Greek yogurt, plain 2%", "grams": 150.0, "note": ""}, {"ingredient_id": "whey_protein", "name": "Whey protein powder, unsweetened", "grams": 20.0, "note": ""}, {"ingredient_id": "almond_milk", "name": "Almond milk, unsweetened", "grams": 80.0, "note": ""}, {"ingredient_id": "vanilla_extract", "name": "Vanilla extract", "grams": 2.0, "note": ""}, {"ingredient_id": "chia_seeds", "name": "Chia seeds", "grams": 8.0, "note": ""}, {"ingredient_id": "almonds", "name": "Almonds", "grams": 12.0, "note": ""}, {"ingredient_id": "coconut_shredded", "name": "Coconut, unsweetened shredded", "grams": 5.0, "note": ""}]</t>
        </is>
      </c>
      <c r="N77" s="2" t="n">
        <v>408</v>
      </c>
      <c r="O77" s="5" t="n">
        <v>36.4</v>
      </c>
      <c r="P77" s="5" t="n">
        <v>16.9</v>
      </c>
      <c r="Q77" s="5" t="n">
        <v>31.5</v>
      </c>
      <c r="R77" s="5" t="n">
        <v>7.3</v>
      </c>
      <c r="S77" s="5" t="n">
        <v>24.2</v>
      </c>
      <c r="T77" s="2" t="n">
        <v>23</v>
      </c>
      <c r="U77" s="2" t="inlineStr">
        <is>
          <t>low</t>
        </is>
      </c>
      <c r="V77" s="5" t="n">
        <v>5.6</v>
      </c>
      <c r="W77" s="2" t="inlineStr">
        <is>
          <t>low</t>
        </is>
      </c>
      <c r="X77" s="3" t="inlineStr"/>
      <c r="Y77" s="3" t="inlineStr">
        <is>
          <t>88% of this dish's available carbohydrate comes from ingredients with a published, measured GI; the rest uses conventional placeholders (see Ingredients sheet)</t>
        </is>
      </c>
      <c r="Z77" s="2" t="n">
        <v>88</v>
      </c>
      <c r="AA77" s="3" t="inlineStr">
        <is>
          <t>vegetarian, gluten-free, high-protein, high-fiber, no-cook, quick</t>
        </is>
      </c>
      <c r="AB77" s="3" t="inlineStr">
        <is>
          <t>1. Blend frozen cherries, yogurt, protein powder, almond milk and vanilla until thick.
2. Spoon into a bowl.
3. Top with chia seeds, sliced almonds and coconut.</t>
        </is>
      </c>
      <c r="AC77" s="4" t="inlineStr">
        <is>
          <t>["Blend frozen cherries, yogurt, protein powder, almond milk and vanilla until thick.", "Spoon into a bowl.", "Top with chia seeds, sliced almonds and coconut."]</t>
        </is>
      </c>
    </row>
    <row r="78" ht="96" customHeight="1">
      <c r="A78" s="2" t="inlineStr">
        <is>
          <t>DB-0077</t>
        </is>
      </c>
      <c r="B78" s="3" t="inlineStr">
        <is>
          <t>Corned-Beef-Style Brisket Hash with Cabbage</t>
        </is>
      </c>
      <c r="C78" s="4" t="inlineStr">
        <is>
          <t>Breakfast</t>
        </is>
      </c>
      <c r="D78" s="4" t="inlineStr">
        <is>
          <t>American</t>
        </is>
      </c>
      <c r="E78" s="2" t="n">
        <v>3</v>
      </c>
      <c r="F78" s="2" t="n">
        <v>10</v>
      </c>
      <c r="G78" s="2" t="n">
        <v>20</v>
      </c>
      <c r="H78" s="2" t="n">
        <v>30</v>
      </c>
      <c r="I78" s="4" t="inlineStr">
        <is>
          <t>corned-beef-style-brisket-hash-with-cabbage.jpg</t>
        </is>
      </c>
      <c r="J78" s="3" t="inlineStr">
        <is>
          <t>Corned-Beef-Style Brisket Hash with Cabbage, healthy food photography, plated, natural light</t>
        </is>
      </c>
      <c r="K78" s="4" t="inlineStr"/>
      <c r="L78" s="3" t="inlineStr">
        <is>
          <t>Beef chuck roast, trimmed — 250 g (8.8 oz) [cooked, shredded]
Green cabbage — 250 g (8.8 oz)
Yellow onion — 80 g (2.8 oz)
Bell pepper — 80 g (2.8 oz)
Egg, large (50 g each) — 150 g (5.3 oz) [3 large eggs]
Extra-virgin olive oil — 15 g (0.5 oz)
Dijon mustard — 10 g (0.4 oz)
Salt — 2 g (0.1 oz)
Black pepper — 1 g (0.0 oz)</t>
        </is>
      </c>
      <c r="M78" s="4" t="inlineStr">
        <is>
          <t>[{"ingredient_id": "beef_chuck", "name": "Beef chuck roast, trimmed", "grams": 250.0, "note": "cooked, shredded"}, {"ingredient_id": "cabbage", "name": "Green cabbage", "grams": 250.0, "note": ""}, {"ingredient_id": "onion", "name": "Yellow onion", "grams": 80.0, "note": ""}, {"ingredient_id": "bell_pepper", "name": "Bell pepper", "grams": 80.0, "note": ""}, {"ingredient_id": "egg", "name": "Egg, large (50 g each)", "grams": 150.0, "note": "3 large eggs"}, {"ingredient_id": "olive_oil", "name": "Extra-virgin olive oil", "grams": 15.0, "note": ""}, {"ingredient_id": "dijon", "name": "Dijon mustard", "grams": 10.0, "note": ""}, {"ingredient_id": "salt", "name": "Salt", "grams": 2.0, "note": ""}, {"ingredient_id": "black_pepper", "name": "Black pepper", "grams": 1.0, "note": ""}]</t>
        </is>
      </c>
      <c r="N78" s="2" t="n">
        <v>309</v>
      </c>
      <c r="O78" s="5" t="n">
        <v>24.8</v>
      </c>
      <c r="P78" s="5" t="n">
        <v>19.2</v>
      </c>
      <c r="Q78" s="5" t="n">
        <v>9.6</v>
      </c>
      <c r="R78" s="5" t="n">
        <v>3.3</v>
      </c>
      <c r="S78" s="5" t="n">
        <v>6.4</v>
      </c>
      <c r="T78" s="2" t="n">
        <v>14</v>
      </c>
      <c r="U78" s="2" t="inlineStr">
        <is>
          <t>low</t>
        </is>
      </c>
      <c r="V78" s="5" t="n">
        <v>0.9</v>
      </c>
      <c r="W78" s="2" t="inlineStr">
        <is>
          <t>low</t>
        </is>
      </c>
      <c r="X78" s="3" t="inlineStr"/>
      <c r="Y78" s="3" t="inlineStr">
        <is>
          <t>0% of this dish's available carbohydrate comes from ingredients with a published, measured GI; the rest uses conventional placeholders (see Ingredients sheet)</t>
        </is>
      </c>
      <c r="Z78" s="2" t="n">
        <v>0</v>
      </c>
      <c r="AA78" s="3" t="inlineStr">
        <is>
          <t>gluten-free, dairy-free, nut-free, low-carb</t>
        </is>
      </c>
      <c r="AB78" s="3" t="inlineStr">
        <is>
          <t>1. Sauté onion, pepper and shredded cabbage in olive oil until softened and browned in spots, 8 minutes.
2. Add shredded cooked beef and Dijon; press down and crisp 4 minutes.
3. Fry eggs and serve on top of the hash.</t>
        </is>
      </c>
      <c r="AC78" s="4" t="inlineStr">
        <is>
          <t>["Sauté onion, pepper and shredded cabbage in olive oil until softened and browned in spots, 8 minutes.", "Add shredded cooked beef and Dijon; press down and crisp 4 minutes.", "Fry eggs and serve on top of the hash."]</t>
        </is>
      </c>
    </row>
    <row r="79" ht="96" customHeight="1">
      <c r="A79" s="2" t="inlineStr">
        <is>
          <t>DB-0078</t>
        </is>
      </c>
      <c r="B79" s="3" t="inlineStr">
        <is>
          <t>Golden Turmeric Scramble with Chickpeas</t>
        </is>
      </c>
      <c r="C79" s="4" t="inlineStr">
        <is>
          <t>Breakfast</t>
        </is>
      </c>
      <c r="D79" s="4" t="inlineStr">
        <is>
          <t>Indian</t>
        </is>
      </c>
      <c r="E79" s="2" t="n">
        <v>2</v>
      </c>
      <c r="F79" s="2" t="n">
        <v>5</v>
      </c>
      <c r="G79" s="2" t="n">
        <v>10</v>
      </c>
      <c r="H79" s="2" t="n">
        <v>15</v>
      </c>
      <c r="I79" s="4" t="inlineStr">
        <is>
          <t>golden-turmeric-scramble-with-chickpeas.jpg</t>
        </is>
      </c>
      <c r="J79" s="3" t="inlineStr">
        <is>
          <t>Golden Turmeric Scramble with Chickpeas, healthy food photography, plated, natural light</t>
        </is>
      </c>
      <c r="K79" s="4" t="inlineStr"/>
      <c r="L79" s="3" t="inlineStr">
        <is>
          <t>Egg, large (50 g each) — 200 g (7.1 oz) [4 large eggs]
Chickpeas, cooked — 120 g (4.2 oz)
Spinach — 80 g (2.8 oz)
Yellow onion — 50 g (1.8 oz)
Ground turmeric — 2 g (0.1 oz)
Ground cumin — 1 g (0.0 oz)
Extra-virgin olive oil — 10 g (0.4 oz)
Fresh cilantro — 6 g (0.2 oz)
Salt — 1 g (0.0 oz)</t>
        </is>
      </c>
      <c r="M79" s="4" t="inlineStr">
        <is>
          <t>[{"ingredient_id": "egg", "name": "Egg, large (50 g each)", "grams": 200.0, "note": "4 large eggs"}, {"ingredient_id": "chickpeas", "name": "Chickpeas, cooked", "grams": 120.0, "note": ""}, {"ingredient_id": "spinach", "name": "Spinach", "grams": 80.0, "note": ""}, {"ingredient_id": "onion", "name": "Yellow onion", "grams": 50.0, "note": ""}, {"ingredient_id": "turmeric", "name": "Ground turmeric", "grams": 2.0, "note": ""}, {"ingredient_id": "cumin", "name": "Ground cumin", "grams": 1.0, "note": ""}, {"ingredient_id": "olive_oil", "name": "Extra-virgin olive oil", "grams": 10.0, "note": ""}, {"ingredient_id": "cilantro", "name": "Fresh cilantro", "grams": 6.0, "note": ""}, {"ingredient_id": "salt", "name": "Salt", "grams": 1.0, "note": ""}]</t>
        </is>
      </c>
      <c r="N79" s="2" t="n">
        <v>310</v>
      </c>
      <c r="O79" s="5" t="n">
        <v>19.6</v>
      </c>
      <c r="P79" s="5" t="n">
        <v>16.4</v>
      </c>
      <c r="Q79" s="5" t="n">
        <v>21.7</v>
      </c>
      <c r="R79" s="5" t="n">
        <v>6.2</v>
      </c>
      <c r="S79" s="5" t="n">
        <v>15.4</v>
      </c>
      <c r="T79" s="2" t="n">
        <v>32</v>
      </c>
      <c r="U79" s="2" t="inlineStr">
        <is>
          <t>low</t>
        </is>
      </c>
      <c r="V79" s="5" t="n">
        <v>4.9</v>
      </c>
      <c r="W79" s="2" t="inlineStr">
        <is>
          <t>low</t>
        </is>
      </c>
      <c r="X79" s="3" t="inlineStr"/>
      <c r="Y79" s="3" t="inlineStr">
        <is>
          <t>75% of this dish's available carbohydrate comes from ingredients with a published, measured GI; the rest uses conventional placeholders (see Ingredients sheet)</t>
        </is>
      </c>
      <c r="Z79" s="2" t="n">
        <v>75</v>
      </c>
      <c r="AA79" s="3" t="inlineStr">
        <is>
          <t>vegetarian, gluten-free, dairy-free, nut-free, quick</t>
        </is>
      </c>
      <c r="AB79" s="3" t="inlineStr">
        <is>
          <t>1. Sauté onion in olive oil with turmeric and cumin for 3 minutes.
2. Add chickpeas and spinach; cook until spinach wilts.
3. Pour in whisked eggs and scramble softly. Season and garnish with cilantro.</t>
        </is>
      </c>
      <c r="AC79" s="4" t="inlineStr">
        <is>
          <t>["Sauté onion in olive oil with turmeric and cumin for 3 minutes.", "Add chickpeas and spinach; cook until spinach wilts.", "Pour in whisked eggs and scramble softly. Season and garnish with cilantro."]</t>
        </is>
      </c>
    </row>
    <row r="80" ht="96" customHeight="1">
      <c r="A80" s="2" t="inlineStr">
        <is>
          <t>DB-0079</t>
        </is>
      </c>
      <c r="B80" s="3" t="inlineStr">
        <is>
          <t>Egg White &amp; Turkey Bacon Power Bowl</t>
        </is>
      </c>
      <c r="C80" s="4" t="inlineStr">
        <is>
          <t>Breakfast</t>
        </is>
      </c>
      <c r="D80" s="4" t="inlineStr">
        <is>
          <t>American</t>
        </is>
      </c>
      <c r="E80" s="2" t="n">
        <v>1</v>
      </c>
      <c r="F80" s="2" t="n">
        <v>5</v>
      </c>
      <c r="G80" s="2" t="n">
        <v>10</v>
      </c>
      <c r="H80" s="2" t="n">
        <v>15</v>
      </c>
      <c r="I80" s="4" t="inlineStr">
        <is>
          <t>egg-white-and-turkey-bacon-power-bowl.jpg</t>
        </is>
      </c>
      <c r="J80" s="3" t="inlineStr">
        <is>
          <t>Egg White &amp; Turkey Bacon Power Bowl, healthy food photography, plated, natural light</t>
        </is>
      </c>
      <c r="K80" s="4" t="inlineStr"/>
      <c r="L80" s="3" t="inlineStr">
        <is>
          <t>Egg whites — 180 g (6.3 oz) [6 egg whites]
Turkey bacon — 45 g (1.6 oz) [3 slices]
Cherry tomatoes — 80 g (2.8 oz)
Avocado — 50 g (1.8 oz)
Spinach — 40 g (1.4 oz)
Extra-virgin olive oil — 5 g (0.2 oz)
Everything bagel seasoning — 2 g (0.1 oz)</t>
        </is>
      </c>
      <c r="M80" s="4" t="inlineStr">
        <is>
          <t>[{"ingredient_id": "egg_white", "name": "Egg whites", "grams": 180.0, "note": "6 egg whites"}, {"ingredient_id": "turkey_bacon", "name": "Turkey bacon", "grams": 45.0, "note": "3 slices"}, {"ingredient_id": "cherry_tomato", "name": "Cherry tomatoes", "grams": 80.0, "note": ""}, {"ingredient_id": "avocado", "name": "Avocado", "grams": 50.0, "note": ""}, {"ingredient_id": "spinach", "name": "Spinach", "grams": 40.0, "note": ""}, {"ingredient_id": "olive_oil", "name": "Extra-virgin olive oil", "grams": 5.0, "note": ""}, {"ingredient_id": "everything_seasoning", "name": "Everything bagel seasoning", "grams": 2.0, "note": ""}]</t>
        </is>
      </c>
      <c r="N80" s="2" t="n">
        <v>346</v>
      </c>
      <c r="O80" s="5" t="n">
        <v>31.1</v>
      </c>
      <c r="P80" s="5" t="n">
        <v>20.3</v>
      </c>
      <c r="Q80" s="5" t="n">
        <v>11.6</v>
      </c>
      <c r="R80" s="5" t="n">
        <v>5.4</v>
      </c>
      <c r="S80" s="5" t="n">
        <v>6.2</v>
      </c>
      <c r="T80" s="2" t="n">
        <v>10</v>
      </c>
      <c r="U80" s="2" t="inlineStr">
        <is>
          <t>low</t>
        </is>
      </c>
      <c r="V80" s="5" t="n">
        <v>0.6</v>
      </c>
      <c r="W80" s="2" t="inlineStr">
        <is>
          <t>low</t>
        </is>
      </c>
      <c r="X80" s="3" t="inlineStr"/>
      <c r="Y80" s="3" t="inlineStr">
        <is>
          <t>0% of this dish's available carbohydrate comes from ingredients with a published, measured GI; the rest uses conventional placeholders (see Ingredients sheet)</t>
        </is>
      </c>
      <c r="Z80" s="2" t="n">
        <v>0</v>
      </c>
      <c r="AA80" s="3" t="inlineStr">
        <is>
          <t>gluten-free, dairy-free, nut-free, low-carb, high-protein, quick</t>
        </is>
      </c>
      <c r="AB80" s="3" t="inlineStr">
        <is>
          <t>1. Cook turkey bacon until crisp and chop.
2. Wilt spinach in olive oil, add egg whites and scramble.
3. Assemble in a bowl with tomatoes and avocado; sprinkle with everything seasoning.</t>
        </is>
      </c>
      <c r="AC80" s="4" t="inlineStr">
        <is>
          <t>["Cook turkey bacon until crisp and chop.", "Wilt spinach in olive oil, add egg whites and scramble.", "Assemble in a bowl with tomatoes and avocado; sprinkle with everything seasoning."]</t>
        </is>
      </c>
    </row>
    <row r="81" ht="96" customHeight="1">
      <c r="A81" s="2" t="inlineStr">
        <is>
          <t>DB-0080</t>
        </is>
      </c>
      <c r="B81" s="3" t="inlineStr">
        <is>
          <t>Apple Pie Chia Pudding</t>
        </is>
      </c>
      <c r="C81" s="4" t="inlineStr">
        <is>
          <t>Breakfast</t>
        </is>
      </c>
      <c r="D81" s="4" t="inlineStr">
        <is>
          <t>American</t>
        </is>
      </c>
      <c r="E81" s="2" t="n">
        <v>2</v>
      </c>
      <c r="F81" s="2" t="n">
        <v>5</v>
      </c>
      <c r="G81" s="2" t="n">
        <v>5</v>
      </c>
      <c r="H81" s="2" t="n">
        <v>10</v>
      </c>
      <c r="I81" s="4" t="inlineStr">
        <is>
          <t>apple-pie-chia-pudding.jpg</t>
        </is>
      </c>
      <c r="J81" s="3" t="inlineStr">
        <is>
          <t>Apple Pie Chia Pudding, healthy food photography, plated, natural light</t>
        </is>
      </c>
      <c r="K81" s="4" t="inlineStr"/>
      <c r="L81" s="3" t="inlineStr">
        <is>
          <t>Chia seeds — 40 g (1.4 oz)
Almond milk, unsweetened — 300 g (10.6 oz)
Apple — 120 g (4.2 oz)
Ground cinnamon — 3 g (0.1 oz)
Ground nutmeg — 0.3 g (0.0 oz)
Walnuts — 20 g (0.7 oz)
Monk fruit/erythritol sweetener — 6 g (0.2 oz)
Vanilla extract — 2 g (0.1 oz)</t>
        </is>
      </c>
      <c r="M81" s="4" t="inlineStr">
        <is>
          <t>[{"ingredient_id": "chia_seeds", "name": "Chia seeds", "grams": 40.0, "note": ""}, {"ingredient_id": "almond_milk", "name": "Almond milk, unsweetened", "grams": 300.0, "note": ""}, {"ingredient_id": "apple", "name": "Apple", "grams": 120.0, "note": ""}, {"ingredient_id": "cinnamon", "name": "Ground cinnamon", "grams": 3.0, "note": ""}, {"ingredient_id": "nutmeg", "name": "Ground nutmeg", "grams": 0.3, "note": ""}, {"ingredient_id": "walnuts", "name": "Walnuts", "grams": 20.0, "note": ""}, {"ingredient_id": "monk_fruit_sweetener", "name": "Monk fruit/erythritol sweetener", "grams": 6.0, "note": ""}, {"ingredient_id": "vanilla_extract", "name": "Vanilla extract", "grams": 2.0, "note": ""}]</t>
        </is>
      </c>
      <c r="N81" s="2" t="n">
        <v>224</v>
      </c>
      <c r="O81" s="5" t="n">
        <v>6</v>
      </c>
      <c r="P81" s="5" t="n">
        <v>14.7</v>
      </c>
      <c r="Q81" s="5" t="n">
        <v>20.5</v>
      </c>
      <c r="R81" s="5" t="n">
        <v>9.699999999999999</v>
      </c>
      <c r="S81" s="5" t="n">
        <v>10.8</v>
      </c>
      <c r="T81" s="2" t="n">
        <v>29</v>
      </c>
      <c r="U81" s="2" t="inlineStr">
        <is>
          <t>low</t>
        </is>
      </c>
      <c r="V81" s="5" t="n">
        <v>3.1</v>
      </c>
      <c r="W81" s="2" t="inlineStr">
        <is>
          <t>low</t>
        </is>
      </c>
      <c r="X81" s="3" t="inlineStr"/>
      <c r="Y81" s="3" t="inlineStr">
        <is>
          <t>65% of this dish's available carbohydrate comes from ingredients with a published, measured GI; the rest uses conventional placeholders (see Ingredients sheet)</t>
        </is>
      </c>
      <c r="Z81" s="2" t="n">
        <v>65</v>
      </c>
      <c r="AA81" s="3" t="inlineStr">
        <is>
          <t>vegan, gluten-free, dairy-free, low-carb, high-fiber, make-ahead</t>
        </is>
      </c>
      <c r="AB81" s="3" t="inlineStr">
        <is>
          <t>1. Whisk chia, almond milk, sweetener, vanilla and half the cinnamon; refrigerate overnight.
2. Sauté diced apple with the remaining cinnamon and nutmeg for 4 minutes until soft.
3. Top the pudding with warm apple and walnuts.</t>
        </is>
      </c>
      <c r="AC81" s="4" t="inlineStr">
        <is>
          <t>["Whisk chia, almond milk, sweetener, vanilla and half the cinnamon; refrigerate overnight.", "Sauté diced apple with the remaining cinnamon and nutmeg for 4 minutes until soft.", "Top the pudding with warm apple and walnuts."]</t>
        </is>
      </c>
    </row>
    <row r="82" ht="96" customHeight="1">
      <c r="A82" s="2" t="inlineStr">
        <is>
          <t>DB-0081</t>
        </is>
      </c>
      <c r="B82" s="3" t="inlineStr">
        <is>
          <t>Herbed Goat Cheese Scramble on Rye</t>
        </is>
      </c>
      <c r="C82" s="4" t="inlineStr">
        <is>
          <t>Breakfast</t>
        </is>
      </c>
      <c r="D82" s="4" t="inlineStr">
        <is>
          <t>French</t>
        </is>
      </c>
      <c r="E82" s="2" t="n">
        <v>1</v>
      </c>
      <c r="F82" s="2" t="n">
        <v>5</v>
      </c>
      <c r="G82" s="2" t="n">
        <v>5</v>
      </c>
      <c r="H82" s="2" t="n">
        <v>10</v>
      </c>
      <c r="I82" s="4" t="inlineStr">
        <is>
          <t>herbed-goat-cheese-scramble-on-rye.jpg</t>
        </is>
      </c>
      <c r="J82" s="3" t="inlineStr">
        <is>
          <t>Herbed Goat Cheese Scramble on Rye, healthy food photography, plated, natural light</t>
        </is>
      </c>
      <c r="K82" s="4" t="inlineStr"/>
      <c r="L82" s="3" t="inlineStr">
        <is>
          <t>Egg, large (50 g each) — 100 g (3.5 oz) [2 large eggs]
Goat cheese — 25 g (0.9 oz)
Fresh chives — 4 g (0.1 oz)
Fresh dill — 2 g (0.1 oz)
Pumpernickel / whole rye bread — 35 g (1.2 oz) [1 slice]
Butter — 6 g (0.2 oz)
Black pepper — 1 g (0.0 oz)</t>
        </is>
      </c>
      <c r="M82" s="4" t="inlineStr">
        <is>
          <t>[{"ingredient_id": "egg", "name": "Egg, large (50 g each)", "grams": 100.0, "note": "2 large eggs"}, {"ingredient_id": "goat_cheese", "name": "Goat cheese", "grams": 25.0, "note": ""}, {"ingredient_id": "chives", "name": "Fresh chives", "grams": 4.0, "note": ""}, {"ingredient_id": "dill", "name": "Fresh dill", "grams": 2.0, "note": ""}, {"ingredient_id": "rye_bread", "name": "Pumpernickel / whole rye bread", "grams": 35.0, "note": "1 slice"}, {"ingredient_id": "butter", "name": "Butter", "grams": 6.0, "note": ""}, {"ingredient_id": "black_pepper", "name": "Black pepper", "grams": 1.0, "note": ""}]</t>
        </is>
      </c>
      <c r="N82" s="2" t="n">
        <v>369</v>
      </c>
      <c r="O82" s="5" t="n">
        <v>21.5</v>
      </c>
      <c r="P82" s="5" t="n">
        <v>23</v>
      </c>
      <c r="Q82" s="5" t="n">
        <v>18.1</v>
      </c>
      <c r="R82" s="5" t="n">
        <v>2.7</v>
      </c>
      <c r="S82" s="5" t="n">
        <v>15.4</v>
      </c>
      <c r="T82" s="2" t="n">
        <v>46</v>
      </c>
      <c r="U82" s="2" t="inlineStr">
        <is>
          <t>low</t>
        </is>
      </c>
      <c r="V82" s="5" t="n">
        <v>7.1</v>
      </c>
      <c r="W82" s="2" t="inlineStr">
        <is>
          <t>low</t>
        </is>
      </c>
      <c r="X82" s="3" t="inlineStr"/>
      <c r="Y82" s="3" t="inlineStr">
        <is>
          <t>92% of this dish's available carbohydrate comes from ingredients with a published, measured GI; the rest uses conventional placeholders (see Ingredients sheet)</t>
        </is>
      </c>
      <c r="Z82" s="2" t="n">
        <v>92</v>
      </c>
      <c r="AA82" s="3" t="inlineStr">
        <is>
          <t>vegetarian, nut-free, quick</t>
        </is>
      </c>
      <c r="AB82" s="3" t="inlineStr">
        <is>
          <t>1. Whisk eggs with pepper and cook in butter over low heat, stirring for soft curds.
2. Fold in goat cheese and herbs off the heat.
3. Serve over toasted rye.</t>
        </is>
      </c>
      <c r="AC82" s="4" t="inlineStr">
        <is>
          <t>["Whisk eggs with pepper and cook in butter over low heat, stirring for soft curds.", "Fold in goat cheese and herbs off the heat.", "Serve over toasted rye."]</t>
        </is>
      </c>
    </row>
    <row r="83" ht="96" customHeight="1">
      <c r="A83" s="2" t="inlineStr">
        <is>
          <t>DB-0082</t>
        </is>
      </c>
      <c r="B83" s="3" t="inlineStr">
        <is>
          <t>Sausage &amp; Egg Cauliflower Breakfast Burrito Bowl</t>
        </is>
      </c>
      <c r="C83" s="4" t="inlineStr">
        <is>
          <t>Breakfast</t>
        </is>
      </c>
      <c r="D83" s="4" t="inlineStr">
        <is>
          <t>Tex-Mex</t>
        </is>
      </c>
      <c r="E83" s="2" t="n">
        <v>2</v>
      </c>
      <c r="F83" s="2" t="n">
        <v>10</v>
      </c>
      <c r="G83" s="2" t="n">
        <v>15</v>
      </c>
      <c r="H83" s="2" t="n">
        <v>25</v>
      </c>
      <c r="I83" s="4" t="inlineStr">
        <is>
          <t>sausage-and-egg-cauliflower-breakfast-burrito-bowl.jpg</t>
        </is>
      </c>
      <c r="J83" s="3" t="inlineStr">
        <is>
          <t>Sausage &amp; Egg Cauliflower Breakfast Burrito Bowl, healthy food photography, plated, natural light</t>
        </is>
      </c>
      <c r="K83" s="4" t="inlineStr"/>
      <c r="L83" s="3" t="inlineStr">
        <is>
          <t>Cauliflower rice — 300 g (10.6 oz)
Chicken sausage — 150 g (5.3 oz)
Egg, large (50 g each) — 200 g (7.1 oz) [4 large eggs]
Black beans, cooked — 100 g (3.5 oz)
Salsa, no sugar added — 80 g (2.8 oz)
Avocado — 60 g (2.1 oz)
Cheddar cheese — 40 g (1.4 oz)
Extra-virgin olive oil — 10 g (0.4 oz)
Ground cumin — 1 g (0.0 oz)
Fresh cilantro — 5 g (0.2 oz)</t>
        </is>
      </c>
      <c r="M83" s="4" t="inlineStr">
        <is>
          <t>[{"ingredient_id": "cauliflower_rice", "name": "Cauliflower rice", "grams": 300.0, "note": ""}, {"ingredient_id": "chicken_sausage", "name": "Chicken sausage", "grams": 150.0, "note": ""}, {"ingredient_id": "egg", "name": "Egg, large (50 g each)", "grams": 200.0, "note": "4 large eggs"}, {"ingredient_id": "black_beans", "name": "Black beans, cooked", "grams": 100.0, "note": ""}, {"ingredient_id": "salsa", "name": "Salsa, no sugar added", "grams": 80.0, "note": ""}, {"ingredient_id": "avocado", "name": "Avocado", "grams": 60.0, "note": ""}, {"ingredient_id": "cheddar", "name": "Cheddar cheese", "grams": 40.0, "note": ""}, {"ingredient_id": "olive_oil", "name": "Extra-virgin olive oil", "grams": 10.0, "note": ""}, {"ingredient_id": "cumin", "name": "Ground cumin", "grams": 1.0, "note": ""}, {"ingredient_id": "cilantro", "name": "Fresh cilantro", "grams": 5.0, "note": ""}]</t>
        </is>
      </c>
      <c r="N83" s="2" t="n">
        <v>564</v>
      </c>
      <c r="O83" s="5" t="n">
        <v>37.1</v>
      </c>
      <c r="P83" s="5" t="n">
        <v>34.8</v>
      </c>
      <c r="Q83" s="5" t="n">
        <v>27.5</v>
      </c>
      <c r="R83" s="5" t="n">
        <v>10.1</v>
      </c>
      <c r="S83" s="5" t="n">
        <v>17.4</v>
      </c>
      <c r="T83" s="2" t="n">
        <v>21</v>
      </c>
      <c r="U83" s="2" t="inlineStr">
        <is>
          <t>low</t>
        </is>
      </c>
      <c r="V83" s="5" t="n">
        <v>3.7</v>
      </c>
      <c r="W83" s="2" t="inlineStr">
        <is>
          <t>low</t>
        </is>
      </c>
      <c r="X83" s="3" t="inlineStr"/>
      <c r="Y83" s="3" t="inlineStr">
        <is>
          <t>43% of this dish's available carbohydrate comes from ingredients with a published, measured GI; the rest uses conventional placeholders (see Ingredients sheet)</t>
        </is>
      </c>
      <c r="Z83" s="2" t="n">
        <v>43</v>
      </c>
      <c r="AA83" s="3" t="inlineStr">
        <is>
          <t>gluten-free, nut-free, high-protein, high-fiber</t>
        </is>
      </c>
      <c r="AB83" s="3" t="inlineStr">
        <is>
          <t>1. Sauté cauliflower rice with cumin in half the oil 5 minutes; season and divide into bowls.
2. Brown sliced sausage, add beans and warm through.
3. Scramble the eggs in the remaining oil.
4. Top the cauliflower with sausage, beans, eggs, cheddar, salsa, avocado and cilantro.</t>
        </is>
      </c>
      <c r="AC83" s="4" t="inlineStr">
        <is>
          <t>["Sauté cauliflower rice with cumin in half the oil 5 minutes; season and divide into bowls.", "Brown sliced sausage, add beans and warm through.", "Scramble the eggs in the remaining oil.", "Top the cauliflower with sausage, beans, eggs, cheddar, salsa, avocado and cilantro."]</t>
        </is>
      </c>
    </row>
    <row r="84" ht="96" customHeight="1">
      <c r="A84" s="2" t="inlineStr">
        <is>
          <t>DB-0083</t>
        </is>
      </c>
      <c r="B84" s="3" t="inlineStr">
        <is>
          <t>Peach Cottage Cheese Smoothie</t>
        </is>
      </c>
      <c r="C84" s="4" t="inlineStr">
        <is>
          <t>Breakfast</t>
        </is>
      </c>
      <c r="D84" s="4" t="inlineStr">
        <is>
          <t>American</t>
        </is>
      </c>
      <c r="E84" s="2" t="n">
        <v>1</v>
      </c>
      <c r="F84" s="2" t="n">
        <v>5</v>
      </c>
      <c r="G84" s="2" t="n">
        <v>0</v>
      </c>
      <c r="H84" s="2" t="n">
        <v>5</v>
      </c>
      <c r="I84" s="4" t="inlineStr">
        <is>
          <t>peach-cottage-cheese-smoothie.jpg</t>
        </is>
      </c>
      <c r="J84" s="3" t="inlineStr">
        <is>
          <t>Peach Cottage Cheese Smoothie, healthy food photography, plated, natural light</t>
        </is>
      </c>
      <c r="K84" s="4" t="inlineStr"/>
      <c r="L84" s="3" t="inlineStr">
        <is>
          <t>Cottage cheese, low-fat — 150 g (5.3 oz)
Peach — 120 g (4.2 oz) [frozen]
Almond milk, unsweetened — 150 g (5.3 oz)
Vanilla extract — 2 g (0.1 oz)
Ground flaxseed — 8 g (0.3 oz)
Ground cinnamon — 1 g (0.0 oz)</t>
        </is>
      </c>
      <c r="M84" s="4" t="inlineStr">
        <is>
          <t>[{"ingredient_id": "cottage_cheese", "name": "Cottage cheese, low-fat", "grams": 150.0, "note": ""}, {"ingredient_id": "peach", "name": "Peach", "grams": 120.0, "note": "frozen"}, {"ingredient_id": "almond_milk", "name": "Almond milk, unsweetened", "grams": 150.0, "note": ""}, {"ingredient_id": "vanilla_extract", "name": "Vanilla extract", "grams": 2.0, "note": ""}, {"ingredient_id": "flaxseed", "name": "Ground flaxseed", "grams": 8.0, "note": ""}, {"ingredient_id": "cinnamon", "name": "Ground cinnamon", "grams": 1.0, "note": ""}]</t>
        </is>
      </c>
      <c r="N84" s="2" t="n">
        <v>246</v>
      </c>
      <c r="O84" s="5" t="n">
        <v>20</v>
      </c>
      <c r="P84" s="5" t="n">
        <v>9</v>
      </c>
      <c r="Q84" s="5" t="n">
        <v>22.1</v>
      </c>
      <c r="R84" s="5" t="n">
        <v>4.5</v>
      </c>
      <c r="S84" s="5" t="n">
        <v>17.6</v>
      </c>
      <c r="T84" s="2" t="n">
        <v>36</v>
      </c>
      <c r="U84" s="2" t="inlineStr">
        <is>
          <t>low</t>
        </is>
      </c>
      <c r="V84" s="5" t="n">
        <v>6.4</v>
      </c>
      <c r="W84" s="2" t="inlineStr">
        <is>
          <t>low</t>
        </is>
      </c>
      <c r="X84" s="3" t="inlineStr"/>
      <c r="Y84" s="3" t="inlineStr">
        <is>
          <t>54% of this dish's available carbohydrate comes from ingredients with a published, measured GI; the rest uses conventional placeholders (see Ingredients sheet)</t>
        </is>
      </c>
      <c r="Z84" s="2" t="n">
        <v>54</v>
      </c>
      <c r="AA84" s="3" t="inlineStr">
        <is>
          <t>vegetarian, gluten-free, no-cook, quick</t>
        </is>
      </c>
      <c r="AB84" s="3" t="inlineStr">
        <is>
          <t>1. Blend all ingredients until smooth.
2. Add ice for a thicker texture.
3. Pour and serve.</t>
        </is>
      </c>
      <c r="AC84" s="4" t="inlineStr">
        <is>
          <t>["Blend all ingredients until smooth.", "Add ice for a thicker texture.", "Pour and serve."]</t>
        </is>
      </c>
    </row>
    <row r="85" ht="96" customHeight="1">
      <c r="A85" s="2" t="inlineStr">
        <is>
          <t>DB-0084</t>
        </is>
      </c>
      <c r="B85" s="3" t="inlineStr">
        <is>
          <t>Eggplant &amp; Egg Sabich-Style Plate</t>
        </is>
      </c>
      <c r="C85" s="4" t="inlineStr">
        <is>
          <t>Breakfast</t>
        </is>
      </c>
      <c r="D85" s="4" t="inlineStr">
        <is>
          <t>Middle Eastern</t>
        </is>
      </c>
      <c r="E85" s="2" t="n">
        <v>2</v>
      </c>
      <c r="F85" s="2" t="n">
        <v>10</v>
      </c>
      <c r="G85" s="2" t="n">
        <v>20</v>
      </c>
      <c r="H85" s="2" t="n">
        <v>30</v>
      </c>
      <c r="I85" s="4" t="inlineStr">
        <is>
          <t>eggplant-and-egg-sabich-style-plate.jpg</t>
        </is>
      </c>
      <c r="J85" s="3" t="inlineStr">
        <is>
          <t>Eggplant &amp; Egg Sabich-Style Plate, healthy food photography, plated, natural light</t>
        </is>
      </c>
      <c r="K85" s="4" t="inlineStr"/>
      <c r="L85" s="3" t="inlineStr">
        <is>
          <t>Eggplant — 300 g (10.6 oz)
Egg, large (50 g each) — 200 g (7.1 oz) [4 hard-boiled eggs]
Hummus — 80 g (2.8 oz)
Tomato — 100 g (3.5 oz)
Cucumber — 100 g (3.5 oz)
Fresh parsley — 8 g (0.3 oz)
Tahini — 15 g (0.5 oz)
Lemon juice — 10 g (0.4 oz)
Extra-virgin olive oil — 15 g (0.5 oz)
Salt — 2 g (0.1 oz)</t>
        </is>
      </c>
      <c r="M85" s="4" t="inlineStr">
        <is>
          <t>[{"ingredient_id": "eggplant", "name": "Eggplant", "grams": 300.0, "note": ""}, {"ingredient_id": "egg", "name": "Egg, large (50 g each)", "grams": 200.0, "note": "4 hard-boiled eggs"}, {"ingredient_id": "hummus", "name": "Hummus", "grams": 80.0, "note": ""}, {"ingredient_id": "tomato", "name": "Tomato", "grams": 100.0, "note": ""}, {"ingredient_id": "cucumber", "name": "Cucumber", "grams": 100.0, "note": ""}, {"ingredient_id": "parsley", "name": "Fresh parsley", "grams": 8.0, "note": ""}, {"ingredient_id": "tahini", "name": "Tahini", "grams": 15.0, "note": ""}, {"ingredient_id": "lemon_juice", "name": "Lemon juice", "grams": 10.0, "note": ""}, {"ingredient_id": "olive_oil", "name": "Extra-virgin olive oil", "grams": 15.0, "note": ""}, {"ingredient_id": "salt", "name": "Salt", "grams": 2.0, "note": ""}]</t>
        </is>
      </c>
      <c r="N85" s="2" t="n">
        <v>377</v>
      </c>
      <c r="O85" s="5" t="n">
        <v>19.5</v>
      </c>
      <c r="P85" s="5" t="n">
        <v>25.4</v>
      </c>
      <c r="Q85" s="5" t="n">
        <v>21.2</v>
      </c>
      <c r="R85" s="5" t="n">
        <v>8.6</v>
      </c>
      <c r="S85" s="5" t="n">
        <v>12.6</v>
      </c>
      <c r="T85" s="2" t="n">
        <v>16</v>
      </c>
      <c r="U85" s="2" t="inlineStr">
        <is>
          <t>low</t>
        </is>
      </c>
      <c r="V85" s="5" t="n">
        <v>2</v>
      </c>
      <c r="W85" s="2" t="inlineStr">
        <is>
          <t>low</t>
        </is>
      </c>
      <c r="X85" s="3" t="inlineStr"/>
      <c r="Y85" s="3" t="inlineStr">
        <is>
          <t>25% of this dish's available carbohydrate comes from ingredients with a published, measured GI; the rest uses conventional placeholders (see Ingredients sheet)</t>
        </is>
      </c>
      <c r="Z85" s="2" t="n">
        <v>25</v>
      </c>
      <c r="AA85" s="3" t="inlineStr">
        <is>
          <t>vegetarian, gluten-free, dairy-free, nut-free, low-carb, high-fiber</t>
        </is>
      </c>
      <c r="AB85" s="3" t="inlineStr">
        <is>
          <t>1. Slice eggplant into rounds, brush with olive oil and salt, and roast at 425°F for 18 minutes.
2. Hard-boil the eggs and slice.
3. Whisk tahini with lemon juice and a little water.
4. Plate eggplant, eggs, hummus, chopped tomato-cucumber salad and drizzle with tahini sauce.</t>
        </is>
      </c>
      <c r="AC85" s="4" t="inlineStr">
        <is>
          <t>["Slice eggplant into rounds, brush with olive oil and salt, and roast at 425°F for 18 minutes.", "Hard-boil the eggs and slice.", "Whisk tahini with lemon juice and a little water.", "Plate eggplant, eggs, hummus, chopped tomato-cucumber salad and drizzle with tahini sauce."]</t>
        </is>
      </c>
    </row>
    <row r="86" ht="96" customHeight="1">
      <c r="A86" s="2" t="inlineStr">
        <is>
          <t>DB-0085</t>
        </is>
      </c>
      <c r="B86" s="3" t="inlineStr">
        <is>
          <t>Bulgur Breakfast Bowl with Yogurt &amp; Berries</t>
        </is>
      </c>
      <c r="C86" s="4" t="inlineStr">
        <is>
          <t>Breakfast</t>
        </is>
      </c>
      <c r="D86" s="4" t="inlineStr">
        <is>
          <t>Middle Eastern</t>
        </is>
      </c>
      <c r="E86" s="2" t="n">
        <v>2</v>
      </c>
      <c r="F86" s="2" t="n">
        <v>5</v>
      </c>
      <c r="G86" s="2" t="n">
        <v>5</v>
      </c>
      <c r="H86" s="2" t="n">
        <v>10</v>
      </c>
      <c r="I86" s="4" t="inlineStr">
        <is>
          <t>bulgur-breakfast-bowl-with-yogurt-and-berries.jpg</t>
        </is>
      </c>
      <c r="J86" s="3" t="inlineStr">
        <is>
          <t>Bulgur Breakfast Bowl with Yogurt &amp; Berries, healthy food photography, plated, natural light</t>
        </is>
      </c>
      <c r="K86" s="4" t="inlineStr"/>
      <c r="L86" s="3" t="inlineStr">
        <is>
          <t>Bulgur, cooked — 250 g (8.8 oz)
Greek yogurt, plain 2% — 200 g (7.1 oz)
Mixed berries, frozen — 120 g (4.2 oz)
Pistachios, shelled — 20 g (0.7 oz)
Honey (small amount) — 8 g (0.3 oz)
Ground cinnamon — 1 g (0.0 oz)</t>
        </is>
      </c>
      <c r="M86" s="4" t="inlineStr">
        <is>
          <t>[{"ingredient_id": "bulgur", "name": "Bulgur, cooked", "grams": 250.0, "note": ""}, {"ingredient_id": "greek_yogurt", "name": "Greek yogurt, plain 2%", "grams": 200.0, "note": ""}, {"ingredient_id": "mixed_berries", "name": "Mixed berries, frozen", "grams": 120.0, "note": ""}, {"ingredient_id": "pistachios", "name": "Pistachios, shelled", "grams": 20.0, "note": ""}, {"ingredient_id": "honey", "name": "Honey (small amount)", "grams": 8.0, "note": ""}, {"ingredient_id": "cinnamon", "name": "Ground cinnamon", "grams": 1.0, "note": ""}]</t>
        </is>
      </c>
      <c r="N86" s="2" t="n">
        <v>273</v>
      </c>
      <c r="O86" s="5" t="n">
        <v>16.4</v>
      </c>
      <c r="P86" s="5" t="n">
        <v>7</v>
      </c>
      <c r="Q86" s="5" t="n">
        <v>40.3</v>
      </c>
      <c r="R86" s="5" t="n">
        <v>9.4</v>
      </c>
      <c r="S86" s="5" t="n">
        <v>31</v>
      </c>
      <c r="T86" s="2" t="n">
        <v>40</v>
      </c>
      <c r="U86" s="2" t="inlineStr">
        <is>
          <t>low</t>
        </is>
      </c>
      <c r="V86" s="5" t="n">
        <v>12.4</v>
      </c>
      <c r="W86" s="2" t="inlineStr">
        <is>
          <t>medium</t>
        </is>
      </c>
      <c r="X86" s="3" t="inlineStr"/>
      <c r="Y86" s="3" t="inlineStr">
        <is>
          <t>86% of this dish's available carbohydrate comes from ingredients with a published, measured GI; the rest uses conventional placeholders (see Ingredients sheet)</t>
        </is>
      </c>
      <c r="Z86" s="2" t="n">
        <v>86</v>
      </c>
      <c r="AA86" s="3" t="inlineStr">
        <is>
          <t>vegetarian, high-fiber</t>
        </is>
      </c>
      <c r="AB86" s="3" t="inlineStr">
        <is>
          <t>1. Warm cooked bulgur with cinnamon.
2. Divide into bowls and top with Greek yogurt.
3. Add berries, pistachios and a small drizzle of honey.</t>
        </is>
      </c>
      <c r="AC86" s="4" t="inlineStr">
        <is>
          <t>["Warm cooked bulgur with cinnamon.", "Divide into bowls and top with Greek yogurt.", "Add berries, pistachios and a small drizzle of honey."]</t>
        </is>
      </c>
    </row>
    <row r="87" ht="96" customHeight="1">
      <c r="A87" s="2" t="inlineStr">
        <is>
          <t>DB-0086</t>
        </is>
      </c>
      <c r="B87" s="3" t="inlineStr">
        <is>
          <t>Shrimp &amp; Grits-Style Cauliflower Bowl</t>
        </is>
      </c>
      <c r="C87" s="4" t="inlineStr">
        <is>
          <t>Breakfast</t>
        </is>
      </c>
      <c r="D87" s="4" t="inlineStr">
        <is>
          <t>Southern</t>
        </is>
      </c>
      <c r="E87" s="2" t="n">
        <v>2</v>
      </c>
      <c r="F87" s="2" t="n">
        <v>10</v>
      </c>
      <c r="G87" s="2" t="n">
        <v>15</v>
      </c>
      <c r="H87" s="2" t="n">
        <v>25</v>
      </c>
      <c r="I87" s="4" t="inlineStr">
        <is>
          <t>shrimp-and-grits-style-cauliflower-bowl.jpg</t>
        </is>
      </c>
      <c r="J87" s="3" t="inlineStr">
        <is>
          <t>Shrimp &amp; Grits-Style Cauliflower Bowl, healthy food photography, plated, natural light</t>
        </is>
      </c>
      <c r="K87" s="4" t="inlineStr"/>
      <c r="L87" s="3" t="inlineStr">
        <is>
          <t>Shrimp, peeled — 250 g (8.8 oz)
Cauliflower rice — 350 g (12.3 oz)
Cheddar cheese — 40 g (1.4 oz)
Milk, 2% — 60 g (2.1 oz)
Turkey bacon — 45 g (1.6 oz)
Green onions (scallions) — 20 g (0.7 oz)
Garlic — 5 g (0.2 oz)
Cajun seasoning — 3 g (0.1 oz)
Extra-virgin olive oil — 10 g (0.4 oz)
Lemon juice — 8 g (0.3 oz)</t>
        </is>
      </c>
      <c r="M87" s="4" t="inlineStr">
        <is>
          <t>[{"ingredient_id": "shrimp", "name": "Shrimp, peeled", "grams": 250.0, "note": ""}, {"ingredient_id": "cauliflower_rice", "name": "Cauliflower rice", "grams": 350.0, "note": ""}, {"ingredient_id": "cheddar", "name": "Cheddar cheese", "grams": 40.0, "note": ""}, {"ingredient_id": "milk", "name": "Milk, 2%", "grams": 60.0, "note": ""}, {"ingredient_id": "turkey_bacon", "name": "Turkey bacon", "grams": 45.0, "note": ""}, {"ingredient_id": "green_onion", "name": "Green onions (scallions)", "grams": 20.0, "note": ""}, {"ingredient_id": "garlic", "name": "Garlic", "grams": 5.0, "note": ""}, {"ingredient_id": "cajun_seasoning", "name": "Cajun seasoning", "grams": 3.0, "note": ""}, {"ingredient_id": "olive_oil", "name": "Extra-virgin olive oil", "grams": 10.0, "note": ""}, {"ingredient_id": "lemon_juice", "name": "Lemon juice", "grams": 8.0, "note": ""}]</t>
        </is>
      </c>
      <c r="N87" s="2" t="n">
        <v>351</v>
      </c>
      <c r="O87" s="5" t="n">
        <v>38.5</v>
      </c>
      <c r="P87" s="5" t="n">
        <v>16.9</v>
      </c>
      <c r="Q87" s="5" t="n">
        <v>13.6</v>
      </c>
      <c r="R87" s="5" t="n">
        <v>4.2</v>
      </c>
      <c r="S87" s="5" t="n">
        <v>9.4</v>
      </c>
      <c r="T87" s="2" t="n">
        <v>17</v>
      </c>
      <c r="U87" s="2" t="inlineStr">
        <is>
          <t>low</t>
        </is>
      </c>
      <c r="V87" s="5" t="n">
        <v>1.6</v>
      </c>
      <c r="W87" s="2" t="inlineStr">
        <is>
          <t>low</t>
        </is>
      </c>
      <c r="X87" s="3" t="inlineStr"/>
      <c r="Y87" s="3" t="inlineStr">
        <is>
          <t>15% of this dish's available carbohydrate comes from ingredients with a published, measured GI; the rest uses conventional placeholders (see Ingredients sheet)</t>
        </is>
      </c>
      <c r="Z87" s="2" t="n">
        <v>15</v>
      </c>
      <c r="AA87" s="3" t="inlineStr">
        <is>
          <t>gluten-free, nut-free, low-carb, high-protein</t>
        </is>
      </c>
      <c r="AB87" s="3" t="inlineStr">
        <is>
          <t>1. Simmer cauliflower rice with milk 8 minutes, mash lightly and stir in cheddar for creamy 'grits'.
2. Cook turkey bacon until crisp; chop.
3. Sauté shrimp with garlic and Cajun seasoning in olive oil 3 minutes; add lemon juice.
4. Serve shrimp over the cauliflower grits with bacon and green onion.</t>
        </is>
      </c>
      <c r="AC87" s="4" t="inlineStr">
        <is>
          <t>["Simmer cauliflower rice with milk 8 minutes, mash lightly and stir in cheddar for creamy 'grits'.", "Cook turkey bacon until crisp; chop.", "Sauté shrimp with garlic and Cajun seasoning in olive oil 3 minutes; add lemon juice.", "Serve shrimp over the cauliflower grits with bacon and green onion."]</t>
        </is>
      </c>
    </row>
    <row r="88" ht="96" customHeight="1">
      <c r="A88" s="2" t="inlineStr">
        <is>
          <t>DB-0087</t>
        </is>
      </c>
      <c r="B88" s="3" t="inlineStr">
        <is>
          <t>Nut Butter &amp; Berry Yogurt Toast</t>
        </is>
      </c>
      <c r="C88" s="4" t="inlineStr">
        <is>
          <t>Breakfast</t>
        </is>
      </c>
      <c r="D88" s="4" t="inlineStr">
        <is>
          <t>American</t>
        </is>
      </c>
      <c r="E88" s="2" t="n">
        <v>1</v>
      </c>
      <c r="F88" s="2" t="n">
        <v>5</v>
      </c>
      <c r="G88" s="2" t="n">
        <v>3</v>
      </c>
      <c r="H88" s="2" t="n">
        <v>8</v>
      </c>
      <c r="I88" s="4" t="inlineStr">
        <is>
          <t>nut-butter-and-berry-yogurt-toast.jpg</t>
        </is>
      </c>
      <c r="J88" s="3" t="inlineStr">
        <is>
          <t>Nut Butter &amp; Berry Yogurt Toast, healthy food photography, plated, natural light</t>
        </is>
      </c>
      <c r="K88" s="4" t="inlineStr"/>
      <c r="L88" s="3" t="inlineStr">
        <is>
          <t>Sprouted grain bread (Ezekiel-style) — 34 g (1.2 oz) [1 slice]
Greek yogurt, plain 2% — 60 g (2.1 oz)
Almond butter — 12 g (0.4 oz)
Raspberries — 50 g (1.8 oz)
Chia seeds — 5 g (0.2 oz)</t>
        </is>
      </c>
      <c r="M88" s="4" t="inlineStr">
        <is>
          <t>[{"ingredient_id": "ezekiel_bread", "name": "Sprouted grain bread (Ezekiel-style)", "grams": 34.0, "note": "1 slice"}, {"ingredient_id": "greek_yogurt", "name": "Greek yogurt, plain 2%", "grams": 60.0, "note": ""}, {"ingredient_id": "almond_butter", "name": "Almond butter", "grams": 12.0, "note": ""}, {"ingredient_id": "raspberries", "name": "Raspberries", "grams": 50.0, "note": ""}, {"ingredient_id": "chia_seeds", "name": "Chia seeds", "grams": 5.0, "note": ""}]</t>
        </is>
      </c>
      <c r="N88" s="2" t="n">
        <v>248</v>
      </c>
      <c r="O88" s="5" t="n">
        <v>14</v>
      </c>
      <c r="P88" s="5" t="n">
        <v>10.3</v>
      </c>
      <c r="Q88" s="5" t="n">
        <v>27.7</v>
      </c>
      <c r="R88" s="5" t="n">
        <v>9.199999999999999</v>
      </c>
      <c r="S88" s="5" t="n">
        <v>18.5</v>
      </c>
      <c r="T88" s="2" t="n">
        <v>47</v>
      </c>
      <c r="U88" s="2" t="inlineStr">
        <is>
          <t>low</t>
        </is>
      </c>
      <c r="V88" s="5" t="n">
        <v>8.699999999999999</v>
      </c>
      <c r="W88" s="2" t="inlineStr">
        <is>
          <t>low</t>
        </is>
      </c>
      <c r="X88" s="3" t="inlineStr"/>
      <c r="Y88" s="3" t="inlineStr">
        <is>
          <t>77% of this dish's available carbohydrate comes from ingredients with a published, measured GI; the rest uses conventional placeholders (see Ingredients sheet)</t>
        </is>
      </c>
      <c r="Z88" s="2" t="n">
        <v>77</v>
      </c>
      <c r="AA88" s="3" t="inlineStr">
        <is>
          <t>vegetarian, gluten-free, high-fiber, quick</t>
        </is>
      </c>
      <c r="AB88" s="3" t="inlineStr">
        <is>
          <t>1. Toast the bread.
2. Spread with Greek yogurt and dot with almond butter.
3. Top with raspberries and chia seeds.</t>
        </is>
      </c>
      <c r="AC88" s="4" t="inlineStr">
        <is>
          <t>["Toast the bread.", "Spread with Greek yogurt and dot with almond butter.", "Top with raspberries and chia seeds."]</t>
        </is>
      </c>
    </row>
    <row r="89" ht="96" customHeight="1">
      <c r="A89" s="2" t="inlineStr">
        <is>
          <t>DB-0088</t>
        </is>
      </c>
      <c r="B89" s="3" t="inlineStr">
        <is>
          <t>Southwestern Sweet Potato Egg Boats</t>
        </is>
      </c>
      <c r="C89" s="4" t="inlineStr">
        <is>
          <t>Breakfast</t>
        </is>
      </c>
      <c r="D89" s="4" t="inlineStr">
        <is>
          <t>Tex-Mex</t>
        </is>
      </c>
      <c r="E89" s="2" t="n">
        <v>2</v>
      </c>
      <c r="F89" s="2" t="n">
        <v>10</v>
      </c>
      <c r="G89" s="2" t="n">
        <v>50</v>
      </c>
      <c r="H89" s="2" t="n">
        <v>60</v>
      </c>
      <c r="I89" s="4" t="inlineStr">
        <is>
          <t>southwestern-sweet-potato-egg-boats.jpg</t>
        </is>
      </c>
      <c r="J89" s="3" t="inlineStr">
        <is>
          <t>Southwestern Sweet Potato Egg Boats, healthy food photography, plated, natural light</t>
        </is>
      </c>
      <c r="K89" s="4" t="inlineStr"/>
      <c r="L89" s="3" t="inlineStr">
        <is>
          <t>Sweet potato, boiled/simmered — 200 g (7.1 oz) [2 small (100 g each)]
Egg, large (50 g each) — 100 g (3.5 oz) [2 large eggs]
Black beans, cooked — 80 g (2.8 oz)
Salsa, no sugar added — 60 g (2.1 oz)
Cheddar cheese — 30 g (1.1 oz)
Avocado — 50 g (1.8 oz)
Fresh cilantro — 5 g (0.2 oz)
Ground cumin — 1 g (0.0 oz)</t>
        </is>
      </c>
      <c r="M89" s="4" t="inlineStr">
        <is>
          <t>[{"ingredient_id": "sweet_potato", "name": "Sweet potato, boiled/simmered", "grams": 200.0, "note": "2 small (100 g each)"}, {"ingredient_id": "egg", "name": "Egg, large (50 g each)", "grams": 100.0, "note": "2 large eggs"}, {"ingredient_id": "black_beans", "name": "Black beans, cooked", "grams": 80.0, "note": ""}, {"ingredient_id": "salsa", "name": "Salsa, no sugar added", "grams": 60.0, "note": ""}, {"ingredient_id": "cheddar", "name": "Cheddar cheese", "grams": 30.0, "note": ""}, {"ingredient_id": "avocado", "name": "Avocado", "grams": 50.0, "note": ""}, {"ingredient_id": "cilantro", "name": "Fresh cilantro", "grams": 5.0, "note": ""}, {"ingredient_id": "cumin", "name": "Ground cumin", "grams": 1.0, "note": ""}]</t>
        </is>
      </c>
      <c r="N89" s="2" t="n">
        <v>324</v>
      </c>
      <c r="O89" s="5" t="n">
        <v>16</v>
      </c>
      <c r="P89" s="5" t="n">
        <v>13.9</v>
      </c>
      <c r="Q89" s="5" t="n">
        <v>34.6</v>
      </c>
      <c r="R89" s="5" t="n">
        <v>8.699999999999999</v>
      </c>
      <c r="S89" s="5" t="n">
        <v>25.8</v>
      </c>
      <c r="T89" s="2" t="n">
        <v>40</v>
      </c>
      <c r="U89" s="2" t="inlineStr">
        <is>
          <t>low</t>
        </is>
      </c>
      <c r="V89" s="5" t="n">
        <v>10.3</v>
      </c>
      <c r="W89" s="2" t="inlineStr">
        <is>
          <t>medium</t>
        </is>
      </c>
      <c r="X89" s="3" t="inlineStr"/>
      <c r="Y89" s="3" t="inlineStr">
        <is>
          <t>89% of this dish's available carbohydrate comes from ingredients with a published, measured GI; the rest uses conventional placeholders (see Ingredients sheet)</t>
        </is>
      </c>
      <c r="Z89" s="2" t="n">
        <v>89</v>
      </c>
      <c r="AA89" s="3" t="inlineStr">
        <is>
          <t>vegetarian, gluten-free, nut-free, high-fiber</t>
        </is>
      </c>
      <c r="AB89" s="3" t="inlineStr">
        <is>
          <t>1. Boil whole sweet potatoes 20–25 minutes until tender (boiling keeps the GI far lower than baking); cool slightly.
2. Split, scoop out some flesh to make a well; fill with beans and cumin.
3. Crack an egg into each, top with cheddar and bake 12 minutes until set.
4. Serve with salsa, avocado and cilantro.</t>
        </is>
      </c>
      <c r="AC89" s="4" t="inlineStr">
        <is>
          <t>["Boil whole sweet potatoes 20–25 minutes until tender (boiling keeps the GI far lower than baking); cool slightly.", "Split, scoop out some flesh to make a well; fill with beans and cumin.", "Crack an egg into each, top with cheddar and bake 12 minutes until set.", "Serve with salsa, avocado and cilantro."]</t>
        </is>
      </c>
    </row>
    <row r="90" ht="96" customHeight="1">
      <c r="A90" s="2" t="inlineStr">
        <is>
          <t>DB-0089</t>
        </is>
      </c>
      <c r="B90" s="3" t="inlineStr">
        <is>
          <t>Broccoli Cheddar Egg White Bites</t>
        </is>
      </c>
      <c r="C90" s="4" t="inlineStr">
        <is>
          <t>Breakfast</t>
        </is>
      </c>
      <c r="D90" s="4" t="inlineStr">
        <is>
          <t>American</t>
        </is>
      </c>
      <c r="E90" s="2" t="n">
        <v>4</v>
      </c>
      <c r="F90" s="2" t="n">
        <v>10</v>
      </c>
      <c r="G90" s="2" t="n">
        <v>20</v>
      </c>
      <c r="H90" s="2" t="n">
        <v>30</v>
      </c>
      <c r="I90" s="4" t="inlineStr">
        <is>
          <t>broccoli-cheddar-egg-white-bites.jpg</t>
        </is>
      </c>
      <c r="J90" s="3" t="inlineStr">
        <is>
          <t>Broccoli Cheddar Egg White Bites, healthy food photography, plated, natural light</t>
        </is>
      </c>
      <c r="K90" s="4" t="inlineStr"/>
      <c r="L90" s="3" t="inlineStr">
        <is>
          <t>Egg whites — 360 g (12.7 oz) [12 egg whites]
Broccoli — 200 g (7.1 oz)
Cheddar cheese — 80 g (2.8 oz)
Cottage cheese, low-fat — 100 g (3.5 oz)
Onion powder — 1 g (0.0 oz)
Salt — 2 g (0.1 oz)</t>
        </is>
      </c>
      <c r="M90" s="4" t="inlineStr">
        <is>
          <t>[{"ingredient_id": "egg_white", "name": "Egg whites", "grams": 360.0, "note": "12 egg whites"}, {"ingredient_id": "broccoli", "name": "Broccoli", "grams": 200.0, "note": ""}, {"ingredient_id": "cheddar", "name": "Cheddar cheese", "grams": 80.0, "note": ""}, {"ingredient_id": "cottage_cheese", "name": "Cottage cheese, low-fat", "grams": 100.0, "note": ""}, {"ingredient_id": "onion_powder", "name": "Onion powder", "grams": 1.0, "note": ""}, {"ingredient_id": "salt", "name": "Salt", "grams": 2.0, "note": ""}]</t>
        </is>
      </c>
      <c r="N90" s="2" t="n">
        <v>166</v>
      </c>
      <c r="O90" s="5" t="n">
        <v>18.7</v>
      </c>
      <c r="P90" s="5" t="n">
        <v>7.6</v>
      </c>
      <c r="Q90" s="5" t="n">
        <v>5.5</v>
      </c>
      <c r="R90" s="5" t="n">
        <v>1.3</v>
      </c>
      <c r="S90" s="5" t="n">
        <v>4.1</v>
      </c>
      <c r="T90" s="2" t="n">
        <v>10</v>
      </c>
      <c r="U90" s="2" t="inlineStr">
        <is>
          <t>low</t>
        </is>
      </c>
      <c r="V90" s="5" t="n">
        <v>0.4</v>
      </c>
      <c r="W90" s="2" t="inlineStr">
        <is>
          <t>low</t>
        </is>
      </c>
      <c r="X90" s="3" t="inlineStr">
        <is>
          <t>Negligible carbohydrate (&lt;5 g net/serving): GI has little practical meaning, glycemic load is what matters.</t>
        </is>
      </c>
      <c r="Y90" s="3" t="inlineStr">
        <is>
          <t>0% of this dish's available carbohydrate comes from ingredients with a published, measured GI; the rest uses conventional placeholders (see Ingredients sheet)</t>
        </is>
      </c>
      <c r="Z90" s="2" t="n">
        <v>0</v>
      </c>
      <c r="AA90" s="3" t="inlineStr">
        <is>
          <t>vegetarian, gluten-free, nut-free, low-carb, make-ahead</t>
        </is>
      </c>
      <c r="AB90" s="3" t="inlineStr">
        <is>
          <t>1. Preheat oven to 350°F and oil a muffin tin.
2. Blend egg whites with cottage cheese, salt and onion powder.
3. Divide chopped steamed broccoli and cheddar among cups, pour in the mixture.
4. Bake 18–20 minutes.</t>
        </is>
      </c>
      <c r="AC90" s="4" t="inlineStr">
        <is>
          <t>["Preheat oven to 350°F and oil a muffin tin.", "Blend egg whites with cottage cheese, salt and onion powder.", "Divide chopped steamed broccoli and cheddar among cups, pour in the mixture.", "Bake 18–20 minutes."]</t>
        </is>
      </c>
    </row>
    <row r="91" ht="96" customHeight="1">
      <c r="A91" s="2" t="inlineStr">
        <is>
          <t>DB-0090</t>
        </is>
      </c>
      <c r="B91" s="3" t="inlineStr">
        <is>
          <t>Turkish Menemen</t>
        </is>
      </c>
      <c r="C91" s="4" t="inlineStr">
        <is>
          <t>Breakfast</t>
        </is>
      </c>
      <c r="D91" s="4" t="inlineStr">
        <is>
          <t>Turkish</t>
        </is>
      </c>
      <c r="E91" s="2" t="n">
        <v>2</v>
      </c>
      <c r="F91" s="2" t="n">
        <v>10</v>
      </c>
      <c r="G91" s="2" t="n">
        <v>15</v>
      </c>
      <c r="H91" s="2" t="n">
        <v>25</v>
      </c>
      <c r="I91" s="4" t="inlineStr">
        <is>
          <t>turkish-menemen.jpg</t>
        </is>
      </c>
      <c r="J91" s="3" t="inlineStr">
        <is>
          <t>Turkish Menemen, healthy food photography, plated, natural light</t>
        </is>
      </c>
      <c r="K91" s="4" t="inlineStr"/>
      <c r="L91" s="3" t="inlineStr">
        <is>
          <t>Egg, large (50 g each) — 200 g (7.1 oz) [4 large eggs]
Tomato — 300 g (10.6 oz)
Bell pepper — 150 g (5.3 oz)
Yellow onion — 60 g (2.1 oz)
Extra-virgin olive oil — 15 g (0.5 oz)
Red pepper flakes — 1 g (0.0 oz)
Feta cheese — 30 g (1.1 oz)
Fresh parsley — 8 g (0.3 oz)
Salt — 2 g (0.1 oz)</t>
        </is>
      </c>
      <c r="M91" s="4" t="inlineStr">
        <is>
          <t>[{"ingredient_id": "egg", "name": "Egg, large (50 g each)", "grams": 200.0, "note": "4 large eggs"}, {"ingredient_id": "tomato", "name": "Tomato", "grams": 300.0, "note": ""}, {"ingredient_id": "bell_pepper", "name": "Bell pepper", "grams": 150.0, "note": ""}, {"ingredient_id": "onion", "name": "Yellow onion", "grams": 60.0, "note": ""}, {"ingredient_id": "olive_oil", "name": "Extra-virgin olive oil", "grams": 15.0, "note": ""}, {"ingredient_id": "red_pepper_flakes", "name": "Red pepper flakes", "grams": 1.0, "note": ""}, {"ingredient_id": "feta", "name": "Feta cheese", "grams": 30.0, "note": ""}, {"ingredient_id": "parsley", "name": "Fresh parsley", "grams": 8.0, "note": ""}, {"ingredient_id": "salt", "name": "Salt", "grams": 2.0, "note": ""}]</t>
        </is>
      </c>
      <c r="N91" s="2" t="n">
        <v>314</v>
      </c>
      <c r="O91" s="5" t="n">
        <v>17.3</v>
      </c>
      <c r="P91" s="5" t="n">
        <v>20.8</v>
      </c>
      <c r="Q91" s="5" t="n">
        <v>15</v>
      </c>
      <c r="R91" s="5" t="n">
        <v>4.2</v>
      </c>
      <c r="S91" s="5" t="n">
        <v>10.8</v>
      </c>
      <c r="T91" s="2" t="n">
        <v>13</v>
      </c>
      <c r="U91" s="2" t="inlineStr">
        <is>
          <t>low</t>
        </is>
      </c>
      <c r="V91" s="5" t="n">
        <v>1.4</v>
      </c>
      <c r="W91" s="2" t="inlineStr">
        <is>
          <t>low</t>
        </is>
      </c>
      <c r="X91" s="3" t="inlineStr"/>
      <c r="Y91" s="3" t="inlineStr">
        <is>
          <t>0% of this dish's available carbohydrate comes from ingredients with a published, measured GI; the rest uses conventional placeholders (see Ingredients sheet)</t>
        </is>
      </c>
      <c r="Z91" s="2" t="n">
        <v>0</v>
      </c>
      <c r="AA91" s="3" t="inlineStr">
        <is>
          <t>vegetarian, gluten-free, nut-free, low-carb</t>
        </is>
      </c>
      <c r="AB91" s="3" t="inlineStr">
        <is>
          <t>1. Soften onion and pepper in olive oil 6 minutes.
2. Add chopped tomatoes and cook down 6 minutes into a thick sauce; season.
3. Pour in beaten eggs and stir slowly until soft-set.
4. Top with feta, parsley and pepper flakes.</t>
        </is>
      </c>
      <c r="AC91" s="4" t="inlineStr">
        <is>
          <t>["Soften onion and pepper in olive oil 6 minutes.", "Add chopped tomatoes and cook down 6 minutes into a thick sauce; season.", "Pour in beaten eggs and stir slowly until soft-set.", "Top with feta, parsley and pepper flakes."]</t>
        </is>
      </c>
    </row>
    <row r="92" ht="96" customHeight="1">
      <c r="A92" s="2" t="inlineStr">
        <is>
          <t>DB-0091</t>
        </is>
      </c>
      <c r="B92" s="3" t="inlineStr">
        <is>
          <t>Oat Bran Porridge with Walnuts &amp; Cinnamon</t>
        </is>
      </c>
      <c r="C92" s="4" t="inlineStr">
        <is>
          <t>Breakfast</t>
        </is>
      </c>
      <c r="D92" s="4" t="inlineStr">
        <is>
          <t>American</t>
        </is>
      </c>
      <c r="E92" s="2" t="n">
        <v>1</v>
      </c>
      <c r="F92" s="2" t="n">
        <v>2</v>
      </c>
      <c r="G92" s="2" t="n">
        <v>5</v>
      </c>
      <c r="H92" s="2" t="n">
        <v>7</v>
      </c>
      <c r="I92" s="4" t="inlineStr">
        <is>
          <t>oat-bran-porridge-with-walnuts-and-cinnamon.jpg</t>
        </is>
      </c>
      <c r="J92" s="3" t="inlineStr">
        <is>
          <t>Oat Bran Porridge with Walnuts &amp; Cinnamon, healthy food photography, plated, natural light</t>
        </is>
      </c>
      <c r="K92" s="4" t="inlineStr"/>
      <c r="L92" s="3" t="inlineStr">
        <is>
          <t>Oat bran, dry — 40 g (1.4 oz)
Almond milk, unsweetened — 250 g (8.8 oz)
Walnuts — 15 g (0.5 oz)
Ground cinnamon — 2 g (0.1 oz)
Ground flaxseed — 8 g (0.3 oz)
Blueberries — 50 g (1.8 oz)</t>
        </is>
      </c>
      <c r="M92" s="4" t="inlineStr">
        <is>
          <t>[{"ingredient_id": "oat_bran", "name": "Oat bran, dry", "grams": 40.0, "note": ""}, {"ingredient_id": "almond_milk", "name": "Almond milk, unsweetened", "grams": 250.0, "note": ""}, {"ingredient_id": "walnuts", "name": "Walnuts", "grams": 15.0, "note": ""}, {"ingredient_id": "cinnamon", "name": "Ground cinnamon", "grams": 2.0, "note": ""}, {"ingredient_id": "flaxseed", "name": "Ground flaxseed", "grams": 8.0, "note": ""}, {"ingredient_id": "blueberries", "name": "Blueberries", "grams": 50.0, "note": ""}]</t>
        </is>
      </c>
      <c r="N92" s="2" t="n">
        <v>310</v>
      </c>
      <c r="O92" s="5" t="n">
        <v>12.4</v>
      </c>
      <c r="P92" s="5" t="n">
        <v>19.1</v>
      </c>
      <c r="Q92" s="5" t="n">
        <v>41.2</v>
      </c>
      <c r="R92" s="5" t="n">
        <v>11.4</v>
      </c>
      <c r="S92" s="5" t="n">
        <v>29.8</v>
      </c>
      <c r="T92" s="2" t="n">
        <v>50</v>
      </c>
      <c r="U92" s="2" t="inlineStr">
        <is>
          <t>low</t>
        </is>
      </c>
      <c r="V92" s="5" t="n">
        <v>14.9</v>
      </c>
      <c r="W92" s="2" t="inlineStr">
        <is>
          <t>medium</t>
        </is>
      </c>
      <c r="X92" s="3" t="inlineStr"/>
      <c r="Y92" s="3" t="inlineStr">
        <is>
          <t>89% of this dish's available carbohydrate comes from ingredients with a published, measured GI; the rest uses conventional placeholders (see Ingredients sheet)</t>
        </is>
      </c>
      <c r="Z92" s="2" t="n">
        <v>89</v>
      </c>
      <c r="AA92" s="3" t="inlineStr">
        <is>
          <t>vegan, dairy-free, high-fiber, quick</t>
        </is>
      </c>
      <c r="AB92" s="3" t="inlineStr">
        <is>
          <t>1. Simmer oat bran and almond milk, stirring, 3–4 minutes until thick.
2. Stir in cinnamon and flaxseed.
3. Top with walnuts and blueberries.</t>
        </is>
      </c>
      <c r="AC92" s="4" t="inlineStr">
        <is>
          <t>["Simmer oat bran and almond milk, stirring, 3–4 minutes until thick.", "Stir in cinnamon and flaxseed.", "Top with walnuts and blueberries."]</t>
        </is>
      </c>
    </row>
    <row r="93" ht="96" customHeight="1">
      <c r="A93" s="2" t="inlineStr">
        <is>
          <t>DB-0092</t>
        </is>
      </c>
      <c r="B93" s="3" t="inlineStr">
        <is>
          <t>Greek Egg &amp; Spinach Pita Pocket</t>
        </is>
      </c>
      <c r="C93" s="4" t="inlineStr">
        <is>
          <t>Breakfast</t>
        </is>
      </c>
      <c r="D93" s="4" t="inlineStr">
        <is>
          <t>Greek</t>
        </is>
      </c>
      <c r="E93" s="2" t="n">
        <v>1</v>
      </c>
      <c r="F93" s="2" t="n">
        <v>5</v>
      </c>
      <c r="G93" s="2" t="n">
        <v>6</v>
      </c>
      <c r="H93" s="2" t="n">
        <v>11</v>
      </c>
      <c r="I93" s="4" t="inlineStr">
        <is>
          <t>greek-egg-and-spinach-pita-pocket.jpg</t>
        </is>
      </c>
      <c r="J93" s="3" t="inlineStr">
        <is>
          <t>Greek Egg &amp; Spinach Pita Pocket, healthy food photography, plated, natural light</t>
        </is>
      </c>
      <c r="K93" s="4" t="inlineStr"/>
      <c r="L93" s="3" t="inlineStr">
        <is>
          <t>Whole wheat pita — 60 g (2.1 oz) [1 pita]
Egg, large (50 g each) — 100 g (3.5 oz) [2 large eggs]
Spinach — 50 g (1.8 oz)
Feta cheese — 20 g (0.7 oz)
Tomato — 50 g (1.8 oz)
Olives (kalamata/green) — 15 g (0.5 oz)
Extra-virgin olive oil — 5 g (0.2 oz)
Dried oregano — 1 g (0.0 oz)</t>
        </is>
      </c>
      <c r="M93" s="4" t="inlineStr">
        <is>
          <t>[{"ingredient_id": "whole_wheat_pita", "name": "Whole wheat pita", "grams": 60.0, "note": "1 pita"}, {"ingredient_id": "egg", "name": "Egg, large (50 g each)", "grams": 100.0, "note": "2 large eggs"}, {"ingredient_id": "spinach", "name": "Spinach", "grams": 50.0, "note": ""}, {"ingredient_id": "feta", "name": "Feta cheese", "grams": 20.0, "note": ""}, {"ingredient_id": "tomato", "name": "Tomato", "grams": 50.0, "note": ""}, {"ingredient_id": "olives", "name": "Olives (kalamata/green)", "grams": 15.0, "note": ""}, {"ingredient_id": "olive_oil", "name": "Extra-virgin olive oil", "grams": 5.0, "note": ""}, {"ingredient_id": "oregano", "name": "Dried oregano", "grams": 1.0, "note": ""}]</t>
        </is>
      </c>
      <c r="N93" s="2" t="n">
        <v>440</v>
      </c>
      <c r="O93" s="5" t="n">
        <v>23.5</v>
      </c>
      <c r="P93" s="5" t="n">
        <v>22.3</v>
      </c>
      <c r="Q93" s="5" t="n">
        <v>39.8</v>
      </c>
      <c r="R93" s="5" t="n">
        <v>7</v>
      </c>
      <c r="S93" s="5" t="n">
        <v>32.8</v>
      </c>
      <c r="T93" s="2" t="n">
        <v>51</v>
      </c>
      <c r="U93" s="2" t="inlineStr">
        <is>
          <t>low</t>
        </is>
      </c>
      <c r="V93" s="5" t="n">
        <v>16.7</v>
      </c>
      <c r="W93" s="2" t="inlineStr">
        <is>
          <t>medium</t>
        </is>
      </c>
      <c r="X93" s="3" t="inlineStr"/>
      <c r="Y93" s="3" t="inlineStr">
        <is>
          <t>87% of this dish's available carbohydrate comes from ingredients with a published, measured GI; the rest uses conventional placeholders (see Ingredients sheet)</t>
        </is>
      </c>
      <c r="Z93" s="2" t="n">
        <v>87</v>
      </c>
      <c r="AA93" s="3" t="inlineStr">
        <is>
          <t>vegetarian, nut-free, high-fiber, quick</t>
        </is>
      </c>
      <c r="AB93" s="3" t="inlineStr">
        <is>
          <t>1. Wilt spinach in olive oil, add whisked eggs with oregano and scramble.
2. Warm the pita and split open.
3. Stuff with eggs, feta, tomato and chopped olives.</t>
        </is>
      </c>
      <c r="AC93" s="4" t="inlineStr">
        <is>
          <t>["Wilt spinach in olive oil, add whisked eggs with oregano and scramble.", "Warm the pita and split open.", "Stuff with eggs, feta, tomato and chopped olives."]</t>
        </is>
      </c>
    </row>
    <row r="94" ht="96" customHeight="1">
      <c r="A94" s="2" t="inlineStr">
        <is>
          <t>DB-0093</t>
        </is>
      </c>
      <c r="B94" s="3" t="inlineStr">
        <is>
          <t>Blueberry Lemon Protein Muffins</t>
        </is>
      </c>
      <c r="C94" s="4" t="inlineStr">
        <is>
          <t>Breakfast</t>
        </is>
      </c>
      <c r="D94" s="4" t="inlineStr">
        <is>
          <t>American</t>
        </is>
      </c>
      <c r="E94" s="2" t="n">
        <v>6</v>
      </c>
      <c r="F94" s="2" t="n">
        <v>10</v>
      </c>
      <c r="G94" s="2" t="n">
        <v>22</v>
      </c>
      <c r="H94" s="2" t="n">
        <v>32</v>
      </c>
      <c r="I94" s="4" t="inlineStr">
        <is>
          <t>blueberry-lemon-protein-muffins.jpg</t>
        </is>
      </c>
      <c r="J94" s="3" t="inlineStr">
        <is>
          <t>Blueberry Lemon Protein Muffins, healthy food photography, plated, natural light</t>
        </is>
      </c>
      <c r="K94" s="4" t="inlineStr"/>
      <c r="L94" s="3" t="inlineStr">
        <is>
          <t>Almond flour — 180 g (6.3 oz)
Whey protein powder, unsweetened — 40 g (1.4 oz)
Egg, large (50 g each) — 150 g (5.3 oz) [3 large eggs]
Greek yogurt, plain 2% — 120 g (4.2 oz)
Blueberries — 120 g (4.2 oz)
Lemon (with juice &amp; zest) — 40 g (1.4 oz) [zest + juice]
Baking powder — 5 g (0.2 oz)
Monk fruit/erythritol sweetener — 30 g (1.1 oz)
Coconut oil — 20 g (0.7 oz)</t>
        </is>
      </c>
      <c r="M94" s="4" t="inlineStr">
        <is>
          <t>[{"ingredient_id": "almond_flour", "name": "Almond flour", "grams": 180.0, "note": ""}, {"ingredient_id": "whey_protein", "name": "Whey protein powder, unsweetened", "grams": 40.0, "note": ""}, {"ingredient_id": "egg", "name": "Egg, large (50 g each)", "grams": 150.0, "note": "3 large eggs"}, {"ingredient_id": "greek_yogurt", "name": "Greek yogurt, plain 2%", "grams": 120.0, "note": ""}, {"ingredient_id": "blueberries", "name": "Blueberries", "grams": 120.0, "note": ""}, {"ingredient_id": "lemon", "name": "Lemon (with juice &amp; zest)", "grams": 40.0, "note": "zest + juice"}, {"ingredient_id": "baking_powder", "name": "Baking powder", "grams": 5.0, "note": ""}, {"ingredient_id": "monk_fruit_sweetener", "name": "Monk fruit/erythritol sweetener", "grams": 30.0, "note": ""}, {"ingredient_id": "coconut_oil", "name": "Coconut oil", "grams": 20.0, "note": ""}]</t>
        </is>
      </c>
      <c r="N94" s="2" t="n">
        <v>295</v>
      </c>
      <c r="O94" s="5" t="n">
        <v>16.9</v>
      </c>
      <c r="P94" s="5" t="n">
        <v>21.5</v>
      </c>
      <c r="Q94" s="5" t="n">
        <v>11.6</v>
      </c>
      <c r="R94" s="5" t="n">
        <v>4.3</v>
      </c>
      <c r="S94" s="5" t="n">
        <v>7.2</v>
      </c>
      <c r="T94" s="2" t="n">
        <v>28</v>
      </c>
      <c r="U94" s="2" t="inlineStr">
        <is>
          <t>low</t>
        </is>
      </c>
      <c r="V94" s="5" t="n">
        <v>2</v>
      </c>
      <c r="W94" s="2" t="inlineStr">
        <is>
          <t>low</t>
        </is>
      </c>
      <c r="X94" s="3" t="inlineStr"/>
      <c r="Y94" s="3" t="inlineStr">
        <is>
          <t>51% of this dish's available carbohydrate comes from ingredients with a published, measured GI; the rest uses conventional placeholders (see Ingredients sheet)</t>
        </is>
      </c>
      <c r="Z94" s="2" t="n">
        <v>51</v>
      </c>
      <c r="AA94" s="3" t="inlineStr">
        <is>
          <t>vegetarian, gluten-free, low-carb, make-ahead</t>
        </is>
      </c>
      <c r="AB94" s="3" t="inlineStr">
        <is>
          <t>1. Preheat oven to 350°F and line 12 muffin cups.
2. Whisk eggs, yogurt, melted coconut oil, lemon zest and juice; stir in almond flour, protein, baking powder and sweetener.
3. Fold in blueberries and divide among cups.
4. Bake 20–22 minutes; cool before storing.</t>
        </is>
      </c>
      <c r="AC94" s="4" t="inlineStr">
        <is>
          <t>["Preheat oven to 350°F and line 12 muffin cups.", "Whisk eggs, yogurt, melted coconut oil, lemon zest and juice; stir in almond flour, protein, baking powder and sweetener.", "Fold in blueberries and divide among cups.", "Bake 20–22 minutes; cool before storing."]</t>
        </is>
      </c>
    </row>
    <row r="95" ht="96" customHeight="1">
      <c r="A95" s="2" t="inlineStr">
        <is>
          <t>DB-0094</t>
        </is>
      </c>
      <c r="B95" s="3" t="inlineStr">
        <is>
          <t>Wild Mushroom &amp; Thyme Scramble</t>
        </is>
      </c>
      <c r="C95" s="4" t="inlineStr">
        <is>
          <t>Breakfast</t>
        </is>
      </c>
      <c r="D95" s="4" t="inlineStr">
        <is>
          <t>American</t>
        </is>
      </c>
      <c r="E95" s="2" t="n">
        <v>2</v>
      </c>
      <c r="F95" s="2" t="n">
        <v>5</v>
      </c>
      <c r="G95" s="2" t="n">
        <v>10</v>
      </c>
      <c r="H95" s="2" t="n">
        <v>15</v>
      </c>
      <c r="I95" s="4" t="inlineStr">
        <is>
          <t>wild-mushroom-and-thyme-scramble.jpg</t>
        </is>
      </c>
      <c r="J95" s="3" t="inlineStr">
        <is>
          <t>Wild Mushroom &amp; Thyme Scramble, healthy food photography, plated, natural light</t>
        </is>
      </c>
      <c r="K95" s="4" t="inlineStr"/>
      <c r="L95" s="3" t="inlineStr">
        <is>
          <t>Egg, large (50 g each) — 200 g (7.1 oz) [4 large eggs]
Shiitake mushrooms — 100 g (3.5 oz)
Mushrooms (cremini/white) — 100 g (3.5 oz)
Fresh thyme — 2 g (0.1 oz)
Garlic — 5 g (0.2 oz)
Extra-virgin olive oil — 12 g (0.4 oz)
Parmesan, grated — 20 g (0.7 oz)
Salt — 1 g (0.0 oz)</t>
        </is>
      </c>
      <c r="M95" s="4" t="inlineStr">
        <is>
          <t>[{"ingredient_id": "egg", "name": "Egg, large (50 g each)", "grams": 200.0, "note": "4 large eggs"}, {"ingredient_id": "shiitake", "name": "Shiitake mushrooms", "grams": 100.0, "note": ""}, {"ingredient_id": "mushrooms", "name": "Mushrooms (cremini/white)", "grams": 100.0, "note": ""}, {"ingredient_id": "thyme", "name": "Fresh thyme", "grams": 2.0, "note": ""}, {"ingredient_id": "garlic", "name": "Garlic", "grams": 5.0, "note": ""}, {"ingredient_id": "olive_oil", "name": "Extra-virgin olive oil", "grams": 12.0, "note": ""}, {"ingredient_id": "parmesan", "name": "Parmesan, grated", "grams": 20.0, "note": ""}, {"ingredient_id": "salt", "name": "Salt", "grams": 1.0, "note": ""}]</t>
        </is>
      </c>
      <c r="N95" s="2" t="n">
        <v>272</v>
      </c>
      <c r="O95" s="5" t="n">
        <v>19.3</v>
      </c>
      <c r="P95" s="5" t="n">
        <v>18.8</v>
      </c>
      <c r="Q95" s="5" t="n">
        <v>7.2</v>
      </c>
      <c r="R95" s="5" t="n">
        <v>1.9</v>
      </c>
      <c r="S95" s="5" t="n">
        <v>5.3</v>
      </c>
      <c r="T95" s="2" t="n">
        <v>14</v>
      </c>
      <c r="U95" s="2" t="inlineStr">
        <is>
          <t>low</t>
        </is>
      </c>
      <c r="V95" s="5" t="n">
        <v>0.7</v>
      </c>
      <c r="W95" s="2" t="inlineStr">
        <is>
          <t>low</t>
        </is>
      </c>
      <c r="X95" s="3" t="inlineStr"/>
      <c r="Y95" s="3" t="inlineStr">
        <is>
          <t>0% of this dish's available carbohydrate comes from ingredients with a published, measured GI; the rest uses conventional placeholders (see Ingredients sheet)</t>
        </is>
      </c>
      <c r="Z95" s="2" t="n">
        <v>0</v>
      </c>
      <c r="AA95" s="3" t="inlineStr">
        <is>
          <t>vegetarian, gluten-free, nut-free, low-carb, quick</t>
        </is>
      </c>
      <c r="AB95" s="3" t="inlineStr">
        <is>
          <t>1. Sear mushrooms in olive oil over high heat until browned, 5 minutes; add garlic and thyme.
2. Lower heat, add whisked eggs and scramble gently.
3. Finish with parmesan and salt.</t>
        </is>
      </c>
      <c r="AC95" s="4" t="inlineStr">
        <is>
          <t>["Sear mushrooms in olive oil over high heat until browned, 5 minutes; add garlic and thyme.", "Lower heat, add whisked eggs and scramble gently.", "Finish with parmesan and salt."]</t>
        </is>
      </c>
    </row>
    <row r="96" ht="96" customHeight="1">
      <c r="A96" s="2" t="inlineStr">
        <is>
          <t>DB-0095</t>
        </is>
      </c>
      <c r="B96" s="3" t="inlineStr">
        <is>
          <t>Cinnamon Roll Overnight Oats</t>
        </is>
      </c>
      <c r="C96" s="4" t="inlineStr">
        <is>
          <t>Breakfast</t>
        </is>
      </c>
      <c r="D96" s="4" t="inlineStr">
        <is>
          <t>American</t>
        </is>
      </c>
      <c r="E96" s="2" t="n">
        <v>1</v>
      </c>
      <c r="F96" s="2" t="n">
        <v>5</v>
      </c>
      <c r="G96" s="2" t="n">
        <v>0</v>
      </c>
      <c r="H96" s="2" t="n">
        <v>5</v>
      </c>
      <c r="I96" s="4" t="inlineStr">
        <is>
          <t>cinnamon-roll-overnight-oats.jpg</t>
        </is>
      </c>
      <c r="J96" s="3" t="inlineStr">
        <is>
          <t>Cinnamon Roll Overnight Oats, healthy food photography, plated, natural light</t>
        </is>
      </c>
      <c r="K96" s="4" t="inlineStr"/>
      <c r="L96" s="3" t="inlineStr">
        <is>
          <t>Rolled oats, dry — 40 g (1.4 oz)
Almond milk, unsweetened — 160 g (5.6 oz)
Greek yogurt, plain 2% — 80 g (2.8 oz)
Ground cinnamon — 3 g (0.1 oz)
Vanilla extract — 3 g (0.1 oz)
Monk fruit/erythritol sweetener — 6 g (0.2 oz)
Cream cheese — 15 g (0.5 oz)
Pecans — 12 g (0.4 oz)</t>
        </is>
      </c>
      <c r="M96" s="4" t="inlineStr">
        <is>
          <t>[{"ingredient_id": "rolled_oats", "name": "Rolled oats, dry", "grams": 40.0, "note": ""}, {"ingredient_id": "almond_milk", "name": "Almond milk, unsweetened", "grams": 160.0, "note": ""}, {"ingredient_id": "greek_yogurt", "name": "Greek yogurt, plain 2%", "grams": 80.0, "note": ""}, {"ingredient_id": "cinnamon", "name": "Ground cinnamon", "grams": 3.0, "note": ""}, {"ingredient_id": "vanilla_extract", "name": "Vanilla extract", "grams": 3.0, "note": ""}, {"ingredient_id": "monk_fruit_sweetener", "name": "Monk fruit/erythritol sweetener", "grams": 6.0, "note": ""}, {"ingredient_id": "cream_cheese", "name": "Cream cheese", "grams": 15.0, "note": ""}, {"ingredient_id": "pecans", "name": "Pecans", "grams": 12.0, "note": ""}]</t>
        </is>
      </c>
      <c r="N96" s="2" t="n">
        <v>384</v>
      </c>
      <c r="O96" s="5" t="n">
        <v>16.3</v>
      </c>
      <c r="P96" s="5" t="n">
        <v>19.9</v>
      </c>
      <c r="Q96" s="5" t="n">
        <v>36.5</v>
      </c>
      <c r="R96" s="5" t="n">
        <v>6.7</v>
      </c>
      <c r="S96" s="5" t="n">
        <v>29.7</v>
      </c>
      <c r="T96" s="2" t="n">
        <v>47</v>
      </c>
      <c r="U96" s="2" t="inlineStr">
        <is>
          <t>low</t>
        </is>
      </c>
      <c r="V96" s="5" t="n">
        <v>14</v>
      </c>
      <c r="W96" s="2" t="inlineStr">
        <is>
          <t>medium</t>
        </is>
      </c>
      <c r="X96" s="3" t="inlineStr"/>
      <c r="Y96" s="3" t="inlineStr">
        <is>
          <t>89% of this dish's available carbohydrate comes from ingredients with a published, measured GI; the rest uses conventional placeholders (see Ingredients sheet)</t>
        </is>
      </c>
      <c r="Z96" s="2" t="n">
        <v>89</v>
      </c>
      <c r="AA96" s="3" t="inlineStr">
        <is>
          <t>vegetarian, no-cook, make-ahead</t>
        </is>
      </c>
      <c r="AB96" s="3" t="inlineStr">
        <is>
          <t>1. Stir oats, almond milk, half the yogurt, cinnamon, vanilla and sweetener; refrigerate overnight.
2. Whip cream cheese with the remaining yogurt for a 'frosting'.
3. Swirl the frosting over the oats and top with pecans.</t>
        </is>
      </c>
      <c r="AC96" s="4" t="inlineStr">
        <is>
          <t>["Stir oats, almond milk, half the yogurt, cinnamon, vanilla and sweetener; refrigerate overnight.", "Whip cream cheese with the remaining yogurt for a 'frosting'.", "Swirl the frosting over the oats and top with pecans."]</t>
        </is>
      </c>
    </row>
    <row r="97" ht="96" customHeight="1">
      <c r="A97" s="2" t="inlineStr">
        <is>
          <t>DB-0096</t>
        </is>
      </c>
      <c r="B97" s="3" t="inlineStr">
        <is>
          <t>Egg Foo Young Breakfast Patties</t>
        </is>
      </c>
      <c r="C97" s="4" t="inlineStr">
        <is>
          <t>Breakfast</t>
        </is>
      </c>
      <c r="D97" s="4" t="inlineStr">
        <is>
          <t>Chinese-American</t>
        </is>
      </c>
      <c r="E97" s="2" t="n">
        <v>2</v>
      </c>
      <c r="F97" s="2" t="n">
        <v>10</v>
      </c>
      <c r="G97" s="2" t="n">
        <v>12</v>
      </c>
      <c r="H97" s="2" t="n">
        <v>22</v>
      </c>
      <c r="I97" s="4" t="inlineStr">
        <is>
          <t>egg-foo-young-breakfast-patties.jpg</t>
        </is>
      </c>
      <c r="J97" s="3" t="inlineStr">
        <is>
          <t>Egg Foo Young Breakfast Patties, healthy food photography, plated, natural light</t>
        </is>
      </c>
      <c r="K97" s="4" t="inlineStr"/>
      <c r="L97" s="3" t="inlineStr">
        <is>
          <t>Egg, large (50 g each) — 250 g (8.8 oz) [5 large eggs]
Mung bean sprouts — 100 g (3.5 oz)
Green onions (scallions) — 30 g (1.1 oz)
Mushrooms (cremini/white) — 60 g (2.1 oz)
Shrimp, peeled — 100 g (3.5 oz)
Tamari (gluten-free soy sauce) — 10 g (0.4 oz)
Toasted sesame oil — 5 g (0.2 oz)
Avocado oil — 10 g (0.4 oz)</t>
        </is>
      </c>
      <c r="M97" s="4" t="inlineStr">
        <is>
          <t>[{"ingredient_id": "egg", "name": "Egg, large (50 g each)", "grams": 250.0, "note": "5 large eggs"}, {"ingredient_id": "bean_sprouts", "name": "Mung bean sprouts", "grams": 100.0, "note": ""}, {"ingredient_id": "green_onion", "name": "Green onions (scallions)", "grams": 30.0, "note": ""}, {"ingredient_id": "mushrooms", "name": "Mushrooms (cremini/white)", "grams": 60.0, "note": ""}, {"ingredient_id": "shrimp", "name": "Shrimp, peeled", "grams": 100.0, "note": ""}, {"ingredient_id": "tamari", "name": "Tamari (gluten-free soy sauce)", "grams": 10.0, "note": ""}, {"ingredient_id": "sesame_oil", "name": "Toasted sesame oil", "grams": 5.0, "note": ""}, {"ingredient_id": "avocado_oil", "name": "Avocado oil", "grams": 10.0, "note": ""}]</t>
        </is>
      </c>
      <c r="N97" s="2" t="n">
        <v>317</v>
      </c>
      <c r="O97" s="5" t="n">
        <v>28.9</v>
      </c>
      <c r="P97" s="5" t="n">
        <v>19.8</v>
      </c>
      <c r="Q97" s="5" t="n">
        <v>6.2</v>
      </c>
      <c r="R97" s="5" t="n">
        <v>1.6</v>
      </c>
      <c r="S97" s="5" t="n">
        <v>4.6</v>
      </c>
      <c r="T97" s="2" t="n">
        <v>12</v>
      </c>
      <c r="U97" s="2" t="inlineStr">
        <is>
          <t>low</t>
        </is>
      </c>
      <c r="V97" s="5" t="n">
        <v>0.5</v>
      </c>
      <c r="W97" s="2" t="inlineStr">
        <is>
          <t>low</t>
        </is>
      </c>
      <c r="X97" s="3" t="inlineStr">
        <is>
          <t>Negligible carbohydrate (&lt;5 g net/serving): GI has little practical meaning, glycemic load is what matters.</t>
        </is>
      </c>
      <c r="Y97" s="3" t="inlineStr">
        <is>
          <t>0% of this dish's available carbohydrate comes from ingredients with a published, measured GI; the rest uses conventional placeholders (see Ingredients sheet)</t>
        </is>
      </c>
      <c r="Z97" s="2" t="n">
        <v>0</v>
      </c>
      <c r="AA97" s="3" t="inlineStr">
        <is>
          <t>pescatarian, gluten-free, dairy-free, nut-free, low-carb, high-protein, quick</t>
        </is>
      </c>
      <c r="AB97" s="3" t="inlineStr">
        <is>
          <t>1. Mix eggs with sprouts, green onion, chopped mushrooms, chopped shrimp, tamari and sesame oil.
2. Ladle 1/2-cup portions into a hot oiled skillet and cook 3 minutes per side.
3. Serve with extra tamari.</t>
        </is>
      </c>
      <c r="AC97" s="4" t="inlineStr">
        <is>
          <t>["Mix eggs with sprouts, green onion, chopped mushrooms, chopped shrimp, tamari and sesame oil.", "Ladle 1/2-cup portions into a hot oiled skillet and cook 3 minutes per side.", "Serve with extra tamari."]</t>
        </is>
      </c>
    </row>
    <row r="98" ht="96" customHeight="1">
      <c r="A98" s="2" t="inlineStr">
        <is>
          <t>DB-0097</t>
        </is>
      </c>
      <c r="B98" s="3" t="inlineStr">
        <is>
          <t>Hemp Seed Protein Porridge</t>
        </is>
      </c>
      <c r="C98" s="4" t="inlineStr">
        <is>
          <t>Breakfast</t>
        </is>
      </c>
      <c r="D98" s="4" t="inlineStr">
        <is>
          <t>American</t>
        </is>
      </c>
      <c r="E98" s="2" t="n">
        <v>1</v>
      </c>
      <c r="F98" s="2" t="n">
        <v>3</v>
      </c>
      <c r="G98" s="2" t="n">
        <v>5</v>
      </c>
      <c r="H98" s="2" t="n">
        <v>8</v>
      </c>
      <c r="I98" s="4" t="inlineStr">
        <is>
          <t>hemp-seed-protein-porridge.jpg</t>
        </is>
      </c>
      <c r="J98" s="3" t="inlineStr">
        <is>
          <t>Hemp Seed Protein Porridge, healthy food photography, plated, natural light</t>
        </is>
      </c>
      <c r="K98" s="4" t="inlineStr"/>
      <c r="L98" s="3" t="inlineStr">
        <is>
          <t>Hemp seeds — 30 g (1.1 oz)
Ground flaxseed — 15 g (0.5 oz)
Chia seeds — 10 g (0.4 oz)
Almond milk, unsweetened — 250 g (8.8 oz)
Ground cinnamon — 2 g (0.1 oz)
Blackberries — 60 g (2.1 oz)
Stevia (liquid) — 1 g (0.0 oz)</t>
        </is>
      </c>
      <c r="M98" s="4" t="inlineStr">
        <is>
          <t>[{"ingredient_id": "hemp_seeds", "name": "Hemp seeds", "grams": 30.0, "note": ""}, {"ingredient_id": "flaxseed", "name": "Ground flaxseed", "grams": 15.0, "note": ""}, {"ingredient_id": "chia_seeds", "name": "Chia seeds", "grams": 10.0, "note": ""}, {"ingredient_id": "almond_milk", "name": "Almond milk, unsweetened", "grams": 250.0, "note": ""}, {"ingredient_id": "cinnamon", "name": "Ground cinnamon", "grams": 2.0, "note": ""}, {"ingredient_id": "blackberries", "name": "Blackberries", "grams": 60.0, "note": ""}, {"ingredient_id": "stevia", "name": "Stevia (liquid)", "grams": 1.0, "note": ""}]</t>
        </is>
      </c>
      <c r="N98" s="2" t="n">
        <v>363</v>
      </c>
      <c r="O98" s="5" t="n">
        <v>16.4</v>
      </c>
      <c r="P98" s="5" t="n">
        <v>27.4</v>
      </c>
      <c r="Q98" s="5" t="n">
        <v>20</v>
      </c>
      <c r="R98" s="5" t="n">
        <v>12.9</v>
      </c>
      <c r="S98" s="5" t="n">
        <v>7.1</v>
      </c>
      <c r="T98" s="2" t="n">
        <v>20</v>
      </c>
      <c r="U98" s="2" t="inlineStr">
        <is>
          <t>low</t>
        </is>
      </c>
      <c r="V98" s="5" t="n">
        <v>1.4</v>
      </c>
      <c r="W98" s="2" t="inlineStr">
        <is>
          <t>low</t>
        </is>
      </c>
      <c r="X98" s="3" t="inlineStr"/>
      <c r="Y98" s="3" t="inlineStr">
        <is>
          <t>0% of this dish's available carbohydrate comes from ingredients with a published, measured GI; the rest uses conventional placeholders (see Ingredients sheet)</t>
        </is>
      </c>
      <c r="Z98" s="2" t="n">
        <v>0</v>
      </c>
      <c r="AA98" s="3" t="inlineStr">
        <is>
          <t>vegan, gluten-free, dairy-free, low-carb, high-fiber, quick</t>
        </is>
      </c>
      <c r="AB98" s="3" t="inlineStr">
        <is>
          <t>1. Combine hemp, flax, chia and almond milk in a small pot.
2. Simmer 3–4 minutes, stirring, until thick.
3. Add cinnamon and stevia; top with blackberries.</t>
        </is>
      </c>
      <c r="AC98" s="4" t="inlineStr">
        <is>
          <t>["Combine hemp, flax, chia and almond milk in a small pot.", "Simmer 3–4 minutes, stirring, until thick.", "Add cinnamon and stevia; top with blackberries."]</t>
        </is>
      </c>
    </row>
    <row r="99" ht="96" customHeight="1">
      <c r="A99" s="2" t="inlineStr">
        <is>
          <t>DB-0098</t>
        </is>
      </c>
      <c r="B99" s="3" t="inlineStr">
        <is>
          <t>Ham &amp; Cheese Egg Roll-Ups</t>
        </is>
      </c>
      <c r="C99" s="4" t="inlineStr">
        <is>
          <t>Breakfast</t>
        </is>
      </c>
      <c r="D99" s="4" t="inlineStr">
        <is>
          <t>American</t>
        </is>
      </c>
      <c r="E99" s="2" t="n">
        <v>2</v>
      </c>
      <c r="F99" s="2" t="n">
        <v>5</v>
      </c>
      <c r="G99" s="2" t="n">
        <v>8</v>
      </c>
      <c r="H99" s="2" t="n">
        <v>13</v>
      </c>
      <c r="I99" s="4" t="inlineStr">
        <is>
          <t>ham-and-cheese-egg-roll-ups.jpg</t>
        </is>
      </c>
      <c r="J99" s="3" t="inlineStr">
        <is>
          <t>Ham &amp; Cheese Egg Roll-Ups, healthy food photography, plated, natural light</t>
        </is>
      </c>
      <c r="K99" s="4" t="inlineStr"/>
      <c r="L99" s="3" t="inlineStr">
        <is>
          <t>Egg, large (50 g each) — 200 g (7.1 oz) [4 large eggs]
Ham, lean — 80 g (2.8 oz)
Swiss cheese — 40 g (1.4 oz)
Spinach — 40 g (1.4 oz)
Dijon mustard — 8 g (0.3 oz)
Extra-virgin olive oil — 6 g (0.2 oz)</t>
        </is>
      </c>
      <c r="M99" s="4" t="inlineStr">
        <is>
          <t>[{"ingredient_id": "egg", "name": "Egg, large (50 g each)", "grams": 200.0, "note": "4 large eggs"}, {"ingredient_id": "ham", "name": "Ham, lean", "grams": 80.0, "note": ""}, {"ingredient_id": "swiss_cheese", "name": "Swiss cheese", "grams": 40.0, "note": ""}, {"ingredient_id": "spinach", "name": "Spinach", "grams": 40.0, "note": ""}, {"ingredient_id": "dijon", "name": "Dijon mustard", "grams": 8.0, "note": ""}, {"ingredient_id": "olive_oil", "name": "Extra-virgin olive oil", "grams": 6.0, "note": ""}]</t>
        </is>
      </c>
      <c r="N99" s="2" t="n">
        <v>311</v>
      </c>
      <c r="O99" s="5" t="n">
        <v>27.1</v>
      </c>
      <c r="P99" s="5" t="n">
        <v>20.7</v>
      </c>
      <c r="Q99" s="5" t="n">
        <v>2.5</v>
      </c>
      <c r="R99" s="5" t="n">
        <v>0.6</v>
      </c>
      <c r="S99" s="5" t="n">
        <v>2</v>
      </c>
      <c r="T99" s="2" t="n">
        <v>3</v>
      </c>
      <c r="U99" s="2" t="inlineStr">
        <is>
          <t>low</t>
        </is>
      </c>
      <c r="V99" s="5" t="n">
        <v>0.1</v>
      </c>
      <c r="W99" s="2" t="inlineStr">
        <is>
          <t>low</t>
        </is>
      </c>
      <c r="X99" s="3" t="inlineStr">
        <is>
          <t>Negligible carbohydrate (&lt;5 g net/serving): GI has little practical meaning, glycemic load is what matters.</t>
        </is>
      </c>
      <c r="Y99" s="3" t="inlineStr">
        <is>
          <t>0% of this dish's available carbohydrate comes from ingredients with a published, measured GI; the rest uses conventional placeholders (see Ingredients sheet)</t>
        </is>
      </c>
      <c r="Z99" s="2" t="n">
        <v>0</v>
      </c>
      <c r="AA99" s="3" t="inlineStr">
        <is>
          <t>gluten-free, nut-free, low-carb, high-protein, quick</t>
        </is>
      </c>
      <c r="AB99" s="3" t="inlineStr">
        <is>
          <t>1. Cook eggs as two thin omelets in olive oil.
2. Spread each with Dijon, layer ham, cheese and spinach.
3. Roll up tightly, slice into pinwheels.</t>
        </is>
      </c>
      <c r="AC99" s="4" t="inlineStr">
        <is>
          <t>["Cook eggs as two thin omelets in olive oil.", "Spread each with Dijon, layer ham, cheese and spinach.", "Roll up tightly, slice into pinwheels."]</t>
        </is>
      </c>
    </row>
    <row r="100" ht="96" customHeight="1">
      <c r="A100" s="2" t="inlineStr">
        <is>
          <t>DB-0099</t>
        </is>
      </c>
      <c r="B100" s="3" t="inlineStr">
        <is>
          <t>Walnut Yogurt with Cinnamon Apples</t>
        </is>
      </c>
      <c r="C100" s="4" t="inlineStr">
        <is>
          <t>Breakfast</t>
        </is>
      </c>
      <c r="D100" s="4" t="inlineStr">
        <is>
          <t>American</t>
        </is>
      </c>
      <c r="E100" s="2" t="n">
        <v>1</v>
      </c>
      <c r="F100" s="2" t="n">
        <v>5</v>
      </c>
      <c r="G100" s="2" t="n">
        <v>5</v>
      </c>
      <c r="H100" s="2" t="n">
        <v>10</v>
      </c>
      <c r="I100" s="4" t="inlineStr">
        <is>
          <t>walnut-yogurt-with-cinnamon-apples.jpg</t>
        </is>
      </c>
      <c r="J100" s="3" t="inlineStr">
        <is>
          <t>Walnut Yogurt with Cinnamon Apples, healthy food photography, plated, natural light</t>
        </is>
      </c>
      <c r="K100" s="4" t="inlineStr"/>
      <c r="L100" s="3" t="inlineStr">
        <is>
          <t>Greek yogurt, plain 2% — 200 g (7.1 oz)
Apple — 100 g (3.5 oz)
Walnuts — 20 g (0.7 oz)
Ground cinnamon — 2 g (0.1 oz)
Butter — 5 g (0.2 oz)
Vanilla extract — 1 g (0.0 oz)</t>
        </is>
      </c>
      <c r="M100" s="4" t="inlineStr">
        <is>
          <t>[{"ingredient_id": "greek_yogurt", "name": "Greek yogurt, plain 2%", "grams": 200.0, "note": ""}, {"ingredient_id": "apple", "name": "Apple", "grams": 100.0, "note": ""}, {"ingredient_id": "walnuts", "name": "Walnuts", "grams": 20.0, "note": ""}, {"ingredient_id": "cinnamon", "name": "Ground cinnamon", "grams": 2.0, "note": ""}, {"ingredient_id": "butter", "name": "Butter", "grams": 5.0, "note": ""}, {"ingredient_id": "vanilla_extract", "name": "Vanilla extract", "grams": 1.0, "note": ""}]</t>
        </is>
      </c>
      <c r="N100" s="2" t="n">
        <v>372</v>
      </c>
      <c r="O100" s="5" t="n">
        <v>23.4</v>
      </c>
      <c r="P100" s="5" t="n">
        <v>21.3</v>
      </c>
      <c r="Q100" s="5" t="n">
        <v>26.5</v>
      </c>
      <c r="R100" s="5" t="n">
        <v>4.8</v>
      </c>
      <c r="S100" s="5" t="n">
        <v>21.7</v>
      </c>
      <c r="T100" s="2" t="n">
        <v>24</v>
      </c>
      <c r="U100" s="2" t="inlineStr">
        <is>
          <t>low</t>
        </is>
      </c>
      <c r="V100" s="5" t="n">
        <v>5.2</v>
      </c>
      <c r="W100" s="2" t="inlineStr">
        <is>
          <t>low</t>
        </is>
      </c>
      <c r="X100" s="3" t="inlineStr"/>
      <c r="Y100" s="3" t="inlineStr">
        <is>
          <t>90% of this dish's available carbohydrate comes from ingredients with a published, measured GI; the rest uses conventional placeholders (see Ingredients sheet)</t>
        </is>
      </c>
      <c r="Z100" s="2" t="n">
        <v>90</v>
      </c>
      <c r="AA100" s="3" t="inlineStr">
        <is>
          <t>vegetarian, gluten-free, quick</t>
        </is>
      </c>
      <c r="AB100" s="3" t="inlineStr">
        <is>
          <t>1. Sauté diced apple in butter with cinnamon 4 minutes until tender.
2. Stir vanilla into the yogurt.
3. Top with warm apples and walnuts.</t>
        </is>
      </c>
      <c r="AC100" s="4" t="inlineStr">
        <is>
          <t>["Sauté diced apple in butter with cinnamon 4 minutes until tender.", "Stir vanilla into the yogurt.", "Top with warm apples and walnuts."]</t>
        </is>
      </c>
    </row>
    <row r="101" ht="96" customHeight="1">
      <c r="A101" s="2" t="inlineStr">
        <is>
          <t>DB-0100</t>
        </is>
      </c>
      <c r="B101" s="3" t="inlineStr">
        <is>
          <t>Southwest Tofu Breakfast Tacos</t>
        </is>
      </c>
      <c r="C101" s="4" t="inlineStr">
        <is>
          <t>Breakfast</t>
        </is>
      </c>
      <c r="D101" s="4" t="inlineStr">
        <is>
          <t>Tex-Mex</t>
        </is>
      </c>
      <c r="E101" s="2" t="n">
        <v>2</v>
      </c>
      <c r="F101" s="2" t="n">
        <v>10</v>
      </c>
      <c r="G101" s="2" t="n">
        <v>10</v>
      </c>
      <c r="H101" s="2" t="n">
        <v>20</v>
      </c>
      <c r="I101" s="4" t="inlineStr">
        <is>
          <t>southwest-tofu-breakfast-tacos.jpg</t>
        </is>
      </c>
      <c r="J101" s="3" t="inlineStr">
        <is>
          <t>Southwest Tofu Breakfast Tacos, healthy food photography, plated, natural light</t>
        </is>
      </c>
      <c r="K101" s="4" t="inlineStr"/>
      <c r="L101" s="3" t="inlineStr">
        <is>
          <t>Tofu, extra-firm — 250 g (8.8 oz)
Corn tortilla — 100 g (3.5 oz) [4 small tortillas]
Black beans, cooked — 80 g (2.8 oz)
Taco seasoning, low sodium — 6 g (0.2 oz)
Avocado — 60 g (2.1 oz)
Salsa, no sugar added — 60 g (2.1 oz)
Fresh cilantro — 5 g (0.2 oz)
Extra-virgin olive oil — 10 g (0.4 oz)
Lime — 20 g (0.7 oz)</t>
        </is>
      </c>
      <c r="M101" s="4" t="inlineStr">
        <is>
          <t>[{"ingredient_id": "tofu", "name": "Tofu, extra-firm", "grams": 250.0, "note": ""}, {"ingredient_id": "corn_tortilla", "name": "Corn tortilla", "grams": 100.0, "note": "4 small tortillas"}, {"ingredient_id": "black_beans", "name": "Black beans, cooked", "grams": 80.0, "note": ""}, {"ingredient_id": "taco_seasoning", "name": "Taco seasoning, low sodium", "grams": 6.0, "note": ""}, {"ingredient_id": "avocado", "name": "Avocado", "grams": 60.0, "note": ""}, {"ingredient_id": "salsa", "name": "Salsa, no sugar added", "grams": 60.0, "note": ""}, {"ingredient_id": "cilantro", "name": "Fresh cilantro", "grams": 5.0, "note": ""}, {"ingredient_id": "olive_oil", "name": "Extra-virgin olive oil", "grams": 10.0, "note": ""}, {"ingredient_id": "lime", "name": "Lime", "grams": 20.0, "note": ""}]</t>
        </is>
      </c>
      <c r="N101" s="2" t="n">
        <v>457</v>
      </c>
      <c r="O101" s="5" t="n">
        <v>29.1</v>
      </c>
      <c r="P101" s="5" t="n">
        <v>22.7</v>
      </c>
      <c r="Q101" s="5" t="n">
        <v>43.2</v>
      </c>
      <c r="R101" s="5" t="n">
        <v>12.7</v>
      </c>
      <c r="S101" s="5" t="n">
        <v>30.5</v>
      </c>
      <c r="T101" s="2" t="n">
        <v>42</v>
      </c>
      <c r="U101" s="2" t="inlineStr">
        <is>
          <t>low</t>
        </is>
      </c>
      <c r="V101" s="5" t="n">
        <v>12.8</v>
      </c>
      <c r="W101" s="2" t="inlineStr">
        <is>
          <t>medium</t>
        </is>
      </c>
      <c r="X101" s="3" t="inlineStr"/>
      <c r="Y101" s="3" t="inlineStr">
        <is>
          <t>83% of this dish's available carbohydrate comes from ingredients with a published, measured GI; the rest uses conventional placeholders (see Ingredients sheet)</t>
        </is>
      </c>
      <c r="Z101" s="2" t="n">
        <v>83</v>
      </c>
      <c r="AA101" s="3" t="inlineStr">
        <is>
          <t>vegan, gluten-free, dairy-free, nut-free, high-protein, high-fiber</t>
        </is>
      </c>
      <c r="AB101" s="3" t="inlineStr">
        <is>
          <t>1. Crumble tofu and cook in olive oil with taco seasoning 6 minutes until golden.
2. Warm beans and tortillas.
3. Fill tortillas with tofu, beans, avocado, salsa, cilantro and lime.</t>
        </is>
      </c>
      <c r="AC101" s="4" t="inlineStr">
        <is>
          <t>["Crumble tofu and cook in olive oil with taco seasoning 6 minutes until golden.", "Warm beans and tortillas.", "Fill tortillas with tofu, beans, avocado, salsa, cilantro and lime."]</t>
        </is>
      </c>
    </row>
    <row r="102" ht="96" customHeight="1">
      <c r="A102" s="2" t="inlineStr">
        <is>
          <t>DB-0101</t>
        </is>
      </c>
      <c r="B102" s="3" t="inlineStr">
        <is>
          <t>Egg White Oatmeal Bowl with Almond Butter</t>
        </is>
      </c>
      <c r="C102" s="4" t="inlineStr">
        <is>
          <t>Breakfast</t>
        </is>
      </c>
      <c r="D102" s="4" t="inlineStr">
        <is>
          <t>American</t>
        </is>
      </c>
      <c r="E102" s="2" t="n">
        <v>1</v>
      </c>
      <c r="F102" s="2" t="n">
        <v>3</v>
      </c>
      <c r="G102" s="2" t="n">
        <v>7</v>
      </c>
      <c r="H102" s="2" t="n">
        <v>10</v>
      </c>
      <c r="I102" s="4" t="inlineStr">
        <is>
          <t>egg-white-oatmeal-bowl-with-almond-butter.jpg</t>
        </is>
      </c>
      <c r="J102" s="3" t="inlineStr">
        <is>
          <t>Egg White Oatmeal Bowl with Almond Butter, healthy food photography, plated, natural light</t>
        </is>
      </c>
      <c r="K102" s="4" t="inlineStr"/>
      <c r="L102" s="3" t="inlineStr">
        <is>
          <t>Rolled oats, dry — 40 g (1.4 oz)
Egg whites — 90 g (3.2 oz) [3 egg whites]
Almond milk, unsweetened — 200 g (7.1 oz)
Almond butter — 12 g (0.4 oz)
Ground cinnamon — 1 g (0.0 oz)
Raspberries — 50 g (1.8 oz)</t>
        </is>
      </c>
      <c r="M102" s="4" t="inlineStr">
        <is>
          <t>[{"ingredient_id": "rolled_oats", "name": "Rolled oats, dry", "grams": 40.0, "note": ""}, {"ingredient_id": "egg_white", "name": "Egg whites", "grams": 90.0, "note": "3 egg whites"}, {"ingredient_id": "almond_milk", "name": "Almond milk, unsweetened", "grams": 200.0, "note": ""}, {"ingredient_id": "almond_butter", "name": "Almond butter", "grams": 12.0, "note": ""}, {"ingredient_id": "cinnamon", "name": "Ground cinnamon", "grams": 1.0, "note": ""}, {"ingredient_id": "raspberries", "name": "Raspberries", "grams": 50.0, "note": ""}]</t>
        </is>
      </c>
      <c r="N102" s="2" t="n">
        <v>331</v>
      </c>
      <c r="O102" s="5" t="n">
        <v>19.5</v>
      </c>
      <c r="P102" s="5" t="n">
        <v>12.3</v>
      </c>
      <c r="Q102" s="5" t="n">
        <v>38.1</v>
      </c>
      <c r="R102" s="5" t="n">
        <v>9</v>
      </c>
      <c r="S102" s="5" t="n">
        <v>29.1</v>
      </c>
      <c r="T102" s="2" t="n">
        <v>50</v>
      </c>
      <c r="U102" s="2" t="inlineStr">
        <is>
          <t>low</t>
        </is>
      </c>
      <c r="V102" s="5" t="n">
        <v>14.6</v>
      </c>
      <c r="W102" s="2" t="inlineStr">
        <is>
          <t>medium</t>
        </is>
      </c>
      <c r="X102" s="3" t="inlineStr"/>
      <c r="Y102" s="3" t="inlineStr">
        <is>
          <t>80% of this dish's available carbohydrate comes from ingredients with a published, measured GI; the rest uses conventional placeholders (see Ingredients sheet)</t>
        </is>
      </c>
      <c r="Z102" s="2" t="n">
        <v>80</v>
      </c>
      <c r="AA102" s="3" t="inlineStr">
        <is>
          <t>vegetarian, dairy-free, high-fiber, quick</t>
        </is>
      </c>
      <c r="AB102" s="3" t="inlineStr">
        <is>
          <t>1. Cook oats in almond milk 4 minutes.
2. Whisk in egg whites vigorously and cook 2 more minutes until fluffy.
3. Top with almond butter, cinnamon and raspberries.</t>
        </is>
      </c>
      <c r="AC102" s="4" t="inlineStr">
        <is>
          <t>["Cook oats in almond milk 4 minutes.", "Whisk in egg whites vigorously and cook 2 more minutes until fluffy.", "Top with almond butter, cinnamon and raspberries."]</t>
        </is>
      </c>
    </row>
    <row r="103" ht="96" customHeight="1">
      <c r="A103" s="2" t="inlineStr">
        <is>
          <t>DB-0102</t>
        </is>
      </c>
      <c r="B103" s="3" t="inlineStr">
        <is>
          <t>Asparagus, Prosciutto &amp; Parmesan Baked Eggs</t>
        </is>
      </c>
      <c r="C103" s="4" t="inlineStr">
        <is>
          <t>Breakfast</t>
        </is>
      </c>
      <c r="D103" s="4" t="inlineStr">
        <is>
          <t>Italian</t>
        </is>
      </c>
      <c r="E103" s="2" t="n">
        <v>2</v>
      </c>
      <c r="F103" s="2" t="n">
        <v>5</v>
      </c>
      <c r="G103" s="2" t="n">
        <v>15</v>
      </c>
      <c r="H103" s="2" t="n">
        <v>20</v>
      </c>
      <c r="I103" s="4" t="inlineStr">
        <is>
          <t>asparagus-prosciutto-and-parmesan-baked-eggs.jpg</t>
        </is>
      </c>
      <c r="J103" s="3" t="inlineStr">
        <is>
          <t>Asparagus, Prosciutto &amp; Parmesan Baked Eggs, healthy food photography, plated, natural light</t>
        </is>
      </c>
      <c r="K103" s="4" t="inlineStr"/>
      <c r="L103" s="3" t="inlineStr">
        <is>
          <t>Egg, large (50 g each) — 200 g (7.1 oz) [4 large eggs]
Asparagus — 200 g (7.1 oz)
Prosciutto — 40 g (1.4 oz)
Parmesan, grated — 20 g (0.7 oz)
Extra-virgin olive oil — 10 g (0.4 oz)
Black pepper — 1 g (0.0 oz)
Lemon (with juice &amp; zest) — 15 g (0.5 oz)</t>
        </is>
      </c>
      <c r="M103" s="4" t="inlineStr">
        <is>
          <t>[{"ingredient_id": "egg", "name": "Egg, large (50 g each)", "grams": 200.0, "note": "4 large eggs"}, {"ingredient_id": "asparagus", "name": "Asparagus", "grams": 200.0, "note": ""}, {"ingredient_id": "prosciutto", "name": "Prosciutto", "grams": 40.0, "note": ""}, {"ingredient_id": "parmesan", "name": "Parmesan, grated", "grams": 20.0, "note": ""}, {"ingredient_id": "olive_oil", "name": "Extra-virgin olive oil", "grams": 10.0, "note": ""}, {"ingredient_id": "black_pepper", "name": "Black pepper", "grams": 1.0, "note": ""}, {"ingredient_id": "lemon", "name": "Lemon (with juice &amp; zest)", "grams": 15.0, "note": ""}]</t>
        </is>
      </c>
      <c r="N103" s="2" t="n">
        <v>304</v>
      </c>
      <c r="O103" s="5" t="n">
        <v>23.9</v>
      </c>
      <c r="P103" s="5" t="n">
        <v>20.7</v>
      </c>
      <c r="Q103" s="5" t="n">
        <v>6</v>
      </c>
      <c r="R103" s="5" t="n">
        <v>2.4</v>
      </c>
      <c r="S103" s="5" t="n">
        <v>3.6</v>
      </c>
      <c r="T103" s="2" t="n">
        <v>11</v>
      </c>
      <c r="U103" s="2" t="inlineStr">
        <is>
          <t>low</t>
        </is>
      </c>
      <c r="V103" s="5" t="n">
        <v>0.4</v>
      </c>
      <c r="W103" s="2" t="inlineStr">
        <is>
          <t>low</t>
        </is>
      </c>
      <c r="X103" s="3" t="inlineStr">
        <is>
          <t>Negligible carbohydrate (&lt;5 g net/serving): GI has little practical meaning, glycemic load is what matters.</t>
        </is>
      </c>
      <c r="Y103" s="3" t="inlineStr">
        <is>
          <t>0% of this dish's available carbohydrate comes from ingredients with a published, measured GI; the rest uses conventional placeholders (see Ingredients sheet)</t>
        </is>
      </c>
      <c r="Z103" s="2" t="n">
        <v>0</v>
      </c>
      <c r="AA103" s="3" t="inlineStr">
        <is>
          <t>gluten-free, nut-free, low-carb</t>
        </is>
      </c>
      <c r="AB103" s="3" t="inlineStr">
        <is>
          <t>1. Preheat oven to 400°F. Toss asparagus with olive oil in a baking dish and roast 8 minutes.
2. Nestle in torn prosciutto, crack eggs over the top and sprinkle with parmesan.
3. Bake 7–8 minutes until whites set; finish with pepper and lemon zest.</t>
        </is>
      </c>
      <c r="AC103" s="4" t="inlineStr">
        <is>
          <t>["Preheat oven to 400°F. Toss asparagus with olive oil in a baking dish and roast 8 minutes.", "Nestle in torn prosciutto, crack eggs over the top and sprinkle with parmesan.", "Bake 7–8 minutes until whites set; finish with pepper and lemon zest."]</t>
        </is>
      </c>
    </row>
    <row r="104" ht="96" customHeight="1">
      <c r="A104" s="2" t="inlineStr">
        <is>
          <t>DB-0103</t>
        </is>
      </c>
      <c r="B104" s="3" t="inlineStr">
        <is>
          <t>Sunrise Veggie Egg White Frittata Muffins</t>
        </is>
      </c>
      <c r="C104" s="4" t="inlineStr">
        <is>
          <t>Breakfast</t>
        </is>
      </c>
      <c r="D104" s="4" t="inlineStr">
        <is>
          <t>American</t>
        </is>
      </c>
      <c r="E104" s="2" t="n">
        <v>6</v>
      </c>
      <c r="F104" s="2" t="n">
        <v>10</v>
      </c>
      <c r="G104" s="2" t="n">
        <v>20</v>
      </c>
      <c r="H104" s="2" t="n">
        <v>30</v>
      </c>
      <c r="I104" s="4" t="inlineStr">
        <is>
          <t>sunrise-veggie-egg-white-frittata-muffins.jpg</t>
        </is>
      </c>
      <c r="J104" s="3" t="inlineStr">
        <is>
          <t>Sunrise Veggie Egg White Frittata Muffins, healthy food photography, plated, natural light</t>
        </is>
      </c>
      <c r="K104" s="4" t="inlineStr"/>
      <c r="L104" s="3" t="inlineStr">
        <is>
          <t>Egg whites — 300 g (10.6 oz) [10 egg whites]
Egg, large (50 g each) — 100 g (3.5 oz) [2 whole eggs]
Zucchini — 120 g (4.2 oz)
Cherry tomatoes — 100 g (3.5 oz)
Spinach — 60 g (2.1 oz)
Feta cheese — 60 g (2.1 oz)
Fresh basil — 8 g (0.3 oz)
Salt — 2 g (0.1 oz)
Extra-virgin olive oil — 5 g (0.2 oz)</t>
        </is>
      </c>
      <c r="M104" s="4" t="inlineStr">
        <is>
          <t>[{"ingredient_id": "egg_white", "name": "Egg whites", "grams": 300.0, "note": "10 egg whites"}, {"ingredient_id": "egg", "name": "Egg, large (50 g each)", "grams": 100.0, "note": "2 whole eggs"}, {"ingredient_id": "zucchini", "name": "Zucchini", "grams": 120.0, "note": ""}, {"ingredient_id": "cherry_tomato", "name": "Cherry tomatoes", "grams": 100.0, "note": ""}, {"ingredient_id": "spinach", "name": "Spinach", "grams": 60.0, "note": ""}, {"ingredient_id": "feta", "name": "Feta cheese", "grams": 60.0, "note": ""}, {"ingredient_id": "basil", "name": "Fresh basil", "grams": 8.0, "note": ""}, {"ingredient_id": "salt", "name": "Salt", "grams": 2.0, "note": ""}, {"ingredient_id": "olive_oil", "name": "Extra-virgin olive oil", "grams": 5.0, "note": ""}]</t>
        </is>
      </c>
      <c r="N104" s="2" t="n">
        <v>93</v>
      </c>
      <c r="O104" s="5" t="n">
        <v>9.699999999999999</v>
      </c>
      <c r="P104" s="5" t="n">
        <v>4.8</v>
      </c>
      <c r="Q104" s="5" t="n">
        <v>2.5</v>
      </c>
      <c r="R104" s="5" t="n">
        <v>0.6</v>
      </c>
      <c r="S104" s="5" t="n">
        <v>1.9</v>
      </c>
      <c r="T104" s="2" t="n">
        <v>8</v>
      </c>
      <c r="U104" s="2" t="inlineStr">
        <is>
          <t>low</t>
        </is>
      </c>
      <c r="V104" s="5" t="n">
        <v>0.2</v>
      </c>
      <c r="W104" s="2" t="inlineStr">
        <is>
          <t>low</t>
        </is>
      </c>
      <c r="X104" s="3" t="inlineStr">
        <is>
          <t>Negligible carbohydrate (&lt;5 g net/serving): GI has little practical meaning, glycemic load is what matters.</t>
        </is>
      </c>
      <c r="Y104" s="3" t="inlineStr">
        <is>
          <t>0% of this dish's available carbohydrate comes from ingredients with a published, measured GI; the rest uses conventional placeholders (see Ingredients sheet)</t>
        </is>
      </c>
      <c r="Z104" s="2" t="n">
        <v>0</v>
      </c>
      <c r="AA104" s="3" t="inlineStr">
        <is>
          <t>vegetarian, gluten-free, nut-free, low-carb, make-ahead, meal-prep</t>
        </is>
      </c>
      <c r="AB104" s="3" t="inlineStr">
        <is>
          <t>1. Preheat oven to 350°F and oil 12 muffin cups.
2. Whisk egg whites and eggs with salt; stir in grated zucchini, halved tomatoes, spinach, feta and basil.
3. Fill cups and bake 18–20 minutes until set.</t>
        </is>
      </c>
      <c r="AC104" s="4" t="inlineStr">
        <is>
          <t>["Preheat oven to 350°F and oil 12 muffin cups.", "Whisk egg whites and eggs with salt; stir in grated zucchini, halved tomatoes, spinach, feta and basil.", "Fill cups and bake 18–20 minutes until set."]</t>
        </is>
      </c>
    </row>
    <row r="105" ht="96" customHeight="1">
      <c r="A105" s="2" t="inlineStr">
        <is>
          <t>DB-0104</t>
        </is>
      </c>
      <c r="B105" s="3" t="inlineStr">
        <is>
          <t>Almond Joy Chia Overnight Oats</t>
        </is>
      </c>
      <c r="C105" s="4" t="inlineStr">
        <is>
          <t>Breakfast</t>
        </is>
      </c>
      <c r="D105" s="4" t="inlineStr">
        <is>
          <t>American</t>
        </is>
      </c>
      <c r="E105" s="2" t="n">
        <v>1</v>
      </c>
      <c r="F105" s="2" t="n">
        <v>5</v>
      </c>
      <c r="G105" s="2" t="n">
        <v>0</v>
      </c>
      <c r="H105" s="2" t="n">
        <v>5</v>
      </c>
      <c r="I105" s="4" t="inlineStr">
        <is>
          <t>almond-joy-chia-overnight-oats.jpg</t>
        </is>
      </c>
      <c r="J105" s="3" t="inlineStr">
        <is>
          <t>Almond Joy Chia Overnight Oats, healthy food photography, plated, natural light</t>
        </is>
      </c>
      <c r="K105" s="4" t="inlineStr"/>
      <c r="L105" s="3" t="inlineStr">
        <is>
          <t>Rolled oats, dry — 35 g (1.2 oz)
Chia seeds — 10 g (0.4 oz)
Almond milk, unsweetened — 180 g (6.3 oz)
Cocoa powder, unsweetened — 6 g (0.2 oz)
Coconut, unsweetened shredded — 8 g (0.3 oz)
Almonds — 12 g (0.4 oz)
Monk fruit/erythritol sweetener — 6 g (0.2 oz)
Greek yogurt, plain 2% — 60 g (2.1 oz)</t>
        </is>
      </c>
      <c r="M105" s="4" t="inlineStr">
        <is>
          <t>[{"ingredient_id": "rolled_oats", "name": "Rolled oats, dry", "grams": 35.0, "note": ""}, {"ingredient_id": "chia_seeds", "name": "Chia seeds", "grams": 10.0, "note": ""}, {"ingredient_id": "almond_milk", "name": "Almond milk, unsweetened", "grams": 180.0, "note": ""}, {"ingredient_id": "cocoa_powder", "name": "Cocoa powder, unsweetened", "grams": 6.0, "note": ""}, {"ingredient_id": "coconut_shredded", "name": "Coconut, unsweetened shredded", "grams": 8.0, "note": ""}, {"ingredient_id": "almonds", "name": "Almonds", "grams": 12.0, "note": ""}, {"ingredient_id": "monk_fruit_sweetener", "name": "Monk fruit/erythritol sweetener", "grams": 6.0, "note": ""}, {"ingredient_id": "greek_yogurt", "name": "Greek yogurt, plain 2%", "grams": 60.0, "note": ""}]</t>
        </is>
      </c>
      <c r="N105" s="2" t="n">
        <v>388</v>
      </c>
      <c r="O105" s="5" t="n">
        <v>17.6</v>
      </c>
      <c r="P105" s="5" t="n">
        <v>20.8</v>
      </c>
      <c r="Q105" s="5" t="n">
        <v>39.5</v>
      </c>
      <c r="R105" s="5" t="n">
        <v>11.7</v>
      </c>
      <c r="S105" s="5" t="n">
        <v>27.9</v>
      </c>
      <c r="T105" s="2" t="n">
        <v>47</v>
      </c>
      <c r="U105" s="2" t="inlineStr">
        <is>
          <t>low</t>
        </is>
      </c>
      <c r="V105" s="5" t="n">
        <v>13.1</v>
      </c>
      <c r="W105" s="2" t="inlineStr">
        <is>
          <t>medium</t>
        </is>
      </c>
      <c r="X105" s="3" t="inlineStr"/>
      <c r="Y105" s="3" t="inlineStr">
        <is>
          <t>81% of this dish's available carbohydrate comes from ingredients with a published, measured GI; the rest uses conventional placeholders (see Ingredients sheet)</t>
        </is>
      </c>
      <c r="Z105" s="2" t="n">
        <v>81</v>
      </c>
      <c r="AA105" s="3" t="inlineStr">
        <is>
          <t>vegetarian, high-fiber, no-cook, make-ahead</t>
        </is>
      </c>
      <c r="AB105" s="3" t="inlineStr">
        <is>
          <t>1. Stir oats, chia, almond milk, cocoa, sweetener and yogurt in a jar.
2. Refrigerate overnight.
3. Top with coconut and chopped almonds.</t>
        </is>
      </c>
      <c r="AC105" s="4" t="inlineStr">
        <is>
          <t>["Stir oats, chia, almond milk, cocoa, sweetener and yogurt in a jar.", "Refrigerate overnight.", "Top with coconut and chopped almonds."]</t>
        </is>
      </c>
    </row>
    <row r="106" ht="96" customHeight="1">
      <c r="A106" s="2" t="inlineStr">
        <is>
          <t>DB-0105</t>
        </is>
      </c>
      <c r="B106" s="3" t="inlineStr">
        <is>
          <t>Cajun Shrimp Omelet</t>
        </is>
      </c>
      <c r="C106" s="4" t="inlineStr">
        <is>
          <t>Breakfast</t>
        </is>
      </c>
      <c r="D106" s="4" t="inlineStr">
        <is>
          <t>Cajun</t>
        </is>
      </c>
      <c r="E106" s="2" t="n">
        <v>1</v>
      </c>
      <c r="F106" s="2" t="n">
        <v>5</v>
      </c>
      <c r="G106" s="2" t="n">
        <v>8</v>
      </c>
      <c r="H106" s="2" t="n">
        <v>13</v>
      </c>
      <c r="I106" s="4" t="inlineStr">
        <is>
          <t>cajun-shrimp-omelet.jpg</t>
        </is>
      </c>
      <c r="J106" s="3" t="inlineStr">
        <is>
          <t>Cajun Shrimp Omelet, healthy food photography, plated, natural light</t>
        </is>
      </c>
      <c r="K106" s="4" t="inlineStr"/>
      <c r="L106" s="3" t="inlineStr">
        <is>
          <t>Egg, large (50 g each) — 150 g (5.3 oz) [3 large eggs]
Shrimp, peeled — 80 g (2.8 oz)
Bell pepper — 40 g (1.4 oz)
Green onions (scallions) — 10 g (0.4 oz)
Cajun seasoning — 2 g (0.1 oz)
Extra-virgin olive oil — 6 g (0.2 oz)
Pepper jack cheese — 20 g (0.7 oz)</t>
        </is>
      </c>
      <c r="M106" s="4" t="inlineStr">
        <is>
          <t>[{"ingredient_id": "egg", "name": "Egg, large (50 g each)", "grams": 150.0, "note": "3 large eggs"}, {"ingredient_id": "shrimp", "name": "Shrimp, peeled", "grams": 80.0, "note": ""}, {"ingredient_id": "bell_pepper", "name": "Bell pepper", "grams": 40.0, "note": ""}, {"ingredient_id": "green_onion", "name": "Green onions (scallions)", "grams": 10.0, "note": ""}, {"ingredient_id": "cajun_seasoning", "name": "Cajun seasoning", "grams": 2.0, "note": ""}, {"ingredient_id": "olive_oil", "name": "Extra-virgin olive oil", "grams": 6.0, "note": ""}, {"ingredient_id": "pepper_jack", "name": "Pepper jack cheese", "grams": 20.0, "note": ""}]</t>
        </is>
      </c>
      <c r="N106" s="2" t="n">
        <v>433</v>
      </c>
      <c r="O106" s="5" t="n">
        <v>40.5</v>
      </c>
      <c r="P106" s="5" t="n">
        <v>26.9</v>
      </c>
      <c r="Q106" s="5" t="n">
        <v>5.6</v>
      </c>
      <c r="R106" s="5" t="n">
        <v>1.6</v>
      </c>
      <c r="S106" s="5" t="n">
        <v>4</v>
      </c>
      <c r="T106" s="2" t="n">
        <v>10</v>
      </c>
      <c r="U106" s="2" t="inlineStr">
        <is>
          <t>low</t>
        </is>
      </c>
      <c r="V106" s="5" t="n">
        <v>0.4</v>
      </c>
      <c r="W106" s="2" t="inlineStr">
        <is>
          <t>low</t>
        </is>
      </c>
      <c r="X106" s="3" t="inlineStr">
        <is>
          <t>Negligible carbohydrate (&lt;5 g net/serving): GI has little practical meaning, glycemic load is what matters.</t>
        </is>
      </c>
      <c r="Y106" s="3" t="inlineStr">
        <is>
          <t>0% of this dish's available carbohydrate comes from ingredients with a published, measured GI; the rest uses conventional placeholders (see Ingredients sheet)</t>
        </is>
      </c>
      <c r="Z106" s="2" t="n">
        <v>0</v>
      </c>
      <c r="AA106" s="3" t="inlineStr">
        <is>
          <t>pescatarian, gluten-free, nut-free, low-carb, high-protein, quick</t>
        </is>
      </c>
      <c r="AB106" s="3" t="inlineStr">
        <is>
          <t>1. Sauté shrimp and pepper with Cajun seasoning in olive oil 3 minutes; remove.
2. Cook whisked eggs until nearly set, add shrimp mix and cheese, fold.
3. Garnish with green onion.</t>
        </is>
      </c>
      <c r="AC106" s="4" t="inlineStr">
        <is>
          <t>["Sauté shrimp and pepper with Cajun seasoning in olive oil 3 minutes; remove.", "Cook whisked eggs until nearly set, add shrimp mix and cheese, fold.", "Garnish with green onion."]</t>
        </is>
      </c>
    </row>
    <row r="107" ht="96" customHeight="1">
      <c r="A107" s="2" t="inlineStr">
        <is>
          <t>DB-0106</t>
        </is>
      </c>
      <c r="B107" s="3" t="inlineStr">
        <is>
          <t>Pear &amp; Walnut Cottage Cheese Bowl</t>
        </is>
      </c>
      <c r="C107" s="4" t="inlineStr">
        <is>
          <t>Breakfast</t>
        </is>
      </c>
      <c r="D107" s="4" t="inlineStr">
        <is>
          <t>American</t>
        </is>
      </c>
      <c r="E107" s="2" t="n">
        <v>1</v>
      </c>
      <c r="F107" s="2" t="n">
        <v>5</v>
      </c>
      <c r="G107" s="2" t="n">
        <v>0</v>
      </c>
      <c r="H107" s="2" t="n">
        <v>5</v>
      </c>
      <c r="I107" s="4" t="inlineStr">
        <is>
          <t>pear-and-walnut-cottage-cheese-bowl.jpg</t>
        </is>
      </c>
      <c r="J107" s="3" t="inlineStr">
        <is>
          <t>Pear &amp; Walnut Cottage Cheese Bowl, healthy food photography, plated, natural light</t>
        </is>
      </c>
      <c r="K107" s="4" t="inlineStr"/>
      <c r="L107" s="3" t="inlineStr">
        <is>
          <t>Cottage cheese, low-fat — 200 g (7.1 oz)
Pear — 120 g (4.2 oz)
Walnuts — 20 g (0.7 oz)
Ground cinnamon — 1 g (0.0 oz)
Hemp seeds — 6 g (0.2 oz)</t>
        </is>
      </c>
      <c r="M107" s="4" t="inlineStr">
        <is>
          <t>[{"ingredient_id": "cottage_cheese", "name": "Cottage cheese, low-fat", "grams": 200.0, "note": ""}, {"ingredient_id": "pear", "name": "Pear", "grams": 120.0, "note": ""}, {"ingredient_id": "walnuts", "name": "Walnuts", "grams": 20.0, "note": ""}, {"ingredient_id": "cinnamon", "name": "Ground cinnamon", "grams": 1.0, "note": ""}, {"ingredient_id": "hemp_seeds", "name": "Hemp seeds", "grams": 6.0, "note": ""}]</t>
        </is>
      </c>
      <c r="N107" s="2" t="n">
        <v>403</v>
      </c>
      <c r="O107" s="5" t="n">
        <v>27.4</v>
      </c>
      <c r="P107" s="5" t="n">
        <v>20.7</v>
      </c>
      <c r="Q107" s="5" t="n">
        <v>30.7</v>
      </c>
      <c r="R107" s="5" t="n">
        <v>5.8</v>
      </c>
      <c r="S107" s="5" t="n">
        <v>24.9</v>
      </c>
      <c r="T107" s="2" t="n">
        <v>21</v>
      </c>
      <c r="U107" s="2" t="inlineStr">
        <is>
          <t>low</t>
        </is>
      </c>
      <c r="V107" s="5" t="n">
        <v>5.2</v>
      </c>
      <c r="W107" s="2" t="inlineStr">
        <is>
          <t>low</t>
        </is>
      </c>
      <c r="X107" s="3" t="inlineStr"/>
      <c r="Y107" s="3" t="inlineStr">
        <is>
          <t>57% of this dish's available carbohydrate comes from ingredients with a published, measured GI; the rest uses conventional placeholders (see Ingredients sheet)</t>
        </is>
      </c>
      <c r="Z107" s="2" t="n">
        <v>57</v>
      </c>
      <c r="AA107" s="3" t="inlineStr">
        <is>
          <t>vegetarian, gluten-free, high-protein, no-cook, quick</t>
        </is>
      </c>
      <c r="AB107" s="3" t="inlineStr">
        <is>
          <t>1. Spoon cottage cheese into a bowl.
2. Top with sliced pear, walnuts and hemp seeds.
3. Dust with cinnamon.</t>
        </is>
      </c>
      <c r="AC107" s="4" t="inlineStr">
        <is>
          <t>["Spoon cottage cheese into a bowl.", "Top with sliced pear, walnuts and hemp seeds.", "Dust with cinnamon."]</t>
        </is>
      </c>
    </row>
    <row r="108" ht="96" customHeight="1">
      <c r="A108" s="2" t="inlineStr">
        <is>
          <t>DB-0107</t>
        </is>
      </c>
      <c r="B108" s="3" t="inlineStr">
        <is>
          <t>Spinach Artichoke Egg Bake</t>
        </is>
      </c>
      <c r="C108" s="4" t="inlineStr">
        <is>
          <t>Breakfast</t>
        </is>
      </c>
      <c r="D108" s="4" t="inlineStr">
        <is>
          <t>American</t>
        </is>
      </c>
      <c r="E108" s="2" t="n">
        <v>6</v>
      </c>
      <c r="F108" s="2" t="n">
        <v>10</v>
      </c>
      <c r="G108" s="2" t="n">
        <v>35</v>
      </c>
      <c r="H108" s="2" t="n">
        <v>45</v>
      </c>
      <c r="I108" s="4" t="inlineStr">
        <is>
          <t>spinach-artichoke-egg-bake.jpg</t>
        </is>
      </c>
      <c r="J108" s="3" t="inlineStr">
        <is>
          <t>Spinach Artichoke Egg Bake, healthy food photography, plated, natural light</t>
        </is>
      </c>
      <c r="K108" s="4" t="inlineStr"/>
      <c r="L108" s="3" t="inlineStr">
        <is>
          <t>Egg, large (50 g each) — 400 g (14.1 oz) [8 large eggs]
Spinach — 200 g (7.1 oz)
Artichoke hearts, canned in water — 200 g (7.1 oz)
Mozzarella, part-skim — 100 g (3.5 oz)
Cream cheese — 40 g (1.4 oz)
Garlic — 5 g (0.2 oz)
Milk, 2% — 80 g (2.8 oz)
Salt — 2 g (0.1 oz)
Extra-virgin olive oil — 5 g (0.2 oz)</t>
        </is>
      </c>
      <c r="M108" s="4" t="inlineStr">
        <is>
          <t>[{"ingredient_id": "egg", "name": "Egg, large (50 g each)", "grams": 400.0, "note": "8 large eggs"}, {"ingredient_id": "spinach", "name": "Spinach", "grams": 200.0, "note": ""}, {"ingredient_id": "artichoke_hearts", "name": "Artichoke hearts, canned in water", "grams": 200.0, "note": ""}, {"ingredient_id": "mozzarella", "name": "Mozzarella, part-skim", "grams": 100.0, "note": ""}, {"ingredient_id": "cream_cheese", "name": "Cream cheese", "grams": 40.0, "note": ""}, {"ingredient_id": "garlic", "name": "Garlic", "grams": 5.0, "note": ""}, {"ingredient_id": "milk", "name": "Milk, 2%", "grams": 80.0, "note": ""}, {"ingredient_id": "salt", "name": "Salt", "grams": 2.0, "note": ""}, {"ingredient_id": "olive_oil", "name": "Extra-virgin olive oil", "grams": 5.0, "note": ""}]</t>
        </is>
      </c>
      <c r="N108" s="2" t="n">
        <v>199</v>
      </c>
      <c r="O108" s="5" t="n">
        <v>15.4</v>
      </c>
      <c r="P108" s="5" t="n">
        <v>12.6</v>
      </c>
      <c r="Q108" s="5" t="n">
        <v>6.8</v>
      </c>
      <c r="R108" s="5" t="n">
        <v>2.6</v>
      </c>
      <c r="S108" s="5" t="n">
        <v>4.3</v>
      </c>
      <c r="T108" s="2" t="n">
        <v>13</v>
      </c>
      <c r="U108" s="2" t="inlineStr">
        <is>
          <t>low</t>
        </is>
      </c>
      <c r="V108" s="5" t="n">
        <v>0.6</v>
      </c>
      <c r="W108" s="2" t="inlineStr">
        <is>
          <t>low</t>
        </is>
      </c>
      <c r="X108" s="3" t="inlineStr">
        <is>
          <t>Negligible carbohydrate (&lt;5 g net/serving): GI has little practical meaning, glycemic load is what matters.</t>
        </is>
      </c>
      <c r="Y108" s="3" t="inlineStr">
        <is>
          <t>15% of this dish's available carbohydrate comes from ingredients with a published, measured GI; the rest uses conventional placeholders (see Ingredients sheet)</t>
        </is>
      </c>
      <c r="Z108" s="2" t="n">
        <v>15</v>
      </c>
      <c r="AA108" s="3" t="inlineStr">
        <is>
          <t>vegetarian, gluten-free, nut-free, low-carb, make-ahead</t>
        </is>
      </c>
      <c r="AB108" s="3" t="inlineStr">
        <is>
          <t>1. Preheat oven to 375°F and oil a baking dish.
2. Whisk eggs, milk, softened cream cheese, garlic and salt.
3. Stir in chopped spinach, artichokes and mozzarella; pour into the dish.
4. Bake 30–35 minutes until set.</t>
        </is>
      </c>
      <c r="AC108" s="4" t="inlineStr">
        <is>
          <t>["Preheat oven to 375°F and oil a baking dish.", "Whisk eggs, milk, softened cream cheese, garlic and salt.", "Stir in chopped spinach, artichokes and mozzarella; pour into the dish.", "Bake 30–35 minutes until set."]</t>
        </is>
      </c>
    </row>
    <row r="109" ht="96" customHeight="1">
      <c r="A109" s="2" t="inlineStr">
        <is>
          <t>DB-0108</t>
        </is>
      </c>
      <c r="B109" s="3" t="inlineStr">
        <is>
          <t>Turkey Sausage Breakfast Bowl with Cauliflower Rice</t>
        </is>
      </c>
      <c r="C109" s="4" t="inlineStr">
        <is>
          <t>Breakfast</t>
        </is>
      </c>
      <c r="D109" s="4" t="inlineStr">
        <is>
          <t>American</t>
        </is>
      </c>
      <c r="E109" s="2" t="n">
        <v>2</v>
      </c>
      <c r="F109" s="2" t="n">
        <v>5</v>
      </c>
      <c r="G109" s="2" t="n">
        <v>15</v>
      </c>
      <c r="H109" s="2" t="n">
        <v>20</v>
      </c>
      <c r="I109" s="4" t="inlineStr">
        <is>
          <t>turkey-sausage-breakfast-bowl-with-cauliflower-rice.jpg</t>
        </is>
      </c>
      <c r="J109" s="3" t="inlineStr">
        <is>
          <t>Turkey Sausage Breakfast Bowl with Cauliflower Rice, healthy food photography, plated, natural light</t>
        </is>
      </c>
      <c r="K109" s="4" t="inlineStr"/>
      <c r="L109" s="3" t="inlineStr">
        <is>
          <t>Turkey sausage — 200 g (7.1 oz)
Cauliflower rice — 300 g (10.6 oz)
Egg, large (50 g each) — 100 g (3.5 oz) [2 large eggs]
Kale — 80 g (2.8 oz)
Avocado — 60 g (2.1 oz)
Extra-virgin olive oil — 10 g (0.4 oz)
Hot sauce (Tabasco/Frank's) — 5 g (0.2 oz)
Salt — 1 g (0.0 oz)</t>
        </is>
      </c>
      <c r="M109" s="4" t="inlineStr">
        <is>
          <t>[{"ingredient_id": "turkey_sausage", "name": "Turkey sausage", "grams": 200.0, "note": ""}, {"ingredient_id": "cauliflower_rice", "name": "Cauliflower rice", "grams": 300.0, "note": ""}, {"ingredient_id": "egg", "name": "Egg, large (50 g each)", "grams": 100.0, "note": "2 large eggs"}, {"ingredient_id": "kale", "name": "Kale", "grams": 80.0, "note": ""}, {"ingredient_id": "avocado", "name": "Avocado", "grams": 60.0, "note": ""}, {"ingredient_id": "olive_oil", "name": "Extra-virgin olive oil", "grams": 10.0, "note": ""}, {"ingredient_id": "hot_sauce", "name": "Hot sauce (Tabasco/Frank's)", "grams": 5.0, "note": ""}, {"ingredient_id": "salt", "name": "Salt", "grams": 1.0, "note": ""}]</t>
        </is>
      </c>
      <c r="N109" s="2" t="n">
        <v>376</v>
      </c>
      <c r="O109" s="5" t="n">
        <v>26.5</v>
      </c>
      <c r="P109" s="5" t="n">
        <v>25.1</v>
      </c>
      <c r="Q109" s="5" t="n">
        <v>16</v>
      </c>
      <c r="R109" s="5" t="n">
        <v>6.5</v>
      </c>
      <c r="S109" s="5" t="n">
        <v>9.5</v>
      </c>
      <c r="T109" s="2" t="n">
        <v>11</v>
      </c>
      <c r="U109" s="2" t="inlineStr">
        <is>
          <t>low</t>
        </is>
      </c>
      <c r="V109" s="5" t="n">
        <v>1</v>
      </c>
      <c r="W109" s="2" t="inlineStr">
        <is>
          <t>low</t>
        </is>
      </c>
      <c r="X109" s="3" t="inlineStr"/>
      <c r="Y109" s="3" t="inlineStr">
        <is>
          <t>0% of this dish's available carbohydrate comes from ingredients with a published, measured GI; the rest uses conventional placeholders (see Ingredients sheet)</t>
        </is>
      </c>
      <c r="Z109" s="2" t="n">
        <v>0</v>
      </c>
      <c r="AA109" s="3" t="inlineStr">
        <is>
          <t>gluten-free, dairy-free, nut-free, low-carb, high-protein</t>
        </is>
      </c>
      <c r="AB109" s="3" t="inlineStr">
        <is>
          <t>1. Brown sausage; remove. Sauté cauliflower rice and kale in olive oil 5 minutes; season.
2. Fry the eggs.
3. Bowl the cauliflower-kale, sausage, eggs, avocado and hot sauce.</t>
        </is>
      </c>
      <c r="AC109" s="4" t="inlineStr">
        <is>
          <t>["Brown sausage; remove. Sauté cauliflower rice and kale in olive oil 5 minutes; season.", "Fry the eggs.", "Bowl the cauliflower-kale, sausage, eggs, avocado and hot sauce."]</t>
        </is>
      </c>
    </row>
    <row r="110" ht="96" customHeight="1">
      <c r="A110" s="2" t="inlineStr">
        <is>
          <t>DB-0109</t>
        </is>
      </c>
      <c r="B110" s="3" t="inlineStr">
        <is>
          <t>Raspberry Almond Protein Pancakes</t>
        </is>
      </c>
      <c r="C110" s="4" t="inlineStr">
        <is>
          <t>Breakfast</t>
        </is>
      </c>
      <c r="D110" s="4" t="inlineStr">
        <is>
          <t>American</t>
        </is>
      </c>
      <c r="E110" s="2" t="n">
        <v>2</v>
      </c>
      <c r="F110" s="2" t="n">
        <v>5</v>
      </c>
      <c r="G110" s="2" t="n">
        <v>12</v>
      </c>
      <c r="H110" s="2" t="n">
        <v>17</v>
      </c>
      <c r="I110" s="4" t="inlineStr">
        <is>
          <t>raspberry-almond-protein-pancakes.jpg</t>
        </is>
      </c>
      <c r="J110" s="3" t="inlineStr">
        <is>
          <t>Raspberry Almond Protein Pancakes, healthy food photography, plated, natural light</t>
        </is>
      </c>
      <c r="K110" s="4" t="inlineStr"/>
      <c r="L110" s="3" t="inlineStr">
        <is>
          <t>Egg, large (50 g each) — 100 g (3.5 oz) [2 large eggs]
Whey protein powder, unsweetened — 30 g (1.1 oz)
Almond flour — 60 g (2.1 oz)
Greek yogurt, plain 2% — 100 g (3.5 oz)
Baking powder — 3 g (0.1 oz)
Raspberries — 80 g (2.8 oz)
Coconut oil — 8 g (0.3 oz)
Vanilla extract — 2 g (0.1 oz)</t>
        </is>
      </c>
      <c r="M110" s="4" t="inlineStr">
        <is>
          <t>[{"ingredient_id": "egg", "name": "Egg, large (50 g each)", "grams": 100.0, "note": "2 large eggs"}, {"ingredient_id": "whey_protein", "name": "Whey protein powder, unsweetened", "grams": 30.0, "note": ""}, {"ingredient_id": "almond_flour", "name": "Almond flour", "grams": 60.0, "note": ""}, {"ingredient_id": "greek_yogurt", "name": "Greek yogurt, plain 2%", "grams": 100.0, "note": ""}, {"ingredient_id": "baking_powder", "name": "Baking powder", "grams": 3.0, "note": ""}, {"ingredient_id": "raspberries", "name": "Raspberries", "grams": 80.0, "note": ""}, {"ingredient_id": "coconut_oil", "name": "Coconut oil", "grams": 8.0, "note": ""}, {"ingredient_id": "vanilla_extract", "name": "Vanilla extract", "grams": 2.0, "note": ""}]</t>
        </is>
      </c>
      <c r="N110" s="2" t="n">
        <v>401</v>
      </c>
      <c r="O110" s="5" t="n">
        <v>29.8</v>
      </c>
      <c r="P110" s="5" t="n">
        <v>25.8</v>
      </c>
      <c r="Q110" s="5" t="n">
        <v>15.2</v>
      </c>
      <c r="R110" s="5" t="n">
        <v>6.3</v>
      </c>
      <c r="S110" s="5" t="n">
        <v>8.800000000000001</v>
      </c>
      <c r="T110" s="2" t="n">
        <v>19</v>
      </c>
      <c r="U110" s="2" t="inlineStr">
        <is>
          <t>low</t>
        </is>
      </c>
      <c r="V110" s="5" t="n">
        <v>1.7</v>
      </c>
      <c r="W110" s="2" t="inlineStr">
        <is>
          <t>low</t>
        </is>
      </c>
      <c r="X110" s="3" t="inlineStr"/>
      <c r="Y110" s="3" t="inlineStr">
        <is>
          <t>34% of this dish's available carbohydrate comes from ingredients with a published, measured GI; the rest uses conventional placeholders (see Ingredients sheet)</t>
        </is>
      </c>
      <c r="Z110" s="2" t="n">
        <v>34</v>
      </c>
      <c r="AA110" s="3" t="inlineStr">
        <is>
          <t>vegetarian, gluten-free, low-carb, high-protein</t>
        </is>
      </c>
      <c r="AB110" s="3" t="inlineStr">
        <is>
          <t>1. Whisk eggs, yogurt and vanilla; stir in almond flour, protein and baking powder.
2. Cook small pancakes in coconut oil 2–3 minutes per side.
3. Top with raspberries.</t>
        </is>
      </c>
      <c r="AC110" s="4" t="inlineStr">
        <is>
          <t>["Whisk eggs, yogurt and vanilla; stir in almond flour, protein and baking powder.", "Cook small pancakes in coconut oil 2–3 minutes per side.", "Top with raspberries."]</t>
        </is>
      </c>
    </row>
    <row r="111" ht="96" customHeight="1">
      <c r="A111" s="2" t="inlineStr">
        <is>
          <t>DB-0110</t>
        </is>
      </c>
      <c r="B111" s="3" t="inlineStr">
        <is>
          <t>Everything Bagel Cucumber Cream Cheese Bites</t>
        </is>
      </c>
      <c r="C111" s="4" t="inlineStr">
        <is>
          <t>Breakfast</t>
        </is>
      </c>
      <c r="D111" s="4" t="inlineStr">
        <is>
          <t>American</t>
        </is>
      </c>
      <c r="E111" s="2" t="n">
        <v>1</v>
      </c>
      <c r="F111" s="2" t="n">
        <v>5</v>
      </c>
      <c r="G111" s="2" t="n">
        <v>0</v>
      </c>
      <c r="H111" s="2" t="n">
        <v>5</v>
      </c>
      <c r="I111" s="4" t="inlineStr">
        <is>
          <t>everything-bagel-cucumber-cream-cheese-bites.jpg</t>
        </is>
      </c>
      <c r="J111" s="3" t="inlineStr">
        <is>
          <t>Everything Bagel Cucumber Cream Cheese Bites, healthy food photography, plated, natural light</t>
        </is>
      </c>
      <c r="K111" s="4" t="inlineStr"/>
      <c r="L111" s="3" t="inlineStr">
        <is>
          <t>Cucumber — 150 g (5.3 oz)
Cream cheese — 30 g (1.1 oz)
Smoked salmon — 50 g (1.8 oz)
Everything bagel seasoning — 3 g (0.1 oz)
Fresh chives — 3 g (0.1 oz)</t>
        </is>
      </c>
      <c r="M111" s="4" t="inlineStr">
        <is>
          <t>[{"ingredient_id": "cucumber", "name": "Cucumber", "grams": 150.0, "note": ""}, {"ingredient_id": "cream_cheese", "name": "Cream cheese", "grams": 30.0, "note": ""}, {"ingredient_id": "smoked_salmon", "name": "Smoked salmon", "grams": 50.0, "note": ""}, {"ingredient_id": "everything_seasoning", "name": "Everything bagel seasoning", "grams": 3.0, "note": ""}, {"ingredient_id": "chives", "name": "Fresh chives", "grams": 3.0, "note": ""}]</t>
        </is>
      </c>
      <c r="N111" s="2" t="n">
        <v>195</v>
      </c>
      <c r="O111" s="5" t="n">
        <v>12.4</v>
      </c>
      <c r="P111" s="5" t="n">
        <v>13.1</v>
      </c>
      <c r="Q111" s="5" t="n">
        <v>7.6</v>
      </c>
      <c r="R111" s="5" t="n">
        <v>1.1</v>
      </c>
      <c r="S111" s="5" t="n">
        <v>6.5</v>
      </c>
      <c r="T111" s="2" t="n">
        <v>12</v>
      </c>
      <c r="U111" s="2" t="inlineStr">
        <is>
          <t>low</t>
        </is>
      </c>
      <c r="V111" s="5" t="n">
        <v>0.8</v>
      </c>
      <c r="W111" s="2" t="inlineStr">
        <is>
          <t>low</t>
        </is>
      </c>
      <c r="X111" s="3" t="inlineStr"/>
      <c r="Y111" s="3" t="inlineStr">
        <is>
          <t>0% of this dish's available carbohydrate comes from ingredients with a published, measured GI; the rest uses conventional placeholders (see Ingredients sheet)</t>
        </is>
      </c>
      <c r="Z111" s="2" t="n">
        <v>0</v>
      </c>
      <c r="AA111" s="3" t="inlineStr">
        <is>
          <t>pescatarian, gluten-free, nut-free, low-carb, no-cook, quick</t>
        </is>
      </c>
      <c r="AB111" s="3" t="inlineStr">
        <is>
          <t>1. Slice cucumber into thick rounds.
2. Top each with cream cheese and a piece of smoked salmon.
3. Sprinkle with everything seasoning and chives.</t>
        </is>
      </c>
      <c r="AC111" s="4" t="inlineStr">
        <is>
          <t>["Slice cucumber into thick rounds.", "Top each with cream cheese and a piece of smoked salmon.", "Sprinkle with everything seasoning and chives."]</t>
        </is>
      </c>
    </row>
    <row r="112" ht="96" customHeight="1">
      <c r="A112" s="2" t="inlineStr">
        <is>
          <t>DB-0111</t>
        </is>
      </c>
      <c r="B112" s="3" t="inlineStr">
        <is>
          <t>Cheddar Jalapeño Egg Skillet</t>
        </is>
      </c>
      <c r="C112" s="4" t="inlineStr">
        <is>
          <t>Breakfast</t>
        </is>
      </c>
      <c r="D112" s="4" t="inlineStr">
        <is>
          <t>Tex-Mex</t>
        </is>
      </c>
      <c r="E112" s="2" t="n">
        <v>2</v>
      </c>
      <c r="F112" s="2" t="n">
        <v>5</v>
      </c>
      <c r="G112" s="2" t="n">
        <v>10</v>
      </c>
      <c r="H112" s="2" t="n">
        <v>15</v>
      </c>
      <c r="I112" s="4" t="inlineStr">
        <is>
          <t>cheddar-jalape-o-egg-skillet.jpg</t>
        </is>
      </c>
      <c r="J112" s="3" t="inlineStr">
        <is>
          <t>Cheddar Jalapeño Egg Skillet, healthy food photography, plated, natural light</t>
        </is>
      </c>
      <c r="K112" s="4" t="inlineStr"/>
      <c r="L112" s="3" t="inlineStr">
        <is>
          <t>Egg, large (50 g each) — 250 g (8.8 oz) [5 large eggs]
Jalapeño — 20 g (0.7 oz)
Cheddar cheese — 50 g (1.8 oz)
Green onions (scallions) — 20 g (0.7 oz)
Tomato — 80 g (2.8 oz)
Extra-virgin olive oil — 8 g (0.3 oz)
Fresh cilantro — 5 g (0.2 oz)
Salt — 1 g (0.0 oz)</t>
        </is>
      </c>
      <c r="M112" s="4" t="inlineStr">
        <is>
          <t>[{"ingredient_id": "egg", "name": "Egg, large (50 g each)", "grams": 250.0, "note": "5 large eggs"}, {"ingredient_id": "jalapeno", "name": "Jalapeño", "grams": 20.0, "note": ""}, {"ingredient_id": "cheddar", "name": "Cheddar cheese", "grams": 50.0, "note": ""}, {"ingredient_id": "green_onion", "name": "Green onions (scallions)", "grams": 20.0, "note": ""}, {"ingredient_id": "tomato", "name": "Tomato", "grams": 80.0, "note": ""}, {"ingredient_id": "olive_oil", "name": "Extra-virgin olive oil", "grams": 8.0, "note": ""}, {"ingredient_id": "cilantro", "name": "Fresh cilantro", "grams": 5.0, "note": ""}, {"ingredient_id": "salt", "name": "Salt", "grams": 1.0, "note": ""}]</t>
        </is>
      </c>
      <c r="N112" s="2" t="n">
        <v>329</v>
      </c>
      <c r="O112" s="5" t="n">
        <v>22.2</v>
      </c>
      <c r="P112" s="5" t="n">
        <v>24.3</v>
      </c>
      <c r="Q112" s="5" t="n">
        <v>4.2</v>
      </c>
      <c r="R112" s="5" t="n">
        <v>1.1</v>
      </c>
      <c r="S112" s="5" t="n">
        <v>3.1</v>
      </c>
      <c r="T112" s="2" t="n">
        <v>9</v>
      </c>
      <c r="U112" s="2" t="inlineStr">
        <is>
          <t>low</t>
        </is>
      </c>
      <c r="V112" s="5" t="n">
        <v>0.3</v>
      </c>
      <c r="W112" s="2" t="inlineStr">
        <is>
          <t>low</t>
        </is>
      </c>
      <c r="X112" s="3" t="inlineStr">
        <is>
          <t>Negligible carbohydrate (&lt;5 g net/serving): GI has little practical meaning, glycemic load is what matters.</t>
        </is>
      </c>
      <c r="Y112" s="3" t="inlineStr">
        <is>
          <t>0% of this dish's available carbohydrate comes from ingredients with a published, measured GI; the rest uses conventional placeholders (see Ingredients sheet)</t>
        </is>
      </c>
      <c r="Z112" s="2" t="n">
        <v>0</v>
      </c>
      <c r="AA112" s="3" t="inlineStr">
        <is>
          <t>vegetarian, gluten-free, nut-free, low-carb, quick</t>
        </is>
      </c>
      <c r="AB112" s="3" t="inlineStr">
        <is>
          <t>1. Sauté jalapeño and green onion in olive oil 2 minutes.
2. Add whisked eggs, cook until half set, stir in tomato and cheddar.
3. Finish under the broiler 2 minutes; top with cilantro.</t>
        </is>
      </c>
      <c r="AC112" s="4" t="inlineStr">
        <is>
          <t>["Sauté jalapeño and green onion in olive oil 2 minutes.", "Add whisked eggs, cook until half set, stir in tomato and cheddar.", "Finish under the broiler 2 minutes; top with cilantro."]</t>
        </is>
      </c>
    </row>
    <row r="113" ht="96" customHeight="1">
      <c r="A113" s="2" t="inlineStr">
        <is>
          <t>DB-0112</t>
        </is>
      </c>
      <c r="B113" s="3" t="inlineStr">
        <is>
          <t>Orange Cardamom Yogurt Bowl</t>
        </is>
      </c>
      <c r="C113" s="4" t="inlineStr">
        <is>
          <t>Breakfast</t>
        </is>
      </c>
      <c r="D113" s="4" t="inlineStr">
        <is>
          <t>Middle Eastern</t>
        </is>
      </c>
      <c r="E113" s="2" t="n">
        <v>1</v>
      </c>
      <c r="F113" s="2" t="n">
        <v>5</v>
      </c>
      <c r="G113" s="2" t="n">
        <v>0</v>
      </c>
      <c r="H113" s="2" t="n">
        <v>5</v>
      </c>
      <c r="I113" s="4" t="inlineStr">
        <is>
          <t>orange-cardamom-yogurt-bowl.jpg</t>
        </is>
      </c>
      <c r="J113" s="3" t="inlineStr">
        <is>
          <t>Orange Cardamom Yogurt Bowl, healthy food photography, plated, natural light</t>
        </is>
      </c>
      <c r="K113" s="4" t="inlineStr"/>
      <c r="L113" s="3" t="inlineStr">
        <is>
          <t>Greek yogurt, plain 2% — 200 g (7.1 oz)
Orange — 100 g (3.5 oz)
Pistachios, shelled — 15 g (0.5 oz)
Ground cardamom — 0.5 g (0.0 oz)
Chia seeds — 6 g (0.2 oz)
Fresh mint — 2 g (0.1 oz)</t>
        </is>
      </c>
      <c r="M113" s="4" t="inlineStr">
        <is>
          <t>[{"ingredient_id": "greek_yogurt", "name": "Greek yogurt, plain 2%", "grams": 200.0, "note": ""}, {"ingredient_id": "orange", "name": "Orange", "grams": 100.0, "note": ""}, {"ingredient_id": "pistachios", "name": "Pistachios, shelled", "grams": 15.0, "note": ""}, {"ingredient_id": "cardamom", "name": "Ground cardamom", "grams": 0.5, "note": ""}, {"ingredient_id": "chia_seeds", "name": "Chia seeds", "grams": 6.0, "note": ""}, {"ingredient_id": "mint", "name": "Fresh mint", "grams": 2.0, "note": ""}]</t>
        </is>
      </c>
      <c r="N113" s="2" t="n">
        <v>309</v>
      </c>
      <c r="O113" s="5" t="n">
        <v>25</v>
      </c>
      <c r="P113" s="5" t="n">
        <v>12.8</v>
      </c>
      <c r="Q113" s="5" t="n">
        <v>27.2</v>
      </c>
      <c r="R113" s="5" t="n">
        <v>6.3</v>
      </c>
      <c r="S113" s="5" t="n">
        <v>20.9</v>
      </c>
      <c r="T113" s="2" t="n">
        <v>28</v>
      </c>
      <c r="U113" s="2" t="inlineStr">
        <is>
          <t>low</t>
        </is>
      </c>
      <c r="V113" s="5" t="n">
        <v>5.9</v>
      </c>
      <c r="W113" s="2" t="inlineStr">
        <is>
          <t>low</t>
        </is>
      </c>
      <c r="X113" s="3" t="inlineStr"/>
      <c r="Y113" s="3" t="inlineStr">
        <is>
          <t>97% of this dish's available carbohydrate comes from ingredients with a published, measured GI; the rest uses conventional placeholders (see Ingredients sheet)</t>
        </is>
      </c>
      <c r="Z113" s="2" t="n">
        <v>97</v>
      </c>
      <c r="AA113" s="3" t="inlineStr">
        <is>
          <t>vegetarian, gluten-free, high-protein, no-cook, quick</t>
        </is>
      </c>
      <c r="AB113" s="3" t="inlineStr">
        <is>
          <t>1. Stir cardamom into the yogurt.
2. Top with orange segments, pistachios and chia.
3. Garnish with mint.</t>
        </is>
      </c>
      <c r="AC113" s="4" t="inlineStr">
        <is>
          <t>["Stir cardamom into the yogurt.", "Top with orange segments, pistachios and chia.", "Garnish with mint."]</t>
        </is>
      </c>
    </row>
    <row r="114" ht="96" customHeight="1">
      <c r="A114" s="2" t="inlineStr">
        <is>
          <t>DB-0113</t>
        </is>
      </c>
      <c r="B114" s="3" t="inlineStr">
        <is>
          <t>Lentil &amp; Egg Breakfast Bowl</t>
        </is>
      </c>
      <c r="C114" s="4" t="inlineStr">
        <is>
          <t>Breakfast</t>
        </is>
      </c>
      <c r="D114" s="4" t="inlineStr">
        <is>
          <t>Middle Eastern</t>
        </is>
      </c>
      <c r="E114" s="2" t="n">
        <v>2</v>
      </c>
      <c r="F114" s="2" t="n">
        <v>5</v>
      </c>
      <c r="G114" s="2" t="n">
        <v>10</v>
      </c>
      <c r="H114" s="2" t="n">
        <v>15</v>
      </c>
      <c r="I114" s="4" t="inlineStr">
        <is>
          <t>lentil-and-egg-breakfast-bowl.jpg</t>
        </is>
      </c>
      <c r="J114" s="3" t="inlineStr">
        <is>
          <t>Lentil &amp; Egg Breakfast Bowl, healthy food photography, plated, natural light</t>
        </is>
      </c>
      <c r="K114" s="4" t="inlineStr"/>
      <c r="L114" s="3" t="inlineStr">
        <is>
          <t>Lentils, cooked — 250 g (8.8 oz)
Egg, large (50 g each) — 200 g (7.1 oz) [4 large eggs]
Spinach — 80 g (2.8 oz)
Ground cumin — 2 g (0.1 oz)
Extra-virgin olive oil — 12 g (0.4 oz)
Lemon juice — 10 g (0.4 oz)
Greek yogurt, plain 2% — 60 g (2.1 oz)
Fresh parsley — 6 g (0.2 oz)
Salt — 1 g (0.0 oz)</t>
        </is>
      </c>
      <c r="M114" s="4" t="inlineStr">
        <is>
          <t>[{"ingredient_id": "lentils", "name": "Lentils, cooked", "grams": 250.0, "note": ""}, {"ingredient_id": "egg", "name": "Egg, large (50 g each)", "grams": 200.0, "note": "4 large eggs"}, {"ingredient_id": "spinach", "name": "Spinach", "grams": 80.0, "note": ""}, {"ingredient_id": "cumin", "name": "Ground cumin", "grams": 2.0, "note": ""}, {"ingredient_id": "olive_oil", "name": "Extra-virgin olive oil", "grams": 12.0, "note": ""}, {"ingredient_id": "lemon_juice", "name": "Lemon juice", "grams": 10.0, "note": ""}, {"ingredient_id": "greek_yogurt", "name": "Greek yogurt, plain 2%", "grams": 60.0, "note": ""}, {"ingredient_id": "parsley", "name": "Fresh parsley", "grams": 6.0, "note": ""}, {"ingredient_id": "salt", "name": "Salt", "grams": 1.0, "note": ""}]</t>
        </is>
      </c>
      <c r="N114" s="2" t="n">
        <v>378</v>
      </c>
      <c r="O114" s="5" t="n">
        <v>28.3</v>
      </c>
      <c r="P114" s="5" t="n">
        <v>17</v>
      </c>
      <c r="Q114" s="5" t="n">
        <v>29.3</v>
      </c>
      <c r="R114" s="5" t="n">
        <v>11</v>
      </c>
      <c r="S114" s="5" t="n">
        <v>18.3</v>
      </c>
      <c r="T114" s="2" t="n">
        <v>32</v>
      </c>
      <c r="U114" s="2" t="inlineStr">
        <is>
          <t>low</t>
        </is>
      </c>
      <c r="V114" s="5" t="n">
        <v>5.9</v>
      </c>
      <c r="W114" s="2" t="inlineStr">
        <is>
          <t>low</t>
        </is>
      </c>
      <c r="X114" s="3" t="inlineStr"/>
      <c r="Y114" s="3" t="inlineStr">
        <is>
          <t>89% of this dish's available carbohydrate comes from ingredients with a published, measured GI; the rest uses conventional placeholders (see Ingredients sheet)</t>
        </is>
      </c>
      <c r="Z114" s="2" t="n">
        <v>89</v>
      </c>
      <c r="AA114" s="3" t="inlineStr">
        <is>
          <t>vegetarian, gluten-free, nut-free, high-protein, high-fiber</t>
        </is>
      </c>
      <c r="AB114" s="3" t="inlineStr">
        <is>
          <t>1. Warm lentils with cumin, olive oil, lemon and salt; stir in spinach until wilted.
2. Fry or poach the eggs.
3. Serve lentils topped with eggs, yogurt and parsley.</t>
        </is>
      </c>
      <c r="AC114" s="4" t="inlineStr">
        <is>
          <t>["Warm lentils with cumin, olive oil, lemon and salt; stir in spinach until wilted.", "Fry or poach the eggs.", "Serve lentils topped with eggs, yogurt and parsley."]</t>
        </is>
      </c>
    </row>
    <row r="115" ht="96" customHeight="1">
      <c r="A115" s="2" t="inlineStr">
        <is>
          <t>DB-0114</t>
        </is>
      </c>
      <c r="B115" s="3" t="inlineStr">
        <is>
          <t>Cocoa Peanut Butter Overnight Oats</t>
        </is>
      </c>
      <c r="C115" s="4" t="inlineStr">
        <is>
          <t>Breakfast</t>
        </is>
      </c>
      <c r="D115" s="4" t="inlineStr">
        <is>
          <t>American</t>
        </is>
      </c>
      <c r="E115" s="2" t="n">
        <v>1</v>
      </c>
      <c r="F115" s="2" t="n">
        <v>5</v>
      </c>
      <c r="G115" s="2" t="n">
        <v>0</v>
      </c>
      <c r="H115" s="2" t="n">
        <v>5</v>
      </c>
      <c r="I115" s="4" t="inlineStr">
        <is>
          <t>cocoa-peanut-butter-overnight-oats.jpg</t>
        </is>
      </c>
      <c r="J115" s="3" t="inlineStr">
        <is>
          <t>Cocoa Peanut Butter Overnight Oats, healthy food photography, plated, natural light</t>
        </is>
      </c>
      <c r="K115" s="4" t="inlineStr"/>
      <c r="L115" s="3" t="inlineStr">
        <is>
          <t>Rolled oats, dry — 40 g (1.4 oz)
Almond milk, unsweetened — 170 g (6.0 oz)
Cocoa powder, unsweetened — 6 g (0.2 oz)
Peanut butter, natural — 16 g (0.6 oz)
Chia seeds — 8 g (0.3 oz)
Monk fruit/erythritol sweetener — 6 g (0.2 oz)
Strawberries — 50 g (1.8 oz)</t>
        </is>
      </c>
      <c r="M115" s="4" t="inlineStr">
        <is>
          <t>[{"ingredient_id": "rolled_oats", "name": "Rolled oats, dry", "grams": 40.0, "note": ""}, {"ingredient_id": "almond_milk", "name": "Almond milk, unsweetened", "grams": 170.0, "note": ""}, {"ingredient_id": "cocoa_powder", "name": "Cocoa powder, unsweetened", "grams": 6.0, "note": ""}, {"ingredient_id": "peanut_butter", "name": "Peanut butter, natural", "grams": 16.0, "note": ""}, {"ingredient_id": "chia_seeds", "name": "Chia seeds", "grams": 8.0, "note": ""}, {"ingredient_id": "monk_fruit_sweetener", "name": "Monk fruit/erythritol sweetener", "grams": 6.0, "note": ""}, {"ingredient_id": "strawberries", "name": "Strawberries", "grams": 50.0, "note": ""}]</t>
        </is>
      </c>
      <c r="N115" s="2" t="n">
        <v>340</v>
      </c>
      <c r="O115" s="5" t="n">
        <v>13.1</v>
      </c>
      <c r="P115" s="5" t="n">
        <v>16.1</v>
      </c>
      <c r="Q115" s="5" t="n">
        <v>42.1</v>
      </c>
      <c r="R115" s="5" t="n">
        <v>10.7</v>
      </c>
      <c r="S115" s="5" t="n">
        <v>31.5</v>
      </c>
      <c r="T115" s="2" t="n">
        <v>49</v>
      </c>
      <c r="U115" s="2" t="inlineStr">
        <is>
          <t>low</t>
        </is>
      </c>
      <c r="V115" s="5" t="n">
        <v>15.4</v>
      </c>
      <c r="W115" s="2" t="inlineStr">
        <is>
          <t>medium</t>
        </is>
      </c>
      <c r="X115" s="3" t="inlineStr"/>
      <c r="Y115" s="3" t="inlineStr">
        <is>
          <t>83% of this dish's available carbohydrate comes from ingredients with a published, measured GI; the rest uses conventional placeholders (see Ingredients sheet)</t>
        </is>
      </c>
      <c r="Z115" s="2" t="n">
        <v>83</v>
      </c>
      <c r="AA115" s="3" t="inlineStr">
        <is>
          <t>vegan, dairy-free, high-fiber, no-cook, make-ahead</t>
        </is>
      </c>
      <c r="AB115" s="3" t="inlineStr">
        <is>
          <t>1. Mix oats, almond milk, cocoa, chia and sweetener in a jar.
2. Refrigerate overnight.
3. Top with peanut butter and sliced strawberries.</t>
        </is>
      </c>
      <c r="AC115" s="4" t="inlineStr">
        <is>
          <t>["Mix oats, almond milk, cocoa, chia and sweetener in a jar.", "Refrigerate overnight.", "Top with peanut butter and sliced strawberries."]</t>
        </is>
      </c>
    </row>
    <row r="116" ht="96" customHeight="1">
      <c r="A116" s="2" t="inlineStr">
        <is>
          <t>DB-0115</t>
        </is>
      </c>
      <c r="B116" s="3" t="inlineStr">
        <is>
          <t>Greek Chicken Sausage Skillet with Eggs</t>
        </is>
      </c>
      <c r="C116" s="4" t="inlineStr">
        <is>
          <t>Breakfast</t>
        </is>
      </c>
      <c r="D116" s="4" t="inlineStr">
        <is>
          <t>Greek</t>
        </is>
      </c>
      <c r="E116" s="2" t="n">
        <v>2</v>
      </c>
      <c r="F116" s="2" t="n">
        <v>5</v>
      </c>
      <c r="G116" s="2" t="n">
        <v>15</v>
      </c>
      <c r="H116" s="2" t="n">
        <v>20</v>
      </c>
      <c r="I116" s="4" t="inlineStr">
        <is>
          <t>greek-chicken-sausage-skillet-with-eggs.jpg</t>
        </is>
      </c>
      <c r="J116" s="3" t="inlineStr">
        <is>
          <t>Greek Chicken Sausage Skillet with Eggs, healthy food photography, plated, natural light</t>
        </is>
      </c>
      <c r="K116" s="4" t="inlineStr"/>
      <c r="L116" s="3" t="inlineStr">
        <is>
          <t>Chicken sausage — 200 g (7.1 oz)
Zucchini — 150 g (5.3 oz)
Cherry tomatoes — 120 g (4.2 oz)
Egg, large (50 g each) — 200 g (7.1 oz) [4 large eggs]
Feta cheese — 30 g (1.1 oz)
Dried oregano — 1 g (0.0 oz)
Extra-virgin olive oil — 10 g (0.4 oz)
Olives (kalamata/green) — 20 g (0.7 oz)</t>
        </is>
      </c>
      <c r="M116" s="4" t="inlineStr">
        <is>
          <t>[{"ingredient_id": "chicken_sausage", "name": "Chicken sausage", "grams": 200.0, "note": ""}, {"ingredient_id": "zucchini", "name": "Zucchini", "grams": 150.0, "note": ""}, {"ingredient_id": "cherry_tomato", "name": "Cherry tomatoes", "grams": 120.0, "note": ""}, {"ingredient_id": "egg", "name": "Egg, large (50 g each)", "grams": 200.0, "note": "4 large eggs"}, {"ingredient_id": "feta", "name": "Feta cheese", "grams": 30.0, "note": ""}, {"ingredient_id": "oregano", "name": "Dried oregano", "grams": 1.0, "note": ""}, {"ingredient_id": "olive_oil", "name": "Extra-virgin olive oil", "grams": 10.0, "note": ""}, {"ingredient_id": "olives", "name": "Olives (kalamata/green)", "grams": 20.0, "note": ""}]</t>
        </is>
      </c>
      <c r="N116" s="2" t="n">
        <v>433</v>
      </c>
      <c r="O116" s="5" t="n">
        <v>31.3</v>
      </c>
      <c r="P116" s="5" t="n">
        <v>30.1</v>
      </c>
      <c r="Q116" s="5" t="n">
        <v>8.9</v>
      </c>
      <c r="R116" s="5" t="n">
        <v>2</v>
      </c>
      <c r="S116" s="5" t="n">
        <v>6.9</v>
      </c>
      <c r="T116" s="2" t="n">
        <v>8</v>
      </c>
      <c r="U116" s="2" t="inlineStr">
        <is>
          <t>low</t>
        </is>
      </c>
      <c r="V116" s="5" t="n">
        <v>0.6</v>
      </c>
      <c r="W116" s="2" t="inlineStr">
        <is>
          <t>low</t>
        </is>
      </c>
      <c r="X116" s="3" t="inlineStr"/>
      <c r="Y116" s="3" t="inlineStr">
        <is>
          <t>0% of this dish's available carbohydrate comes from ingredients with a published, measured GI; the rest uses conventional placeholders (see Ingredients sheet)</t>
        </is>
      </c>
      <c r="Z116" s="2" t="n">
        <v>0</v>
      </c>
      <c r="AA116" s="3" t="inlineStr">
        <is>
          <t>gluten-free, nut-free, low-carb, high-protein, one-pan</t>
        </is>
      </c>
      <c r="AB116" s="3" t="inlineStr">
        <is>
          <t>1. Brown sliced sausage in olive oil; add zucchini and cook 4 minutes.
2. Add tomatoes, olives and oregano; cook 2 minutes.
3. Crack eggs over, cover and cook 5 minutes; top with feta.</t>
        </is>
      </c>
      <c r="AC116" s="4" t="inlineStr">
        <is>
          <t>["Brown sliced sausage in olive oil; add zucchini and cook 4 minutes.", "Add tomatoes, olives and oregano; cook 2 minutes.", "Crack eggs over, cover and cook 5 minutes; top with feta."]</t>
        </is>
      </c>
    </row>
    <row r="117" ht="96" customHeight="1">
      <c r="A117" s="2" t="inlineStr">
        <is>
          <t>DB-0116</t>
        </is>
      </c>
      <c r="B117" s="3" t="inlineStr">
        <is>
          <t>Toasted Coconut Quinoa Porridge</t>
        </is>
      </c>
      <c r="C117" s="4" t="inlineStr">
        <is>
          <t>Breakfast</t>
        </is>
      </c>
      <c r="D117" s="4" t="inlineStr">
        <is>
          <t>American</t>
        </is>
      </c>
      <c r="E117" s="2" t="n">
        <v>2</v>
      </c>
      <c r="F117" s="2" t="n">
        <v>5</v>
      </c>
      <c r="G117" s="2" t="n">
        <v>8</v>
      </c>
      <c r="H117" s="2" t="n">
        <v>13</v>
      </c>
      <c r="I117" s="4" t="inlineStr">
        <is>
          <t>toasted-coconut-quinoa-porridge.jpg</t>
        </is>
      </c>
      <c r="J117" s="3" t="inlineStr">
        <is>
          <t>Toasted Coconut Quinoa Porridge, healthy food photography, plated, natural light</t>
        </is>
      </c>
      <c r="K117" s="4" t="inlineStr"/>
      <c r="L117" s="3" t="inlineStr">
        <is>
          <t>Quinoa, cooked — 250 g (8.8 oz)
Coconut milk, canned light — 200 g (7.1 oz)
Coconut, unsweetened shredded — 10 g (0.4 oz)
Ground cinnamon — 2 g (0.1 oz)
Blueberries — 80 g (2.8 oz)
Almonds — 15 g (0.5 oz)
Stevia (liquid) — 1 g (0.0 oz)</t>
        </is>
      </c>
      <c r="M117" s="4" t="inlineStr">
        <is>
          <t>[{"ingredient_id": "quinoa", "name": "Quinoa, cooked", "grams": 250.0, "note": ""}, {"ingredient_id": "coconut_milk_light", "name": "Coconut milk, canned light", "grams": 200.0, "note": ""}, {"ingredient_id": "coconut_shredded", "name": "Coconut, unsweetened shredded", "grams": 10.0, "note": ""}, {"ingredient_id": "cinnamon", "name": "Ground cinnamon", "grams": 2.0, "note": ""}, {"ingredient_id": "blueberries", "name": "Blueberries", "grams": 80.0, "note": ""}, {"ingredient_id": "almonds", "name": "Almonds", "grams": 15.0, "note": ""}, {"ingredient_id": "stevia", "name": "Stevia (liquid)", "grams": 1.0, "note": ""}]</t>
        </is>
      </c>
      <c r="N117" s="2" t="n">
        <v>320</v>
      </c>
      <c r="O117" s="5" t="n">
        <v>8.4</v>
      </c>
      <c r="P117" s="5" t="n">
        <v>15.5</v>
      </c>
      <c r="Q117" s="5" t="n">
        <v>38.2</v>
      </c>
      <c r="R117" s="5" t="n">
        <v>6.7</v>
      </c>
      <c r="S117" s="5" t="n">
        <v>31.5</v>
      </c>
      <c r="T117" s="2" t="n">
        <v>50</v>
      </c>
      <c r="U117" s="2" t="inlineStr">
        <is>
          <t>low</t>
        </is>
      </c>
      <c r="V117" s="5" t="n">
        <v>15.7</v>
      </c>
      <c r="W117" s="2" t="inlineStr">
        <is>
          <t>medium</t>
        </is>
      </c>
      <c r="X117" s="3" t="inlineStr"/>
      <c r="Y117" s="3" t="inlineStr">
        <is>
          <t>88% of this dish's available carbohydrate comes from ingredients with a published, measured GI; the rest uses conventional placeholders (see Ingredients sheet)</t>
        </is>
      </c>
      <c r="Z117" s="2" t="n">
        <v>88</v>
      </c>
      <c r="AA117" s="3" t="inlineStr">
        <is>
          <t>vegan, gluten-free, dairy-free</t>
        </is>
      </c>
      <c r="AB117" s="3" t="inlineStr">
        <is>
          <t>1. Warm cooked quinoa with coconut milk, cinnamon and stevia 5 minutes.
2. Toast coconut in a dry pan.
3. Top porridge with blueberries, almonds and coconut.</t>
        </is>
      </c>
      <c r="AC117" s="4" t="inlineStr">
        <is>
          <t>["Warm cooked quinoa with coconut milk, cinnamon and stevia 5 minutes.", "Toast coconut in a dry pan.", "Top porridge with blueberries, almonds and coconut."]</t>
        </is>
      </c>
    </row>
    <row r="118" ht="96" customHeight="1">
      <c r="A118" s="2" t="inlineStr">
        <is>
          <t>DB-0117</t>
        </is>
      </c>
      <c r="B118" s="3" t="inlineStr">
        <is>
          <t>Bacon &amp; Brussels Sprout Hash with Eggs</t>
        </is>
      </c>
      <c r="C118" s="4" t="inlineStr">
        <is>
          <t>Breakfast</t>
        </is>
      </c>
      <c r="D118" s="4" t="inlineStr">
        <is>
          <t>American</t>
        </is>
      </c>
      <c r="E118" s="2" t="n">
        <v>2</v>
      </c>
      <c r="F118" s="2" t="n">
        <v>10</v>
      </c>
      <c r="G118" s="2" t="n">
        <v>18</v>
      </c>
      <c r="H118" s="2" t="n">
        <v>28</v>
      </c>
      <c r="I118" s="4" t="inlineStr">
        <is>
          <t>bacon-and-brussels-sprout-hash-with-eggs.jpg</t>
        </is>
      </c>
      <c r="J118" s="3" t="inlineStr">
        <is>
          <t>Bacon &amp; Brussels Sprout Hash with Eggs, healthy food photography, plated, natural light</t>
        </is>
      </c>
      <c r="K118" s="4" t="inlineStr"/>
      <c r="L118" s="3" t="inlineStr">
        <is>
          <t>Brussels sprouts — 300 g (10.6 oz)
Bacon — 45 g (1.6 oz) [3 slices]
Yellow onion — 60 g (2.1 oz)
Egg, large (50 g each) — 200 g (7.1 oz) [4 large eggs]
Extra-virgin olive oil — 8 g (0.3 oz)
Apple cider vinegar — 8 g (0.3 oz)
Salt — 1 g (0.0 oz)
Black pepper — 1 g (0.0 oz)</t>
        </is>
      </c>
      <c r="M118" s="4" t="inlineStr">
        <is>
          <t>[{"ingredient_id": "brussels_sprouts", "name": "Brussels sprouts", "grams": 300.0, "note": ""}, {"ingredient_id": "bacon", "name": "Bacon", "grams": 45.0, "note": "3 slices"}, {"ingredient_id": "onion", "name": "Yellow onion", "grams": 60.0, "note": ""}, {"ingredient_id": "egg", "name": "Egg, large (50 g each)", "grams": 200.0, "note": "4 large eggs"}, {"ingredient_id": "olive_oil", "name": "Extra-virgin olive oil", "grams": 8.0, "note": ""}, {"ingredient_id": "apple_cider_vinegar", "name": "Apple cider vinegar", "grams": 8.0, "note": ""}, {"ingredient_id": "salt", "name": "Salt", "grams": 1.0, "note": ""}, {"ingredient_id": "black_pepper", "name": "Black pepper", "grams": 1.0, "note": ""}]</t>
        </is>
      </c>
      <c r="N118" s="2" t="n">
        <v>379</v>
      </c>
      <c r="O118" s="5" t="n">
        <v>26.4</v>
      </c>
      <c r="P118" s="5" t="n">
        <v>23.4</v>
      </c>
      <c r="Q118" s="5" t="n">
        <v>17.7</v>
      </c>
      <c r="R118" s="5" t="n">
        <v>6.3</v>
      </c>
      <c r="S118" s="5" t="n">
        <v>11.3</v>
      </c>
      <c r="T118" s="2" t="n">
        <v>14</v>
      </c>
      <c r="U118" s="2" t="inlineStr">
        <is>
          <t>low</t>
        </is>
      </c>
      <c r="V118" s="5" t="n">
        <v>1.6</v>
      </c>
      <c r="W118" s="2" t="inlineStr">
        <is>
          <t>low</t>
        </is>
      </c>
      <c r="X118" s="3" t="inlineStr"/>
      <c r="Y118" s="3" t="inlineStr">
        <is>
          <t>0% of this dish's available carbohydrate comes from ingredients with a published, measured GI; the rest uses conventional placeholders (see Ingredients sheet)</t>
        </is>
      </c>
      <c r="Z118" s="2" t="n">
        <v>0</v>
      </c>
      <c r="AA118" s="3" t="inlineStr">
        <is>
          <t>gluten-free, dairy-free, nut-free, low-carb, high-protein, one-pan</t>
        </is>
      </c>
      <c r="AB118" s="3" t="inlineStr">
        <is>
          <t>1. Cook bacon until crisp; remove and crumble.
2. Sauté shredded sprouts and onion in the pan with olive oil until browned, 8 minutes; add vinegar.
3. Make wells, crack in eggs, cover and cook 5 minutes; top with bacon.</t>
        </is>
      </c>
      <c r="AC118" s="4" t="inlineStr">
        <is>
          <t>["Cook bacon until crisp; remove and crumble.", "Sauté shredded sprouts and onion in the pan with olive oil until browned, 8 minutes; add vinegar.", "Make wells, crack in eggs, cover and cook 5 minutes; top with bacon."]</t>
        </is>
      </c>
    </row>
    <row r="119" ht="96" customHeight="1">
      <c r="A119" s="2" t="inlineStr">
        <is>
          <t>DB-0118</t>
        </is>
      </c>
      <c r="B119" s="3" t="inlineStr">
        <is>
          <t>Salmon Avocado Sushi Breakfast Bowl</t>
        </is>
      </c>
      <c r="C119" s="4" t="inlineStr">
        <is>
          <t>Breakfast</t>
        </is>
      </c>
      <c r="D119" s="4" t="inlineStr">
        <is>
          <t>Japanese</t>
        </is>
      </c>
      <c r="E119" s="2" t="n">
        <v>1</v>
      </c>
      <c r="F119" s="2" t="n">
        <v>10</v>
      </c>
      <c r="G119" s="2" t="n">
        <v>0</v>
      </c>
      <c r="H119" s="2" t="n">
        <v>10</v>
      </c>
      <c r="I119" s="4" t="inlineStr">
        <is>
          <t>salmon-avocado-sushi-breakfast-bowl.jpg</t>
        </is>
      </c>
      <c r="J119" s="3" t="inlineStr">
        <is>
          <t>Salmon Avocado Sushi Breakfast Bowl, healthy food photography, plated, natural light</t>
        </is>
      </c>
      <c r="K119" s="4" t="inlineStr"/>
      <c r="L119" s="3" t="inlineStr">
        <is>
          <t>Smoked salmon — 80 g (2.8 oz)
Cauliflower rice — 150 g (5.3 oz) [steamed, cooled]
Avocado — 60 g (2.1 oz)
Cucumber — 60 g (2.1 oz)
Nori seaweed sheets — 2 g (0.1 oz)
Sesame seeds — 4 g (0.1 oz)
Tamari (gluten-free soy sauce) — 8 g (0.3 oz)
Rice vinegar, unseasoned — 8 g (0.3 oz)
Egg, large (50 g each) — 50 g (1.8 oz) [1 soft-boiled egg]</t>
        </is>
      </c>
      <c r="M119" s="4" t="inlineStr">
        <is>
          <t>[{"ingredient_id": "smoked_salmon", "name": "Smoked salmon", "grams": 80.0, "note": ""}, {"ingredient_id": "cauliflower_rice", "name": "Cauliflower rice", "grams": 150.0, "note": "steamed, cooled"}, {"ingredient_id": "avocado", "name": "Avocado", "grams": 60.0, "note": ""}, {"ingredient_id": "cucumber", "name": "Cucumber", "grams": 60.0, "note": ""}, {"ingredient_id": "nori", "name": "Nori seaweed sheets", "grams": 2.0, "note": ""}, {"ingredient_id": "sesame_seeds", "name": "Sesame seeds", "grams": 4.0, "note": ""}, {"ingredient_id": "tamari", "name": "Tamari (gluten-free soy sauce)", "grams": 8.0, "note": ""}, {"ingredient_id": "rice_vinegar", "name": "Rice vinegar, unseasoned", "grams": 8.0, "note": ""}, {"ingredient_id": "egg", "name": "Egg, large (50 g each)", "grams": 50.0, "note": "1 soft-boiled egg"}]</t>
        </is>
      </c>
      <c r="N119" s="2" t="n">
        <v>337</v>
      </c>
      <c r="O119" s="5" t="n">
        <v>26.8</v>
      </c>
      <c r="P119" s="5" t="n">
        <v>19.7</v>
      </c>
      <c r="Q119" s="5" t="n">
        <v>16.6</v>
      </c>
      <c r="R119" s="5" t="n">
        <v>7.9</v>
      </c>
      <c r="S119" s="5" t="n">
        <v>8.699999999999999</v>
      </c>
      <c r="T119" s="2" t="n">
        <v>16</v>
      </c>
      <c r="U119" s="2" t="inlineStr">
        <is>
          <t>low</t>
        </is>
      </c>
      <c r="V119" s="5" t="n">
        <v>1.4</v>
      </c>
      <c r="W119" s="2" t="inlineStr">
        <is>
          <t>low</t>
        </is>
      </c>
      <c r="X119" s="3" t="inlineStr"/>
      <c r="Y119" s="3" t="inlineStr">
        <is>
          <t>0% of this dish's available carbohydrate comes from ingredients with a published, measured GI; the rest uses conventional placeholders (see Ingredients sheet)</t>
        </is>
      </c>
      <c r="Z119" s="2" t="n">
        <v>0</v>
      </c>
      <c r="AA119" s="3" t="inlineStr">
        <is>
          <t>pescatarian, gluten-free, dairy-free, nut-free, low-carb, high-protein, high-fiber, no-cook, omega-3</t>
        </is>
      </c>
      <c r="AB119" s="3" t="inlineStr">
        <is>
          <t>1. Season cooled cauliflower rice with rice vinegar.
2. Top with salmon, avocado, cucumber, torn nori and a halved soft-boiled egg.
3. Sprinkle sesame seeds and drizzle with tamari.</t>
        </is>
      </c>
      <c r="AC119" s="4" t="inlineStr">
        <is>
          <t>["Season cooled cauliflower rice with rice vinegar.", "Top with salmon, avocado, cucumber, torn nori and a halved soft-boiled egg.", "Sprinkle sesame seeds and drizzle with tamari."]</t>
        </is>
      </c>
    </row>
    <row r="120" ht="96" customHeight="1">
      <c r="A120" s="2" t="inlineStr">
        <is>
          <t>DB-0119</t>
        </is>
      </c>
      <c r="B120" s="3" t="inlineStr">
        <is>
          <t>Cranberry Orange Baked Oatmeal</t>
        </is>
      </c>
      <c r="C120" s="4" t="inlineStr">
        <is>
          <t>Breakfast</t>
        </is>
      </c>
      <c r="D120" s="4" t="inlineStr">
        <is>
          <t>American</t>
        </is>
      </c>
      <c r="E120" s="2" t="n">
        <v>6</v>
      </c>
      <c r="F120" s="2" t="n">
        <v>10</v>
      </c>
      <c r="G120" s="2" t="n">
        <v>35</v>
      </c>
      <c r="H120" s="2" t="n">
        <v>45</v>
      </c>
      <c r="I120" s="4" t="inlineStr">
        <is>
          <t>cranberry-orange-baked-oatmeal.jpg</t>
        </is>
      </c>
      <c r="J120" s="3" t="inlineStr">
        <is>
          <t>Cranberry Orange Baked Oatmeal, healthy food photography, plated, natural light</t>
        </is>
      </c>
      <c r="K120" s="4" t="inlineStr"/>
      <c r="L120" s="3" t="inlineStr">
        <is>
          <t>Rolled oats, dry — 180 g (6.3 oz)
Egg, large (50 g each) — 100 g (3.5 oz) [2 large eggs]
Almond milk, unsweetened — 350 g (12.3 oz)
Cranberries, fresh — 100 g (3.5 oz)
Orange — 60 g (2.1 oz) [zest + juice]
Pecans — 40 g (1.4 oz)
Ground cinnamon — 2 g (0.1 oz)
Baking powder — 4 g (0.1 oz)
Monk fruit/erythritol sweetener — 20 g (0.7 oz)
Vanilla extract — 4 g (0.1 oz)</t>
        </is>
      </c>
      <c r="M120" s="4" t="inlineStr">
        <is>
          <t>[{"ingredient_id": "rolled_oats", "name": "Rolled oats, dry", "grams": 180.0, "note": ""}, {"ingredient_id": "egg", "name": "Egg, large (50 g each)", "grams": 100.0, "note": "2 large eggs"}, {"ingredient_id": "almond_milk", "name": "Almond milk, unsweetened", "grams": 350.0, "note": ""}, {"ingredient_id": "cranberries", "name": "Cranberries, fresh", "grams": 100.0, "note": ""}, {"ingredient_id": "orange", "name": "Orange", "grams": 60.0, "note": "zest + juice"}, {"ingredient_id": "pecans", "name": "Pecans", "grams": 40.0, "note": ""}, {"ingredient_id": "cinnamon", "name": "Ground cinnamon", "grams": 2.0, "note": ""}, {"ingredient_id": "baking_powder", "name": "Baking powder", "grams": 4.0, "note": ""}, {"ingredient_id": "monk_fruit_sweetener", "name": "Monk fruit/erythritol sweetener", "grams": 20.0, "note": ""}, {"ingredient_id": "vanilla_extract", "name": "Vanilla extract", "grams": 4.0, "note": ""}]</t>
        </is>
      </c>
      <c r="N120" s="2" t="n">
        <v>208</v>
      </c>
      <c r="O120" s="5" t="n">
        <v>7.1</v>
      </c>
      <c r="P120" s="5" t="n">
        <v>9.1</v>
      </c>
      <c r="Q120" s="5" t="n">
        <v>25.5</v>
      </c>
      <c r="R120" s="5" t="n">
        <v>4.8</v>
      </c>
      <c r="S120" s="5" t="n">
        <v>20.7</v>
      </c>
      <c r="T120" s="2" t="n">
        <v>53</v>
      </c>
      <c r="U120" s="2" t="inlineStr">
        <is>
          <t>low</t>
        </is>
      </c>
      <c r="V120" s="5" t="n">
        <v>11</v>
      </c>
      <c r="W120" s="2" t="inlineStr">
        <is>
          <t>medium</t>
        </is>
      </c>
      <c r="X120" s="3" t="inlineStr"/>
      <c r="Y120" s="3" t="inlineStr">
        <is>
          <t>89% of this dish's available carbohydrate comes from ingredients with a published, measured GI; the rest uses conventional placeholders (see Ingredients sheet)</t>
        </is>
      </c>
      <c r="Z120" s="2" t="n">
        <v>89</v>
      </c>
      <c r="AA120" s="3" t="inlineStr">
        <is>
          <t>vegetarian, dairy-free, make-ahead</t>
        </is>
      </c>
      <c r="AB120" s="3" t="inlineStr">
        <is>
          <t>1. Preheat oven to 350°F; oil an 8x8 dish.
2. Whisk eggs, almond milk, orange zest and juice, vanilla and sweetener; stir in oats, baking powder, cinnamon, cranberries and pecans.
3. Bake 30–35 minutes until golden. Cut into squares.</t>
        </is>
      </c>
      <c r="AC120" s="4" t="inlineStr">
        <is>
          <t>["Preheat oven to 350°F; oil an 8x8 dish.", "Whisk eggs, almond milk, orange zest and juice, vanilla and sweetener; stir in oats, baking powder, cinnamon, cranberries and pecans.", "Bake 30–35 minutes until golden. Cut into squares."]</t>
        </is>
      </c>
    </row>
    <row r="121" ht="96" customHeight="1">
      <c r="A121" s="2" t="inlineStr">
        <is>
          <t>DB-0120</t>
        </is>
      </c>
      <c r="B121" s="3" t="inlineStr">
        <is>
          <t>Egg White Veggie Pizza Omelet</t>
        </is>
      </c>
      <c r="C121" s="4" t="inlineStr">
        <is>
          <t>Breakfast</t>
        </is>
      </c>
      <c r="D121" s="4" t="inlineStr">
        <is>
          <t>Italian</t>
        </is>
      </c>
      <c r="E121" s="2" t="n">
        <v>1</v>
      </c>
      <c r="F121" s="2" t="n">
        <v>5</v>
      </c>
      <c r="G121" s="2" t="n">
        <v>8</v>
      </c>
      <c r="H121" s="2" t="n">
        <v>13</v>
      </c>
      <c r="I121" s="4" t="inlineStr">
        <is>
          <t>egg-white-veggie-pizza-omelet.jpg</t>
        </is>
      </c>
      <c r="J121" s="3" t="inlineStr">
        <is>
          <t>Egg White Veggie Pizza Omelet, healthy food photography, plated, natural light</t>
        </is>
      </c>
      <c r="K121" s="4" t="inlineStr"/>
      <c r="L121" s="3" t="inlineStr">
        <is>
          <t>Egg whites — 180 g (6.3 oz) [6 egg whites]
Marinara sauce, no sugar added — 40 g (1.4 oz)
Mozzarella, part-skim — 30 g (1.1 oz)
Mushrooms (cremini/white) — 50 g (1.8 oz)
Bell pepper — 40 g (1.4 oz)
Italian seasoning — 1 g (0.0 oz)
Extra-virgin olive oil — 5 g (0.2 oz)</t>
        </is>
      </c>
      <c r="M121" s="4" t="inlineStr">
        <is>
          <t>[{"ingredient_id": "egg_white", "name": "Egg whites", "grams": 180.0, "note": "6 egg whites"}, {"ingredient_id": "marinara", "name": "Marinara sauce, no sugar added", "grams": 40.0, "note": ""}, {"ingredient_id": "mozzarella", "name": "Mozzarella, part-skim", "grams": 30.0, "note": ""}, {"ingredient_id": "mushrooms", "name": "Mushrooms (cremini/white)", "grams": 50.0, "note": ""}, {"ingredient_id": "bell_pepper", "name": "Bell pepper", "grams": 40.0, "note": ""}, {"ingredient_id": "italian_seasoning", "name": "Italian seasoning", "grams": 1.0, "note": ""}, {"ingredient_id": "olive_oil", "name": "Extra-virgin olive oil", "grams": 5.0, "note": ""}]</t>
        </is>
      </c>
      <c r="N121" s="2" t="n">
        <v>258</v>
      </c>
      <c r="O121" s="5" t="n">
        <v>29.6</v>
      </c>
      <c r="P121" s="5" t="n">
        <v>11.5</v>
      </c>
      <c r="Q121" s="5" t="n">
        <v>8.9</v>
      </c>
      <c r="R121" s="5" t="n">
        <v>2.4</v>
      </c>
      <c r="S121" s="5" t="n">
        <v>6.5</v>
      </c>
      <c r="T121" s="2" t="n">
        <v>14</v>
      </c>
      <c r="U121" s="2" t="inlineStr">
        <is>
          <t>low</t>
        </is>
      </c>
      <c r="V121" s="5" t="n">
        <v>0.9</v>
      </c>
      <c r="W121" s="2" t="inlineStr">
        <is>
          <t>low</t>
        </is>
      </c>
      <c r="X121" s="3" t="inlineStr"/>
      <c r="Y121" s="3" t="inlineStr">
        <is>
          <t>21% of this dish's available carbohydrate comes from ingredients with a published, measured GI; the rest uses conventional placeholders (see Ingredients sheet)</t>
        </is>
      </c>
      <c r="Z121" s="2" t="n">
        <v>21</v>
      </c>
      <c r="AA121" s="3" t="inlineStr">
        <is>
          <t>vegetarian, gluten-free, nut-free, low-carb, high-protein, quick</t>
        </is>
      </c>
      <c r="AB121" s="3" t="inlineStr">
        <is>
          <t>1. Sauté mushrooms and pepper in olive oil.
2. Pour in egg whites with Italian seasoning; cook until set.
3. Spread marinara on top, add mozzarella and broil 2 minutes.</t>
        </is>
      </c>
      <c r="AC121" s="4" t="inlineStr">
        <is>
          <t>["Sauté mushrooms and pepper in olive oil.", "Pour in egg whites with Italian seasoning; cook until set.", "Spread marinara on top, add mozzarella and broil 2 minutes."]</t>
        </is>
      </c>
    </row>
    <row r="122" ht="96" customHeight="1">
      <c r="A122" s="2" t="inlineStr">
        <is>
          <t>DB-0121</t>
        </is>
      </c>
      <c r="B122" s="3" t="inlineStr">
        <is>
          <t>Keto Almond Flour Waffles</t>
        </is>
      </c>
      <c r="C122" s="4" t="inlineStr">
        <is>
          <t>Breakfast</t>
        </is>
      </c>
      <c r="D122" s="4" t="inlineStr">
        <is>
          <t>American</t>
        </is>
      </c>
      <c r="E122" s="2" t="n">
        <v>2</v>
      </c>
      <c r="F122" s="2" t="n">
        <v>5</v>
      </c>
      <c r="G122" s="2" t="n">
        <v>10</v>
      </c>
      <c r="H122" s="2" t="n">
        <v>15</v>
      </c>
      <c r="I122" s="4" t="inlineStr">
        <is>
          <t>keto-almond-flour-waffles.jpg</t>
        </is>
      </c>
      <c r="J122" s="3" t="inlineStr">
        <is>
          <t>Keto Almond Flour Waffles, healthy food photography, plated, natural light</t>
        </is>
      </c>
      <c r="K122" s="4" t="inlineStr"/>
      <c r="L122" s="3" t="inlineStr">
        <is>
          <t>Almond flour — 90 g (3.2 oz)
Egg, large (50 g each) — 100 g (3.5 oz) [2 large eggs]
Almond milk, unsweetened — 60 g (2.1 oz)
Baking powder — 4 g (0.1 oz)
Vanilla extract — 3 g (0.1 oz)
Monk fruit/erythritol sweetener — 8 g (0.3 oz)
Butter — 10 g (0.4 oz)
Blackberries — 80 g (2.8 oz)
Greek yogurt, plain 2% — 80 g (2.8 oz)</t>
        </is>
      </c>
      <c r="M122" s="4" t="inlineStr">
        <is>
          <t>[{"ingredient_id": "almond_flour", "name": "Almond flour", "grams": 90.0, "note": ""}, {"ingredient_id": "egg", "name": "Egg, large (50 g each)", "grams": 100.0, "note": "2 large eggs"}, {"ingredient_id": "almond_milk", "name": "Almond milk, unsweetened", "grams": 60.0, "note": ""}, {"ingredient_id": "baking_powder", "name": "Baking powder", "grams": 4.0, "note": ""}, {"ingredient_id": "vanilla_extract", "name": "Vanilla extract", "grams": 3.0, "note": ""}, {"ingredient_id": "monk_fruit_sweetener", "name": "Monk fruit/erythritol sweetener", "grams": 8.0, "note": ""}, {"ingredient_id": "butter", "name": "Butter", "grams": 10.0, "note": ""}, {"ingredient_id": "blackberries", "name": "Blackberries", "grams": 80.0, "note": ""}, {"ingredient_id": "greek_yogurt", "name": "Greek yogurt, plain 2%", "grams": 80.0, "note": ""}]</t>
        </is>
      </c>
      <c r="N122" s="2" t="n">
        <v>429</v>
      </c>
      <c r="O122" s="5" t="n">
        <v>20.5</v>
      </c>
      <c r="P122" s="5" t="n">
        <v>32.7</v>
      </c>
      <c r="Q122" s="5" t="n">
        <v>16.2</v>
      </c>
      <c r="R122" s="5" t="n">
        <v>7.5</v>
      </c>
      <c r="S122" s="5" t="n">
        <v>8.699999999999999</v>
      </c>
      <c r="T122" s="2" t="n">
        <v>15</v>
      </c>
      <c r="U122" s="2" t="inlineStr">
        <is>
          <t>low</t>
        </is>
      </c>
      <c r="V122" s="5" t="n">
        <v>1.3</v>
      </c>
      <c r="W122" s="2" t="inlineStr">
        <is>
          <t>low</t>
        </is>
      </c>
      <c r="X122" s="3" t="inlineStr"/>
      <c r="Y122" s="3" t="inlineStr">
        <is>
          <t>18% of this dish's available carbohydrate comes from ingredients with a published, measured GI; the rest uses conventional placeholders (see Ingredients sheet)</t>
        </is>
      </c>
      <c r="Z122" s="2" t="n">
        <v>18</v>
      </c>
      <c r="AA122" s="3" t="inlineStr">
        <is>
          <t>vegetarian, gluten-free, low-carb, high-fiber</t>
        </is>
      </c>
      <c r="AB122" s="3" t="inlineStr">
        <is>
          <t>1. Whisk eggs, almond milk, melted butter, vanilla and sweetener; stir in almond flour and baking powder.
2. Cook in a hot waffle iron 4 minutes until crisp.
3. Top with yogurt and blackberries.</t>
        </is>
      </c>
      <c r="AC122" s="4" t="inlineStr">
        <is>
          <t>["Whisk eggs, almond milk, melted butter, vanilla and sweetener; stir in almond flour and baking powder.", "Cook in a hot waffle iron 4 minutes until crisp.", "Top with yogurt and blackberries."]</t>
        </is>
      </c>
    </row>
    <row r="123" ht="96" customHeight="1">
      <c r="A123" s="2" t="inlineStr">
        <is>
          <t>DB-0122</t>
        </is>
      </c>
      <c r="B123" s="3" t="inlineStr">
        <is>
          <t>Sweet Corn &amp; Poblano Egg Skillet</t>
        </is>
      </c>
      <c r="C123" s="4" t="inlineStr">
        <is>
          <t>Breakfast</t>
        </is>
      </c>
      <c r="D123" s="4" t="inlineStr">
        <is>
          <t>Tex-Mex</t>
        </is>
      </c>
      <c r="E123" s="2" t="n">
        <v>2</v>
      </c>
      <c r="F123" s="2" t="n">
        <v>10</v>
      </c>
      <c r="G123" s="2" t="n">
        <v>12</v>
      </c>
      <c r="H123" s="2" t="n">
        <v>22</v>
      </c>
      <c r="I123" s="4" t="inlineStr">
        <is>
          <t>sweet-corn-and-poblano-egg-skillet.jpg</t>
        </is>
      </c>
      <c r="J123" s="3" t="inlineStr">
        <is>
          <t>Sweet Corn &amp; Poblano Egg Skillet, healthy food photography, plated, natural light</t>
        </is>
      </c>
      <c r="K123" s="4" t="inlineStr"/>
      <c r="L123" s="3" t="inlineStr">
        <is>
          <t>Egg, large (50 g each) — 200 g (7.1 oz) [4 large eggs]
Sweet corn kernels — 80 g (2.8 oz)
Poblano pepper — 100 g (3.5 oz)
Yellow onion — 50 g (1.8 oz)
Cotija cheese — 25 g (0.9 oz)
Extra-virgin olive oil — 10 g (0.4 oz)
Fresh cilantro — 5 g (0.2 oz)
Lime — 15 g (0.5 oz)
Salt — 1 g (0.0 oz)</t>
        </is>
      </c>
      <c r="M123" s="4" t="inlineStr">
        <is>
          <t>[{"ingredient_id": "egg", "name": "Egg, large (50 g each)", "grams": 200.0, "note": "4 large eggs"}, {"ingredient_id": "corn", "name": "Sweet corn kernels", "grams": 80.0, "note": ""}, {"ingredient_id": "poblano", "name": "Poblano pepper", "grams": 100.0, "note": ""}, {"ingredient_id": "onion", "name": "Yellow onion", "grams": 50.0, "note": ""}, {"ingredient_id": "cotija", "name": "Cotija cheese", "grams": 25.0, "note": ""}, {"ingredient_id": "olive_oil", "name": "Extra-virgin olive oil", "grams": 10.0, "note": ""}, {"ingredient_id": "cilantro", "name": "Fresh cilantro", "grams": 5.0, "note": ""}, {"ingredient_id": "lime", "name": "Lime", "grams": 15.0, "note": ""}, {"ingredient_id": "salt", "name": "Salt", "grams": 1.0, "note": ""}]</t>
        </is>
      </c>
      <c r="N123" s="2" t="n">
        <v>290</v>
      </c>
      <c r="O123" s="5" t="n">
        <v>17.3</v>
      </c>
      <c r="P123" s="5" t="n">
        <v>18.9</v>
      </c>
      <c r="Q123" s="5" t="n">
        <v>14.3</v>
      </c>
      <c r="R123" s="5" t="n">
        <v>2.6</v>
      </c>
      <c r="S123" s="5" t="n">
        <v>11.7</v>
      </c>
      <c r="T123" s="2" t="n">
        <v>34</v>
      </c>
      <c r="U123" s="2" t="inlineStr">
        <is>
          <t>low</t>
        </is>
      </c>
      <c r="V123" s="5" t="n">
        <v>4</v>
      </c>
      <c r="W123" s="2" t="inlineStr">
        <is>
          <t>low</t>
        </is>
      </c>
      <c r="X123" s="3" t="inlineStr"/>
      <c r="Y123" s="3" t="inlineStr">
        <is>
          <t>56% of this dish's available carbohydrate comes from ingredients with a published, measured GI; the rest uses conventional placeholders (see Ingredients sheet)</t>
        </is>
      </c>
      <c r="Z123" s="2" t="n">
        <v>56</v>
      </c>
      <c r="AA123" s="3" t="inlineStr">
        <is>
          <t>vegetarian, gluten-free, nut-free, low-carb, quick</t>
        </is>
      </c>
      <c r="AB123" s="3" t="inlineStr">
        <is>
          <t>1. Char poblano and onion in olive oil 5 minutes; add corn and cook 2 minutes.
2. Add whisked eggs and scramble softly.
3. Top with cotija, cilantro and lime.</t>
        </is>
      </c>
      <c r="AC123" s="4" t="inlineStr">
        <is>
          <t>["Char poblano and onion in olive oil 5 minutes; add corn and cook 2 minutes.", "Add whisked eggs and scramble softly.", "Top with cotija, cilantro and lime."]</t>
        </is>
      </c>
    </row>
    <row r="124" ht="96" customHeight="1">
      <c r="A124" s="2" t="inlineStr">
        <is>
          <t>DB-0123</t>
        </is>
      </c>
      <c r="B124" s="3" t="inlineStr">
        <is>
          <t>Kimchi Fried Cauliflower Rice with Egg</t>
        </is>
      </c>
      <c r="C124" s="4" t="inlineStr">
        <is>
          <t>Breakfast</t>
        </is>
      </c>
      <c r="D124" s="4" t="inlineStr">
        <is>
          <t>Korean</t>
        </is>
      </c>
      <c r="E124" s="2" t="n">
        <v>2</v>
      </c>
      <c r="F124" s="2" t="n">
        <v>5</v>
      </c>
      <c r="G124" s="2" t="n">
        <v>12</v>
      </c>
      <c r="H124" s="2" t="n">
        <v>17</v>
      </c>
      <c r="I124" s="4" t="inlineStr">
        <is>
          <t>kimchi-fried-cauliflower-rice-with-egg.jpg</t>
        </is>
      </c>
      <c r="J124" s="3" t="inlineStr">
        <is>
          <t>Kimchi Fried Cauliflower Rice with Egg, healthy food photography, plated, natural light</t>
        </is>
      </c>
      <c r="K124" s="4" t="inlineStr"/>
      <c r="L124" s="3" t="inlineStr">
        <is>
          <t>Cauliflower rice — 350 g (12.3 oz)
Kimchi — 120 g (4.2 oz)
Egg, large (50 g each) — 200 g (7.1 oz) [4 large eggs]
Green onions (scallions) — 20 g (0.7 oz)
Tamari (gluten-free soy sauce) — 10 g (0.4 oz)
Toasted sesame oil — 6 g (0.2 oz)
Avocado oil — 8 g (0.3 oz)
Sesame seeds — 4 g (0.1 oz)</t>
        </is>
      </c>
      <c r="M124" s="4" t="inlineStr">
        <is>
          <t>[{"ingredient_id": "cauliflower_rice", "name": "Cauliflower rice", "grams": 350.0, "note": ""}, {"ingredient_id": "kimchi", "name": "Kimchi", "grams": 120.0, "note": ""}, {"ingredient_id": "egg", "name": "Egg, large (50 g each)", "grams": 200.0, "note": "4 large eggs"}, {"ingredient_id": "green_onion", "name": "Green onions (scallions)", "grams": 20.0, "note": ""}, {"ingredient_id": "tamari", "name": "Tamari (gluten-free soy sauce)", "grams": 10.0, "note": ""}, {"ingredient_id": "sesame_oil", "name": "Toasted sesame oil", "grams": 6.0, "note": ""}, {"ingredient_id": "avocado_oil", "name": "Avocado oil", "grams": 8.0, "note": ""}, {"ingredient_id": "sesame_seeds", "name": "Sesame seeds", "grams": 4.0, "note": ""}]</t>
        </is>
      </c>
      <c r="N124" s="2" t="n">
        <v>275</v>
      </c>
      <c r="O124" s="5" t="n">
        <v>17.6</v>
      </c>
      <c r="P124" s="5" t="n">
        <v>18.3</v>
      </c>
      <c r="Q124" s="5" t="n">
        <v>12.3</v>
      </c>
      <c r="R124" s="5" t="n">
        <v>5</v>
      </c>
      <c r="S124" s="5" t="n">
        <v>7.3</v>
      </c>
      <c r="T124" s="2" t="n">
        <v>14</v>
      </c>
      <c r="U124" s="2" t="inlineStr">
        <is>
          <t>low</t>
        </is>
      </c>
      <c r="V124" s="5" t="n">
        <v>1</v>
      </c>
      <c r="W124" s="2" t="inlineStr">
        <is>
          <t>low</t>
        </is>
      </c>
      <c r="X124" s="3" t="inlineStr"/>
      <c r="Y124" s="3" t="inlineStr">
        <is>
          <t>0% of this dish's available carbohydrate comes from ingredients with a published, measured GI; the rest uses conventional placeholders (see Ingredients sheet)</t>
        </is>
      </c>
      <c r="Z124" s="2" t="n">
        <v>0</v>
      </c>
      <c r="AA124" s="3" t="inlineStr">
        <is>
          <t>vegetarian, gluten-free, dairy-free, nut-free, low-carb, probiotic</t>
        </is>
      </c>
      <c r="AB124" s="3" t="inlineStr">
        <is>
          <t>1. Stir-fry cauliflower rice in avocado oil 4 minutes; add chopped kimchi and tamari and cook 3 minutes.
2. Push aside, scramble 2 eggs in the pan and mix through; add sesame oil.
3. Fry remaining 2 eggs and serve on top with green onion and sesame seeds.</t>
        </is>
      </c>
      <c r="AC124" s="4" t="inlineStr">
        <is>
          <t>["Stir-fry cauliflower rice in avocado oil 4 minutes; add chopped kimchi and tamari and cook 3 minutes.", "Push aside, scramble 2 eggs in the pan and mix through; add sesame oil.", "Fry remaining 2 eggs and serve on top with green onion and sesame seeds."]</t>
        </is>
      </c>
    </row>
    <row r="125" ht="96" customHeight="1">
      <c r="A125" s="2" t="inlineStr">
        <is>
          <t>DB-0124</t>
        </is>
      </c>
      <c r="B125" s="3" t="inlineStr">
        <is>
          <t>Peanut Butter Banana Protein Oatmeal</t>
        </is>
      </c>
      <c r="C125" s="4" t="inlineStr">
        <is>
          <t>Breakfast</t>
        </is>
      </c>
      <c r="D125" s="4" t="inlineStr">
        <is>
          <t>American</t>
        </is>
      </c>
      <c r="E125" s="2" t="n">
        <v>1</v>
      </c>
      <c r="F125" s="2" t="n">
        <v>3</v>
      </c>
      <c r="G125" s="2" t="n">
        <v>7</v>
      </c>
      <c r="H125" s="2" t="n">
        <v>10</v>
      </c>
      <c r="I125" s="4" t="inlineStr">
        <is>
          <t>peanut-butter-banana-protein-oatmeal.jpg</t>
        </is>
      </c>
      <c r="J125" s="3" t="inlineStr">
        <is>
          <t>Peanut Butter Banana Protein Oatmeal, healthy food photography, plated, natural light</t>
        </is>
      </c>
      <c r="K125" s="4" t="inlineStr"/>
      <c r="L125" s="3" t="inlineStr">
        <is>
          <t>Rolled oats, dry — 40 g (1.4 oz)
Almond milk, unsweetened — 220 g (7.8 oz)
Whey protein powder, unsweetened — 20 g (0.7 oz)
Peanut butter, natural — 12 g (0.4 oz)
Banana (small amount) — 40 g (1.4 oz)
Ground cinnamon — 1 g (0.0 oz)
Chia seeds — 6 g (0.2 oz)</t>
        </is>
      </c>
      <c r="M125" s="4" t="inlineStr">
        <is>
          <t>[{"ingredient_id": "rolled_oats", "name": "Rolled oats, dry", "grams": 40.0, "note": ""}, {"ingredient_id": "almond_milk", "name": "Almond milk, unsweetened", "grams": 220.0, "note": ""}, {"ingredient_id": "whey_protein", "name": "Whey protein powder, unsweetened", "grams": 20.0, "note": ""}, {"ingredient_id": "peanut_butter", "name": "Peanut butter, natural", "grams": 12.0, "note": ""}, {"ingredient_id": "banana", "name": "Banana (small amount)", "grams": 40.0, "note": ""}, {"ingredient_id": "cinnamon", "name": "Ground cinnamon", "grams": 1.0, "note": ""}, {"ingredient_id": "chia_seeds", "name": "Chia seeds", "grams": 6.0, "note": ""}]</t>
        </is>
      </c>
      <c r="N125" s="2" t="n">
        <v>398</v>
      </c>
      <c r="O125" s="5" t="n">
        <v>26.6</v>
      </c>
      <c r="P125" s="5" t="n">
        <v>14.2</v>
      </c>
      <c r="Q125" s="5" t="n">
        <v>45.1</v>
      </c>
      <c r="R125" s="5" t="n">
        <v>8.5</v>
      </c>
      <c r="S125" s="5" t="n">
        <v>36.5</v>
      </c>
      <c r="T125" s="2" t="n">
        <v>51</v>
      </c>
      <c r="U125" s="2" t="inlineStr">
        <is>
          <t>low</t>
        </is>
      </c>
      <c r="V125" s="5" t="n">
        <v>18.6</v>
      </c>
      <c r="W125" s="2" t="inlineStr">
        <is>
          <t>medium</t>
        </is>
      </c>
      <c r="X125" s="3" t="inlineStr"/>
      <c r="Y125" s="3" t="inlineStr">
        <is>
          <t>90% of this dish's available carbohydrate comes from ingredients with a published, measured GI; the rest uses conventional placeholders (see Ingredients sheet)</t>
        </is>
      </c>
      <c r="Z125" s="2" t="n">
        <v>90</v>
      </c>
      <c r="AA125" s="3" t="inlineStr">
        <is>
          <t>vegetarian, high-protein, high-fiber, quick</t>
        </is>
      </c>
      <c r="AB125" s="3" t="inlineStr">
        <is>
          <t>1. Cook oats in almond milk 5 minutes.
2. Off heat stir in protein powder and chia.
3. Top with sliced banana, peanut butter and cinnamon.</t>
        </is>
      </c>
      <c r="AC125" s="4" t="inlineStr">
        <is>
          <t>["Cook oats in almond milk 5 minutes.", "Off heat stir in protein powder and chia.", "Top with sliced banana, peanut butter and cinnamon."]</t>
        </is>
      </c>
    </row>
    <row r="126" ht="96" customHeight="1">
      <c r="A126" s="2" t="inlineStr">
        <is>
          <t>DB-0125</t>
        </is>
      </c>
      <c r="B126" s="3" t="inlineStr">
        <is>
          <t>Italian Sausage &amp; Pepper Egg Muffins</t>
        </is>
      </c>
      <c r="C126" s="4" t="inlineStr">
        <is>
          <t>Breakfast</t>
        </is>
      </c>
      <c r="D126" s="4" t="inlineStr">
        <is>
          <t>Italian</t>
        </is>
      </c>
      <c r="E126" s="2" t="n">
        <v>6</v>
      </c>
      <c r="F126" s="2" t="n">
        <v>10</v>
      </c>
      <c r="G126" s="2" t="n">
        <v>22</v>
      </c>
      <c r="H126" s="2" t="n">
        <v>32</v>
      </c>
      <c r="I126" s="4" t="inlineStr">
        <is>
          <t>italian-sausage-and-pepper-egg-muffins.jpg</t>
        </is>
      </c>
      <c r="J126" s="3" t="inlineStr">
        <is>
          <t>Italian Sausage &amp; Pepper Egg Muffins, healthy food photography, plated, natural light</t>
        </is>
      </c>
      <c r="K126" s="4" t="inlineStr"/>
      <c r="L126" s="3" t="inlineStr">
        <is>
          <t>Egg, large (50 g each) — 450 g (15.9 oz) [9 large eggs]
Chicken sausage — 200 g (7.1 oz)
Bell pepper — 120 g (4.2 oz)
Yellow onion — 50 g (1.8 oz)
Mozzarella, part-skim — 80 g (2.8 oz)
Italian seasoning — 2 g (0.1 oz)
Salt — 2 g (0.1 oz)
Extra-virgin olive oil — 5 g (0.2 oz)</t>
        </is>
      </c>
      <c r="M126" s="4" t="inlineStr">
        <is>
          <t>[{"ingredient_id": "egg", "name": "Egg, large (50 g each)", "grams": 450.0, "note": "9 large eggs"}, {"ingredient_id": "chicken_sausage", "name": "Chicken sausage", "grams": 200.0, "note": ""}, {"ingredient_id": "bell_pepper", "name": "Bell pepper", "grams": 120.0, "note": ""}, {"ingredient_id": "onion", "name": "Yellow onion", "grams": 50.0, "note": ""}, {"ingredient_id": "mozzarella", "name": "Mozzarella, part-skim", "grams": 80.0, "note": ""}, {"ingredient_id": "italian_seasoning", "name": "Italian seasoning", "grams": 2.0, "note": ""}, {"ingredient_id": "salt", "name": "Salt", "grams": 2.0, "note": ""}, {"ingredient_id": "olive_oil", "name": "Extra-virgin olive oil", "grams": 5.0, "note": ""}]</t>
        </is>
      </c>
      <c r="N126" s="2" t="n">
        <v>216</v>
      </c>
      <c r="O126" s="5" t="n">
        <v>18</v>
      </c>
      <c r="P126" s="5" t="n">
        <v>13.8</v>
      </c>
      <c r="Q126" s="5" t="n">
        <v>3.8</v>
      </c>
      <c r="R126" s="5" t="n">
        <v>0.7</v>
      </c>
      <c r="S126" s="5" t="n">
        <v>3.1</v>
      </c>
      <c r="T126" s="2" t="n">
        <v>7</v>
      </c>
      <c r="U126" s="2" t="inlineStr">
        <is>
          <t>low</t>
        </is>
      </c>
      <c r="V126" s="5" t="n">
        <v>0.2</v>
      </c>
      <c r="W126" s="2" t="inlineStr">
        <is>
          <t>low</t>
        </is>
      </c>
      <c r="X126" s="3" t="inlineStr">
        <is>
          <t>Negligible carbohydrate (&lt;5 g net/serving): GI has little practical meaning, glycemic load is what matters.</t>
        </is>
      </c>
      <c r="Y126" s="3" t="inlineStr">
        <is>
          <t>0% of this dish's available carbohydrate comes from ingredients with a published, measured GI; the rest uses conventional placeholders (see Ingredients sheet)</t>
        </is>
      </c>
      <c r="Z126" s="2" t="n">
        <v>0</v>
      </c>
      <c r="AA126" s="3" t="inlineStr">
        <is>
          <t>gluten-free, nut-free, low-carb, make-ahead, meal-prep</t>
        </is>
      </c>
      <c r="AB126" s="3" t="inlineStr">
        <is>
          <t>1. Brown crumbled sausage with pepper and onion.
2. Divide among 12 oiled muffin cups with mozzarella.
3. Pour in whisked eggs with seasoning and bake at 350°F for 20 minutes.</t>
        </is>
      </c>
      <c r="AC126" s="4" t="inlineStr">
        <is>
          <t>["Brown crumbled sausage with pepper and onion.", "Divide among 12 oiled muffin cups with mozzarella.", "Pour in whisked eggs with seasoning and bake at 350°F for 20 minutes."]</t>
        </is>
      </c>
    </row>
    <row r="127" ht="96" customHeight="1">
      <c r="A127" s="2" t="inlineStr">
        <is>
          <t>DB-0126</t>
        </is>
      </c>
      <c r="B127" s="3" t="inlineStr">
        <is>
          <t>Mango Coconut Chia Smoothie</t>
        </is>
      </c>
      <c r="C127" s="4" t="inlineStr">
        <is>
          <t>Breakfast</t>
        </is>
      </c>
      <c r="D127" s="4" t="inlineStr">
        <is>
          <t>Tropical</t>
        </is>
      </c>
      <c r="E127" s="2" t="n">
        <v>1</v>
      </c>
      <c r="F127" s="2" t="n">
        <v>5</v>
      </c>
      <c r="G127" s="2" t="n">
        <v>0</v>
      </c>
      <c r="H127" s="2" t="n">
        <v>5</v>
      </c>
      <c r="I127" s="4" t="inlineStr">
        <is>
          <t>mango-coconut-chia-smoothie.jpg</t>
        </is>
      </c>
      <c r="J127" s="3" t="inlineStr">
        <is>
          <t>Mango Coconut Chia Smoothie, healthy food photography, plated, natural light</t>
        </is>
      </c>
      <c r="K127" s="4" t="inlineStr"/>
      <c r="L127" s="3" t="inlineStr">
        <is>
          <t>Mango — 80 g (2.8 oz)
Coconut milk, canned light — 120 g (4.2 oz)
Greek yogurt, plain 2% — 120 g (4.2 oz)
Chia seeds — 10 g (0.4 oz)
Spinach — 30 g (1.1 oz)
Lime juice — 8 g (0.3 oz)
Water / ice — 80 g (2.8 oz) [ice]</t>
        </is>
      </c>
      <c r="M127" s="4" t="inlineStr">
        <is>
          <t>[{"ingredient_id": "mango", "name": "Mango", "grams": 80.0, "note": ""}, {"ingredient_id": "coconut_milk_light", "name": "Coconut milk, canned light", "grams": 120.0, "note": ""}, {"ingredient_id": "greek_yogurt", "name": "Greek yogurt, plain 2%", "grams": 120.0, "note": ""}, {"ingredient_id": "chia_seeds", "name": "Chia seeds", "grams": 10.0, "note": ""}, {"ingredient_id": "spinach", "name": "Spinach", "grams": 30.0, "note": ""}, {"ingredient_id": "lime_juice", "name": "Lime juice", "grams": 8.0, "note": ""}, {"ingredient_id": "water", "name": "Water / ice", "grams": 80.0, "note": "ice"}]</t>
        </is>
      </c>
      <c r="N127" s="2" t="n">
        <v>275</v>
      </c>
      <c r="O127" s="5" t="n">
        <v>16.1</v>
      </c>
      <c r="P127" s="5" t="n">
        <v>13.1</v>
      </c>
      <c r="Q127" s="5" t="n">
        <v>25.8</v>
      </c>
      <c r="R127" s="5" t="n">
        <v>5.4</v>
      </c>
      <c r="S127" s="5" t="n">
        <v>20.4</v>
      </c>
      <c r="T127" s="2" t="n">
        <v>31</v>
      </c>
      <c r="U127" s="2" t="inlineStr">
        <is>
          <t>low</t>
        </is>
      </c>
      <c r="V127" s="5" t="n">
        <v>6.3</v>
      </c>
      <c r="W127" s="2" t="inlineStr">
        <is>
          <t>low</t>
        </is>
      </c>
      <c r="X127" s="3" t="inlineStr"/>
      <c r="Y127" s="3" t="inlineStr">
        <is>
          <t>76% of this dish's available carbohydrate comes from ingredients with a published, measured GI; the rest uses conventional placeholders (see Ingredients sheet)</t>
        </is>
      </c>
      <c r="Z127" s="2" t="n">
        <v>76</v>
      </c>
      <c r="AA127" s="3" t="inlineStr">
        <is>
          <t>vegetarian, gluten-free, nut-free, no-cook, quick</t>
        </is>
      </c>
      <c r="AB127" s="3" t="inlineStr">
        <is>
          <t>1. Blend everything with ice until smooth.
2. Let sit 5 minutes so chia thickens.
3. Serve cold.</t>
        </is>
      </c>
      <c r="AC127" s="4" t="inlineStr">
        <is>
          <t>["Blend everything with ice until smooth.", "Let sit 5 minutes so chia thickens.", "Serve cold."]</t>
        </is>
      </c>
    </row>
    <row r="128" ht="96" customHeight="1">
      <c r="A128" s="2" t="inlineStr">
        <is>
          <t>DB-0127</t>
        </is>
      </c>
      <c r="B128" s="3" t="inlineStr">
        <is>
          <t>Loaded Veggie Omelet with Avocado</t>
        </is>
      </c>
      <c r="C128" s="4" t="inlineStr">
        <is>
          <t>Breakfast</t>
        </is>
      </c>
      <c r="D128" s="4" t="inlineStr">
        <is>
          <t>American</t>
        </is>
      </c>
      <c r="E128" s="2" t="n">
        <v>1</v>
      </c>
      <c r="F128" s="2" t="n">
        <v>5</v>
      </c>
      <c r="G128" s="2" t="n">
        <v>10</v>
      </c>
      <c r="H128" s="2" t="n">
        <v>15</v>
      </c>
      <c r="I128" s="4" t="inlineStr">
        <is>
          <t>loaded-veggie-omelet-with-avocado.jpg</t>
        </is>
      </c>
      <c r="J128" s="3" t="inlineStr">
        <is>
          <t>Loaded Veggie Omelet with Avocado, healthy food photography, plated, natural light</t>
        </is>
      </c>
      <c r="K128" s="4" t="inlineStr"/>
      <c r="L128" s="3" t="inlineStr">
        <is>
          <t>Egg, large (50 g each) — 150 g (5.3 oz) [3 large eggs]
Broccoli — 60 g (2.1 oz)
Tomato — 50 g (1.8 oz)
Yellow onion — 30 g (1.1 oz)
Mushrooms (cremini/white) — 50 g (1.8 oz)
Avocado — 50 g (1.8 oz)
Extra-virgin olive oil — 8 g (0.3 oz)
Salt — 1 g (0.0 oz)</t>
        </is>
      </c>
      <c r="M128" s="4" t="inlineStr">
        <is>
          <t>[{"ingredient_id": "egg", "name": "Egg, large (50 g each)", "grams": 150.0, "note": "3 large eggs"}, {"ingredient_id": "broccoli", "name": "Broccoli", "grams": 60.0, "note": ""}, {"ingredient_id": "tomato", "name": "Tomato", "grams": 50.0, "note": ""}, {"ingredient_id": "onion", "name": "Yellow onion", "grams": 30.0, "note": ""}, {"ingredient_id": "mushrooms", "name": "Mushrooms (cremini/white)", "grams": 50.0, "note": ""}, {"ingredient_id": "avocado", "name": "Avocado", "grams": 50.0, "note": ""}, {"ingredient_id": "olive_oil", "name": "Extra-virgin olive oil", "grams": 8.0, "note": ""}, {"ingredient_id": "salt", "name": "Salt", "grams": 1.0, "note": ""}]</t>
        </is>
      </c>
      <c r="N128" s="2" t="n">
        <v>418</v>
      </c>
      <c r="O128" s="5" t="n">
        <v>23.9</v>
      </c>
      <c r="P128" s="5" t="n">
        <v>30.3</v>
      </c>
      <c r="Q128" s="5" t="n">
        <v>15.7</v>
      </c>
      <c r="R128" s="5" t="n">
        <v>6.5</v>
      </c>
      <c r="S128" s="5" t="n">
        <v>9.1</v>
      </c>
      <c r="T128" s="2" t="n">
        <v>13</v>
      </c>
      <c r="U128" s="2" t="inlineStr">
        <is>
          <t>low</t>
        </is>
      </c>
      <c r="V128" s="5" t="n">
        <v>1.2</v>
      </c>
      <c r="W128" s="2" t="inlineStr">
        <is>
          <t>low</t>
        </is>
      </c>
      <c r="X128" s="3" t="inlineStr"/>
      <c r="Y128" s="3" t="inlineStr">
        <is>
          <t>0% of this dish's available carbohydrate comes from ingredients with a published, measured GI; the rest uses conventional placeholders (see Ingredients sheet)</t>
        </is>
      </c>
      <c r="Z128" s="2" t="n">
        <v>0</v>
      </c>
      <c r="AA128" s="3" t="inlineStr">
        <is>
          <t>vegetarian, gluten-free, dairy-free, nut-free, low-carb, quick</t>
        </is>
      </c>
      <c r="AB128" s="3" t="inlineStr">
        <is>
          <t>1. Sauté onion, mushrooms and chopped broccoli 5 minutes.
2. Add whisked eggs with salt and cook until set; add tomato, fold.
3. Top with sliced avocado.</t>
        </is>
      </c>
      <c r="AC128" s="4" t="inlineStr">
        <is>
          <t>["Sauté onion, mushrooms and chopped broccoli 5 minutes.", "Add whisked eggs with salt and cook until set; add tomato, fold.", "Top with sliced avocado."]</t>
        </is>
      </c>
    </row>
    <row r="129" ht="96" customHeight="1">
      <c r="A129" s="2" t="inlineStr">
        <is>
          <t>DB-0128</t>
        </is>
      </c>
      <c r="B129" s="3" t="inlineStr">
        <is>
          <t>Protein Cottage Cheese Toast with Tomato</t>
        </is>
      </c>
      <c r="C129" s="4" t="inlineStr">
        <is>
          <t>Breakfast</t>
        </is>
      </c>
      <c r="D129" s="4" t="inlineStr">
        <is>
          <t>American</t>
        </is>
      </c>
      <c r="E129" s="2" t="n">
        <v>1</v>
      </c>
      <c r="F129" s="2" t="n">
        <v>5</v>
      </c>
      <c r="G129" s="2" t="n">
        <v>3</v>
      </c>
      <c r="H129" s="2" t="n">
        <v>8</v>
      </c>
      <c r="I129" s="4" t="inlineStr">
        <is>
          <t>protein-cottage-cheese-toast-with-tomato.jpg</t>
        </is>
      </c>
      <c r="J129" s="3" t="inlineStr">
        <is>
          <t>Protein Cottage Cheese Toast with Tomato, healthy food photography, plated, natural light</t>
        </is>
      </c>
      <c r="K129" s="4" t="inlineStr"/>
      <c r="L129" s="3" t="inlineStr">
        <is>
          <t>Whole wheat bread (100% whole wheat) — 35 g (1.2 oz) [1 slice]
Cottage cheese, low-fat — 120 g (4.2 oz)
Tomato — 80 g (2.8 oz)
Fresh basil — 3 g (0.1 oz)
Extra-virgin olive oil — 4 g (0.1 oz)
Black pepper — 1 g (0.0 oz)</t>
        </is>
      </c>
      <c r="M129" s="4" t="inlineStr">
        <is>
          <t>[{"ingredient_id": "whole_grain_bread", "name": "Whole wheat bread (100% whole wheat)", "grams": 35.0, "note": "1 slice"}, {"ingredient_id": "cottage_cheese", "name": "Cottage cheese, low-fat", "grams": 120.0, "note": ""}, {"ingredient_id": "tomato", "name": "Tomato", "grams": 80.0, "note": ""}, {"ingredient_id": "basil", "name": "Fresh basil", "grams": 3.0, "note": ""}, {"ingredient_id": "olive_oil", "name": "Extra-virgin olive oil", "grams": 4.0, "note": ""}, {"ingredient_id": "black_pepper", "name": "Black pepper", "grams": 1.0, "note": ""}]</t>
        </is>
      </c>
      <c r="N129" s="2" t="n">
        <v>241</v>
      </c>
      <c r="O129" s="5" t="n">
        <v>18.3</v>
      </c>
      <c r="P129" s="5" t="n">
        <v>8.199999999999999</v>
      </c>
      <c r="Q129" s="5" t="n">
        <v>24.1</v>
      </c>
      <c r="R129" s="5" t="n">
        <v>3.5</v>
      </c>
      <c r="S129" s="5" t="n">
        <v>20.5</v>
      </c>
      <c r="T129" s="2" t="n">
        <v>49</v>
      </c>
      <c r="U129" s="2" t="inlineStr">
        <is>
          <t>low</t>
        </is>
      </c>
      <c r="V129" s="5" t="n">
        <v>10.1</v>
      </c>
      <c r="W129" s="2" t="inlineStr">
        <is>
          <t>medium</t>
        </is>
      </c>
      <c r="X129" s="3" t="inlineStr"/>
      <c r="Y129" s="3" t="inlineStr">
        <is>
          <t>62% of this dish's available carbohydrate comes from ingredients with a published, measured GI; the rest uses conventional placeholders (see Ingredients sheet)</t>
        </is>
      </c>
      <c r="Z129" s="2" t="n">
        <v>62</v>
      </c>
      <c r="AA129" s="3" t="inlineStr">
        <is>
          <t>vegetarian, nut-free, quick</t>
        </is>
      </c>
      <c r="AB129" s="3" t="inlineStr">
        <is>
          <t>1. Toast the bread and spread with cottage cheese.
2. Top with tomato slices and basil.
3. Drizzle with olive oil and pepper.</t>
        </is>
      </c>
      <c r="AC129" s="4" t="inlineStr">
        <is>
          <t>["Toast the bread and spread with cottage cheese.", "Top with tomato slices and basil.", "Drizzle with olive oil and pepper."]</t>
        </is>
      </c>
    </row>
    <row r="130" ht="96" customHeight="1">
      <c r="A130" s="2" t="inlineStr">
        <is>
          <t>DB-0129</t>
        </is>
      </c>
      <c r="B130" s="3" t="inlineStr">
        <is>
          <t>Chilaquiles Verdes with Eggs (Light)</t>
        </is>
      </c>
      <c r="C130" s="4" t="inlineStr">
        <is>
          <t>Breakfast</t>
        </is>
      </c>
      <c r="D130" s="4" t="inlineStr">
        <is>
          <t>Mexican</t>
        </is>
      </c>
      <c r="E130" s="2" t="n">
        <v>2</v>
      </c>
      <c r="F130" s="2" t="n">
        <v>10</v>
      </c>
      <c r="G130" s="2" t="n">
        <v>15</v>
      </c>
      <c r="H130" s="2" t="n">
        <v>25</v>
      </c>
      <c r="I130" s="4" t="inlineStr">
        <is>
          <t>chilaquiles-verdes-with-eggs-light.jpg</t>
        </is>
      </c>
      <c r="J130" s="3" t="inlineStr">
        <is>
          <t>Chilaquiles Verdes with Eggs (Light), healthy food photography, plated, natural light</t>
        </is>
      </c>
      <c r="K130" s="4" t="inlineStr"/>
      <c r="L130" s="3" t="inlineStr">
        <is>
          <t>Corn tortilla — 100 g (3.5 oz) [4 small, cut &amp; baked]
Salsa verde — 200 g (7.1 oz)
Egg, large (50 g each) — 200 g (7.1 oz) [4 large eggs]
Cotija cheese — 30 g (1.1 oz)
Red onion — 30 g (1.1 oz)
Avocado — 60 g (2.1 oz)
Fresh cilantro — 8 g (0.3 oz)
Extra-virgin olive oil — 10 g (0.4 oz)
Greek yogurt, plain 2% — 40 g (1.4 oz)</t>
        </is>
      </c>
      <c r="M130" s="4" t="inlineStr">
        <is>
          <t>[{"ingredient_id": "corn_tortilla", "name": "Corn tortilla", "grams": 100.0, "note": "4 small, cut &amp; baked"}, {"ingredient_id": "salsa_verde", "name": "Salsa verde", "grams": 200.0, "note": ""}, {"ingredient_id": "egg", "name": "Egg, large (50 g each)", "grams": 200.0, "note": "4 large eggs"}, {"ingredient_id": "cotija", "name": "Cotija cheese", "grams": 30.0, "note": ""}, {"ingredient_id": "red_onion", "name": "Red onion", "grams": 30.0, "note": ""}, {"ingredient_id": "avocado", "name": "Avocado", "grams": 60.0, "note": ""}, {"ingredient_id": "cilantro", "name": "Fresh cilantro", "grams": 8.0, "note": ""}, {"ingredient_id": "olive_oil", "name": "Extra-virgin olive oil", "grams": 10.0, "note": ""}, {"ingredient_id": "greek_yogurt", "name": "Greek yogurt, plain 2%", "grams": 40.0, "note": ""}]</t>
        </is>
      </c>
      <c r="N130" s="2" t="n">
        <v>451</v>
      </c>
      <c r="O130" s="5" t="n">
        <v>22.3</v>
      </c>
      <c r="P130" s="5" t="n">
        <v>25.9</v>
      </c>
      <c r="Q130" s="5" t="n">
        <v>34.7</v>
      </c>
      <c r="R130" s="5" t="n">
        <v>7</v>
      </c>
      <c r="S130" s="5" t="n">
        <v>27.7</v>
      </c>
      <c r="T130" s="2" t="n">
        <v>42</v>
      </c>
      <c r="U130" s="2" t="inlineStr">
        <is>
          <t>low</t>
        </is>
      </c>
      <c r="V130" s="5" t="n">
        <v>11.6</v>
      </c>
      <c r="W130" s="2" t="inlineStr">
        <is>
          <t>medium</t>
        </is>
      </c>
      <c r="X130" s="3" t="inlineStr"/>
      <c r="Y130" s="3" t="inlineStr">
        <is>
          <t>73% of this dish's available carbohydrate comes from ingredients with a published, measured GI; the rest uses conventional placeholders (see Ingredients sheet)</t>
        </is>
      </c>
      <c r="Z130" s="2" t="n">
        <v>73</v>
      </c>
      <c r="AA130" s="3" t="inlineStr">
        <is>
          <t>vegetarian, gluten-free, nut-free, high-fiber</t>
        </is>
      </c>
      <c r="AB130" s="3" t="inlineStr">
        <is>
          <t>1. Cut tortillas into triangles, toss with half the oil and bake at 400°F 10 minutes until crisp.
2. Warm salsa verde in a skillet, toss in the chips to coat.
3. Fry eggs in the remaining oil.
4. Top chips with eggs, cotija, onion, avocado, cilantro and a dollop of yogurt.</t>
        </is>
      </c>
      <c r="AC130" s="4" t="inlineStr">
        <is>
          <t>["Cut tortillas into triangles, toss with half the oil and bake at 400°F 10 minutes until crisp.", "Warm salsa verde in a skillet, toss in the chips to coat.", "Fry eggs in the remaining oil.", "Top chips with eggs, cotija, onion, avocado, cilantro and a dollop of yogurt."]</t>
        </is>
      </c>
    </row>
    <row r="131" ht="96" customHeight="1">
      <c r="A131" s="2" t="inlineStr">
        <is>
          <t>DB-0130</t>
        </is>
      </c>
      <c r="B131" s="3" t="inlineStr">
        <is>
          <t>Egg &amp; Kale Breakfast Soup</t>
        </is>
      </c>
      <c r="C131" s="4" t="inlineStr">
        <is>
          <t>Breakfast</t>
        </is>
      </c>
      <c r="D131" s="4" t="inlineStr">
        <is>
          <t>Italian</t>
        </is>
      </c>
      <c r="E131" s="2" t="n">
        <v>2</v>
      </c>
      <c r="F131" s="2" t="n">
        <v>5</v>
      </c>
      <c r="G131" s="2" t="n">
        <v>12</v>
      </c>
      <c r="H131" s="2" t="n">
        <v>17</v>
      </c>
      <c r="I131" s="4" t="inlineStr">
        <is>
          <t>egg-and-kale-breakfast-soup.jpg</t>
        </is>
      </c>
      <c r="J131" s="3" t="inlineStr">
        <is>
          <t>Egg &amp; Kale Breakfast Soup, healthy food photography, plated, natural light</t>
        </is>
      </c>
      <c r="K131" s="4" t="inlineStr"/>
      <c r="L131" s="3" t="inlineStr">
        <is>
          <t>Chicken broth, low sodium — 600 g (21.2 oz)
Kale — 100 g (3.5 oz)
Egg, large (50 g each) — 100 g (3.5 oz) [2 large eggs]
Cannellini beans, cooked — 120 g (4.2 oz)
Parmesan, grated — 20 g (0.7 oz)
Garlic — 5 g (0.2 oz)
Extra-virgin olive oil — 8 g (0.3 oz)
Lemon juice — 8 g (0.3 oz)</t>
        </is>
      </c>
      <c r="M131" s="4" t="inlineStr">
        <is>
          <t>[{"ingredient_id": "chicken_broth", "name": "Chicken broth, low sodium", "grams": 600.0, "note": ""}, {"ingredient_id": "kale", "name": "Kale", "grams": 100.0, "note": ""}, {"ingredient_id": "egg", "name": "Egg, large (50 g each)", "grams": 100.0, "note": "2 large eggs"}, {"ingredient_id": "white_beans", "name": "Cannellini beans, cooked", "grams": 120.0, "note": ""}, {"ingredient_id": "parmesan", "name": "Parmesan, grated", "grams": 20.0, "note": ""}, {"ingredient_id": "garlic", "name": "Garlic", "grams": 5.0, "note": ""}, {"ingredient_id": "olive_oil", "name": "Extra-virgin olive oil", "grams": 8.0, "note": ""}, {"ingredient_id": "lemon_juice", "name": "Lemon juice", "grams": 8.0, "note": ""}]</t>
        </is>
      </c>
      <c r="N131" s="2" t="n">
        <v>283</v>
      </c>
      <c r="O131" s="5" t="n">
        <v>21.2</v>
      </c>
      <c r="P131" s="5" t="n">
        <v>13</v>
      </c>
      <c r="Q131" s="5" t="n">
        <v>22.8</v>
      </c>
      <c r="R131" s="5" t="n">
        <v>5.6</v>
      </c>
      <c r="S131" s="5" t="n">
        <v>17.1</v>
      </c>
      <c r="T131" s="2" t="n">
        <v>24</v>
      </c>
      <c r="U131" s="2" t="inlineStr">
        <is>
          <t>low</t>
        </is>
      </c>
      <c r="V131" s="5" t="n">
        <v>4.1</v>
      </c>
      <c r="W131" s="2" t="inlineStr">
        <is>
          <t>low</t>
        </is>
      </c>
      <c r="X131" s="3" t="inlineStr"/>
      <c r="Y131" s="3" t="inlineStr">
        <is>
          <t>66% of this dish's available carbohydrate comes from ingredients with a published, measured GI; the rest uses conventional placeholders (see Ingredients sheet)</t>
        </is>
      </c>
      <c r="Z131" s="2" t="n">
        <v>66</v>
      </c>
      <c r="AA131" s="3" t="inlineStr">
        <is>
          <t>vegetarian, gluten-free, nut-free, quick</t>
        </is>
      </c>
      <c r="AB131" s="3" t="inlineStr">
        <is>
          <t>1. Simmer broth with garlic; add beans and kale and cook 5 minutes.
2. Crack eggs into the soup and poach 4 minutes.
3. Serve with parmesan, olive oil and lemon.</t>
        </is>
      </c>
      <c r="AC131" s="4" t="inlineStr">
        <is>
          <t>["Simmer broth with garlic; add beans and kale and cook 5 minutes.", "Crack eggs into the soup and poach 4 minutes.", "Serve with parmesan, olive oil and lemon."]</t>
        </is>
      </c>
    </row>
    <row r="132" ht="96" customHeight="1">
      <c r="A132" s="2" t="inlineStr">
        <is>
          <t>DB-0131</t>
        </is>
      </c>
      <c r="B132" s="3" t="inlineStr">
        <is>
          <t>Blueberry Protein Smoothie</t>
        </is>
      </c>
      <c r="C132" s="4" t="inlineStr">
        <is>
          <t>Breakfast</t>
        </is>
      </c>
      <c r="D132" s="4" t="inlineStr">
        <is>
          <t>American</t>
        </is>
      </c>
      <c r="E132" s="2" t="n">
        <v>1</v>
      </c>
      <c r="F132" s="2" t="n">
        <v>5</v>
      </c>
      <c r="G132" s="2" t="n">
        <v>0</v>
      </c>
      <c r="H132" s="2" t="n">
        <v>5</v>
      </c>
      <c r="I132" s="4" t="inlineStr">
        <is>
          <t>blueberry-protein-smoothie.jpg</t>
        </is>
      </c>
      <c r="J132" s="3" t="inlineStr">
        <is>
          <t>Blueberry Protein Smoothie, healthy food photography, plated, natural light</t>
        </is>
      </c>
      <c r="K132" s="4" t="inlineStr"/>
      <c r="L132" s="3" t="inlineStr">
        <is>
          <t>Blueberries — 100 g (3.5 oz)
Almond milk, unsweetened — 250 g (8.8 oz)
Whey protein powder, unsweetened — 30 g (1.1 oz)
Ground flaxseed — 10 g (0.4 oz)
Spinach — 30 g (1.1 oz)
Water / ice — 60 g (2.1 oz) [ice]</t>
        </is>
      </c>
      <c r="M132" s="4" t="inlineStr">
        <is>
          <t>[{"ingredient_id": "blueberries", "name": "Blueberries", "grams": 100.0, "note": ""}, {"ingredient_id": "almond_milk", "name": "Almond milk, unsweetened", "grams": 250.0, "note": ""}, {"ingredient_id": "whey_protein", "name": "Whey protein powder, unsweetened", "grams": 30.0, "note": ""}, {"ingredient_id": "flaxseed", "name": "Ground flaxseed", "grams": 10.0, "note": ""}, {"ingredient_id": "spinach", "name": "Spinach", "grams": 30.0, "note": ""}, {"ingredient_id": "water", "name": "Water / ice", "grams": 60.0, "note": "ice"}]</t>
        </is>
      </c>
      <c r="N132" s="2" t="n">
        <v>269</v>
      </c>
      <c r="O132" s="5" t="n">
        <v>28.3</v>
      </c>
      <c r="P132" s="5" t="n">
        <v>9.1</v>
      </c>
      <c r="Q132" s="5" t="n">
        <v>22.4</v>
      </c>
      <c r="R132" s="5" t="n">
        <v>6.1</v>
      </c>
      <c r="S132" s="5" t="n">
        <v>16.3</v>
      </c>
      <c r="T132" s="2" t="n">
        <v>46</v>
      </c>
      <c r="U132" s="2" t="inlineStr">
        <is>
          <t>low</t>
        </is>
      </c>
      <c r="V132" s="5" t="n">
        <v>7.5</v>
      </c>
      <c r="W132" s="2" t="inlineStr">
        <is>
          <t>low</t>
        </is>
      </c>
      <c r="X132" s="3" t="inlineStr"/>
      <c r="Y132" s="3" t="inlineStr">
        <is>
          <t>87% of this dish's available carbohydrate comes from ingredients with a published, measured GI; the rest uses conventional placeholders (see Ingredients sheet)</t>
        </is>
      </c>
      <c r="Z132" s="2" t="n">
        <v>87</v>
      </c>
      <c r="AA132" s="3" t="inlineStr">
        <is>
          <t>vegetarian, gluten-free, high-protein, no-cook, quick</t>
        </is>
      </c>
      <c r="AB132" s="3" t="inlineStr">
        <is>
          <t>1. Combine all ingredients in a blender.
2. Blend until smooth.
3. Serve immediately.</t>
        </is>
      </c>
      <c r="AC132" s="4" t="inlineStr">
        <is>
          <t>["Combine all ingredients in a blender.", "Blend until smooth.", "Serve immediately."]</t>
        </is>
      </c>
    </row>
    <row r="133" ht="96" customHeight="1">
      <c r="A133" s="2" t="inlineStr">
        <is>
          <t>DB-0132</t>
        </is>
      </c>
      <c r="B133" s="3" t="inlineStr">
        <is>
          <t>Spinach &amp; Ricotta Egg Roll-Up</t>
        </is>
      </c>
      <c r="C133" s="4" t="inlineStr">
        <is>
          <t>Breakfast</t>
        </is>
      </c>
      <c r="D133" s="4" t="inlineStr">
        <is>
          <t>Italian</t>
        </is>
      </c>
      <c r="E133" s="2" t="n">
        <v>1</v>
      </c>
      <c r="F133" s="2" t="n">
        <v>5</v>
      </c>
      <c r="G133" s="2" t="n">
        <v>6</v>
      </c>
      <c r="H133" s="2" t="n">
        <v>11</v>
      </c>
      <c r="I133" s="4" t="inlineStr">
        <is>
          <t>spinach-and-ricotta-egg-roll-up.jpg</t>
        </is>
      </c>
      <c r="J133" s="3" t="inlineStr">
        <is>
          <t>Spinach &amp; Ricotta Egg Roll-Up, healthy food photography, plated, natural light</t>
        </is>
      </c>
      <c r="K133" s="4" t="inlineStr"/>
      <c r="L133" s="3" t="inlineStr">
        <is>
          <t>Egg, large (50 g each) — 100 g (3.5 oz) [2 large eggs]
Ricotta, part-skim — 50 g (1.8 oz)
Spinach — 50 g (1.8 oz)
Parmesan, grated — 8 g (0.3 oz)
Ground nutmeg — 0.2 g (0.0 oz)
Extra-virgin olive oil — 5 g (0.2 oz)</t>
        </is>
      </c>
      <c r="M133" s="4" t="inlineStr">
        <is>
          <t>[{"ingredient_id": "egg", "name": "Egg, large (50 g each)", "grams": 100.0, "note": "2 large eggs"}, {"ingredient_id": "ricotta", "name": "Ricotta, part-skim", "grams": 50.0, "note": ""}, {"ingredient_id": "spinach", "name": "Spinach", "grams": 50.0, "note": ""}, {"ingredient_id": "parmesan", "name": "Parmesan, grated", "grams": 8.0, "note": ""}, {"ingredient_id": "nutmeg", "name": "Ground nutmeg", "grams": 0.2, "note": ""}, {"ingredient_id": "olive_oil", "name": "Extra-virgin olive oil", "grams": 5.0, "note": ""}]</t>
        </is>
      </c>
      <c r="N133" s="2" t="n">
        <v>303</v>
      </c>
      <c r="O133" s="5" t="n">
        <v>22.6</v>
      </c>
      <c r="P133" s="5" t="n">
        <v>21.1</v>
      </c>
      <c r="Q133" s="5" t="n">
        <v>5.4</v>
      </c>
      <c r="R133" s="5" t="n">
        <v>1.1</v>
      </c>
      <c r="S133" s="5" t="n">
        <v>4.3</v>
      </c>
      <c r="T133" s="2" t="n">
        <v>11</v>
      </c>
      <c r="U133" s="2" t="inlineStr">
        <is>
          <t>low</t>
        </is>
      </c>
      <c r="V133" s="5" t="n">
        <v>0.5</v>
      </c>
      <c r="W133" s="2" t="inlineStr">
        <is>
          <t>low</t>
        </is>
      </c>
      <c r="X133" s="3" t="inlineStr">
        <is>
          <t>Negligible carbohydrate (&lt;5 g net/serving): GI has little practical meaning, glycemic load is what matters.</t>
        </is>
      </c>
      <c r="Y133" s="3" t="inlineStr">
        <is>
          <t>0% of this dish's available carbohydrate comes from ingredients with a published, measured GI; the rest uses conventional placeholders (see Ingredients sheet)</t>
        </is>
      </c>
      <c r="Z133" s="2" t="n">
        <v>0</v>
      </c>
      <c r="AA133" s="3" t="inlineStr">
        <is>
          <t>vegetarian, gluten-free, nut-free, low-carb, quick</t>
        </is>
      </c>
      <c r="AB133" s="3" t="inlineStr">
        <is>
          <t>1. Wilt spinach and mix with ricotta, parmesan and nutmeg.
2. Cook eggs as a thin omelet in olive oil.
3. Spread with the ricotta mix and roll up.</t>
        </is>
      </c>
      <c r="AC133" s="4" t="inlineStr">
        <is>
          <t>["Wilt spinach and mix with ricotta, parmesan and nutmeg.", "Cook eggs as a thin omelet in olive oil.", "Spread with the ricotta mix and roll up."]</t>
        </is>
      </c>
    </row>
    <row r="134" ht="96" customHeight="1">
      <c r="A134" s="2" t="inlineStr">
        <is>
          <t>DB-0133</t>
        </is>
      </c>
      <c r="B134" s="3" t="inlineStr">
        <is>
          <t>Blackened Tilapia Breakfast Tacos</t>
        </is>
      </c>
      <c r="C134" s="4" t="inlineStr">
        <is>
          <t>Breakfast</t>
        </is>
      </c>
      <c r="D134" s="4" t="inlineStr">
        <is>
          <t>Southern</t>
        </is>
      </c>
      <c r="E134" s="2" t="n">
        <v>2</v>
      </c>
      <c r="F134" s="2" t="n">
        <v>10</v>
      </c>
      <c r="G134" s="2" t="n">
        <v>10</v>
      </c>
      <c r="H134" s="2" t="n">
        <v>20</v>
      </c>
      <c r="I134" s="4" t="inlineStr">
        <is>
          <t>blackened-tilapia-breakfast-tacos.jpg</t>
        </is>
      </c>
      <c r="J134" s="3" t="inlineStr">
        <is>
          <t>Blackened Tilapia Breakfast Tacos, healthy food photography, plated, natural light</t>
        </is>
      </c>
      <c r="K134" s="4" t="inlineStr"/>
      <c r="L134" s="3" t="inlineStr">
        <is>
          <t>Tilapia fillet — 250 g (8.8 oz)
Corn tortilla — 100 g (3.5 oz) [4 small]
Egg, large (50 g each) — 100 g (3.5 oz) [2 large eggs]
Cajun seasoning — 4 g (0.1 oz)
Coleslaw mix (cabbage &amp; carrot) — 100 g (3.5 oz)
Greek yogurt, plain 2% — 40 g (1.4 oz)
Lime — 20 g (0.7 oz)
Extra-virgin olive oil — 10 g (0.4 oz)
Fresh cilantro — 5 g (0.2 oz)</t>
        </is>
      </c>
      <c r="M134" s="4" t="inlineStr">
        <is>
          <t>[{"ingredient_id": "tilapia", "name": "Tilapia fillet", "grams": 250.0, "note": ""}, {"ingredient_id": "corn_tortilla", "name": "Corn tortilla", "grams": 100.0, "note": "4 small"}, {"ingredient_id": "egg", "name": "Egg, large (50 g each)", "grams": 100.0, "note": "2 large eggs"}, {"ingredient_id": "cajun_seasoning", "name": "Cajun seasoning", "grams": 4.0, "note": ""}, {"ingredient_id": "coleslaw_mix", "name": "Coleslaw mix (cabbage &amp; carrot)", "grams": 100.0, "note": ""}, {"ingredient_id": "greek_yogurt", "name": "Greek yogurt, plain 2%", "grams": 40.0, "note": ""}, {"ingredient_id": "lime", "name": "Lime", "grams": 20.0, "note": ""}, {"ingredient_id": "olive_oil", "name": "Extra-virgin olive oil", "grams": 10.0, "note": ""}, {"ingredient_id": "cilantro", "name": "Fresh cilantro", "grams": 5.0, "note": ""}]</t>
        </is>
      </c>
      <c r="N134" s="2" t="n">
        <v>382</v>
      </c>
      <c r="O134" s="5" t="n">
        <v>37.1</v>
      </c>
      <c r="P134" s="5" t="n">
        <v>14</v>
      </c>
      <c r="Q134" s="5" t="n">
        <v>28.9</v>
      </c>
      <c r="R134" s="5" t="n">
        <v>5.2</v>
      </c>
      <c r="S134" s="5" t="n">
        <v>23.7</v>
      </c>
      <c r="T134" s="2" t="n">
        <v>45</v>
      </c>
      <c r="U134" s="2" t="inlineStr">
        <is>
          <t>low</t>
        </is>
      </c>
      <c r="V134" s="5" t="n">
        <v>10.7</v>
      </c>
      <c r="W134" s="2" t="inlineStr">
        <is>
          <t>medium</t>
        </is>
      </c>
      <c r="X134" s="3" t="inlineStr"/>
      <c r="Y134" s="3" t="inlineStr">
        <is>
          <t>85% of this dish's available carbohydrate comes from ingredients with a published, measured GI; the rest uses conventional placeholders (see Ingredients sheet)</t>
        </is>
      </c>
      <c r="Z134" s="2" t="n">
        <v>85</v>
      </c>
      <c r="AA134" s="3" t="inlineStr">
        <is>
          <t>pescatarian, gluten-free, nut-free, high-protein</t>
        </is>
      </c>
      <c r="AB134" s="3" t="inlineStr">
        <is>
          <t>1. Coat tilapia in Cajun seasoning and sear in olive oil 3 minutes per side; flake.
2. Scramble eggs.
3. Toss slaw with yogurt and lime juice.
4. Fill warm tortillas with fish, egg, slaw and cilantro.</t>
        </is>
      </c>
      <c r="AC134" s="4" t="inlineStr">
        <is>
          <t>["Coat tilapia in Cajun seasoning and sear in olive oil 3 minutes per side; flake.", "Scramble eggs.", "Toss slaw with yogurt and lime juice.", "Fill warm tortillas with fish, egg, slaw and cilantro."]</t>
        </is>
      </c>
    </row>
    <row r="135" ht="96" customHeight="1">
      <c r="A135" s="2" t="inlineStr">
        <is>
          <t>DB-0134</t>
        </is>
      </c>
      <c r="B135" s="3" t="inlineStr">
        <is>
          <t>Warm Lentil &amp; Feta Breakfast Salad</t>
        </is>
      </c>
      <c r="C135" s="4" t="inlineStr">
        <is>
          <t>Breakfast</t>
        </is>
      </c>
      <c r="D135" s="4" t="inlineStr">
        <is>
          <t>Mediterranean</t>
        </is>
      </c>
      <c r="E135" s="2" t="n">
        <v>2</v>
      </c>
      <c r="F135" s="2" t="n">
        <v>5</v>
      </c>
      <c r="G135" s="2" t="n">
        <v>8</v>
      </c>
      <c r="H135" s="2" t="n">
        <v>13</v>
      </c>
      <c r="I135" s="4" t="inlineStr">
        <is>
          <t>warm-lentil-and-feta-breakfast-salad.jpg</t>
        </is>
      </c>
      <c r="J135" s="3" t="inlineStr">
        <is>
          <t>Warm Lentil &amp; Feta Breakfast Salad, healthy food photography, plated, natural light</t>
        </is>
      </c>
      <c r="K135" s="4" t="inlineStr"/>
      <c r="L135" s="3" t="inlineStr">
        <is>
          <t>Lentils, cooked — 250 g (8.8 oz)
Feta cheese — 50 g (1.8 oz)
Cherry tomatoes — 120 g (4.2 oz)
Cucumber — 100 g (3.5 oz)
Fresh parsley — 10 g (0.4 oz)
Extra-virgin olive oil — 12 g (0.4 oz)
Lemon juice — 12 g (0.4 oz)
Egg, large (50 g each) — 100 g (3.5 oz) [2 soft-boiled eggs]
Salt — 1 g (0.0 oz)</t>
        </is>
      </c>
      <c r="M135" s="4" t="inlineStr">
        <is>
          <t>[{"ingredient_id": "lentils", "name": "Lentils, cooked", "grams": 250.0, "note": ""}, {"ingredient_id": "feta", "name": "Feta cheese", "grams": 50.0, "note": ""}, {"ingredient_id": "cherry_tomato", "name": "Cherry tomatoes", "grams": 120.0, "note": ""}, {"ingredient_id": "cucumber", "name": "Cucumber", "grams": 100.0, "note": ""}, {"ingredient_id": "parsley", "name": "Fresh parsley", "grams": 10.0, "note": ""}, {"ingredient_id": "olive_oil", "name": "Extra-virgin olive oil", "grams": 12.0, "note": ""}, {"ingredient_id": "lemon_juice", "name": "Lemon juice", "grams": 12.0, "note": ""}, {"ingredient_id": "egg", "name": "Egg, large (50 g each)", "grams": 100.0, "note": "2 soft-boiled eggs"}, {"ingredient_id": "salt", "name": "Salt", "grams": 1.0, "note": ""}]</t>
        </is>
      </c>
      <c r="N135" s="2" t="n">
        <v>357</v>
      </c>
      <c r="O135" s="5" t="n">
        <v>22.1</v>
      </c>
      <c r="P135" s="5" t="n">
        <v>16.7</v>
      </c>
      <c r="Q135" s="5" t="n">
        <v>31.2</v>
      </c>
      <c r="R135" s="5" t="n">
        <v>11</v>
      </c>
      <c r="S135" s="5" t="n">
        <v>20.2</v>
      </c>
      <c r="T135" s="2" t="n">
        <v>30</v>
      </c>
      <c r="U135" s="2" t="inlineStr">
        <is>
          <t>low</t>
        </is>
      </c>
      <c r="V135" s="5" t="n">
        <v>6.1</v>
      </c>
      <c r="W135" s="2" t="inlineStr">
        <is>
          <t>low</t>
        </is>
      </c>
      <c r="X135" s="3" t="inlineStr"/>
      <c r="Y135" s="3" t="inlineStr">
        <is>
          <t>75% of this dish's available carbohydrate comes from ingredients with a published, measured GI; the rest uses conventional placeholders (see Ingredients sheet)</t>
        </is>
      </c>
      <c r="Z135" s="2" t="n">
        <v>75</v>
      </c>
      <c r="AA135" s="3" t="inlineStr">
        <is>
          <t>vegetarian, gluten-free, nut-free, high-fiber</t>
        </is>
      </c>
      <c r="AB135" s="3" t="inlineStr">
        <is>
          <t>1. Warm lentils with olive oil, lemon and salt.
2. Toss with tomatoes, cucumber and parsley.
3. Top with feta and halved soft-boiled eggs.</t>
        </is>
      </c>
      <c r="AC135" s="4" t="inlineStr">
        <is>
          <t>["Warm lentils with olive oil, lemon and salt.", "Toss with tomatoes, cucumber and parsley.", "Top with feta and halved soft-boiled eggs."]</t>
        </is>
      </c>
    </row>
    <row r="136" ht="96" customHeight="1">
      <c r="A136" s="2" t="inlineStr">
        <is>
          <t>DB-0135</t>
        </is>
      </c>
      <c r="B136" s="3" t="inlineStr">
        <is>
          <t>Prosciutto-Wrapped Egg Cups</t>
        </is>
      </c>
      <c r="C136" s="4" t="inlineStr">
        <is>
          <t>Breakfast</t>
        </is>
      </c>
      <c r="D136" s="4" t="inlineStr">
        <is>
          <t>Italian</t>
        </is>
      </c>
      <c r="E136" s="2" t="n">
        <v>3</v>
      </c>
      <c r="F136" s="2" t="n">
        <v>5</v>
      </c>
      <c r="G136" s="2" t="n">
        <v>15</v>
      </c>
      <c r="H136" s="2" t="n">
        <v>20</v>
      </c>
      <c r="I136" s="4" t="inlineStr">
        <is>
          <t>prosciutto-wrapped-egg-cups.jpg</t>
        </is>
      </c>
      <c r="J136" s="3" t="inlineStr">
        <is>
          <t>Prosciutto-Wrapped Egg Cups, healthy food photography, plated, natural light</t>
        </is>
      </c>
      <c r="K136" s="4" t="inlineStr"/>
      <c r="L136" s="3" t="inlineStr">
        <is>
          <t>Prosciutto — 90 g (3.2 oz) [6 slices]
Egg, large (50 g each) — 300 g (10.6 oz) [6 large eggs]
Spinach — 60 g (2.1 oz)
Parmesan, grated — 20 g (0.7 oz)
Black pepper — 1 g (0.0 oz)</t>
        </is>
      </c>
      <c r="M136" s="4" t="inlineStr">
        <is>
          <t>[{"ingredient_id": "prosciutto", "name": "Prosciutto", "grams": 90.0, "note": "6 slices"}, {"ingredient_id": "egg", "name": "Egg, large (50 g each)", "grams": 300.0, "note": "6 large eggs"}, {"ingredient_id": "spinach", "name": "Spinach", "grams": 60.0, "note": ""}, {"ingredient_id": "parmesan", "name": "Parmesan, grated", "grams": 20.0, "note": ""}, {"ingredient_id": "black_pepper", "name": "Black pepper", "grams": 1.0, "note": ""}]</t>
        </is>
      </c>
      <c r="N136" s="2" t="n">
        <v>252</v>
      </c>
      <c r="O136" s="5" t="n">
        <v>23.5</v>
      </c>
      <c r="P136" s="5" t="n">
        <v>16.3</v>
      </c>
      <c r="Q136" s="5" t="n">
        <v>1.9</v>
      </c>
      <c r="R136" s="5" t="n">
        <v>0.5</v>
      </c>
      <c r="S136" s="5" t="n">
        <v>1.4</v>
      </c>
      <c r="T136" s="2" t="n">
        <v>4</v>
      </c>
      <c r="U136" s="2" t="inlineStr">
        <is>
          <t>low</t>
        </is>
      </c>
      <c r="V136" s="5" t="n">
        <v>0.1</v>
      </c>
      <c r="W136" s="2" t="inlineStr">
        <is>
          <t>low</t>
        </is>
      </c>
      <c r="X136" s="3" t="inlineStr">
        <is>
          <t>Negligible carbohydrate (&lt;5 g net/serving): GI has little practical meaning, glycemic load is what matters.</t>
        </is>
      </c>
      <c r="Y136" s="3" t="inlineStr">
        <is>
          <t>0% of this dish's available carbohydrate comes from ingredients with a published, measured GI; the rest uses conventional placeholders (see Ingredients sheet)</t>
        </is>
      </c>
      <c r="Z136" s="2" t="n">
        <v>0</v>
      </c>
      <c r="AA136" s="3" t="inlineStr">
        <is>
          <t>gluten-free, nut-free, low-carb, quick</t>
        </is>
      </c>
      <c r="AB136" s="3" t="inlineStr">
        <is>
          <t>1. Line 6 muffin cups with prosciutto slices.
2. Add a little chopped spinach, crack in an egg, top with parmesan and pepper.
3. Bake at 400°F for 12–15 minutes.</t>
        </is>
      </c>
      <c r="AC136" s="4" t="inlineStr">
        <is>
          <t>["Line 6 muffin cups with prosciutto slices.", "Add a little chopped spinach, crack in an egg, top with parmesan and pepper.", "Bake at 400°F for 12–15 minutes."]</t>
        </is>
      </c>
    </row>
    <row r="137" ht="96" customHeight="1">
      <c r="A137" s="2" t="inlineStr">
        <is>
          <t>DB-0136</t>
        </is>
      </c>
      <c r="B137" s="3" t="inlineStr">
        <is>
          <t>Carrot Cake Overnight Oats</t>
        </is>
      </c>
      <c r="C137" s="4" t="inlineStr">
        <is>
          <t>Breakfast</t>
        </is>
      </c>
      <c r="D137" s="4" t="inlineStr">
        <is>
          <t>American</t>
        </is>
      </c>
      <c r="E137" s="2" t="n">
        <v>1</v>
      </c>
      <c r="F137" s="2" t="n">
        <v>5</v>
      </c>
      <c r="G137" s="2" t="n">
        <v>0</v>
      </c>
      <c r="H137" s="2" t="n">
        <v>5</v>
      </c>
      <c r="I137" s="4" t="inlineStr">
        <is>
          <t>carrot-cake-overnight-oats.jpg</t>
        </is>
      </c>
      <c r="J137" s="3" t="inlineStr">
        <is>
          <t>Carrot Cake Overnight Oats, healthy food photography, plated, natural light</t>
        </is>
      </c>
      <c r="K137" s="4" t="inlineStr"/>
      <c r="L137" s="3" t="inlineStr">
        <is>
          <t>Rolled oats, dry — 40 g (1.4 oz)
Carrot — 50 g (1.8 oz)
Almond milk, unsweetened — 170 g (6.0 oz)
Greek yogurt, plain 2% — 70 g (2.5 oz)
Ground cinnamon — 2 g (0.1 oz)
Ground nutmeg — 0.3 g (0.0 oz)
Walnuts — 12 g (0.4 oz)
Monk fruit/erythritol sweetener — 6 g (0.2 oz)
Vanilla extract — 2 g (0.1 oz)</t>
        </is>
      </c>
      <c r="M137" s="4" t="inlineStr">
        <is>
          <t>[{"ingredient_id": "rolled_oats", "name": "Rolled oats, dry", "grams": 40.0, "note": ""}, {"ingredient_id": "carrot", "name": "Carrot", "grams": 50.0, "note": ""}, {"ingredient_id": "almond_milk", "name": "Almond milk, unsweetened", "grams": 170.0, "note": ""}, {"ingredient_id": "greek_yogurt", "name": "Greek yogurt, plain 2%", "grams": 70.0, "note": ""}, {"ingredient_id": "cinnamon", "name": "Ground cinnamon", "grams": 2.0, "note": ""}, {"ingredient_id": "nutmeg", "name": "Ground nutmeg", "grams": 0.3, "note": ""}, {"ingredient_id": "walnuts", "name": "Walnuts", "grams": 12.0, "note": ""}, {"ingredient_id": "monk_fruit_sweetener", "name": "Monk fruit/erythritol sweetener", "grams": 6.0, "note": ""}, {"ingredient_id": "vanilla_extract", "name": "Vanilla extract", "grams": 2.0, "note": ""}]</t>
        </is>
      </c>
      <c r="N137" s="2" t="n">
        <v>339</v>
      </c>
      <c r="O137" s="5" t="n">
        <v>15.6</v>
      </c>
      <c r="P137" s="5" t="n">
        <v>14.1</v>
      </c>
      <c r="Q137" s="5" t="n">
        <v>39.5</v>
      </c>
      <c r="R137" s="5" t="n">
        <v>7.3</v>
      </c>
      <c r="S137" s="5" t="n">
        <v>32.2</v>
      </c>
      <c r="T137" s="2" t="n">
        <v>47</v>
      </c>
      <c r="U137" s="2" t="inlineStr">
        <is>
          <t>low</t>
        </is>
      </c>
      <c r="V137" s="5" t="n">
        <v>15.1</v>
      </c>
      <c r="W137" s="2" t="inlineStr">
        <is>
          <t>medium</t>
        </is>
      </c>
      <c r="X137" s="3" t="inlineStr"/>
      <c r="Y137" s="3" t="inlineStr">
        <is>
          <t>91% of this dish's available carbohydrate comes from ingredients with a published, measured GI; the rest uses conventional placeholders (see Ingredients sheet)</t>
        </is>
      </c>
      <c r="Z137" s="2" t="n">
        <v>91</v>
      </c>
      <c r="AA137" s="3" t="inlineStr">
        <is>
          <t>vegetarian, high-fiber, no-cook, make-ahead</t>
        </is>
      </c>
      <c r="AB137" s="3" t="inlineStr">
        <is>
          <t>1. Mix oats, grated carrot, almond milk, yogurt, spices, vanilla and sweetener.
2. Refrigerate overnight.
3. Top with walnuts.</t>
        </is>
      </c>
      <c r="AC137" s="4" t="inlineStr">
        <is>
          <t>["Mix oats, grated carrot, almond milk, yogurt, spices, vanilla and sweetener.", "Refrigerate overnight.", "Top with walnuts."]</t>
        </is>
      </c>
    </row>
    <row r="138" ht="96" customHeight="1">
      <c r="A138" s="2" t="inlineStr">
        <is>
          <t>DB-0137</t>
        </is>
      </c>
      <c r="B138" s="3" t="inlineStr">
        <is>
          <t>Bean &amp; Cheese Breakfast Bowl</t>
        </is>
      </c>
      <c r="C138" s="4" t="inlineStr">
        <is>
          <t>Breakfast</t>
        </is>
      </c>
      <c r="D138" s="4" t="inlineStr">
        <is>
          <t>Tex-Mex</t>
        </is>
      </c>
      <c r="E138" s="2" t="n">
        <v>1</v>
      </c>
      <c r="F138" s="2" t="n">
        <v>5</v>
      </c>
      <c r="G138" s="2" t="n">
        <v>6</v>
      </c>
      <c r="H138" s="2" t="n">
        <v>11</v>
      </c>
      <c r="I138" s="4" t="inlineStr">
        <is>
          <t>bean-and-cheese-breakfast-bowl.jpg</t>
        </is>
      </c>
      <c r="J138" s="3" t="inlineStr">
        <is>
          <t>Bean &amp; Cheese Breakfast Bowl, healthy food photography, plated, natural light</t>
        </is>
      </c>
      <c r="K138" s="4" t="inlineStr"/>
      <c r="L138" s="3" t="inlineStr">
        <is>
          <t>Pinto beans, cooked — 120 g (4.2 oz)
Egg, large (50 g each) — 100 g (3.5 oz) [2 large eggs]
Cheddar cheese — 25 g (0.9 oz)
Salsa, no sugar added — 50 g (1.8 oz)
Avocado — 40 g (1.4 oz)
Green onions (scallions) — 10 g (0.4 oz)
Extra-virgin olive oil — 5 g (0.2 oz)
Ground cumin — 1 g (0.0 oz)</t>
        </is>
      </c>
      <c r="M138" s="4" t="inlineStr">
        <is>
          <t>[{"ingredient_id": "pinto_beans", "name": "Pinto beans, cooked", "grams": 120.0, "note": ""}, {"ingredient_id": "egg", "name": "Egg, large (50 g each)", "grams": 100.0, "note": "2 large eggs"}, {"ingredient_id": "cheddar", "name": "Cheddar cheese", "grams": 25.0, "note": ""}, {"ingredient_id": "salsa", "name": "Salsa, no sugar added", "grams": 50.0, "note": ""}, {"ingredient_id": "avocado", "name": "Avocado", "grams": 40.0, "note": ""}, {"ingredient_id": "green_onion", "name": "Green onions (scallions)", "grams": 10.0, "note": ""}, {"ingredient_id": "olive_oil", "name": "Extra-virgin olive oil", "grams": 5.0, "note": ""}, {"ingredient_id": "cumin", "name": "Ground cumin", "grams": 1.0, "note": ""}]</t>
        </is>
      </c>
      <c r="N138" s="2" t="n">
        <v>548</v>
      </c>
      <c r="O138" s="5" t="n">
        <v>31.1</v>
      </c>
      <c r="P138" s="5" t="n">
        <v>29.8</v>
      </c>
      <c r="Q138" s="5" t="n">
        <v>40.3</v>
      </c>
      <c r="R138" s="5" t="n">
        <v>14.6</v>
      </c>
      <c r="S138" s="5" t="n">
        <v>25.7</v>
      </c>
      <c r="T138" s="2" t="n">
        <v>30</v>
      </c>
      <c r="U138" s="2" t="inlineStr">
        <is>
          <t>low</t>
        </is>
      </c>
      <c r="V138" s="5" t="n">
        <v>7.7</v>
      </c>
      <c r="W138" s="2" t="inlineStr">
        <is>
          <t>low</t>
        </is>
      </c>
      <c r="X138" s="3" t="inlineStr"/>
      <c r="Y138" s="3" t="inlineStr">
        <is>
          <t>79% of this dish's available carbohydrate comes from ingredients with a published, measured GI; the rest uses conventional placeholders (see Ingredients sheet)</t>
        </is>
      </c>
      <c r="Z138" s="2" t="n">
        <v>79</v>
      </c>
      <c r="AA138" s="3" t="inlineStr">
        <is>
          <t>vegetarian, gluten-free, nut-free, high-protein, high-fiber, quick</t>
        </is>
      </c>
      <c r="AB138" s="3" t="inlineStr">
        <is>
          <t>1. Warm beans with cumin and mash lightly.
2. Fry the eggs in olive oil.
3. Layer beans, eggs, cheddar, salsa, avocado and green onion in a bowl.</t>
        </is>
      </c>
      <c r="AC138" s="4" t="inlineStr">
        <is>
          <t>["Warm beans with cumin and mash lightly.", "Fry the eggs in olive oil.", "Layer beans, eggs, cheddar, salsa, avocado and green onion in a bowl."]</t>
        </is>
      </c>
    </row>
    <row r="139" ht="96" customHeight="1">
      <c r="A139" s="2" t="inlineStr">
        <is>
          <t>DB-0138</t>
        </is>
      </c>
      <c r="B139" s="3" t="inlineStr">
        <is>
          <t>Avocado Egg Salad Toast</t>
        </is>
      </c>
      <c r="C139" s="4" t="inlineStr">
        <is>
          <t>Breakfast</t>
        </is>
      </c>
      <c r="D139" s="4" t="inlineStr">
        <is>
          <t>American</t>
        </is>
      </c>
      <c r="E139" s="2" t="n">
        <v>1</v>
      </c>
      <c r="F139" s="2" t="n">
        <v>10</v>
      </c>
      <c r="G139" s="2" t="n">
        <v>10</v>
      </c>
      <c r="H139" s="2" t="n">
        <v>20</v>
      </c>
      <c r="I139" s="4" t="inlineStr">
        <is>
          <t>avocado-egg-salad-toast.jpg</t>
        </is>
      </c>
      <c r="J139" s="3" t="inlineStr">
        <is>
          <t>Avocado Egg Salad Toast, healthy food photography, plated, natural light</t>
        </is>
      </c>
      <c r="K139" s="4" t="inlineStr"/>
      <c r="L139" s="3" t="inlineStr">
        <is>
          <t>Egg, large (50 g each) — 100 g (3.5 oz) [2 hard-boiled eggs]
Avocado — 60 g (2.1 oz)
Lemon juice — 6 g (0.2 oz)
Fresh chives — 3 g (0.1 oz)
Sprouted grain bread (Ezekiel-style) — 34 g (1.2 oz) [1 slice]
Salt — 1 g (0.0 oz)
Red pepper flakes — 0.5 g (0.0 oz)</t>
        </is>
      </c>
      <c r="M139" s="4" t="inlineStr">
        <is>
          <t>[{"ingredient_id": "egg", "name": "Egg, large (50 g each)", "grams": 100.0, "note": "2 hard-boiled eggs"}, {"ingredient_id": "avocado", "name": "Avocado", "grams": 60.0, "note": ""}, {"ingredient_id": "lemon_juice", "name": "Lemon juice", "grams": 6.0, "note": ""}, {"ingredient_id": "chives", "name": "Fresh chives", "grams": 3.0, "note": ""}, {"ingredient_id": "ezekiel_bread", "name": "Sprouted grain bread (Ezekiel-style)", "grams": 34.0, "note": "1 slice"}, {"ingredient_id": "salt", "name": "Salt", "grams": 1.0, "note": ""}, {"ingredient_id": "red_pepper_flakes", "name": "Red pepper flakes", "grams": 0.5, "note": ""}]</t>
        </is>
      </c>
      <c r="N139" s="2" t="n">
        <v>323</v>
      </c>
      <c r="O139" s="5" t="n">
        <v>18.1</v>
      </c>
      <c r="P139" s="5" t="n">
        <v>19.1</v>
      </c>
      <c r="Q139" s="5" t="n">
        <v>21.6</v>
      </c>
      <c r="R139" s="5" t="n">
        <v>7.3</v>
      </c>
      <c r="S139" s="5" t="n">
        <v>14.3</v>
      </c>
      <c r="T139" s="2" t="n">
        <v>54</v>
      </c>
      <c r="U139" s="2" t="inlineStr">
        <is>
          <t>low</t>
        </is>
      </c>
      <c r="V139" s="5" t="n">
        <v>7.7</v>
      </c>
      <c r="W139" s="2" t="inlineStr">
        <is>
          <t>low</t>
        </is>
      </c>
      <c r="X139" s="3" t="inlineStr"/>
      <c r="Y139" s="3" t="inlineStr">
        <is>
          <t>83% of this dish's available carbohydrate comes from ingredients with a published, measured GI; the rest uses conventional placeholders (see Ingredients sheet)</t>
        </is>
      </c>
      <c r="Z139" s="2" t="n">
        <v>83</v>
      </c>
      <c r="AA139" s="3" t="inlineStr">
        <is>
          <t>vegetarian, gluten-free, dairy-free, nut-free, low-carb, high-fiber, quick</t>
        </is>
      </c>
      <c r="AB139" s="3" t="inlineStr">
        <is>
          <t>1. Mash avocado with lemon juice and salt.
2. Chop hard-boiled eggs and fold in with chives.
3. Pile onto toasted bread; sprinkle pepper flakes.</t>
        </is>
      </c>
      <c r="AC139" s="4" t="inlineStr">
        <is>
          <t>["Mash avocado with lemon juice and salt.", "Chop hard-boiled eggs and fold in with chives.", "Pile onto toasted bread; sprinkle pepper flakes."]</t>
        </is>
      </c>
    </row>
    <row r="140" ht="96" customHeight="1">
      <c r="A140" s="2" t="inlineStr">
        <is>
          <t>DB-0139</t>
        </is>
      </c>
      <c r="B140" s="3" t="inlineStr">
        <is>
          <t>Cauliflower Oatmeal (Low-Carb Porridge)</t>
        </is>
      </c>
      <c r="C140" s="4" t="inlineStr">
        <is>
          <t>Breakfast</t>
        </is>
      </c>
      <c r="D140" s="4" t="inlineStr">
        <is>
          <t>American</t>
        </is>
      </c>
      <c r="E140" s="2" t="n">
        <v>1</v>
      </c>
      <c r="F140" s="2" t="n">
        <v>5</v>
      </c>
      <c r="G140" s="2" t="n">
        <v>8</v>
      </c>
      <c r="H140" s="2" t="n">
        <v>13</v>
      </c>
      <c r="I140" s="4" t="inlineStr">
        <is>
          <t>cauliflower-oatmeal-low-carb-porridge.jpg</t>
        </is>
      </c>
      <c r="J140" s="3" t="inlineStr">
        <is>
          <t>Cauliflower Oatmeal (Low-Carb Porridge), healthy food photography, plated, natural light</t>
        </is>
      </c>
      <c r="K140" s="4" t="inlineStr"/>
      <c r="L140" s="3" t="inlineStr">
        <is>
          <t>Cauliflower rice — 150 g (5.3 oz)
Almond milk, unsweetened — 200 g (7.1 oz)
Egg whites — 60 g (2.1 oz) [2 egg whites]
Ground flaxseed — 10 g (0.4 oz)
Ground cinnamon — 2 g (0.1 oz)
Vanilla extract — 2 g (0.1 oz)
Monk fruit/erythritol sweetener — 5 g (0.2 oz)
Pecans — 12 g (0.4 oz)
Raspberries — 40 g (1.4 oz)</t>
        </is>
      </c>
      <c r="M140" s="4" t="inlineStr">
        <is>
          <t>[{"ingredient_id": "cauliflower_rice", "name": "Cauliflower rice", "grams": 150.0, "note": ""}, {"ingredient_id": "almond_milk", "name": "Almond milk, unsweetened", "grams": 200.0, "note": ""}, {"ingredient_id": "egg_white", "name": "Egg whites", "grams": 60.0, "note": "2 egg whites"}, {"ingredient_id": "flaxseed", "name": "Ground flaxseed", "grams": 10.0, "note": ""}, {"ingredient_id": "cinnamon", "name": "Ground cinnamon", "grams": 2.0, "note": ""}, {"ingredient_id": "vanilla_extract", "name": "Vanilla extract", "grams": 2.0, "note": ""}, {"ingredient_id": "monk_fruit_sweetener", "name": "Monk fruit/erythritol sweetener", "grams": 5.0, "note": ""}, {"ingredient_id": "pecans", "name": "Pecans", "grams": 12.0, "note": ""}, {"ingredient_id": "raspberries", "name": "Raspberries", "grams": 40.0, "note": ""}]</t>
        </is>
      </c>
      <c r="N140" s="2" t="n">
        <v>267</v>
      </c>
      <c r="O140" s="5" t="n">
        <v>14.1</v>
      </c>
      <c r="P140" s="5" t="n">
        <v>16.1</v>
      </c>
      <c r="Q140" s="5" t="n">
        <v>20.4</v>
      </c>
      <c r="R140" s="5" t="n">
        <v>10.5</v>
      </c>
      <c r="S140" s="5" t="n">
        <v>9.9</v>
      </c>
      <c r="T140" s="2" t="n">
        <v>18</v>
      </c>
      <c r="U140" s="2" t="inlineStr">
        <is>
          <t>low</t>
        </is>
      </c>
      <c r="V140" s="5" t="n">
        <v>1.8</v>
      </c>
      <c r="W140" s="2" t="inlineStr">
        <is>
          <t>low</t>
        </is>
      </c>
      <c r="X140" s="3" t="inlineStr"/>
      <c r="Y140" s="3" t="inlineStr">
        <is>
          <t>0% of this dish's available carbohydrate comes from ingredients with a published, measured GI; the rest uses conventional placeholders (see Ingredients sheet)</t>
        </is>
      </c>
      <c r="Z140" s="2" t="n">
        <v>0</v>
      </c>
      <c r="AA140" s="3" t="inlineStr">
        <is>
          <t>vegetarian, gluten-free, dairy-free, low-carb, high-fiber</t>
        </is>
      </c>
      <c r="AB140" s="3" t="inlineStr">
        <is>
          <t>1. Simmer cauliflower rice in almond milk 5 minutes until tender.
2. Whisk in egg whites and flaxseed; cook 2 minutes stirring until thick.
3. Add cinnamon, vanilla, sweetener; top with pecans and raspberries.</t>
        </is>
      </c>
      <c r="AC140" s="4" t="inlineStr">
        <is>
          <t>["Simmer cauliflower rice in almond milk 5 minutes until tender.", "Whisk in egg whites and flaxseed; cook 2 minutes stirring until thick.", "Add cinnamon, vanilla, sweetener; top with pecans and raspberries."]</t>
        </is>
      </c>
    </row>
    <row r="141" ht="96" customHeight="1">
      <c r="A141" s="2" t="inlineStr">
        <is>
          <t>DB-0140</t>
        </is>
      </c>
      <c r="B141" s="3" t="inlineStr">
        <is>
          <t>Turkey Club Breakfast Lettuce Wraps</t>
        </is>
      </c>
      <c r="C141" s="4" t="inlineStr">
        <is>
          <t>Breakfast</t>
        </is>
      </c>
      <c r="D141" s="4" t="inlineStr">
        <is>
          <t>American</t>
        </is>
      </c>
      <c r="E141" s="2" t="n">
        <v>1</v>
      </c>
      <c r="F141" s="2" t="n">
        <v>5</v>
      </c>
      <c r="G141" s="2" t="n">
        <v>8</v>
      </c>
      <c r="H141" s="2" t="n">
        <v>13</v>
      </c>
      <c r="I141" s="4" t="inlineStr">
        <is>
          <t>turkey-club-breakfast-lettuce-wraps.jpg</t>
        </is>
      </c>
      <c r="J141" s="3" t="inlineStr">
        <is>
          <t>Turkey Club Breakfast Lettuce Wraps, healthy food photography, plated, natural light</t>
        </is>
      </c>
      <c r="K141" s="4" t="inlineStr"/>
      <c r="L141" s="3" t="inlineStr">
        <is>
          <t>Deli turkey breast, low sodium — 80 g (2.8 oz)
Turkey bacon — 30 g (1.1 oz) [2 slices]
Egg, large (50 g each) — 50 g (1.8 oz) [1 hard-boiled egg]
Tomato — 50 g (1.8 oz)
Avocado — 40 g (1.4 oz)
Romaine lettuce — 80 g (2.8 oz)
Mayonnaise (avocado oil) — 8 g (0.3 oz)</t>
        </is>
      </c>
      <c r="M141" s="4" t="inlineStr">
        <is>
          <t>[{"ingredient_id": "deli_turkey", "name": "Deli turkey breast, low sodium", "grams": 80.0, "note": ""}, {"ingredient_id": "turkey_bacon", "name": "Turkey bacon", "grams": 30.0, "note": "2 slices"}, {"ingredient_id": "egg", "name": "Egg, large (50 g each)", "grams": 50.0, "note": "1 hard-boiled egg"}, {"ingredient_id": "tomato", "name": "Tomato", "grams": 50.0, "note": ""}, {"ingredient_id": "avocado", "name": "Avocado", "grams": 40.0, "note": ""}, {"ingredient_id": "romaine", "name": "Romaine lettuce", "grams": 80.0, "note": ""}, {"ingredient_id": "mayo", "name": "Mayonnaise (avocado oil)", "grams": 8.0, "note": ""}]</t>
        </is>
      </c>
      <c r="N141" s="2" t="n">
        <v>363</v>
      </c>
      <c r="O141" s="5" t="n">
        <v>27.5</v>
      </c>
      <c r="P141" s="5" t="n">
        <v>23</v>
      </c>
      <c r="Q141" s="5" t="n">
        <v>12.1</v>
      </c>
      <c r="R141" s="5" t="n">
        <v>5</v>
      </c>
      <c r="S141" s="5" t="n">
        <v>7.2</v>
      </c>
      <c r="T141" s="2" t="n">
        <v>6</v>
      </c>
      <c r="U141" s="2" t="inlineStr">
        <is>
          <t>low</t>
        </is>
      </c>
      <c r="V141" s="5" t="n">
        <v>0.4</v>
      </c>
      <c r="W141" s="2" t="inlineStr">
        <is>
          <t>low</t>
        </is>
      </c>
      <c r="X141" s="3" t="inlineStr"/>
      <c r="Y141" s="3" t="inlineStr">
        <is>
          <t>0% of this dish's available carbohydrate comes from ingredients with a published, measured GI; the rest uses conventional placeholders (see Ingredients sheet)</t>
        </is>
      </c>
      <c r="Z141" s="2" t="n">
        <v>0</v>
      </c>
      <c r="AA141" s="3" t="inlineStr">
        <is>
          <t>gluten-free, dairy-free, nut-free, low-carb, high-protein, quick</t>
        </is>
      </c>
      <c r="AB141" s="3" t="inlineStr">
        <is>
          <t>1. Cook turkey bacon until crisp.
2. Spread romaine leaves with mayo; layer turkey, bacon, sliced egg, tomato and avocado.
3. Roll and eat.</t>
        </is>
      </c>
      <c r="AC141" s="4" t="inlineStr">
        <is>
          <t>["Cook turkey bacon until crisp.", "Spread romaine leaves with mayo; layer turkey, bacon, sliced egg, tomato and avocado.", "Roll and eat."]</t>
        </is>
      </c>
    </row>
    <row r="142" ht="96" customHeight="1">
      <c r="A142" s="2" t="inlineStr">
        <is>
          <t>DB-0141</t>
        </is>
      </c>
      <c r="B142" s="3" t="inlineStr">
        <is>
          <t>Cardamom Pear Steel-Cut Oats</t>
        </is>
      </c>
      <c r="C142" s="4" t="inlineStr">
        <is>
          <t>Breakfast</t>
        </is>
      </c>
      <c r="D142" s="4" t="inlineStr">
        <is>
          <t>American</t>
        </is>
      </c>
      <c r="E142" s="2" t="n">
        <v>2</v>
      </c>
      <c r="F142" s="2" t="n">
        <v>5</v>
      </c>
      <c r="G142" s="2" t="n">
        <v>25</v>
      </c>
      <c r="H142" s="2" t="n">
        <v>30</v>
      </c>
      <c r="I142" s="4" t="inlineStr">
        <is>
          <t>cardamom-pear-steel-cut-oats.jpg</t>
        </is>
      </c>
      <c r="J142" s="3" t="inlineStr">
        <is>
          <t>Cardamom Pear Steel-Cut Oats, healthy food photography, plated, natural light</t>
        </is>
      </c>
      <c r="K142" s="4" t="inlineStr"/>
      <c r="L142" s="3" t="inlineStr">
        <is>
          <t>Steel-cut oats, dry — 80 g (2.8 oz)
Water / ice — 400 g (14.1 oz)
Almond milk, unsweetened — 100 g (3.5 oz)
Pear — 150 g (5.3 oz)
Ground cardamom — 1 g (0.0 oz)
Ground cinnamon — 1 g (0.0 oz)
Almonds — 20 g (0.7 oz)
Greek yogurt, plain 2% — 80 g (2.8 oz)</t>
        </is>
      </c>
      <c r="M142" s="4" t="inlineStr">
        <is>
          <t>[{"ingredient_id": "steel_cut_oats", "name": "Steel-cut oats, dry", "grams": 80.0, "note": ""}, {"ingredient_id": "water", "name": "Water / ice", "grams": 400.0, "note": ""}, {"ingredient_id": "almond_milk", "name": "Almond milk, unsweetened", "grams": 100.0, "note": ""}, {"ingredient_id": "pear", "name": "Pear", "grams": 150.0, "note": ""}, {"ingredient_id": "cardamom", "name": "Ground cardamom", "grams": 1.0, "note": ""}, {"ingredient_id": "cinnamon", "name": "Ground cinnamon", "grams": 1.0, "note": ""}, {"ingredient_id": "almonds", "name": "Almonds", "grams": 20.0, "note": ""}, {"ingredient_id": "greek_yogurt", "name": "Greek yogurt, plain 2%", "grams": 80.0, "note": ""}]</t>
        </is>
      </c>
      <c r="N142" s="2" t="n">
        <v>290</v>
      </c>
      <c r="O142" s="5" t="n">
        <v>12</v>
      </c>
      <c r="P142" s="5" t="n">
        <v>9.1</v>
      </c>
      <c r="Q142" s="5" t="n">
        <v>42.9</v>
      </c>
      <c r="R142" s="5" t="n">
        <v>8</v>
      </c>
      <c r="S142" s="5" t="n">
        <v>34.9</v>
      </c>
      <c r="T142" s="2" t="n">
        <v>42</v>
      </c>
      <c r="U142" s="2" t="inlineStr">
        <is>
          <t>low</t>
        </is>
      </c>
      <c r="V142" s="5" t="n">
        <v>14.7</v>
      </c>
      <c r="W142" s="2" t="inlineStr">
        <is>
          <t>medium</t>
        </is>
      </c>
      <c r="X142" s="3" t="inlineStr"/>
      <c r="Y142" s="3" t="inlineStr">
        <is>
          <t>95% of this dish's available carbohydrate comes from ingredients with a published, measured GI; the rest uses conventional placeholders (see Ingredients sheet)</t>
        </is>
      </c>
      <c r="Z142" s="2" t="n">
        <v>95</v>
      </c>
      <c r="AA142" s="3" t="inlineStr">
        <is>
          <t>vegetarian, high-fiber</t>
        </is>
      </c>
      <c r="AB142" s="3" t="inlineStr">
        <is>
          <t>1. Simmer steel-cut oats in water 20–25 minutes, stirring occasionally.
2. Stir in almond milk, cardamom and cinnamon.
3. Top with diced pear, almonds and yogurt.</t>
        </is>
      </c>
      <c r="AC142" s="4" t="inlineStr">
        <is>
          <t>["Simmer steel-cut oats in water 20–25 minutes, stirring occasionally.", "Stir in almond milk, cardamom and cinnamon.", "Top with diced pear, almonds and yogurt."]</t>
        </is>
      </c>
    </row>
    <row r="143" ht="96" customHeight="1">
      <c r="A143" s="2" t="inlineStr">
        <is>
          <t>DB-0142</t>
        </is>
      </c>
      <c r="B143" s="3" t="inlineStr">
        <is>
          <t>Southwest Egg White Breakfast Pizza on Tortilla</t>
        </is>
      </c>
      <c r="C143" s="4" t="inlineStr">
        <is>
          <t>Breakfast</t>
        </is>
      </c>
      <c r="D143" s="4" t="inlineStr">
        <is>
          <t>Tex-Mex</t>
        </is>
      </c>
      <c r="E143" s="2" t="n">
        <v>1</v>
      </c>
      <c r="F143" s="2" t="n">
        <v>5</v>
      </c>
      <c r="G143" s="2" t="n">
        <v>10</v>
      </c>
      <c r="H143" s="2" t="n">
        <v>15</v>
      </c>
      <c r="I143" s="4" t="inlineStr">
        <is>
          <t>southwest-egg-white-breakfast-pizza-on-tortilla.jpg</t>
        </is>
      </c>
      <c r="J143" s="3" t="inlineStr">
        <is>
          <t>Southwest Egg White Breakfast Pizza on Tortilla, healthy food photography, plated, natural light</t>
        </is>
      </c>
      <c r="K143" s="4" t="inlineStr"/>
      <c r="L143" s="3" t="inlineStr">
        <is>
          <t>Low-carb high-fiber tortilla — 42 g (1.5 oz) [1 tortilla]
Egg whites — 120 g (4.2 oz) [4 egg whites]
Black beans, cooked — 50 g (1.8 oz)
Salsa, no sugar added — 40 g (1.4 oz)
Pepper jack cheese — 30 g (1.1 oz)
Green onions (scallions) — 10 g (0.4 oz)
Extra-virgin olive oil — 4 g (0.1 oz)</t>
        </is>
      </c>
      <c r="M143" s="4" t="inlineStr">
        <is>
          <t>[{"ingredient_id": "low_carb_tortilla", "name": "Low-carb high-fiber tortilla", "grams": 42.0, "note": "1 tortilla"}, {"ingredient_id": "egg_white", "name": "Egg whites", "grams": 120.0, "note": "4 egg whites"}, {"ingredient_id": "black_beans", "name": "Black beans, cooked", "grams": 50.0, "note": ""}, {"ingredient_id": "salsa", "name": "Salsa, no sugar added", "grams": 40.0, "note": ""}, {"ingredient_id": "pepper_jack", "name": "Pepper jack cheese", "grams": 30.0, "note": ""}, {"ingredient_id": "green_onion", "name": "Green onions (scallions)", "grams": 10.0, "note": ""}, {"ingredient_id": "olive_oil", "name": "Extra-virgin olive oil", "grams": 4.0, "note": ""}]</t>
        </is>
      </c>
      <c r="N143" s="2" t="n">
        <v>400</v>
      </c>
      <c r="O143" s="5" t="n">
        <v>30.7</v>
      </c>
      <c r="P143" s="5" t="n">
        <v>16.9</v>
      </c>
      <c r="Q143" s="5" t="n">
        <v>33.5</v>
      </c>
      <c r="R143" s="5" t="n">
        <v>15.7</v>
      </c>
      <c r="S143" s="5" t="n">
        <v>17.8</v>
      </c>
      <c r="T143" s="2" t="n">
        <v>27</v>
      </c>
      <c r="U143" s="2" t="inlineStr">
        <is>
          <t>low</t>
        </is>
      </c>
      <c r="V143" s="5" t="n">
        <v>4.8</v>
      </c>
      <c r="W143" s="2" t="inlineStr">
        <is>
          <t>low</t>
        </is>
      </c>
      <c r="X143" s="3" t="inlineStr"/>
      <c r="Y143" s="3" t="inlineStr">
        <is>
          <t>42% of this dish's available carbohydrate comes from ingredients with a published, measured GI; the rest uses conventional placeholders (see Ingredients sheet)</t>
        </is>
      </c>
      <c r="Z143" s="2" t="n">
        <v>42</v>
      </c>
      <c r="AA143" s="3" t="inlineStr">
        <is>
          <t>vegetarian, nut-free, high-protein, high-fiber, quick</t>
        </is>
      </c>
      <c r="AB143" s="3" t="inlineStr">
        <is>
          <t>1. Crisp the tortilla in a skillet with olive oil.
2. Scramble egg whites, spread over the tortilla with beans and salsa.
3. Top with cheese, broil 2 minutes, add green onion and slice.</t>
        </is>
      </c>
      <c r="AC143" s="4" t="inlineStr">
        <is>
          <t>["Crisp the tortilla in a skillet with olive oil.", "Scramble egg whites, spread over the tortilla with beans and salsa.", "Top with cheese, broil 2 minutes, add green onion and slice."]</t>
        </is>
      </c>
    </row>
    <row r="144" ht="96" customHeight="1">
      <c r="A144" s="2" t="inlineStr">
        <is>
          <t>DB-0143</t>
        </is>
      </c>
      <c r="B144" s="3" t="inlineStr">
        <is>
          <t>Grilled Chicken Caesar Salad (Light Dressing)</t>
        </is>
      </c>
      <c r="C144" s="4" t="inlineStr">
        <is>
          <t>Salad</t>
        </is>
      </c>
      <c r="D144" s="4" t="inlineStr">
        <is>
          <t>American</t>
        </is>
      </c>
      <c r="E144" s="2" t="n">
        <v>2</v>
      </c>
      <c r="F144" s="2" t="n">
        <v>15</v>
      </c>
      <c r="G144" s="2" t="n">
        <v>12</v>
      </c>
      <c r="H144" s="2" t="n">
        <v>27</v>
      </c>
      <c r="I144" s="4" t="inlineStr">
        <is>
          <t>grilled-chicken-caesar-salad-light-dressing.jpg</t>
        </is>
      </c>
      <c r="J144" s="3" t="inlineStr">
        <is>
          <t>Grilled Chicken Caesar Salad (Light Dressing), healthy food photography, plated, natural light</t>
        </is>
      </c>
      <c r="K144" s="4" t="inlineStr"/>
      <c r="L144" s="3" t="inlineStr">
        <is>
          <t>Chicken breast, skinless — 300 g (10.6 oz)
Romaine lettuce — 250 g (8.8 oz)
Parmesan, grated — 30 g (1.1 oz)
Greek yogurt, plain 2% — 80 g (2.8 oz)
Lemon juice — 15 g (0.5 oz)
Dijon mustard — 8 g (0.3 oz)
Anchovies, canned — 10 g (0.4 oz)
Garlic — 4 g (0.1 oz)
Extra-virgin olive oil — 15 g (0.5 oz)
Black pepper — 1 g (0.0 oz)
Whole grain seed crackers — 20 g (0.7 oz) [crumbled for crunch]</t>
        </is>
      </c>
      <c r="M144" s="4" t="inlineStr">
        <is>
          <t>[{"ingredient_id": "chicken_breast", "name": "Chicken breast, skinless", "grams": 300.0, "note": ""}, {"ingredient_id": "romaine", "name": "Romaine lettuce", "grams": 250.0, "note": ""}, {"ingredient_id": "parmesan", "name": "Parmesan, grated", "grams": 30.0, "note": ""}, {"ingredient_id": "greek_yogurt", "name": "Greek yogurt, plain 2%", "grams": 80.0, "note": ""}, {"ingredient_id": "lemon_juice", "name": "Lemon juice", "grams": 15.0, "note": ""}, {"ingredient_id": "dijon", "name": "Dijon mustard", "grams": 8.0, "note": ""}, {"ingredient_id": "anchovies", "name": "Anchovies, canned", "grams": 10.0, "note": ""}, {"ingredient_id": "garlic", "name": "Garlic", "grams": 4.0, "note": ""}, {"ingredient_id": "olive_oil", "name": "Extra-virgin olive oil", "grams": 15.0, "note": ""}, {"ingredient_id": "black_pepper", "name": "Black pepper", "grams": 1.0, "note": ""}, {"ingredient_id": "whole_grain_crackers", "name": "Whole grain seed crackers", "grams": 20.0, "note": "crumbled for crunch"}]</t>
        </is>
      </c>
      <c r="N144" s="2" t="n">
        <v>422</v>
      </c>
      <c r="O144" s="5" t="n">
        <v>47.8</v>
      </c>
      <c r="P144" s="5" t="n">
        <v>19</v>
      </c>
      <c r="Q144" s="5" t="n">
        <v>14.6</v>
      </c>
      <c r="R144" s="5" t="n">
        <v>3.9</v>
      </c>
      <c r="S144" s="5" t="n">
        <v>10.7</v>
      </c>
      <c r="T144" s="2" t="n">
        <v>36</v>
      </c>
      <c r="U144" s="2" t="inlineStr">
        <is>
          <t>low</t>
        </is>
      </c>
      <c r="V144" s="5" t="n">
        <v>3.8</v>
      </c>
      <c r="W144" s="2" t="inlineStr">
        <is>
          <t>low</t>
        </is>
      </c>
      <c r="X144" s="3" t="inlineStr"/>
      <c r="Y144" s="3" t="inlineStr">
        <is>
          <t>67% of this dish's available carbohydrate comes from ingredients with a published, measured GI; the rest uses conventional placeholders (see Ingredients sheet)</t>
        </is>
      </c>
      <c r="Z144" s="2" t="n">
        <v>67</v>
      </c>
      <c r="AA144" s="3" t="inlineStr">
        <is>
          <t>nut-free, low-carb, high-protein</t>
        </is>
      </c>
      <c r="AB144" s="3" t="inlineStr">
        <is>
          <t>1. Season chicken, grill 6 minutes per side, rest and slice.
2. Whisk yogurt, lemon, Dijon, mashed anchovies, garlic and olive oil into a dressing.
3. Toss romaine with dressing, top with chicken, parmesan, pepper and crumbled crackers.</t>
        </is>
      </c>
      <c r="AC144" s="4" t="inlineStr">
        <is>
          <t>["Season chicken, grill 6 minutes per side, rest and slice.", "Whisk yogurt, lemon, Dijon, mashed anchovies, garlic and olive oil into a dressing.", "Toss romaine with dressing, top with chicken, parmesan, pepper and crumbled crackers."]</t>
        </is>
      </c>
    </row>
    <row r="145" ht="96" customHeight="1">
      <c r="A145" s="2" t="inlineStr">
        <is>
          <t>DB-0144</t>
        </is>
      </c>
      <c r="B145" s="3" t="inlineStr">
        <is>
          <t>Mediterranean Chickpea Salad</t>
        </is>
      </c>
      <c r="C145" s="4" t="inlineStr">
        <is>
          <t>Salad</t>
        </is>
      </c>
      <c r="D145" s="4" t="inlineStr">
        <is>
          <t>Mediterranean</t>
        </is>
      </c>
      <c r="E145" s="2" t="n">
        <v>4</v>
      </c>
      <c r="F145" s="2" t="n">
        <v>15</v>
      </c>
      <c r="G145" s="2" t="n">
        <v>0</v>
      </c>
      <c r="H145" s="2" t="n">
        <v>15</v>
      </c>
      <c r="I145" s="4" t="inlineStr">
        <is>
          <t>mediterranean-chickpea-salad.jpg</t>
        </is>
      </c>
      <c r="J145" s="3" t="inlineStr">
        <is>
          <t>Mediterranean Chickpea Salad, healthy food photography, plated, natural light</t>
        </is>
      </c>
      <c r="K145" s="4" t="inlineStr"/>
      <c r="L145" s="3" t="inlineStr">
        <is>
          <t>Chickpeas, cooked — 400 g (14.1 oz)
Cucumber — 200 g (7.1 oz)
Cherry tomatoes — 200 g (7.1 oz)
Red onion — 50 g (1.8 oz)
Feta cheese — 80 g (2.8 oz)
Olives (kalamata/green) — 50 g (1.8 oz)
Fresh parsley — 15 g (0.5 oz)
Extra-virgin olive oil — 30 g (1.1 oz)
Lemon juice — 25 g (0.9 oz)
Dried oregano — 2 g (0.1 oz)
Salt — 2 g (0.1 oz)</t>
        </is>
      </c>
      <c r="M145" s="4" t="inlineStr">
        <is>
          <t>[{"ingredient_id": "chickpeas", "name": "Chickpeas, cooked", "grams": 400.0, "note": ""}, {"ingredient_id": "cucumber", "name": "Cucumber", "grams": 200.0, "note": ""}, {"ingredient_id": "cherry_tomato", "name": "Cherry tomatoes", "grams": 200.0, "note": ""}, {"ingredient_id": "red_onion", "name": "Red onion", "grams": 50.0, "note": ""}, {"ingredient_id": "feta", "name": "Feta cheese", "grams": 80.0, "note": ""}, {"ingredient_id": "olives", "name": "Olives (kalamata/green)", "grams": 50.0, "note": ""}, {"ingredient_id": "parsley", "name": "Fresh parsley", "grams": 15.0, "note": ""}, {"ingredient_id": "olive_oil", "name": "Extra-virgin olive oil", "grams": 30.0, "note": ""}, {"ingredient_id": "lemon_juice", "name": "Lemon juice", "grams": 25.0, "note": ""}, {"ingredient_id": "oregano", "name": "Dried oregano", "grams": 2.0, "note": ""}, {"ingredient_id": "salt", "name": "Salt", "grams": 2.0, "note": ""}]</t>
        </is>
      </c>
      <c r="N145" s="2" t="n">
        <v>323</v>
      </c>
      <c r="O145" s="5" t="n">
        <v>12.9</v>
      </c>
      <c r="P145" s="5" t="n">
        <v>15.9</v>
      </c>
      <c r="Q145" s="5" t="n">
        <v>34.5</v>
      </c>
      <c r="R145" s="5" t="n">
        <v>9.4</v>
      </c>
      <c r="S145" s="5" t="n">
        <v>25.1</v>
      </c>
      <c r="T145" s="2" t="n">
        <v>32</v>
      </c>
      <c r="U145" s="2" t="inlineStr">
        <is>
          <t>low</t>
        </is>
      </c>
      <c r="V145" s="5" t="n">
        <v>8</v>
      </c>
      <c r="W145" s="2" t="inlineStr">
        <is>
          <t>low</t>
        </is>
      </c>
      <c r="X145" s="3" t="inlineStr"/>
      <c r="Y145" s="3" t="inlineStr">
        <is>
          <t>77% of this dish's available carbohydrate comes from ingredients with a published, measured GI; the rest uses conventional placeholders (see Ingredients sheet)</t>
        </is>
      </c>
      <c r="Z145" s="2" t="n">
        <v>77</v>
      </c>
      <c r="AA145" s="3" t="inlineStr">
        <is>
          <t>vegetarian, gluten-free, nut-free, high-fiber, make-ahead, no-cook</t>
        </is>
      </c>
      <c r="AB145" s="3" t="inlineStr">
        <is>
          <t>1. Combine chickpeas, diced cucumber, halved tomatoes, thin red onion, olives and parsley.
2. Whisk olive oil, lemon juice, oregano and salt; toss with the salad.
3. Fold in feta and chill 20 minutes before serving.</t>
        </is>
      </c>
      <c r="AC145" s="4" t="inlineStr">
        <is>
          <t>["Combine chickpeas, diced cucumber, halved tomatoes, thin red onion, olives and parsley.", "Whisk olive oil, lemon juice, oregano and salt; toss with the salad.", "Fold in feta and chill 20 minutes before serving."]</t>
        </is>
      </c>
    </row>
    <row r="146" ht="96" customHeight="1">
      <c r="A146" s="2" t="inlineStr">
        <is>
          <t>DB-0145</t>
        </is>
      </c>
      <c r="B146" s="3" t="inlineStr">
        <is>
          <t>Cobb Salad with Avocado Ranch</t>
        </is>
      </c>
      <c r="C146" s="4" t="inlineStr">
        <is>
          <t>Salad</t>
        </is>
      </c>
      <c r="D146" s="4" t="inlineStr">
        <is>
          <t>American</t>
        </is>
      </c>
      <c r="E146" s="2" t="n">
        <v>2</v>
      </c>
      <c r="F146" s="2" t="n">
        <v>20</v>
      </c>
      <c r="G146" s="2" t="n">
        <v>15</v>
      </c>
      <c r="H146" s="2" t="n">
        <v>35</v>
      </c>
      <c r="I146" s="4" t="inlineStr">
        <is>
          <t>cobb-salad-with-avocado-ranch.jpg</t>
        </is>
      </c>
      <c r="J146" s="3" t="inlineStr">
        <is>
          <t>Cobb Salad with Avocado Ranch, healthy food photography, plated, natural light</t>
        </is>
      </c>
      <c r="K146" s="4" t="inlineStr"/>
      <c r="L146" s="3" t="inlineStr">
        <is>
          <t>Chicken breast, skinless — 250 g (8.8 oz)
Egg, large (50 g each) — 100 g (3.5 oz) [2 hard-boiled eggs]
Turkey bacon — 45 g (1.6 oz) [3 slices]
Romaine lettuce — 200 g (7.1 oz)
Avocado — 100 g (3.5 oz)
Cherry tomatoes — 150 g (5.3 oz)
Blue cheese, crumbled — 40 g (1.4 oz)
Greek yogurt, plain 2% — 80 g (2.8 oz)
Ranch seasoning (dry) — 4 g (0.1 oz)
Lemon juice — 10 g (0.4 oz)
Extra-virgin olive oil — 10 g (0.4 oz)</t>
        </is>
      </c>
      <c r="M146" s="4" t="inlineStr">
        <is>
          <t>[{"ingredient_id": "chicken_breast", "name": "Chicken breast, skinless", "grams": 250.0, "note": ""}, {"ingredient_id": "egg", "name": "Egg, large (50 g each)", "grams": 100.0, "note": "2 hard-boiled eggs"}, {"ingredient_id": "turkey_bacon", "name": "Turkey bacon", "grams": 45.0, "note": "3 slices"}, {"ingredient_id": "romaine", "name": "Romaine lettuce", "grams": 200.0, "note": ""}, {"ingredient_id": "avocado", "name": "Avocado", "grams": 100.0, "note": ""}, {"ingredient_id": "cherry_tomato", "name": "Cherry tomatoes", "grams": 150.0, "note": ""}, {"ingredient_id": "blue_cheese", "name": "Blue cheese, crumbled", "grams": 40.0, "note": ""}, {"ingredient_id": "greek_yogurt", "name": "Greek yogurt, plain 2%", "grams": 80.0, "note": ""}, {"ingredient_id": "ranch_seasoning", "name": "Ranch seasoning (dry)", "grams": 4.0, "note": ""}, {"ingredient_id": "lemon_juice", "name": "Lemon juice", "grams": 10.0, "note": ""}, {"ingredient_id": "olive_oil", "name": "Extra-virgin olive oil", "grams": 10.0, "note": ""}]</t>
        </is>
      </c>
      <c r="N146" s="2" t="n">
        <v>532</v>
      </c>
      <c r="O146" s="5" t="n">
        <v>49.8</v>
      </c>
      <c r="P146" s="5" t="n">
        <v>31.1</v>
      </c>
      <c r="Q146" s="5" t="n">
        <v>14.8</v>
      </c>
      <c r="R146" s="5" t="n">
        <v>6.9</v>
      </c>
      <c r="S146" s="5" t="n">
        <v>7.9</v>
      </c>
      <c r="T146" s="2" t="n">
        <v>12</v>
      </c>
      <c r="U146" s="2" t="inlineStr">
        <is>
          <t>low</t>
        </is>
      </c>
      <c r="V146" s="5" t="n">
        <v>0.9</v>
      </c>
      <c r="W146" s="2" t="inlineStr">
        <is>
          <t>low</t>
        </is>
      </c>
      <c r="X146" s="3" t="inlineStr"/>
      <c r="Y146" s="3" t="inlineStr">
        <is>
          <t>20% of this dish's available carbohydrate comes from ingredients with a published, measured GI; the rest uses conventional placeholders (see Ingredients sheet)</t>
        </is>
      </c>
      <c r="Z146" s="2" t="n">
        <v>20</v>
      </c>
      <c r="AA146" s="3" t="inlineStr">
        <is>
          <t>gluten-free, nut-free, low-carb, high-protein</t>
        </is>
      </c>
      <c r="AB146" s="3" t="inlineStr">
        <is>
          <t>1. Cook chicken in olive oil, slice; hard-boil eggs; crisp turkey bacon.
2. Blend half the avocado with yogurt, ranch seasoning and lemon juice for the dressing.
3. Arrange romaine with rows of chicken, egg, bacon, remaining avocado, tomato and blue cheese; drizzle dressing.</t>
        </is>
      </c>
      <c r="AC146" s="4" t="inlineStr">
        <is>
          <t>["Cook chicken in olive oil, slice; hard-boil eggs; crisp turkey bacon.", "Blend half the avocado with yogurt, ranch seasoning and lemon juice for the dressing.", "Arrange romaine with rows of chicken, egg, bacon, remaining avocado, tomato and blue cheese; drizzle dressing."]</t>
        </is>
      </c>
    </row>
    <row r="147" ht="96" customHeight="1">
      <c r="A147" s="2" t="inlineStr">
        <is>
          <t>DB-0146</t>
        </is>
      </c>
      <c r="B147" s="3" t="inlineStr">
        <is>
          <t>Kale &amp; Quinoa Power Salad with Lemon Tahini</t>
        </is>
      </c>
      <c r="C147" s="4" t="inlineStr">
        <is>
          <t>Salad</t>
        </is>
      </c>
      <c r="D147" s="4" t="inlineStr">
        <is>
          <t>American</t>
        </is>
      </c>
      <c r="E147" s="2" t="n">
        <v>3</v>
      </c>
      <c r="F147" s="2" t="n">
        <v>15</v>
      </c>
      <c r="G147" s="2" t="n">
        <v>0</v>
      </c>
      <c r="H147" s="2" t="n">
        <v>15</v>
      </c>
      <c r="I147" s="4" t="inlineStr">
        <is>
          <t>kale-and-quinoa-power-salad-with-lemon-tahini.jpg</t>
        </is>
      </c>
      <c r="J147" s="3" t="inlineStr">
        <is>
          <t>Kale &amp; Quinoa Power Salad with Lemon Tahini, healthy food photography, plated, natural light</t>
        </is>
      </c>
      <c r="K147" s="4" t="inlineStr"/>
      <c r="L147" s="3" t="inlineStr">
        <is>
          <t>Kale — 200 g (7.1 oz)
Quinoa, cooked — 250 g (8.8 oz)
Chickpeas, cooked — 150 g (5.3 oz)
Carrot — 80 g (2.8 oz)
Red cabbage — 80 g (2.8 oz)
Pumpkin seeds (pepitas) — 25 g (0.9 oz)
Tahini — 30 g (1.1 oz)
Lemon juice — 25 g (0.9 oz)
Garlic — 4 g (0.1 oz)
Water / ice — 30 g (1.1 oz)
Salt — 2 g (0.1 oz)</t>
        </is>
      </c>
      <c r="M147" s="4" t="inlineStr">
        <is>
          <t>[{"ingredient_id": "kale", "name": "Kale", "grams": 200.0, "note": ""}, {"ingredient_id": "quinoa", "name": "Quinoa, cooked", "grams": 250.0, "note": ""}, {"ingredient_id": "chickpeas", "name": "Chickpeas, cooked", "grams": 150.0, "note": ""}, {"ingredient_id": "carrot", "name": "Carrot", "grams": 80.0, "note": ""}, {"ingredient_id": "red_cabbage", "name": "Red cabbage", "grams": 80.0, "note": ""}, {"ingredient_id": "pumpkin_seeds", "name": "Pumpkin seeds (pepitas)", "grams": 25.0, "note": ""}, {"ingredient_id": "tahini", "name": "Tahini", "grams": 30.0, "note": ""}, {"ingredient_id": "lemon_juice", "name": "Lemon juice", "grams": 25.0, "note": ""}, {"ingredient_id": "garlic", "name": "Garlic", "grams": 4.0, "note": ""}, {"ingredient_id": "water", "name": "Water / ice", "grams": 30.0, "note": ""}, {"ingredient_id": "salt", "name": "Salt", "grams": 2.0, "note": ""}]</t>
        </is>
      </c>
      <c r="N147" s="2" t="n">
        <v>344</v>
      </c>
      <c r="O147" s="5" t="n">
        <v>15.9</v>
      </c>
      <c r="P147" s="5" t="n">
        <v>13.1</v>
      </c>
      <c r="Q147" s="5" t="n">
        <v>45.4</v>
      </c>
      <c r="R147" s="5" t="n">
        <v>11.3</v>
      </c>
      <c r="S147" s="5" t="n">
        <v>34.1</v>
      </c>
      <c r="T147" s="2" t="n">
        <v>41</v>
      </c>
      <c r="U147" s="2" t="inlineStr">
        <is>
          <t>low</t>
        </is>
      </c>
      <c r="V147" s="5" t="n">
        <v>14</v>
      </c>
      <c r="W147" s="2" t="inlineStr">
        <is>
          <t>medium</t>
        </is>
      </c>
      <c r="X147" s="3" t="inlineStr"/>
      <c r="Y147" s="3" t="inlineStr">
        <is>
          <t>78% of this dish's available carbohydrate comes from ingredients with a published, measured GI; the rest uses conventional placeholders (see Ingredients sheet)</t>
        </is>
      </c>
      <c r="Z147" s="2" t="n">
        <v>78</v>
      </c>
      <c r="AA147" s="3" t="inlineStr">
        <is>
          <t>vegan, gluten-free, dairy-free, nut-free, high-fiber, make-ahead</t>
        </is>
      </c>
      <c r="AB147" s="3" t="inlineStr">
        <is>
          <t>1. Massage chopped kale with a pinch of salt for 1 minute to soften.
2. Whisk tahini, lemon juice, garlic, water and salt into a smooth dressing.
3. Toss kale with quinoa, chickpeas, shredded carrot and cabbage; drizzle dressing and top with pumpkin seeds.</t>
        </is>
      </c>
      <c r="AC147" s="4" t="inlineStr">
        <is>
          <t>["Massage chopped kale with a pinch of salt for 1 minute to soften.", "Whisk tahini, lemon juice, garlic, water and salt into a smooth dressing.", "Toss kale with quinoa, chickpeas, shredded carrot and cabbage; drizzle dressing and top with pumpkin seeds."]</t>
        </is>
      </c>
    </row>
    <row r="148" ht="96" customHeight="1">
      <c r="A148" s="2" t="inlineStr">
        <is>
          <t>DB-0147</t>
        </is>
      </c>
      <c r="B148" s="3" t="inlineStr">
        <is>
          <t>Tuna Niçoise Salad</t>
        </is>
      </c>
      <c r="C148" s="4" t="inlineStr">
        <is>
          <t>Salad</t>
        </is>
      </c>
      <c r="D148" s="4" t="inlineStr">
        <is>
          <t>French</t>
        </is>
      </c>
      <c r="E148" s="2" t="n">
        <v>2</v>
      </c>
      <c r="F148" s="2" t="n">
        <v>15</v>
      </c>
      <c r="G148" s="2" t="n">
        <v>15</v>
      </c>
      <c r="H148" s="2" t="n">
        <v>30</v>
      </c>
      <c r="I148" s="4" t="inlineStr">
        <is>
          <t>tuna-ni-oise-salad.jpg</t>
        </is>
      </c>
      <c r="J148" s="3" t="inlineStr">
        <is>
          <t>Tuna Niçoise Salad, healthy food photography, plated, natural light</t>
        </is>
      </c>
      <c r="K148" s="4" t="inlineStr"/>
      <c r="L148" s="3" t="inlineStr">
        <is>
          <t>Tuna, canned in water — 200 g (7.1 oz)
Egg, large (50 g each) — 100 g (3.5 oz) [2 hard-boiled eggs]
Green beans — 200 g (7.1 oz)
New potatoes, boiled — 120 g (4.2 oz)
Cherry tomatoes — 150 g (5.3 oz)
Olives (kalamata/green) — 40 g (1.4 oz)
Mixed salad greens — 100 g (3.5 oz)
Extra-virgin olive oil — 20 g (0.7 oz)
Red wine vinegar — 12 g (0.4 oz)
Dijon mustard — 6 g (0.2 oz)
Anchovies, canned — 8 g (0.3 oz)</t>
        </is>
      </c>
      <c r="M148" s="4" t="inlineStr">
        <is>
          <t>[{"ingredient_id": "tuna_canned", "name": "Tuna, canned in water", "grams": 200.0, "note": ""}, {"ingredient_id": "egg", "name": "Egg, large (50 g each)", "grams": 100.0, "note": "2 hard-boiled eggs"}, {"ingredient_id": "green_beans", "name": "Green beans", "grams": 200.0, "note": ""}, {"ingredient_id": "new_potato", "name": "New potatoes, boiled", "grams": 120.0, "note": ""}, {"ingredient_id": "cherry_tomato", "name": "Cherry tomatoes", "grams": 150.0, "note": ""}, {"ingredient_id": "olives", "name": "Olives (kalamata/green)", "grams": 40.0, "note": ""}, {"ingredient_id": "mixed_greens", "name": "Mixed salad greens", "grams": 100.0, "note": ""}, {"ingredient_id": "olive_oil", "name": "Extra-virgin olive oil", "grams": 20.0, "note": ""}, {"ingredient_id": "red_wine_vinegar", "name": "Red wine vinegar", "grams": 12.0, "note": ""}, {"ingredient_id": "dijon", "name": "Dijon mustard", "grams": 6.0, "note": ""}, {"ingredient_id": "anchovies", "name": "Anchovies, canned", "grams": 8.0, "note": ""}]</t>
        </is>
      </c>
      <c r="N148" s="2" t="n">
        <v>417</v>
      </c>
      <c r="O148" s="5" t="n">
        <v>38.4</v>
      </c>
      <c r="P148" s="5" t="n">
        <v>19</v>
      </c>
      <c r="Q148" s="5" t="n">
        <v>25.4</v>
      </c>
      <c r="R148" s="5" t="n">
        <v>6.4</v>
      </c>
      <c r="S148" s="5" t="n">
        <v>19</v>
      </c>
      <c r="T148" s="2" t="n">
        <v>47</v>
      </c>
      <c r="U148" s="2" t="inlineStr">
        <is>
          <t>low</t>
        </is>
      </c>
      <c r="V148" s="5" t="n">
        <v>8.9</v>
      </c>
      <c r="W148" s="2" t="inlineStr">
        <is>
          <t>low</t>
        </is>
      </c>
      <c r="X148" s="3" t="inlineStr"/>
      <c r="Y148" s="3" t="inlineStr">
        <is>
          <t>58% of this dish's available carbohydrate comes from ingredients with a published, measured GI; the rest uses conventional placeholders (see Ingredients sheet)</t>
        </is>
      </c>
      <c r="Z148" s="2" t="n">
        <v>58</v>
      </c>
      <c r="AA148" s="3" t="inlineStr">
        <is>
          <t>pescatarian, gluten-free, dairy-free, nut-free, high-protein</t>
        </is>
      </c>
      <c r="AB148" s="3" t="inlineStr">
        <is>
          <t>1. Boil potatoes until tender; blanch green beans 3 minutes; hard-boil eggs.
2. Whisk olive oil, vinegar, Dijon and mashed anchovy.
3. Arrange greens, tuna, potatoes, beans, eggs, tomatoes and olives; drizzle with dressing.</t>
        </is>
      </c>
      <c r="AC148" s="4" t="inlineStr">
        <is>
          <t>["Boil potatoes until tender; blanch green beans 3 minutes; hard-boil eggs.", "Whisk olive oil, vinegar, Dijon and mashed anchovy.", "Arrange greens, tuna, potatoes, beans, eggs, tomatoes and olives; drizzle with dressing."]</t>
        </is>
      </c>
    </row>
    <row r="149" ht="96" customHeight="1">
      <c r="A149" s="2" t="inlineStr">
        <is>
          <t>DB-0148</t>
        </is>
      </c>
      <c r="B149" s="3" t="inlineStr">
        <is>
          <t>Asian Chicken Chopped Salad</t>
        </is>
      </c>
      <c r="C149" s="4" t="inlineStr">
        <is>
          <t>Salad</t>
        </is>
      </c>
      <c r="D149" s="4" t="inlineStr">
        <is>
          <t>Asian</t>
        </is>
      </c>
      <c r="E149" s="2" t="n">
        <v>3</v>
      </c>
      <c r="F149" s="2" t="n">
        <v>20</v>
      </c>
      <c r="G149" s="2" t="n">
        <v>0</v>
      </c>
      <c r="H149" s="2" t="n">
        <v>20</v>
      </c>
      <c r="I149" s="4" t="inlineStr">
        <is>
          <t>asian-chicken-chopped-salad.jpg</t>
        </is>
      </c>
      <c r="J149" s="3" t="inlineStr">
        <is>
          <t>Asian Chicken Chopped Salad, healthy food photography, plated, natural light</t>
        </is>
      </c>
      <c r="K149" s="4" t="inlineStr"/>
      <c r="L149" s="3" t="inlineStr">
        <is>
          <t>Rotisserie chicken, skin removed — 300 g (10.6 oz)
Napa cabbage — 250 g (8.8 oz)
Red cabbage — 100 g (3.5 oz)
Carrot — 80 g (2.8 oz)
Edamame, shelled, cooked — 100 g (3.5 oz)
Green onions (scallions) — 30 g (1.1 oz)
Fresh cilantro — 10 g (0.4 oz)
Almonds — 30 g (1.1 oz)
Tamari (gluten-free soy sauce) — 15 g (0.5 oz)
Rice vinegar, unseasoned — 20 g (0.7 oz)
Toasted sesame oil — 10 g (0.4 oz)
Fresh ginger — 6 g (0.2 oz)
Peanut butter, natural — 15 g (0.5 oz)</t>
        </is>
      </c>
      <c r="M149" s="4" t="inlineStr">
        <is>
          <t>[{"ingredient_id": "rotisserie_chicken", "name": "Rotisserie chicken, skin removed", "grams": 300.0, "note": ""}, {"ingredient_id": "napa_cabbage", "name": "Napa cabbage", "grams": 250.0, "note": ""}, {"ingredient_id": "red_cabbage", "name": "Red cabbage", "grams": 100.0, "note": ""}, {"ingredient_id": "carrot", "name": "Carrot", "grams": 80.0, "note": ""}, {"ingredient_id": "edamame", "name": "Edamame, shelled, cooked", "grams": 100.0, "note": ""}, {"ingredient_id": "green_onion", "name": "Green onions (scallions)", "grams": 30.0, "note": ""}, {"ingredient_id": "cilantro", "name": "Fresh cilantro", "grams": 10.0, "note": ""}, {"ingredient_id": "almonds", "name": "Almonds", "grams": 30.0, "note": ""}, {"ingredient_id": "tamari", "name": "Tamari (gluten-free soy sauce)", "grams": 15.0, "note": ""}, {"ingredient_id": "rice_vinegar", "name": "Rice vinegar, unseasoned", "grams": 20.0, "note": ""}, {"ingredient_id": "sesame_oil", "name": "Toasted sesame oil", "grams": 10.0, "note": ""}, {"ingredient_id": "ginger", "name": "Fresh ginger", "grams": 6.0, "note": ""}, {"ingredient_id": "peanut_butter", "name": "Peanut butter, natural", "grams": 15.0, "note": ""}]</t>
        </is>
      </c>
      <c r="N149" s="2" t="n">
        <v>361</v>
      </c>
      <c r="O149" s="5" t="n">
        <v>32.8</v>
      </c>
      <c r="P149" s="5" t="n">
        <v>19.8</v>
      </c>
      <c r="Q149" s="5" t="n">
        <v>15.4</v>
      </c>
      <c r="R149" s="5" t="n">
        <v>6.1</v>
      </c>
      <c r="S149" s="5" t="n">
        <v>9.300000000000001</v>
      </c>
      <c r="T149" s="2" t="n">
        <v>20</v>
      </c>
      <c r="U149" s="2" t="inlineStr">
        <is>
          <t>low</t>
        </is>
      </c>
      <c r="V149" s="5" t="n">
        <v>1.9</v>
      </c>
      <c r="W149" s="2" t="inlineStr">
        <is>
          <t>low</t>
        </is>
      </c>
      <c r="X149" s="3" t="inlineStr"/>
      <c r="Y149" s="3" t="inlineStr">
        <is>
          <t>20% of this dish's available carbohydrate comes from ingredients with a published, measured GI; the rest uses conventional placeholders (see Ingredients sheet)</t>
        </is>
      </c>
      <c r="Z149" s="2" t="n">
        <v>20</v>
      </c>
      <c r="AA149" s="3" t="inlineStr">
        <is>
          <t>gluten-free, dairy-free, low-carb, high-protein, no-cook</t>
        </is>
      </c>
      <c r="AB149" s="3" t="inlineStr">
        <is>
          <t>1. Whisk tamari, rice vinegar, sesame oil, grated ginger and peanut butter into a dressing.
2. Toss shredded chicken, cabbages, carrot, edamame, green onion and cilantro.
3. Dress just before serving and top with sliced almonds.</t>
        </is>
      </c>
      <c r="AC149" s="4" t="inlineStr">
        <is>
          <t>["Whisk tamari, rice vinegar, sesame oil, grated ginger and peanut butter into a dressing.", "Toss shredded chicken, cabbages, carrot, edamame, green onion and cilantro.", "Dress just before serving and top with sliced almonds."]</t>
        </is>
      </c>
    </row>
    <row r="150" ht="96" customHeight="1">
      <c r="A150" s="2" t="inlineStr">
        <is>
          <t>DB-0149</t>
        </is>
      </c>
      <c r="B150" s="3" t="inlineStr">
        <is>
          <t>Greek Salad with Grilled Shrimp</t>
        </is>
      </c>
      <c r="C150" s="4" t="inlineStr">
        <is>
          <t>Salad</t>
        </is>
      </c>
      <c r="D150" s="4" t="inlineStr">
        <is>
          <t>Greek</t>
        </is>
      </c>
      <c r="E150" s="2" t="n">
        <v>2</v>
      </c>
      <c r="F150" s="2" t="n">
        <v>15</v>
      </c>
      <c r="G150" s="2" t="n">
        <v>6</v>
      </c>
      <c r="H150" s="2" t="n">
        <v>21</v>
      </c>
      <c r="I150" s="4" t="inlineStr">
        <is>
          <t>greek-salad-with-grilled-shrimp.jpg</t>
        </is>
      </c>
      <c r="J150" s="3" t="inlineStr">
        <is>
          <t>Greek Salad with Grilled Shrimp, healthy food photography, plated, natural light</t>
        </is>
      </c>
      <c r="K150" s="4" t="inlineStr"/>
      <c r="L150" s="3" t="inlineStr">
        <is>
          <t>Shrimp, peeled — 300 g (10.6 oz)
Cucumber — 200 g (7.1 oz)
Tomato — 200 g (7.1 oz)
Red onion — 40 g (1.4 oz)
Olives (kalamata/green) — 40 g (1.4 oz)
Feta cheese — 60 g (2.1 oz)
Extra-virgin olive oil — 20 g (0.7 oz)
Red wine vinegar — 12 g (0.4 oz)
Dried oregano — 2 g (0.1 oz)
Romaine lettuce — 100 g (3.5 oz)</t>
        </is>
      </c>
      <c r="M150" s="4" t="inlineStr">
        <is>
          <t>[{"ingredient_id": "shrimp", "name": "Shrimp, peeled", "grams": 300.0, "note": ""}, {"ingredient_id": "cucumber", "name": "Cucumber", "grams": 200.0, "note": ""}, {"ingredient_id": "tomato", "name": "Tomato", "grams": 200.0, "note": ""}, {"ingredient_id": "red_onion", "name": "Red onion", "grams": 40.0, "note": ""}, {"ingredient_id": "olives", "name": "Olives (kalamata/green)", "grams": 40.0, "note": ""}, {"ingredient_id": "feta", "name": "Feta cheese", "grams": 60.0, "note": ""}, {"ingredient_id": "olive_oil", "name": "Extra-virgin olive oil", "grams": 20.0, "note": ""}, {"ingredient_id": "red_wine_vinegar", "name": "Red wine vinegar", "grams": 12.0, "note": ""}, {"ingredient_id": "oregano", "name": "Dried oregano", "grams": 2.0, "note": ""}, {"ingredient_id": "romaine", "name": "Romaine lettuce", "grams": 100.0, "note": ""}]</t>
        </is>
      </c>
      <c r="N150" s="2" t="n">
        <v>371</v>
      </c>
      <c r="O150" s="5" t="n">
        <v>36.9</v>
      </c>
      <c r="P150" s="5" t="n">
        <v>19.8</v>
      </c>
      <c r="Q150" s="5" t="n">
        <v>14.1</v>
      </c>
      <c r="R150" s="5" t="n">
        <v>4.2</v>
      </c>
      <c r="S150" s="5" t="n">
        <v>10</v>
      </c>
      <c r="T150" s="2" t="n">
        <v>13</v>
      </c>
      <c r="U150" s="2" t="inlineStr">
        <is>
          <t>low</t>
        </is>
      </c>
      <c r="V150" s="5" t="n">
        <v>1.3</v>
      </c>
      <c r="W150" s="2" t="inlineStr">
        <is>
          <t>low</t>
        </is>
      </c>
      <c r="X150" s="3" t="inlineStr"/>
      <c r="Y150" s="3" t="inlineStr">
        <is>
          <t>0% of this dish's available carbohydrate comes from ingredients with a published, measured GI; the rest uses conventional placeholders (see Ingredients sheet)</t>
        </is>
      </c>
      <c r="Z150" s="2" t="n">
        <v>0</v>
      </c>
      <c r="AA150" s="3" t="inlineStr">
        <is>
          <t>pescatarian, gluten-free, nut-free, low-carb, high-protein</t>
        </is>
      </c>
      <c r="AB150" s="3" t="inlineStr">
        <is>
          <t>1. Toss shrimp with oregano and half the olive oil; grill 2–3 minutes per side.
2. Combine romaine, cucumber, tomato, onion and olives.
3. Dress with remaining oil and vinegar; top with feta and shrimp.</t>
        </is>
      </c>
      <c r="AC150" s="4" t="inlineStr">
        <is>
          <t>["Toss shrimp with oregano and half the olive oil; grill 2–3 minutes per side.", "Combine romaine, cucumber, tomato, onion and olives.", "Dress with remaining oil and vinegar; top with feta and shrimp."]</t>
        </is>
      </c>
    </row>
    <row r="151" ht="96" customHeight="1">
      <c r="A151" s="2" t="inlineStr">
        <is>
          <t>DB-0150</t>
        </is>
      </c>
      <c r="B151" s="3" t="inlineStr">
        <is>
          <t>Southwest Black Bean &amp; Avocado Salad</t>
        </is>
      </c>
      <c r="C151" s="4" t="inlineStr">
        <is>
          <t>Salad</t>
        </is>
      </c>
      <c r="D151" s="4" t="inlineStr">
        <is>
          <t>Tex-Mex</t>
        </is>
      </c>
      <c r="E151" s="2" t="n">
        <v>4</v>
      </c>
      <c r="F151" s="2" t="n">
        <v>15</v>
      </c>
      <c r="G151" s="2" t="n">
        <v>0</v>
      </c>
      <c r="H151" s="2" t="n">
        <v>15</v>
      </c>
      <c r="I151" s="4" t="inlineStr">
        <is>
          <t>southwest-black-bean-and-avocado-salad.jpg</t>
        </is>
      </c>
      <c r="J151" s="3" t="inlineStr">
        <is>
          <t>Southwest Black Bean &amp; Avocado Salad, healthy food photography, plated, natural light</t>
        </is>
      </c>
      <c r="K151" s="4" t="inlineStr"/>
      <c r="L151" s="3" t="inlineStr">
        <is>
          <t>Black beans, cooked — 400 g (14.1 oz)
Sweet corn kernels — 100 g (3.5 oz)
Bell pepper — 150 g (5.3 oz)
Cherry tomatoes — 150 g (5.3 oz)
Avocado — 120 g (4.2 oz)
Red onion — 50 g (1.8 oz)
Fresh cilantro — 15 g (0.5 oz)
Lime juice — 30 g (1.1 oz)
Extra-virgin olive oil — 20 g (0.7 oz)
Ground cumin — 2 g (0.1 oz)
Chili powder — 2 g (0.1 oz)
Salt — 2 g (0.1 oz)</t>
        </is>
      </c>
      <c r="M151" s="4" t="inlineStr">
        <is>
          <t>[{"ingredient_id": "black_beans", "name": "Black beans, cooked", "grams": 400.0, "note": ""}, {"ingredient_id": "corn", "name": "Sweet corn kernels", "grams": 100.0, "note": ""}, {"ingredient_id": "bell_pepper", "name": "Bell pepper", "grams": 150.0, "note": ""}, {"ingredient_id": "cherry_tomato", "name": "Cherry tomatoes", "grams": 150.0, "note": ""}, {"ingredient_id": "avocado", "name": "Avocado", "grams": 120.0, "note": ""}, {"ingredient_id": "red_onion", "name": "Red onion", "grams": 50.0, "note": ""}, {"ingredient_id": "cilantro", "name": "Fresh cilantro", "grams": 15.0, "note": ""}, {"ingredient_id": "lime_juice", "name": "Lime juice", "grams": 30.0, "note": ""}, {"ingredient_id": "olive_oil", "name": "Extra-virgin olive oil", "grams": 20.0, "note": ""}, {"ingredient_id": "cumin", "name": "Ground cumin", "grams": 2.0, "note": ""}, {"ingredient_id": "chili_powder", "name": "Chili powder", "grams": 2.0, "note": ""}, {"ingredient_id": "salt", "name": "Salt", "grams": 2.0, "note": ""}]</t>
        </is>
      </c>
      <c r="N151" s="2" t="n">
        <v>275</v>
      </c>
      <c r="O151" s="5" t="n">
        <v>11.4</v>
      </c>
      <c r="P151" s="5" t="n">
        <v>10.8</v>
      </c>
      <c r="Q151" s="5" t="n">
        <v>37.1</v>
      </c>
      <c r="R151" s="5" t="n">
        <v>13.2</v>
      </c>
      <c r="S151" s="5" t="n">
        <v>23.9</v>
      </c>
      <c r="T151" s="2" t="n">
        <v>31</v>
      </c>
      <c r="U151" s="2" t="inlineStr">
        <is>
          <t>low</t>
        </is>
      </c>
      <c r="V151" s="5" t="n">
        <v>7.4</v>
      </c>
      <c r="W151" s="2" t="inlineStr">
        <is>
          <t>low</t>
        </is>
      </c>
      <c r="X151" s="3" t="inlineStr"/>
      <c r="Y151" s="3" t="inlineStr">
        <is>
          <t>80% of this dish's available carbohydrate comes from ingredients with a published, measured GI; the rest uses conventional placeholders (see Ingredients sheet)</t>
        </is>
      </c>
      <c r="Z151" s="2" t="n">
        <v>80</v>
      </c>
      <c r="AA151" s="3" t="inlineStr">
        <is>
          <t>vegan, gluten-free, dairy-free, nut-free, high-fiber, no-cook, make-ahead</t>
        </is>
      </c>
      <c r="AB151" s="3" t="inlineStr">
        <is>
          <t>1. Combine beans, corn, diced pepper, tomatoes, red onion and cilantro.
2. Whisk lime juice, olive oil, cumin, chili powder and salt.
3. Toss, fold in diced avocado just before serving.</t>
        </is>
      </c>
      <c r="AC151" s="4" t="inlineStr">
        <is>
          <t>["Combine beans, corn, diced pepper, tomatoes, red onion and cilantro.", "Whisk lime juice, olive oil, cumin, chili powder and salt.", "Toss, fold in diced avocado just before serving."]</t>
        </is>
      </c>
    </row>
    <row r="152" ht="96" customHeight="1">
      <c r="A152" s="2" t="inlineStr">
        <is>
          <t>DB-0151</t>
        </is>
      </c>
      <c r="B152" s="3" t="inlineStr">
        <is>
          <t>Salmon Avocado Salad with Dill Dressing</t>
        </is>
      </c>
      <c r="C152" s="4" t="inlineStr">
        <is>
          <t>Salad</t>
        </is>
      </c>
      <c r="D152" s="4" t="inlineStr">
        <is>
          <t>American</t>
        </is>
      </c>
      <c r="E152" s="2" t="n">
        <v>2</v>
      </c>
      <c r="F152" s="2" t="n">
        <v>10</v>
      </c>
      <c r="G152" s="2" t="n">
        <v>12</v>
      </c>
      <c r="H152" s="2" t="n">
        <v>22</v>
      </c>
      <c r="I152" s="4" t="inlineStr">
        <is>
          <t>salmon-avocado-salad-with-dill-dressing.jpg</t>
        </is>
      </c>
      <c r="J152" s="3" t="inlineStr">
        <is>
          <t>Salmon Avocado Salad with Dill Dressing, healthy food photography, plated, natural light</t>
        </is>
      </c>
      <c r="K152" s="4" t="inlineStr"/>
      <c r="L152" s="3" t="inlineStr">
        <is>
          <t>Salmon fillet — 300 g (10.6 oz)
Mixed salad greens — 150 g (5.3 oz)
Avocado — 100 g (3.5 oz)
Cucumber — 120 g (4.2 oz)
Radishes — 50 g (1.8 oz)
Greek yogurt, plain 2% — 60 g (2.1 oz)
Fresh dill — 6 g (0.2 oz)
Lemon juice — 15 g (0.5 oz)
Extra-virgin olive oil — 12 g (0.4 oz)
Salt — 1 g (0.0 oz)</t>
        </is>
      </c>
      <c r="M152" s="4" t="inlineStr">
        <is>
          <t>[{"ingredient_id": "salmon", "name": "Salmon fillet", "grams": 300.0, "note": ""}, {"ingredient_id": "mixed_greens", "name": "Mixed salad greens", "grams": 150.0, "note": ""}, {"ingredient_id": "avocado", "name": "Avocado", "grams": 100.0, "note": ""}, {"ingredient_id": "cucumber", "name": "Cucumber", "grams": 120.0, "note": ""}, {"ingredient_id": "radish", "name": "Radishes", "grams": 50.0, "note": ""}, {"ingredient_id": "greek_yogurt", "name": "Greek yogurt, plain 2%", "grams": 60.0, "note": ""}, {"ingredient_id": "dill", "name": "Fresh dill", "grams": 6.0, "note": ""}, {"ingredient_id": "lemon_juice", "name": "Lemon juice", "grams": 15.0, "note": ""}, {"ingredient_id": "olive_oil", "name": "Extra-virgin olive oil", "grams": 12.0, "note": ""}, {"ingredient_id": "salt", "name": "Salt", "grams": 1.0, "note": ""}]</t>
        </is>
      </c>
      <c r="N152" s="2" t="n">
        <v>498</v>
      </c>
      <c r="O152" s="5" t="n">
        <v>36.2</v>
      </c>
      <c r="P152" s="5" t="n">
        <v>34</v>
      </c>
      <c r="Q152" s="5" t="n">
        <v>11.8</v>
      </c>
      <c r="R152" s="5" t="n">
        <v>5.6</v>
      </c>
      <c r="S152" s="5" t="n">
        <v>6.2</v>
      </c>
      <c r="T152" s="2" t="n">
        <v>15</v>
      </c>
      <c r="U152" s="2" t="inlineStr">
        <is>
          <t>low</t>
        </is>
      </c>
      <c r="V152" s="5" t="n">
        <v>0.9</v>
      </c>
      <c r="W152" s="2" t="inlineStr">
        <is>
          <t>low</t>
        </is>
      </c>
      <c r="X152" s="3" t="inlineStr"/>
      <c r="Y152" s="3" t="inlineStr">
        <is>
          <t>19% of this dish's available carbohydrate comes from ingredients with a published, measured GI; the rest uses conventional placeholders (see Ingredients sheet)</t>
        </is>
      </c>
      <c r="Z152" s="2" t="n">
        <v>19</v>
      </c>
      <c r="AA152" s="3" t="inlineStr">
        <is>
          <t>pescatarian, gluten-free, nut-free, low-carb, high-protein, omega-3</t>
        </is>
      </c>
      <c r="AB152" s="3" t="inlineStr">
        <is>
          <t>1. Season salmon and roast at 400°F for 12 minutes; flake.
2. Whisk yogurt, dill, lemon juice and salt for the dressing.
3. Toss greens, cucumber and radish with olive oil; top with salmon, avocado and dressing.</t>
        </is>
      </c>
      <c r="AC152" s="4" t="inlineStr">
        <is>
          <t>["Season salmon and roast at 400°F for 12 minutes; flake.", "Whisk yogurt, dill, lemon juice and salt for the dressing.", "Toss greens, cucumber and radish with olive oil; top with salmon, avocado and dressing."]</t>
        </is>
      </c>
    </row>
    <row r="153" ht="96" customHeight="1">
      <c r="A153" s="2" t="inlineStr">
        <is>
          <t>DB-0152</t>
        </is>
      </c>
      <c r="B153" s="3" t="inlineStr">
        <is>
          <t>Lentil Tabbouleh</t>
        </is>
      </c>
      <c r="C153" s="4" t="inlineStr">
        <is>
          <t>Salad</t>
        </is>
      </c>
      <c r="D153" s="4" t="inlineStr">
        <is>
          <t>Middle Eastern</t>
        </is>
      </c>
      <c r="E153" s="2" t="n">
        <v>4</v>
      </c>
      <c r="F153" s="2" t="n">
        <v>20</v>
      </c>
      <c r="G153" s="2" t="n">
        <v>0</v>
      </c>
      <c r="H153" s="2" t="n">
        <v>20</v>
      </c>
      <c r="I153" s="4" t="inlineStr">
        <is>
          <t>lentil-tabbouleh.jpg</t>
        </is>
      </c>
      <c r="J153" s="3" t="inlineStr">
        <is>
          <t>Lentil Tabbouleh, healthy food photography, plated, natural light</t>
        </is>
      </c>
      <c r="K153" s="4" t="inlineStr"/>
      <c r="L153" s="3" t="inlineStr">
        <is>
          <t>Lentils, cooked — 300 g (10.6 oz)
Fresh parsley — 80 g (2.8 oz)
Fresh mint — 15 g (0.5 oz)
Tomato — 200 g (7.1 oz)
Cucumber — 150 g (5.3 oz)
Green onions (scallions) — 40 g (1.4 oz)
Lemon juice — 40 g (1.4 oz)
Extra-virgin olive oil — 30 g (1.1 oz)
Salt — 2 g (0.1 oz)</t>
        </is>
      </c>
      <c r="M153" s="4" t="inlineStr">
        <is>
          <t>[{"ingredient_id": "lentils", "name": "Lentils, cooked", "grams": 300.0, "note": ""}, {"ingredient_id": "parsley", "name": "Fresh parsley", "grams": 80.0, "note": ""}, {"ingredient_id": "mint", "name": "Fresh mint", "grams": 15.0, "note": ""}, {"ingredient_id": "tomato", "name": "Tomato", "grams": 200.0, "note": ""}, {"ingredient_id": "cucumber", "name": "Cucumber", "grams": 150.0, "note": ""}, {"ingredient_id": "green_onion", "name": "Green onions (scallions)", "grams": 40.0, "note": ""}, {"ingredient_id": "lemon_juice", "name": "Lemon juice", "grams": 40.0, "note": ""}, {"ingredient_id": "olive_oil", "name": "Extra-virgin olive oil", "grams": 30.0, "note": ""}, {"ingredient_id": "salt", "name": "Salt", "grams": 2.0, "note": ""}]</t>
        </is>
      </c>
      <c r="N153" s="2" t="n">
        <v>182</v>
      </c>
      <c r="O153" s="5" t="n">
        <v>8.4</v>
      </c>
      <c r="P153" s="5" t="n">
        <v>8.199999999999999</v>
      </c>
      <c r="Q153" s="5" t="n">
        <v>21.3</v>
      </c>
      <c r="R153" s="5" t="n">
        <v>7.9</v>
      </c>
      <c r="S153" s="5" t="n">
        <v>13.4</v>
      </c>
      <c r="T153" s="2" t="n">
        <v>29</v>
      </c>
      <c r="U153" s="2" t="inlineStr">
        <is>
          <t>low</t>
        </is>
      </c>
      <c r="V153" s="5" t="n">
        <v>3.9</v>
      </c>
      <c r="W153" s="2" t="inlineStr">
        <is>
          <t>low</t>
        </is>
      </c>
      <c r="X153" s="3" t="inlineStr"/>
      <c r="Y153" s="3" t="inlineStr">
        <is>
          <t>68% of this dish's available carbohydrate comes from ingredients with a published, measured GI; the rest uses conventional placeholders (see Ingredients sheet)</t>
        </is>
      </c>
      <c r="Z153" s="2" t="n">
        <v>68</v>
      </c>
      <c r="AA153" s="3" t="inlineStr">
        <is>
          <t>vegan, gluten-free, dairy-free, nut-free, low-carb, high-fiber, no-cook, make-ahead</t>
        </is>
      </c>
      <c r="AB153" s="3" t="inlineStr">
        <is>
          <t>1. Finely chop parsley, mint, tomato, cucumber and green onion.
2. Combine with cooked lentils.
3. Dress with lemon juice, olive oil and salt; rest 15 minutes.</t>
        </is>
      </c>
      <c r="AC153" s="4" t="inlineStr">
        <is>
          <t>["Finely chop parsley, mint, tomato, cucumber and green onion.", "Combine with cooked lentils.", "Dress with lemon juice, olive oil and salt; rest 15 minutes."]</t>
        </is>
      </c>
    </row>
    <row r="154" ht="96" customHeight="1">
      <c r="A154" s="2" t="inlineStr">
        <is>
          <t>DB-0153</t>
        </is>
      </c>
      <c r="B154" s="3" t="inlineStr">
        <is>
          <t>Buffalo Chicken Salad</t>
        </is>
      </c>
      <c r="C154" s="4" t="inlineStr">
        <is>
          <t>Salad</t>
        </is>
      </c>
      <c r="D154" s="4" t="inlineStr">
        <is>
          <t>American</t>
        </is>
      </c>
      <c r="E154" s="2" t="n">
        <v>2</v>
      </c>
      <c r="F154" s="2" t="n">
        <v>10</v>
      </c>
      <c r="G154" s="2" t="n">
        <v>12</v>
      </c>
      <c r="H154" s="2" t="n">
        <v>22</v>
      </c>
      <c r="I154" s="4" t="inlineStr">
        <is>
          <t>buffalo-chicken-salad.jpg</t>
        </is>
      </c>
      <c r="J154" s="3" t="inlineStr">
        <is>
          <t>Buffalo Chicken Salad, healthy food photography, plated, natural light</t>
        </is>
      </c>
      <c r="K154" s="4" t="inlineStr"/>
      <c r="L154" s="3" t="inlineStr">
        <is>
          <t>Chicken breast, skinless — 300 g (10.6 oz)
Hot sauce (Tabasco/Frank's) — 30 g (1.1 oz)
Butter — 8 g (0.3 oz)
Romaine lettuce — 200 g (7.1 oz)
Celery — 80 g (2.8 oz)
Carrot — 60 g (2.1 oz)
Blue cheese, crumbled — 40 g (1.4 oz)
Greek yogurt, plain 2% — 60 g (2.1 oz)
Lemon juice — 8 g (0.3 oz)
Extra-virgin olive oil — 8 g (0.3 oz)</t>
        </is>
      </c>
      <c r="M154" s="4" t="inlineStr">
        <is>
          <t>[{"ingredient_id": "chicken_breast", "name": "Chicken breast, skinless", "grams": 300.0, "note": ""}, {"ingredient_id": "hot_sauce", "name": "Hot sauce (Tabasco/Frank's)", "grams": 30.0, "note": ""}, {"ingredient_id": "butter", "name": "Butter", "grams": 8.0, "note": ""}, {"ingredient_id": "romaine", "name": "Romaine lettuce", "grams": 200.0, "note": ""}, {"ingredient_id": "celery", "name": "Celery", "grams": 80.0, "note": ""}, {"ingredient_id": "carrot", "name": "Carrot", "grams": 60.0, "note": ""}, {"ingredient_id": "blue_cheese", "name": "Blue cheese, crumbled", "grams": 40.0, "note": ""}, {"ingredient_id": "greek_yogurt", "name": "Greek yogurt, plain 2%", "grams": 60.0, "note": ""}, {"ingredient_id": "lemon_juice", "name": "Lemon juice", "grams": 8.0, "note": ""}, {"ingredient_id": "olive_oil", "name": "Extra-virgin olive oil", "grams": 8.0, "note": ""}]</t>
        </is>
      </c>
      <c r="N154" s="2" t="n">
        <v>375</v>
      </c>
      <c r="O154" s="5" t="n">
        <v>42.8</v>
      </c>
      <c r="P154" s="5" t="n">
        <v>18</v>
      </c>
      <c r="Q154" s="5" t="n">
        <v>9.6</v>
      </c>
      <c r="R154" s="5" t="n">
        <v>3.6</v>
      </c>
      <c r="S154" s="5" t="n">
        <v>5.9</v>
      </c>
      <c r="T154" s="2" t="n">
        <v>21</v>
      </c>
      <c r="U154" s="2" t="inlineStr">
        <is>
          <t>low</t>
        </is>
      </c>
      <c r="V154" s="5" t="n">
        <v>1.2</v>
      </c>
      <c r="W154" s="2" t="inlineStr">
        <is>
          <t>low</t>
        </is>
      </c>
      <c r="X154" s="3" t="inlineStr"/>
      <c r="Y154" s="3" t="inlineStr">
        <is>
          <t>54% of this dish's available carbohydrate comes from ingredients with a published, measured GI; the rest uses conventional placeholders (see Ingredients sheet)</t>
        </is>
      </c>
      <c r="Z154" s="2" t="n">
        <v>54</v>
      </c>
      <c r="AA154" s="3" t="inlineStr">
        <is>
          <t>gluten-free, nut-free, low-carb, high-protein</t>
        </is>
      </c>
      <c r="AB154" s="3" t="inlineStr">
        <is>
          <t>1. Sear chicken in olive oil, slice and toss with hot sauce melted with butter.
2. Mix yogurt, crumbled blue cheese and lemon juice into a dressing.
3. Serve chicken over romaine, celery and carrot with the dressing.</t>
        </is>
      </c>
      <c r="AC154" s="4" t="inlineStr">
        <is>
          <t>["Sear chicken in olive oil, slice and toss with hot sauce melted with butter.", "Mix yogurt, crumbled blue cheese and lemon juice into a dressing.", "Serve chicken over romaine, celery and carrot with the dressing."]</t>
        </is>
      </c>
    </row>
    <row r="155" ht="96" customHeight="1">
      <c r="A155" s="2" t="inlineStr">
        <is>
          <t>DB-0154</t>
        </is>
      </c>
      <c r="B155" s="3" t="inlineStr">
        <is>
          <t>Caprese Salad with White Beans</t>
        </is>
      </c>
      <c r="C155" s="4" t="inlineStr">
        <is>
          <t>Salad</t>
        </is>
      </c>
      <c r="D155" s="4" t="inlineStr">
        <is>
          <t>Italian</t>
        </is>
      </c>
      <c r="E155" s="2" t="n">
        <v>2</v>
      </c>
      <c r="F155" s="2" t="n">
        <v>10</v>
      </c>
      <c r="G155" s="2" t="n">
        <v>0</v>
      </c>
      <c r="H155" s="2" t="n">
        <v>10</v>
      </c>
      <c r="I155" s="4" t="inlineStr">
        <is>
          <t>caprese-salad-with-white-beans.jpg</t>
        </is>
      </c>
      <c r="J155" s="3" t="inlineStr">
        <is>
          <t>Caprese Salad with White Beans, healthy food photography, plated, natural light</t>
        </is>
      </c>
      <c r="K155" s="4" t="inlineStr"/>
      <c r="L155" s="3" t="inlineStr">
        <is>
          <t>Tomato — 300 g (10.6 oz)
Mozzarella, part-skim — 120 g (4.2 oz)
Cannellini beans, cooked — 200 g (7.1 oz)
Fresh basil — 15 g (0.5 oz)
Extra-virgin olive oil — 20 g (0.7 oz)
Balsamic vinegar — 10 g (0.4 oz)
Salt — 1 g (0.0 oz)
Black pepper — 1 g (0.0 oz)</t>
        </is>
      </c>
      <c r="M155" s="4" t="inlineStr">
        <is>
          <t>[{"ingredient_id": "tomato", "name": "Tomato", "grams": 300.0, "note": ""}, {"ingredient_id": "mozzarella", "name": "Mozzarella, part-skim", "grams": 120.0, "note": ""}, {"ingredient_id": "white_beans", "name": "Cannellini beans, cooked", "grams": 200.0, "note": ""}, {"ingredient_id": "basil", "name": "Fresh basil", "grams": 15.0, "note": ""}, {"ingredient_id": "olive_oil", "name": "Extra-virgin olive oil", "grams": 20.0, "note": ""}, {"ingredient_id": "balsamic_vinegar", "name": "Balsamic vinegar", "grams": 10.0, "note": ""}, {"ingredient_id": "salt", "name": "Salt", "grams": 1.0, "note": ""}, {"ingredient_id": "black_pepper", "name": "Black pepper", "grams": 1.0, "note": ""}]</t>
        </is>
      </c>
      <c r="N155" s="2" t="n">
        <v>414</v>
      </c>
      <c r="O155" s="5" t="n">
        <v>25.8</v>
      </c>
      <c r="P155" s="5" t="n">
        <v>20.4</v>
      </c>
      <c r="Q155" s="5" t="n">
        <v>34</v>
      </c>
      <c r="R155" s="5" t="n">
        <v>8.300000000000001</v>
      </c>
      <c r="S155" s="5" t="n">
        <v>25.7</v>
      </c>
      <c r="T155" s="2" t="n">
        <v>26</v>
      </c>
      <c r="U155" s="2" t="inlineStr">
        <is>
          <t>low</t>
        </is>
      </c>
      <c r="V155" s="5" t="n">
        <v>6.7</v>
      </c>
      <c r="W155" s="2" t="inlineStr">
        <is>
          <t>low</t>
        </is>
      </c>
      <c r="X155" s="3" t="inlineStr"/>
      <c r="Y155" s="3" t="inlineStr">
        <is>
          <t>73% of this dish's available carbohydrate comes from ingredients with a published, measured GI; the rest uses conventional placeholders (see Ingredients sheet)</t>
        </is>
      </c>
      <c r="Z155" s="2" t="n">
        <v>73</v>
      </c>
      <c r="AA155" s="3" t="inlineStr">
        <is>
          <t>vegetarian, gluten-free, nut-free, high-protein, high-fiber, no-cook</t>
        </is>
      </c>
      <c r="AB155" s="3" t="inlineStr">
        <is>
          <t>1. Slice tomatoes and mozzarella; arrange on a platter with white beans.
2. Tuck basil leaves between slices.
3. Drizzle with olive oil and balsamic; season.</t>
        </is>
      </c>
      <c r="AC155" s="4" t="inlineStr">
        <is>
          <t>["Slice tomatoes and mozzarella; arrange on a platter with white beans.", "Tuck basil leaves between slices.", "Drizzle with olive oil and balsamic; season."]</t>
        </is>
      </c>
    </row>
    <row r="156" ht="96" customHeight="1">
      <c r="A156" s="2" t="inlineStr">
        <is>
          <t>DB-0155</t>
        </is>
      </c>
      <c r="B156" s="3" t="inlineStr">
        <is>
          <t>Steak Salad with Chimichurri</t>
        </is>
      </c>
      <c r="C156" s="4" t="inlineStr">
        <is>
          <t>Salad</t>
        </is>
      </c>
      <c r="D156" s="4" t="inlineStr">
        <is>
          <t>Argentinian</t>
        </is>
      </c>
      <c r="E156" s="2" t="n">
        <v>2</v>
      </c>
      <c r="F156" s="2" t="n">
        <v>15</v>
      </c>
      <c r="G156" s="2" t="n">
        <v>12</v>
      </c>
      <c r="H156" s="2" t="n">
        <v>27</v>
      </c>
      <c r="I156" s="4" t="inlineStr">
        <is>
          <t>steak-salad-with-chimichurri.jpg</t>
        </is>
      </c>
      <c r="J156" s="3" t="inlineStr">
        <is>
          <t>Steak Salad with Chimichurri, healthy food photography, plated, natural light</t>
        </is>
      </c>
      <c r="K156" s="4" t="inlineStr"/>
      <c r="L156" s="3" t="inlineStr">
        <is>
          <t>Flank steak — 300 g (10.6 oz)
Arugula — 120 g (4.2 oz)
Cherry tomatoes — 150 g (5.3 oz)
Red onion — 40 g (1.4 oz)
Fresh parsley — 30 g (1.1 oz)
Fresh cilantro — 15 g (0.5 oz)
Garlic — 6 g (0.2 oz)
Red wine vinegar — 15 g (0.5 oz)
Extra-virgin olive oil — 30 g (1.1 oz)
Red pepper flakes — 1 g (0.0 oz)
Salt — 2 g (0.1 oz)</t>
        </is>
      </c>
      <c r="M156" s="4" t="inlineStr">
        <is>
          <t>[{"ingredient_id": "flank_steak", "name": "Flank steak", "grams": 300.0, "note": ""}, {"ingredient_id": "arugula", "name": "Arugula", "grams": 120.0, "note": ""}, {"ingredient_id": "cherry_tomato", "name": "Cherry tomatoes", "grams": 150.0, "note": ""}, {"ingredient_id": "red_onion", "name": "Red onion", "grams": 40.0, "note": ""}, {"ingredient_id": "parsley", "name": "Fresh parsley", "grams": 30.0, "note": ""}, {"ingredient_id": "cilantro", "name": "Fresh cilantro", "grams": 15.0, "note": ""}, {"ingredient_id": "garlic", "name": "Garlic", "grams": 6.0, "note": ""}, {"ingredient_id": "red_wine_vinegar", "name": "Red wine vinegar", "grams": 15.0, "note": ""}, {"ingredient_id": "olive_oil", "name": "Extra-virgin olive oil", "grams": 30.0, "note": ""}, {"ingredient_id": "red_pepper_flakes", "name": "Red pepper flakes", "grams": 1.0, "note": ""}, {"ingredient_id": "salt", "name": "Salt", "grams": 2.0, "note": ""}]</t>
        </is>
      </c>
      <c r="N156" s="2" t="n">
        <v>409</v>
      </c>
      <c r="O156" s="5" t="n">
        <v>34.8</v>
      </c>
      <c r="P156" s="5" t="n">
        <v>26.3</v>
      </c>
      <c r="Q156" s="5" t="n">
        <v>9.5</v>
      </c>
      <c r="R156" s="5" t="n">
        <v>3.1</v>
      </c>
      <c r="S156" s="5" t="n">
        <v>6.4</v>
      </c>
      <c r="T156" s="2" t="n">
        <v>17</v>
      </c>
      <c r="U156" s="2" t="inlineStr">
        <is>
          <t>low</t>
        </is>
      </c>
      <c r="V156" s="5" t="n">
        <v>1.1</v>
      </c>
      <c r="W156" s="2" t="inlineStr">
        <is>
          <t>low</t>
        </is>
      </c>
      <c r="X156" s="3" t="inlineStr"/>
      <c r="Y156" s="3" t="inlineStr">
        <is>
          <t>0% of this dish's available carbohydrate comes from ingredients with a published, measured GI; the rest uses conventional placeholders (see Ingredients sheet)</t>
        </is>
      </c>
      <c r="Z156" s="2" t="n">
        <v>0</v>
      </c>
      <c r="AA156" s="3" t="inlineStr">
        <is>
          <t>gluten-free, dairy-free, nut-free, low-carb, high-protein</t>
        </is>
      </c>
      <c r="AB156" s="3" t="inlineStr">
        <is>
          <t>1. Season steak and grill 4–5 minutes per side; rest 5 minutes and slice thin.
2. Blend parsley, cilantro, garlic, vinegar, olive oil, pepper flakes and salt into chimichurri.
3. Toss arugula, tomatoes and onion; top with steak and chimichurri.</t>
        </is>
      </c>
      <c r="AC156" s="4" t="inlineStr">
        <is>
          <t>["Season steak and grill 4–5 minutes per side; rest 5 minutes and slice thin.", "Blend parsley, cilantro, garlic, vinegar, olive oil, pepper flakes and salt into chimichurri.", "Toss arugula, tomatoes and onion; top with steak and chimichurri."]</t>
        </is>
      </c>
    </row>
    <row r="157" ht="96" customHeight="1">
      <c r="A157" s="2" t="inlineStr">
        <is>
          <t>DB-0156</t>
        </is>
      </c>
      <c r="B157" s="3" t="inlineStr">
        <is>
          <t>Thai Peanut Slaw with Edamame</t>
        </is>
      </c>
      <c r="C157" s="4" t="inlineStr">
        <is>
          <t>Salad</t>
        </is>
      </c>
      <c r="D157" s="4" t="inlineStr">
        <is>
          <t>Thai</t>
        </is>
      </c>
      <c r="E157" s="2" t="n">
        <v>4</v>
      </c>
      <c r="F157" s="2" t="n">
        <v>15</v>
      </c>
      <c r="G157" s="2" t="n">
        <v>0</v>
      </c>
      <c r="H157" s="2" t="n">
        <v>15</v>
      </c>
      <c r="I157" s="4" t="inlineStr">
        <is>
          <t>thai-peanut-slaw-with-edamame.jpg</t>
        </is>
      </c>
      <c r="J157" s="3" t="inlineStr">
        <is>
          <t>Thai Peanut Slaw with Edamame, healthy food photography, plated, natural light</t>
        </is>
      </c>
      <c r="K157" s="4" t="inlineStr"/>
      <c r="L157" s="3" t="inlineStr">
        <is>
          <t>Coleslaw mix (cabbage &amp; carrot) — 300 g (10.6 oz)
Red cabbage — 100 g (3.5 oz)
Edamame, shelled, cooked — 200 g (7.1 oz)
Bell pepper — 100 g (3.5 oz)
Green onions (scallions) — 30 g (1.1 oz)
Fresh cilantro — 15 g (0.5 oz)
Peanut butter, natural — 30 g (1.1 oz)
Lime juice — 25 g (0.9 oz)
Tamari (gluten-free soy sauce) — 15 g (0.5 oz)
Toasted sesame oil — 8 g (0.3 oz)
Fresh ginger — 6 g (0.2 oz)
Peanuts, dry roasted — 25 g (0.9 oz)
Water / ice — 30 g (1.1 oz)</t>
        </is>
      </c>
      <c r="M157" s="4" t="inlineStr">
        <is>
          <t>[{"ingredient_id": "coleslaw_mix", "name": "Coleslaw mix (cabbage &amp; carrot)", "grams": 300.0, "note": ""}, {"ingredient_id": "red_cabbage", "name": "Red cabbage", "grams": 100.0, "note": ""}, {"ingredient_id": "edamame", "name": "Edamame, shelled, cooked", "grams": 200.0, "note": ""}, {"ingredient_id": "bell_pepper", "name": "Bell pepper", "grams": 100.0, "note": ""}, {"ingredient_id": "green_onion", "name": "Green onions (scallions)", "grams": 30.0, "note": ""}, {"ingredient_id": "cilantro", "name": "Fresh cilantro", "grams": 15.0, "note": ""}, {"ingredient_id": "peanut_butter", "name": "Peanut butter, natural", "grams": 30.0, "note": ""}, {"ingredient_id": "lime_juice", "name": "Lime juice", "grams": 25.0, "note": ""}, {"ingredient_id": "tamari", "name": "Tamari (gluten-free soy sauce)", "grams": 15.0, "note": ""}, {"ingredient_id": "sesame_oil", "name": "Toasted sesame oil", "grams": 8.0, "note": ""}, {"ingredient_id": "ginger", "name": "Fresh ginger", "grams": 6.0, "note": ""}, {"ingredient_id": "peanuts", "name": "Peanuts, dry roasted", "grams": 25.0, "note": ""}, {"ingredient_id": "water", "name": "Water / ice", "grams": 30.0, "note": ""}]</t>
        </is>
      </c>
      <c r="N157" s="2" t="n">
        <v>202</v>
      </c>
      <c r="O157" s="5" t="n">
        <v>11.7</v>
      </c>
      <c r="P157" s="5" t="n">
        <v>11.6</v>
      </c>
      <c r="Q157" s="5" t="n">
        <v>16.5</v>
      </c>
      <c r="R157" s="5" t="n">
        <v>6.7</v>
      </c>
      <c r="S157" s="5" t="n">
        <v>9.800000000000001</v>
      </c>
      <c r="T157" s="2" t="n">
        <v>16</v>
      </c>
      <c r="U157" s="2" t="inlineStr">
        <is>
          <t>low</t>
        </is>
      </c>
      <c r="V157" s="5" t="n">
        <v>1.6</v>
      </c>
      <c r="W157" s="2" t="inlineStr">
        <is>
          <t>low</t>
        </is>
      </c>
      <c r="X157" s="3" t="inlineStr"/>
      <c r="Y157" s="3" t="inlineStr">
        <is>
          <t>5% of this dish's available carbohydrate comes from ingredients with a published, measured GI; the rest uses conventional placeholders (see Ingredients sheet)</t>
        </is>
      </c>
      <c r="Z157" s="2" t="n">
        <v>5</v>
      </c>
      <c r="AA157" s="3" t="inlineStr">
        <is>
          <t>vegan, gluten-free, dairy-free, low-carb, no-cook</t>
        </is>
      </c>
      <c r="AB157" s="3" t="inlineStr">
        <is>
          <t>1. Whisk peanut butter, lime juice, tamari, sesame oil, ginger and water until smooth.
2. Toss slaw, cabbage, edamame, pepper, green onion and cilantro.
3. Dress and top with chopped peanuts.</t>
        </is>
      </c>
      <c r="AC157" s="4" t="inlineStr">
        <is>
          <t>["Whisk peanut butter, lime juice, tamari, sesame oil, ginger and water until smooth.", "Toss slaw, cabbage, edamame, pepper, green onion and cilantro.", "Dress and top with chopped peanuts."]</t>
        </is>
      </c>
    </row>
    <row r="158" ht="96" customHeight="1">
      <c r="A158" s="2" t="inlineStr">
        <is>
          <t>DB-0157</t>
        </is>
      </c>
      <c r="B158" s="3" t="inlineStr">
        <is>
          <t>Shrimp Louie Salad</t>
        </is>
      </c>
      <c r="C158" s="4" t="inlineStr">
        <is>
          <t>Salad</t>
        </is>
      </c>
      <c r="D158" s="4" t="inlineStr">
        <is>
          <t>American</t>
        </is>
      </c>
      <c r="E158" s="2" t="n">
        <v>2</v>
      </c>
      <c r="F158" s="2" t="n">
        <v>15</v>
      </c>
      <c r="G158" s="2" t="n">
        <v>5</v>
      </c>
      <c r="H158" s="2" t="n">
        <v>20</v>
      </c>
      <c r="I158" s="4" t="inlineStr">
        <is>
          <t>shrimp-louie-salad.jpg</t>
        </is>
      </c>
      <c r="J158" s="3" t="inlineStr">
        <is>
          <t>Shrimp Louie Salad, healthy food photography, plated, natural light</t>
        </is>
      </c>
      <c r="K158" s="4" t="inlineStr"/>
      <c r="L158" s="3" t="inlineStr">
        <is>
          <t>Shrimp, peeled — 300 g (10.6 oz)
Iceberg lettuce — 200 g (7.1 oz)
Egg, large (50 g each) — 100 g (3.5 oz) [2 hard-boiled eggs]
Tomato — 150 g (5.3 oz)
Cucumber — 100 g (3.5 oz)
Avocado — 80 g (2.8 oz)
Greek yogurt, plain 2% — 60 g (2.1 oz)
Mayonnaise (avocado oil) — 15 g (0.5 oz)
Tomato paste — 10 g (0.4 oz)
Lemon juice — 10 g (0.4 oz)
Hot sauce (Tabasco/Frank's) — 5 g (0.2 oz)</t>
        </is>
      </c>
      <c r="M158" s="4" t="inlineStr">
        <is>
          <t>[{"ingredient_id": "shrimp", "name": "Shrimp, peeled", "grams": 300.0, "note": ""}, {"ingredient_id": "iceberg", "name": "Iceberg lettuce", "grams": 200.0, "note": ""}, {"ingredient_id": "egg", "name": "Egg, large (50 g each)", "grams": 100.0, "note": "2 hard-boiled eggs"}, {"ingredient_id": "tomato", "name": "Tomato", "grams": 150.0, "note": ""}, {"ingredient_id": "cucumber", "name": "Cucumber", "grams": 100.0, "note": ""}, {"ingredient_id": "avocado", "name": "Avocado", "grams": 80.0, "note": ""}, {"ingredient_id": "greek_yogurt", "name": "Greek yogurt, plain 2%", "grams": 60.0, "note": ""}, {"ingredient_id": "mayo", "name": "Mayonnaise (avocado oil)", "grams": 15.0, "note": ""}, {"ingredient_id": "tomato_paste", "name": "Tomato paste", "grams": 10.0, "note": ""}, {"ingredient_id": "lemon_juice", "name": "Lemon juice", "grams": 10.0, "note": ""}, {"ingredient_id": "hot_sauce", "name": "Hot sauce (Tabasco/Frank's)", "grams": 5.0, "note": ""}]</t>
        </is>
      </c>
      <c r="N158" s="2" t="n">
        <v>378</v>
      </c>
      <c r="O158" s="5" t="n">
        <v>42.3</v>
      </c>
      <c r="P158" s="5" t="n">
        <v>18.3</v>
      </c>
      <c r="Q158" s="5" t="n">
        <v>14</v>
      </c>
      <c r="R158" s="5" t="n">
        <v>5.3</v>
      </c>
      <c r="S158" s="5" t="n">
        <v>8.800000000000001</v>
      </c>
      <c r="T158" s="2" t="n">
        <v>16</v>
      </c>
      <c r="U158" s="2" t="inlineStr">
        <is>
          <t>low</t>
        </is>
      </c>
      <c r="V158" s="5" t="n">
        <v>1.4</v>
      </c>
      <c r="W158" s="2" t="inlineStr">
        <is>
          <t>low</t>
        </is>
      </c>
      <c r="X158" s="3" t="inlineStr"/>
      <c r="Y158" s="3" t="inlineStr">
        <is>
          <t>14% of this dish's available carbohydrate comes from ingredients with a published, measured GI; the rest uses conventional placeholders (see Ingredients sheet)</t>
        </is>
      </c>
      <c r="Z158" s="2" t="n">
        <v>14</v>
      </c>
      <c r="AA158" s="3" t="inlineStr">
        <is>
          <t>pescatarian, gluten-free, nut-free, low-carb, high-protein</t>
        </is>
      </c>
      <c r="AB158" s="3" t="inlineStr">
        <is>
          <t>1. Poach shrimp 3 minutes; chill.
2. Mix yogurt, mayo, tomato paste, lemon juice and hot sauce for Louie dressing.
3. Plate lettuce, shrimp, quartered eggs, tomato, cucumber and avocado; spoon dressing over.</t>
        </is>
      </c>
      <c r="AC158" s="4" t="inlineStr">
        <is>
          <t>["Poach shrimp 3 minutes; chill.", "Mix yogurt, mayo, tomato paste, lemon juice and hot sauce for Louie dressing.", "Plate lettuce, shrimp, quartered eggs, tomato, cucumber and avocado; spoon dressing over."]</t>
        </is>
      </c>
    </row>
    <row r="159" ht="96" customHeight="1">
      <c r="A159" s="2" t="inlineStr">
        <is>
          <t>DB-0158</t>
        </is>
      </c>
      <c r="B159" s="3" t="inlineStr">
        <is>
          <t>Farro &amp; Roasted Vegetable Salad</t>
        </is>
      </c>
      <c r="C159" s="4" t="inlineStr">
        <is>
          <t>Salad</t>
        </is>
      </c>
      <c r="D159" s="4" t="inlineStr">
        <is>
          <t>Mediterranean</t>
        </is>
      </c>
      <c r="E159" s="2" t="n">
        <v>4</v>
      </c>
      <c r="F159" s="2" t="n">
        <v>15</v>
      </c>
      <c r="G159" s="2" t="n">
        <v>25</v>
      </c>
      <c r="H159" s="2" t="n">
        <v>40</v>
      </c>
      <c r="I159" s="4" t="inlineStr">
        <is>
          <t>farro-and-roasted-vegetable-salad.jpg</t>
        </is>
      </c>
      <c r="J159" s="3" t="inlineStr">
        <is>
          <t>Farro &amp; Roasted Vegetable Salad, healthy food photography, plated, natural light</t>
        </is>
      </c>
      <c r="K159" s="4" t="inlineStr"/>
      <c r="L159" s="3" t="inlineStr">
        <is>
          <t>Farro (pearled spelt), cooked — 400 g (14.1 oz)
Zucchini — 200 g (7.1 oz)
Bell pepper — 150 g (5.3 oz)
Red onion — 80 g (2.8 oz)
Cherry tomatoes — 150 g (5.3 oz)
Feta cheese — 80 g (2.8 oz)
Arugula — 80 g (2.8 oz)
Extra-virgin olive oil — 30 g (1.1 oz)
Balsamic vinegar — 15 g (0.5 oz)
Fresh basil — 10 g (0.4 oz)
Salt — 2 g (0.1 oz)</t>
        </is>
      </c>
      <c r="M159" s="4" t="inlineStr">
        <is>
          <t>[{"ingredient_id": "farro", "name": "Farro (pearled spelt), cooked", "grams": 400.0, "note": ""}, {"ingredient_id": "zucchini", "name": "Zucchini", "grams": 200.0, "note": ""}, {"ingredient_id": "bell_pepper", "name": "Bell pepper", "grams": 150.0, "note": ""}, {"ingredient_id": "red_onion", "name": "Red onion", "grams": 80.0, "note": ""}, {"ingredient_id": "cherry_tomato", "name": "Cherry tomatoes", "grams": 150.0, "note": ""}, {"ingredient_id": "feta", "name": "Feta cheese", "grams": 80.0, "note": ""}, {"ingredient_id": "arugula", "name": "Arugula", "grams": 80.0, "note": ""}, {"ingredient_id": "olive_oil", "name": "Extra-virgin olive oil", "grams": 30.0, "note": ""}, {"ingredient_id": "balsamic_vinegar", "name": "Balsamic vinegar", "grams": 15.0, "note": ""}, {"ingredient_id": "basil", "name": "Fresh basil", "grams": 10.0, "note": ""}, {"ingredient_id": "salt", "name": "Salt", "grams": 2.0, "note": ""}]</t>
        </is>
      </c>
      <c r="N159" s="2" t="n">
        <v>293</v>
      </c>
      <c r="O159" s="5" t="n">
        <v>10</v>
      </c>
      <c r="P159" s="5" t="n">
        <v>13.2</v>
      </c>
      <c r="Q159" s="5" t="n">
        <v>35.4</v>
      </c>
      <c r="R159" s="5" t="n">
        <v>5.9</v>
      </c>
      <c r="S159" s="5" t="n">
        <v>29.4</v>
      </c>
      <c r="T159" s="2" t="n">
        <v>52</v>
      </c>
      <c r="U159" s="2" t="inlineStr">
        <is>
          <t>low</t>
        </is>
      </c>
      <c r="V159" s="5" t="n">
        <v>15.3</v>
      </c>
      <c r="W159" s="2" t="inlineStr">
        <is>
          <t>medium</t>
        </is>
      </c>
      <c r="X159" s="3" t="inlineStr"/>
      <c r="Y159" s="3" t="inlineStr">
        <is>
          <t>76% of this dish's available carbohydrate comes from ingredients with a published, measured GI; the rest uses conventional placeholders (see Ingredients sheet)</t>
        </is>
      </c>
      <c r="Z159" s="2" t="n">
        <v>76</v>
      </c>
      <c r="AA159" s="3" t="inlineStr">
        <is>
          <t>vegetarian, nut-free, make-ahead</t>
        </is>
      </c>
      <c r="AB159" s="3" t="inlineStr">
        <is>
          <t>1. Roast zucchini, pepper and onion tossed with half the oil at 425°F for 20 minutes.
2. Combine farro, roasted vegetables, tomatoes and arugula.
3. Dress with remaining oil, balsamic and salt; top with feta and basil.</t>
        </is>
      </c>
      <c r="AC159" s="4" t="inlineStr">
        <is>
          <t>["Roast zucchini, pepper and onion tossed with half the oil at 425°F for 20 minutes.", "Combine farro, roasted vegetables, tomatoes and arugula.", "Dress with remaining oil, balsamic and salt; top with feta and basil."]</t>
        </is>
      </c>
    </row>
    <row r="160" ht="96" customHeight="1">
      <c r="A160" s="2" t="inlineStr">
        <is>
          <t>DB-0159</t>
        </is>
      </c>
      <c r="B160" s="3" t="inlineStr">
        <is>
          <t>Chicken Waldorf Salad (Yogurt Dressing)</t>
        </is>
      </c>
      <c r="C160" s="4" t="inlineStr">
        <is>
          <t>Salad</t>
        </is>
      </c>
      <c r="D160" s="4" t="inlineStr">
        <is>
          <t>American</t>
        </is>
      </c>
      <c r="E160" s="2" t="n">
        <v>3</v>
      </c>
      <c r="F160" s="2" t="n">
        <v>15</v>
      </c>
      <c r="G160" s="2" t="n">
        <v>0</v>
      </c>
      <c r="H160" s="2" t="n">
        <v>15</v>
      </c>
      <c r="I160" s="4" t="inlineStr">
        <is>
          <t>chicken-waldorf-salad-yogurt-dressing.jpg</t>
        </is>
      </c>
      <c r="J160" s="3" t="inlineStr">
        <is>
          <t>Chicken Waldorf Salad (Yogurt Dressing), healthy food photography, plated, natural light</t>
        </is>
      </c>
      <c r="K160" s="4" t="inlineStr"/>
      <c r="L160" s="3" t="inlineStr">
        <is>
          <t>Rotisserie chicken, skin removed — 300 g (10.6 oz)
Apple — 150 g (5.3 oz)
Celery — 100 g (3.5 oz)
Walnuts — 40 g (1.4 oz)
Greek yogurt, plain 2% — 120 g (4.2 oz)
Lemon juice — 10 g (0.4 oz)
Dijon mustard — 5 g (0.2 oz)
Butter lettuce — 120 g (4.2 oz)
Salt — 1 g (0.0 oz)</t>
        </is>
      </c>
      <c r="M160" s="4" t="inlineStr">
        <is>
          <t>[{"ingredient_id": "rotisserie_chicken", "name": "Rotisserie chicken, skin removed", "grams": 300.0, "note": ""}, {"ingredient_id": "apple", "name": "Apple", "grams": 150.0, "note": ""}, {"ingredient_id": "celery", "name": "Celery", "grams": 100.0, "note": ""}, {"ingredient_id": "walnuts", "name": "Walnuts", "grams": 40.0, "note": ""}, {"ingredient_id": "greek_yogurt", "name": "Greek yogurt, plain 2%", "grams": 120.0, "note": ""}, {"ingredient_id": "lemon_juice", "name": "Lemon juice", "grams": 10.0, "note": ""}, {"ingredient_id": "dijon", "name": "Dijon mustard", "grams": 5.0, "note": ""}, {"ingredient_id": "butter_lettuce", "name": "Butter lettuce", "grams": 120.0, "note": ""}, {"ingredient_id": "salt", "name": "Salt", "grams": 1.0, "note": ""}]</t>
        </is>
      </c>
      <c r="N160" s="2" t="n">
        <v>315</v>
      </c>
      <c r="O160" s="5" t="n">
        <v>30</v>
      </c>
      <c r="P160" s="5" t="n">
        <v>16.8</v>
      </c>
      <c r="Q160" s="5" t="n">
        <v>12.7</v>
      </c>
      <c r="R160" s="5" t="n">
        <v>3.1</v>
      </c>
      <c r="S160" s="5" t="n">
        <v>9.5</v>
      </c>
      <c r="T160" s="2" t="n">
        <v>27</v>
      </c>
      <c r="U160" s="2" t="inlineStr">
        <is>
          <t>low</t>
        </is>
      </c>
      <c r="V160" s="5" t="n">
        <v>2.6</v>
      </c>
      <c r="W160" s="2" t="inlineStr">
        <is>
          <t>low</t>
        </is>
      </c>
      <c r="X160" s="3" t="inlineStr"/>
      <c r="Y160" s="3" t="inlineStr">
        <is>
          <t>78% of this dish's available carbohydrate comes from ingredients with a published, measured GI; the rest uses conventional placeholders (see Ingredients sheet)</t>
        </is>
      </c>
      <c r="Z160" s="2" t="n">
        <v>78</v>
      </c>
      <c r="AA160" s="3" t="inlineStr">
        <is>
          <t>gluten-free, low-carb, high-protein, no-cook</t>
        </is>
      </c>
      <c r="AB160" s="3" t="inlineStr">
        <is>
          <t>1. Dice chicken, apple and celery.
2. Mix yogurt, lemon juice, Dijon and salt; fold in chicken mix and walnuts.
3. Serve in butter lettuce cups.</t>
        </is>
      </c>
      <c r="AC160" s="4" t="inlineStr">
        <is>
          <t>["Dice chicken, apple and celery.", "Mix yogurt, lemon juice, Dijon and salt; fold in chicken mix and walnuts.", "Serve in butter lettuce cups."]</t>
        </is>
      </c>
    </row>
    <row r="161" ht="96" customHeight="1">
      <c r="A161" s="2" t="inlineStr">
        <is>
          <t>DB-0160</t>
        </is>
      </c>
      <c r="B161" s="3" t="inlineStr">
        <is>
          <t>Roasted Beet &amp; Goat Cheese Salad</t>
        </is>
      </c>
      <c r="C161" s="4" t="inlineStr">
        <is>
          <t>Salad</t>
        </is>
      </c>
      <c r="D161" s="4" t="inlineStr">
        <is>
          <t>American</t>
        </is>
      </c>
      <c r="E161" s="2" t="n">
        <v>2</v>
      </c>
      <c r="F161" s="2" t="n">
        <v>10</v>
      </c>
      <c r="G161" s="2" t="n">
        <v>45</v>
      </c>
      <c r="H161" s="2" t="n">
        <v>55</v>
      </c>
      <c r="I161" s="4" t="inlineStr">
        <is>
          <t>roasted-beet-and-goat-cheese-salad.jpg</t>
        </is>
      </c>
      <c r="J161" s="3" t="inlineStr">
        <is>
          <t>Roasted Beet &amp; Goat Cheese Salad, healthy food photography, plated, natural light</t>
        </is>
      </c>
      <c r="K161" s="4" t="inlineStr"/>
      <c r="L161" s="3" t="inlineStr">
        <is>
          <t>Beets — 200 g (7.1 oz)
Arugula — 120 g (4.2 oz)
Goat cheese — 50 g (1.8 oz)
Walnuts — 30 g (1.1 oz)
Orange — 80 g (2.8 oz)
Extra-virgin olive oil — 15 g (0.5 oz)
Balsamic vinegar — 10 g (0.4 oz)
Salt — 1 g (0.0 oz)</t>
        </is>
      </c>
      <c r="M161" s="4" t="inlineStr">
        <is>
          <t>[{"ingredient_id": "beet", "name": "Beets", "grams": 200.0, "note": ""}, {"ingredient_id": "arugula", "name": "Arugula", "grams": 120.0, "note": ""}, {"ingredient_id": "goat_cheese", "name": "Goat cheese", "grams": 50.0, "note": ""}, {"ingredient_id": "walnuts", "name": "Walnuts", "grams": 30.0, "note": ""}, {"ingredient_id": "orange", "name": "Orange", "grams": 80.0, "note": ""}, {"ingredient_id": "olive_oil", "name": "Extra-virgin olive oil", "grams": 15.0, "note": ""}, {"ingredient_id": "balsamic_vinegar", "name": "Balsamic vinegar", "grams": 10.0, "note": ""}, {"ingredient_id": "salt", "name": "Salt", "grams": 1.0, "note": ""}]</t>
        </is>
      </c>
      <c r="N161" s="2" t="n">
        <v>337</v>
      </c>
      <c r="O161" s="5" t="n">
        <v>11.3</v>
      </c>
      <c r="P161" s="5" t="n">
        <v>25.4</v>
      </c>
      <c r="Q161" s="5" t="n">
        <v>19.6</v>
      </c>
      <c r="R161" s="5" t="n">
        <v>5.7</v>
      </c>
      <c r="S161" s="5" t="n">
        <v>13.8</v>
      </c>
      <c r="T161" s="2" t="n">
        <v>48</v>
      </c>
      <c r="U161" s="2" t="inlineStr">
        <is>
          <t>low</t>
        </is>
      </c>
      <c r="V161" s="5" t="n">
        <v>6.6</v>
      </c>
      <c r="W161" s="2" t="inlineStr">
        <is>
          <t>low</t>
        </is>
      </c>
      <c r="X161" s="3" t="inlineStr"/>
      <c r="Y161" s="3" t="inlineStr">
        <is>
          <t>77% of this dish's available carbohydrate comes from ingredients with a published, measured GI; the rest uses conventional placeholders (see Ingredients sheet)</t>
        </is>
      </c>
      <c r="Z161" s="2" t="n">
        <v>77</v>
      </c>
      <c r="AA161" s="3" t="inlineStr">
        <is>
          <t>vegetarian, gluten-free, low-carb</t>
        </is>
      </c>
      <c r="AB161" s="3" t="inlineStr">
        <is>
          <t>1. Wrap beets in foil and roast at 400°F for 45 minutes; peel and slice.
2. Toss arugula with olive oil, balsamic and salt.
3. Top with beets, orange segments, goat cheese and walnuts.</t>
        </is>
      </c>
      <c r="AC161" s="4" t="inlineStr">
        <is>
          <t>["Wrap beets in foil and roast at 400°F for 45 minutes; peel and slice.", "Toss arugula with olive oil, balsamic and salt.", "Top with beets, orange segments, goat cheese and walnuts."]</t>
        </is>
      </c>
    </row>
    <row r="162" ht="96" customHeight="1">
      <c r="A162" s="2" t="inlineStr">
        <is>
          <t>DB-0161</t>
        </is>
      </c>
      <c r="B162" s="3" t="inlineStr">
        <is>
          <t>Tuna &amp; White Bean Salad</t>
        </is>
      </c>
      <c r="C162" s="4" t="inlineStr">
        <is>
          <t>Salad</t>
        </is>
      </c>
      <c r="D162" s="4" t="inlineStr">
        <is>
          <t>Italian</t>
        </is>
      </c>
      <c r="E162" s="2" t="n">
        <v>2</v>
      </c>
      <c r="F162" s="2" t="n">
        <v>10</v>
      </c>
      <c r="G162" s="2" t="n">
        <v>0</v>
      </c>
      <c r="H162" s="2" t="n">
        <v>10</v>
      </c>
      <c r="I162" s="4" t="inlineStr">
        <is>
          <t>tuna-and-white-bean-salad.jpg</t>
        </is>
      </c>
      <c r="J162" s="3" t="inlineStr">
        <is>
          <t>Tuna &amp; White Bean Salad, healthy food photography, plated, natural light</t>
        </is>
      </c>
      <c r="K162" s="4" t="inlineStr"/>
      <c r="L162" s="3" t="inlineStr">
        <is>
          <t>Tuna, canned in water — 170 g (6.0 oz)
Cannellini beans, cooked — 250 g (8.8 oz)
Red onion — 40 g (1.4 oz)
Celery — 60 g (2.1 oz)
Fresh parsley — 10 g (0.4 oz)
Extra-virgin olive oil — 20 g (0.7 oz)
Lemon juice — 15 g (0.5 oz)
Capers — 8 g (0.3 oz)
Arugula — 80 g (2.8 oz)</t>
        </is>
      </c>
      <c r="M162" s="4" t="inlineStr">
        <is>
          <t>[{"ingredient_id": "tuna_canned", "name": "Tuna, canned in water", "grams": 170.0, "note": ""}, {"ingredient_id": "white_beans", "name": "Cannellini beans, cooked", "grams": 250.0, "note": ""}, {"ingredient_id": "red_onion", "name": "Red onion", "grams": 40.0, "note": ""}, {"ingredient_id": "celery", "name": "Celery", "grams": 60.0, "note": ""}, {"ingredient_id": "parsley", "name": "Fresh parsley", "grams": 10.0, "note": ""}, {"ingredient_id": "olive_oil", "name": "Extra-virgin olive oil", "grams": 20.0, "note": ""}, {"ingredient_id": "lemon_juice", "name": "Lemon juice", "grams": 15.0, "note": ""}, {"ingredient_id": "capers", "name": "Capers", "grams": 8.0, "note": ""}, {"ingredient_id": "arugula", "name": "Arugula", "grams": 80.0, "note": ""}]</t>
        </is>
      </c>
      <c r="N162" s="2" t="n">
        <v>388</v>
      </c>
      <c r="O162" s="5" t="n">
        <v>36</v>
      </c>
      <c r="P162" s="5" t="n">
        <v>11.8</v>
      </c>
      <c r="Q162" s="5" t="n">
        <v>36.5</v>
      </c>
      <c r="R162" s="5" t="n">
        <v>9.699999999999999</v>
      </c>
      <c r="S162" s="5" t="n">
        <v>26.9</v>
      </c>
      <c r="T162" s="2" t="n">
        <v>29</v>
      </c>
      <c r="U162" s="2" t="inlineStr">
        <is>
          <t>low</t>
        </is>
      </c>
      <c r="V162" s="5" t="n">
        <v>7.8</v>
      </c>
      <c r="W162" s="2" t="inlineStr">
        <is>
          <t>low</t>
        </is>
      </c>
      <c r="X162" s="3" t="inlineStr"/>
      <c r="Y162" s="3" t="inlineStr">
        <is>
          <t>87% of this dish's available carbohydrate comes from ingredients with a published, measured GI; the rest uses conventional placeholders (see Ingredients sheet)</t>
        </is>
      </c>
      <c r="Z162" s="2" t="n">
        <v>87</v>
      </c>
      <c r="AA162" s="3" t="inlineStr">
        <is>
          <t>pescatarian, gluten-free, dairy-free, nut-free, high-protein, high-fiber, no-cook</t>
        </is>
      </c>
      <c r="AB162" s="3" t="inlineStr">
        <is>
          <t>1. Flake tuna and combine with beans, onion, celery, parsley and capers.
2. Dress with olive oil and lemon juice.
3. Serve over arugula.</t>
        </is>
      </c>
      <c r="AC162" s="4" t="inlineStr">
        <is>
          <t>["Flake tuna and combine with beans, onion, celery, parsley and capers.", "Dress with olive oil and lemon juice.", "Serve over arugula."]</t>
        </is>
      </c>
    </row>
    <row r="163" ht="96" customHeight="1">
      <c r="A163" s="2" t="inlineStr">
        <is>
          <t>DB-0162</t>
        </is>
      </c>
      <c r="B163" s="3" t="inlineStr">
        <is>
          <t>Spinach Strawberry Salad with Grilled Chicken</t>
        </is>
      </c>
      <c r="C163" s="4" t="inlineStr">
        <is>
          <t>Salad</t>
        </is>
      </c>
      <c r="D163" s="4" t="inlineStr">
        <is>
          <t>American</t>
        </is>
      </c>
      <c r="E163" s="2" t="n">
        <v>2</v>
      </c>
      <c r="F163" s="2" t="n">
        <v>10</v>
      </c>
      <c r="G163" s="2" t="n">
        <v>12</v>
      </c>
      <c r="H163" s="2" t="n">
        <v>22</v>
      </c>
      <c r="I163" s="4" t="inlineStr">
        <is>
          <t>spinach-strawberry-salad-with-grilled-chicken.jpg</t>
        </is>
      </c>
      <c r="J163" s="3" t="inlineStr">
        <is>
          <t>Spinach Strawberry Salad with Grilled Chicken, healthy food photography, plated, natural light</t>
        </is>
      </c>
      <c r="K163" s="4" t="inlineStr"/>
      <c r="L163" s="3" t="inlineStr">
        <is>
          <t>Chicken breast, skinless — 280 g (9.9 oz)
Spinach — 150 g (5.3 oz)
Strawberries — 120 g (4.2 oz)
Goat cheese — 40 g (1.4 oz)
Almonds — 25 g (0.9 oz)
Red onion — 30 g (1.1 oz)
Extra-virgin olive oil — 15 g (0.5 oz)
Balsamic vinegar — 12 g (0.4 oz)
Dijon mustard — 5 g (0.2 oz)</t>
        </is>
      </c>
      <c r="M163" s="4" t="inlineStr">
        <is>
          <t>[{"ingredient_id": "chicken_breast", "name": "Chicken breast, skinless", "grams": 280.0, "note": ""}, {"ingredient_id": "spinach", "name": "Spinach", "grams": 150.0, "note": ""}, {"ingredient_id": "strawberries", "name": "Strawberries", "grams": 120.0, "note": ""}, {"ingredient_id": "goat_cheese", "name": "Goat cheese", "grams": 40.0, "note": ""}, {"ingredient_id": "almonds", "name": "Almonds", "grams": 25.0, "note": ""}, {"ingredient_id": "red_onion", "name": "Red onion", "grams": 30.0, "note": ""}, {"ingredient_id": "olive_oil", "name": "Extra-virgin olive oil", "grams": 15.0, "note": ""}, {"ingredient_id": "balsamic_vinegar", "name": "Balsamic vinegar", "grams": 12.0, "note": ""}, {"ingredient_id": "dijon", "name": "Dijon mustard", "grams": 5.0, "note": ""}]</t>
        </is>
      </c>
      <c r="N163" s="2" t="n">
        <v>429</v>
      </c>
      <c r="O163" s="5" t="n">
        <v>41.4</v>
      </c>
      <c r="P163" s="5" t="n">
        <v>24</v>
      </c>
      <c r="Q163" s="5" t="n">
        <v>12.6</v>
      </c>
      <c r="R163" s="5" t="n">
        <v>4.7</v>
      </c>
      <c r="S163" s="5" t="n">
        <v>7.9</v>
      </c>
      <c r="T163" s="2" t="n">
        <v>28</v>
      </c>
      <c r="U163" s="2" t="inlineStr">
        <is>
          <t>low</t>
        </is>
      </c>
      <c r="V163" s="5" t="n">
        <v>2.2</v>
      </c>
      <c r="W163" s="2" t="inlineStr">
        <is>
          <t>low</t>
        </is>
      </c>
      <c r="X163" s="3" t="inlineStr"/>
      <c r="Y163" s="3" t="inlineStr">
        <is>
          <t>43% of this dish's available carbohydrate comes from ingredients with a published, measured GI; the rest uses conventional placeholders (see Ingredients sheet)</t>
        </is>
      </c>
      <c r="Z163" s="2" t="n">
        <v>43</v>
      </c>
      <c r="AA163" s="3" t="inlineStr">
        <is>
          <t>gluten-free, low-carb, high-protein</t>
        </is>
      </c>
      <c r="AB163" s="3" t="inlineStr">
        <is>
          <t>1. Grill seasoned chicken 6 minutes per side; slice.
2. Whisk olive oil, balsamic and Dijon.
3. Toss spinach, strawberries and onion with dressing; top with chicken, goat cheese and almonds.</t>
        </is>
      </c>
      <c r="AC163" s="4" t="inlineStr">
        <is>
          <t>["Grill seasoned chicken 6 minutes per side; slice.", "Whisk olive oil, balsamic and Dijon.", "Toss spinach, strawberries and onion with dressing; top with chicken, goat cheese and almonds."]</t>
        </is>
      </c>
    </row>
    <row r="164" ht="96" customHeight="1">
      <c r="A164" s="2" t="inlineStr">
        <is>
          <t>DB-0163</t>
        </is>
      </c>
      <c r="B164" s="3" t="inlineStr">
        <is>
          <t>Egg &amp; Avocado Chopped Salad</t>
        </is>
      </c>
      <c r="C164" s="4" t="inlineStr">
        <is>
          <t>Salad</t>
        </is>
      </c>
      <c r="D164" s="4" t="inlineStr">
        <is>
          <t>American</t>
        </is>
      </c>
      <c r="E164" s="2" t="n">
        <v>2</v>
      </c>
      <c r="F164" s="2" t="n">
        <v>15</v>
      </c>
      <c r="G164" s="2" t="n">
        <v>10</v>
      </c>
      <c r="H164" s="2" t="n">
        <v>25</v>
      </c>
      <c r="I164" s="4" t="inlineStr">
        <is>
          <t>egg-and-avocado-chopped-salad.jpg</t>
        </is>
      </c>
      <c r="J164" s="3" t="inlineStr">
        <is>
          <t>Egg &amp; Avocado Chopped Salad, healthy food photography, plated, natural light</t>
        </is>
      </c>
      <c r="K164" s="4" t="inlineStr"/>
      <c r="L164" s="3" t="inlineStr">
        <is>
          <t>Egg, large (50 g each) — 200 g (7.1 oz) [4 hard-boiled eggs]
Avocado — 100 g (3.5 oz)
Cucumber — 150 g (5.3 oz)
Cherry tomatoes — 150 g (5.3 oz)
Romaine lettuce — 150 g (5.3 oz)
Turkey bacon — 30 g (1.1 oz)
Extra-virgin olive oil — 15 g (0.5 oz)
Lemon juice — 12 g (0.4 oz)
Dijon mustard — 5 g (0.2 oz)
Fresh chives — 5 g (0.2 oz)</t>
        </is>
      </c>
      <c r="M164" s="4" t="inlineStr">
        <is>
          <t>[{"ingredient_id": "egg", "name": "Egg, large (50 g each)", "grams": 200.0, "note": "4 hard-boiled eggs"}, {"ingredient_id": "avocado", "name": "Avocado", "grams": 100.0, "note": ""}, {"ingredient_id": "cucumber", "name": "Cucumber", "grams": 150.0, "note": ""}, {"ingredient_id": "cherry_tomato", "name": "Cherry tomatoes", "grams": 150.0, "note": ""}, {"ingredient_id": "romaine", "name": "Romaine lettuce", "grams": 150.0, "note": ""}, {"ingredient_id": "turkey_bacon", "name": "Turkey bacon", "grams": 30.0, "note": ""}, {"ingredient_id": "olive_oil", "name": "Extra-virgin olive oil", "grams": 15.0, "note": ""}, {"ingredient_id": "lemon_juice", "name": "Lemon juice", "grams": 12.0, "note": ""}, {"ingredient_id": "dijon", "name": "Dijon mustard", "grams": 5.0, "note": ""}, {"ingredient_id": "chives", "name": "Fresh chives", "grams": 5.0, "note": ""}]</t>
        </is>
      </c>
      <c r="N164" s="2" t="n">
        <v>363</v>
      </c>
      <c r="O164" s="5" t="n">
        <v>18.6</v>
      </c>
      <c r="P164" s="5" t="n">
        <v>27.3</v>
      </c>
      <c r="Q164" s="5" t="n">
        <v>14</v>
      </c>
      <c r="R164" s="5" t="n">
        <v>6.4</v>
      </c>
      <c r="S164" s="5" t="n">
        <v>7.6</v>
      </c>
      <c r="T164" s="2" t="n">
        <v>13</v>
      </c>
      <c r="U164" s="2" t="inlineStr">
        <is>
          <t>low</t>
        </is>
      </c>
      <c r="V164" s="5" t="n">
        <v>1</v>
      </c>
      <c r="W164" s="2" t="inlineStr">
        <is>
          <t>low</t>
        </is>
      </c>
      <c r="X164" s="3" t="inlineStr"/>
      <c r="Y164" s="3" t="inlineStr">
        <is>
          <t>0% of this dish's available carbohydrate comes from ingredients with a published, measured GI; the rest uses conventional placeholders (see Ingredients sheet)</t>
        </is>
      </c>
      <c r="Z164" s="2" t="n">
        <v>0</v>
      </c>
      <c r="AA164" s="3" t="inlineStr">
        <is>
          <t>gluten-free, dairy-free, nut-free, low-carb</t>
        </is>
      </c>
      <c r="AB164" s="3" t="inlineStr">
        <is>
          <t>1. Hard-boil eggs; crisp turkey bacon.
2. Chop everything into small dice.
3. Toss with olive oil, lemon, Dijon and chives.</t>
        </is>
      </c>
      <c r="AC164" s="4" t="inlineStr">
        <is>
          <t>["Hard-boil eggs; crisp turkey bacon.", "Chop everything into small dice.", "Toss with olive oil, lemon, Dijon and chives."]</t>
        </is>
      </c>
    </row>
    <row r="165" ht="96" customHeight="1">
      <c r="A165" s="2" t="inlineStr">
        <is>
          <t>DB-0164</t>
        </is>
      </c>
      <c r="B165" s="3" t="inlineStr">
        <is>
          <t>Moroccan Carrot &amp; Chickpea Salad</t>
        </is>
      </c>
      <c r="C165" s="4" t="inlineStr">
        <is>
          <t>Salad</t>
        </is>
      </c>
      <c r="D165" s="4" t="inlineStr">
        <is>
          <t>Moroccan</t>
        </is>
      </c>
      <c r="E165" s="2" t="n">
        <v>4</v>
      </c>
      <c r="F165" s="2" t="n">
        <v>15</v>
      </c>
      <c r="G165" s="2" t="n">
        <v>0</v>
      </c>
      <c r="H165" s="2" t="n">
        <v>15</v>
      </c>
      <c r="I165" s="4" t="inlineStr">
        <is>
          <t>moroccan-carrot-and-chickpea-salad.jpg</t>
        </is>
      </c>
      <c r="J165" s="3" t="inlineStr">
        <is>
          <t>Moroccan Carrot &amp; Chickpea Salad, healthy food photography, plated, natural light</t>
        </is>
      </c>
      <c r="K165" s="4" t="inlineStr"/>
      <c r="L165" s="3" t="inlineStr">
        <is>
          <t>Carrot — 300 g (10.6 oz)
Chickpeas, cooked — 300 g (10.6 oz)
Fresh cilantro — 15 g (0.5 oz)
Fresh mint — 8 g (0.3 oz)
Ground cumin — 3 g (0.1 oz)
Ground coriander — 2 g (0.1 oz)
Ground cinnamon — 1 g (0.0 oz)
Lemon juice — 30 g (1.1 oz)
Extra-virgin olive oil — 25 g (0.9 oz)
Almonds — 25 g (0.9 oz)
Salt — 2 g (0.1 oz)</t>
        </is>
      </c>
      <c r="M165" s="4" t="inlineStr">
        <is>
          <t>[{"ingredient_id": "carrot", "name": "Carrot", "grams": 300.0, "note": ""}, {"ingredient_id": "chickpeas", "name": "Chickpeas, cooked", "grams": 300.0, "note": ""}, {"ingredient_id": "cilantro", "name": "Fresh cilantro", "grams": 15.0, "note": ""}, {"ingredient_id": "mint", "name": "Fresh mint", "grams": 8.0, "note": ""}, {"ingredient_id": "cumin", "name": "Ground cumin", "grams": 3.0, "note": ""}, {"ingredient_id": "coriander", "name": "Ground coriander", "grams": 2.0, "note": ""}, {"ingredient_id": "cinnamon", "name": "Ground cinnamon", "grams": 1.0, "note": ""}, {"ingredient_id": "lemon_juice", "name": "Lemon juice", "grams": 30.0, "note": ""}, {"ingredient_id": "olive_oil", "name": "Extra-virgin olive oil", "grams": 25.0, "note": ""}, {"ingredient_id": "almonds", "name": "Almonds", "grams": 25.0, "note": ""}, {"ingredient_id": "salt", "name": "Salt", "grams": 2.0, "note": ""}]</t>
        </is>
      </c>
      <c r="N165" s="2" t="n">
        <v>254</v>
      </c>
      <c r="O165" s="5" t="n">
        <v>9</v>
      </c>
      <c r="P165" s="5" t="n">
        <v>11.8</v>
      </c>
      <c r="Q165" s="5" t="n">
        <v>30.5</v>
      </c>
      <c r="R165" s="5" t="n">
        <v>9.300000000000001</v>
      </c>
      <c r="S165" s="5" t="n">
        <v>21.2</v>
      </c>
      <c r="T165" s="2" t="n">
        <v>37</v>
      </c>
      <c r="U165" s="2" t="inlineStr">
        <is>
          <t>low</t>
        </is>
      </c>
      <c r="V165" s="5" t="n">
        <v>7.8</v>
      </c>
      <c r="W165" s="2" t="inlineStr">
        <is>
          <t>low</t>
        </is>
      </c>
      <c r="X165" s="3" t="inlineStr"/>
      <c r="Y165" s="3" t="inlineStr">
        <is>
          <t>93% of this dish's available carbohydrate comes from ingredients with a published, measured GI; the rest uses conventional placeholders (see Ingredients sheet)</t>
        </is>
      </c>
      <c r="Z165" s="2" t="n">
        <v>93</v>
      </c>
      <c r="AA165" s="3" t="inlineStr">
        <is>
          <t>vegan, gluten-free, dairy-free, high-fiber, no-cook</t>
        </is>
      </c>
      <c r="AB165" s="3" t="inlineStr">
        <is>
          <t>1. Shred carrots and combine with chickpeas, cilantro and mint.
2. Whisk lemon juice, olive oil, cumin, coriander, cinnamon and salt.
3. Toss and top with toasted almonds.</t>
        </is>
      </c>
      <c r="AC165" s="4" t="inlineStr">
        <is>
          <t>["Shred carrots and combine with chickpeas, cilantro and mint.", "Whisk lemon juice, olive oil, cumin, coriander, cinnamon and salt.", "Toss and top with toasted almonds."]</t>
        </is>
      </c>
    </row>
    <row r="166" ht="96" customHeight="1">
      <c r="A166" s="2" t="inlineStr">
        <is>
          <t>DB-0165</t>
        </is>
      </c>
      <c r="B166" s="3" t="inlineStr">
        <is>
          <t>Seared Ahi Tuna Salad with Ginger Dressing</t>
        </is>
      </c>
      <c r="C166" s="4" t="inlineStr">
        <is>
          <t>Salad</t>
        </is>
      </c>
      <c r="D166" s="4" t="inlineStr">
        <is>
          <t>Japanese</t>
        </is>
      </c>
      <c r="E166" s="2" t="n">
        <v>2</v>
      </c>
      <c r="F166" s="2" t="n">
        <v>10</v>
      </c>
      <c r="G166" s="2" t="n">
        <v>4</v>
      </c>
      <c r="H166" s="2" t="n">
        <v>14</v>
      </c>
      <c r="I166" s="4" t="inlineStr">
        <is>
          <t>seared-ahi-tuna-salad-with-ginger-dressing.jpg</t>
        </is>
      </c>
      <c r="J166" s="3" t="inlineStr">
        <is>
          <t>Seared Ahi Tuna Salad with Ginger Dressing, healthy food photography, plated, natural light</t>
        </is>
      </c>
      <c r="K166" s="4" t="inlineStr"/>
      <c r="L166" s="3" t="inlineStr">
        <is>
          <t>Tuna steak (ahi) — 300 g (10.6 oz)
Mixed salad greens — 150 g (5.3 oz)
Cucumber — 100 g (3.5 oz)
Avocado — 80 g (2.8 oz)
Edamame, shelled, cooked — 80 g (2.8 oz)
Sesame seeds — 8 g (0.3 oz)
Tamari (gluten-free soy sauce) — 15 g (0.5 oz)
Rice vinegar, unseasoned — 15 g (0.5 oz)
Fresh ginger — 8 g (0.3 oz)
Toasted sesame oil — 8 g (0.3 oz)
Avocado oil — 8 g (0.3 oz)</t>
        </is>
      </c>
      <c r="M166" s="4" t="inlineStr">
        <is>
          <t>[{"ingredient_id": "tuna_steak", "name": "Tuna steak (ahi)", "grams": 300.0, "note": ""}, {"ingredient_id": "mixed_greens", "name": "Mixed salad greens", "grams": 150.0, "note": ""}, {"ingredient_id": "cucumber", "name": "Cucumber", "grams": 100.0, "note": ""}, {"ingredient_id": "avocado", "name": "Avocado", "grams": 80.0, "note": ""}, {"ingredient_id": "edamame", "name": "Edamame, shelled, cooked", "grams": 80.0, "note": ""}, {"ingredient_id": "sesame_seeds", "name": "Sesame seeds", "grams": 8.0, "note": ""}, {"ingredient_id": "tamari", "name": "Tamari (gluten-free soy sauce)", "grams": 15.0, "note": ""}, {"ingredient_id": "rice_vinegar", "name": "Rice vinegar, unseasoned", "grams": 15.0, "note": ""}, {"ingredient_id": "ginger", "name": "Fresh ginger", "grams": 8.0, "note": ""}, {"ingredient_id": "sesame_oil", "name": "Toasted sesame oil", "grams": 8.0, "note": ""}, {"ingredient_id": "avocado_oil", "name": "Avocado oil", "grams": 8.0, "note": ""}]</t>
        </is>
      </c>
      <c r="N166" s="2" t="n">
        <v>401</v>
      </c>
      <c r="O166" s="5" t="n">
        <v>45</v>
      </c>
      <c r="P166" s="5" t="n">
        <v>19.8</v>
      </c>
      <c r="Q166" s="5" t="n">
        <v>13.5</v>
      </c>
      <c r="R166" s="5" t="n">
        <v>7</v>
      </c>
      <c r="S166" s="5" t="n">
        <v>6.4</v>
      </c>
      <c r="T166" s="2" t="n">
        <v>17</v>
      </c>
      <c r="U166" s="2" t="inlineStr">
        <is>
          <t>low</t>
        </is>
      </c>
      <c r="V166" s="5" t="n">
        <v>1.1</v>
      </c>
      <c r="W166" s="2" t="inlineStr">
        <is>
          <t>low</t>
        </is>
      </c>
      <c r="X166" s="3" t="inlineStr"/>
      <c r="Y166" s="3" t="inlineStr">
        <is>
          <t>0% of this dish's available carbohydrate comes from ingredients with a published, measured GI; the rest uses conventional placeholders (see Ingredients sheet)</t>
        </is>
      </c>
      <c r="Z166" s="2" t="n">
        <v>0</v>
      </c>
      <c r="AA166" s="3" t="inlineStr">
        <is>
          <t>pescatarian, gluten-free, dairy-free, nut-free, low-carb, high-protein, high-fiber</t>
        </is>
      </c>
      <c r="AB166" s="3" t="inlineStr">
        <is>
          <t>1. Coat tuna in sesame seeds and sear in avocado oil 1 minute per side; slice.
2. Whisk tamari, rice vinegar, grated ginger and sesame oil.
3. Plate greens, cucumber, avocado and edamame; top with tuna and dressing.</t>
        </is>
      </c>
      <c r="AC166" s="4" t="inlineStr">
        <is>
          <t>["Coat tuna in sesame seeds and sear in avocado oil 1 minute per side; slice.", "Whisk tamari, rice vinegar, grated ginger and sesame oil.", "Plate greens, cucumber, avocado and edamame; top with tuna and dressing."]</t>
        </is>
      </c>
    </row>
    <row r="167" ht="96" customHeight="1">
      <c r="A167" s="2" t="inlineStr">
        <is>
          <t>DB-0166</t>
        </is>
      </c>
      <c r="B167" s="3" t="inlineStr">
        <is>
          <t>Broccoli Crunch Salad with Turkey Bacon</t>
        </is>
      </c>
      <c r="C167" s="4" t="inlineStr">
        <is>
          <t>Salad</t>
        </is>
      </c>
      <c r="D167" s="4" t="inlineStr">
        <is>
          <t>American</t>
        </is>
      </c>
      <c r="E167" s="2" t="n">
        <v>4</v>
      </c>
      <c r="F167" s="2" t="n">
        <v>15</v>
      </c>
      <c r="G167" s="2" t="n">
        <v>8</v>
      </c>
      <c r="H167" s="2" t="n">
        <v>23</v>
      </c>
      <c r="I167" s="4" t="inlineStr">
        <is>
          <t>broccoli-crunch-salad-with-turkey-bacon.jpg</t>
        </is>
      </c>
      <c r="J167" s="3" t="inlineStr">
        <is>
          <t>Broccoli Crunch Salad with Turkey Bacon, healthy food photography, plated, natural light</t>
        </is>
      </c>
      <c r="K167" s="4" t="inlineStr"/>
      <c r="L167" s="3" t="inlineStr">
        <is>
          <t>Broccoli — 400 g (14.1 oz)
Turkey bacon — 60 g (2.1 oz)
Red onion — 40 g (1.4 oz)
Sunflower seeds — 30 g (1.1 oz)
Cheddar cheese — 40 g (1.4 oz)
Greek yogurt, plain 2% — 100 g (3.5 oz)
Mayonnaise (avocado oil) — 20 g (0.7 oz)
Apple cider vinegar — 12 g (0.4 oz)
Monk fruit/erythritol sweetener — 5 g (0.2 oz)</t>
        </is>
      </c>
      <c r="M167" s="4" t="inlineStr">
        <is>
          <t>[{"ingredient_id": "broccoli", "name": "Broccoli", "grams": 400.0, "note": ""}, {"ingredient_id": "turkey_bacon", "name": "Turkey bacon", "grams": 60.0, "note": ""}, {"ingredient_id": "red_onion", "name": "Red onion", "grams": 40.0, "note": ""}, {"ingredient_id": "sunflower_seeds", "name": "Sunflower seeds", "grams": 30.0, "note": ""}, {"ingredient_id": "cheddar", "name": "Cheddar cheese", "grams": 40.0, "note": ""}, {"ingredient_id": "greek_yogurt", "name": "Greek yogurt, plain 2%", "grams": 100.0, "note": ""}, {"ingredient_id": "mayo", "name": "Mayonnaise (avocado oil)", "grams": 20.0, "note": ""}, {"ingredient_id": "apple_cider_vinegar", "name": "Apple cider vinegar", "grams": 12.0, "note": ""}, {"ingredient_id": "monk_fruit_sweetener", "name": "Monk fruit/erythritol sweetener", "grams": 5.0, "note": ""}]</t>
        </is>
      </c>
      <c r="N167" s="2" t="n">
        <v>209</v>
      </c>
      <c r="O167" s="5" t="n">
        <v>12</v>
      </c>
      <c r="P167" s="5" t="n">
        <v>14.2</v>
      </c>
      <c r="Q167" s="5" t="n">
        <v>10.5</v>
      </c>
      <c r="R167" s="5" t="n">
        <v>3.4</v>
      </c>
      <c r="S167" s="5" t="n">
        <v>7.1</v>
      </c>
      <c r="T167" s="2" t="n">
        <v>13</v>
      </c>
      <c r="U167" s="2" t="inlineStr">
        <is>
          <t>low</t>
        </is>
      </c>
      <c r="V167" s="5" t="n">
        <v>0.9</v>
      </c>
      <c r="W167" s="2" t="inlineStr">
        <is>
          <t>low</t>
        </is>
      </c>
      <c r="X167" s="3" t="inlineStr"/>
      <c r="Y167" s="3" t="inlineStr">
        <is>
          <t>14% of this dish's available carbohydrate comes from ingredients with a published, measured GI; the rest uses conventional placeholders (see Ingredients sheet)</t>
        </is>
      </c>
      <c r="Z167" s="2" t="n">
        <v>14</v>
      </c>
      <c r="AA167" s="3" t="inlineStr">
        <is>
          <t>gluten-free, nut-free, low-carb, make-ahead</t>
        </is>
      </c>
      <c r="AB167" s="3" t="inlineStr">
        <is>
          <t>1. Cook turkey bacon until crisp; chop.
2. Mix yogurt, mayo, vinegar and sweetener.
3. Toss chopped raw broccoli, onion, seeds, cheddar and bacon with the dressing; chill 30 minutes.</t>
        </is>
      </c>
      <c r="AC167" s="4" t="inlineStr">
        <is>
          <t>["Cook turkey bacon until crisp; chop.", "Mix yogurt, mayo, vinegar and sweetener.", "Toss chopped raw broccoli, onion, seeds, cheddar and bacon with the dressing; chill 30 minutes."]</t>
        </is>
      </c>
    </row>
    <row r="168" ht="96" customHeight="1">
      <c r="A168" s="2" t="inlineStr">
        <is>
          <t>DB-0167</t>
        </is>
      </c>
      <c r="B168" s="3" t="inlineStr">
        <is>
          <t>Grilled Feta &amp; Cucumber Salad</t>
        </is>
      </c>
      <c r="C168" s="4" t="inlineStr">
        <is>
          <t>Salad</t>
        </is>
      </c>
      <c r="D168" s="4" t="inlineStr">
        <is>
          <t>Greek</t>
        </is>
      </c>
      <c r="E168" s="2" t="n">
        <v>2</v>
      </c>
      <c r="F168" s="2" t="n">
        <v>10</v>
      </c>
      <c r="G168" s="2" t="n">
        <v>6</v>
      </c>
      <c r="H168" s="2" t="n">
        <v>16</v>
      </c>
      <c r="I168" s="4" t="inlineStr">
        <is>
          <t>grilled-feta-and-cucumber-salad.jpg</t>
        </is>
      </c>
      <c r="J168" s="3" t="inlineStr">
        <is>
          <t>Grilled Feta &amp; Cucumber Salad, healthy food photography, plated, natural light</t>
        </is>
      </c>
      <c r="K168" s="4" t="inlineStr"/>
      <c r="L168" s="3" t="inlineStr">
        <is>
          <t>Feta cheese — 120 g (4.2 oz)
Cucumber — 250 g (8.8 oz)
Cherry tomatoes — 150 g (5.3 oz)
Fresh mint — 8 g (0.3 oz)
Olives (kalamata/green) — 30 g (1.1 oz)
Extra-virgin olive oil — 15 g (0.5 oz)
Lemon juice — 12 g (0.4 oz)
Dried oregano — 1 g (0.0 oz)</t>
        </is>
      </c>
      <c r="M168" s="4" t="inlineStr">
        <is>
          <t>[{"ingredient_id": "feta", "name": "Feta cheese", "grams": 120.0, "note": ""}, {"ingredient_id": "cucumber", "name": "Cucumber", "grams": 250.0, "note": ""}, {"ingredient_id": "cherry_tomato", "name": "Cherry tomatoes", "grams": 150.0, "note": ""}, {"ingredient_id": "mint", "name": "Fresh mint", "grams": 8.0, "note": ""}, {"ingredient_id": "olives", "name": "Olives (kalamata/green)", "grams": 30.0, "note": ""}, {"ingredient_id": "olive_oil", "name": "Extra-virgin olive oil", "grams": 15.0, "note": ""}, {"ingredient_id": "lemon_juice", "name": "Lemon juice", "grams": 12.0, "note": ""}, {"ingredient_id": "oregano", "name": "Dried oregano", "grams": 1.0, "note": ""}]</t>
        </is>
      </c>
      <c r="N168" s="2" t="n">
        <v>279</v>
      </c>
      <c r="O168" s="5" t="n">
        <v>10.3</v>
      </c>
      <c r="P168" s="5" t="n">
        <v>22.1</v>
      </c>
      <c r="Q168" s="5" t="n">
        <v>11.8</v>
      </c>
      <c r="R168" s="5" t="n">
        <v>2.5</v>
      </c>
      <c r="S168" s="5" t="n">
        <v>9.300000000000001</v>
      </c>
      <c r="T168" s="2" t="n">
        <v>11</v>
      </c>
      <c r="U168" s="2" t="inlineStr">
        <is>
          <t>low</t>
        </is>
      </c>
      <c r="V168" s="5" t="n">
        <v>1</v>
      </c>
      <c r="W168" s="2" t="inlineStr">
        <is>
          <t>low</t>
        </is>
      </c>
      <c r="X168" s="3" t="inlineStr"/>
      <c r="Y168" s="3" t="inlineStr">
        <is>
          <t>0% of this dish's available carbohydrate comes from ingredients with a published, measured GI; the rest uses conventional placeholders (see Ingredients sheet)</t>
        </is>
      </c>
      <c r="Z168" s="2" t="n">
        <v>0</v>
      </c>
      <c r="AA168" s="3" t="inlineStr">
        <is>
          <t>vegetarian, gluten-free, nut-free, low-carb</t>
        </is>
      </c>
      <c r="AB168" s="3" t="inlineStr">
        <is>
          <t>1. Sear thick feta slices in a dry nonstick pan 2 minutes per side until golden.
2. Toss cucumber, tomatoes, olives and mint with olive oil, lemon and oregano.
3. Top with warm feta.</t>
        </is>
      </c>
      <c r="AC168" s="4" t="inlineStr">
        <is>
          <t>["Sear thick feta slices in a dry nonstick pan 2 minutes per side until golden.", "Toss cucumber, tomatoes, olives and mint with olive oil, lemon and oregano.", "Top with warm feta."]</t>
        </is>
      </c>
    </row>
    <row r="169" ht="96" customHeight="1">
      <c r="A169" s="2" t="inlineStr">
        <is>
          <t>DB-0168</t>
        </is>
      </c>
      <c r="B169" s="3" t="inlineStr">
        <is>
          <t>Chicken Shawarma Salad</t>
        </is>
      </c>
      <c r="C169" s="4" t="inlineStr">
        <is>
          <t>Salad</t>
        </is>
      </c>
      <c r="D169" s="4" t="inlineStr">
        <is>
          <t>Middle Eastern</t>
        </is>
      </c>
      <c r="E169" s="2" t="n">
        <v>2</v>
      </c>
      <c r="F169" s="2" t="n">
        <v>15</v>
      </c>
      <c r="G169" s="2" t="n">
        <v>15</v>
      </c>
      <c r="H169" s="2" t="n">
        <v>30</v>
      </c>
      <c r="I169" s="4" t="inlineStr">
        <is>
          <t>chicken-shawarma-salad.jpg</t>
        </is>
      </c>
      <c r="J169" s="3" t="inlineStr">
        <is>
          <t>Chicken Shawarma Salad, healthy food photography, plated, natural light</t>
        </is>
      </c>
      <c r="K169" s="4" t="inlineStr"/>
      <c r="L169" s="3" t="inlineStr">
        <is>
          <t>Chicken thigh, skinless boneless — 300 g (10.6 oz)
Ground cumin — 3 g (0.1 oz)
Paprika — 3 g (0.1 oz)
Ground turmeric — 2 g (0.1 oz)
Garlic — 6 g (0.2 oz)
Lemon juice — 20 g (0.7 oz)
Extra-virgin olive oil — 15 g (0.5 oz)
Romaine lettuce — 200 g (7.1 oz)
Tomato — 150 g (5.3 oz)
Cucumber — 120 g (4.2 oz)
Red onion — 30 g (1.1 oz)
Tahini — 25 g (0.9 oz)
Greek yogurt, plain 2% — 50 g (1.8 oz)
Fresh parsley — 8 g (0.3 oz)</t>
        </is>
      </c>
      <c r="M169" s="4" t="inlineStr">
        <is>
          <t>[{"ingredient_id": "chicken_thigh", "name": "Chicken thigh, skinless boneless", "grams": 300.0, "note": ""}, {"ingredient_id": "cumin", "name": "Ground cumin", "grams": 3.0, "note": ""}, {"ingredient_id": "paprika", "name": "Paprika", "grams": 3.0, "note": ""}, {"ingredient_id": "turmeric", "name": "Ground turmeric", "grams": 2.0, "note": ""}, {"ingredient_id": "garlic", "name": "Garlic", "grams": 6.0, "note": ""}, {"ingredient_id": "lemon_juice", "name": "Lemon juice", "grams": 20.0, "note": ""}, {"ingredient_id": "olive_oil", "name": "Extra-virgin olive oil", "grams": 15.0, "note": ""}, {"ingredient_id": "romaine", "name": "Romaine lettuce", "grams": 200.0, "note": ""}, {"ingredient_id": "tomato", "name": "Tomato", "grams": 150.0, "note": ""}, {"ingredient_id": "cucumber", "name": "Cucumber", "grams": 120.0, "note": ""}, {"ingredient_id": "red_onion", "name": "Red onion", "grams": 30.0, "note": ""}, {"ingredient_id": "tahini", "name": "Tahini", "grams": 25.0, "note": ""}, {"ingredient_id": "greek_yogurt", "name": "Greek yogurt, plain 2%", "grams": 50.0, "note": ""}, {"ingredient_id": "parsley", "name": "Fresh parsley", "grams": 8.0, "note": ""}]</t>
        </is>
      </c>
      <c r="N169" s="2" t="n">
        <v>407</v>
      </c>
      <c r="O169" s="5" t="n">
        <v>37.6</v>
      </c>
      <c r="P169" s="5" t="n">
        <v>22.1</v>
      </c>
      <c r="Q169" s="5" t="n">
        <v>17.5</v>
      </c>
      <c r="R169" s="5" t="n">
        <v>5.8</v>
      </c>
      <c r="S169" s="5" t="n">
        <v>11.7</v>
      </c>
      <c r="T169" s="2" t="n">
        <v>19</v>
      </c>
      <c r="U169" s="2" t="inlineStr">
        <is>
          <t>low</t>
        </is>
      </c>
      <c r="V169" s="5" t="n">
        <v>2.2</v>
      </c>
      <c r="W169" s="2" t="inlineStr">
        <is>
          <t>low</t>
        </is>
      </c>
      <c r="X169" s="3" t="inlineStr"/>
      <c r="Y169" s="3" t="inlineStr">
        <is>
          <t>9% of this dish's available carbohydrate comes from ingredients with a published, measured GI; the rest uses conventional placeholders (see Ingredients sheet)</t>
        </is>
      </c>
      <c r="Z169" s="2" t="n">
        <v>9</v>
      </c>
      <c r="AA169" s="3" t="inlineStr">
        <is>
          <t>gluten-free, nut-free, low-carb, high-protein</t>
        </is>
      </c>
      <c r="AB169" s="3" t="inlineStr">
        <is>
          <t>1. Marinate chicken in spices, garlic, half the lemon and oil for 15 minutes; sear 6 minutes per side and slice.
2. Whisk tahini, yogurt, remaining lemon and water to a sauce.
3. Serve chicken over romaine, tomato, cucumber and onion with sauce and parsley.</t>
        </is>
      </c>
      <c r="AC169" s="4" t="inlineStr">
        <is>
          <t>["Marinate chicken in spices, garlic, half the lemon and oil for 15 minutes; sear 6 minutes per side and slice.", "Whisk tahini, yogurt, remaining lemon and water to a sauce.", "Serve chicken over romaine, tomato, cucumber and onion with sauce and parsley."]</t>
        </is>
      </c>
    </row>
    <row r="170" ht="96" customHeight="1">
      <c r="A170" s="2" t="inlineStr">
        <is>
          <t>DB-0169</t>
        </is>
      </c>
      <c r="B170" s="3" t="inlineStr">
        <is>
          <t>Wild Rice, Cranberry &amp; Pecan Salad</t>
        </is>
      </c>
      <c r="C170" s="4" t="inlineStr">
        <is>
          <t>Salad</t>
        </is>
      </c>
      <c r="D170" s="4" t="inlineStr">
        <is>
          <t>American</t>
        </is>
      </c>
      <c r="E170" s="2" t="n">
        <v>4</v>
      </c>
      <c r="F170" s="2" t="n">
        <v>10</v>
      </c>
      <c r="G170" s="2" t="n">
        <v>0</v>
      </c>
      <c r="H170" s="2" t="n">
        <v>10</v>
      </c>
      <c r="I170" s="4" t="inlineStr">
        <is>
          <t>wild-rice-cranberry-and-pecan-salad.jpg</t>
        </is>
      </c>
      <c r="J170" s="3" t="inlineStr">
        <is>
          <t>Wild Rice, Cranberry &amp; Pecan Salad, healthy food photography, plated, natural light</t>
        </is>
      </c>
      <c r="K170" s="4" t="inlineStr"/>
      <c r="L170" s="3" t="inlineStr">
        <is>
          <t>Wild rice, cooked — 400 g (14.1 oz)
Cranberries, fresh — 60 g (2.1 oz)
Pecans — 40 g (1.4 oz)
Celery — 80 g (2.8 oz)
Green onions (scallions) — 30 g (1.1 oz)
Fresh parsley — 10 g (0.4 oz)
Orange — 60 g (2.1 oz) [juice + zest]
Extra-virgin olive oil — 25 g (0.9 oz)
Apple cider vinegar — 10 g (0.4 oz)
Salt — 2 g (0.1 oz)</t>
        </is>
      </c>
      <c r="M170" s="4" t="inlineStr">
        <is>
          <t>[{"ingredient_id": "wild_rice", "name": "Wild rice, cooked", "grams": 400.0, "note": ""}, {"ingredient_id": "cranberries", "name": "Cranberries, fresh", "grams": 60.0, "note": ""}, {"ingredient_id": "pecans", "name": "Pecans", "grams": 40.0, "note": ""}, {"ingredient_id": "celery", "name": "Celery", "grams": 80.0, "note": ""}, {"ingredient_id": "green_onion", "name": "Green onions (scallions)", "grams": 30.0, "note": ""}, {"ingredient_id": "parsley", "name": "Fresh parsley", "grams": 10.0, "note": ""}, {"ingredient_id": "orange", "name": "Orange", "grams": 60.0, "note": "juice + zest"}, {"ingredient_id": "olive_oil", "name": "Extra-virgin olive oil", "grams": 25.0, "note": ""}, {"ingredient_id": "apple_cider_vinegar", "name": "Apple cider vinegar", "grams": 10.0, "note": ""}, {"ingredient_id": "salt", "name": "Salt", "grams": 2.0, "note": ""}]</t>
        </is>
      </c>
      <c r="N170" s="2" t="n">
        <v>246</v>
      </c>
      <c r="O170" s="5" t="n">
        <v>5.4</v>
      </c>
      <c r="P170" s="5" t="n">
        <v>13.9</v>
      </c>
      <c r="Q170" s="5" t="n">
        <v>27.3</v>
      </c>
      <c r="R170" s="5" t="n">
        <v>4.4</v>
      </c>
      <c r="S170" s="5" t="n">
        <v>22.9</v>
      </c>
      <c r="T170" s="2" t="n">
        <v>53</v>
      </c>
      <c r="U170" s="2" t="inlineStr">
        <is>
          <t>low</t>
        </is>
      </c>
      <c r="V170" s="5" t="n">
        <v>12.1</v>
      </c>
      <c r="W170" s="2" t="inlineStr">
        <is>
          <t>medium</t>
        </is>
      </c>
      <c r="X170" s="3" t="inlineStr"/>
      <c r="Y170" s="3" t="inlineStr">
        <is>
          <t>6% of this dish's available carbohydrate comes from ingredients with a published, measured GI; the rest uses conventional placeholders (see Ingredients sheet)</t>
        </is>
      </c>
      <c r="Z170" s="2" t="n">
        <v>6</v>
      </c>
      <c r="AA170" s="3" t="inlineStr">
        <is>
          <t>vegan, gluten-free, dairy-free, make-ahead</t>
        </is>
      </c>
      <c r="AB170" s="3" t="inlineStr">
        <is>
          <t>1. Combine wild rice, chopped cranberries, pecans, celery, green onion and parsley.
2. Whisk orange juice, zest, olive oil, vinegar and salt.
3. Toss and serve at room temperature.</t>
        </is>
      </c>
      <c r="AC170" s="4" t="inlineStr">
        <is>
          <t>["Combine wild rice, chopped cranberries, pecans, celery, green onion and parsley.", "Whisk orange juice, zest, olive oil, vinegar and salt.", "Toss and serve at room temperature."]</t>
        </is>
      </c>
    </row>
    <row r="171" ht="96" customHeight="1">
      <c r="A171" s="2" t="inlineStr">
        <is>
          <t>DB-0170</t>
        </is>
      </c>
      <c r="B171" s="3" t="inlineStr">
        <is>
          <t>Crab &amp; Avocado Salad</t>
        </is>
      </c>
      <c r="C171" s="4" t="inlineStr">
        <is>
          <t>Salad</t>
        </is>
      </c>
      <c r="D171" s="4" t="inlineStr">
        <is>
          <t>American</t>
        </is>
      </c>
      <c r="E171" s="2" t="n">
        <v>2</v>
      </c>
      <c r="F171" s="2" t="n">
        <v>10</v>
      </c>
      <c r="G171" s="2" t="n">
        <v>0</v>
      </c>
      <c r="H171" s="2" t="n">
        <v>10</v>
      </c>
      <c r="I171" s="4" t="inlineStr">
        <is>
          <t>crab-and-avocado-salad.jpg</t>
        </is>
      </c>
      <c r="J171" s="3" t="inlineStr">
        <is>
          <t>Crab &amp; Avocado Salad, healthy food photography, plated, natural light</t>
        </is>
      </c>
      <c r="K171" s="4" t="inlineStr"/>
      <c r="L171" s="3" t="inlineStr">
        <is>
          <t>Crab meat, lump — 250 g (8.8 oz)
Avocado — 120 g (4.2 oz)
Celery — 60 g (2.1 oz)
Red onion — 20 g (0.7 oz)
Lemon juice — 15 g (0.5 oz)
Greek yogurt, plain 2% — 40 g (1.4 oz)
Dijon mustard — 5 g (0.2 oz)
Old Bay seasoning — 2 g (0.1 oz)
Butter lettuce — 100 g (3.5 oz)
Fresh chives — 4 g (0.1 oz)</t>
        </is>
      </c>
      <c r="M171" s="4" t="inlineStr">
        <is>
          <t>[{"ingredient_id": "crab", "name": "Crab meat, lump", "grams": 250.0, "note": ""}, {"ingredient_id": "avocado", "name": "Avocado", "grams": 120.0, "note": ""}, {"ingredient_id": "celery", "name": "Celery", "grams": 60.0, "note": ""}, {"ingredient_id": "red_onion", "name": "Red onion", "grams": 20.0, "note": ""}, {"ingredient_id": "lemon_juice", "name": "Lemon juice", "grams": 15.0, "note": ""}, {"ingredient_id": "greek_yogurt", "name": "Greek yogurt, plain 2%", "grams": 40.0, "note": ""}, {"ingredient_id": "dijon", "name": "Dijon mustard", "grams": 5.0, "note": ""}, {"ingredient_id": "old_bay", "name": "Old Bay seasoning", "grams": 2.0, "note": ""}, {"ingredient_id": "butter_lettuce", "name": "Butter lettuce", "grams": 100.0, "note": ""}, {"ingredient_id": "chives", "name": "Fresh chives", "grams": 4.0, "note": ""}]</t>
        </is>
      </c>
      <c r="N171" s="2" t="n">
        <v>238</v>
      </c>
      <c r="O171" s="5" t="n">
        <v>27</v>
      </c>
      <c r="P171" s="5" t="n">
        <v>11</v>
      </c>
      <c r="Q171" s="5" t="n">
        <v>10.1</v>
      </c>
      <c r="R171" s="5" t="n">
        <v>5.6</v>
      </c>
      <c r="S171" s="5" t="n">
        <v>4.5</v>
      </c>
      <c r="T171" s="2" t="n">
        <v>15</v>
      </c>
      <c r="U171" s="2" t="inlineStr">
        <is>
          <t>low</t>
        </is>
      </c>
      <c r="V171" s="5" t="n">
        <v>0.7</v>
      </c>
      <c r="W171" s="2" t="inlineStr">
        <is>
          <t>low</t>
        </is>
      </c>
      <c r="X171" s="3" t="inlineStr">
        <is>
          <t>Negligible carbohydrate (&lt;5 g net/serving): GI has little practical meaning, glycemic load is what matters.</t>
        </is>
      </c>
      <c r="Y171" s="3" t="inlineStr">
        <is>
          <t>18% of this dish's available carbohydrate comes from ingredients with a published, measured GI; the rest uses conventional placeholders (see Ingredients sheet)</t>
        </is>
      </c>
      <c r="Z171" s="2" t="n">
        <v>18</v>
      </c>
      <c r="AA171" s="3" t="inlineStr">
        <is>
          <t>pescatarian, gluten-free, nut-free, low-carb, high-protein, no-cook</t>
        </is>
      </c>
      <c r="AB171" s="3" t="inlineStr">
        <is>
          <t>1. Gently mix crab with celery, onion, yogurt, Dijon, lemon and Old Bay.
2. Fold in diced avocado.
3. Serve in lettuce cups with chives.</t>
        </is>
      </c>
      <c r="AC171" s="4" t="inlineStr">
        <is>
          <t>["Gently mix crab with celery, onion, yogurt, Dijon, lemon and Old Bay.", "Fold in diced avocado.", "Serve in lettuce cups with chives."]</t>
        </is>
      </c>
    </row>
    <row r="172" ht="96" customHeight="1">
      <c r="A172" s="2" t="inlineStr">
        <is>
          <t>DB-0171</t>
        </is>
      </c>
      <c r="B172" s="3" t="inlineStr">
        <is>
          <t>Roasted Cauliflower &amp; Chickpea Salad with Tahini</t>
        </is>
      </c>
      <c r="C172" s="4" t="inlineStr">
        <is>
          <t>Salad</t>
        </is>
      </c>
      <c r="D172" s="4" t="inlineStr">
        <is>
          <t>Middle Eastern</t>
        </is>
      </c>
      <c r="E172" s="2" t="n">
        <v>3</v>
      </c>
      <c r="F172" s="2" t="n">
        <v>10</v>
      </c>
      <c r="G172" s="2" t="n">
        <v>25</v>
      </c>
      <c r="H172" s="2" t="n">
        <v>35</v>
      </c>
      <c r="I172" s="4" t="inlineStr">
        <is>
          <t>roasted-cauliflower-and-chickpea-salad-with-tahini.jpg</t>
        </is>
      </c>
      <c r="J172" s="3" t="inlineStr">
        <is>
          <t>Roasted Cauliflower &amp; Chickpea Salad with Tahini, healthy food photography, plated, natural light</t>
        </is>
      </c>
      <c r="K172" s="4" t="inlineStr"/>
      <c r="L172" s="3" t="inlineStr">
        <is>
          <t>Cauliflower — 400 g (14.1 oz)
Chickpeas, cooked — 250 g (8.8 oz)
Extra-virgin olive oil — 25 g (0.9 oz)
Ground cumin — 3 g (0.1 oz)
Smoked paprika — 2 g (0.1 oz)
Arugula — 100 g (3.5 oz)
Tahini — 30 g (1.1 oz)
Lemon juice — 20 g (0.7 oz)
Garlic — 3 g (0.1 oz)
Fresh parsley — 10 g (0.4 oz)
Pomegranate arils — 40 g (1.4 oz)</t>
        </is>
      </c>
      <c r="M172" s="4" t="inlineStr">
        <is>
          <t>[{"ingredient_id": "cauliflower", "name": "Cauliflower", "grams": 400.0, "note": ""}, {"ingredient_id": "chickpeas", "name": "Chickpeas, cooked", "grams": 250.0, "note": ""}, {"ingredient_id": "olive_oil", "name": "Extra-virgin olive oil", "grams": 25.0, "note": ""}, {"ingredient_id": "cumin", "name": "Ground cumin", "grams": 3.0, "note": ""}, {"ingredient_id": "smoked_paprika", "name": "Smoked paprika", "grams": 2.0, "note": ""}, {"ingredient_id": "arugula", "name": "Arugula", "grams": 100.0, "note": ""}, {"ingredient_id": "tahini", "name": "Tahini", "grams": 30.0, "note": ""}, {"ingredient_id": "lemon_juice", "name": "Lemon juice", "grams": 20.0, "note": ""}, {"ingredient_id": "garlic", "name": "Garlic", "grams": 3.0, "note": ""}, {"ingredient_id": "parsley", "name": "Fresh parsley", "grams": 10.0, "note": ""}, {"ingredient_id": "pomegranate", "name": "Pomegranate arils", "grams": 40.0, "note": ""}]</t>
        </is>
      </c>
      <c r="N172" s="2" t="n">
        <v>332</v>
      </c>
      <c r="O172" s="5" t="n">
        <v>13.2</v>
      </c>
      <c r="P172" s="5" t="n">
        <v>17</v>
      </c>
      <c r="Q172" s="5" t="n">
        <v>36.8</v>
      </c>
      <c r="R172" s="5" t="n">
        <v>11.5</v>
      </c>
      <c r="S172" s="5" t="n">
        <v>25.4</v>
      </c>
      <c r="T172" s="2" t="n">
        <v>34</v>
      </c>
      <c r="U172" s="2" t="inlineStr">
        <is>
          <t>low</t>
        </is>
      </c>
      <c r="V172" s="5" t="n">
        <v>8.6</v>
      </c>
      <c r="W172" s="2" t="inlineStr">
        <is>
          <t>low</t>
        </is>
      </c>
      <c r="X172" s="3" t="inlineStr"/>
      <c r="Y172" s="3" t="inlineStr">
        <is>
          <t>64% of this dish's available carbohydrate comes from ingredients with a published, measured GI; the rest uses conventional placeholders (see Ingredients sheet)</t>
        </is>
      </c>
      <c r="Z172" s="2" t="n">
        <v>64</v>
      </c>
      <c r="AA172" s="3" t="inlineStr">
        <is>
          <t>vegan, gluten-free, dairy-free, nut-free, high-fiber</t>
        </is>
      </c>
      <c r="AB172" s="3" t="inlineStr">
        <is>
          <t>1. Toss cauliflower and chickpeas with oil, cumin and paprika; roast at 425°F for 25 minutes.
2. Whisk tahini, lemon, garlic and water.
3. Serve warm over arugula with tahini sauce, parsley and pomegranate.</t>
        </is>
      </c>
      <c r="AC172" s="4" t="inlineStr">
        <is>
          <t>["Toss cauliflower and chickpeas with oil, cumin and paprika; roast at 425°F for 25 minutes.", "Whisk tahini, lemon, garlic and water.", "Serve warm over arugula with tahini sauce, parsley and pomegranate."]</t>
        </is>
      </c>
    </row>
    <row r="173" ht="96" customHeight="1">
      <c r="A173" s="2" t="inlineStr">
        <is>
          <t>DB-0172</t>
        </is>
      </c>
      <c r="B173" s="3" t="inlineStr">
        <is>
          <t>Turkey Taco Salad</t>
        </is>
      </c>
      <c r="C173" s="4" t="inlineStr">
        <is>
          <t>Salad</t>
        </is>
      </c>
      <c r="D173" s="4" t="inlineStr">
        <is>
          <t>Tex-Mex</t>
        </is>
      </c>
      <c r="E173" s="2" t="n">
        <v>3</v>
      </c>
      <c r="F173" s="2" t="n">
        <v>10</v>
      </c>
      <c r="G173" s="2" t="n">
        <v>12</v>
      </c>
      <c r="H173" s="2" t="n">
        <v>22</v>
      </c>
      <c r="I173" s="4" t="inlineStr">
        <is>
          <t>turkey-taco-salad.jpg</t>
        </is>
      </c>
      <c r="J173" s="3" t="inlineStr">
        <is>
          <t>Turkey Taco Salad, healthy food photography, plated, natural light</t>
        </is>
      </c>
      <c r="K173" s="4" t="inlineStr"/>
      <c r="L173" s="3" t="inlineStr">
        <is>
          <t>Ground turkey 93% lean — 400 g (14.1 oz)
Taco seasoning, low sodium — 10 g (0.4 oz)
Romaine lettuce — 250 g (8.8 oz)
Black beans, cooked — 150 g (5.3 oz)
Cherry tomatoes — 150 g (5.3 oz)
Cheddar cheese — 50 g (1.8 oz)
Avocado — 100 g (3.5 oz)
Salsa, no sugar added — 90 g (3.2 oz)
Greek yogurt, plain 2% — 60 g (2.1 oz)
Extra-virgin olive oil — 8 g (0.3 oz)
Fresh cilantro — 8 g (0.3 oz)</t>
        </is>
      </c>
      <c r="M173" s="4" t="inlineStr">
        <is>
          <t>[{"ingredient_id": "ground_turkey", "name": "Ground turkey 93% lean", "grams": 400.0, "note": ""}, {"ingredient_id": "taco_seasoning", "name": "Taco seasoning, low sodium", "grams": 10.0, "note": ""}, {"ingredient_id": "romaine", "name": "Romaine lettuce", "grams": 250.0, "note": ""}, {"ingredient_id": "black_beans", "name": "Black beans, cooked", "grams": 150.0, "note": ""}, {"ingredient_id": "cherry_tomato", "name": "Cherry tomatoes", "grams": 150.0, "note": ""}, {"ingredient_id": "cheddar", "name": "Cheddar cheese", "grams": 50.0, "note": ""}, {"ingredient_id": "avocado", "name": "Avocado", "grams": 100.0, "note": ""}, {"ingredient_id": "salsa", "name": "Salsa, no sugar added", "grams": 90.0, "note": ""}, {"ingredient_id": "greek_yogurt", "name": "Greek yogurt, plain 2%", "grams": 60.0, "note": ""}, {"ingredient_id": "olive_oil", "name": "Extra-virgin olive oil", "grams": 8.0, "note": ""}, {"ingredient_id": "cilantro", "name": "Fresh cilantro", "grams": 8.0, "note": ""}]</t>
        </is>
      </c>
      <c r="N173" s="2" t="n">
        <v>469</v>
      </c>
      <c r="O173" s="5" t="n">
        <v>38.2</v>
      </c>
      <c r="P173" s="5" t="n">
        <v>25.2</v>
      </c>
      <c r="Q173" s="5" t="n">
        <v>24.4</v>
      </c>
      <c r="R173" s="5" t="n">
        <v>10.3</v>
      </c>
      <c r="S173" s="5" t="n">
        <v>14.1</v>
      </c>
      <c r="T173" s="2" t="n">
        <v>24</v>
      </c>
      <c r="U173" s="2" t="inlineStr">
        <is>
          <t>low</t>
        </is>
      </c>
      <c r="V173" s="5" t="n">
        <v>3.4</v>
      </c>
      <c r="W173" s="2" t="inlineStr">
        <is>
          <t>low</t>
        </is>
      </c>
      <c r="X173" s="3" t="inlineStr"/>
      <c r="Y173" s="3" t="inlineStr">
        <is>
          <t>59% of this dish's available carbohydrate comes from ingredients with a published, measured GI; the rest uses conventional placeholders (see Ingredients sheet)</t>
        </is>
      </c>
      <c r="Z173" s="2" t="n">
        <v>59</v>
      </c>
      <c r="AA173" s="3" t="inlineStr">
        <is>
          <t>gluten-free, nut-free, low-carb, high-protein, high-fiber</t>
        </is>
      </c>
      <c r="AB173" s="3" t="inlineStr">
        <is>
          <t>1. Brown turkey in olive oil with taco seasoning, 8 minutes.
2. Layer romaine, beans, tomatoes and turkey in bowls.
3. Top with cheddar, avocado, salsa, yogurt and cilantro.</t>
        </is>
      </c>
      <c r="AC173" s="4" t="inlineStr">
        <is>
          <t>["Brown turkey in olive oil with taco seasoning, 8 minutes.", "Layer romaine, beans, tomatoes and turkey in bowls.", "Top with cheddar, avocado, salsa, yogurt and cilantro."]</t>
        </is>
      </c>
    </row>
    <row r="174" ht="96" customHeight="1">
      <c r="A174" s="2" t="inlineStr">
        <is>
          <t>DB-0173</t>
        </is>
      </c>
      <c r="B174" s="3" t="inlineStr">
        <is>
          <t>Cucumber Dill Salmon Salad</t>
        </is>
      </c>
      <c r="C174" s="4" t="inlineStr">
        <is>
          <t>Salad</t>
        </is>
      </c>
      <c r="D174" s="4" t="inlineStr">
        <is>
          <t>Scandinavian</t>
        </is>
      </c>
      <c r="E174" s="2" t="n">
        <v>2</v>
      </c>
      <c r="F174" s="2" t="n">
        <v>10</v>
      </c>
      <c r="G174" s="2" t="n">
        <v>0</v>
      </c>
      <c r="H174" s="2" t="n">
        <v>10</v>
      </c>
      <c r="I174" s="4" t="inlineStr">
        <is>
          <t>cucumber-dill-salmon-salad.jpg</t>
        </is>
      </c>
      <c r="J174" s="3" t="inlineStr">
        <is>
          <t>Cucumber Dill Salmon Salad, healthy food photography, plated, natural light</t>
        </is>
      </c>
      <c r="K174" s="4" t="inlineStr"/>
      <c r="L174" s="3" t="inlineStr">
        <is>
          <t>Canned salmon — 220 g (7.8 oz)
Cucumber — 200 g (7.1 oz)
Greek yogurt, plain 2% — 80 g (2.8 oz)
Fresh dill — 8 g (0.3 oz)
Red onion — 30 g (1.1 oz)
Lemon juice — 15 g (0.5 oz)
Capers — 8 g (0.3 oz)
Mixed salad greens — 100 g (3.5 oz)
Black pepper — 1 g (0.0 oz)</t>
        </is>
      </c>
      <c r="M174" s="4" t="inlineStr">
        <is>
          <t>[{"ingredient_id": "canned_salmon", "name": "Canned salmon", "grams": 220.0, "note": ""}, {"ingredient_id": "cucumber", "name": "Cucumber", "grams": 200.0, "note": ""}, {"ingredient_id": "greek_yogurt", "name": "Greek yogurt, plain 2%", "grams": 80.0, "note": ""}, {"ingredient_id": "dill", "name": "Fresh dill", "grams": 8.0, "note": ""}, {"ingredient_id": "red_onion", "name": "Red onion", "grams": 30.0, "note": ""}, {"ingredient_id": "lemon_juice", "name": "Lemon juice", "grams": 15.0, "note": ""}, {"ingredient_id": "capers", "name": "Capers", "grams": 8.0, "note": ""}, {"ingredient_id": "mixed_greens", "name": "Mixed salad greens", "grams": 100.0, "note": ""}, {"ingredient_id": "black_pepper", "name": "Black pepper", "grams": 1.0, "note": ""}]</t>
        </is>
      </c>
      <c r="N174" s="2" t="n">
        <v>220</v>
      </c>
      <c r="O174" s="5" t="n">
        <v>28.2</v>
      </c>
      <c r="P174" s="5" t="n">
        <v>7.8</v>
      </c>
      <c r="Q174" s="5" t="n">
        <v>9.699999999999999</v>
      </c>
      <c r="R174" s="5" t="n">
        <v>2.1</v>
      </c>
      <c r="S174" s="5" t="n">
        <v>7.5</v>
      </c>
      <c r="T174" s="2" t="n">
        <v>14</v>
      </c>
      <c r="U174" s="2" t="inlineStr">
        <is>
          <t>low</t>
        </is>
      </c>
      <c r="V174" s="5" t="n">
        <v>1.1</v>
      </c>
      <c r="W174" s="2" t="inlineStr">
        <is>
          <t>low</t>
        </is>
      </c>
      <c r="X174" s="3" t="inlineStr"/>
      <c r="Y174" s="3" t="inlineStr">
        <is>
          <t>21% of this dish's available carbohydrate comes from ingredients with a published, measured GI; the rest uses conventional placeholders (see Ingredients sheet)</t>
        </is>
      </c>
      <c r="Z174" s="2" t="n">
        <v>21</v>
      </c>
      <c r="AA174" s="3" t="inlineStr">
        <is>
          <t>pescatarian, gluten-free, nut-free, low-carb, high-protein, no-cook, omega-3</t>
        </is>
      </c>
      <c r="AB174" s="3" t="inlineStr">
        <is>
          <t>1. Mix salmon with yogurt, dill, onion, lemon juice and capers.
2. Slice cucumber thin and toss with pepper.
3. Serve salmon salad over greens and cucumber.</t>
        </is>
      </c>
      <c r="AC174" s="4" t="inlineStr">
        <is>
          <t>["Mix salmon with yogurt, dill, onion, lemon juice and capers.", "Slice cucumber thin and toss with pepper.", "Serve salmon salad over greens and cucumber."]</t>
        </is>
      </c>
    </row>
    <row r="175" ht="96" customHeight="1">
      <c r="A175" s="2" t="inlineStr">
        <is>
          <t>DB-0174</t>
        </is>
      </c>
      <c r="B175" s="3" t="inlineStr">
        <is>
          <t>Italian Antipasto Salad</t>
        </is>
      </c>
      <c r="C175" s="4" t="inlineStr">
        <is>
          <t>Salad</t>
        </is>
      </c>
      <c r="D175" s="4" t="inlineStr">
        <is>
          <t>Italian</t>
        </is>
      </c>
      <c r="E175" s="2" t="n">
        <v>3</v>
      </c>
      <c r="F175" s="2" t="n">
        <v>15</v>
      </c>
      <c r="G175" s="2" t="n">
        <v>0</v>
      </c>
      <c r="H175" s="2" t="n">
        <v>15</v>
      </c>
      <c r="I175" s="4" t="inlineStr">
        <is>
          <t>italian-antipasto-salad.jpg</t>
        </is>
      </c>
      <c r="J175" s="3" t="inlineStr">
        <is>
          <t>Italian Antipasto Salad, healthy food photography, plated, natural light</t>
        </is>
      </c>
      <c r="K175" s="4" t="inlineStr"/>
      <c r="L175" s="3" t="inlineStr">
        <is>
          <t>Romaine lettuce — 200 g (7.1 oz)
Deli turkey breast, low sodium — 120 g (4.2 oz)
Mozzarella, part-skim — 90 g (3.2 oz)
Artichoke hearts, canned in water — 150 g (5.3 oz)
Roasted red peppers, jarred — 100 g (3.5 oz)
Olives (kalamata/green) — 40 g (1.4 oz)
Chickpeas, cooked — 150 g (5.3 oz)
Pickled jalapeños — 30 g (1.1 oz)
Extra-virgin olive oil — 25 g (0.9 oz)
Red wine vinegar — 15 g (0.5 oz)
Dried oregano — 2 g (0.1 oz)</t>
        </is>
      </c>
      <c r="M175" s="4" t="inlineStr">
        <is>
          <t>[{"ingredient_id": "romaine", "name": "Romaine lettuce", "grams": 200.0, "note": ""}, {"ingredient_id": "deli_turkey", "name": "Deli turkey breast, low sodium", "grams": 120.0, "note": ""}, {"ingredient_id": "mozzarella", "name": "Mozzarella, part-skim", "grams": 90.0, "note": ""}, {"ingredient_id": "artichoke_hearts", "name": "Artichoke hearts, canned in water", "grams": 150.0, "note": ""}, {"ingredient_id": "roasted_red_pepper", "name": "Roasted red peppers, jarred", "grams": 100.0, "note": ""}, {"ingredient_id": "olives", "name": "Olives (kalamata/green)", "grams": 40.0, "note": ""}, {"ingredient_id": "chickpeas", "name": "Chickpeas, cooked", "grams": 150.0, "note": ""}, {"ingredient_id": "pickled_jalapeno", "name": "Pickled jalapeños", "grams": 30.0, "note": ""}, {"ingredient_id": "olive_oil", "name": "Extra-virgin olive oil", "grams": 25.0, "note": ""}, {"ingredient_id": "red_wine_vinegar", "name": "Red wine vinegar", "grams": 15.0, "note": ""}, {"ingredient_id": "oregano", "name": "Dried oregano", "grams": 2.0, "note": ""}]</t>
        </is>
      </c>
      <c r="N175" s="2" t="n">
        <v>339</v>
      </c>
      <c r="O175" s="5" t="n">
        <v>21.5</v>
      </c>
      <c r="P175" s="5" t="n">
        <v>17</v>
      </c>
      <c r="Q175" s="5" t="n">
        <v>27.2</v>
      </c>
      <c r="R175" s="5" t="n">
        <v>9.5</v>
      </c>
      <c r="S175" s="5" t="n">
        <v>17.7</v>
      </c>
      <c r="T175" s="2" t="n">
        <v>25</v>
      </c>
      <c r="U175" s="2" t="inlineStr">
        <is>
          <t>low</t>
        </is>
      </c>
      <c r="V175" s="5" t="n">
        <v>4.4</v>
      </c>
      <c r="W175" s="2" t="inlineStr">
        <is>
          <t>low</t>
        </is>
      </c>
      <c r="X175" s="3" t="inlineStr"/>
      <c r="Y175" s="3" t="inlineStr">
        <is>
          <t>55% of this dish's available carbohydrate comes from ingredients with a published, measured GI; the rest uses conventional placeholders (see Ingredients sheet)</t>
        </is>
      </c>
      <c r="Z175" s="2" t="n">
        <v>55</v>
      </c>
      <c r="AA175" s="3" t="inlineStr">
        <is>
          <t>gluten-free, nut-free, high-fiber, no-cook</t>
        </is>
      </c>
      <c r="AB175" s="3" t="inlineStr">
        <is>
          <t>1. Chop romaine, turkey, mozzarella, artichokes and peppers.
2. Toss with olives and chickpeas.
3. Dress with olive oil, vinegar and oregano.</t>
        </is>
      </c>
      <c r="AC175" s="4" t="inlineStr">
        <is>
          <t>["Chop romaine, turkey, mozzarella, artichokes and peppers.", "Toss with olives and chickpeas.", "Dress with olive oil, vinegar and oregano."]</t>
        </is>
      </c>
    </row>
    <row r="176" ht="96" customHeight="1">
      <c r="A176" s="2" t="inlineStr">
        <is>
          <t>DB-0175</t>
        </is>
      </c>
      <c r="B176" s="3" t="inlineStr">
        <is>
          <t>Warm Brussels Sprout Salad with Bacon &amp; Pecans</t>
        </is>
      </c>
      <c r="C176" s="4" t="inlineStr">
        <is>
          <t>Salad</t>
        </is>
      </c>
      <c r="D176" s="4" t="inlineStr">
        <is>
          <t>American</t>
        </is>
      </c>
      <c r="E176" s="2" t="n">
        <v>3</v>
      </c>
      <c r="F176" s="2" t="n">
        <v>10</v>
      </c>
      <c r="G176" s="2" t="n">
        <v>12</v>
      </c>
      <c r="H176" s="2" t="n">
        <v>22</v>
      </c>
      <c r="I176" s="4" t="inlineStr">
        <is>
          <t>warm-brussels-sprout-salad-with-bacon-and-pecans.jpg</t>
        </is>
      </c>
      <c r="J176" s="3" t="inlineStr">
        <is>
          <t>Warm Brussels Sprout Salad with Bacon &amp; Pecans, healthy food photography, plated, natural light</t>
        </is>
      </c>
      <c r="K176" s="4" t="inlineStr"/>
      <c r="L176" s="3" t="inlineStr">
        <is>
          <t>Brussels sprouts — 400 g (14.1 oz)
Bacon — 45 g (1.6 oz) [3 slices]
Pecans — 30 g (1.1 oz)
Parmesan, grated — 30 g (1.1 oz)
Apple cider vinegar — 15 g (0.5 oz)
Dijon mustard — 8 g (0.3 oz)
Extra-virgin olive oil — 12 g (0.4 oz)
Shallot — 30 g (1.1 oz)</t>
        </is>
      </c>
      <c r="M176" s="4" t="inlineStr">
        <is>
          <t>[{"ingredient_id": "brussels_sprouts", "name": "Brussels sprouts", "grams": 400.0, "note": ""}, {"ingredient_id": "bacon", "name": "Bacon", "grams": 45.0, "note": "3 slices"}, {"ingredient_id": "pecans", "name": "Pecans", "grams": 30.0, "note": ""}, {"ingredient_id": "parmesan", "name": "Parmesan, grated", "grams": 30.0, "note": ""}, {"ingredient_id": "apple_cider_vinegar", "name": "Apple cider vinegar", "grams": 15.0, "note": ""}, {"ingredient_id": "dijon", "name": "Dijon mustard", "grams": 8.0, "note": ""}, {"ingredient_id": "olive_oil", "name": "Extra-virgin olive oil", "grams": 12.0, "note": ""}, {"ingredient_id": "shallot", "name": "Shallot", "grams": 30.0, "note": ""}]</t>
        </is>
      </c>
      <c r="N176" s="2" t="n">
        <v>296</v>
      </c>
      <c r="O176" s="5" t="n">
        <v>15.1</v>
      </c>
      <c r="P176" s="5" t="n">
        <v>20.9</v>
      </c>
      <c r="Q176" s="5" t="n">
        <v>15.9</v>
      </c>
      <c r="R176" s="5" t="n">
        <v>6.4</v>
      </c>
      <c r="S176" s="5" t="n">
        <v>9.5</v>
      </c>
      <c r="T176" s="2" t="n">
        <v>14</v>
      </c>
      <c r="U176" s="2" t="inlineStr">
        <is>
          <t>low</t>
        </is>
      </c>
      <c r="V176" s="5" t="n">
        <v>1.3</v>
      </c>
      <c r="W176" s="2" t="inlineStr">
        <is>
          <t>low</t>
        </is>
      </c>
      <c r="X176" s="3" t="inlineStr"/>
      <c r="Y176" s="3" t="inlineStr">
        <is>
          <t>0% of this dish's available carbohydrate comes from ingredients with a published, measured GI; the rest uses conventional placeholders (see Ingredients sheet)</t>
        </is>
      </c>
      <c r="Z176" s="2" t="n">
        <v>0</v>
      </c>
      <c r="AA176" s="3" t="inlineStr">
        <is>
          <t>gluten-free, low-carb</t>
        </is>
      </c>
      <c r="AB176" s="3" t="inlineStr">
        <is>
          <t>1. Cook bacon until crisp; crumble. Sauté shallot and shredded sprouts in the pan with olive oil 6 minutes.
2. Whisk vinegar and Dijon into the pan.
3. Toss with pecans, bacon and parmesan.</t>
        </is>
      </c>
      <c r="AC176" s="4" t="inlineStr">
        <is>
          <t>["Cook bacon until crisp; crumble. Sauté shallot and shredded sprouts in the pan with olive oil 6 minutes.", "Whisk vinegar and Dijon into the pan.", "Toss with pecans, bacon and parmesan."]</t>
        </is>
      </c>
    </row>
    <row r="177" ht="96" customHeight="1">
      <c r="A177" s="2" t="inlineStr">
        <is>
          <t>DB-0176</t>
        </is>
      </c>
      <c r="B177" s="3" t="inlineStr">
        <is>
          <t>Chicken &amp; Avocado Salad with Cilantro Lime</t>
        </is>
      </c>
      <c r="C177" s="4" t="inlineStr">
        <is>
          <t>Salad</t>
        </is>
      </c>
      <c r="D177" s="4" t="inlineStr">
        <is>
          <t>Mexican</t>
        </is>
      </c>
      <c r="E177" s="2" t="n">
        <v>2</v>
      </c>
      <c r="F177" s="2" t="n">
        <v>10</v>
      </c>
      <c r="G177" s="2" t="n">
        <v>0</v>
      </c>
      <c r="H177" s="2" t="n">
        <v>10</v>
      </c>
      <c r="I177" s="4" t="inlineStr">
        <is>
          <t>chicken-and-avocado-salad-with-cilantro-lime.jpg</t>
        </is>
      </c>
      <c r="J177" s="3" t="inlineStr">
        <is>
          <t>Chicken &amp; Avocado Salad with Cilantro Lime, healthy food photography, plated, natural light</t>
        </is>
      </c>
      <c r="K177" s="4" t="inlineStr"/>
      <c r="L177" s="3" t="inlineStr">
        <is>
          <t>Rotisserie chicken, skin removed — 280 g (9.9 oz)
Avocado — 120 g (4.2 oz)
Fresh cilantro — 12 g (0.4 oz)
Lime juice — 20 g (0.7 oz)
Red onion — 30 g (1.1 oz)
Jalapeño — 10 g (0.4 oz)
Greek yogurt, plain 2% — 40 g (1.4 oz)
Romaine lettuce — 150 g (5.3 oz)
Salt — 1 g (0.0 oz)</t>
        </is>
      </c>
      <c r="M177" s="4" t="inlineStr">
        <is>
          <t>[{"ingredient_id": "rotisserie_chicken", "name": "Rotisserie chicken, skin removed", "grams": 280.0, "note": ""}, {"ingredient_id": "avocado", "name": "Avocado", "grams": 120.0, "note": ""}, {"ingredient_id": "cilantro", "name": "Fresh cilantro", "grams": 12.0, "note": ""}, {"ingredient_id": "lime_juice", "name": "Lime juice", "grams": 20.0, "note": ""}, {"ingredient_id": "red_onion", "name": "Red onion", "grams": 30.0, "note": ""}, {"ingredient_id": "jalapeno", "name": "Jalapeño", "grams": 10.0, "note": ""}, {"ingredient_id": "greek_yogurt", "name": "Greek yogurt, plain 2%", "grams": 40.0, "note": ""}, {"ingredient_id": "romaine", "name": "Romaine lettuce", "grams": 150.0, "note": ""}, {"ingredient_id": "salt", "name": "Salt", "grams": 1.0, "note": ""}]</t>
        </is>
      </c>
      <c r="N177" s="2" t="n">
        <v>359</v>
      </c>
      <c r="O177" s="5" t="n">
        <v>36.7</v>
      </c>
      <c r="P177" s="5" t="n">
        <v>19.5</v>
      </c>
      <c r="Q177" s="5" t="n">
        <v>11.2</v>
      </c>
      <c r="R177" s="5" t="n">
        <v>6.2</v>
      </c>
      <c r="S177" s="5" t="n">
        <v>5</v>
      </c>
      <c r="T177" s="2" t="n">
        <v>15</v>
      </c>
      <c r="U177" s="2" t="inlineStr">
        <is>
          <t>low</t>
        </is>
      </c>
      <c r="V177" s="5" t="n">
        <v>0.7</v>
      </c>
      <c r="W177" s="2" t="inlineStr">
        <is>
          <t>low</t>
        </is>
      </c>
      <c r="X177" s="3" t="inlineStr">
        <is>
          <t>Negligible carbohydrate (&lt;5 g net/serving): GI has little practical meaning, glycemic load is what matters.</t>
        </is>
      </c>
      <c r="Y177" s="3" t="inlineStr">
        <is>
          <t>16% of this dish's available carbohydrate comes from ingredients with a published, measured GI; the rest uses conventional placeholders (see Ingredients sheet)</t>
        </is>
      </c>
      <c r="Z177" s="2" t="n">
        <v>16</v>
      </c>
      <c r="AA177" s="3" t="inlineStr">
        <is>
          <t>gluten-free, nut-free, low-carb, high-protein, no-cook</t>
        </is>
      </c>
      <c r="AB177" s="3" t="inlineStr">
        <is>
          <t>1. Mash half the avocado with lime juice, yogurt and salt.
2. Fold in shredded chicken, diced avocado, onion, jalapeño and cilantro.
3. Serve over romaine.</t>
        </is>
      </c>
      <c r="AC177" s="4" t="inlineStr">
        <is>
          <t>["Mash half the avocado with lime juice, yogurt and salt.", "Fold in shredded chicken, diced avocado, onion, jalapeño and cilantro.", "Serve over romaine."]</t>
        </is>
      </c>
    </row>
    <row r="178" ht="96" customHeight="1">
      <c r="A178" s="2" t="inlineStr">
        <is>
          <t>DB-0177</t>
        </is>
      </c>
      <c r="B178" s="3" t="inlineStr">
        <is>
          <t>Quinoa Greek Salad</t>
        </is>
      </c>
      <c r="C178" s="4" t="inlineStr">
        <is>
          <t>Salad</t>
        </is>
      </c>
      <c r="D178" s="4" t="inlineStr">
        <is>
          <t>Greek</t>
        </is>
      </c>
      <c r="E178" s="2" t="n">
        <v>4</v>
      </c>
      <c r="F178" s="2" t="n">
        <v>15</v>
      </c>
      <c r="G178" s="2" t="n">
        <v>0</v>
      </c>
      <c r="H178" s="2" t="n">
        <v>15</v>
      </c>
      <c r="I178" s="4" t="inlineStr">
        <is>
          <t>quinoa-greek-salad.jpg</t>
        </is>
      </c>
      <c r="J178" s="3" t="inlineStr">
        <is>
          <t>Quinoa Greek Salad, healthy food photography, plated, natural light</t>
        </is>
      </c>
      <c r="K178" s="4" t="inlineStr"/>
      <c r="L178" s="3" t="inlineStr">
        <is>
          <t>Quinoa, cooked — 400 g (14.1 oz)
Cucumber — 200 g (7.1 oz)
Cherry tomatoes — 200 g (7.1 oz)
Red onion — 50 g (1.8 oz)
Olives (kalamata/green) — 50 g (1.8 oz)
Feta cheese — 80 g (2.8 oz)
Fresh parsley — 15 g (0.5 oz)
Extra-virgin olive oil — 30 g (1.1 oz)
Lemon juice — 25 g (0.9 oz)
Dried oregano — 2 g (0.1 oz)
Salt — 2 g (0.1 oz)</t>
        </is>
      </c>
      <c r="M178" s="4" t="inlineStr">
        <is>
          <t>[{"ingredient_id": "quinoa", "name": "Quinoa, cooked", "grams": 400.0, "note": ""}, {"ingredient_id": "cucumber", "name": "Cucumber", "grams": 200.0, "note": ""}, {"ingredient_id": "cherry_tomato", "name": "Cherry tomatoes", "grams": 200.0, "note": ""}, {"ingredient_id": "red_onion", "name": "Red onion", "grams": 50.0, "note": ""}, {"ingredient_id": "olives", "name": "Olives (kalamata/green)", "grams": 50.0, "note": ""}, {"ingredient_id": "feta", "name": "Feta cheese", "grams": 80.0, "note": ""}, {"ingredient_id": "parsley", "name": "Fresh parsley", "grams": 15.0, "note": ""}, {"ingredient_id": "olive_oil", "name": "Extra-virgin olive oil", "grams": 30.0, "note": ""}, {"ingredient_id": "lemon_juice", "name": "Lemon juice", "grams": 25.0, "note": ""}, {"ingredient_id": "oregano", "name": "Dried oregano", "grams": 2.0, "note": ""}, {"ingredient_id": "salt", "name": "Salt", "grams": 2.0, "note": ""}]</t>
        </is>
      </c>
      <c r="N178" s="2" t="n">
        <v>279</v>
      </c>
      <c r="O178" s="5" t="n">
        <v>8.4</v>
      </c>
      <c r="P178" s="5" t="n">
        <v>15.2</v>
      </c>
      <c r="Q178" s="5" t="n">
        <v>28.5</v>
      </c>
      <c r="R178" s="5" t="n">
        <v>4.6</v>
      </c>
      <c r="S178" s="5" t="n">
        <v>23.9</v>
      </c>
      <c r="T178" s="2" t="n">
        <v>44</v>
      </c>
      <c r="U178" s="2" t="inlineStr">
        <is>
          <t>low</t>
        </is>
      </c>
      <c r="V178" s="5" t="n">
        <v>10.5</v>
      </c>
      <c r="W178" s="2" t="inlineStr">
        <is>
          <t>medium</t>
        </is>
      </c>
      <c r="X178" s="3" t="inlineStr"/>
      <c r="Y178" s="3" t="inlineStr">
        <is>
          <t>76% of this dish's available carbohydrate comes from ingredients with a published, measured GI; the rest uses conventional placeholders (see Ingredients sheet)</t>
        </is>
      </c>
      <c r="Z178" s="2" t="n">
        <v>76</v>
      </c>
      <c r="AA178" s="3" t="inlineStr">
        <is>
          <t>vegetarian, gluten-free, nut-free, make-ahead</t>
        </is>
      </c>
      <c r="AB178" s="3" t="inlineStr">
        <is>
          <t>1. Combine quinoa, cucumber, tomatoes, onion, olives and parsley.
2. Dress with olive oil, lemon, oregano and salt.
3. Fold in feta; chill.</t>
        </is>
      </c>
      <c r="AC178" s="4" t="inlineStr">
        <is>
          <t>["Combine quinoa, cucumber, tomatoes, onion, olives and parsley.", "Dress with olive oil, lemon, oregano and salt.", "Fold in feta; chill."]</t>
        </is>
      </c>
    </row>
    <row r="179" ht="96" customHeight="1">
      <c r="A179" s="2" t="inlineStr">
        <is>
          <t>DB-0178</t>
        </is>
      </c>
      <c r="B179" s="3" t="inlineStr">
        <is>
          <t>Blackened Shrimp Caesar with Kale</t>
        </is>
      </c>
      <c r="C179" s="4" t="inlineStr">
        <is>
          <t>Salad</t>
        </is>
      </c>
      <c r="D179" s="4" t="inlineStr">
        <is>
          <t>Cajun</t>
        </is>
      </c>
      <c r="E179" s="2" t="n">
        <v>2</v>
      </c>
      <c r="F179" s="2" t="n">
        <v>10</v>
      </c>
      <c r="G179" s="2" t="n">
        <v>6</v>
      </c>
      <c r="H179" s="2" t="n">
        <v>16</v>
      </c>
      <c r="I179" s="4" t="inlineStr">
        <is>
          <t>blackened-shrimp-caesar-with-kale.jpg</t>
        </is>
      </c>
      <c r="J179" s="3" t="inlineStr">
        <is>
          <t>Blackened Shrimp Caesar with Kale, healthy food photography, plated, natural light</t>
        </is>
      </c>
      <c r="K179" s="4" t="inlineStr"/>
      <c r="L179" s="3" t="inlineStr">
        <is>
          <t>Shrimp, peeled — 300 g (10.6 oz)
Cajun seasoning — 5 g (0.2 oz)
Kale — 200 g (7.1 oz)
Parmesan, grated — 30 g (1.1 oz)
Greek yogurt, plain 2% — 70 g (2.5 oz)
Lemon juice — 15 g (0.5 oz)
Dijon mustard — 6 g (0.2 oz)
Garlic — 3 g (0.1 oz)
Extra-virgin olive oil — 15 g (0.5 oz)
Pumpkin seeds (pepitas) — 15 g (0.5 oz)</t>
        </is>
      </c>
      <c r="M179" s="4" t="inlineStr">
        <is>
          <t>[{"ingredient_id": "shrimp", "name": "Shrimp, peeled", "grams": 300.0, "note": ""}, {"ingredient_id": "cajun_seasoning", "name": "Cajun seasoning", "grams": 5.0, "note": ""}, {"ingredient_id": "kale", "name": "Kale", "grams": 200.0, "note": ""}, {"ingredient_id": "parmesan", "name": "Parmesan, grated", "grams": 30.0, "note": ""}, {"ingredient_id": "greek_yogurt", "name": "Greek yogurt, plain 2%", "grams": 70.0, "note": ""}, {"ingredient_id": "lemon_juice", "name": "Lemon juice", "grams": 15.0, "note": ""}, {"ingredient_id": "dijon", "name": "Dijon mustard", "grams": 6.0, "note": ""}, {"ingredient_id": "garlic", "name": "Garlic", "grams": 3.0, "note": ""}, {"ingredient_id": "olive_oil", "name": "Extra-virgin olive oil", "grams": 15.0, "note": ""}, {"ingredient_id": "pumpkin_seeds", "name": "Pumpkin seeds (pepitas)", "grams": 15.0, "note": ""}]</t>
        </is>
      </c>
      <c r="N179" s="2" t="n">
        <v>388</v>
      </c>
      <c r="O179" s="5" t="n">
        <v>46.2</v>
      </c>
      <c r="P179" s="5" t="n">
        <v>18.2</v>
      </c>
      <c r="Q179" s="5" t="n">
        <v>14.2</v>
      </c>
      <c r="R179" s="5" t="n">
        <v>4.8</v>
      </c>
      <c r="S179" s="5" t="n">
        <v>9.300000000000001</v>
      </c>
      <c r="T179" s="2" t="n">
        <v>14</v>
      </c>
      <c r="U179" s="2" t="inlineStr">
        <is>
          <t>low</t>
        </is>
      </c>
      <c r="V179" s="5" t="n">
        <v>1.3</v>
      </c>
      <c r="W179" s="2" t="inlineStr">
        <is>
          <t>low</t>
        </is>
      </c>
      <c r="X179" s="3" t="inlineStr"/>
      <c r="Y179" s="3" t="inlineStr">
        <is>
          <t>15% of this dish's available carbohydrate comes from ingredients with a published, measured GI; the rest uses conventional placeholders (see Ingredients sheet)</t>
        </is>
      </c>
      <c r="Z179" s="2" t="n">
        <v>15</v>
      </c>
      <c r="AA179" s="3" t="inlineStr">
        <is>
          <t>pescatarian, gluten-free, nut-free, low-carb, high-protein</t>
        </is>
      </c>
      <c r="AB179" s="3" t="inlineStr">
        <is>
          <t>1. Toss shrimp in Cajun seasoning and sear in half the oil 2 minutes per side.
2. Whisk yogurt, lemon, Dijon, garlic and remaining oil; massage into chopped kale.
3. Top with shrimp, parmesan and pumpkin seeds.</t>
        </is>
      </c>
      <c r="AC179" s="4" t="inlineStr">
        <is>
          <t>["Toss shrimp in Cajun seasoning and sear in half the oil 2 minutes per side.", "Whisk yogurt, lemon, Dijon, garlic and remaining oil; massage into chopped kale.", "Top with shrimp, parmesan and pumpkin seeds."]</t>
        </is>
      </c>
    </row>
    <row r="180" ht="96" customHeight="1">
      <c r="A180" s="2" t="inlineStr">
        <is>
          <t>DB-0179</t>
        </is>
      </c>
      <c r="B180" s="3" t="inlineStr">
        <is>
          <t>Arugula, Pear &amp; Walnut Salad with Chicken</t>
        </is>
      </c>
      <c r="C180" s="4" t="inlineStr">
        <is>
          <t>Salad</t>
        </is>
      </c>
      <c r="D180" s="4" t="inlineStr">
        <is>
          <t>American</t>
        </is>
      </c>
      <c r="E180" s="2" t="n">
        <v>2</v>
      </c>
      <c r="F180" s="2" t="n">
        <v>10</v>
      </c>
      <c r="G180" s="2" t="n">
        <v>12</v>
      </c>
      <c r="H180" s="2" t="n">
        <v>22</v>
      </c>
      <c r="I180" s="4" t="inlineStr">
        <is>
          <t>arugula-pear-and-walnut-salad-with-chicken.jpg</t>
        </is>
      </c>
      <c r="J180" s="3" t="inlineStr">
        <is>
          <t>Arugula, Pear &amp; Walnut Salad with Chicken, healthy food photography, plated, natural light</t>
        </is>
      </c>
      <c r="K180" s="4" t="inlineStr"/>
      <c r="L180" s="3" t="inlineStr">
        <is>
          <t>Chicken breast, skinless — 280 g (9.9 oz)
Arugula — 120 g (4.2 oz)
Pear — 150 g (5.3 oz)
Walnuts — 30 g (1.1 oz)
Blue cheese, crumbled — 30 g (1.1 oz)
Extra-virgin olive oil — 15 g (0.5 oz)
Apple cider vinegar — 10 g (0.4 oz)
Dijon mustard — 5 g (0.2 oz)</t>
        </is>
      </c>
      <c r="M180" s="4" t="inlineStr">
        <is>
          <t>[{"ingredient_id": "chicken_breast", "name": "Chicken breast, skinless", "grams": 280.0, "note": ""}, {"ingredient_id": "arugula", "name": "Arugula", "grams": 120.0, "note": ""}, {"ingredient_id": "pear", "name": "Pear", "grams": 150.0, "note": ""}, {"ingredient_id": "walnuts", "name": "Walnuts", "grams": 30.0, "note": ""}, {"ingredient_id": "blue_cheese", "name": "Blue cheese, crumbled", "grams": 30.0, "note": ""}, {"ingredient_id": "olive_oil", "name": "Extra-virgin olive oil", "grams": 15.0, "note": ""}, {"ingredient_id": "apple_cider_vinegar", "name": "Apple cider vinegar", "grams": 10.0, "note": ""}, {"ingredient_id": "dijon", "name": "Dijon mustard", "grams": 5.0, "note": ""}]</t>
        </is>
      </c>
      <c r="N180" s="2" t="n">
        <v>446</v>
      </c>
      <c r="O180" s="5" t="n">
        <v>38.9</v>
      </c>
      <c r="P180" s="5" t="n">
        <v>25.8</v>
      </c>
      <c r="Q180" s="5" t="n">
        <v>16.1</v>
      </c>
      <c r="R180" s="5" t="n">
        <v>4.4</v>
      </c>
      <c r="S180" s="5" t="n">
        <v>11.7</v>
      </c>
      <c r="T180" s="2" t="n">
        <v>24</v>
      </c>
      <c r="U180" s="2" t="inlineStr">
        <is>
          <t>low</t>
        </is>
      </c>
      <c r="V180" s="5" t="n">
        <v>2.8</v>
      </c>
      <c r="W180" s="2" t="inlineStr">
        <is>
          <t>low</t>
        </is>
      </c>
      <c r="X180" s="3" t="inlineStr"/>
      <c r="Y180" s="3" t="inlineStr">
        <is>
          <t>76% of this dish's available carbohydrate comes from ingredients with a published, measured GI; the rest uses conventional placeholders (see Ingredients sheet)</t>
        </is>
      </c>
      <c r="Z180" s="2" t="n">
        <v>76</v>
      </c>
      <c r="AA180" s="3" t="inlineStr">
        <is>
          <t>gluten-free, low-carb, high-protein</t>
        </is>
      </c>
      <c r="AB180" s="3" t="inlineStr">
        <is>
          <t>1. Season and pan-sear chicken 6 minutes per side; slice.
2. Whisk oil, vinegar and Dijon.
3. Toss arugula and sliced pear with dressing; top with chicken, walnuts and blue cheese.</t>
        </is>
      </c>
      <c r="AC180" s="4" t="inlineStr">
        <is>
          <t>["Season and pan-sear chicken 6 minutes per side; slice.", "Whisk oil, vinegar and Dijon.", "Toss arugula and sliced pear with dressing; top with chicken, walnuts and blue cheese."]</t>
        </is>
      </c>
    </row>
    <row r="181" ht="96" customHeight="1">
      <c r="A181" s="2" t="inlineStr">
        <is>
          <t>DB-0180</t>
        </is>
      </c>
      <c r="B181" s="3" t="inlineStr">
        <is>
          <t>Edamame &amp; Cucumber Sesame Salad</t>
        </is>
      </c>
      <c r="C181" s="4" t="inlineStr">
        <is>
          <t>Salad</t>
        </is>
      </c>
      <c r="D181" s="4" t="inlineStr">
        <is>
          <t>Japanese</t>
        </is>
      </c>
      <c r="E181" s="2" t="n">
        <v>3</v>
      </c>
      <c r="F181" s="2" t="n">
        <v>10</v>
      </c>
      <c r="G181" s="2" t="n">
        <v>0</v>
      </c>
      <c r="H181" s="2" t="n">
        <v>10</v>
      </c>
      <c r="I181" s="4" t="inlineStr">
        <is>
          <t>edamame-and-cucumber-sesame-salad.jpg</t>
        </is>
      </c>
      <c r="J181" s="3" t="inlineStr">
        <is>
          <t>Edamame &amp; Cucumber Sesame Salad, healthy food photography, plated, natural light</t>
        </is>
      </c>
      <c r="K181" s="4" t="inlineStr"/>
      <c r="L181" s="3" t="inlineStr">
        <is>
          <t>Edamame, shelled, cooked — 300 g (10.6 oz)
Cucumber — 250 g (8.8 oz)
Radishes — 60 g (2.1 oz)
Green onions (scallions) — 20 g (0.7 oz)
Sesame seeds — 8 g (0.3 oz)
Rice vinegar, unseasoned — 20 g (0.7 oz)
Tamari (gluten-free soy sauce) — 12 g (0.4 oz)
Toasted sesame oil — 8 g (0.3 oz)
Fresh ginger — 4 g (0.1 oz)</t>
        </is>
      </c>
      <c r="M181" s="4" t="inlineStr">
        <is>
          <t>[{"ingredient_id": "edamame", "name": "Edamame, shelled, cooked", "grams": 300.0, "note": ""}, {"ingredient_id": "cucumber", "name": "Cucumber", "grams": 250.0, "note": ""}, {"ingredient_id": "radish", "name": "Radishes", "grams": 60.0, "note": ""}, {"ingredient_id": "green_onion", "name": "Green onions (scallions)", "grams": 20.0, "note": ""}, {"ingredient_id": "sesame_seeds", "name": "Sesame seeds", "grams": 8.0, "note": ""}, {"ingredient_id": "rice_vinegar", "name": "Rice vinegar, unseasoned", "grams": 20.0, "note": ""}, {"ingredient_id": "tamari", "name": "Tamari (gluten-free soy sauce)", "grams": 12.0, "note": ""}, {"ingredient_id": "sesame_oil", "name": "Toasted sesame oil", "grams": 8.0, "note": ""}, {"ingredient_id": "ginger", "name": "Fresh ginger", "grams": 4.0, "note": ""}]</t>
        </is>
      </c>
      <c r="N181" s="2" t="n">
        <v>182</v>
      </c>
      <c r="O181" s="5" t="n">
        <v>13.7</v>
      </c>
      <c r="P181" s="5" t="n">
        <v>9.1</v>
      </c>
      <c r="Q181" s="5" t="n">
        <v>14.3</v>
      </c>
      <c r="R181" s="5" t="n">
        <v>6.3</v>
      </c>
      <c r="S181" s="5" t="n">
        <v>8</v>
      </c>
      <c r="T181" s="2" t="n">
        <v>17</v>
      </c>
      <c r="U181" s="2" t="inlineStr">
        <is>
          <t>low</t>
        </is>
      </c>
      <c r="V181" s="5" t="n">
        <v>1.4</v>
      </c>
      <c r="W181" s="2" t="inlineStr">
        <is>
          <t>low</t>
        </is>
      </c>
      <c r="X181" s="3" t="inlineStr"/>
      <c r="Y181" s="3" t="inlineStr">
        <is>
          <t>0% of this dish's available carbohydrate comes from ingredients with a published, measured GI; the rest uses conventional placeholders (see Ingredients sheet)</t>
        </is>
      </c>
      <c r="Z181" s="2" t="n">
        <v>0</v>
      </c>
      <c r="AA181" s="3" t="inlineStr">
        <is>
          <t>vegan, gluten-free, dairy-free, nut-free, low-carb, no-cook</t>
        </is>
      </c>
      <c r="AB181" s="3" t="inlineStr">
        <is>
          <t>1. Slice cucumber and radish thin.
2. Whisk rice vinegar, tamari, sesame oil and ginger.
3. Toss with edamame and green onion; sprinkle sesame seeds.</t>
        </is>
      </c>
      <c r="AC181" s="4" t="inlineStr">
        <is>
          <t>["Slice cucumber and radish thin.", "Whisk rice vinegar, tamari, sesame oil and ginger.", "Toss with edamame and green onion; sprinkle sesame seeds."]</t>
        </is>
      </c>
    </row>
    <row r="182" ht="96" customHeight="1">
      <c r="A182" s="2" t="inlineStr">
        <is>
          <t>DB-0181</t>
        </is>
      </c>
      <c r="B182" s="3" t="inlineStr">
        <is>
          <t>BBQ Chicken Chopped Salad (No-Sugar BBQ)</t>
        </is>
      </c>
      <c r="C182" s="4" t="inlineStr">
        <is>
          <t>Salad</t>
        </is>
      </c>
      <c r="D182" s="4" t="inlineStr">
        <is>
          <t>American</t>
        </is>
      </c>
      <c r="E182" s="2" t="n">
        <v>3</v>
      </c>
      <c r="F182" s="2" t="n">
        <v>15</v>
      </c>
      <c r="G182" s="2" t="n">
        <v>12</v>
      </c>
      <c r="H182" s="2" t="n">
        <v>27</v>
      </c>
      <c r="I182" s="4" t="inlineStr">
        <is>
          <t>bbq-chicken-chopped-salad-no-sugar-bbq.jpg</t>
        </is>
      </c>
      <c r="J182" s="3" t="inlineStr">
        <is>
          <t>BBQ Chicken Chopped Salad (No-Sugar BBQ), healthy food photography, plated, natural light</t>
        </is>
      </c>
      <c r="K182" s="4" t="inlineStr"/>
      <c r="L182" s="3" t="inlineStr">
        <is>
          <t>Chicken breast, skinless — 400 g (14.1 oz)
Tomato paste — 30 g (1.1 oz)
Apple cider vinegar — 15 g (0.5 oz)
Smoked paprika — 3 g (0.1 oz)
Monk fruit/erythritol sweetener — 6 g (0.2 oz)
Romaine lettuce — 250 g (8.8 oz)
Black beans, cooked — 150 g (5.3 oz)
Sweet corn kernels — 80 g (2.8 oz)
Cherry tomatoes — 120 g (4.2 oz)
Cheddar cheese — 40 g (1.4 oz)
Greek yogurt, plain 2% — 80 g (2.8 oz)
Ranch seasoning (dry) — 4 g (0.1 oz)
Extra-virgin olive oil — 8 g (0.3 oz)</t>
        </is>
      </c>
      <c r="M182" s="4" t="inlineStr">
        <is>
          <t>[{"ingredient_id": "chicken_breast", "name": "Chicken breast, skinless", "grams": 400.0, "note": ""}, {"ingredient_id": "tomato_paste", "name": "Tomato paste", "grams": 30.0, "note": ""}, {"ingredient_id": "apple_cider_vinegar", "name": "Apple cider vinegar", "grams": 15.0, "note": ""}, {"ingredient_id": "smoked_paprika", "name": "Smoked paprika", "grams": 3.0, "note": ""}, {"ingredient_id": "monk_fruit_sweetener", "name": "Monk fruit/erythritol sweetener", "grams": 6.0, "note": ""}, {"ingredient_id": "romaine", "name": "Romaine lettuce", "grams": 250.0, "note": ""}, {"ingredient_id": "black_beans", "name": "Black beans, cooked", "grams": 150.0, "note": ""}, {"ingredient_id": "corn", "name": "Sweet corn kernels", "grams": 80.0, "note": ""}, {"ingredient_id": "cherry_tomato", "name": "Cherry tomatoes", "grams": 120.0, "note": ""}, {"ingredient_id": "cheddar", "name": "Cheddar cheese", "grams": 40.0, "note": ""}, {"ingredient_id": "greek_yogurt", "name": "Greek yogurt, plain 2%", "grams": 80.0, "note": ""}, {"ingredient_id": "ranch_seasoning", "name": "Ranch seasoning (dry)", "grams": 4.0, "note": ""}, {"ingredient_id": "olive_oil", "name": "Extra-virgin olive oil", "grams": 8.0, "note": ""}]</t>
        </is>
      </c>
      <c r="N182" s="2" t="n">
        <v>383</v>
      </c>
      <c r="O182" s="5" t="n">
        <v>43.1</v>
      </c>
      <c r="P182" s="5" t="n">
        <v>12.3</v>
      </c>
      <c r="Q182" s="5" t="n">
        <v>25.7</v>
      </c>
      <c r="R182" s="5" t="n">
        <v>8.4</v>
      </c>
      <c r="S182" s="5" t="n">
        <v>17.3</v>
      </c>
      <c r="T182" s="2" t="n">
        <v>32</v>
      </c>
      <c r="U182" s="2" t="inlineStr">
        <is>
          <t>low</t>
        </is>
      </c>
      <c r="V182" s="5" t="n">
        <v>5.5</v>
      </c>
      <c r="W182" s="2" t="inlineStr">
        <is>
          <t>low</t>
        </is>
      </c>
      <c r="X182" s="3" t="inlineStr"/>
      <c r="Y182" s="3" t="inlineStr">
        <is>
          <t>75% of this dish's available carbohydrate comes from ingredients with a published, measured GI; the rest uses conventional placeholders (see Ingredients sheet)</t>
        </is>
      </c>
      <c r="Z182" s="2" t="n">
        <v>75</v>
      </c>
      <c r="AA182" s="3" t="inlineStr">
        <is>
          <t>gluten-free, nut-free, high-protein, high-fiber</t>
        </is>
      </c>
      <c r="AB182" s="3" t="inlineStr">
        <is>
          <t>1. Mix tomato paste, vinegar, paprika and sweetener into a quick BBQ sauce; brush over chicken and grill 6 minutes per side; slice.
2. Mix yogurt with ranch seasoning.
3. Toss romaine, beans, corn, tomatoes and cheddar; top with chicken and ranch.</t>
        </is>
      </c>
      <c r="AC182" s="4" t="inlineStr">
        <is>
          <t>["Mix tomato paste, vinegar, paprika and sweetener into a quick BBQ sauce; brush over chicken and grill 6 minutes per side; slice.", "Mix yogurt with ranch seasoning.", "Toss romaine, beans, corn, tomatoes and cheddar; top with chicken and ranch."]</t>
        </is>
      </c>
    </row>
    <row r="183" ht="96" customHeight="1">
      <c r="A183" s="2" t="inlineStr">
        <is>
          <t>DB-0182</t>
        </is>
      </c>
      <c r="B183" s="3" t="inlineStr">
        <is>
          <t>Smoked Mackerel &amp; Beet Salad</t>
        </is>
      </c>
      <c r="C183" s="4" t="inlineStr">
        <is>
          <t>Salad</t>
        </is>
      </c>
      <c r="D183" s="4" t="inlineStr">
        <is>
          <t>Scandinavian</t>
        </is>
      </c>
      <c r="E183" s="2" t="n">
        <v>2</v>
      </c>
      <c r="F183" s="2" t="n">
        <v>10</v>
      </c>
      <c r="G183" s="2" t="n">
        <v>0</v>
      </c>
      <c r="H183" s="2" t="n">
        <v>10</v>
      </c>
      <c r="I183" s="4" t="inlineStr">
        <is>
          <t>smoked-mackerel-and-beet-salad.jpg</t>
        </is>
      </c>
      <c r="J183" s="3" t="inlineStr">
        <is>
          <t>Smoked Mackerel &amp; Beet Salad, healthy food photography, plated, natural light</t>
        </is>
      </c>
      <c r="K183" s="4" t="inlineStr"/>
      <c r="L183" s="3" t="inlineStr">
        <is>
          <t>Mackerel fillet — 200 g (7.1 oz) [smoked]
Beets — 150 g (5.3 oz) [cooked]
Mixed salad greens — 120 g (4.2 oz)
Greek yogurt, plain 2% — 60 g (2.1 oz)
Fresh dill — 6 g (0.2 oz)
Lemon juice — 12 g (0.4 oz)
Red onion — 30 g (1.1 oz)
Extra-virgin olive oil — 10 g (0.4 oz)</t>
        </is>
      </c>
      <c r="M183" s="4" t="inlineStr">
        <is>
          <t>[{"ingredient_id": "mackerel", "name": "Mackerel fillet", "grams": 200.0, "note": "smoked"}, {"ingredient_id": "beet", "name": "Beets", "grams": 150.0, "note": "cooked"}, {"ingredient_id": "mixed_greens", "name": "Mixed salad greens", "grams": 120.0, "note": ""}, {"ingredient_id": "greek_yogurt", "name": "Greek yogurt, plain 2%", "grams": 60.0, "note": ""}, {"ingredient_id": "dill", "name": "Fresh dill", "grams": 6.0, "note": ""}, {"ingredient_id": "lemon_juice", "name": "Lemon juice", "grams": 12.0, "note": ""}, {"ingredient_id": "red_onion", "name": "Red onion", "grams": 30.0, "note": ""}, {"ingredient_id": "olive_oil", "name": "Extra-virgin olive oil", "grams": 10.0, "note": ""}]</t>
        </is>
      </c>
      <c r="N183" s="2" t="n">
        <v>324</v>
      </c>
      <c r="O183" s="5" t="n">
        <v>24.7</v>
      </c>
      <c r="P183" s="5" t="n">
        <v>20</v>
      </c>
      <c r="Q183" s="5" t="n">
        <v>12.5</v>
      </c>
      <c r="R183" s="5" t="n">
        <v>3.6</v>
      </c>
      <c r="S183" s="5" t="n">
        <v>8.9</v>
      </c>
      <c r="T183" s="2" t="n">
        <v>43</v>
      </c>
      <c r="U183" s="2" t="inlineStr">
        <is>
          <t>low</t>
        </is>
      </c>
      <c r="V183" s="5" t="n">
        <v>3.8</v>
      </c>
      <c r="W183" s="2" t="inlineStr">
        <is>
          <t>low</t>
        </is>
      </c>
      <c r="X183" s="3" t="inlineStr"/>
      <c r="Y183" s="3" t="inlineStr">
        <is>
          <t>71% of this dish's available carbohydrate comes from ingredients with a published, measured GI; the rest uses conventional placeholders (see Ingredients sheet)</t>
        </is>
      </c>
      <c r="Z183" s="2" t="n">
        <v>71</v>
      </c>
      <c r="AA183" s="3" t="inlineStr">
        <is>
          <t>pescatarian, gluten-free, nut-free, low-carb, omega-3, no-cook</t>
        </is>
      </c>
      <c r="AB183" s="3" t="inlineStr">
        <is>
          <t>1. Flake mackerel and slice cooked beets.
2. Mix yogurt, dill and lemon.
3. Arrange greens, beets, onion and mackerel; drizzle yogurt and olive oil.</t>
        </is>
      </c>
      <c r="AC183" s="4" t="inlineStr">
        <is>
          <t>["Flake mackerel and slice cooked beets.", "Mix yogurt, dill and lemon.", "Arrange greens, beets, onion and mackerel; drizzle yogurt and olive oil."]</t>
        </is>
      </c>
    </row>
    <row r="184" ht="96" customHeight="1">
      <c r="A184" s="2" t="inlineStr">
        <is>
          <t>DB-0183</t>
        </is>
      </c>
      <c r="B184" s="3" t="inlineStr">
        <is>
          <t>Chopped Italian Chicken Salad</t>
        </is>
      </c>
      <c r="C184" s="4" t="inlineStr">
        <is>
          <t>Salad</t>
        </is>
      </c>
      <c r="D184" s="4" t="inlineStr">
        <is>
          <t>Italian</t>
        </is>
      </c>
      <c r="E184" s="2" t="n">
        <v>3</v>
      </c>
      <c r="F184" s="2" t="n">
        <v>15</v>
      </c>
      <c r="G184" s="2" t="n">
        <v>12</v>
      </c>
      <c r="H184" s="2" t="n">
        <v>27</v>
      </c>
      <c r="I184" s="4" t="inlineStr">
        <is>
          <t>chopped-italian-chicken-salad.jpg</t>
        </is>
      </c>
      <c r="J184" s="3" t="inlineStr">
        <is>
          <t>Chopped Italian Chicken Salad, healthy food photography, plated, natural light</t>
        </is>
      </c>
      <c r="K184" s="4" t="inlineStr"/>
      <c r="L184" s="3" t="inlineStr">
        <is>
          <t>Chicken breast, skinless — 400 g (14.1 oz)
Romaine lettuce — 200 g (7.1 oz)
Cucumber — 120 g (4.2 oz)
Cherry tomatoes — 150 g (5.3 oz)
Mozzarella, part-skim — 80 g (2.8 oz)
Chickpeas, cooked — 150 g (5.3 oz)
Fresh basil — 10 g (0.4 oz)
Extra-virgin olive oil — 25 g (0.9 oz)
Red wine vinegar — 15 g (0.5 oz)
Italian seasoning — 2 g (0.1 oz)</t>
        </is>
      </c>
      <c r="M184" s="4" t="inlineStr">
        <is>
          <t>[{"ingredient_id": "chicken_breast", "name": "Chicken breast, skinless", "grams": 400.0, "note": ""}, {"ingredient_id": "romaine", "name": "Romaine lettuce", "grams": 200.0, "note": ""}, {"ingredient_id": "cucumber", "name": "Cucumber", "grams": 120.0, "note": ""}, {"ingredient_id": "cherry_tomato", "name": "Cherry tomatoes", "grams": 150.0, "note": ""}, {"ingredient_id": "mozzarella", "name": "Mozzarella, part-skim", "grams": 80.0, "note": ""}, {"ingredient_id": "chickpeas", "name": "Chickpeas, cooked", "grams": 150.0, "note": ""}, {"ingredient_id": "basil", "name": "Fresh basil", "grams": 10.0, "note": ""}, {"ingredient_id": "olive_oil", "name": "Extra-virgin olive oil", "grams": 25.0, "note": ""}, {"ingredient_id": "red_wine_vinegar", "name": "Red wine vinegar", "grams": 15.0, "note": ""}, {"ingredient_id": "italian_seasoning", "name": "Italian seasoning", "grams": 2.0, "note": ""}]</t>
        </is>
      </c>
      <c r="N184" s="2" t="n">
        <v>413</v>
      </c>
      <c r="O184" s="5" t="n">
        <v>42.5</v>
      </c>
      <c r="P184" s="5" t="n">
        <v>17.8</v>
      </c>
      <c r="Q184" s="5" t="n">
        <v>20.5</v>
      </c>
      <c r="R184" s="5" t="n">
        <v>6.3</v>
      </c>
      <c r="S184" s="5" t="n">
        <v>14.1</v>
      </c>
      <c r="T184" s="2" t="n">
        <v>30</v>
      </c>
      <c r="U184" s="2" t="inlineStr">
        <is>
          <t>low</t>
        </is>
      </c>
      <c r="V184" s="5" t="n">
        <v>4.2</v>
      </c>
      <c r="W184" s="2" t="inlineStr">
        <is>
          <t>low</t>
        </is>
      </c>
      <c r="X184" s="3" t="inlineStr"/>
      <c r="Y184" s="3" t="inlineStr">
        <is>
          <t>69% of this dish's available carbohydrate comes from ingredients with a published, measured GI; the rest uses conventional placeholders (see Ingredients sheet)</t>
        </is>
      </c>
      <c r="Z184" s="2" t="n">
        <v>69</v>
      </c>
      <c r="AA184" s="3" t="inlineStr">
        <is>
          <t>gluten-free, nut-free, low-carb, high-protein</t>
        </is>
      </c>
      <c r="AB184" s="3" t="inlineStr">
        <is>
          <t>1. Season and grill chicken; dice.
2. Chop romaine, cucumber, tomatoes and mozzarella.
3. Toss with chickpeas, basil and the oil-vinegar-seasoning dressing.</t>
        </is>
      </c>
      <c r="AC184" s="4" t="inlineStr">
        <is>
          <t>["Season and grill chicken; dice.", "Chop romaine, cucumber, tomatoes and mozzarella.", "Toss with chickpeas, basil and the oil-vinegar-seasoning dressing."]</t>
        </is>
      </c>
    </row>
    <row r="185" ht="96" customHeight="1">
      <c r="A185" s="2" t="inlineStr">
        <is>
          <t>DB-0184</t>
        </is>
      </c>
      <c r="B185" s="3" t="inlineStr">
        <is>
          <t>Spicy Tuna Poke Bowl over Greens</t>
        </is>
      </c>
      <c r="C185" s="4" t="inlineStr">
        <is>
          <t>Salad</t>
        </is>
      </c>
      <c r="D185" s="4" t="inlineStr">
        <is>
          <t>Hawaiian</t>
        </is>
      </c>
      <c r="E185" s="2" t="n">
        <v>2</v>
      </c>
      <c r="F185" s="2" t="n">
        <v>15</v>
      </c>
      <c r="G185" s="2" t="n">
        <v>0</v>
      </c>
      <c r="H185" s="2" t="n">
        <v>15</v>
      </c>
      <c r="I185" s="4" t="inlineStr">
        <is>
          <t>spicy-tuna-poke-bowl-over-greens.jpg</t>
        </is>
      </c>
      <c r="J185" s="3" t="inlineStr">
        <is>
          <t>Spicy Tuna Poke Bowl over Greens, healthy food photography, plated, natural light</t>
        </is>
      </c>
      <c r="K185" s="4" t="inlineStr"/>
      <c r="L185" s="3" t="inlineStr">
        <is>
          <t>Tuna steak (ahi) — 300 g (10.6 oz) [sushi-grade]
Tamari (gluten-free soy sauce) — 15 g (0.5 oz)
Toasted sesame oil — 8 g (0.3 oz)
Sriracha — 8 g (0.3 oz)
Mayonnaise (avocado oil) — 10 g (0.4 oz)
Mixed salad greens — 120 g (4.2 oz)
Cucumber — 100 g (3.5 oz)
Avocado — 80 g (2.8 oz)
Edamame, shelled, cooked — 80 g (2.8 oz)
Green onions (scallions) — 15 g (0.5 oz)
Sesame seeds — 6 g (0.2 oz)
Nori seaweed sheets — 2 g (0.1 oz)</t>
        </is>
      </c>
      <c r="M185" s="4" t="inlineStr">
        <is>
          <t>[{"ingredient_id": "tuna_steak", "name": "Tuna steak (ahi)", "grams": 300.0, "note": "sushi-grade"}, {"ingredient_id": "tamari", "name": "Tamari (gluten-free soy sauce)", "grams": 15.0, "note": ""}, {"ingredient_id": "sesame_oil", "name": "Toasted sesame oil", "grams": 8.0, "note": ""}, {"ingredient_id": "sriracha", "name": "Sriracha", "grams": 8.0, "note": ""}, {"ingredient_id": "mayo", "name": "Mayonnaise (avocado oil)", "grams": 10.0, "note": ""}, {"ingredient_id": "mixed_greens", "name": "Mixed salad greens", "grams": 120.0, "note": ""}, {"ingredient_id": "cucumber", "name": "Cucumber", "grams": 100.0, "note": ""}, {"ingredient_id": "avocado", "name": "Avocado", "grams": 80.0, "note": ""}, {"ingredient_id": "edamame", "name": "Edamame, shelled, cooked", "grams": 80.0, "note": ""}, {"ingredient_id": "green_onion", "name": "Green onions (scallions)", "grams": 15.0, "note": ""}, {"ingredient_id": "sesame_seeds", "name": "Sesame seeds", "grams": 6.0, "note": ""}, {"ingredient_id": "nori", "name": "Nori seaweed sheets", "grams": 2.0, "note": ""}]</t>
        </is>
      </c>
      <c r="N185" s="2" t="n">
        <v>394</v>
      </c>
      <c r="O185" s="5" t="n">
        <v>44.7</v>
      </c>
      <c r="P185" s="5" t="n">
        <v>19.2</v>
      </c>
      <c r="Q185" s="5" t="n">
        <v>13.3</v>
      </c>
      <c r="R185" s="5" t="n">
        <v>6.8</v>
      </c>
      <c r="S185" s="5" t="n">
        <v>6.5</v>
      </c>
      <c r="T185" s="2" t="n">
        <v>19</v>
      </c>
      <c r="U185" s="2" t="inlineStr">
        <is>
          <t>low</t>
        </is>
      </c>
      <c r="V185" s="5" t="n">
        <v>1.2</v>
      </c>
      <c r="W185" s="2" t="inlineStr">
        <is>
          <t>low</t>
        </is>
      </c>
      <c r="X185" s="3" t="inlineStr"/>
      <c r="Y185" s="3" t="inlineStr">
        <is>
          <t>0% of this dish's available carbohydrate comes from ingredients with a published, measured GI; the rest uses conventional placeholders (see Ingredients sheet)</t>
        </is>
      </c>
      <c r="Z185" s="2" t="n">
        <v>0</v>
      </c>
      <c r="AA185" s="3" t="inlineStr">
        <is>
          <t>pescatarian, gluten-free, dairy-free, nut-free, low-carb, high-protein, no-cook</t>
        </is>
      </c>
      <c r="AB185" s="3" t="inlineStr">
        <is>
          <t>1. Dice tuna and toss with tamari, sesame oil, sriracha and mayo.
2. Arrange greens, cucumber, avocado and edamame in bowls.
3. Top with tuna, green onion, sesame seeds and torn nori.</t>
        </is>
      </c>
      <c r="AC185" s="4" t="inlineStr">
        <is>
          <t>["Dice tuna and toss with tamari, sesame oil, sriracha and mayo.", "Arrange greens, cucumber, avocado and edamame in bowls.", "Top with tuna, green onion, sesame seeds and torn nori."]</t>
        </is>
      </c>
    </row>
    <row r="186" ht="96" customHeight="1">
      <c r="A186" s="2" t="inlineStr">
        <is>
          <t>DB-0185</t>
        </is>
      </c>
      <c r="B186" s="3" t="inlineStr">
        <is>
          <t>Roasted Sweet Potato &amp; Kale Salad</t>
        </is>
      </c>
      <c r="C186" s="4" t="inlineStr">
        <is>
          <t>Salad</t>
        </is>
      </c>
      <c r="D186" s="4" t="inlineStr">
        <is>
          <t>American</t>
        </is>
      </c>
      <c r="E186" s="2" t="n">
        <v>3</v>
      </c>
      <c r="F186" s="2" t="n">
        <v>10</v>
      </c>
      <c r="G186" s="2" t="n">
        <v>25</v>
      </c>
      <c r="H186" s="2" t="n">
        <v>35</v>
      </c>
      <c r="I186" s="4" t="inlineStr">
        <is>
          <t>roasted-sweet-potato-and-kale-salad.jpg</t>
        </is>
      </c>
      <c r="J186" s="3" t="inlineStr">
        <is>
          <t>Roasted Sweet Potato &amp; Kale Salad, healthy food photography, plated, natural light</t>
        </is>
      </c>
      <c r="K186" s="4" t="inlineStr"/>
      <c r="L186" s="3" t="inlineStr">
        <is>
          <t>Sweet potato, baked/roasted — 250 g (8.8 oz)
Kale — 200 g (7.1 oz)
Chickpeas, cooked — 200 g (7.1 oz)
Pumpkin seeds (pepitas) — 25 g (0.9 oz)
Goat cheese — 40 g (1.4 oz)
Extra-virgin olive oil — 25 g (0.9 oz)
Apple cider vinegar — 12 g (0.4 oz)
Dijon mustard — 6 g (0.2 oz)
Ground cinnamon — 1 g (0.0 oz)
Salt — 2 g (0.1 oz)</t>
        </is>
      </c>
      <c r="M186" s="4" t="inlineStr">
        <is>
          <t>[{"ingredient_id": "sweet_potato_roasted", "name": "Sweet potato, baked/roasted", "grams": 250.0, "note": ""}, {"ingredient_id": "kale", "name": "Kale", "grams": 200.0, "note": ""}, {"ingredient_id": "chickpeas", "name": "Chickpeas, cooked", "grams": 200.0, "note": ""}, {"ingredient_id": "pumpkin_seeds", "name": "Pumpkin seeds (pepitas)", "grams": 25.0, "note": ""}, {"ingredient_id": "goat_cheese", "name": "Goat cheese", "grams": 40.0, "note": ""}, {"ingredient_id": "olive_oil", "name": "Extra-virgin olive oil", "grams": 25.0, "note": ""}, {"ingredient_id": "apple_cider_vinegar", "name": "Apple cider vinegar", "grams": 12.0, "note": ""}, {"ingredient_id": "dijon", "name": "Dijon mustard", "grams": 6.0, "note": ""}, {"ingredient_id": "cinnamon", "name": "Ground cinnamon", "grams": 1.0, "note": ""}, {"ingredient_id": "salt", "name": "Salt", "grams": 2.0, "note": ""}]</t>
        </is>
      </c>
      <c r="N186" s="2" t="n">
        <v>385</v>
      </c>
      <c r="O186" s="5" t="n">
        <v>15.7</v>
      </c>
      <c r="P186" s="5" t="n">
        <v>18.9</v>
      </c>
      <c r="Q186" s="5" t="n">
        <v>41.9</v>
      </c>
      <c r="R186" s="5" t="n">
        <v>10.7</v>
      </c>
      <c r="S186" s="5" t="n">
        <v>31.2</v>
      </c>
      <c r="T186" s="2" t="n">
        <v>56</v>
      </c>
      <c r="U186" s="2" t="inlineStr">
        <is>
          <t>medium</t>
        </is>
      </c>
      <c r="V186" s="5" t="n">
        <v>17.4</v>
      </c>
      <c r="W186" s="2" t="inlineStr">
        <is>
          <t>medium</t>
        </is>
      </c>
      <c r="X186" s="3" t="inlineStr">
        <is>
          <t>Medium-GI dish: keep to the stated portion and pair with the protein/fat in the recipe; GL per serving is the better guide.</t>
        </is>
      </c>
      <c r="Y186" s="3" t="inlineStr">
        <is>
          <t>87% of this dish's available carbohydrate comes from ingredients with a published, measured GI; the rest uses conventional placeholders (see Ingredients sheet)</t>
        </is>
      </c>
      <c r="Z186" s="2" t="n">
        <v>87</v>
      </c>
      <c r="AA186" s="3" t="inlineStr">
        <is>
          <t>vegetarian, gluten-free, nut-free, high-fiber</t>
        </is>
      </c>
      <c r="AB186" s="3" t="inlineStr">
        <is>
          <t>1. Roast diced sweet potato with half the oil, cinnamon and salt at 425°F for 22 minutes.
2. Massage kale with remaining oil, vinegar and Dijon.
3. Toss with sweet potato, chickpeas, pumpkin seeds and goat cheese.</t>
        </is>
      </c>
      <c r="AC186" s="4" t="inlineStr">
        <is>
          <t>["Roast diced sweet potato with half the oil, cinnamon and salt at 425°F for 22 minutes.", "Massage kale with remaining oil, vinegar and Dijon.", "Toss with sweet potato, chickpeas, pumpkin seeds and goat cheese."]</t>
        </is>
      </c>
    </row>
    <row r="187" ht="96" customHeight="1">
      <c r="A187" s="2" t="inlineStr">
        <is>
          <t>DB-0186</t>
        </is>
      </c>
      <c r="B187" s="3" t="inlineStr">
        <is>
          <t>Chicken Cabbage Crunch Salad</t>
        </is>
      </c>
      <c r="C187" s="4" t="inlineStr">
        <is>
          <t>Salad</t>
        </is>
      </c>
      <c r="D187" s="4" t="inlineStr">
        <is>
          <t>American</t>
        </is>
      </c>
      <c r="E187" s="2" t="n">
        <v>3</v>
      </c>
      <c r="F187" s="2" t="n">
        <v>15</v>
      </c>
      <c r="G187" s="2" t="n">
        <v>0</v>
      </c>
      <c r="H187" s="2" t="n">
        <v>15</v>
      </c>
      <c r="I187" s="4" t="inlineStr">
        <is>
          <t>chicken-cabbage-crunch-salad.jpg</t>
        </is>
      </c>
      <c r="J187" s="3" t="inlineStr">
        <is>
          <t>Chicken Cabbage Crunch Salad, healthy food photography, plated, natural light</t>
        </is>
      </c>
      <c r="K187" s="4" t="inlineStr"/>
      <c r="L187" s="3" t="inlineStr">
        <is>
          <t>Rotisserie chicken, skin removed — 300 g (10.6 oz)
Green cabbage — 300 g (10.6 oz)
Carrot — 80 g (2.8 oz)
Green onions (scallions) — 30 g (1.1 oz)
Almonds — 30 g (1.1 oz)
Sunflower seeds — 15 g (0.5 oz)
Apple cider vinegar — 20 g (0.7 oz)
Extra-virgin olive oil — 20 g (0.7 oz)
Dijon mustard — 8 g (0.3 oz)
Monk fruit/erythritol sweetener — 4 g (0.1 oz)</t>
        </is>
      </c>
      <c r="M187" s="4" t="inlineStr">
        <is>
          <t>[{"ingredient_id": "rotisserie_chicken", "name": "Rotisserie chicken, skin removed", "grams": 300.0, "note": ""}, {"ingredient_id": "cabbage", "name": "Green cabbage", "grams": 300.0, "note": ""}, {"ingredient_id": "carrot", "name": "Carrot", "grams": 80.0, "note": ""}, {"ingredient_id": "green_onion", "name": "Green onions (scallions)", "grams": 30.0, "note": ""}, {"ingredient_id": "almonds", "name": "Almonds", "grams": 30.0, "note": ""}, {"ingredient_id": "sunflower_seeds", "name": "Sunflower seeds", "grams": 15.0, "note": ""}, {"ingredient_id": "apple_cider_vinegar", "name": "Apple cider vinegar", "grams": 20.0, "note": ""}, {"ingredient_id": "olive_oil", "name": "Extra-virgin olive oil", "grams": 20.0, "note": ""}, {"ingredient_id": "dijon", "name": "Dijon mustard", "grams": 8.0, "note": ""}, {"ingredient_id": "monk_fruit_sweetener", "name": "Monk fruit/erythritol sweetener", "grams": 4.0, "note": ""}]</t>
        </is>
      </c>
      <c r="N187" s="2" t="n">
        <v>348</v>
      </c>
      <c r="O187" s="5" t="n">
        <v>28</v>
      </c>
      <c r="P187" s="5" t="n">
        <v>21.5</v>
      </c>
      <c r="Q187" s="5" t="n">
        <v>12.5</v>
      </c>
      <c r="R187" s="5" t="n">
        <v>5.3</v>
      </c>
      <c r="S187" s="5" t="n">
        <v>7.2</v>
      </c>
      <c r="T187" s="2" t="n">
        <v>21</v>
      </c>
      <c r="U187" s="2" t="inlineStr">
        <is>
          <t>low</t>
        </is>
      </c>
      <c r="V187" s="5" t="n">
        <v>1.5</v>
      </c>
      <c r="W187" s="2" t="inlineStr">
        <is>
          <t>low</t>
        </is>
      </c>
      <c r="X187" s="3" t="inlineStr"/>
      <c r="Y187" s="3" t="inlineStr">
        <is>
          <t>25% of this dish's available carbohydrate comes from ingredients with a published, measured GI; the rest uses conventional placeholders (see Ingredients sheet)</t>
        </is>
      </c>
      <c r="Z187" s="2" t="n">
        <v>25</v>
      </c>
      <c r="AA187" s="3" t="inlineStr">
        <is>
          <t>gluten-free, dairy-free, low-carb, high-protein, no-cook</t>
        </is>
      </c>
      <c r="AB187" s="3" t="inlineStr">
        <is>
          <t>1. Shred cabbage and carrot; slice green onion.
2. Whisk vinegar, oil, Dijon and sweetener.
3. Toss with chicken, almonds and seeds.</t>
        </is>
      </c>
      <c r="AC187" s="4" t="inlineStr">
        <is>
          <t>["Shred cabbage and carrot; slice green onion.", "Whisk vinegar, oil, Dijon and sweetener.", "Toss with chicken, almonds and seeds."]</t>
        </is>
      </c>
    </row>
    <row r="188" ht="96" customHeight="1">
      <c r="A188" s="2" t="inlineStr">
        <is>
          <t>DB-0187</t>
        </is>
      </c>
      <c r="B188" s="3" t="inlineStr">
        <is>
          <t>Lemon Herb Shrimp &amp; Cucumber Salad</t>
        </is>
      </c>
      <c r="C188" s="4" t="inlineStr">
        <is>
          <t>Salad</t>
        </is>
      </c>
      <c r="D188" s="4" t="inlineStr">
        <is>
          <t>Mediterranean</t>
        </is>
      </c>
      <c r="E188" s="2" t="n">
        <v>2</v>
      </c>
      <c r="F188" s="2" t="n">
        <v>10</v>
      </c>
      <c r="G188" s="2" t="n">
        <v>5</v>
      </c>
      <c r="H188" s="2" t="n">
        <v>15</v>
      </c>
      <c r="I188" s="4" t="inlineStr">
        <is>
          <t>lemon-herb-shrimp-and-cucumber-salad.jpg</t>
        </is>
      </c>
      <c r="J188" s="3" t="inlineStr">
        <is>
          <t>Lemon Herb Shrimp &amp; Cucumber Salad, healthy food photography, plated, natural light</t>
        </is>
      </c>
      <c r="K188" s="4" t="inlineStr"/>
      <c r="L188" s="3" t="inlineStr">
        <is>
          <t>Shrimp, peeled — 300 g (10.6 oz)
Cucumber — 200 g (7.1 oz)
Cherry tomatoes — 150 g (5.3 oz)
Feta cheese — 50 g (1.8 oz)
Fresh dill — 6 g (0.2 oz)
Fresh mint — 4 g (0.1 oz)
Lemon juice — 20 g (0.7 oz)
Extra-virgin olive oil — 15 g (0.5 oz)
Garlic — 3 g (0.1 oz)
Chickpeas, cooked — 120 g (4.2 oz)</t>
        </is>
      </c>
      <c r="M188" s="4" t="inlineStr">
        <is>
          <t>[{"ingredient_id": "shrimp", "name": "Shrimp, peeled", "grams": 300.0, "note": ""}, {"ingredient_id": "cucumber", "name": "Cucumber", "grams": 200.0, "note": ""}, {"ingredient_id": "cherry_tomato", "name": "Cherry tomatoes", "grams": 150.0, "note": ""}, {"ingredient_id": "feta", "name": "Feta cheese", "grams": 50.0, "note": ""}, {"ingredient_id": "dill", "name": "Fresh dill", "grams": 6.0, "note": ""}, {"ingredient_id": "mint", "name": "Fresh mint", "grams": 4.0, "note": ""}, {"ingredient_id": "lemon_juice", "name": "Lemon juice", "grams": 20.0, "note": ""}, {"ingredient_id": "olive_oil", "name": "Extra-virgin olive oil", "grams": 15.0, "note": ""}, {"ingredient_id": "garlic", "name": "Garlic", "grams": 3.0, "note": ""}, {"ingredient_id": "chickpeas", "name": "Chickpeas, cooked", "grams": 120.0, "note": ""}]</t>
        </is>
      </c>
      <c r="N188" s="2" t="n">
        <v>393</v>
      </c>
      <c r="O188" s="5" t="n">
        <v>40.5</v>
      </c>
      <c r="P188" s="5" t="n">
        <v>15.4</v>
      </c>
      <c r="Q188" s="5" t="n">
        <v>25.3</v>
      </c>
      <c r="R188" s="5" t="n">
        <v>6.2</v>
      </c>
      <c r="S188" s="5" t="n">
        <v>19.1</v>
      </c>
      <c r="T188" s="2" t="n">
        <v>29</v>
      </c>
      <c r="U188" s="2" t="inlineStr">
        <is>
          <t>low</t>
        </is>
      </c>
      <c r="V188" s="5" t="n">
        <v>5.5</v>
      </c>
      <c r="W188" s="2" t="inlineStr">
        <is>
          <t>low</t>
        </is>
      </c>
      <c r="X188" s="3" t="inlineStr"/>
      <c r="Y188" s="3" t="inlineStr">
        <is>
          <t>61% of this dish's available carbohydrate comes from ingredients with a published, measured GI; the rest uses conventional placeholders (see Ingredients sheet)</t>
        </is>
      </c>
      <c r="Z188" s="2" t="n">
        <v>61</v>
      </c>
      <c r="AA188" s="3" t="inlineStr">
        <is>
          <t>pescatarian, gluten-free, nut-free, high-protein</t>
        </is>
      </c>
      <c r="AB188" s="3" t="inlineStr">
        <is>
          <t>1. Sauté shrimp with garlic in half the oil 3 minutes; cool slightly.
2. Toss cucumber, tomatoes, chickpeas, herbs with lemon and remaining oil.
3. Add shrimp and feta.</t>
        </is>
      </c>
      <c r="AC188" s="4" t="inlineStr">
        <is>
          <t>["Sauté shrimp with garlic in half the oil 3 minutes; cool slightly.", "Toss cucumber, tomatoes, chickpeas, herbs with lemon and remaining oil.", "Add shrimp and feta."]</t>
        </is>
      </c>
    </row>
    <row r="189" ht="96" customHeight="1">
      <c r="A189" s="2" t="inlineStr">
        <is>
          <t>DB-0188</t>
        </is>
      </c>
      <c r="B189" s="3" t="inlineStr">
        <is>
          <t>Autumn Chicken Salad with Apple &amp; Pecans</t>
        </is>
      </c>
      <c r="C189" s="4" t="inlineStr">
        <is>
          <t>Salad</t>
        </is>
      </c>
      <c r="D189" s="4" t="inlineStr">
        <is>
          <t>American</t>
        </is>
      </c>
      <c r="E189" s="2" t="n">
        <v>2</v>
      </c>
      <c r="F189" s="2" t="n">
        <v>10</v>
      </c>
      <c r="G189" s="2" t="n">
        <v>12</v>
      </c>
      <c r="H189" s="2" t="n">
        <v>22</v>
      </c>
      <c r="I189" s="4" t="inlineStr">
        <is>
          <t>autumn-chicken-salad-with-apple-and-pecans.jpg</t>
        </is>
      </c>
      <c r="J189" s="3" t="inlineStr">
        <is>
          <t>Autumn Chicken Salad with Apple &amp; Pecans, healthy food photography, plated, natural light</t>
        </is>
      </c>
      <c r="K189" s="4" t="inlineStr"/>
      <c r="L189" s="3" t="inlineStr">
        <is>
          <t>Chicken breast, skinless — 280 g (9.9 oz)
Mixed salad greens — 150 g (5.3 oz)
Apple — 120 g (4.2 oz)
Pecans — 25 g (0.9 oz)
Cheddar cheese — 30 g (1.1 oz)
Red onion — 20 g (0.7 oz)
Extra-virgin olive oil — 15 g (0.5 oz)
Apple cider vinegar — 12 g (0.4 oz)
Dijon mustard — 6 g (0.2 oz)</t>
        </is>
      </c>
      <c r="M189" s="4" t="inlineStr">
        <is>
          <t>[{"ingredient_id": "chicken_breast", "name": "Chicken breast, skinless", "grams": 280.0, "note": ""}, {"ingredient_id": "mixed_greens", "name": "Mixed salad greens", "grams": 150.0, "note": ""}, {"ingredient_id": "apple", "name": "Apple", "grams": 120.0, "note": ""}, {"ingredient_id": "pecans", "name": "Pecans", "grams": 25.0, "note": ""}, {"ingredient_id": "cheddar", "name": "Cheddar cheese", "grams": 30.0, "note": ""}, {"ingredient_id": "red_onion", "name": "Red onion", "grams": 20.0, "note": ""}, {"ingredient_id": "olive_oil", "name": "Extra-virgin olive oil", "grams": 15.0, "note": ""}, {"ingredient_id": "apple_cider_vinegar", "name": "Apple cider vinegar", "grams": 12.0, "note": ""}, {"ingredient_id": "dijon", "name": "Dijon mustard", "grams": 6.0, "note": ""}]</t>
        </is>
      </c>
      <c r="N189" s="2" t="n">
        <v>435</v>
      </c>
      <c r="O189" s="5" t="n">
        <v>38</v>
      </c>
      <c r="P189" s="5" t="n">
        <v>25.5</v>
      </c>
      <c r="Q189" s="5" t="n">
        <v>14.1</v>
      </c>
      <c r="R189" s="5" t="n">
        <v>4.4</v>
      </c>
      <c r="S189" s="5" t="n">
        <v>9.699999999999999</v>
      </c>
      <c r="T189" s="2" t="n">
        <v>30</v>
      </c>
      <c r="U189" s="2" t="inlineStr">
        <is>
          <t>low</t>
        </is>
      </c>
      <c r="V189" s="5" t="n">
        <v>2.9</v>
      </c>
      <c r="W189" s="2" t="inlineStr">
        <is>
          <t>low</t>
        </is>
      </c>
      <c r="X189" s="3" t="inlineStr"/>
      <c r="Y189" s="3" t="inlineStr">
        <is>
          <t>72% of this dish's available carbohydrate comes from ingredients with a published, measured GI; the rest uses conventional placeholders (see Ingredients sheet)</t>
        </is>
      </c>
      <c r="Z189" s="2" t="n">
        <v>72</v>
      </c>
      <c r="AA189" s="3" t="inlineStr">
        <is>
          <t>gluten-free, low-carb, high-protein</t>
        </is>
      </c>
      <c r="AB189" s="3" t="inlineStr">
        <is>
          <t>1. Grill chicken; slice.
2. Whisk oil, vinegar and Dijon.
3. Toss greens, apple, onion with dressing; top with chicken, pecans and cheddar.</t>
        </is>
      </c>
      <c r="AC189" s="4" t="inlineStr">
        <is>
          <t>["Grill chicken; slice.", "Whisk oil, vinegar and Dijon.", "Toss greens, apple, onion with dressing; top with chicken, pecans and cheddar."]</t>
        </is>
      </c>
    </row>
    <row r="190" ht="96" customHeight="1">
      <c r="A190" s="2" t="inlineStr">
        <is>
          <t>DB-0189</t>
        </is>
      </c>
      <c r="B190" s="3" t="inlineStr">
        <is>
          <t>Smashed Cucumber Salad with Tofu</t>
        </is>
      </c>
      <c r="C190" s="4" t="inlineStr">
        <is>
          <t>Salad</t>
        </is>
      </c>
      <c r="D190" s="4" t="inlineStr">
        <is>
          <t>Chinese</t>
        </is>
      </c>
      <c r="E190" s="2" t="n">
        <v>2</v>
      </c>
      <c r="F190" s="2" t="n">
        <v>10</v>
      </c>
      <c r="G190" s="2" t="n">
        <v>8</v>
      </c>
      <c r="H190" s="2" t="n">
        <v>18</v>
      </c>
      <c r="I190" s="4" t="inlineStr">
        <is>
          <t>smashed-cucumber-salad-with-tofu.jpg</t>
        </is>
      </c>
      <c r="J190" s="3" t="inlineStr">
        <is>
          <t>Smashed Cucumber Salad with Tofu, healthy food photography, plated, natural light</t>
        </is>
      </c>
      <c r="K190" s="4" t="inlineStr"/>
      <c r="L190" s="3" t="inlineStr">
        <is>
          <t>Cucumber — 300 g (10.6 oz)
Tofu, extra-firm — 250 g (8.8 oz)
Garlic — 5 g (0.2 oz)
Rice vinegar, unseasoned — 15 g (0.5 oz)
Tamari (gluten-free soy sauce) — 12 g (0.4 oz)
Toasted sesame oil — 8 g (0.3 oz)
Chili crisp (small amount) — 8 g (0.3 oz)
Fresh cilantro — 6 g (0.2 oz)
Avocado oil — 8 g (0.3 oz)</t>
        </is>
      </c>
      <c r="M190" s="4" t="inlineStr">
        <is>
          <t>[{"ingredient_id": "cucumber", "name": "Cucumber", "grams": 300.0, "note": ""}, {"ingredient_id": "tofu", "name": "Tofu, extra-firm", "grams": 250.0, "note": ""}, {"ingredient_id": "garlic", "name": "Garlic", "grams": 5.0, "note": ""}, {"ingredient_id": "rice_vinegar", "name": "Rice vinegar, unseasoned", "grams": 15.0, "note": ""}, {"ingredient_id": "tamari", "name": "Tamari (gluten-free soy sauce)", "grams": 12.0, "note": ""}, {"ingredient_id": "sesame_oil", "name": "Toasted sesame oil", "grams": 8.0, "note": ""}, {"ingredient_id": "chili_crisp", "name": "Chili crisp (small amount)", "grams": 8.0, "note": ""}, {"ingredient_id": "cilantro", "name": "Fresh cilantro", "grams": 6.0, "note": ""}, {"ingredient_id": "avocado_oil", "name": "Avocado oil", "grams": 8.0, "note": ""}]</t>
        </is>
      </c>
      <c r="N190" s="2" t="n">
        <v>303</v>
      </c>
      <c r="O190" s="5" t="n">
        <v>23.3</v>
      </c>
      <c r="P190" s="5" t="n">
        <v>21.4</v>
      </c>
      <c r="Q190" s="5" t="n">
        <v>10.8</v>
      </c>
      <c r="R190" s="5" t="n">
        <v>3.6</v>
      </c>
      <c r="S190" s="5" t="n">
        <v>7.3</v>
      </c>
      <c r="T190" s="2" t="n">
        <v>17</v>
      </c>
      <c r="U190" s="2" t="inlineStr">
        <is>
          <t>low</t>
        </is>
      </c>
      <c r="V190" s="5" t="n">
        <v>1.2</v>
      </c>
      <c r="W190" s="2" t="inlineStr">
        <is>
          <t>low</t>
        </is>
      </c>
      <c r="X190" s="3" t="inlineStr"/>
      <c r="Y190" s="3" t="inlineStr">
        <is>
          <t>0% of this dish's available carbohydrate comes from ingredients with a published, measured GI; the rest uses conventional placeholders (see Ingredients sheet)</t>
        </is>
      </c>
      <c r="Z190" s="2" t="n">
        <v>0</v>
      </c>
      <c r="AA190" s="3" t="inlineStr">
        <is>
          <t>vegan, gluten-free, dairy-free, nut-free, low-carb</t>
        </is>
      </c>
      <c r="AB190" s="3" t="inlineStr">
        <is>
          <t>1. Smash cucumbers with the flat of a knife, cut into chunks and salt 5 minutes; drain.
2. Pan-fry tofu cubes in avocado oil until golden.
3. Toss cucumber and tofu with garlic, vinegar, tamari, sesame oil, chili crisp and cilantro.</t>
        </is>
      </c>
      <c r="AC190" s="4" t="inlineStr">
        <is>
          <t>["Smash cucumbers with the flat of a knife, cut into chunks and salt 5 minutes; drain.", "Pan-fry tofu cubes in avocado oil until golden.", "Toss cucumber and tofu with garlic, vinegar, tamari, sesame oil, chili crisp and cilantro."]</t>
        </is>
      </c>
    </row>
    <row r="191" ht="96" customHeight="1">
      <c r="A191" s="2" t="inlineStr">
        <is>
          <t>DB-0190</t>
        </is>
      </c>
      <c r="B191" s="3" t="inlineStr">
        <is>
          <t>Turkey, Cranberry &amp; Walnut Salad</t>
        </is>
      </c>
      <c r="C191" s="4" t="inlineStr">
        <is>
          <t>Salad</t>
        </is>
      </c>
      <c r="D191" s="4" t="inlineStr">
        <is>
          <t>American</t>
        </is>
      </c>
      <c r="E191" s="2" t="n">
        <v>2</v>
      </c>
      <c r="F191" s="2" t="n">
        <v>10</v>
      </c>
      <c r="G191" s="2" t="n">
        <v>0</v>
      </c>
      <c r="H191" s="2" t="n">
        <v>10</v>
      </c>
      <c r="I191" s="4" t="inlineStr">
        <is>
          <t>turkey-cranberry-and-walnut-salad.jpg</t>
        </is>
      </c>
      <c r="J191" s="3" t="inlineStr">
        <is>
          <t>Turkey, Cranberry &amp; Walnut Salad, healthy food photography, plated, natural light</t>
        </is>
      </c>
      <c r="K191" s="4" t="inlineStr"/>
      <c r="L191" s="3" t="inlineStr">
        <is>
          <t>Deli turkey breast, low sodium — 200 g (7.1 oz)
Mixed salad greens — 150 g (5.3 oz)
Cranberries, fresh — 40 g (1.4 oz)
Walnuts — 25 g (0.9 oz)
Goat cheese — 30 g (1.1 oz)
Celery — 60 g (2.1 oz)
Extra-virgin olive oil — 15 g (0.5 oz)
Orange — 40 g (1.4 oz) [juice]
Apple cider vinegar — 8 g (0.3 oz)</t>
        </is>
      </c>
      <c r="M191" s="4" t="inlineStr">
        <is>
          <t>[{"ingredient_id": "deli_turkey", "name": "Deli turkey breast, low sodium", "grams": 200.0, "note": ""}, {"ingredient_id": "mixed_greens", "name": "Mixed salad greens", "grams": 150.0, "note": ""}, {"ingredient_id": "cranberries", "name": "Cranberries, fresh", "grams": 40.0, "note": ""}, {"ingredient_id": "walnuts", "name": "Walnuts", "grams": 25.0, "note": ""}, {"ingredient_id": "goat_cheese", "name": "Goat cheese", "grams": 30.0, "note": ""}, {"ingredient_id": "celery", "name": "Celery", "grams": 60.0, "note": ""}, {"ingredient_id": "olive_oil", "name": "Extra-virgin olive oil", "grams": 15.0, "note": ""}, {"ingredient_id": "orange", "name": "Orange", "grams": 40.0, "note": "juice"}, {"ingredient_id": "apple_cider_vinegar", "name": "Apple cider vinegar", "grams": 8.0, "note": ""}]</t>
        </is>
      </c>
      <c r="N191" s="2" t="n">
        <v>346</v>
      </c>
      <c r="O191" s="5" t="n">
        <v>24.1</v>
      </c>
      <c r="P191" s="5" t="n">
        <v>21.9</v>
      </c>
      <c r="Q191" s="5" t="n">
        <v>14.1</v>
      </c>
      <c r="R191" s="5" t="n">
        <v>4.2</v>
      </c>
      <c r="S191" s="5" t="n">
        <v>9.9</v>
      </c>
      <c r="T191" s="2" t="n">
        <v>19</v>
      </c>
      <c r="U191" s="2" t="inlineStr">
        <is>
          <t>low</t>
        </is>
      </c>
      <c r="V191" s="5" t="n">
        <v>1.9</v>
      </c>
      <c r="W191" s="2" t="inlineStr">
        <is>
          <t>low</t>
        </is>
      </c>
      <c r="X191" s="3" t="inlineStr"/>
      <c r="Y191" s="3" t="inlineStr">
        <is>
          <t>19% of this dish's available carbohydrate comes from ingredients with a published, measured GI; the rest uses conventional placeholders (see Ingredients sheet)</t>
        </is>
      </c>
      <c r="Z191" s="2" t="n">
        <v>19</v>
      </c>
      <c r="AA191" s="3" t="inlineStr">
        <is>
          <t>gluten-free, low-carb, no-cook</t>
        </is>
      </c>
      <c r="AB191" s="3" t="inlineStr">
        <is>
          <t>1. Whisk olive oil, orange juice and vinegar.
2. Toss greens, celery, chopped cranberries with dressing.
3. Top with turkey, walnuts and goat cheese.</t>
        </is>
      </c>
      <c r="AC191" s="4" t="inlineStr">
        <is>
          <t>["Whisk olive oil, orange juice and vinegar.", "Toss greens, celery, chopped cranberries with dressing.", "Top with turkey, walnuts and goat cheese."]</t>
        </is>
      </c>
    </row>
    <row r="192" ht="96" customHeight="1">
      <c r="A192" s="2" t="inlineStr">
        <is>
          <t>DB-0191</t>
        </is>
      </c>
      <c r="B192" s="3" t="inlineStr">
        <is>
          <t>Mexican Street Corn-Style Chicken Salad</t>
        </is>
      </c>
      <c r="C192" s="4" t="inlineStr">
        <is>
          <t>Salad</t>
        </is>
      </c>
      <c r="D192" s="4" t="inlineStr">
        <is>
          <t>Mexican</t>
        </is>
      </c>
      <c r="E192" s="2" t="n">
        <v>3</v>
      </c>
      <c r="F192" s="2" t="n">
        <v>10</v>
      </c>
      <c r="G192" s="2" t="n">
        <v>12</v>
      </c>
      <c r="H192" s="2" t="n">
        <v>22</v>
      </c>
      <c r="I192" s="4" t="inlineStr">
        <is>
          <t>mexican-street-corn-style-chicken-salad.jpg</t>
        </is>
      </c>
      <c r="J192" s="3" t="inlineStr">
        <is>
          <t>Mexican Street Corn-Style Chicken Salad, healthy food photography, plated, natural light</t>
        </is>
      </c>
      <c r="K192" s="4" t="inlineStr"/>
      <c r="L192" s="3" t="inlineStr">
        <is>
          <t>Chicken breast, skinless — 400 g (14.1 oz)
Sweet corn kernels — 120 g (4.2 oz)
Romaine lettuce — 200 g (7.1 oz)
Cotija cheese — 40 g (1.4 oz)
Greek yogurt, plain 2% — 60 g (2.1 oz)
Mayonnaise (avocado oil) — 10 g (0.4 oz)
Lime juice — 15 g (0.5 oz)
Chili powder — 3 g (0.1 oz)
Fresh cilantro — 10 g (0.4 oz)
Jalapeño — 10 g (0.4 oz)
Extra-virgin olive oil — 8 g (0.3 oz)</t>
        </is>
      </c>
      <c r="M192" s="4" t="inlineStr">
        <is>
          <t>[{"ingredient_id": "chicken_breast", "name": "Chicken breast, skinless", "grams": 400.0, "note": ""}, {"ingredient_id": "corn", "name": "Sweet corn kernels", "grams": 120.0, "note": ""}, {"ingredient_id": "romaine", "name": "Romaine lettuce", "grams": 200.0, "note": ""}, {"ingredient_id": "cotija", "name": "Cotija cheese", "grams": 40.0, "note": ""}, {"ingredient_id": "greek_yogurt", "name": "Greek yogurt, plain 2%", "grams": 60.0, "note": ""}, {"ingredient_id": "mayo", "name": "Mayonnaise (avocado oil)", "grams": 10.0, "note": ""}, {"ingredient_id": "lime_juice", "name": "Lime juice", "grams": 15.0, "note": ""}, {"ingredient_id": "chili_powder", "name": "Chili powder", "grams": 3.0, "note": ""}, {"ingredient_id": "cilantro", "name": "Fresh cilantro", "grams": 10.0, "note": ""}, {"ingredient_id": "jalapeno", "name": "Jalapeño", "grams": 10.0, "note": ""}, {"ingredient_id": "olive_oil", "name": "Extra-virgin olive oil", "grams": 8.0, "note": ""}]</t>
        </is>
      </c>
      <c r="N192" s="2" t="n">
        <v>322</v>
      </c>
      <c r="O192" s="5" t="n">
        <v>37</v>
      </c>
      <c r="P192" s="5" t="n">
        <v>14.1</v>
      </c>
      <c r="Q192" s="5" t="n">
        <v>12.4</v>
      </c>
      <c r="R192" s="5" t="n">
        <v>3</v>
      </c>
      <c r="S192" s="5" t="n">
        <v>9.4</v>
      </c>
      <c r="T192" s="2" t="n">
        <v>40</v>
      </c>
      <c r="U192" s="2" t="inlineStr">
        <is>
          <t>low</t>
        </is>
      </c>
      <c r="V192" s="5" t="n">
        <v>3.7</v>
      </c>
      <c r="W192" s="2" t="inlineStr">
        <is>
          <t>low</t>
        </is>
      </c>
      <c r="X192" s="3" t="inlineStr"/>
      <c r="Y192" s="3" t="inlineStr">
        <is>
          <t>78% of this dish's available carbohydrate comes from ingredients with a published, measured GI; the rest uses conventional placeholders (see Ingredients sheet)</t>
        </is>
      </c>
      <c r="Z192" s="2" t="n">
        <v>78</v>
      </c>
      <c r="AA192" s="3" t="inlineStr">
        <is>
          <t>gluten-free, nut-free, low-carb, high-protein</t>
        </is>
      </c>
      <c r="AB192" s="3" t="inlineStr">
        <is>
          <t>1. Grill chicken; dice. Char corn in a dry skillet 4 minutes.
2. Mix yogurt, mayo, lime, chili powder.
3. Toss romaine, chicken, corn, jalapeño, cilantro with dressing; top with cotija.</t>
        </is>
      </c>
      <c r="AC192" s="4" t="inlineStr">
        <is>
          <t>["Grill chicken; dice. Char corn in a dry skillet 4 minutes.", "Mix yogurt, mayo, lime, chili powder.", "Toss romaine, chicken, corn, jalapeño, cilantro with dressing; top with cotija."]</t>
        </is>
      </c>
    </row>
    <row r="193" ht="96" customHeight="1">
      <c r="A193" s="2" t="inlineStr">
        <is>
          <t>DB-0192</t>
        </is>
      </c>
      <c r="B193" s="3" t="inlineStr">
        <is>
          <t>Salmon Sushi Salad</t>
        </is>
      </c>
      <c r="C193" s="4" t="inlineStr">
        <is>
          <t>Salad</t>
        </is>
      </c>
      <c r="D193" s="4" t="inlineStr">
        <is>
          <t>Japanese</t>
        </is>
      </c>
      <c r="E193" s="2" t="n">
        <v>2</v>
      </c>
      <c r="F193" s="2" t="n">
        <v>15</v>
      </c>
      <c r="G193" s="2" t="n">
        <v>12</v>
      </c>
      <c r="H193" s="2" t="n">
        <v>27</v>
      </c>
      <c r="I193" s="4" t="inlineStr">
        <is>
          <t>salmon-sushi-salad.jpg</t>
        </is>
      </c>
      <c r="J193" s="3" t="inlineStr">
        <is>
          <t>Salmon Sushi Salad, healthy food photography, plated, natural light</t>
        </is>
      </c>
      <c r="K193" s="4" t="inlineStr"/>
      <c r="L193" s="3" t="inlineStr">
        <is>
          <t>Salmon fillet — 300 g (10.6 oz)
Mixed salad greens — 120 g (4.2 oz)
Cucumber — 100 g (3.5 oz)
Avocado — 80 g (2.8 oz)
Carrot — 50 g (1.8 oz)
Edamame, shelled, cooked — 80 g (2.8 oz)
Nori seaweed sheets — 3 g (0.1 oz)
Rice vinegar, unseasoned — 15 g (0.5 oz)
Tamari (gluten-free soy sauce) — 12 g (0.4 oz)
Toasted sesame oil — 6 g (0.2 oz)
Fresh ginger — 5 g (0.2 oz)
Sesame seeds — 6 g (0.2 oz)</t>
        </is>
      </c>
      <c r="M193" s="4" t="inlineStr">
        <is>
          <t>[{"ingredient_id": "salmon", "name": "Salmon fillet", "grams": 300.0, "note": ""}, {"ingredient_id": "mixed_greens", "name": "Mixed salad greens", "grams": 120.0, "note": ""}, {"ingredient_id": "cucumber", "name": "Cucumber", "grams": 100.0, "note": ""}, {"ingredient_id": "avocado", "name": "Avocado", "grams": 80.0, "note": ""}, {"ingredient_id": "carrot", "name": "Carrot", "grams": 50.0, "note": ""}, {"ingredient_id": "edamame", "name": "Edamame, shelled, cooked", "grams": 80.0, "note": ""}, {"ingredient_id": "nori", "name": "Nori seaweed sheets", "grams": 3.0, "note": ""}, {"ingredient_id": "rice_vinegar", "name": "Rice vinegar, unseasoned", "grams": 15.0, "note": ""}, {"ingredient_id": "tamari", "name": "Tamari (gluten-free soy sauce)", "grams": 12.0, "note": ""}, {"ingredient_id": "sesame_oil", "name": "Toasted sesame oil", "grams": 6.0, "note": ""}, {"ingredient_id": "ginger", "name": "Fresh ginger", "grams": 5.0, "note": ""}, {"ingredient_id": "sesame_seeds", "name": "Sesame seeds", "grams": 6.0, "note": ""}]</t>
        </is>
      </c>
      <c r="N193" s="2" t="n">
        <v>505</v>
      </c>
      <c r="O193" s="5" t="n">
        <v>38.7</v>
      </c>
      <c r="P193" s="5" t="n">
        <v>32.3</v>
      </c>
      <c r="Q193" s="5" t="n">
        <v>14.9</v>
      </c>
      <c r="R193" s="5" t="n">
        <v>7.3</v>
      </c>
      <c r="S193" s="5" t="n">
        <v>7.6</v>
      </c>
      <c r="T193" s="2" t="n">
        <v>22</v>
      </c>
      <c r="U193" s="2" t="inlineStr">
        <is>
          <t>low</t>
        </is>
      </c>
      <c r="V193" s="5" t="n">
        <v>1.7</v>
      </c>
      <c r="W193" s="2" t="inlineStr">
        <is>
          <t>low</t>
        </is>
      </c>
      <c r="X193" s="3" t="inlineStr"/>
      <c r="Y193" s="3" t="inlineStr">
        <is>
          <t>22% of this dish's available carbohydrate comes from ingredients with a published, measured GI; the rest uses conventional placeholders (see Ingredients sheet)</t>
        </is>
      </c>
      <c r="Z193" s="2" t="n">
        <v>22</v>
      </c>
      <c r="AA193" s="3" t="inlineStr">
        <is>
          <t>pescatarian, gluten-free, dairy-free, nut-free, low-carb, high-protein, high-fiber, omega-3</t>
        </is>
      </c>
      <c r="AB193" s="3" t="inlineStr">
        <is>
          <t>1. Roast salmon at 400°F 12 minutes; flake.
2. Whisk rice vinegar, tamari, sesame oil and ginger.
3. Toss greens, cucumber, avocado, carrot, edamame; top with salmon, nori strips and sesame.</t>
        </is>
      </c>
      <c r="AC193" s="4" t="inlineStr">
        <is>
          <t>["Roast salmon at 400°F 12 minutes; flake.", "Whisk rice vinegar, tamari, sesame oil and ginger.", "Toss greens, cucumber, avocado, carrot, edamame; top with salmon, nori strips and sesame."]</t>
        </is>
      </c>
    </row>
    <row r="194" ht="96" customHeight="1">
      <c r="A194" s="2" t="inlineStr">
        <is>
          <t>DB-0193</t>
        </is>
      </c>
      <c r="B194" s="3" t="inlineStr">
        <is>
          <t>Three-Bean Salad (No Sugar)</t>
        </is>
      </c>
      <c r="C194" s="4" t="inlineStr">
        <is>
          <t>Salad</t>
        </is>
      </c>
      <c r="D194" s="4" t="inlineStr">
        <is>
          <t>American</t>
        </is>
      </c>
      <c r="E194" s="2" t="n">
        <v>5</v>
      </c>
      <c r="F194" s="2" t="n">
        <v>10</v>
      </c>
      <c r="G194" s="2" t="n">
        <v>3</v>
      </c>
      <c r="H194" s="2" t="n">
        <v>13</v>
      </c>
      <c r="I194" s="4" t="inlineStr">
        <is>
          <t>three-bean-salad-no-sugar.jpg</t>
        </is>
      </c>
      <c r="J194" s="3" t="inlineStr">
        <is>
          <t>Three-Bean Salad (No Sugar), healthy food photography, plated, natural light</t>
        </is>
      </c>
      <c r="K194" s="4" t="inlineStr"/>
      <c r="L194" s="3" t="inlineStr">
        <is>
          <t>Green beans — 250 g (8.8 oz)
Kidney beans, cooked — 250 g (8.8 oz)
Chickpeas, cooked — 250 g (8.8 oz)
Red onion — 60 g (2.1 oz)
Fresh parsley — 10 g (0.4 oz)
Apple cider vinegar — 30 g (1.1 oz)
Extra-virgin olive oil — 30 g (1.1 oz)
Dijon mustard — 8 g (0.3 oz)
Monk fruit/erythritol sweetener — 6 g (0.2 oz)
Salt — 2 g (0.1 oz)</t>
        </is>
      </c>
      <c r="M194" s="4" t="inlineStr">
        <is>
          <t>[{"ingredient_id": "green_beans", "name": "Green beans", "grams": 250.0, "note": ""}, {"ingredient_id": "kidney_beans", "name": "Kidney beans, cooked", "grams": 250.0, "note": ""}, {"ingredient_id": "chickpeas", "name": "Chickpeas, cooked", "grams": 250.0, "note": ""}, {"ingredient_id": "red_onion", "name": "Red onion", "grams": 60.0, "note": ""}, {"ingredient_id": "parsley", "name": "Fresh parsley", "grams": 10.0, "note": ""}, {"ingredient_id": "apple_cider_vinegar", "name": "Apple cider vinegar", "grams": 30.0, "note": ""}, {"ingredient_id": "olive_oil", "name": "Extra-virgin olive oil", "grams": 30.0, "note": ""}, {"ingredient_id": "dijon", "name": "Dijon mustard", "grams": 8.0, "note": ""}, {"ingredient_id": "monk_fruit_sweetener", "name": "Monk fruit/erythritol sweetener", "grams": 6.0, "note": ""}, {"ingredient_id": "salt", "name": "Salt", "grams": 2.0, "note": ""}]</t>
        </is>
      </c>
      <c r="N194" s="2" t="n">
        <v>222</v>
      </c>
      <c r="O194" s="5" t="n">
        <v>10</v>
      </c>
      <c r="P194" s="5" t="n">
        <v>7.7</v>
      </c>
      <c r="Q194" s="5" t="n">
        <v>29.8</v>
      </c>
      <c r="R194" s="5" t="n">
        <v>8.699999999999999</v>
      </c>
      <c r="S194" s="5" t="n">
        <v>21.1</v>
      </c>
      <c r="T194" s="2" t="n">
        <v>33</v>
      </c>
      <c r="U194" s="2" t="inlineStr">
        <is>
          <t>low</t>
        </is>
      </c>
      <c r="V194" s="5" t="n">
        <v>7</v>
      </c>
      <c r="W194" s="2" t="inlineStr">
        <is>
          <t>low</t>
        </is>
      </c>
      <c r="X194" s="3" t="inlineStr"/>
      <c r="Y194" s="3" t="inlineStr">
        <is>
          <t>85% of this dish's available carbohydrate comes from ingredients with a published, measured GI; the rest uses conventional placeholders (see Ingredients sheet)</t>
        </is>
      </c>
      <c r="Z194" s="2" t="n">
        <v>85</v>
      </c>
      <c r="AA194" s="3" t="inlineStr">
        <is>
          <t>vegan, gluten-free, dairy-free, nut-free, high-fiber, make-ahead</t>
        </is>
      </c>
      <c r="AB194" s="3" t="inlineStr">
        <is>
          <t>1. Blanch green beans 3 minutes; cool.
2. Whisk vinegar, oil, Dijon, sweetener and salt.
3. Toss all beans, onion and parsley with dressing; marinate 1 hour.</t>
        </is>
      </c>
      <c r="AC194" s="4" t="inlineStr">
        <is>
          <t>["Blanch green beans 3 minutes; cool.", "Whisk vinegar, oil, Dijon, sweetener and salt.", "Toss all beans, onion and parsley with dressing; marinate 1 hour."]</t>
        </is>
      </c>
    </row>
    <row r="195" ht="96" customHeight="1">
      <c r="A195" s="2" t="inlineStr">
        <is>
          <t>DB-0194</t>
        </is>
      </c>
      <c r="B195" s="3" t="inlineStr">
        <is>
          <t>Grilled Halloumi-Style Feta &amp; Chickpea Salad</t>
        </is>
      </c>
      <c r="C195" s="4" t="inlineStr">
        <is>
          <t>Salad</t>
        </is>
      </c>
      <c r="D195" s="4" t="inlineStr">
        <is>
          <t>Mediterranean</t>
        </is>
      </c>
      <c r="E195" s="2" t="n">
        <v>2</v>
      </c>
      <c r="F195" s="2" t="n">
        <v>10</v>
      </c>
      <c r="G195" s="2" t="n">
        <v>6</v>
      </c>
      <c r="H195" s="2" t="n">
        <v>16</v>
      </c>
      <c r="I195" s="4" t="inlineStr">
        <is>
          <t>grilled-halloumi-style-feta-and-chickpea-salad.jpg</t>
        </is>
      </c>
      <c r="J195" s="3" t="inlineStr">
        <is>
          <t>Grilled Halloumi-Style Feta &amp; Chickpea Salad, healthy food photography, plated, natural light</t>
        </is>
      </c>
      <c r="K195" s="4" t="inlineStr"/>
      <c r="L195" s="3" t="inlineStr">
        <is>
          <t>Feta cheese — 100 g (3.5 oz)
Chickpeas, cooked — 200 g (7.1 oz)
Arugula — 100 g (3.5 oz)
Cherry tomatoes — 150 g (5.3 oz)
Cucumber — 100 g (3.5 oz)
Fresh mint — 6 g (0.2 oz)
Lemon juice — 15 g (0.5 oz)
Extra-virgin olive oil — 15 g (0.5 oz)
Sumac — 2 g (0.1 oz)</t>
        </is>
      </c>
      <c r="M195" s="4" t="inlineStr">
        <is>
          <t>[{"ingredient_id": "feta", "name": "Feta cheese", "grams": 100.0, "note": ""}, {"ingredient_id": "chickpeas", "name": "Chickpeas, cooked", "grams": 200.0, "note": ""}, {"ingredient_id": "arugula", "name": "Arugula", "grams": 100.0, "note": ""}, {"ingredient_id": "cherry_tomato", "name": "Cherry tomatoes", "grams": 150.0, "note": ""}, {"ingredient_id": "cucumber", "name": "Cucumber", "grams": 100.0, "note": ""}, {"ingredient_id": "mint", "name": "Fresh mint", "grams": 6.0, "note": ""}, {"ingredient_id": "lemon_juice", "name": "Lemon juice", "grams": 15.0, "note": ""}, {"ingredient_id": "olive_oil", "name": "Extra-virgin olive oil", "grams": 15.0, "note": ""}, {"ingredient_id": "sumac", "name": "Sumac", "grams": 2.0, "note": ""}]</t>
        </is>
      </c>
      <c r="N195" s="2" t="n">
        <v>402</v>
      </c>
      <c r="O195" s="5" t="n">
        <v>18.5</v>
      </c>
      <c r="P195" s="5" t="n">
        <v>21.3</v>
      </c>
      <c r="Q195" s="5" t="n">
        <v>36.9</v>
      </c>
      <c r="R195" s="5" t="n">
        <v>10</v>
      </c>
      <c r="S195" s="5" t="n">
        <v>26.9</v>
      </c>
      <c r="T195" s="2" t="n">
        <v>31</v>
      </c>
      <c r="U195" s="2" t="inlineStr">
        <is>
          <t>low</t>
        </is>
      </c>
      <c r="V195" s="5" t="n">
        <v>8.300000000000001</v>
      </c>
      <c r="W195" s="2" t="inlineStr">
        <is>
          <t>low</t>
        </is>
      </c>
      <c r="X195" s="3" t="inlineStr"/>
      <c r="Y195" s="3" t="inlineStr">
        <is>
          <t>72% of this dish's available carbohydrate comes from ingredients with a published, measured GI; the rest uses conventional placeholders (see Ingredients sheet)</t>
        </is>
      </c>
      <c r="Z195" s="2" t="n">
        <v>72</v>
      </c>
      <c r="AA195" s="3" t="inlineStr">
        <is>
          <t>vegetarian, gluten-free, nut-free, high-fiber</t>
        </is>
      </c>
      <c r="AB195" s="3" t="inlineStr">
        <is>
          <t>1. Sear feta slices 2 minutes per side.
2. Toss chickpeas, arugula, tomatoes, cucumber and mint with lemon, oil and sumac.
3. Top with feta.</t>
        </is>
      </c>
      <c r="AC195" s="4" t="inlineStr">
        <is>
          <t>["Sear feta slices 2 minutes per side.", "Toss chickpeas, arugula, tomatoes, cucumber and mint with lemon, oil and sumac.", "Top with feta."]</t>
        </is>
      </c>
    </row>
    <row r="196" ht="96" customHeight="1">
      <c r="A196" s="2" t="inlineStr">
        <is>
          <t>DB-0195</t>
        </is>
      </c>
      <c r="B196" s="3" t="inlineStr">
        <is>
          <t>Tofu Sesame Ginger Salad</t>
        </is>
      </c>
      <c r="C196" s="4" t="inlineStr">
        <is>
          <t>Salad</t>
        </is>
      </c>
      <c r="D196" s="4" t="inlineStr">
        <is>
          <t>Asian</t>
        </is>
      </c>
      <c r="E196" s="2" t="n">
        <v>2</v>
      </c>
      <c r="F196" s="2" t="n">
        <v>10</v>
      </c>
      <c r="G196" s="2" t="n">
        <v>10</v>
      </c>
      <c r="H196" s="2" t="n">
        <v>20</v>
      </c>
      <c r="I196" s="4" t="inlineStr">
        <is>
          <t>tofu-sesame-ginger-salad.jpg</t>
        </is>
      </c>
      <c r="J196" s="3" t="inlineStr">
        <is>
          <t>Tofu Sesame Ginger Salad, healthy food photography, plated, natural light</t>
        </is>
      </c>
      <c r="K196" s="4" t="inlineStr"/>
      <c r="L196" s="3" t="inlineStr">
        <is>
          <t>Tofu, extra-firm — 300 g (10.6 oz)
Mixed salad greens — 150 g (5.3 oz)
Sugar snap peas — 100 g (3.5 oz)
Carrot — 60 g (2.1 oz)
Red cabbage — 80 g (2.8 oz)
Tamari (gluten-free soy sauce) — 15 g (0.5 oz)
Rice vinegar, unseasoned — 15 g (0.5 oz)
Toasted sesame oil — 8 g (0.3 oz)
Fresh ginger — 6 g (0.2 oz)
Almonds — 20 g (0.7 oz)
Avocado oil — 8 g (0.3 oz)</t>
        </is>
      </c>
      <c r="M196" s="4" t="inlineStr">
        <is>
          <t>[{"ingredient_id": "tofu", "name": "Tofu, extra-firm", "grams": 300.0, "note": ""}, {"ingredient_id": "mixed_greens", "name": "Mixed salad greens", "grams": 150.0, "note": ""}, {"ingredient_id": "snap_peas", "name": "Sugar snap peas", "grams": 100.0, "note": ""}, {"ingredient_id": "carrot", "name": "Carrot", "grams": 60.0, "note": ""}, {"ingredient_id": "red_cabbage", "name": "Red cabbage", "grams": 80.0, "note": ""}, {"ingredient_id": "tamari", "name": "Tamari (gluten-free soy sauce)", "grams": 15.0, "note": ""}, {"ingredient_id": "rice_vinegar", "name": "Rice vinegar, unseasoned", "grams": 15.0, "note": ""}, {"ingredient_id": "sesame_oil", "name": "Toasted sesame oil", "grams": 8.0, "note": ""}, {"ingredient_id": "ginger", "name": "Fresh ginger", "grams": 6.0, "note": ""}, {"ingredient_id": "almonds", "name": "Almonds", "grams": 20.0, "note": ""}, {"ingredient_id": "avocado_oil", "name": "Avocado oil", "grams": 8.0, "note": ""}]</t>
        </is>
      </c>
      <c r="N196" s="2" t="n">
        <v>414</v>
      </c>
      <c r="O196" s="5" t="n">
        <v>32.1</v>
      </c>
      <c r="P196" s="5" t="n">
        <v>27</v>
      </c>
      <c r="Q196" s="5" t="n">
        <v>19.9</v>
      </c>
      <c r="R196" s="5" t="n">
        <v>8.800000000000001</v>
      </c>
      <c r="S196" s="5" t="n">
        <v>11</v>
      </c>
      <c r="T196" s="2" t="n">
        <v>20</v>
      </c>
      <c r="U196" s="2" t="inlineStr">
        <is>
          <t>low</t>
        </is>
      </c>
      <c r="V196" s="5" t="n">
        <v>2.2</v>
      </c>
      <c r="W196" s="2" t="inlineStr">
        <is>
          <t>low</t>
        </is>
      </c>
      <c r="X196" s="3" t="inlineStr"/>
      <c r="Y196" s="3" t="inlineStr">
        <is>
          <t>19% of this dish's available carbohydrate comes from ingredients with a published, measured GI; the rest uses conventional placeholders (see Ingredients sheet)</t>
        </is>
      </c>
      <c r="Z196" s="2" t="n">
        <v>19</v>
      </c>
      <c r="AA196" s="3" t="inlineStr">
        <is>
          <t>vegan, gluten-free, dairy-free, low-carb, high-protein, high-fiber</t>
        </is>
      </c>
      <c r="AB196" s="3" t="inlineStr">
        <is>
          <t>1. Pan-fry tofu cubes in avocado oil until crisp.
2. Whisk tamari, vinegar, sesame oil and ginger.
3. Toss vegetables with dressing; top with tofu and almonds.</t>
        </is>
      </c>
      <c r="AC196" s="4" t="inlineStr">
        <is>
          <t>["Pan-fry tofu cubes in avocado oil until crisp.", "Whisk tamari, vinegar, sesame oil and ginger.", "Toss vegetables with dressing; top with tofu and almonds."]</t>
        </is>
      </c>
    </row>
    <row r="197" ht="96" customHeight="1">
      <c r="A197" s="2" t="inlineStr">
        <is>
          <t>DB-0196</t>
        </is>
      </c>
      <c r="B197" s="3" t="inlineStr">
        <is>
          <t>Chicken Pesto Zoodle Salad</t>
        </is>
      </c>
      <c r="C197" s="4" t="inlineStr">
        <is>
          <t>Salad</t>
        </is>
      </c>
      <c r="D197" s="4" t="inlineStr">
        <is>
          <t>Italian</t>
        </is>
      </c>
      <c r="E197" s="2" t="n">
        <v>2</v>
      </c>
      <c r="F197" s="2" t="n">
        <v>10</v>
      </c>
      <c r="G197" s="2" t="n">
        <v>12</v>
      </c>
      <c r="H197" s="2" t="n">
        <v>22</v>
      </c>
      <c r="I197" s="4" t="inlineStr">
        <is>
          <t>chicken-pesto-zoodle-salad.jpg</t>
        </is>
      </c>
      <c r="J197" s="3" t="inlineStr">
        <is>
          <t>Chicken Pesto Zoodle Salad, healthy food photography, plated, natural light</t>
        </is>
      </c>
      <c r="K197" s="4" t="inlineStr"/>
      <c r="L197" s="3" t="inlineStr">
        <is>
          <t>Chicken breast, skinless — 280 g (9.9 oz)
Zucchini noodles (zoodles) — 300 g (10.6 oz)
Cherry tomatoes — 150 g (5.3 oz)
Basil pesto — 40 g (1.4 oz)
Mozzarella, part-skim — 60 g (2.1 oz)
Pine nuts — 10 g (0.4 oz)
Extra-virgin olive oil — 6 g (0.2 oz)</t>
        </is>
      </c>
      <c r="M197" s="4" t="inlineStr">
        <is>
          <t>[{"ingredient_id": "chicken_breast", "name": "Chicken breast, skinless", "grams": 280.0, "note": ""}, {"ingredient_id": "zucchini_noodles", "name": "Zucchini noodles (zoodles)", "grams": 300.0, "note": ""}, {"ingredient_id": "cherry_tomato", "name": "Cherry tomatoes", "grams": 150.0, "note": ""}, {"ingredient_id": "pesto", "name": "Basil pesto", "grams": 40.0, "note": ""}, {"ingredient_id": "mozzarella", "name": "Mozzarella, part-skim", "grams": 60.0, "note": ""}, {"ingredient_id": "pine_nuts", "name": "Pine nuts", "grams": 10.0, "note": ""}, {"ingredient_id": "olive_oil", "name": "Extra-virgin olive oil", "grams": 6.0, "note": ""}]</t>
        </is>
      </c>
      <c r="N197" s="2" t="n">
        <v>423</v>
      </c>
      <c r="O197" s="5" t="n">
        <v>42.9</v>
      </c>
      <c r="P197" s="5" t="n">
        <v>23.4</v>
      </c>
      <c r="Q197" s="5" t="n">
        <v>10.3</v>
      </c>
      <c r="R197" s="5" t="n">
        <v>3</v>
      </c>
      <c r="S197" s="5" t="n">
        <v>7.3</v>
      </c>
      <c r="T197" s="2" t="n">
        <v>13</v>
      </c>
      <c r="U197" s="2" t="inlineStr">
        <is>
          <t>low</t>
        </is>
      </c>
      <c r="V197" s="5" t="n">
        <v>1</v>
      </c>
      <c r="W197" s="2" t="inlineStr">
        <is>
          <t>low</t>
        </is>
      </c>
      <c r="X197" s="3" t="inlineStr"/>
      <c r="Y197" s="3" t="inlineStr">
        <is>
          <t>0% of this dish's available carbohydrate comes from ingredients with a published, measured GI; the rest uses conventional placeholders (see Ingredients sheet)</t>
        </is>
      </c>
      <c r="Z197" s="2" t="n">
        <v>0</v>
      </c>
      <c r="AA197" s="3" t="inlineStr">
        <is>
          <t>gluten-free, low-carb, high-protein</t>
        </is>
      </c>
      <c r="AB197" s="3" t="inlineStr">
        <is>
          <t>1. Sear chicken in olive oil; slice.
2. Toss raw zoodles with pesto.
3. Add tomatoes, mozzarella, chicken and pine nuts.</t>
        </is>
      </c>
      <c r="AC197" s="4" t="inlineStr">
        <is>
          <t>["Sear chicken in olive oil; slice.", "Toss raw zoodles with pesto.", "Add tomatoes, mozzarella, chicken and pine nuts."]</t>
        </is>
      </c>
    </row>
    <row r="198" ht="96" customHeight="1">
      <c r="A198" s="2" t="inlineStr">
        <is>
          <t>DB-0197</t>
        </is>
      </c>
      <c r="B198" s="3" t="inlineStr">
        <is>
          <t>Shredded Chicken Kale Caesar</t>
        </is>
      </c>
      <c r="C198" s="4" t="inlineStr">
        <is>
          <t>Salad</t>
        </is>
      </c>
      <c r="D198" s="4" t="inlineStr">
        <is>
          <t>American</t>
        </is>
      </c>
      <c r="E198" s="2" t="n">
        <v>2</v>
      </c>
      <c r="F198" s="2" t="n">
        <v>10</v>
      </c>
      <c r="G198" s="2" t="n">
        <v>0</v>
      </c>
      <c r="H198" s="2" t="n">
        <v>10</v>
      </c>
      <c r="I198" s="4" t="inlineStr">
        <is>
          <t>shredded-chicken-kale-caesar.jpg</t>
        </is>
      </c>
      <c r="J198" s="3" t="inlineStr">
        <is>
          <t>Shredded Chicken Kale Caesar, healthy food photography, plated, natural light</t>
        </is>
      </c>
      <c r="K198" s="4" t="inlineStr"/>
      <c r="L198" s="3" t="inlineStr">
        <is>
          <t>Rotisserie chicken, skin removed — 250 g (8.8 oz)
Kale — 200 g (7.1 oz)
Parmesan, grated — 30 g (1.1 oz)
Greek yogurt, plain 2% — 70 g (2.5 oz)
Lemon juice — 15 g (0.5 oz)
Dijon mustard — 6 g (0.2 oz)
Anchovies, canned — 8 g (0.3 oz)
Garlic — 3 g (0.1 oz)
Extra-virgin olive oil — 12 g (0.4 oz)
Hemp seeds — 10 g (0.4 oz)</t>
        </is>
      </c>
      <c r="M198" s="4" t="inlineStr">
        <is>
          <t>[{"ingredient_id": "rotisserie_chicken", "name": "Rotisserie chicken, skin removed", "grams": 250.0, "note": ""}, {"ingredient_id": "kale", "name": "Kale", "grams": 200.0, "note": ""}, {"ingredient_id": "parmesan", "name": "Parmesan, grated", "grams": 30.0, "note": ""}, {"ingredient_id": "greek_yogurt", "name": "Greek yogurt, plain 2%", "grams": 70.0, "note": ""}, {"ingredient_id": "lemon_juice", "name": "Lemon juice", "grams": 15.0, "note": ""}, {"ingredient_id": "dijon", "name": "Dijon mustard", "grams": 6.0, "note": ""}, {"ingredient_id": "anchovies", "name": "Anchovies, canned", "grams": 8.0, "note": ""}, {"ingredient_id": "garlic", "name": "Garlic", "grams": 3.0, "note": ""}, {"ingredient_id": "olive_oil", "name": "Extra-virgin olive oil", "grams": 12.0, "note": ""}, {"ingredient_id": "hemp_seeds", "name": "Hemp seeds", "grams": 10.0, "note": ""}]</t>
        </is>
      </c>
      <c r="N198" s="2" t="n">
        <v>434</v>
      </c>
      <c r="O198" s="5" t="n">
        <v>45.3</v>
      </c>
      <c r="P198" s="5" t="n">
        <v>23.7</v>
      </c>
      <c r="Q198" s="5" t="n">
        <v>12.4</v>
      </c>
      <c r="R198" s="5" t="n">
        <v>3.9</v>
      </c>
      <c r="S198" s="5" t="n">
        <v>8.5</v>
      </c>
      <c r="T198" s="2" t="n">
        <v>14</v>
      </c>
      <c r="U198" s="2" t="inlineStr">
        <is>
          <t>low</t>
        </is>
      </c>
      <c r="V198" s="5" t="n">
        <v>1.2</v>
      </c>
      <c r="W198" s="2" t="inlineStr">
        <is>
          <t>low</t>
        </is>
      </c>
      <c r="X198" s="3" t="inlineStr"/>
      <c r="Y198" s="3" t="inlineStr">
        <is>
          <t>17% of this dish's available carbohydrate comes from ingredients with a published, measured GI; the rest uses conventional placeholders (see Ingredients sheet)</t>
        </is>
      </c>
      <c r="Z198" s="2" t="n">
        <v>17</v>
      </c>
      <c r="AA198" s="3" t="inlineStr">
        <is>
          <t>gluten-free, nut-free, low-carb, high-protein, no-cook</t>
        </is>
      </c>
      <c r="AB198" s="3" t="inlineStr">
        <is>
          <t>1. Whisk yogurt, lemon, Dijon, mashed anchovy, garlic and oil.
2. Massage dressing into chopped kale.
3. Top with chicken, parmesan and hemp seeds.</t>
        </is>
      </c>
      <c r="AC198" s="4" t="inlineStr">
        <is>
          <t>["Whisk yogurt, lemon, Dijon, mashed anchovy, garlic and oil.", "Massage dressing into chopped kale.", "Top with chicken, parmesan and hemp seeds."]</t>
        </is>
      </c>
    </row>
    <row r="199" ht="96" customHeight="1">
      <c r="A199" s="2" t="inlineStr">
        <is>
          <t>DB-0198</t>
        </is>
      </c>
      <c r="B199" s="3" t="inlineStr">
        <is>
          <t>Fennel, Orange &amp; Olive Salad with Sardines</t>
        </is>
      </c>
      <c r="C199" s="4" t="inlineStr">
        <is>
          <t>Salad</t>
        </is>
      </c>
      <c r="D199" s="4" t="inlineStr">
        <is>
          <t>Sicilian</t>
        </is>
      </c>
      <c r="E199" s="2" t="n">
        <v>2</v>
      </c>
      <c r="F199" s="2" t="n">
        <v>10</v>
      </c>
      <c r="G199" s="2" t="n">
        <v>0</v>
      </c>
      <c r="H199" s="2" t="n">
        <v>10</v>
      </c>
      <c r="I199" s="4" t="inlineStr">
        <is>
          <t>fennel-orange-and-olive-salad-with-sardines.jpg</t>
        </is>
      </c>
      <c r="J199" s="3" t="inlineStr">
        <is>
          <t>Fennel, Orange &amp; Olive Salad with Sardines, healthy food photography, plated, natural light</t>
        </is>
      </c>
      <c r="K199" s="4" t="inlineStr"/>
      <c r="L199" s="3" t="inlineStr">
        <is>
          <t>Fennel bulb — 200 g (7.1 oz)
Orange — 150 g (5.3 oz)
Olives (kalamata/green) — 40 g (1.4 oz)
Sardines, canned in olive oil, drained — 120 g (4.2 oz)
Red onion — 30 g (1.1 oz)
Extra-virgin olive oil — 15 g (0.5 oz)
Lemon juice — 10 g (0.4 oz)
Fresh parsley — 6 g (0.2 oz)
Black pepper — 1 g (0.0 oz)</t>
        </is>
      </c>
      <c r="M199" s="4" t="inlineStr">
        <is>
          <t>[{"ingredient_id": "fennel", "name": "Fennel bulb", "grams": 200.0, "note": ""}, {"ingredient_id": "orange", "name": "Orange", "grams": 150.0, "note": ""}, {"ingredient_id": "olives", "name": "Olives (kalamata/green)", "grams": 40.0, "note": ""}, {"ingredient_id": "sardines", "name": "Sardines, canned in olive oil, drained", "grams": 120.0, "note": ""}, {"ingredient_id": "red_onion", "name": "Red onion", "grams": 30.0, "note": ""}, {"ingredient_id": "olive_oil", "name": "Extra-virgin olive oil", "grams": 15.0, "note": ""}, {"ingredient_id": "lemon_juice", "name": "Lemon juice", "grams": 10.0, "note": ""}, {"ingredient_id": "parsley", "name": "Fresh parsley", "grams": 6.0, "note": ""}, {"ingredient_id": "black_pepper", "name": "Black pepper", "grams": 1.0, "note": ""}]</t>
        </is>
      </c>
      <c r="N199" s="2" t="n">
        <v>290</v>
      </c>
      <c r="O199" s="5" t="n">
        <v>17.4</v>
      </c>
      <c r="P199" s="5" t="n">
        <v>16.6</v>
      </c>
      <c r="Q199" s="5" t="n">
        <v>19.7</v>
      </c>
      <c r="R199" s="5" t="n">
        <v>6</v>
      </c>
      <c r="S199" s="5" t="n">
        <v>13.7</v>
      </c>
      <c r="T199" s="2" t="n">
        <v>30</v>
      </c>
      <c r="U199" s="2" t="inlineStr">
        <is>
          <t>low</t>
        </is>
      </c>
      <c r="V199" s="5" t="n">
        <v>4.1</v>
      </c>
      <c r="W199" s="2" t="inlineStr">
        <is>
          <t>low</t>
        </is>
      </c>
      <c r="X199" s="3" t="inlineStr"/>
      <c r="Y199" s="3" t="inlineStr">
        <is>
          <t>52% of this dish's available carbohydrate comes from ingredients with a published, measured GI; the rest uses conventional placeholders (see Ingredients sheet)</t>
        </is>
      </c>
      <c r="Z199" s="2" t="n">
        <v>52</v>
      </c>
      <c r="AA199" s="3" t="inlineStr">
        <is>
          <t>pescatarian, gluten-free, dairy-free, nut-free, low-carb, omega-3, no-cook</t>
        </is>
      </c>
      <c r="AB199" s="3" t="inlineStr">
        <is>
          <t>1. Shave fennel thin; segment orange.
2. Toss with olives, onion, olive oil, lemon and parsley.
3. Top with sardines and pepper.</t>
        </is>
      </c>
      <c r="AC199" s="4" t="inlineStr">
        <is>
          <t>["Shave fennel thin; segment orange.", "Toss with olives, onion, olive oil, lemon and parsley.", "Top with sardines and pepper."]</t>
        </is>
      </c>
    </row>
    <row r="200" ht="96" customHeight="1">
      <c r="A200" s="2" t="inlineStr">
        <is>
          <t>DB-0199</t>
        </is>
      </c>
      <c r="B200" s="3" t="inlineStr">
        <is>
          <t>Cauliflower 'Potato' Salad</t>
        </is>
      </c>
      <c r="C200" s="4" t="inlineStr">
        <is>
          <t>Salad</t>
        </is>
      </c>
      <c r="D200" s="4" t="inlineStr">
        <is>
          <t>American</t>
        </is>
      </c>
      <c r="E200" s="2" t="n">
        <v>4</v>
      </c>
      <c r="F200" s="2" t="n">
        <v>15</v>
      </c>
      <c r="G200" s="2" t="n">
        <v>8</v>
      </c>
      <c r="H200" s="2" t="n">
        <v>23</v>
      </c>
      <c r="I200" s="4" t="inlineStr">
        <is>
          <t>cauliflower-potato-salad.jpg</t>
        </is>
      </c>
      <c r="J200" s="3" t="inlineStr">
        <is>
          <t>Cauliflower 'Potato' Salad, healthy food photography, plated, natural light</t>
        </is>
      </c>
      <c r="K200" s="4" t="inlineStr"/>
      <c r="L200" s="3" t="inlineStr">
        <is>
          <t>Cauliflower — 600 g (21.2 oz)
Egg, large (50 g each) — 150 g (5.3 oz) [3 hard-boiled eggs]
Celery — 80 g (2.8 oz)
Red onion — 40 g (1.4 oz)
Dill pickles — 50 g (1.8 oz)
Greek yogurt, plain 2% — 120 g (4.2 oz)
Mayonnaise (avocado oil) — 30 g (1.1 oz)
Dijon mustard — 10 g (0.4 oz)
Paprika — 1 g (0.0 oz)
Fresh chives — 5 g (0.2 oz)
Salt — 2 g (0.1 oz)</t>
        </is>
      </c>
      <c r="M200" s="4" t="inlineStr">
        <is>
          <t>[{"ingredient_id": "cauliflower", "name": "Cauliflower", "grams": 600.0, "note": ""}, {"ingredient_id": "egg", "name": "Egg, large (50 g each)", "grams": 150.0, "note": "3 hard-boiled eggs"}, {"ingredient_id": "celery", "name": "Celery", "grams": 80.0, "note": ""}, {"ingredient_id": "red_onion", "name": "Red onion", "grams": 40.0, "note": ""}, {"ingredient_id": "dill_pickle", "name": "Dill pickles", "grams": 50.0, "note": ""}, {"ingredient_id": "greek_yogurt", "name": "Greek yogurt, plain 2%", "grams": 120.0, "note": ""}, {"ingredient_id": "mayo", "name": "Mayonnaise (avocado oil)", "grams": 30.0, "note": ""}, {"ingredient_id": "dijon", "name": "Dijon mustard", "grams": 10.0, "note": ""}, {"ingredient_id": "paprika", "name": "Paprika", "grams": 1.0, "note": ""}, {"ingredient_id": "chives", "name": "Fresh chives", "grams": 5.0, "note": ""}, {"ingredient_id": "salt", "name": "Salt", "grams": 2.0, "note": ""}]</t>
        </is>
      </c>
      <c r="N200" s="2" t="n">
        <v>177</v>
      </c>
      <c r="O200" s="5" t="n">
        <v>11.1</v>
      </c>
      <c r="P200" s="5" t="n">
        <v>10.7</v>
      </c>
      <c r="Q200" s="5" t="n">
        <v>11.1</v>
      </c>
      <c r="R200" s="5" t="n">
        <v>3.8</v>
      </c>
      <c r="S200" s="5" t="n">
        <v>7.3</v>
      </c>
      <c r="T200" s="2" t="n">
        <v>14</v>
      </c>
      <c r="U200" s="2" t="inlineStr">
        <is>
          <t>low</t>
        </is>
      </c>
      <c r="V200" s="5" t="n">
        <v>1</v>
      </c>
      <c r="W200" s="2" t="inlineStr">
        <is>
          <t>low</t>
        </is>
      </c>
      <c r="X200" s="3" t="inlineStr"/>
      <c r="Y200" s="3" t="inlineStr">
        <is>
          <t>16% of this dish's available carbohydrate comes from ingredients with a published, measured GI; the rest uses conventional placeholders (see Ingredients sheet)</t>
        </is>
      </c>
      <c r="Z200" s="2" t="n">
        <v>16</v>
      </c>
      <c r="AA200" s="3" t="inlineStr">
        <is>
          <t>vegetarian, gluten-free, nut-free, low-carb, make-ahead</t>
        </is>
      </c>
      <c r="AB200" s="3" t="inlineStr">
        <is>
          <t>1. Steam cauliflower florets 6–8 minutes until just tender; cool completely.
2. Mix yogurt, mayo, Dijon and salt.
3. Fold in cauliflower, chopped eggs, celery, onion and pickle; top with paprika and chives. Chill 1 hour.</t>
        </is>
      </c>
      <c r="AC200" s="4" t="inlineStr">
        <is>
          <t>["Steam cauliflower florets 6–8 minutes until just tender; cool completely.", "Mix yogurt, mayo, Dijon and salt.", "Fold in cauliflower, chopped eggs, celery, onion and pickle; top with paprika and chives. Chill 1 hour."]</t>
        </is>
      </c>
    </row>
    <row r="201" ht="96" customHeight="1">
      <c r="A201" s="2" t="inlineStr">
        <is>
          <t>DB-0200</t>
        </is>
      </c>
      <c r="B201" s="3" t="inlineStr">
        <is>
          <t>Grilled Chicken Fattoush</t>
        </is>
      </c>
      <c r="C201" s="4" t="inlineStr">
        <is>
          <t>Salad</t>
        </is>
      </c>
      <c r="D201" s="4" t="inlineStr">
        <is>
          <t>Lebanese</t>
        </is>
      </c>
      <c r="E201" s="2" t="n">
        <v>3</v>
      </c>
      <c r="F201" s="2" t="n">
        <v>15</v>
      </c>
      <c r="G201" s="2" t="n">
        <v>15</v>
      </c>
      <c r="H201" s="2" t="n">
        <v>30</v>
      </c>
      <c r="I201" s="4" t="inlineStr">
        <is>
          <t>grilled-chicken-fattoush.jpg</t>
        </is>
      </c>
      <c r="J201" s="3" t="inlineStr">
        <is>
          <t>Grilled Chicken Fattoush, healthy food photography, plated, natural light</t>
        </is>
      </c>
      <c r="K201" s="4" t="inlineStr"/>
      <c r="L201" s="3" t="inlineStr">
        <is>
          <t>Chicken breast, skinless — 400 g (14.1 oz)
Whole wheat pita — 60 g (2.1 oz) [1 pita, toasted]
Romaine lettuce — 200 g (7.1 oz)
Cucumber — 150 g (5.3 oz)
Tomato — 200 g (7.1 oz)
Radishes — 60 g (2.1 oz)
Fresh mint — 8 g (0.3 oz)
Fresh parsley — 10 g (0.4 oz)
Extra-virgin olive oil — 25 g (0.9 oz)
Lemon juice — 25 g (0.9 oz)
Sumac — 4 g (0.1 oz)
Garlic — 3 g (0.1 oz)</t>
        </is>
      </c>
      <c r="M201" s="4" t="inlineStr">
        <is>
          <t>[{"ingredient_id": "chicken_breast", "name": "Chicken breast, skinless", "grams": 400.0, "note": ""}, {"ingredient_id": "whole_wheat_pita", "name": "Whole wheat pita", "grams": 60.0, "note": "1 pita, toasted"}, {"ingredient_id": "romaine", "name": "Romaine lettuce", "grams": 200.0, "note": ""}, {"ingredient_id": "cucumber", "name": "Cucumber", "grams": 150.0, "note": ""}, {"ingredient_id": "tomato", "name": "Tomato", "grams": 200.0, "note": ""}, {"ingredient_id": "radish", "name": "Radishes", "grams": 60.0, "note": ""}, {"ingredient_id": "mint", "name": "Fresh mint", "grams": 8.0, "note": ""}, {"ingredient_id": "parsley", "name": "Fresh parsley", "grams": 10.0, "note": ""}, {"ingredient_id": "olive_oil", "name": "Extra-virgin olive oil", "grams": 25.0, "note": ""}, {"ingredient_id": "lemon_juice", "name": "Lemon juice", "grams": 25.0, "note": ""}, {"ingredient_id": "sumac", "name": "Sumac", "grams": 4.0, "note": ""}, {"ingredient_id": "garlic", "name": "Garlic", "grams": 3.0, "note": ""}]</t>
        </is>
      </c>
      <c r="N201" s="2" t="n">
        <v>331</v>
      </c>
      <c r="O201" s="5" t="n">
        <v>34.3</v>
      </c>
      <c r="P201" s="5" t="n">
        <v>12.9</v>
      </c>
      <c r="Q201" s="5" t="n">
        <v>20.4</v>
      </c>
      <c r="R201" s="5" t="n">
        <v>4.9</v>
      </c>
      <c r="S201" s="5" t="n">
        <v>15.4</v>
      </c>
      <c r="T201" s="2" t="n">
        <v>41</v>
      </c>
      <c r="U201" s="2" t="inlineStr">
        <is>
          <t>low</t>
        </is>
      </c>
      <c r="V201" s="5" t="n">
        <v>6.3</v>
      </c>
      <c r="W201" s="2" t="inlineStr">
        <is>
          <t>low</t>
        </is>
      </c>
      <c r="X201" s="3" t="inlineStr"/>
      <c r="Y201" s="3" t="inlineStr">
        <is>
          <t>62% of this dish's available carbohydrate comes from ingredients with a published, measured GI; the rest uses conventional placeholders (see Ingredients sheet)</t>
        </is>
      </c>
      <c r="Z201" s="2" t="n">
        <v>62</v>
      </c>
      <c r="AA201" s="3" t="inlineStr">
        <is>
          <t>dairy-free, nut-free, high-protein</t>
        </is>
      </c>
      <c r="AB201" s="3" t="inlineStr">
        <is>
          <t>1. Grill seasoned chicken; slice. Toast pita until crisp and break into shards.
2. Whisk oil, lemon, sumac and garlic.
3. Toss lettuce, cucumber, tomato, radish, herbs with dressing; add chicken and pita.</t>
        </is>
      </c>
      <c r="AC201" s="4" t="inlineStr">
        <is>
          <t>["Grill seasoned chicken; slice. Toast pita until crisp and break into shards.", "Whisk oil, lemon, sumac and garlic.", "Toss lettuce, cucumber, tomato, radish, herbs with dressing; add chicken and pita."]</t>
        </is>
      </c>
    </row>
    <row r="202" ht="96" customHeight="1">
      <c r="A202" s="2" t="inlineStr">
        <is>
          <t>DB-0201</t>
        </is>
      </c>
      <c r="B202" s="3" t="inlineStr">
        <is>
          <t>Shrimp &amp; Avocado Mango Salad</t>
        </is>
      </c>
      <c r="C202" s="4" t="inlineStr">
        <is>
          <t>Salad</t>
        </is>
      </c>
      <c r="D202" s="4" t="inlineStr">
        <is>
          <t>Caribbean</t>
        </is>
      </c>
      <c r="E202" s="2" t="n">
        <v>2</v>
      </c>
      <c r="F202" s="2" t="n">
        <v>15</v>
      </c>
      <c r="G202" s="2" t="n">
        <v>5</v>
      </c>
      <c r="H202" s="2" t="n">
        <v>20</v>
      </c>
      <c r="I202" s="4" t="inlineStr">
        <is>
          <t>shrimp-and-avocado-mango-salad.jpg</t>
        </is>
      </c>
      <c r="J202" s="3" t="inlineStr">
        <is>
          <t>Shrimp &amp; Avocado Mango Salad, healthy food photography, plated, natural light</t>
        </is>
      </c>
      <c r="K202" s="4" t="inlineStr"/>
      <c r="L202" s="3" t="inlineStr">
        <is>
          <t>Shrimp, peeled — 300 g (10.6 oz)
Mango — 100 g (3.5 oz)
Avocado — 100 g (3.5 oz)
Red onion — 30 g (1.1 oz)
Jalapeño — 10 g (0.4 oz)
Fresh cilantro — 10 g (0.4 oz)
Lime juice — 20 g (0.7 oz)
Extra-virgin olive oil — 12 g (0.4 oz)
Mixed salad greens — 120 g (4.2 oz)
Ground cumin — 1 g (0.0 oz)</t>
        </is>
      </c>
      <c r="M202" s="4" t="inlineStr">
        <is>
          <t>[{"ingredient_id": "shrimp", "name": "Shrimp, peeled", "grams": 300.0, "note": ""}, {"ingredient_id": "mango", "name": "Mango", "grams": 100.0, "note": ""}, {"ingredient_id": "avocado", "name": "Avocado", "grams": 100.0, "note": ""}, {"ingredient_id": "red_onion", "name": "Red onion", "grams": 30.0, "note": ""}, {"ingredient_id": "jalapeno", "name": "Jalapeño", "grams": 10.0, "note": ""}, {"ingredient_id": "cilantro", "name": "Fresh cilantro", "grams": 10.0, "note": ""}, {"ingredient_id": "lime_juice", "name": "Lime juice", "grams": 20.0, "note": ""}, {"ingredient_id": "olive_oil", "name": "Extra-virgin olive oil", "grams": 12.0, "note": ""}, {"ingredient_id": "mixed_greens", "name": "Mixed salad greens", "grams": 120.0, "note": ""}, {"ingredient_id": "cumin", "name": "Ground cumin", "grams": 1.0, "note": ""}]</t>
        </is>
      </c>
      <c r="N202" s="2" t="n">
        <v>316</v>
      </c>
      <c r="O202" s="5" t="n">
        <v>33</v>
      </c>
      <c r="P202" s="5" t="n">
        <v>14.8</v>
      </c>
      <c r="Q202" s="5" t="n">
        <v>16.8</v>
      </c>
      <c r="R202" s="5" t="n">
        <v>6</v>
      </c>
      <c r="S202" s="5" t="n">
        <v>10.8</v>
      </c>
      <c r="T202" s="2" t="n">
        <v>32</v>
      </c>
      <c r="U202" s="2" t="inlineStr">
        <is>
          <t>low</t>
        </is>
      </c>
      <c r="V202" s="5" t="n">
        <v>3.5</v>
      </c>
      <c r="W202" s="2" t="inlineStr">
        <is>
          <t>low</t>
        </is>
      </c>
      <c r="X202" s="3" t="inlineStr"/>
      <c r="Y202" s="3" t="inlineStr">
        <is>
          <t>62% of this dish's available carbohydrate comes from ingredients with a published, measured GI; the rest uses conventional placeholders (see Ingredients sheet)</t>
        </is>
      </c>
      <c r="Z202" s="2" t="n">
        <v>62</v>
      </c>
      <c r="AA202" s="3" t="inlineStr">
        <is>
          <t>pescatarian, gluten-free, dairy-free, nut-free, low-carb, high-protein</t>
        </is>
      </c>
      <c r="AB202" s="3" t="inlineStr">
        <is>
          <t>1. Sauté shrimp with cumin 3 minutes; cool.
2. Toss mango, avocado, onion, jalapeño, cilantro with lime and oil.
3. Serve with shrimp over greens.</t>
        </is>
      </c>
      <c r="AC202" s="4" t="inlineStr">
        <is>
          <t>["Sauté shrimp with cumin 3 minutes; cool.", "Toss mango, avocado, onion, jalapeño, cilantro with lime and oil.", "Serve with shrimp over greens."]</t>
        </is>
      </c>
    </row>
    <row r="203" ht="96" customHeight="1">
      <c r="A203" s="2" t="inlineStr">
        <is>
          <t>DB-0202</t>
        </is>
      </c>
      <c r="B203" s="3" t="inlineStr">
        <is>
          <t>Lemony Lentil &amp; Arugula Salad with Salmon</t>
        </is>
      </c>
      <c r="C203" s="4" t="inlineStr">
        <is>
          <t>Salad</t>
        </is>
      </c>
      <c r="D203" s="4" t="inlineStr">
        <is>
          <t>Mediterranean</t>
        </is>
      </c>
      <c r="E203" s="2" t="n">
        <v>2</v>
      </c>
      <c r="F203" s="2" t="n">
        <v>10</v>
      </c>
      <c r="G203" s="2" t="n">
        <v>12</v>
      </c>
      <c r="H203" s="2" t="n">
        <v>22</v>
      </c>
      <c r="I203" s="4" t="inlineStr">
        <is>
          <t>lemony-lentil-and-arugula-salad-with-salmon.jpg</t>
        </is>
      </c>
      <c r="J203" s="3" t="inlineStr">
        <is>
          <t>Lemony Lentil &amp; Arugula Salad with Salmon, healthy food photography, plated, natural light</t>
        </is>
      </c>
      <c r="K203" s="4" t="inlineStr"/>
      <c r="L203" s="3" t="inlineStr">
        <is>
          <t>Salmon fillet — 280 g (9.9 oz)
Lentils, cooked — 250 g (8.8 oz)
Arugula — 100 g (3.5 oz)
Cherry tomatoes — 120 g (4.2 oz)
Red onion — 30 g (1.1 oz)
Lemon juice — 20 g (0.7 oz)
Extra-virgin olive oil — 18 g (0.6 oz)
Dijon mustard — 6 g (0.2 oz)
Fresh parsley — 8 g (0.3 oz)</t>
        </is>
      </c>
      <c r="M203" s="4" t="inlineStr">
        <is>
          <t>[{"ingredient_id": "salmon", "name": "Salmon fillet", "grams": 280.0, "note": ""}, {"ingredient_id": "lentils", "name": "Lentils, cooked", "grams": 250.0, "note": ""}, {"ingredient_id": "arugula", "name": "Arugula", "grams": 100.0, "note": ""}, {"ingredient_id": "cherry_tomato", "name": "Cherry tomatoes", "grams": 120.0, "note": ""}, {"ingredient_id": "red_onion", "name": "Red onion", "grams": 30.0, "note": ""}, {"ingredient_id": "lemon_juice", "name": "Lemon juice", "grams": 20.0, "note": ""}, {"ingredient_id": "olive_oil", "name": "Extra-virgin olive oil", "grams": 18.0, "note": ""}, {"ingredient_id": "dijon", "name": "Dijon mustard", "grams": 6.0, "note": ""}, {"ingredient_id": "parsley", "name": "Fresh parsley", "grams": 8.0, "note": ""}]</t>
        </is>
      </c>
      <c r="N203" s="2" t="n">
        <v>551</v>
      </c>
      <c r="O203" s="5" t="n">
        <v>41.5</v>
      </c>
      <c r="P203" s="5" t="n">
        <v>28.3</v>
      </c>
      <c r="Q203" s="5" t="n">
        <v>31.7</v>
      </c>
      <c r="R203" s="5" t="n">
        <v>11.9</v>
      </c>
      <c r="S203" s="5" t="n">
        <v>19.8</v>
      </c>
      <c r="T203" s="2" t="n">
        <v>31</v>
      </c>
      <c r="U203" s="2" t="inlineStr">
        <is>
          <t>low</t>
        </is>
      </c>
      <c r="V203" s="5" t="n">
        <v>6.1</v>
      </c>
      <c r="W203" s="2" t="inlineStr">
        <is>
          <t>low</t>
        </is>
      </c>
      <c r="X203" s="3" t="inlineStr"/>
      <c r="Y203" s="3" t="inlineStr">
        <is>
          <t>76% of this dish's available carbohydrate comes from ingredients with a published, measured GI; the rest uses conventional placeholders (see Ingredients sheet)</t>
        </is>
      </c>
      <c r="Z203" s="2" t="n">
        <v>76</v>
      </c>
      <c r="AA203" s="3" t="inlineStr">
        <is>
          <t>pescatarian, gluten-free, dairy-free, nut-free, high-protein, high-fiber, omega-3</t>
        </is>
      </c>
      <c r="AB203" s="3" t="inlineStr">
        <is>
          <t>1. Roast salmon at 400°F for 12 minutes.
2. Whisk lemon, olive oil and Dijon; toss with lentils, tomatoes, onion and parsley.
3. Serve on arugula with flaked salmon.</t>
        </is>
      </c>
      <c r="AC203" s="4" t="inlineStr">
        <is>
          <t>["Roast salmon at 400°F for 12 minutes.", "Whisk lemon, olive oil and Dijon; toss with lentils, tomatoes, onion and parsley.", "Serve on arugula with flaked salmon."]</t>
        </is>
      </c>
    </row>
    <row r="204" ht="96" customHeight="1">
      <c r="A204" s="2" t="inlineStr">
        <is>
          <t>DB-0203</t>
        </is>
      </c>
      <c r="B204" s="3" t="inlineStr">
        <is>
          <t>Chicken Larb Lettuce Salad</t>
        </is>
      </c>
      <c r="C204" s="4" t="inlineStr">
        <is>
          <t>Salad</t>
        </is>
      </c>
      <c r="D204" s="4" t="inlineStr">
        <is>
          <t>Thai</t>
        </is>
      </c>
      <c r="E204" s="2" t="n">
        <v>3</v>
      </c>
      <c r="F204" s="2" t="n">
        <v>10</v>
      </c>
      <c r="G204" s="2" t="n">
        <v>10</v>
      </c>
      <c r="H204" s="2" t="n">
        <v>20</v>
      </c>
      <c r="I204" s="4" t="inlineStr">
        <is>
          <t>chicken-larb-lettuce-salad.jpg</t>
        </is>
      </c>
      <c r="J204" s="3" t="inlineStr">
        <is>
          <t>Chicken Larb Lettuce Salad, healthy food photography, plated, natural light</t>
        </is>
      </c>
      <c r="K204" s="4" t="inlineStr"/>
      <c r="L204" s="3" t="inlineStr">
        <is>
          <t>Ground chicken — 400 g (14.1 oz)
Shallot — 40 g (1.4 oz)
Lime juice — 30 g (1.1 oz)
Fish sauce — 15 g (0.5 oz)
Fresh mint — 10 g (0.4 oz)
Fresh cilantro — 10 g (0.4 oz)
Green onions (scallions) — 20 g (0.7 oz)
Red pepper flakes — 2 g (0.1 oz)
Butter lettuce — 150 g (5.3 oz)
Cucumber — 100 g (3.5 oz)
Avocado oil — 8 g (0.3 oz)</t>
        </is>
      </c>
      <c r="M204" s="4" t="inlineStr">
        <is>
          <t>[{"ingredient_id": "ground_chicken", "name": "Ground chicken", "grams": 400.0, "note": ""}, {"ingredient_id": "shallot", "name": "Shallot", "grams": 40.0, "note": ""}, {"ingredient_id": "lime_juice", "name": "Lime juice", "grams": 30.0, "note": ""}, {"ingredient_id": "fish_sauce", "name": "Fish sauce", "grams": 15.0, "note": ""}, {"ingredient_id": "mint", "name": "Fresh mint", "grams": 10.0, "note": ""}, {"ingredient_id": "cilantro", "name": "Fresh cilantro", "grams": 10.0, "note": ""}, {"ingredient_id": "green_onion", "name": "Green onions (scallions)", "grams": 20.0, "note": ""}, {"ingredient_id": "red_pepper_flakes", "name": "Red pepper flakes", "grams": 2.0, "note": ""}, {"ingredient_id": "butter_lettuce", "name": "Butter lettuce", "grams": 150.0, "note": ""}, {"ingredient_id": "cucumber", "name": "Cucumber", "grams": 100.0, "note": ""}, {"ingredient_id": "avocado_oil", "name": "Avocado oil", "grams": 8.0, "note": ""}]</t>
        </is>
      </c>
      <c r="N204" s="2" t="n">
        <v>246</v>
      </c>
      <c r="O204" s="5" t="n">
        <v>24.6</v>
      </c>
      <c r="P204" s="5" t="n">
        <v>13.7</v>
      </c>
      <c r="Q204" s="5" t="n">
        <v>6.9</v>
      </c>
      <c r="R204" s="5" t="n">
        <v>1.9</v>
      </c>
      <c r="S204" s="5" t="n">
        <v>5</v>
      </c>
      <c r="T204" s="2" t="n">
        <v>15</v>
      </c>
      <c r="U204" s="2" t="inlineStr">
        <is>
          <t>low</t>
        </is>
      </c>
      <c r="V204" s="5" t="n">
        <v>0.8</v>
      </c>
      <c r="W204" s="2" t="inlineStr">
        <is>
          <t>low</t>
        </is>
      </c>
      <c r="X204" s="3" t="inlineStr"/>
      <c r="Y204" s="3" t="inlineStr">
        <is>
          <t>0% of this dish's available carbohydrate comes from ingredients with a published, measured GI; the rest uses conventional placeholders (see Ingredients sheet)</t>
        </is>
      </c>
      <c r="Z204" s="2" t="n">
        <v>0</v>
      </c>
      <c r="AA204" s="3" t="inlineStr">
        <is>
          <t>gluten-free, dairy-free, nut-free, low-carb</t>
        </is>
      </c>
      <c r="AB204" s="3" t="inlineStr">
        <is>
          <t>1. Brown chicken in avocado oil, breaking it up, 8 minutes.
2. Off heat toss with shallot, lime juice, fish sauce, herbs, green onion and pepper flakes.
3. Serve in lettuce cups with cucumber.</t>
        </is>
      </c>
      <c r="AC204" s="4" t="inlineStr">
        <is>
          <t>["Brown chicken in avocado oil, breaking it up, 8 minutes.", "Off heat toss with shallot, lime juice, fish sauce, herbs, green onion and pepper flakes.", "Serve in lettuce cups with cucumber."]</t>
        </is>
      </c>
    </row>
    <row r="205" ht="96" customHeight="1">
      <c r="A205" s="2" t="inlineStr">
        <is>
          <t>DB-0204</t>
        </is>
      </c>
      <c r="B205" s="3" t="inlineStr">
        <is>
          <t>Hearts of Palm 'Crab' Salad</t>
        </is>
      </c>
      <c r="C205" s="4" t="inlineStr">
        <is>
          <t>Salad</t>
        </is>
      </c>
      <c r="D205" s="4" t="inlineStr">
        <is>
          <t>American</t>
        </is>
      </c>
      <c r="E205" s="2" t="n">
        <v>2</v>
      </c>
      <c r="F205" s="2" t="n">
        <v>10</v>
      </c>
      <c r="G205" s="2" t="n">
        <v>0</v>
      </c>
      <c r="H205" s="2" t="n">
        <v>10</v>
      </c>
      <c r="I205" s="4" t="inlineStr">
        <is>
          <t>hearts-of-palm-crab-salad.jpg</t>
        </is>
      </c>
      <c r="J205" s="3" t="inlineStr">
        <is>
          <t>Hearts of Palm 'Crab' Salad, healthy food photography, plated, natural light</t>
        </is>
      </c>
      <c r="K205" s="4" t="inlineStr"/>
      <c r="L205" s="3" t="inlineStr">
        <is>
          <t>Hearts of palm — 300 g (10.6 oz)
Celery — 60 g (2.1 oz)
Red onion — 20 g (0.7 oz)
Greek yogurt, plain 2% — 60 g (2.1 oz)
Mayonnaise (avocado oil) — 15 g (0.5 oz)
Dijon mustard — 5 g (0.2 oz)
Old Bay seasoning — 2 g (0.1 oz)
Lemon juice — 10 g (0.4 oz)
Butter lettuce — 100 g (3.5 oz)
Fresh chives — 4 g (0.1 oz)</t>
        </is>
      </c>
      <c r="M205" s="4" t="inlineStr">
        <is>
          <t>[{"ingredient_id": "hearts_of_palm", "name": "Hearts of palm", "grams": 300.0, "note": ""}, {"ingredient_id": "celery", "name": "Celery", "grams": 60.0, "note": ""}, {"ingredient_id": "red_onion", "name": "Red onion", "grams": 20.0, "note": ""}, {"ingredient_id": "greek_yogurt", "name": "Greek yogurt, plain 2%", "grams": 60.0, "note": ""}, {"ingredient_id": "mayo", "name": "Mayonnaise (avocado oil)", "grams": 15.0, "note": ""}, {"ingredient_id": "dijon", "name": "Dijon mustard", "grams": 5.0, "note": ""}, {"ingredient_id": "old_bay", "name": "Old Bay seasoning", "grams": 2.0, "note": ""}, {"ingredient_id": "lemon_juice", "name": "Lemon juice", "grams": 10.0, "note": ""}, {"ingredient_id": "butter_lettuce", "name": "Butter lettuce", "grams": 100.0, "note": ""}, {"ingredient_id": "chives", "name": "Fresh chives", "grams": 4.0, "note": ""}]</t>
        </is>
      </c>
      <c r="N205" s="2" t="n">
        <v>138</v>
      </c>
      <c r="O205" s="5" t="n">
        <v>8.1</v>
      </c>
      <c r="P205" s="5" t="n">
        <v>7.7</v>
      </c>
      <c r="Q205" s="5" t="n">
        <v>12.1</v>
      </c>
      <c r="R205" s="5" t="n">
        <v>5.2</v>
      </c>
      <c r="S205" s="5" t="n">
        <v>6.9</v>
      </c>
      <c r="T205" s="2" t="n">
        <v>15</v>
      </c>
      <c r="U205" s="2" t="inlineStr">
        <is>
          <t>low</t>
        </is>
      </c>
      <c r="V205" s="5" t="n">
        <v>1</v>
      </c>
      <c r="W205" s="2" t="inlineStr">
        <is>
          <t>low</t>
        </is>
      </c>
      <c r="X205" s="3" t="inlineStr"/>
      <c r="Y205" s="3" t="inlineStr">
        <is>
          <t>17% of this dish's available carbohydrate comes from ingredients with a published, measured GI; the rest uses conventional placeholders (see Ingredients sheet)</t>
        </is>
      </c>
      <c r="Z205" s="2" t="n">
        <v>17</v>
      </c>
      <c r="AA205" s="3" t="inlineStr">
        <is>
          <t>vegetarian, gluten-free, nut-free, low-carb, no-cook</t>
        </is>
      </c>
      <c r="AB205" s="3" t="inlineStr">
        <is>
          <t>1. Shred hearts of palm with a fork.
2. Mix with celery, onion, yogurt, mayo, Dijon, Old Bay and lemon.
3. Serve in lettuce cups.</t>
        </is>
      </c>
      <c r="AC205" s="4" t="inlineStr">
        <is>
          <t>["Shred hearts of palm with a fork.", "Mix with celery, onion, yogurt, mayo, Dijon, Old Bay and lemon.", "Serve in lettuce cups."]</t>
        </is>
      </c>
    </row>
    <row r="206" ht="96" customHeight="1">
      <c r="A206" s="2" t="inlineStr">
        <is>
          <t>DB-0205</t>
        </is>
      </c>
      <c r="B206" s="3" t="inlineStr">
        <is>
          <t>Tuna Avocado Salad Stuffed Tomatoes</t>
        </is>
      </c>
      <c r="C206" s="4" t="inlineStr">
        <is>
          <t>Salad</t>
        </is>
      </c>
      <c r="D206" s="4" t="inlineStr">
        <is>
          <t>American</t>
        </is>
      </c>
      <c r="E206" s="2" t="n">
        <v>2</v>
      </c>
      <c r="F206" s="2" t="n">
        <v>10</v>
      </c>
      <c r="G206" s="2" t="n">
        <v>0</v>
      </c>
      <c r="H206" s="2" t="n">
        <v>10</v>
      </c>
      <c r="I206" s="4" t="inlineStr">
        <is>
          <t>tuna-avocado-salad-stuffed-tomatoes.jpg</t>
        </is>
      </c>
      <c r="J206" s="3" t="inlineStr">
        <is>
          <t>Tuna Avocado Salad Stuffed Tomatoes, healthy food photography, plated, natural light</t>
        </is>
      </c>
      <c r="K206" s="4" t="inlineStr"/>
      <c r="L206" s="3" t="inlineStr">
        <is>
          <t>Tuna, canned in water — 170 g (6.0 oz)
Avocado — 100 g (3.5 oz)
Tomato — 300 g (10.6 oz) [2 large]
Celery — 40 g (1.4 oz)
Red onion — 20 g (0.7 oz)
Lemon juice — 10 g (0.4 oz)
Dijon mustard — 5 g (0.2 oz)
Fresh chives — 4 g (0.1 oz)</t>
        </is>
      </c>
      <c r="M206" s="4" t="inlineStr">
        <is>
          <t>[{"ingredient_id": "tuna_canned", "name": "Tuna, canned in water", "grams": 170.0, "note": ""}, {"ingredient_id": "avocado", "name": "Avocado", "grams": 100.0, "note": ""}, {"ingredient_id": "tomato", "name": "Tomato", "grams": 300.0, "note": "2 large"}, {"ingredient_id": "celery", "name": "Celery", "grams": 40.0, "note": ""}, {"ingredient_id": "red_onion", "name": "Red onion", "grams": 20.0, "note": ""}, {"ingredient_id": "lemon_juice", "name": "Lemon juice", "grams": 10.0, "note": ""}, {"ingredient_id": "dijon", "name": "Dijon mustard", "grams": 5.0, "note": ""}, {"ingredient_id": "chives", "name": "Fresh chives", "grams": 4.0, "note": ""}]</t>
        </is>
      </c>
      <c r="N206" s="2" t="n">
        <v>216</v>
      </c>
      <c r="O206" s="5" t="n">
        <v>24.9</v>
      </c>
      <c r="P206" s="5" t="n">
        <v>8.800000000000001</v>
      </c>
      <c r="Q206" s="5" t="n">
        <v>12.2</v>
      </c>
      <c r="R206" s="5" t="n">
        <v>5.8</v>
      </c>
      <c r="S206" s="5" t="n">
        <v>6.4</v>
      </c>
      <c r="T206" s="2" t="n">
        <v>15</v>
      </c>
      <c r="U206" s="2" t="inlineStr">
        <is>
          <t>low</t>
        </is>
      </c>
      <c r="V206" s="5" t="n">
        <v>1</v>
      </c>
      <c r="W206" s="2" t="inlineStr">
        <is>
          <t>low</t>
        </is>
      </c>
      <c r="X206" s="3" t="inlineStr"/>
      <c r="Y206" s="3" t="inlineStr">
        <is>
          <t>0% of this dish's available carbohydrate comes from ingredients with a published, measured GI; the rest uses conventional placeholders (see Ingredients sheet)</t>
        </is>
      </c>
      <c r="Z206" s="2" t="n">
        <v>0</v>
      </c>
      <c r="AA206" s="3" t="inlineStr">
        <is>
          <t>pescatarian, gluten-free, dairy-free, nut-free, low-carb, no-cook</t>
        </is>
      </c>
      <c r="AB206" s="3" t="inlineStr">
        <is>
          <t>1. Mash avocado with lemon and Dijon; fold in tuna, celery and onion.
2. Hollow out tomatoes.
3. Fill with tuna salad and top with chives.</t>
        </is>
      </c>
      <c r="AC206" s="4" t="inlineStr">
        <is>
          <t>["Mash avocado with lemon and Dijon; fold in tuna, celery and onion.", "Hollow out tomatoes.", "Fill with tuna salad and top with chives."]</t>
        </is>
      </c>
    </row>
    <row r="207" ht="96" customHeight="1">
      <c r="A207" s="2" t="inlineStr">
        <is>
          <t>DB-0206</t>
        </is>
      </c>
      <c r="B207" s="3" t="inlineStr">
        <is>
          <t>Pomegranate Kale Salad with Chicken</t>
        </is>
      </c>
      <c r="C207" s="4" t="inlineStr">
        <is>
          <t>Salad</t>
        </is>
      </c>
      <c r="D207" s="4" t="inlineStr">
        <is>
          <t>American</t>
        </is>
      </c>
      <c r="E207" s="2" t="n">
        <v>2</v>
      </c>
      <c r="F207" s="2" t="n">
        <v>10</v>
      </c>
      <c r="G207" s="2" t="n">
        <v>12</v>
      </c>
      <c r="H207" s="2" t="n">
        <v>22</v>
      </c>
      <c r="I207" s="4" t="inlineStr">
        <is>
          <t>pomegranate-kale-salad-with-chicken.jpg</t>
        </is>
      </c>
      <c r="J207" s="3" t="inlineStr">
        <is>
          <t>Pomegranate Kale Salad with Chicken, healthy food photography, plated, natural light</t>
        </is>
      </c>
      <c r="K207" s="4" t="inlineStr"/>
      <c r="L207" s="3" t="inlineStr">
        <is>
          <t>Chicken breast, skinless — 280 g (9.9 oz)
Kale — 180 g (6.3 oz)
Pomegranate arils — 60 g (2.1 oz)
Walnuts — 25 g (0.9 oz)
Feta cheese — 30 g (1.1 oz)
Extra-virgin olive oil — 15 g (0.5 oz)
Lemon juice — 15 g (0.5 oz)
Dijon mustard — 5 g (0.2 oz)
Honey (small amount) — 4 g (0.1 oz)</t>
        </is>
      </c>
      <c r="M207" s="4" t="inlineStr">
        <is>
          <t>[{"ingredient_id": "chicken_breast", "name": "Chicken breast, skinless", "grams": 280.0, "note": ""}, {"ingredient_id": "kale", "name": "Kale", "grams": 180.0, "note": ""}, {"ingredient_id": "pomegranate", "name": "Pomegranate arils", "grams": 60.0, "note": ""}, {"ingredient_id": "walnuts", "name": "Walnuts", "grams": 25.0, "note": ""}, {"ingredient_id": "feta", "name": "Feta cheese", "grams": 30.0, "note": ""}, {"ingredient_id": "olive_oil", "name": "Extra-virgin olive oil", "grams": 15.0, "note": ""}, {"ingredient_id": "lemon_juice", "name": "Lemon juice", "grams": 15.0, "note": ""}, {"ingredient_id": "dijon", "name": "Dijon mustard", "grams": 5.0, "note": ""}, {"ingredient_id": "honey", "name": "Honey (small amount)", "grams": 4.0, "note": ""}]</t>
        </is>
      </c>
      <c r="N207" s="2" t="n">
        <v>434</v>
      </c>
      <c r="O207" s="5" t="n">
        <v>40</v>
      </c>
      <c r="P207" s="5" t="n">
        <v>23.7</v>
      </c>
      <c r="Q207" s="5" t="n">
        <v>18.3</v>
      </c>
      <c r="R207" s="5" t="n">
        <v>5.4</v>
      </c>
      <c r="S207" s="5" t="n">
        <v>12.9</v>
      </c>
      <c r="T207" s="2" t="n">
        <v>33</v>
      </c>
      <c r="U207" s="2" t="inlineStr">
        <is>
          <t>low</t>
        </is>
      </c>
      <c r="V207" s="5" t="n">
        <v>4.2</v>
      </c>
      <c r="W207" s="2" t="inlineStr">
        <is>
          <t>low</t>
        </is>
      </c>
      <c r="X207" s="3" t="inlineStr"/>
      <c r="Y207" s="3" t="inlineStr">
        <is>
          <t>13% of this dish's available carbohydrate comes from ingredients with a published, measured GI; the rest uses conventional placeholders (see Ingredients sheet)</t>
        </is>
      </c>
      <c r="Z207" s="2" t="n">
        <v>13</v>
      </c>
      <c r="AA207" s="3" t="inlineStr">
        <is>
          <t>gluten-free, low-carb, high-protein</t>
        </is>
      </c>
      <c r="AB207" s="3" t="inlineStr">
        <is>
          <t>1. Grill chicken; slice.
2. Massage kale with oil, lemon, Dijon and honey.
3. Top with chicken, pomegranate, walnuts and feta.</t>
        </is>
      </c>
      <c r="AC207" s="4" t="inlineStr">
        <is>
          <t>["Grill chicken; slice.", "Massage kale with oil, lemon, Dijon and honey.", "Top with chicken, pomegranate, walnuts and feta."]</t>
        </is>
      </c>
    </row>
    <row r="208" ht="96" customHeight="1">
      <c r="A208" s="2" t="inlineStr">
        <is>
          <t>DB-0207</t>
        </is>
      </c>
      <c r="B208" s="3" t="inlineStr">
        <is>
          <t>Zucchini Ribbon Salad with Parmesan &amp; Pine Nuts</t>
        </is>
      </c>
      <c r="C208" s="4" t="inlineStr">
        <is>
          <t>Salad</t>
        </is>
      </c>
      <c r="D208" s="4" t="inlineStr">
        <is>
          <t>Italian</t>
        </is>
      </c>
      <c r="E208" s="2" t="n">
        <v>2</v>
      </c>
      <c r="F208" s="2" t="n">
        <v>10</v>
      </c>
      <c r="G208" s="2" t="n">
        <v>0</v>
      </c>
      <c r="H208" s="2" t="n">
        <v>10</v>
      </c>
      <c r="I208" s="4" t="inlineStr">
        <is>
          <t>zucchini-ribbon-salad-with-parmesan-and-pine-nuts.jpg</t>
        </is>
      </c>
      <c r="J208" s="3" t="inlineStr">
        <is>
          <t>Zucchini Ribbon Salad with Parmesan &amp; Pine Nuts, healthy food photography, plated, natural light</t>
        </is>
      </c>
      <c r="K208" s="4" t="inlineStr"/>
      <c r="L208" s="3" t="inlineStr">
        <is>
          <t>Zucchini — 350 g (12.3 oz)
Parmesan, grated — 30 g (1.1 oz)
Pine nuts — 15 g (0.5 oz)
Lemon juice — 15 g (0.5 oz)
Extra-virgin olive oil — 15 g (0.5 oz)
Fresh basil — 8 g (0.3 oz)
Cannellini beans, cooked — 150 g (5.3 oz)
Black pepper — 1 g (0.0 oz)</t>
        </is>
      </c>
      <c r="M208" s="4" t="inlineStr">
        <is>
          <t>[{"ingredient_id": "zucchini", "name": "Zucchini", "grams": 350.0, "note": ""}, {"ingredient_id": "parmesan", "name": "Parmesan, grated", "grams": 30.0, "note": ""}, {"ingredient_id": "pine_nuts", "name": "Pine nuts", "grams": 15.0, "note": ""}, {"ingredient_id": "lemon_juice", "name": "Lemon juice", "grams": 15.0, "note": ""}, {"ingredient_id": "olive_oil", "name": "Extra-virgin olive oil", "grams": 15.0, "note": ""}, {"ingredient_id": "basil", "name": "Fresh basil", "grams": 8.0, "note": ""}, {"ingredient_id": "white_beans", "name": "Cannellini beans, cooked", "grams": 150.0, "note": ""}, {"ingredient_id": "black_pepper", "name": "Black pepper", "grams": 1.0, "note": ""}]</t>
        </is>
      </c>
      <c r="N208" s="2" t="n">
        <v>319</v>
      </c>
      <c r="O208" s="5" t="n">
        <v>16.3</v>
      </c>
      <c r="P208" s="5" t="n">
        <v>17.8</v>
      </c>
      <c r="Q208" s="5" t="n">
        <v>26.7</v>
      </c>
      <c r="R208" s="5" t="n">
        <v>7</v>
      </c>
      <c r="S208" s="5" t="n">
        <v>19.7</v>
      </c>
      <c r="T208" s="2" t="n">
        <v>26</v>
      </c>
      <c r="U208" s="2" t="inlineStr">
        <is>
          <t>low</t>
        </is>
      </c>
      <c r="V208" s="5" t="n">
        <v>5.1</v>
      </c>
      <c r="W208" s="2" t="inlineStr">
        <is>
          <t>low</t>
        </is>
      </c>
      <c r="X208" s="3" t="inlineStr"/>
      <c r="Y208" s="3" t="inlineStr">
        <is>
          <t>71% of this dish's available carbohydrate comes from ingredients with a published, measured GI; the rest uses conventional placeholders (see Ingredients sheet)</t>
        </is>
      </c>
      <c r="Z208" s="2" t="n">
        <v>71</v>
      </c>
      <c r="AA208" s="3" t="inlineStr">
        <is>
          <t>vegetarian, gluten-free, no-cook</t>
        </is>
      </c>
      <c r="AB208" s="3" t="inlineStr">
        <is>
          <t>1. Shave zucchini into ribbons with a peeler.
2. Toss with lemon, olive oil, beans and basil.
3. Top with parmesan shavings, pine nuts and pepper.</t>
        </is>
      </c>
      <c r="AC208" s="4" t="inlineStr">
        <is>
          <t>["Shave zucchini into ribbons with a peeler.", "Toss with lemon, olive oil, beans and basil.", "Top with parmesan shavings, pine nuts and pepper."]</t>
        </is>
      </c>
    </row>
    <row r="209" ht="96" customHeight="1">
      <c r="A209" s="2" t="inlineStr">
        <is>
          <t>DB-0208</t>
        </is>
      </c>
      <c r="B209" s="3" t="inlineStr">
        <is>
          <t>Beef Taco Salad Bowl</t>
        </is>
      </c>
      <c r="C209" s="4" t="inlineStr">
        <is>
          <t>Salad</t>
        </is>
      </c>
      <c r="D209" s="4" t="inlineStr">
        <is>
          <t>Tex-Mex</t>
        </is>
      </c>
      <c r="E209" s="2" t="n">
        <v>3</v>
      </c>
      <c r="F209" s="2" t="n">
        <v>10</v>
      </c>
      <c r="G209" s="2" t="n">
        <v>12</v>
      </c>
      <c r="H209" s="2" t="n">
        <v>22</v>
      </c>
      <c r="I209" s="4" t="inlineStr">
        <is>
          <t>beef-taco-salad-bowl.jpg</t>
        </is>
      </c>
      <c r="J209" s="3" t="inlineStr">
        <is>
          <t>Beef Taco Salad Bowl, healthy food photography, plated, natural light</t>
        </is>
      </c>
      <c r="K209" s="4" t="inlineStr"/>
      <c r="L209" s="3" t="inlineStr">
        <is>
          <t>Ground beef 90% lean — 400 g (14.1 oz)
Taco seasoning, low sodium — 10 g (0.4 oz)
Romaine lettuce — 250 g (8.8 oz)
Pinto beans, cooked — 150 g (5.3 oz)
Tomato — 150 g (5.3 oz)
Cheddar cheese — 50 g (1.8 oz)
Avocado — 100 g (3.5 oz)
Salsa, no sugar added — 90 g (3.2 oz)
Greek yogurt, plain 2% — 60 g (2.1 oz)
Green onions (scallions) — 15 g (0.5 oz)</t>
        </is>
      </c>
      <c r="M209" s="4" t="inlineStr">
        <is>
          <t>[{"ingredient_id": "ground_beef", "name": "Ground beef 90% lean", "grams": 400.0, "note": ""}, {"ingredient_id": "taco_seasoning", "name": "Taco seasoning, low sodium", "grams": 10.0, "note": ""}, {"ingredient_id": "romaine", "name": "Romaine lettuce", "grams": 250.0, "note": ""}, {"ingredient_id": "pinto_beans", "name": "Pinto beans, cooked", "grams": 150.0, "note": ""}, {"ingredient_id": "tomato", "name": "Tomato", "grams": 150.0, "note": ""}, {"ingredient_id": "cheddar", "name": "Cheddar cheese", "grams": 50.0, "note": ""}, {"ingredient_id": "avocado", "name": "Avocado", "grams": 100.0, "note": ""}, {"ingredient_id": "salsa", "name": "Salsa, no sugar added", "grams": 90.0, "note": ""}, {"ingredient_id": "greek_yogurt", "name": "Greek yogurt, plain 2%", "grams": 60.0, "note": ""}, {"ingredient_id": "green_onion", "name": "Green onions (scallions)", "grams": 15.0, "note": ""}]</t>
        </is>
      </c>
      <c r="N209" s="2" t="n">
        <v>487</v>
      </c>
      <c r="O209" s="5" t="n">
        <v>40</v>
      </c>
      <c r="P209" s="5" t="n">
        <v>25.2</v>
      </c>
      <c r="Q209" s="5" t="n">
        <v>25.8</v>
      </c>
      <c r="R209" s="5" t="n">
        <v>10.5</v>
      </c>
      <c r="S209" s="5" t="n">
        <v>15.4</v>
      </c>
      <c r="T209" s="2" t="n">
        <v>26</v>
      </c>
      <c r="U209" s="2" t="inlineStr">
        <is>
          <t>low</t>
        </is>
      </c>
      <c r="V209" s="5" t="n">
        <v>4</v>
      </c>
      <c r="W209" s="2" t="inlineStr">
        <is>
          <t>low</t>
        </is>
      </c>
      <c r="X209" s="3" t="inlineStr"/>
      <c r="Y209" s="3" t="inlineStr">
        <is>
          <t>61% of this dish's available carbohydrate comes from ingredients with a published, measured GI; the rest uses conventional placeholders (see Ingredients sheet)</t>
        </is>
      </c>
      <c r="Z209" s="2" t="n">
        <v>61</v>
      </c>
      <c r="AA209" s="3" t="inlineStr">
        <is>
          <t>gluten-free, nut-free, high-protein, high-fiber</t>
        </is>
      </c>
      <c r="AB209" s="3" t="inlineStr">
        <is>
          <t>1. Brown beef with taco seasoning, drain.
2. Layer romaine, beans, tomato and beef.
3. Top with cheddar, avocado, salsa, yogurt and green onion.</t>
        </is>
      </c>
      <c r="AC209" s="4" t="inlineStr">
        <is>
          <t>["Brown beef with taco seasoning, drain.", "Layer romaine, beans, tomato and beef.", "Top with cheddar, avocado, salsa, yogurt and green onion."]</t>
        </is>
      </c>
    </row>
    <row r="210" ht="96" customHeight="1">
      <c r="A210" s="2" t="inlineStr">
        <is>
          <t>DB-0209</t>
        </is>
      </c>
      <c r="B210" s="3" t="inlineStr">
        <is>
          <t>Cucumber Tomato Feta Salad</t>
        </is>
      </c>
      <c r="C210" s="4" t="inlineStr">
        <is>
          <t>Salad</t>
        </is>
      </c>
      <c r="D210" s="4" t="inlineStr">
        <is>
          <t>Greek</t>
        </is>
      </c>
      <c r="E210" s="2" t="n">
        <v>3</v>
      </c>
      <c r="F210" s="2" t="n">
        <v>10</v>
      </c>
      <c r="G210" s="2" t="n">
        <v>0</v>
      </c>
      <c r="H210" s="2" t="n">
        <v>10</v>
      </c>
      <c r="I210" s="4" t="inlineStr">
        <is>
          <t>cucumber-tomato-feta-salad.jpg</t>
        </is>
      </c>
      <c r="J210" s="3" t="inlineStr">
        <is>
          <t>Cucumber Tomato Feta Salad, healthy food photography, plated, natural light</t>
        </is>
      </c>
      <c r="K210" s="4" t="inlineStr"/>
      <c r="L210" s="3" t="inlineStr">
        <is>
          <t>Cucumber — 300 g (10.6 oz)
Tomato — 300 g (10.6 oz)
Red onion — 40 g (1.4 oz)
Feta cheese — 80 g (2.8 oz)
Olives (kalamata/green) — 40 g (1.4 oz)
Extra-virgin olive oil — 20 g (0.7 oz)
Red wine vinegar — 12 g (0.4 oz)
Dried oregano — 2 g (0.1 oz)</t>
        </is>
      </c>
      <c r="M210" s="4" t="inlineStr">
        <is>
          <t>[{"ingredient_id": "cucumber", "name": "Cucumber", "grams": 300.0, "note": ""}, {"ingredient_id": "tomato", "name": "Tomato", "grams": 300.0, "note": ""}, {"ingredient_id": "red_onion", "name": "Red onion", "grams": 40.0, "note": ""}, {"ingredient_id": "feta", "name": "Feta cheese", "grams": 80.0, "note": ""}, {"ingredient_id": "olives", "name": "Olives (kalamata/green)", "grams": 40.0, "note": ""}, {"ingredient_id": "olive_oil", "name": "Extra-virgin olive oil", "grams": 20.0, "note": ""}, {"ingredient_id": "red_wine_vinegar", "name": "Red wine vinegar", "grams": 12.0, "note": ""}, {"ingredient_id": "oregano", "name": "Dried oregano", "grams": 2.0, "note": ""}]</t>
        </is>
      </c>
      <c r="N210" s="2" t="n">
        <v>186</v>
      </c>
      <c r="O210" s="5" t="n">
        <v>5.6</v>
      </c>
      <c r="P210" s="5" t="n">
        <v>14.1</v>
      </c>
      <c r="Q210" s="5" t="n">
        <v>11.1</v>
      </c>
      <c r="R210" s="5" t="n">
        <v>2.6</v>
      </c>
      <c r="S210" s="5" t="n">
        <v>8.4</v>
      </c>
      <c r="T210" s="2" t="n">
        <v>13</v>
      </c>
      <c r="U210" s="2" t="inlineStr">
        <is>
          <t>low</t>
        </is>
      </c>
      <c r="V210" s="5" t="n">
        <v>1.1</v>
      </c>
      <c r="W210" s="2" t="inlineStr">
        <is>
          <t>low</t>
        </is>
      </c>
      <c r="X210" s="3" t="inlineStr"/>
      <c r="Y210" s="3" t="inlineStr">
        <is>
          <t>0% of this dish's available carbohydrate comes from ingredients with a published, measured GI; the rest uses conventional placeholders (see Ingredients sheet)</t>
        </is>
      </c>
      <c r="Z210" s="2" t="n">
        <v>0</v>
      </c>
      <c r="AA210" s="3" t="inlineStr">
        <is>
          <t>vegetarian, gluten-free, nut-free, low-carb, no-cook</t>
        </is>
      </c>
      <c r="AB210" s="3" t="inlineStr">
        <is>
          <t>1. Chop cucumber and tomato; slice onion thin.
2. Toss with olives, oil, vinegar and oregano.
3. Top with feta.</t>
        </is>
      </c>
      <c r="AC210" s="4" t="inlineStr">
        <is>
          <t>["Chop cucumber and tomato; slice onion thin.", "Toss with olives, oil, vinegar and oregano.", "Top with feta."]</t>
        </is>
      </c>
    </row>
    <row r="211" ht="96" customHeight="1">
      <c r="A211" s="2" t="inlineStr">
        <is>
          <t>DB-0210</t>
        </is>
      </c>
      <c r="B211" s="3" t="inlineStr">
        <is>
          <t>Chicken &amp; Farro Harvest Salad</t>
        </is>
      </c>
      <c r="C211" s="4" t="inlineStr">
        <is>
          <t>Salad</t>
        </is>
      </c>
      <c r="D211" s="4" t="inlineStr">
        <is>
          <t>American</t>
        </is>
      </c>
      <c r="E211" s="2" t="n">
        <v>3</v>
      </c>
      <c r="F211" s="2" t="n">
        <v>10</v>
      </c>
      <c r="G211" s="2" t="n">
        <v>12</v>
      </c>
      <c r="H211" s="2" t="n">
        <v>22</v>
      </c>
      <c r="I211" s="4" t="inlineStr">
        <is>
          <t>chicken-and-farro-harvest-salad.jpg</t>
        </is>
      </c>
      <c r="J211" s="3" t="inlineStr">
        <is>
          <t>Chicken &amp; Farro Harvest Salad, healthy food photography, plated, natural light</t>
        </is>
      </c>
      <c r="K211" s="4" t="inlineStr"/>
      <c r="L211" s="3" t="inlineStr">
        <is>
          <t>Chicken breast, skinless — 350 g (12.3 oz)
Farro (pearled spelt), cooked — 300 g (10.6 oz)
Kale — 120 g (4.2 oz)
Apple — 120 g (4.2 oz)
Pecans — 30 g (1.1 oz)
Goat cheese — 40 g (1.4 oz)
Extra-virgin olive oil — 20 g (0.7 oz)
Apple cider vinegar — 15 g (0.5 oz)
Dijon mustard — 6 g (0.2 oz)</t>
        </is>
      </c>
      <c r="M211" s="4" t="inlineStr">
        <is>
          <t>[{"ingredient_id": "chicken_breast", "name": "Chicken breast, skinless", "grams": 350.0, "note": ""}, {"ingredient_id": "farro", "name": "Farro (pearled spelt), cooked", "grams": 300.0, "note": ""}, {"ingredient_id": "kale", "name": "Kale", "grams": 120.0, "note": ""}, {"ingredient_id": "apple", "name": "Apple", "grams": 120.0, "note": ""}, {"ingredient_id": "pecans", "name": "Pecans", "grams": 30.0, "note": ""}, {"ingredient_id": "goat_cheese", "name": "Goat cheese", "grams": 40.0, "note": ""}, {"ingredient_id": "olive_oil", "name": "Extra-virgin olive oil", "grams": 20.0, "note": ""}, {"ingredient_id": "apple_cider_vinegar", "name": "Apple cider vinegar", "grams": 15.0, "note": ""}, {"ingredient_id": "dijon", "name": "Dijon mustard", "grams": 6.0, "note": ""}]</t>
        </is>
      </c>
      <c r="N211" s="2" t="n">
        <v>489</v>
      </c>
      <c r="O211" s="5" t="n">
        <v>37</v>
      </c>
      <c r="P211" s="5" t="n">
        <v>22.4</v>
      </c>
      <c r="Q211" s="5" t="n">
        <v>36.7</v>
      </c>
      <c r="R211" s="5" t="n">
        <v>6.9</v>
      </c>
      <c r="S211" s="5" t="n">
        <v>29.7</v>
      </c>
      <c r="T211" s="2" t="n">
        <v>55</v>
      </c>
      <c r="U211" s="2" t="inlineStr">
        <is>
          <t>low</t>
        </is>
      </c>
      <c r="V211" s="5" t="n">
        <v>16.4</v>
      </c>
      <c r="W211" s="2" t="inlineStr">
        <is>
          <t>medium</t>
        </is>
      </c>
      <c r="X211" s="3" t="inlineStr"/>
      <c r="Y211" s="3" t="inlineStr">
        <is>
          <t>91% of this dish's available carbohydrate comes from ingredients with a published, measured GI; the rest uses conventional placeholders (see Ingredients sheet)</t>
        </is>
      </c>
      <c r="Z211" s="2" t="n">
        <v>91</v>
      </c>
      <c r="AA211" s="3" t="inlineStr">
        <is>
          <t>high-protein</t>
        </is>
      </c>
      <c r="AB211" s="3" t="inlineStr">
        <is>
          <t>1. Grill chicken and dice.
2. Whisk oil, vinegar and Dijon; massage into chopped kale.
3. Toss with farro, apple, pecans, goat cheese and chicken.</t>
        </is>
      </c>
      <c r="AC211" s="4" t="inlineStr">
        <is>
          <t>["Grill chicken and dice.", "Whisk oil, vinegar and Dijon; massage into chopped kale.", "Toss with farro, apple, pecans, goat cheese and chicken."]</t>
        </is>
      </c>
    </row>
    <row r="212" ht="96" customHeight="1">
      <c r="A212" s="2" t="inlineStr">
        <is>
          <t>DB-0211</t>
        </is>
      </c>
      <c r="B212" s="3" t="inlineStr">
        <is>
          <t>Spicy Chickpea &amp; Avocado Smash Salad</t>
        </is>
      </c>
      <c r="C212" s="4" t="inlineStr">
        <is>
          <t>Salad</t>
        </is>
      </c>
      <c r="D212" s="4" t="inlineStr">
        <is>
          <t>American</t>
        </is>
      </c>
      <c r="E212" s="2" t="n">
        <v>2</v>
      </c>
      <c r="F212" s="2" t="n">
        <v>10</v>
      </c>
      <c r="G212" s="2" t="n">
        <v>0</v>
      </c>
      <c r="H212" s="2" t="n">
        <v>10</v>
      </c>
      <c r="I212" s="4" t="inlineStr">
        <is>
          <t>spicy-chickpea-and-avocado-smash-salad.jpg</t>
        </is>
      </c>
      <c r="J212" s="3" t="inlineStr">
        <is>
          <t>Spicy Chickpea &amp; Avocado Smash Salad, healthy food photography, plated, natural light</t>
        </is>
      </c>
      <c r="K212" s="4" t="inlineStr"/>
      <c r="L212" s="3" t="inlineStr">
        <is>
          <t>Chickpeas, cooked — 300 g (10.6 oz)
Avocado — 100 g (3.5 oz)
Lemon juice — 15 g (0.5 oz)
Hot sauce (Tabasco/Frank's) — 8 g (0.3 oz)
Ground cumin — 1 g (0.0 oz)
Celery — 60 g (2.1 oz)
Red onion — 30 g (1.1 oz)
Fresh cilantro — 8 g (0.3 oz)
Romaine lettuce — 120 g (4.2 oz)</t>
        </is>
      </c>
      <c r="M212" s="4" t="inlineStr">
        <is>
          <t>[{"ingredient_id": "chickpeas", "name": "Chickpeas, cooked", "grams": 300.0, "note": ""}, {"ingredient_id": "avocado", "name": "Avocado", "grams": 100.0, "note": ""}, {"ingredient_id": "lemon_juice", "name": "Lemon juice", "grams": 15.0, "note": ""}, {"ingredient_id": "hot_sauce", "name": "Hot sauce (Tabasco/Frank's)", "grams": 8.0, "note": ""}, {"ingredient_id": "cumin", "name": "Ground cumin", "grams": 1.0, "note": ""}, {"ingredient_id": "celery", "name": "Celery", "grams": 60.0, "note": ""}, {"ingredient_id": "red_onion", "name": "Red onion", "grams": 30.0, "note": ""}, {"ingredient_id": "cilantro", "name": "Fresh cilantro", "grams": 8.0, "note": ""}, {"ingredient_id": "romaine", "name": "Romaine lettuce", "grams": 120.0, "note": ""}]</t>
        </is>
      </c>
      <c r="N212" s="2" t="n">
        <v>352</v>
      </c>
      <c r="O212" s="5" t="n">
        <v>15.7</v>
      </c>
      <c r="P212" s="5" t="n">
        <v>11.8</v>
      </c>
      <c r="Q212" s="5" t="n">
        <v>50</v>
      </c>
      <c r="R212" s="5" t="n">
        <v>16.9</v>
      </c>
      <c r="S212" s="5" t="n">
        <v>33</v>
      </c>
      <c r="T212" s="2" t="n">
        <v>35</v>
      </c>
      <c r="U212" s="2" t="inlineStr">
        <is>
          <t>low</t>
        </is>
      </c>
      <c r="V212" s="5" t="n">
        <v>11.6</v>
      </c>
      <c r="W212" s="2" t="inlineStr">
        <is>
          <t>medium</t>
        </is>
      </c>
      <c r="X212" s="3" t="inlineStr"/>
      <c r="Y212" s="3" t="inlineStr">
        <is>
          <t>88% of this dish's available carbohydrate comes from ingredients with a published, measured GI; the rest uses conventional placeholders (see Ingredients sheet)</t>
        </is>
      </c>
      <c r="Z212" s="2" t="n">
        <v>88</v>
      </c>
      <c r="AA212" s="3" t="inlineStr">
        <is>
          <t>vegan, gluten-free, dairy-free, nut-free, high-fiber, no-cook</t>
        </is>
      </c>
      <c r="AB212" s="3" t="inlineStr">
        <is>
          <t>1. Mash chickpeas and avocado together roughly.
2. Stir in lemon, hot sauce, cumin, celery, onion and cilantro.
3. Serve over romaine.</t>
        </is>
      </c>
      <c r="AC212" s="4" t="inlineStr">
        <is>
          <t>["Mash chickpeas and avocado together roughly.", "Stir in lemon, hot sauce, cumin, celery, onion and cilantro.", "Serve over romaine."]</t>
        </is>
      </c>
    </row>
    <row r="213" ht="96" customHeight="1">
      <c r="A213" s="2" t="inlineStr">
        <is>
          <t>DB-0212</t>
        </is>
      </c>
      <c r="B213" s="3" t="inlineStr">
        <is>
          <t>Seared Scallop Salad with Citrus Vinaigrette</t>
        </is>
      </c>
      <c r="C213" s="4" t="inlineStr">
        <is>
          <t>Salad</t>
        </is>
      </c>
      <c r="D213" s="4" t="inlineStr">
        <is>
          <t>American</t>
        </is>
      </c>
      <c r="E213" s="2" t="n">
        <v>2</v>
      </c>
      <c r="F213" s="2" t="n">
        <v>10</v>
      </c>
      <c r="G213" s="2" t="n">
        <v>5</v>
      </c>
      <c r="H213" s="2" t="n">
        <v>15</v>
      </c>
      <c r="I213" s="4" t="inlineStr">
        <is>
          <t>seared-scallop-salad-with-citrus-vinaigrette.jpg</t>
        </is>
      </c>
      <c r="J213" s="3" t="inlineStr">
        <is>
          <t>Seared Scallop Salad with Citrus Vinaigrette, healthy food photography, plated, natural light</t>
        </is>
      </c>
      <c r="K213" s="4" t="inlineStr"/>
      <c r="L213" s="3" t="inlineStr">
        <is>
          <t>Sea scallops — 300 g (10.6 oz)
Mixed salad greens — 150 g (5.3 oz)
Grapefruit — 120 g (4.2 oz)
Avocado — 80 g (2.8 oz)
Extra-virgin olive oil — 15 g (0.5 oz)
Orange — 40 g (1.4 oz) [juice]
Dijon mustard — 5 g (0.2 oz)
Fresh chives — 4 g (0.1 oz)
Avocado oil — 8 g (0.3 oz)</t>
        </is>
      </c>
      <c r="M213" s="4" t="inlineStr">
        <is>
          <t>[{"ingredient_id": "scallops", "name": "Sea scallops", "grams": 300.0, "note": ""}, {"ingredient_id": "mixed_greens", "name": "Mixed salad greens", "grams": 150.0, "note": ""}, {"ingredient_id": "grapefruit", "name": "Grapefruit", "grams": 120.0, "note": ""}, {"ingredient_id": "avocado", "name": "Avocado", "grams": 80.0, "note": ""}, {"ingredient_id": "olive_oil", "name": "Extra-virgin olive oil", "grams": 15.0, "note": ""}, {"ingredient_id": "orange", "name": "Orange", "grams": 40.0, "note": "juice"}, {"ingredient_id": "dijon", "name": "Dijon mustard", "grams": 5.0, "note": ""}, {"ingredient_id": "chives", "name": "Fresh chives", "grams": 4.0, "note": ""}, {"ingredient_id": "avocado_oil", "name": "Avocado oil", "grams": 8.0, "note": ""}]</t>
        </is>
      </c>
      <c r="N213" s="2" t="n">
        <v>350</v>
      </c>
      <c r="O213" s="5" t="n">
        <v>28.6</v>
      </c>
      <c r="P213" s="5" t="n">
        <v>19.1</v>
      </c>
      <c r="Q213" s="5" t="n">
        <v>18.1</v>
      </c>
      <c r="R213" s="5" t="n">
        <v>5.7</v>
      </c>
      <c r="S213" s="5" t="n">
        <v>12.3</v>
      </c>
      <c r="T213" s="2" t="n">
        <v>20</v>
      </c>
      <c r="U213" s="2" t="inlineStr">
        <is>
          <t>low</t>
        </is>
      </c>
      <c r="V213" s="5" t="n">
        <v>2.5</v>
      </c>
      <c r="W213" s="2" t="inlineStr">
        <is>
          <t>low</t>
        </is>
      </c>
      <c r="X213" s="3" t="inlineStr"/>
      <c r="Y213" s="3" t="inlineStr">
        <is>
          <t>60% of this dish's available carbohydrate comes from ingredients with a published, measured GI; the rest uses conventional placeholders (see Ingredients sheet)</t>
        </is>
      </c>
      <c r="Z213" s="2" t="n">
        <v>60</v>
      </c>
      <c r="AA213" s="3" t="inlineStr">
        <is>
          <t>pescatarian, gluten-free, dairy-free, nut-free, low-carb, high-protein</t>
        </is>
      </c>
      <c r="AB213" s="3" t="inlineStr">
        <is>
          <t>1. Pat scallops dry, sear in avocado oil 90 seconds per side.
2. Whisk olive oil, orange juice and Dijon.
3. Toss greens with dressing; top with grapefruit segments, avocado, scallops and chives.</t>
        </is>
      </c>
      <c r="AC213" s="4" t="inlineStr">
        <is>
          <t>["Pat scallops dry, sear in avocado oil 90 seconds per side.", "Whisk olive oil, orange juice and Dijon.", "Toss greens with dressing; top with grapefruit segments, avocado, scallops and chives."]</t>
        </is>
      </c>
    </row>
    <row r="214" ht="96" customHeight="1">
      <c r="A214" s="2" t="inlineStr">
        <is>
          <t>DB-0213</t>
        </is>
      </c>
      <c r="B214" s="3" t="inlineStr">
        <is>
          <t>Egg Salad Stuffed Avocados</t>
        </is>
      </c>
      <c r="C214" s="4" t="inlineStr">
        <is>
          <t>Salad</t>
        </is>
      </c>
      <c r="D214" s="4" t="inlineStr">
        <is>
          <t>American</t>
        </is>
      </c>
      <c r="E214" s="2" t="n">
        <v>2</v>
      </c>
      <c r="F214" s="2" t="n">
        <v>10</v>
      </c>
      <c r="G214" s="2" t="n">
        <v>10</v>
      </c>
      <c r="H214" s="2" t="n">
        <v>20</v>
      </c>
      <c r="I214" s="4" t="inlineStr">
        <is>
          <t>egg-salad-stuffed-avocados.jpg</t>
        </is>
      </c>
      <c r="J214" s="3" t="inlineStr">
        <is>
          <t>Egg Salad Stuffed Avocados, healthy food photography, plated, natural light</t>
        </is>
      </c>
      <c r="K214" s="4" t="inlineStr"/>
      <c r="L214" s="3" t="inlineStr">
        <is>
          <t>Egg, large (50 g each) — 200 g (7.1 oz) [4 hard-boiled eggs]
Avocado — 280 g (9.9 oz) [2 avocados]
Greek yogurt, plain 2% — 40 g (1.4 oz)
Dijon mustard — 8 g (0.3 oz)
Celery — 40 g (1.4 oz)
Fresh chives — 5 g (0.2 oz)
Paprika — 1 g (0.0 oz)
Salt — 1 g (0.0 oz)</t>
        </is>
      </c>
      <c r="M214" s="4" t="inlineStr">
        <is>
          <t>[{"ingredient_id": "egg", "name": "Egg, large (50 g each)", "grams": 200.0, "note": "4 hard-boiled eggs"}, {"ingredient_id": "avocado", "name": "Avocado", "grams": 280.0, "note": "2 avocados"}, {"ingredient_id": "greek_yogurt", "name": "Greek yogurt, plain 2%", "grams": 40.0, "note": ""}, {"ingredient_id": "dijon", "name": "Dijon mustard", "grams": 8.0, "note": ""}, {"ingredient_id": "celery", "name": "Celery", "grams": 40.0, "note": ""}, {"ingredient_id": "chives", "name": "Fresh chives", "grams": 5.0, "note": ""}, {"ingredient_id": "paprika", "name": "Paprika", "grams": 1.0, "note": ""}, {"ingredient_id": "salt", "name": "Salt", "grams": 1.0, "note": ""}]</t>
        </is>
      </c>
      <c r="N214" s="2" t="n">
        <v>390</v>
      </c>
      <c r="O214" s="5" t="n">
        <v>17.9</v>
      </c>
      <c r="P214" s="5" t="n">
        <v>31.2</v>
      </c>
      <c r="Q214" s="5" t="n">
        <v>14.6</v>
      </c>
      <c r="R214" s="5" t="n">
        <v>10.1</v>
      </c>
      <c r="S214" s="5" t="n">
        <v>4.5</v>
      </c>
      <c r="T214" s="2" t="n">
        <v>12</v>
      </c>
      <c r="U214" s="2" t="inlineStr">
        <is>
          <t>low</t>
        </is>
      </c>
      <c r="V214" s="5" t="n">
        <v>0.5</v>
      </c>
      <c r="W214" s="2" t="inlineStr">
        <is>
          <t>low</t>
        </is>
      </c>
      <c r="X214" s="3" t="inlineStr">
        <is>
          <t>Negligible carbohydrate (&lt;5 g net/serving): GI has little practical meaning, glycemic load is what matters.</t>
        </is>
      </c>
      <c r="Y214" s="3" t="inlineStr">
        <is>
          <t>18% of this dish's available carbohydrate comes from ingredients with a published, measured GI; the rest uses conventional placeholders (see Ingredients sheet)</t>
        </is>
      </c>
      <c r="Z214" s="2" t="n">
        <v>18</v>
      </c>
      <c r="AA214" s="3" t="inlineStr">
        <is>
          <t>vegetarian, gluten-free, nut-free, low-carb, high-fiber</t>
        </is>
      </c>
      <c r="AB214" s="3" t="inlineStr">
        <is>
          <t>1. Hard-boil and chop eggs.
2. Mix with yogurt, Dijon, celery, chives and salt.
3. Halve avocados and fill; dust with paprika.</t>
        </is>
      </c>
      <c r="AC214" s="4" t="inlineStr">
        <is>
          <t>["Hard-boil and chop eggs.", "Mix with yogurt, Dijon, celery, chives and salt.", "Halve avocados and fill; dust with paprika."]</t>
        </is>
      </c>
    </row>
    <row r="215" ht="96" customHeight="1">
      <c r="A215" s="2" t="inlineStr">
        <is>
          <t>DB-0214</t>
        </is>
      </c>
      <c r="B215" s="3" t="inlineStr">
        <is>
          <t>Turkey BLT Salad</t>
        </is>
      </c>
      <c r="C215" s="4" t="inlineStr">
        <is>
          <t>Salad</t>
        </is>
      </c>
      <c r="D215" s="4" t="inlineStr">
        <is>
          <t>American</t>
        </is>
      </c>
      <c r="E215" s="2" t="n">
        <v>2</v>
      </c>
      <c r="F215" s="2" t="n">
        <v>10</v>
      </c>
      <c r="G215" s="2" t="n">
        <v>8</v>
      </c>
      <c r="H215" s="2" t="n">
        <v>18</v>
      </c>
      <c r="I215" s="4" t="inlineStr">
        <is>
          <t>turkey-blt-salad.jpg</t>
        </is>
      </c>
      <c r="J215" s="3" t="inlineStr">
        <is>
          <t>Turkey BLT Salad, healthy food photography, plated, natural light</t>
        </is>
      </c>
      <c r="K215" s="4" t="inlineStr"/>
      <c r="L215" s="3" t="inlineStr">
        <is>
          <t>Deli turkey breast, low sodium — 200 g (7.1 oz)
Turkey bacon — 60 g (2.1 oz)
Romaine lettuce — 200 g (7.1 oz)
Tomato — 200 g (7.1 oz)
Avocado — 80 g (2.8 oz)
Greek yogurt, plain 2% — 60 g (2.1 oz)
Mayonnaise (avocado oil) — 10 g (0.4 oz)
Lemon juice — 8 g (0.3 oz)
Fresh chives — 4 g (0.1 oz)</t>
        </is>
      </c>
      <c r="M215" s="4" t="inlineStr">
        <is>
          <t>[{"ingredient_id": "deli_turkey", "name": "Deli turkey breast, low sodium", "grams": 200.0, "note": ""}, {"ingredient_id": "turkey_bacon", "name": "Turkey bacon", "grams": 60.0, "note": ""}, {"ingredient_id": "romaine", "name": "Romaine lettuce", "grams": 200.0, "note": ""}, {"ingredient_id": "tomato", "name": "Tomato", "grams": 200.0, "note": ""}, {"ingredient_id": "avocado", "name": "Avocado", "grams": 80.0, "note": ""}, {"ingredient_id": "greek_yogurt", "name": "Greek yogurt, plain 2%", "grams": 60.0, "note": ""}, {"ingredient_id": "mayo", "name": "Mayonnaise (avocado oil)", "grams": 10.0, "note": ""}, {"ingredient_id": "lemon_juice", "name": "Lemon juice", "grams": 8.0, "note": ""}, {"ingredient_id": "chives", "name": "Fresh chives", "grams": 4.0, "note": ""}]</t>
        </is>
      </c>
      <c r="N215" s="2" t="n">
        <v>327</v>
      </c>
      <c r="O215" s="5" t="n">
        <v>28.4</v>
      </c>
      <c r="P215" s="5" t="n">
        <v>17</v>
      </c>
      <c r="Q215" s="5" t="n">
        <v>16.8</v>
      </c>
      <c r="R215" s="5" t="n">
        <v>6</v>
      </c>
      <c r="S215" s="5" t="n">
        <v>10.7</v>
      </c>
      <c r="T215" s="2" t="n">
        <v>8</v>
      </c>
      <c r="U215" s="2" t="inlineStr">
        <is>
          <t>low</t>
        </is>
      </c>
      <c r="V215" s="5" t="n">
        <v>0.9</v>
      </c>
      <c r="W215" s="2" t="inlineStr">
        <is>
          <t>low</t>
        </is>
      </c>
      <c r="X215" s="3" t="inlineStr"/>
      <c r="Y215" s="3" t="inlineStr">
        <is>
          <t>11% of this dish's available carbohydrate comes from ingredients with a published, measured GI; the rest uses conventional placeholders (see Ingredients sheet)</t>
        </is>
      </c>
      <c r="Z215" s="2" t="n">
        <v>11</v>
      </c>
      <c r="AA215" s="3" t="inlineStr">
        <is>
          <t>gluten-free, nut-free, low-carb, high-protein</t>
        </is>
      </c>
      <c r="AB215" s="3" t="inlineStr">
        <is>
          <t>1. Crisp turkey bacon; chop.
2. Mix yogurt, mayo, lemon and chives.
3. Toss romaine, tomato, turkey, bacon and avocado with dressing.</t>
        </is>
      </c>
      <c r="AC215" s="4" t="inlineStr">
        <is>
          <t>["Crisp turkey bacon; chop.", "Mix yogurt, mayo, lemon and chives.", "Toss romaine, tomato, turkey, bacon and avocado with dressing."]</t>
        </is>
      </c>
    </row>
    <row r="216" ht="96" customHeight="1">
      <c r="A216" s="2" t="inlineStr">
        <is>
          <t>DB-0215</t>
        </is>
      </c>
      <c r="B216" s="3" t="inlineStr">
        <is>
          <t>Arugula, Fennel &amp; Salmon Salad</t>
        </is>
      </c>
      <c r="C216" s="4" t="inlineStr">
        <is>
          <t>Salad</t>
        </is>
      </c>
      <c r="D216" s="4" t="inlineStr">
        <is>
          <t>American</t>
        </is>
      </c>
      <c r="E216" s="2" t="n">
        <v>2</v>
      </c>
      <c r="F216" s="2" t="n">
        <v>10</v>
      </c>
      <c r="G216" s="2" t="n">
        <v>12</v>
      </c>
      <c r="H216" s="2" t="n">
        <v>22</v>
      </c>
      <c r="I216" s="4" t="inlineStr">
        <is>
          <t>arugula-fennel-and-salmon-salad.jpg</t>
        </is>
      </c>
      <c r="J216" s="3" t="inlineStr">
        <is>
          <t>Arugula, Fennel &amp; Salmon Salad, healthy food photography, plated, natural light</t>
        </is>
      </c>
      <c r="K216" s="4" t="inlineStr"/>
      <c r="L216" s="3" t="inlineStr">
        <is>
          <t>Salmon fillet — 280 g (9.9 oz)
Arugula — 150 g (5.3 oz)
Fennel bulb — 100 g (3.5 oz)
Orange — 100 g (3.5 oz)
Olives (kalamata/green) — 30 g (1.1 oz)
Extra-virgin olive oil — 15 g (0.5 oz)
Lemon juice — 12 g (0.4 oz)
Black pepper — 1 g (0.0 oz)</t>
        </is>
      </c>
      <c r="M216" s="4" t="inlineStr">
        <is>
          <t>[{"ingredient_id": "salmon", "name": "Salmon fillet", "grams": 280.0, "note": ""}, {"ingredient_id": "arugula", "name": "Arugula", "grams": 150.0, "note": ""}, {"ingredient_id": "fennel", "name": "Fennel bulb", "grams": 100.0, "note": ""}, {"ingredient_id": "orange", "name": "Orange", "grams": 100.0, "note": ""}, {"ingredient_id": "olives", "name": "Olives (kalamata/green)", "grams": 30.0, "note": ""}, {"ingredient_id": "olive_oil", "name": "Extra-virgin olive oil", "grams": 15.0, "note": ""}, {"ingredient_id": "lemon_juice", "name": "Lemon juice", "grams": 12.0, "note": ""}, {"ingredient_id": "black_pepper", "name": "Black pepper", "grams": 1.0, "note": ""}]</t>
        </is>
      </c>
      <c r="N216" s="2" t="n">
        <v>435</v>
      </c>
      <c r="O216" s="5" t="n">
        <v>31.2</v>
      </c>
      <c r="P216" s="5" t="n">
        <v>28.1</v>
      </c>
      <c r="Q216" s="5" t="n">
        <v>14.1</v>
      </c>
      <c r="R216" s="5" t="n">
        <v>4.6</v>
      </c>
      <c r="S216" s="5" t="n">
        <v>9.5</v>
      </c>
      <c r="T216" s="2" t="n">
        <v>29</v>
      </c>
      <c r="U216" s="2" t="inlineStr">
        <is>
          <t>low</t>
        </is>
      </c>
      <c r="V216" s="5" t="n">
        <v>2.8</v>
      </c>
      <c r="W216" s="2" t="inlineStr">
        <is>
          <t>low</t>
        </is>
      </c>
      <c r="X216" s="3" t="inlineStr"/>
      <c r="Y216" s="3" t="inlineStr">
        <is>
          <t>51% of this dish's available carbohydrate comes from ingredients with a published, measured GI; the rest uses conventional placeholders (see Ingredients sheet)</t>
        </is>
      </c>
      <c r="Z216" s="2" t="n">
        <v>51</v>
      </c>
      <c r="AA216" s="3" t="inlineStr">
        <is>
          <t>pescatarian, gluten-free, dairy-free, nut-free, low-carb, high-protein, omega-3</t>
        </is>
      </c>
      <c r="AB216" s="3" t="inlineStr">
        <is>
          <t>1. Roast salmon at 400°F for 12 minutes.
2. Shave fennel and segment orange.
3. Toss arugula, fennel, orange and olives with oil and lemon; top with salmon.</t>
        </is>
      </c>
      <c r="AC216" s="4" t="inlineStr">
        <is>
          <t>["Roast salmon at 400°F for 12 minutes.", "Shave fennel and segment orange.", "Toss arugula, fennel, orange and olives with oil and lemon; top with salmon."]</t>
        </is>
      </c>
    </row>
    <row r="217" ht="96" customHeight="1">
      <c r="A217" s="2" t="inlineStr">
        <is>
          <t>DB-0216</t>
        </is>
      </c>
      <c r="B217" s="3" t="inlineStr">
        <is>
          <t>Buffalo Cauliflower &amp; Chicken Salad</t>
        </is>
      </c>
      <c r="C217" s="4" t="inlineStr">
        <is>
          <t>Salad</t>
        </is>
      </c>
      <c r="D217" s="4" t="inlineStr">
        <is>
          <t>American</t>
        </is>
      </c>
      <c r="E217" s="2" t="n">
        <v>3</v>
      </c>
      <c r="F217" s="2" t="n">
        <v>10</v>
      </c>
      <c r="G217" s="2" t="n">
        <v>25</v>
      </c>
      <c r="H217" s="2" t="n">
        <v>35</v>
      </c>
      <c r="I217" s="4" t="inlineStr">
        <is>
          <t>buffalo-cauliflower-and-chicken-salad.jpg</t>
        </is>
      </c>
      <c r="J217" s="3" t="inlineStr">
        <is>
          <t>Buffalo Cauliflower &amp; Chicken Salad, healthy food photography, plated, natural light</t>
        </is>
      </c>
      <c r="K217" s="4" t="inlineStr"/>
      <c r="L217" s="3" t="inlineStr">
        <is>
          <t>Cauliflower — 400 g (14.1 oz)
Hot sauce (Tabasco/Frank's) — 40 g (1.4 oz)
Extra-virgin olive oil — 15 g (0.5 oz)
Rotisserie chicken, skin removed — 300 g (10.6 oz)
Romaine lettuce — 200 g (7.1 oz)
Celery — 80 g (2.8 oz)
Carrot — 60 g (2.1 oz)
Blue cheese, crumbled — 40 g (1.4 oz)
Greek yogurt, plain 2% — 80 g (2.8 oz)
Lemon juice — 8 g (0.3 oz)</t>
        </is>
      </c>
      <c r="M217" s="4" t="inlineStr">
        <is>
          <t>[{"ingredient_id": "cauliflower", "name": "Cauliflower", "grams": 400.0, "note": ""}, {"ingredient_id": "hot_sauce", "name": "Hot sauce (Tabasco/Frank's)", "grams": 40.0, "note": ""}, {"ingredient_id": "olive_oil", "name": "Extra-virgin olive oil", "grams": 15.0, "note": ""}, {"ingredient_id": "rotisserie_chicken", "name": "Rotisserie chicken, skin removed", "grams": 300.0, "note": ""}, {"ingredient_id": "romaine", "name": "Romaine lettuce", "grams": 200.0, "note": ""}, {"ingredient_id": "celery", "name": "Celery", "grams": 80.0, "note": ""}, {"ingredient_id": "carrot", "name": "Carrot", "grams": 60.0, "note": ""}, {"ingredient_id": "blue_cheese", "name": "Blue cheese, crumbled", "grams": 40.0, "note": ""}, {"ingredient_id": "greek_yogurt", "name": "Greek yogurt, plain 2%", "grams": 80.0, "note": ""}, {"ingredient_id": "lemon_juice", "name": "Lemon juice", "grams": 8.0, "note": ""}]</t>
        </is>
      </c>
      <c r="N217" s="2" t="n">
        <v>330</v>
      </c>
      <c r="O217" s="5" t="n">
        <v>32.2</v>
      </c>
      <c r="P217" s="5" t="n">
        <v>17.2</v>
      </c>
      <c r="Q217" s="5" t="n">
        <v>13.4</v>
      </c>
      <c r="R217" s="5" t="n">
        <v>5.1</v>
      </c>
      <c r="S217" s="5" t="n">
        <v>8.300000000000001</v>
      </c>
      <c r="T217" s="2" t="n">
        <v>18</v>
      </c>
      <c r="U217" s="2" t="inlineStr">
        <is>
          <t>low</t>
        </is>
      </c>
      <c r="V217" s="5" t="n">
        <v>1.5</v>
      </c>
      <c r="W217" s="2" t="inlineStr">
        <is>
          <t>low</t>
        </is>
      </c>
      <c r="X217" s="3" t="inlineStr"/>
      <c r="Y217" s="3" t="inlineStr">
        <is>
          <t>29% of this dish's available carbohydrate comes from ingredients with a published, measured GI; the rest uses conventional placeholders (see Ingredients sheet)</t>
        </is>
      </c>
      <c r="Z217" s="2" t="n">
        <v>29</v>
      </c>
      <c r="AA217" s="3" t="inlineStr">
        <is>
          <t>gluten-free, nut-free, low-carb, high-protein</t>
        </is>
      </c>
      <c r="AB217" s="3" t="inlineStr">
        <is>
          <t>1. Toss cauliflower in oil and half the hot sauce; roast at 425°F 22 minutes.
2. Mix yogurt, blue cheese, lemon and remaining hot sauce.
3. Toss romaine, celery, carrot, chicken and cauliflower with dressing.</t>
        </is>
      </c>
      <c r="AC217" s="4" t="inlineStr">
        <is>
          <t>["Toss cauliflower in oil and half the hot sauce; roast at 425°F 22 minutes.", "Mix yogurt, blue cheese, lemon and remaining hot sauce.", "Toss romaine, celery, carrot, chicken and cauliflower with dressing."]</t>
        </is>
      </c>
    </row>
    <row r="218" ht="96" customHeight="1">
      <c r="A218" s="2" t="inlineStr">
        <is>
          <t>DB-0217</t>
        </is>
      </c>
      <c r="B218" s="3" t="inlineStr">
        <is>
          <t>Thai Beef Salad</t>
        </is>
      </c>
      <c r="C218" s="4" t="inlineStr">
        <is>
          <t>Salad</t>
        </is>
      </c>
      <c r="D218" s="4" t="inlineStr">
        <is>
          <t>Thai</t>
        </is>
      </c>
      <c r="E218" s="2" t="n">
        <v>2</v>
      </c>
      <c r="F218" s="2" t="n">
        <v>15</v>
      </c>
      <c r="G218" s="2" t="n">
        <v>10</v>
      </c>
      <c r="H218" s="2" t="n">
        <v>25</v>
      </c>
      <c r="I218" s="4" t="inlineStr">
        <is>
          <t>thai-beef-salad.jpg</t>
        </is>
      </c>
      <c r="J218" s="3" t="inlineStr">
        <is>
          <t>Thai Beef Salad, healthy food photography, plated, natural light</t>
        </is>
      </c>
      <c r="K218" s="4" t="inlineStr"/>
      <c r="L218" s="3" t="inlineStr">
        <is>
          <t>Flank steak — 300 g (10.6 oz)
Cucumber — 150 g (5.3 oz)
Cherry tomatoes — 120 g (4.2 oz)
Red onion — 40 g (1.4 oz)
Fresh mint — 10 g (0.4 oz)
Fresh cilantro — 10 g (0.4 oz)
Lime juice — 30 g (1.1 oz)
Fish sauce — 15 g (0.5 oz)
Red pepper flakes — 2 g (0.1 oz)
Mixed salad greens — 100 g (3.5 oz)
Peanuts, dry roasted — 15 g (0.5 oz)</t>
        </is>
      </c>
      <c r="M218" s="4" t="inlineStr">
        <is>
          <t>[{"ingredient_id": "flank_steak", "name": "Flank steak", "grams": 300.0, "note": ""}, {"ingredient_id": "cucumber", "name": "Cucumber", "grams": 150.0, "note": ""}, {"ingredient_id": "cherry_tomato", "name": "Cherry tomatoes", "grams": 120.0, "note": ""}, {"ingredient_id": "red_onion", "name": "Red onion", "grams": 40.0, "note": ""}, {"ingredient_id": "mint", "name": "Fresh mint", "grams": 10.0, "note": ""}, {"ingredient_id": "cilantro", "name": "Fresh cilantro", "grams": 10.0, "note": ""}, {"ingredient_id": "lime_juice", "name": "Lime juice", "grams": 30.0, "note": ""}, {"ingredient_id": "fish_sauce", "name": "Fish sauce", "grams": 15.0, "note": ""}, {"ingredient_id": "red_pepper_flakes", "name": "Red pepper flakes", "grams": 2.0, "note": ""}, {"ingredient_id": "mixed_greens", "name": "Mixed salad greens", "grams": 100.0, "note": ""}, {"ingredient_id": "peanuts", "name": "Peanuts, dry roasted", "grams": 15.0, "note": ""}]</t>
        </is>
      </c>
      <c r="N218" s="2" t="n">
        <v>320</v>
      </c>
      <c r="O218" s="5" t="n">
        <v>36.6</v>
      </c>
      <c r="P218" s="5" t="n">
        <v>14.8</v>
      </c>
      <c r="Q218" s="5" t="n">
        <v>12.6</v>
      </c>
      <c r="R218" s="5" t="n">
        <v>3.9</v>
      </c>
      <c r="S218" s="5" t="n">
        <v>8.699999999999999</v>
      </c>
      <c r="T218" s="2" t="n">
        <v>15</v>
      </c>
      <c r="U218" s="2" t="inlineStr">
        <is>
          <t>low</t>
        </is>
      </c>
      <c r="V218" s="5" t="n">
        <v>1.3</v>
      </c>
      <c r="W218" s="2" t="inlineStr">
        <is>
          <t>low</t>
        </is>
      </c>
      <c r="X218" s="3" t="inlineStr"/>
      <c r="Y218" s="3" t="inlineStr">
        <is>
          <t>6% of this dish's available carbohydrate comes from ingredients with a published, measured GI; the rest uses conventional placeholders (see Ingredients sheet)</t>
        </is>
      </c>
      <c r="Z218" s="2" t="n">
        <v>6</v>
      </c>
      <c r="AA218" s="3" t="inlineStr">
        <is>
          <t>gluten-free, dairy-free, low-carb, high-protein</t>
        </is>
      </c>
      <c r="AB218" s="3" t="inlineStr">
        <is>
          <t>1. Grill steak 4 minutes per side; rest and slice thin.
2. Whisk lime, fish sauce and pepper flakes.
3. Toss greens, cucumber, tomato, onion, herbs and steak with dressing; top with peanuts.</t>
        </is>
      </c>
      <c r="AC218" s="4" t="inlineStr">
        <is>
          <t>["Grill steak 4 minutes per side; rest and slice thin.", "Whisk lime, fish sauce and pepper flakes.", "Toss greens, cucumber, tomato, onion, herbs and steak with dressing; top with peanuts."]</t>
        </is>
      </c>
    </row>
    <row r="219" ht="96" customHeight="1">
      <c r="A219" s="2" t="inlineStr">
        <is>
          <t>DB-0218</t>
        </is>
      </c>
      <c r="B219" s="3" t="inlineStr">
        <is>
          <t>Caprese Chicken Salad</t>
        </is>
      </c>
      <c r="C219" s="4" t="inlineStr">
        <is>
          <t>Salad</t>
        </is>
      </c>
      <c r="D219" s="4" t="inlineStr">
        <is>
          <t>Italian</t>
        </is>
      </c>
      <c r="E219" s="2" t="n">
        <v>2</v>
      </c>
      <c r="F219" s="2" t="n">
        <v>10</v>
      </c>
      <c r="G219" s="2" t="n">
        <v>12</v>
      </c>
      <c r="H219" s="2" t="n">
        <v>22</v>
      </c>
      <c r="I219" s="4" t="inlineStr">
        <is>
          <t>caprese-chicken-salad.jpg</t>
        </is>
      </c>
      <c r="J219" s="3" t="inlineStr">
        <is>
          <t>Caprese Chicken Salad, healthy food photography, plated, natural light</t>
        </is>
      </c>
      <c r="K219" s="4" t="inlineStr"/>
      <c r="L219" s="3" t="inlineStr">
        <is>
          <t>Chicken breast, skinless — 280 g (9.9 oz)
Tomato — 250 g (8.8 oz)
Mozzarella, part-skim — 100 g (3.5 oz)
Fresh basil — 12 g (0.4 oz)
Mixed salad greens — 100 g (3.5 oz)
Extra-virgin olive oil — 15 g (0.5 oz)
Balsamic vinegar — 12 g (0.4 oz)
Salt — 1 g (0.0 oz)</t>
        </is>
      </c>
      <c r="M219" s="4" t="inlineStr">
        <is>
          <t>[{"ingredient_id": "chicken_breast", "name": "Chicken breast, skinless", "grams": 280.0, "note": ""}, {"ingredient_id": "tomato", "name": "Tomato", "grams": 250.0, "note": ""}, {"ingredient_id": "mozzarella", "name": "Mozzarella, part-skim", "grams": 100.0, "note": ""}, {"ingredient_id": "basil", "name": "Fresh basil", "grams": 12.0, "note": ""}, {"ingredient_id": "mixed_greens", "name": "Mixed salad greens", "grams": 100.0, "note": ""}, {"ingredient_id": "olive_oil", "name": "Extra-virgin olive oil", "grams": 15.0, "note": ""}, {"ingredient_id": "balsamic_vinegar", "name": "Balsamic vinegar", "grams": 12.0, "note": ""}, {"ingredient_id": "salt", "name": "Salt", "grams": 1.0, "note": ""}]</t>
        </is>
      </c>
      <c r="N219" s="2" t="n">
        <v>400</v>
      </c>
      <c r="O219" s="5" t="n">
        <v>45.8</v>
      </c>
      <c r="P219" s="5" t="n">
        <v>19.6</v>
      </c>
      <c r="Q219" s="5" t="n">
        <v>9.300000000000001</v>
      </c>
      <c r="R219" s="5" t="n">
        <v>2.6</v>
      </c>
      <c r="S219" s="5" t="n">
        <v>6.7</v>
      </c>
      <c r="T219" s="2" t="n">
        <v>15</v>
      </c>
      <c r="U219" s="2" t="inlineStr">
        <is>
          <t>low</t>
        </is>
      </c>
      <c r="V219" s="5" t="n">
        <v>1</v>
      </c>
      <c r="W219" s="2" t="inlineStr">
        <is>
          <t>low</t>
        </is>
      </c>
      <c r="X219" s="3" t="inlineStr"/>
      <c r="Y219" s="3" t="inlineStr">
        <is>
          <t>0% of this dish's available carbohydrate comes from ingredients with a published, measured GI; the rest uses conventional placeholders (see Ingredients sheet)</t>
        </is>
      </c>
      <c r="Z219" s="2" t="n">
        <v>0</v>
      </c>
      <c r="AA219" s="3" t="inlineStr">
        <is>
          <t>gluten-free, nut-free, low-carb, high-protein</t>
        </is>
      </c>
      <c r="AB219" s="3" t="inlineStr">
        <is>
          <t>1. Grill chicken; slice.
2. Arrange greens, tomato, mozzarella and chicken.
3. Drizzle oil and balsamic; scatter basil.</t>
        </is>
      </c>
      <c r="AC219" s="4" t="inlineStr">
        <is>
          <t>["Grill chicken; slice.", "Arrange greens, tomato, mozzarella and chicken.", "Drizzle oil and balsamic; scatter basil."]</t>
        </is>
      </c>
    </row>
    <row r="220" ht="96" customHeight="1">
      <c r="A220" s="2" t="inlineStr">
        <is>
          <t>DB-0219</t>
        </is>
      </c>
      <c r="B220" s="3" t="inlineStr">
        <is>
          <t>Sesame Chicken Soba Salad</t>
        </is>
      </c>
      <c r="C220" s="4" t="inlineStr">
        <is>
          <t>Salad</t>
        </is>
      </c>
      <c r="D220" s="4" t="inlineStr">
        <is>
          <t>Japanese</t>
        </is>
      </c>
      <c r="E220" s="2" t="n">
        <v>3</v>
      </c>
      <c r="F220" s="2" t="n">
        <v>15</v>
      </c>
      <c r="G220" s="2" t="n">
        <v>10</v>
      </c>
      <c r="H220" s="2" t="n">
        <v>25</v>
      </c>
      <c r="I220" s="4" t="inlineStr">
        <is>
          <t>sesame-chicken-soba-salad.jpg</t>
        </is>
      </c>
      <c r="J220" s="3" t="inlineStr">
        <is>
          <t>Sesame Chicken Soba Salad, healthy food photography, plated, natural light</t>
        </is>
      </c>
      <c r="K220" s="4" t="inlineStr"/>
      <c r="L220" s="3" t="inlineStr">
        <is>
          <t>Chicken breast, skinless — 350 g (12.3 oz)
Soba (buckwheat) noodles, cooked — 300 g (10.6 oz)
Cucumber — 150 g (5.3 oz)
Carrot — 60 g (2.1 oz)
Edamame, shelled, cooked — 100 g (3.5 oz)
Green onions (scallions) — 20 g (0.7 oz)
Tamari (gluten-free soy sauce) — 20 g (0.7 oz)
Rice vinegar, unseasoned — 20 g (0.7 oz)
Toasted sesame oil — 10 g (0.4 oz)
Fresh ginger — 6 g (0.2 oz)
Sesame seeds — 8 g (0.3 oz)</t>
        </is>
      </c>
      <c r="M220" s="4" t="inlineStr">
        <is>
          <t>[{"ingredient_id": "chicken_breast", "name": "Chicken breast, skinless", "grams": 350.0, "note": ""}, {"ingredient_id": "soba", "name": "Soba (buckwheat) noodles, cooked", "grams": 300.0, "note": ""}, {"ingredient_id": "cucumber", "name": "Cucumber", "grams": 150.0, "note": ""}, {"ingredient_id": "carrot", "name": "Carrot", "grams": 60.0, "note": ""}, {"ingredient_id": "edamame", "name": "Edamame, shelled, cooked", "grams": 100.0, "note": ""}, {"ingredient_id": "green_onion", "name": "Green onions (scallions)", "grams": 20.0, "note": ""}, {"ingredient_id": "tamari", "name": "Tamari (gluten-free soy sauce)", "grams": 20.0, "note": ""}, {"ingredient_id": "rice_vinegar", "name": "Rice vinegar, unseasoned", "grams": 20.0, "note": ""}, {"ingredient_id": "sesame_oil", "name": "Toasted sesame oil", "grams": 10.0, "note": ""}, {"ingredient_id": "ginger", "name": "Fresh ginger", "grams": 6.0, "note": ""}, {"ingredient_id": "sesame_seeds", "name": "Sesame seeds", "grams": 8.0, "note": ""}]</t>
        </is>
      </c>
      <c r="N220" s="2" t="n">
        <v>349</v>
      </c>
      <c r="O220" s="5" t="n">
        <v>37.2</v>
      </c>
      <c r="P220" s="5" t="n">
        <v>9.6</v>
      </c>
      <c r="Q220" s="5" t="n">
        <v>29.9</v>
      </c>
      <c r="R220" s="5" t="n">
        <v>4.6</v>
      </c>
      <c r="S220" s="5" t="n">
        <v>25.4</v>
      </c>
      <c r="T220" s="2" t="n">
        <v>41</v>
      </c>
      <c r="U220" s="2" t="inlineStr">
        <is>
          <t>low</t>
        </is>
      </c>
      <c r="V220" s="5" t="n">
        <v>10.4</v>
      </c>
      <c r="W220" s="2" t="inlineStr">
        <is>
          <t>medium</t>
        </is>
      </c>
      <c r="X220" s="3" t="inlineStr"/>
      <c r="Y220" s="3" t="inlineStr">
        <is>
          <t>84% of this dish's available carbohydrate comes from ingredients with a published, measured GI; the rest uses conventional placeholders (see Ingredients sheet)</t>
        </is>
      </c>
      <c r="Z220" s="2" t="n">
        <v>84</v>
      </c>
      <c r="AA220" s="3" t="inlineStr">
        <is>
          <t>dairy-free, nut-free, high-protein</t>
        </is>
      </c>
      <c r="AB220" s="3" t="inlineStr">
        <is>
          <t>1. Poach or grill chicken; shred.
2. Whisk tamari, vinegar, sesame oil and ginger.
3. Toss cold soba with chicken, vegetables and dressing; sprinkle sesame.</t>
        </is>
      </c>
      <c r="AC220" s="4" t="inlineStr">
        <is>
          <t>["Poach or grill chicken; shred.", "Whisk tamari, vinegar, sesame oil and ginger.", "Toss cold soba with chicken, vegetables and dressing; sprinkle sesame."]</t>
        </is>
      </c>
    </row>
    <row r="221" ht="96" customHeight="1">
      <c r="A221" s="2" t="inlineStr">
        <is>
          <t>DB-0220</t>
        </is>
      </c>
      <c r="B221" s="3" t="inlineStr">
        <is>
          <t>Cajun Shrimp &amp; Avocado Corn Salad</t>
        </is>
      </c>
      <c r="C221" s="4" t="inlineStr">
        <is>
          <t>Salad</t>
        </is>
      </c>
      <c r="D221" s="4" t="inlineStr">
        <is>
          <t>Cajun</t>
        </is>
      </c>
      <c r="E221" s="2" t="n">
        <v>3</v>
      </c>
      <c r="F221" s="2" t="n">
        <v>10</v>
      </c>
      <c r="G221" s="2" t="n">
        <v>8</v>
      </c>
      <c r="H221" s="2" t="n">
        <v>18</v>
      </c>
      <c r="I221" s="4" t="inlineStr">
        <is>
          <t>cajun-shrimp-and-avocado-corn-salad.jpg</t>
        </is>
      </c>
      <c r="J221" s="3" t="inlineStr">
        <is>
          <t>Cajun Shrimp &amp; Avocado Corn Salad, healthy food photography, plated, natural light</t>
        </is>
      </c>
      <c r="K221" s="4" t="inlineStr"/>
      <c r="L221" s="3" t="inlineStr">
        <is>
          <t>Shrimp, peeled — 400 g (14.1 oz)
Cajun seasoning — 6 g (0.2 oz)
Sweet corn kernels — 120 g (4.2 oz)
Avocado — 120 g (4.2 oz)
Cherry tomatoes — 150 g (5.3 oz)
Red onion — 40 g (1.4 oz)
Fresh cilantro — 10 g (0.4 oz)
Lime juice — 20 g (0.7 oz)
Extra-virgin olive oil — 15 g (0.5 oz)
Romaine lettuce — 150 g (5.3 oz)</t>
        </is>
      </c>
      <c r="M221" s="4" t="inlineStr">
        <is>
          <t>[{"ingredient_id": "shrimp", "name": "Shrimp, peeled", "grams": 400.0, "note": ""}, {"ingredient_id": "cajun_seasoning", "name": "Cajun seasoning", "grams": 6.0, "note": ""}, {"ingredient_id": "corn", "name": "Sweet corn kernels", "grams": 120.0, "note": ""}, {"ingredient_id": "avocado", "name": "Avocado", "grams": 120.0, "note": ""}, {"ingredient_id": "cherry_tomato", "name": "Cherry tomatoes", "grams": 150.0, "note": ""}, {"ingredient_id": "red_onion", "name": "Red onion", "grams": 40.0, "note": ""}, {"ingredient_id": "cilantro", "name": "Fresh cilantro", "grams": 10.0, "note": ""}, {"ingredient_id": "lime_juice", "name": "Lime juice", "grams": 20.0, "note": ""}, {"ingredient_id": "olive_oil", "name": "Extra-virgin olive oil", "grams": 15.0, "note": ""}, {"ingredient_id": "romaine", "name": "Romaine lettuce", "grams": 150.0, "note": ""}]</t>
        </is>
      </c>
      <c r="N221" s="2" t="n">
        <v>287</v>
      </c>
      <c r="O221" s="5" t="n">
        <v>30.3</v>
      </c>
      <c r="P221" s="5" t="n">
        <v>12.7</v>
      </c>
      <c r="Q221" s="5" t="n">
        <v>17.6</v>
      </c>
      <c r="R221" s="5" t="n">
        <v>6.3</v>
      </c>
      <c r="S221" s="5" t="n">
        <v>11.4</v>
      </c>
      <c r="T221" s="2" t="n">
        <v>36</v>
      </c>
      <c r="U221" s="2" t="inlineStr">
        <is>
          <t>low</t>
        </is>
      </c>
      <c r="V221" s="5" t="n">
        <v>4.1</v>
      </c>
      <c r="W221" s="2" t="inlineStr">
        <is>
          <t>low</t>
        </is>
      </c>
      <c r="X221" s="3" t="inlineStr"/>
      <c r="Y221" s="3" t="inlineStr">
        <is>
          <t>57% of this dish's available carbohydrate comes from ingredients with a published, measured GI; the rest uses conventional placeholders (see Ingredients sheet)</t>
        </is>
      </c>
      <c r="Z221" s="2" t="n">
        <v>57</v>
      </c>
      <c r="AA221" s="3" t="inlineStr">
        <is>
          <t>pescatarian, gluten-free, dairy-free, nut-free, low-carb, high-protein</t>
        </is>
      </c>
      <c r="AB221" s="3" t="inlineStr">
        <is>
          <t>1. Sauté shrimp in oil with Cajun seasoning 3 minutes.
2. Char corn 3 minutes in the same pan.
3. Toss with avocado, tomato, onion, cilantro, lime; serve over romaine.</t>
        </is>
      </c>
      <c r="AC221" s="4" t="inlineStr">
        <is>
          <t>["Sauté shrimp in oil with Cajun seasoning 3 minutes.", "Char corn 3 minutes in the same pan.", "Toss with avocado, tomato, onion, cilantro, lime; serve over romaine."]</t>
        </is>
      </c>
    </row>
    <row r="222" ht="96" customHeight="1">
      <c r="A222" s="2" t="inlineStr">
        <is>
          <t>DB-0221</t>
        </is>
      </c>
      <c r="B222" s="3" t="inlineStr">
        <is>
          <t>Greek Lentil Salad</t>
        </is>
      </c>
      <c r="C222" s="4" t="inlineStr">
        <is>
          <t>Salad</t>
        </is>
      </c>
      <c r="D222" s="4" t="inlineStr">
        <is>
          <t>Greek</t>
        </is>
      </c>
      <c r="E222" s="2" t="n">
        <v>4</v>
      </c>
      <c r="F222" s="2" t="n">
        <v>10</v>
      </c>
      <c r="G222" s="2" t="n">
        <v>0</v>
      </c>
      <c r="H222" s="2" t="n">
        <v>10</v>
      </c>
      <c r="I222" s="4" t="inlineStr">
        <is>
          <t>greek-lentil-salad.jpg</t>
        </is>
      </c>
      <c r="J222" s="3" t="inlineStr">
        <is>
          <t>Greek Lentil Salad, healthy food photography, plated, natural light</t>
        </is>
      </c>
      <c r="K222" s="4" t="inlineStr"/>
      <c r="L222" s="3" t="inlineStr">
        <is>
          <t>Lentils, cooked — 400 g (14.1 oz)
Cucumber — 200 g (7.1 oz)
Cherry tomatoes — 200 g (7.1 oz)
Red onion — 50 g (1.8 oz)
Feta cheese — 80 g (2.8 oz)
Olives (kalamata/green) — 40 g (1.4 oz)
Fresh parsley — 12 g (0.4 oz)
Extra-virgin olive oil — 30 g (1.1 oz)
Red wine vinegar — 20 g (0.7 oz)
Dried oregano — 2 g (0.1 oz)</t>
        </is>
      </c>
      <c r="M222" s="4" t="inlineStr">
        <is>
          <t>[{"ingredient_id": "lentils", "name": "Lentils, cooked", "grams": 400.0, "note": ""}, {"ingredient_id": "cucumber", "name": "Cucumber", "grams": 200.0, "note": ""}, {"ingredient_id": "cherry_tomato", "name": "Cherry tomatoes", "grams": 200.0, "note": ""}, {"ingredient_id": "red_onion", "name": "Red onion", "grams": 50.0, "note": ""}, {"ingredient_id": "feta", "name": "Feta cheese", "grams": 80.0, "note": ""}, {"ingredient_id": "olives", "name": "Olives (kalamata/green)", "grams": 40.0, "note": ""}, {"ingredient_id": "parsley", "name": "Fresh parsley", "grams": 12.0, "note": ""}, {"ingredient_id": "olive_oil", "name": "Extra-virgin olive oil", "grams": 30.0, "note": ""}, {"ingredient_id": "red_wine_vinegar", "name": "Red wine vinegar", "grams": 20.0, "note": ""}, {"ingredient_id": "oregano", "name": "Dried oregano", "grams": 2.0, "note": ""}]</t>
        </is>
      </c>
      <c r="N222" s="2" t="n">
        <v>271</v>
      </c>
      <c r="O222" s="5" t="n">
        <v>13</v>
      </c>
      <c r="P222" s="5" t="n">
        <v>13.4</v>
      </c>
      <c r="Q222" s="5" t="n">
        <v>26.9</v>
      </c>
      <c r="R222" s="5" t="n">
        <v>9.6</v>
      </c>
      <c r="S222" s="5" t="n">
        <v>17.3</v>
      </c>
      <c r="T222" s="2" t="n">
        <v>29</v>
      </c>
      <c r="U222" s="2" t="inlineStr">
        <is>
          <t>low</t>
        </is>
      </c>
      <c r="V222" s="5" t="n">
        <v>5</v>
      </c>
      <c r="W222" s="2" t="inlineStr">
        <is>
          <t>low</t>
        </is>
      </c>
      <c r="X222" s="3" t="inlineStr"/>
      <c r="Y222" s="3" t="inlineStr">
        <is>
          <t>70% of this dish's available carbohydrate comes from ingredients with a published, measured GI; the rest uses conventional placeholders (see Ingredients sheet)</t>
        </is>
      </c>
      <c r="Z222" s="2" t="n">
        <v>70</v>
      </c>
      <c r="AA222" s="3" t="inlineStr">
        <is>
          <t>vegetarian, gluten-free, nut-free, high-fiber, make-ahead, no-cook</t>
        </is>
      </c>
      <c r="AB222" s="3" t="inlineStr">
        <is>
          <t>1. Combine lentils, cucumber, tomatoes, onion, olives and parsley.
2. Dress with oil, vinegar and oregano.
3. Fold in feta.</t>
        </is>
      </c>
      <c r="AC222" s="4" t="inlineStr">
        <is>
          <t>["Combine lentils, cucumber, tomatoes, onion, olives and parsley.", "Dress with oil, vinegar and oregano.", "Fold in feta."]</t>
        </is>
      </c>
    </row>
    <row r="223" ht="96" customHeight="1">
      <c r="A223" s="2" t="inlineStr">
        <is>
          <t>DB-0222</t>
        </is>
      </c>
      <c r="B223" s="3" t="inlineStr">
        <is>
          <t>Chicken Bacon Ranch Chopped Salad</t>
        </is>
      </c>
      <c r="C223" s="4" t="inlineStr">
        <is>
          <t>Salad</t>
        </is>
      </c>
      <c r="D223" s="4" t="inlineStr">
        <is>
          <t>American</t>
        </is>
      </c>
      <c r="E223" s="2" t="n">
        <v>3</v>
      </c>
      <c r="F223" s="2" t="n">
        <v>15</v>
      </c>
      <c r="G223" s="2" t="n">
        <v>12</v>
      </c>
      <c r="H223" s="2" t="n">
        <v>27</v>
      </c>
      <c r="I223" s="4" t="inlineStr">
        <is>
          <t>chicken-bacon-ranch-chopped-salad.jpg</t>
        </is>
      </c>
      <c r="J223" s="3" t="inlineStr">
        <is>
          <t>Chicken Bacon Ranch Chopped Salad, healthy food photography, plated, natural light</t>
        </is>
      </c>
      <c r="K223" s="4" t="inlineStr"/>
      <c r="L223" s="3" t="inlineStr">
        <is>
          <t>Chicken breast, skinless — 400 g (14.1 oz)
Turkey bacon — 60 g (2.1 oz)
Romaine lettuce — 250 g (8.8 oz)
Cherry tomatoes — 150 g (5.3 oz)
Cucumber — 120 g (4.2 oz)
Cheddar cheese — 50 g (1.8 oz)
Greek yogurt, plain 2% — 100 g (3.5 oz)
Ranch seasoning (dry) — 5 g (0.2 oz)
Lemon juice — 8 g (0.3 oz)
Extra-virgin olive oil — 8 g (0.3 oz)</t>
        </is>
      </c>
      <c r="M223" s="4" t="inlineStr">
        <is>
          <t>[{"ingredient_id": "chicken_breast", "name": "Chicken breast, skinless", "grams": 400.0, "note": ""}, {"ingredient_id": "turkey_bacon", "name": "Turkey bacon", "grams": 60.0, "note": ""}, {"ingredient_id": "romaine", "name": "Romaine lettuce", "grams": 250.0, "note": ""}, {"ingredient_id": "cherry_tomato", "name": "Cherry tomatoes", "grams": 150.0, "note": ""}, {"ingredient_id": "cucumber", "name": "Cucumber", "grams": 120.0, "note": ""}, {"ingredient_id": "cheddar", "name": "Cheddar cheese", "grams": 50.0, "note": ""}, {"ingredient_id": "greek_yogurt", "name": "Greek yogurt, plain 2%", "grams": 100.0, "note": ""}, {"ingredient_id": "ranch_seasoning", "name": "Ranch seasoning (dry)", "grams": 5.0, "note": ""}, {"ingredient_id": "lemon_juice", "name": "Lemon juice", "grams": 8.0, "note": ""}, {"ingredient_id": "olive_oil", "name": "Extra-virgin olive oil", "grams": 8.0, "note": ""}]</t>
        </is>
      </c>
      <c r="N223" s="2" t="n">
        <v>353</v>
      </c>
      <c r="O223" s="5" t="n">
        <v>42.7</v>
      </c>
      <c r="P223" s="5" t="n">
        <v>15.8</v>
      </c>
      <c r="Q223" s="5" t="n">
        <v>9.199999999999999</v>
      </c>
      <c r="R223" s="5" t="n">
        <v>3</v>
      </c>
      <c r="S223" s="5" t="n">
        <v>6.2</v>
      </c>
      <c r="T223" s="2" t="n">
        <v>13</v>
      </c>
      <c r="U223" s="2" t="inlineStr">
        <is>
          <t>low</t>
        </is>
      </c>
      <c r="V223" s="5" t="n">
        <v>0.8</v>
      </c>
      <c r="W223" s="2" t="inlineStr">
        <is>
          <t>low</t>
        </is>
      </c>
      <c r="X223" s="3" t="inlineStr"/>
      <c r="Y223" s="3" t="inlineStr">
        <is>
          <t>21% of this dish's available carbohydrate comes from ingredients with a published, measured GI; the rest uses conventional placeholders (see Ingredients sheet)</t>
        </is>
      </c>
      <c r="Z223" s="2" t="n">
        <v>21</v>
      </c>
      <c r="AA223" s="3" t="inlineStr">
        <is>
          <t>gluten-free, nut-free, low-carb, high-protein</t>
        </is>
      </c>
      <c r="AB223" s="3" t="inlineStr">
        <is>
          <t>1. Grill chicken and crisp bacon; chop.
2. Whisk yogurt, ranch seasoning and lemon.
3. Toss everything with the dressing.</t>
        </is>
      </c>
      <c r="AC223" s="4" t="inlineStr">
        <is>
          <t>["Grill chicken and crisp bacon; chop.", "Whisk yogurt, ranch seasoning and lemon.", "Toss everything with the dressing."]</t>
        </is>
      </c>
    </row>
    <row r="224" ht="96" customHeight="1">
      <c r="A224" s="2" t="inlineStr">
        <is>
          <t>DB-0223</t>
        </is>
      </c>
      <c r="B224" s="3" t="inlineStr">
        <is>
          <t>Roasted Broccoli &amp; Chickpea Salad</t>
        </is>
      </c>
      <c r="C224" s="4" t="inlineStr">
        <is>
          <t>Salad</t>
        </is>
      </c>
      <c r="D224" s="4" t="inlineStr">
        <is>
          <t>Mediterranean</t>
        </is>
      </c>
      <c r="E224" s="2" t="n">
        <v>3</v>
      </c>
      <c r="F224" s="2" t="n">
        <v>10</v>
      </c>
      <c r="G224" s="2" t="n">
        <v>20</v>
      </c>
      <c r="H224" s="2" t="n">
        <v>30</v>
      </c>
      <c r="I224" s="4" t="inlineStr">
        <is>
          <t>roasted-broccoli-and-chickpea-salad.jpg</t>
        </is>
      </c>
      <c r="J224" s="3" t="inlineStr">
        <is>
          <t>Roasted Broccoli &amp; Chickpea Salad, healthy food photography, plated, natural light</t>
        </is>
      </c>
      <c r="K224" s="4" t="inlineStr"/>
      <c r="L224" s="3" t="inlineStr">
        <is>
          <t>Broccoli — 400 g (14.1 oz)
Chickpeas, cooked — 250 g (8.8 oz)
Extra-virgin olive oil — 20 g (0.7 oz)
Garlic — 5 g (0.2 oz)
Lemon juice — 15 g (0.5 oz)
Parmesan, grated — 25 g (0.9 oz)
Red pepper flakes — 1 g (0.0 oz)
Almonds — 20 g (0.7 oz)</t>
        </is>
      </c>
      <c r="M224" s="4" t="inlineStr">
        <is>
          <t>[{"ingredient_id": "broccoli", "name": "Broccoli", "grams": 400.0, "note": ""}, {"ingredient_id": "chickpeas", "name": "Chickpeas, cooked", "grams": 250.0, "note": ""}, {"ingredient_id": "olive_oil", "name": "Extra-virgin olive oil", "grams": 20.0, "note": ""}, {"ingredient_id": "garlic", "name": "Garlic", "grams": 5.0, "note": ""}, {"ingredient_id": "lemon_juice", "name": "Lemon juice", "grams": 15.0, "note": ""}, {"ingredient_id": "parmesan", "name": "Parmesan, grated", "grams": 25.0, "note": ""}, {"ingredient_id": "red_pepper_flakes", "name": "Red pepper flakes", "grams": 1.0, "note": ""}, {"ingredient_id": "almonds", "name": "Almonds", "grams": 20.0, "note": ""}]</t>
        </is>
      </c>
      <c r="N224" s="2" t="n">
        <v>320</v>
      </c>
      <c r="O224" s="5" t="n">
        <v>15.9</v>
      </c>
      <c r="P224" s="5" t="n">
        <v>15.2</v>
      </c>
      <c r="Q224" s="5" t="n">
        <v>34.2</v>
      </c>
      <c r="R224" s="5" t="n">
        <v>10.8</v>
      </c>
      <c r="S224" s="5" t="n">
        <v>23.4</v>
      </c>
      <c r="T224" s="2" t="n">
        <v>31</v>
      </c>
      <c r="U224" s="2" t="inlineStr">
        <is>
          <t>low</t>
        </is>
      </c>
      <c r="V224" s="5" t="n">
        <v>7.3</v>
      </c>
      <c r="W224" s="2" t="inlineStr">
        <is>
          <t>low</t>
        </is>
      </c>
      <c r="X224" s="3" t="inlineStr"/>
      <c r="Y224" s="3" t="inlineStr">
        <is>
          <t>69% of this dish's available carbohydrate comes from ingredients with a published, measured GI; the rest uses conventional placeholders (see Ingredients sheet)</t>
        </is>
      </c>
      <c r="Z224" s="2" t="n">
        <v>69</v>
      </c>
      <c r="AA224" s="3" t="inlineStr">
        <is>
          <t>vegetarian, gluten-free, high-fiber</t>
        </is>
      </c>
      <c r="AB224" s="3" t="inlineStr">
        <is>
          <t>1. Roast broccoli and chickpeas with oil, garlic and pepper flakes at 425°F 20 minutes.
2. Toss with lemon juice.
3. Top with parmesan and almonds; serve warm.</t>
        </is>
      </c>
      <c r="AC224" s="4" t="inlineStr">
        <is>
          <t>["Roast broccoli and chickpeas with oil, garlic and pepper flakes at 425°F 20 minutes.", "Toss with lemon juice.", "Top with parmesan and almonds; serve warm."]</t>
        </is>
      </c>
    </row>
    <row r="225" ht="96" customHeight="1">
      <c r="A225" s="2" t="inlineStr">
        <is>
          <t>DB-0224</t>
        </is>
      </c>
      <c r="B225" s="3" t="inlineStr">
        <is>
          <t>Shrimp Cobb Salad</t>
        </is>
      </c>
      <c r="C225" s="4" t="inlineStr">
        <is>
          <t>Salad</t>
        </is>
      </c>
      <c r="D225" s="4" t="inlineStr">
        <is>
          <t>American</t>
        </is>
      </c>
      <c r="E225" s="2" t="n">
        <v>2</v>
      </c>
      <c r="F225" s="2" t="n">
        <v>15</v>
      </c>
      <c r="G225" s="2" t="n">
        <v>8</v>
      </c>
      <c r="H225" s="2" t="n">
        <v>23</v>
      </c>
      <c r="I225" s="4" t="inlineStr">
        <is>
          <t>shrimp-cobb-salad.jpg</t>
        </is>
      </c>
      <c r="J225" s="3" t="inlineStr">
        <is>
          <t>Shrimp Cobb Salad, healthy food photography, plated, natural light</t>
        </is>
      </c>
      <c r="K225" s="4" t="inlineStr"/>
      <c r="L225" s="3" t="inlineStr">
        <is>
          <t>Shrimp, peeled — 300 g (10.6 oz)
Egg, large (50 g each) — 100 g (3.5 oz) [2 hard-boiled eggs]
Turkey bacon — 45 g (1.6 oz)
Romaine lettuce — 200 g (7.1 oz)
Avocado — 100 g (3.5 oz)
Cherry tomatoes — 150 g (5.3 oz)
Blue cheese, crumbled — 30 g (1.1 oz)
Extra-virgin olive oil — 15 g (0.5 oz)
Red wine vinegar — 10 g (0.4 oz)
Dijon mustard — 5 g (0.2 oz)</t>
        </is>
      </c>
      <c r="M225" s="4" t="inlineStr">
        <is>
          <t>[{"ingredient_id": "shrimp", "name": "Shrimp, peeled", "grams": 300.0, "note": ""}, {"ingredient_id": "egg", "name": "Egg, large (50 g each)", "grams": 100.0, "note": "2 hard-boiled eggs"}, {"ingredient_id": "turkey_bacon", "name": "Turkey bacon", "grams": 45.0, "note": ""}, {"ingredient_id": "romaine", "name": "Romaine lettuce", "grams": 200.0, "note": ""}, {"ingredient_id": "avocado", "name": "Avocado", "grams": 100.0, "note": ""}, {"ingredient_id": "cherry_tomato", "name": "Cherry tomatoes", "grams": 150.0, "note": ""}, {"ingredient_id": "blue_cheese", "name": "Blue cheese, crumbled", "grams": 30.0, "note": ""}, {"ingredient_id": "olive_oil", "name": "Extra-virgin olive oil", "grams": 15.0, "note": ""}, {"ingredient_id": "red_wine_vinegar", "name": "Red wine vinegar", "grams": 10.0, "note": ""}, {"ingredient_id": "dijon", "name": "Dijon mustard", "grams": 5.0, "note": ""}]</t>
        </is>
      </c>
      <c r="N225" s="2" t="n">
        <v>480</v>
      </c>
      <c r="O225" s="5" t="n">
        <v>46.5</v>
      </c>
      <c r="P225" s="5" t="n">
        <v>28.8</v>
      </c>
      <c r="Q225" s="5" t="n">
        <v>11.8</v>
      </c>
      <c r="R225" s="5" t="n">
        <v>6.4</v>
      </c>
      <c r="S225" s="5" t="n">
        <v>5.3</v>
      </c>
      <c r="T225" s="2" t="n">
        <v>12</v>
      </c>
      <c r="U225" s="2" t="inlineStr">
        <is>
          <t>low</t>
        </is>
      </c>
      <c r="V225" s="5" t="n">
        <v>0.6</v>
      </c>
      <c r="W225" s="2" t="inlineStr">
        <is>
          <t>low</t>
        </is>
      </c>
      <c r="X225" s="3" t="inlineStr"/>
      <c r="Y225" s="3" t="inlineStr">
        <is>
          <t>0% of this dish's available carbohydrate comes from ingredients with a published, measured GI; the rest uses conventional placeholders (see Ingredients sheet)</t>
        </is>
      </c>
      <c r="Z225" s="2" t="n">
        <v>0</v>
      </c>
      <c r="AA225" s="3" t="inlineStr">
        <is>
          <t>gluten-free, nut-free, low-carb, high-protein</t>
        </is>
      </c>
      <c r="AB225" s="3" t="inlineStr">
        <is>
          <t>1. Sauté shrimp 3 minutes; crisp bacon; boil eggs.
2. Whisk oil, vinegar and Dijon.
3. Arrange all over romaine; drizzle dressing.</t>
        </is>
      </c>
      <c r="AC225" s="4" t="inlineStr">
        <is>
          <t>["Sauté shrimp 3 minutes; crisp bacon; boil eggs.", "Whisk oil, vinegar and Dijon.", "Arrange all over romaine; drizzle dressing."]</t>
        </is>
      </c>
    </row>
    <row r="226" ht="96" customHeight="1">
      <c r="A226" s="2" t="inlineStr">
        <is>
          <t>DB-0225</t>
        </is>
      </c>
      <c r="B226" s="3" t="inlineStr">
        <is>
          <t>Cabbage &amp; Apple Slaw with Pork Tenderloin</t>
        </is>
      </c>
      <c r="C226" s="4" t="inlineStr">
        <is>
          <t>Salad</t>
        </is>
      </c>
      <c r="D226" s="4" t="inlineStr">
        <is>
          <t>American</t>
        </is>
      </c>
      <c r="E226" s="2" t="n">
        <v>3</v>
      </c>
      <c r="F226" s="2" t="n">
        <v>15</v>
      </c>
      <c r="G226" s="2" t="n">
        <v>20</v>
      </c>
      <c r="H226" s="2" t="n">
        <v>35</v>
      </c>
      <c r="I226" s="4" t="inlineStr">
        <is>
          <t>cabbage-and-apple-slaw-with-pork-tenderloin.jpg</t>
        </is>
      </c>
      <c r="J226" s="3" t="inlineStr">
        <is>
          <t>Cabbage &amp; Apple Slaw with Pork Tenderloin, healthy food photography, plated, natural light</t>
        </is>
      </c>
      <c r="K226" s="4" t="inlineStr"/>
      <c r="L226" s="3" t="inlineStr">
        <is>
          <t>Pork tenderloin — 400 g (14.1 oz)
Green cabbage — 300 g (10.6 oz)
Apple — 120 g (4.2 oz)
Carrot — 60 g (2.1 oz)
Greek yogurt, plain 2% — 80 g (2.8 oz)
Dijon mustard — 10 g (0.4 oz)
Apple cider vinegar — 15 g (0.5 oz)
Extra-virgin olive oil — 10 g (0.4 oz)
Salt — 2 g (0.1 oz)</t>
        </is>
      </c>
      <c r="M226" s="4" t="inlineStr">
        <is>
          <t>[{"ingredient_id": "pork_tenderloin", "name": "Pork tenderloin", "grams": 400.0, "note": ""}, {"ingredient_id": "cabbage", "name": "Green cabbage", "grams": 300.0, "note": ""}, {"ingredient_id": "apple", "name": "Apple", "grams": 120.0, "note": ""}, {"ingredient_id": "carrot", "name": "Carrot", "grams": 60.0, "note": ""}, {"ingredient_id": "greek_yogurt", "name": "Greek yogurt, plain 2%", "grams": 80.0, "note": ""}, {"ingredient_id": "dijon", "name": "Dijon mustard", "grams": 10.0, "note": ""}, {"ingredient_id": "apple_cider_vinegar", "name": "Apple cider vinegar", "grams": 15.0, "note": ""}, {"ingredient_id": "olive_oil", "name": "Extra-virgin olive oil", "grams": 10.0, "note": ""}, {"ingredient_id": "salt", "name": "Salt", "grams": 2.0, "note": ""}]</t>
        </is>
      </c>
      <c r="N226" s="2" t="n">
        <v>266</v>
      </c>
      <c r="O226" s="5" t="n">
        <v>32.4</v>
      </c>
      <c r="P226" s="5" t="n">
        <v>8.9</v>
      </c>
      <c r="Q226" s="5" t="n">
        <v>14.6</v>
      </c>
      <c r="R226" s="5" t="n">
        <v>4.1</v>
      </c>
      <c r="S226" s="5" t="n">
        <v>10.5</v>
      </c>
      <c r="T226" s="2" t="n">
        <v>27</v>
      </c>
      <c r="U226" s="2" t="inlineStr">
        <is>
          <t>low</t>
        </is>
      </c>
      <c r="V226" s="5" t="n">
        <v>2.8</v>
      </c>
      <c r="W226" s="2" t="inlineStr">
        <is>
          <t>low</t>
        </is>
      </c>
      <c r="X226" s="3" t="inlineStr"/>
      <c r="Y226" s="3" t="inlineStr">
        <is>
          <t>67% of this dish's available carbohydrate comes from ingredients with a published, measured GI; the rest uses conventional placeholders (see Ingredients sheet)</t>
        </is>
      </c>
      <c r="Z226" s="2" t="n">
        <v>67</v>
      </c>
      <c r="AA226" s="3" t="inlineStr">
        <is>
          <t>gluten-free, nut-free, low-carb, high-protein</t>
        </is>
      </c>
      <c r="AB226" s="3" t="inlineStr">
        <is>
          <t>1. Season pork and roast at 425°F 18–20 minutes; rest and slice.
2. Whisk yogurt, Dijon and vinegar.
3. Toss shredded cabbage, apple and carrot with dressing; serve with pork.</t>
        </is>
      </c>
      <c r="AC226" s="4" t="inlineStr">
        <is>
          <t>["Season pork and roast at 425°F 18–20 minutes; rest and slice.", "Whisk yogurt, Dijon and vinegar.", "Toss shredded cabbage, apple and carrot with dressing; serve with pork."]</t>
        </is>
      </c>
    </row>
    <row r="227" ht="96" customHeight="1">
      <c r="A227" s="2" t="inlineStr">
        <is>
          <t>DB-0226</t>
        </is>
      </c>
      <c r="B227" s="3" t="inlineStr">
        <is>
          <t>Miso-Ginger Salmon Salad</t>
        </is>
      </c>
      <c r="C227" s="4" t="inlineStr">
        <is>
          <t>Salad</t>
        </is>
      </c>
      <c r="D227" s="4" t="inlineStr">
        <is>
          <t>Japanese</t>
        </is>
      </c>
      <c r="E227" s="2" t="n">
        <v>2</v>
      </c>
      <c r="F227" s="2" t="n">
        <v>10</v>
      </c>
      <c r="G227" s="2" t="n">
        <v>12</v>
      </c>
      <c r="H227" s="2" t="n">
        <v>22</v>
      </c>
      <c r="I227" s="4" t="inlineStr">
        <is>
          <t>miso-ginger-salmon-salad.jpg</t>
        </is>
      </c>
      <c r="J227" s="3" t="inlineStr">
        <is>
          <t>Miso-Ginger Salmon Salad, healthy food photography, plated, natural light</t>
        </is>
      </c>
      <c r="K227" s="4" t="inlineStr"/>
      <c r="L227" s="3" t="inlineStr">
        <is>
          <t>Salmon fillet — 280 g (9.9 oz)
White miso paste — 15 g (0.5 oz)
Fresh ginger — 6 g (0.2 oz)
Rice vinegar, unseasoned — 15 g (0.5 oz)
Toasted sesame oil — 8 g (0.3 oz)
Mixed salad greens — 150 g (5.3 oz)
Cucumber — 100 g (3.5 oz)
Edamame, shelled, cooked — 80 g (2.8 oz)
Radishes — 40 g (1.4 oz)
Sesame seeds — 6 g (0.2 oz)</t>
        </is>
      </c>
      <c r="M227" s="4" t="inlineStr">
        <is>
          <t>[{"ingredient_id": "salmon", "name": "Salmon fillet", "grams": 280.0, "note": ""}, {"ingredient_id": "miso", "name": "White miso paste", "grams": 15.0, "note": ""}, {"ingredient_id": "ginger", "name": "Fresh ginger", "grams": 6.0, "note": ""}, {"ingredient_id": "rice_vinegar", "name": "Rice vinegar, unseasoned", "grams": 15.0, "note": ""}, {"ingredient_id": "sesame_oil", "name": "Toasted sesame oil", "grams": 8.0, "note": ""}, {"ingredient_id": "mixed_greens", "name": "Mixed salad greens", "grams": 150.0, "note": ""}, {"ingredient_id": "cucumber", "name": "Cucumber", "grams": 100.0, "note": ""}, {"ingredient_id": "edamame", "name": "Edamame, shelled, cooked", "grams": 80.0, "note": ""}, {"ingredient_id": "radish", "name": "Radishes", "grams": 40.0, "note": ""}, {"ingredient_id": "sesame_seeds", "name": "Sesame seeds", "grams": 6.0, "note": ""}]</t>
        </is>
      </c>
      <c r="N227" s="2" t="n">
        <v>437</v>
      </c>
      <c r="O227" s="5" t="n">
        <v>36.3</v>
      </c>
      <c r="P227" s="5" t="n">
        <v>26.5</v>
      </c>
      <c r="Q227" s="5" t="n">
        <v>11.9</v>
      </c>
      <c r="R227" s="5" t="n">
        <v>4.9</v>
      </c>
      <c r="S227" s="5" t="n">
        <v>7.1</v>
      </c>
      <c r="T227" s="2" t="n">
        <v>20</v>
      </c>
      <c r="U227" s="2" t="inlineStr">
        <is>
          <t>low</t>
        </is>
      </c>
      <c r="V227" s="5" t="n">
        <v>1.4</v>
      </c>
      <c r="W227" s="2" t="inlineStr">
        <is>
          <t>low</t>
        </is>
      </c>
      <c r="X227" s="3" t="inlineStr"/>
      <c r="Y227" s="3" t="inlineStr">
        <is>
          <t>0% of this dish's available carbohydrate comes from ingredients with a published, measured GI; the rest uses conventional placeholders (see Ingredients sheet)</t>
        </is>
      </c>
      <c r="Z227" s="2" t="n">
        <v>0</v>
      </c>
      <c r="AA227" s="3" t="inlineStr">
        <is>
          <t>pescatarian, dairy-free, nut-free, low-carb, high-protein, omega-3</t>
        </is>
      </c>
      <c r="AB227" s="3" t="inlineStr">
        <is>
          <t>1. Whisk miso, ginger, vinegar and sesame oil; brush half on salmon and roast at 400°F 12 minutes.
2. Toss greens, cucumber, edamame and radish with remaining dressing.
3. Top with salmon and sesame seeds.</t>
        </is>
      </c>
      <c r="AC227" s="4" t="inlineStr">
        <is>
          <t>["Whisk miso, ginger, vinegar and sesame oil; brush half on salmon and roast at 400°F 12 minutes.", "Toss greens, cucumber, edamame and radish with remaining dressing.", "Top with salmon and sesame seeds."]</t>
        </is>
      </c>
    </row>
    <row r="228" ht="96" customHeight="1">
      <c r="A228" s="2" t="inlineStr">
        <is>
          <t>DB-0227</t>
        </is>
      </c>
      <c r="B228" s="3" t="inlineStr">
        <is>
          <t>Southwest Quinoa Salad with Grilled Chicken</t>
        </is>
      </c>
      <c r="C228" s="4" t="inlineStr">
        <is>
          <t>Salad</t>
        </is>
      </c>
      <c r="D228" s="4" t="inlineStr">
        <is>
          <t>Tex-Mex</t>
        </is>
      </c>
      <c r="E228" s="2" t="n">
        <v>3</v>
      </c>
      <c r="F228" s="2" t="n">
        <v>15</v>
      </c>
      <c r="G228" s="2" t="n">
        <v>12</v>
      </c>
      <c r="H228" s="2" t="n">
        <v>27</v>
      </c>
      <c r="I228" s="4" t="inlineStr">
        <is>
          <t>southwest-quinoa-salad-with-grilled-chicken.jpg</t>
        </is>
      </c>
      <c r="J228" s="3" t="inlineStr">
        <is>
          <t>Southwest Quinoa Salad with Grilled Chicken, healthy food photography, plated, natural light</t>
        </is>
      </c>
      <c r="K228" s="4" t="inlineStr"/>
      <c r="L228" s="3" t="inlineStr">
        <is>
          <t>Chicken breast, skinless — 350 g (12.3 oz)
Quinoa, cooked — 300 g (10.6 oz)
Black beans, cooked — 150 g (5.3 oz)
Bell pepper — 100 g (3.5 oz)
Sweet corn kernels — 60 g (2.1 oz)
Fresh cilantro — 10 g (0.4 oz)
Lime juice — 25 g (0.9 oz)
Extra-virgin olive oil — 20 g (0.7 oz)
Ground cumin — 2 g (0.1 oz)
Avocado — 80 g (2.8 oz)</t>
        </is>
      </c>
      <c r="M228" s="4" t="inlineStr">
        <is>
          <t>[{"ingredient_id": "chicken_breast", "name": "Chicken breast, skinless", "grams": 350.0, "note": ""}, {"ingredient_id": "quinoa", "name": "Quinoa, cooked", "grams": 300.0, "note": ""}, {"ingredient_id": "black_beans", "name": "Black beans, cooked", "grams": 150.0, "note": ""}, {"ingredient_id": "bell_pepper", "name": "Bell pepper", "grams": 100.0, "note": ""}, {"ingredient_id": "corn", "name": "Sweet corn kernels", "grams": 60.0, "note": ""}, {"ingredient_id": "cilantro", "name": "Fresh cilantro", "grams": 10.0, "note": ""}, {"ingredient_id": "lime_juice", "name": "Lime juice", "grams": 25.0, "note": ""}, {"ingredient_id": "olive_oil", "name": "Extra-virgin olive oil", "grams": 20.0, "note": ""}, {"ingredient_id": "cumin", "name": "Ground cumin", "grams": 2.0, "note": ""}, {"ingredient_id": "avocado", "name": "Avocado", "grams": 80.0, "note": ""}]</t>
        </is>
      </c>
      <c r="N228" s="2" t="n">
        <v>460</v>
      </c>
      <c r="O228" s="5" t="n">
        <v>36.9</v>
      </c>
      <c r="P228" s="5" t="n">
        <v>16.4</v>
      </c>
      <c r="Q228" s="5" t="n">
        <v>42</v>
      </c>
      <c r="R228" s="5" t="n">
        <v>10.4</v>
      </c>
      <c r="S228" s="5" t="n">
        <v>31.7</v>
      </c>
      <c r="T228" s="2" t="n">
        <v>44</v>
      </c>
      <c r="U228" s="2" t="inlineStr">
        <is>
          <t>low</t>
        </is>
      </c>
      <c r="V228" s="5" t="n">
        <v>13.9</v>
      </c>
      <c r="W228" s="2" t="inlineStr">
        <is>
          <t>medium</t>
        </is>
      </c>
      <c r="X228" s="3" t="inlineStr"/>
      <c r="Y228" s="3" t="inlineStr">
        <is>
          <t>91% of this dish's available carbohydrate comes from ingredients with a published, measured GI; the rest uses conventional placeholders (see Ingredients sheet)</t>
        </is>
      </c>
      <c r="Z228" s="2" t="n">
        <v>91</v>
      </c>
      <c r="AA228" s="3" t="inlineStr">
        <is>
          <t>gluten-free, dairy-free, nut-free, high-protein, high-fiber</t>
        </is>
      </c>
      <c r="AB228" s="3" t="inlineStr">
        <is>
          <t>1. Grill chicken; dice.
2. Whisk lime, oil and cumin.
3. Toss quinoa, beans, pepper, corn, cilantro with dressing; top with chicken and avocado.</t>
        </is>
      </c>
      <c r="AC228" s="4" t="inlineStr">
        <is>
          <t>["Grill chicken; dice.", "Whisk lime, oil and cumin.", "Toss quinoa, beans, pepper, corn, cilantro with dressing; top with chicken and avocado."]</t>
        </is>
      </c>
    </row>
    <row r="229" ht="96" customHeight="1">
      <c r="A229" s="2" t="inlineStr">
        <is>
          <t>DB-0228</t>
        </is>
      </c>
      <c r="B229" s="3" t="inlineStr">
        <is>
          <t>Tomato, Cucumber &amp; Hemp Seed Salad</t>
        </is>
      </c>
      <c r="C229" s="4" t="inlineStr">
        <is>
          <t>Salad</t>
        </is>
      </c>
      <c r="D229" s="4" t="inlineStr">
        <is>
          <t>American</t>
        </is>
      </c>
      <c r="E229" s="2" t="n">
        <v>2</v>
      </c>
      <c r="F229" s="2" t="n">
        <v>10</v>
      </c>
      <c r="G229" s="2" t="n">
        <v>0</v>
      </c>
      <c r="H229" s="2" t="n">
        <v>10</v>
      </c>
      <c r="I229" s="4" t="inlineStr">
        <is>
          <t>tomato-cucumber-and-hemp-seed-salad.jpg</t>
        </is>
      </c>
      <c r="J229" s="3" t="inlineStr">
        <is>
          <t>Tomato, Cucumber &amp; Hemp Seed Salad, healthy food photography, plated, natural light</t>
        </is>
      </c>
      <c r="K229" s="4" t="inlineStr"/>
      <c r="L229" s="3" t="inlineStr">
        <is>
          <t>Tomato — 250 g (8.8 oz)
Cucumber — 200 g (7.1 oz)
Red onion — 30 g (1.1 oz)
Hemp seeds — 20 g (0.7 oz)
Extra-virgin olive oil — 12 g (0.4 oz)
Apple cider vinegar — 10 g (0.4 oz)
Fresh dill — 5 g (0.2 oz)
Salt — 1 g (0.0 oz)</t>
        </is>
      </c>
      <c r="M229" s="4" t="inlineStr">
        <is>
          <t>[{"ingredient_id": "tomato", "name": "Tomato", "grams": 250.0, "note": ""}, {"ingredient_id": "cucumber", "name": "Cucumber", "grams": 200.0, "note": ""}, {"ingredient_id": "red_onion", "name": "Red onion", "grams": 30.0, "note": ""}, {"ingredient_id": "hemp_seeds", "name": "Hemp seeds", "grams": 20.0, "note": ""}, {"ingredient_id": "olive_oil", "name": "Extra-virgin olive oil", "grams": 12.0, "note": ""}, {"ingredient_id": "apple_cider_vinegar", "name": "Apple cider vinegar", "grams": 10.0, "note": ""}, {"ingredient_id": "dill", "name": "Fresh dill", "grams": 5.0, "note": ""}, {"ingredient_id": "salt", "name": "Salt", "grams": 1.0, "note": ""}]</t>
        </is>
      </c>
      <c r="N229" s="2" t="n">
        <v>154</v>
      </c>
      <c r="O229" s="5" t="n">
        <v>5.3</v>
      </c>
      <c r="P229" s="5" t="n">
        <v>11.3</v>
      </c>
      <c r="Q229" s="5" t="n">
        <v>11</v>
      </c>
      <c r="R229" s="5" t="n">
        <v>2.7</v>
      </c>
      <c r="S229" s="5" t="n">
        <v>8.300000000000001</v>
      </c>
      <c r="T229" s="2" t="n">
        <v>15</v>
      </c>
      <c r="U229" s="2" t="inlineStr">
        <is>
          <t>low</t>
        </is>
      </c>
      <c r="V229" s="5" t="n">
        <v>1.2</v>
      </c>
      <c r="W229" s="2" t="inlineStr">
        <is>
          <t>low</t>
        </is>
      </c>
      <c r="X229" s="3" t="inlineStr"/>
      <c r="Y229" s="3" t="inlineStr">
        <is>
          <t>0% of this dish's available carbohydrate comes from ingredients with a published, measured GI; the rest uses conventional placeholders (see Ingredients sheet)</t>
        </is>
      </c>
      <c r="Z229" s="2" t="n">
        <v>0</v>
      </c>
      <c r="AA229" s="3" t="inlineStr">
        <is>
          <t>vegan, gluten-free, dairy-free, nut-free, low-carb, no-cook</t>
        </is>
      </c>
      <c r="AB229" s="3" t="inlineStr">
        <is>
          <t>1. Chop tomato and cucumber; slice onion.
2. Toss with oil, vinegar, dill and salt.
3. Sprinkle hemp seeds.</t>
        </is>
      </c>
      <c r="AC229" s="4" t="inlineStr">
        <is>
          <t>["Chop tomato and cucumber; slice onion.", "Toss with oil, vinegar, dill and salt.", "Sprinkle hemp seeds."]</t>
        </is>
      </c>
    </row>
    <row r="230" ht="96" customHeight="1">
      <c r="A230" s="2" t="inlineStr">
        <is>
          <t>DB-0229</t>
        </is>
      </c>
      <c r="B230" s="3" t="inlineStr">
        <is>
          <t>Chicken Souvlaki Salad</t>
        </is>
      </c>
      <c r="C230" s="4" t="inlineStr">
        <is>
          <t>Salad</t>
        </is>
      </c>
      <c r="D230" s="4" t="inlineStr">
        <is>
          <t>Greek</t>
        </is>
      </c>
      <c r="E230" s="2" t="n">
        <v>2</v>
      </c>
      <c r="F230" s="2" t="n">
        <v>15</v>
      </c>
      <c r="G230" s="2" t="n">
        <v>12</v>
      </c>
      <c r="H230" s="2" t="n">
        <v>27</v>
      </c>
      <c r="I230" s="4" t="inlineStr">
        <is>
          <t>chicken-souvlaki-salad.jpg</t>
        </is>
      </c>
      <c r="J230" s="3" t="inlineStr">
        <is>
          <t>Chicken Souvlaki Salad, healthy food photography, plated, natural light</t>
        </is>
      </c>
      <c r="K230" s="4" t="inlineStr"/>
      <c r="L230" s="3" t="inlineStr">
        <is>
          <t>Chicken breast, skinless — 300 g (10.6 oz)
Lemon juice — 20 g (0.7 oz)
Dried oregano — 2 g (0.1 oz)
Garlic — 5 g (0.2 oz)
Extra-virgin olive oil — 18 g (0.6 oz)
Romaine lettuce — 200 g (7.1 oz)
Cucumber — 120 g (4.2 oz)
Tomato — 150 g (5.3 oz)
Red onion — 30 g (1.1 oz)
Feta cheese — 40 g (1.4 oz)
Greek yogurt, plain 2% — 60 g (2.1 oz)
Fresh dill — 4 g (0.1 oz)</t>
        </is>
      </c>
      <c r="M230" s="4" t="inlineStr">
        <is>
          <t>[{"ingredient_id": "chicken_breast", "name": "Chicken breast, skinless", "grams": 300.0, "note": ""}, {"ingredient_id": "lemon_juice", "name": "Lemon juice", "grams": 20.0, "note": ""}, {"ingredient_id": "oregano", "name": "Dried oregano", "grams": 2.0, "note": ""}, {"ingredient_id": "garlic", "name": "Garlic", "grams": 5.0, "note": ""}, {"ingredient_id": "olive_oil", "name": "Extra-virgin olive oil", "grams": 18.0, "note": ""}, {"ingredient_id": "romaine", "name": "Romaine lettuce", "grams": 200.0, "note": ""}, {"ingredient_id": "cucumber", "name": "Cucumber", "grams": 120.0, "note": ""}, {"ingredient_id": "tomato", "name": "Tomato", "grams": 150.0, "note": ""}, {"ingredient_id": "red_onion", "name": "Red onion", "grams": 30.0, "note": ""}, {"ingredient_id": "feta", "name": "Feta cheese", "grams": 40.0, "note": ""}, {"ingredient_id": "greek_yogurt", "name": "Greek yogurt, plain 2%", "grams": 60.0, "note": ""}, {"ingredient_id": "dill", "name": "Fresh dill", "grams": 4.0, "note": ""}]</t>
        </is>
      </c>
      <c r="N230" s="2" t="n">
        <v>389</v>
      </c>
      <c r="O230" s="5" t="n">
        <v>42.4</v>
      </c>
      <c r="P230" s="5" t="n">
        <v>18.3</v>
      </c>
      <c r="Q230" s="5" t="n">
        <v>14.1</v>
      </c>
      <c r="R230" s="5" t="n">
        <v>4.1</v>
      </c>
      <c r="S230" s="5" t="n">
        <v>10</v>
      </c>
      <c r="T230" s="2" t="n">
        <v>15</v>
      </c>
      <c r="U230" s="2" t="inlineStr">
        <is>
          <t>low</t>
        </is>
      </c>
      <c r="V230" s="5" t="n">
        <v>1.5</v>
      </c>
      <c r="W230" s="2" t="inlineStr">
        <is>
          <t>low</t>
        </is>
      </c>
      <c r="X230" s="3" t="inlineStr"/>
      <c r="Y230" s="3" t="inlineStr">
        <is>
          <t>12% of this dish's available carbohydrate comes from ingredients with a published, measured GI; the rest uses conventional placeholders (see Ingredients sheet)</t>
        </is>
      </c>
      <c r="Z230" s="2" t="n">
        <v>12</v>
      </c>
      <c r="AA230" s="3" t="inlineStr">
        <is>
          <t>gluten-free, nut-free, low-carb, high-protein</t>
        </is>
      </c>
      <c r="AB230" s="3" t="inlineStr">
        <is>
          <t>1. Marinate chicken in lemon, oregano, garlic and half the oil; grill 6 minutes per side and slice.
2. Mix yogurt, dill and grated cucumber (a little) for tzatziki.
3. Toss salad vegetables with remaining oil; top with chicken, feta and tzatziki.</t>
        </is>
      </c>
      <c r="AC230" s="4" t="inlineStr">
        <is>
          <t>["Marinate chicken in lemon, oregano, garlic and half the oil; grill 6 minutes per side and slice.", "Mix yogurt, dill and grated cucumber (a little) for tzatziki.", "Toss salad vegetables with remaining oil; top with chicken, feta and tzatziki."]</t>
        </is>
      </c>
    </row>
    <row r="231" ht="96" customHeight="1">
      <c r="A231" s="2" t="inlineStr">
        <is>
          <t>DB-0230</t>
        </is>
      </c>
      <c r="B231" s="3" t="inlineStr">
        <is>
          <t>Winter Citrus &amp; Avocado Salad with Shrimp</t>
        </is>
      </c>
      <c r="C231" s="4" t="inlineStr">
        <is>
          <t>Salad</t>
        </is>
      </c>
      <c r="D231" s="4" t="inlineStr">
        <is>
          <t>American</t>
        </is>
      </c>
      <c r="E231" s="2" t="n">
        <v>2</v>
      </c>
      <c r="F231" s="2" t="n">
        <v>15</v>
      </c>
      <c r="G231" s="2" t="n">
        <v>5</v>
      </c>
      <c r="H231" s="2" t="n">
        <v>20</v>
      </c>
      <c r="I231" s="4" t="inlineStr">
        <is>
          <t>winter-citrus-and-avocado-salad-with-shrimp.jpg</t>
        </is>
      </c>
      <c r="J231" s="3" t="inlineStr">
        <is>
          <t>Winter Citrus &amp; Avocado Salad with Shrimp, healthy food photography, plated, natural light</t>
        </is>
      </c>
      <c r="K231" s="4" t="inlineStr"/>
      <c r="L231" s="3" t="inlineStr">
        <is>
          <t>Shrimp, peeled — 280 g (9.9 oz)
Orange — 120 g (4.2 oz)
Grapefruit — 100 g (3.5 oz)
Avocado — 100 g (3.5 oz)
Mixed salad greens — 120 g (4.2 oz)
Red onion — 20 g (0.7 oz)
Pistachios, shelled — 20 g (0.7 oz)
Extra-virgin olive oil — 15 g (0.5 oz)
Lime juice — 10 g (0.4 oz)
Fresh mint — 4 g (0.1 oz)</t>
        </is>
      </c>
      <c r="M231" s="4" t="inlineStr">
        <is>
          <t>[{"ingredient_id": "shrimp", "name": "Shrimp, peeled", "grams": 280.0, "note": ""}, {"ingredient_id": "orange", "name": "Orange", "grams": 120.0, "note": ""}, {"ingredient_id": "grapefruit", "name": "Grapefruit", "grams": 100.0, "note": ""}, {"ingredient_id": "avocado", "name": "Avocado", "grams": 100.0, "note": ""}, {"ingredient_id": "mixed_greens", "name": "Mixed salad greens", "grams": 120.0, "note": ""}, {"ingredient_id": "red_onion", "name": "Red onion", "grams": 20.0, "note": ""}, {"ingredient_id": "pistachios", "name": "Pistachios, shelled", "grams": 20.0, "note": ""}, {"ingredient_id": "olive_oil", "name": "Extra-virgin olive oil", "grams": 15.0, "note": ""}, {"ingredient_id": "lime_juice", "name": "Lime juice", "grams": 10.0, "note": ""}, {"ingredient_id": "mint", "name": "Fresh mint", "grams": 4.0, "note": ""}]</t>
        </is>
      </c>
      <c r="N231" s="2" t="n">
        <v>389</v>
      </c>
      <c r="O231" s="5" t="n">
        <v>33.3</v>
      </c>
      <c r="P231" s="5" t="n">
        <v>20.5</v>
      </c>
      <c r="Q231" s="5" t="n">
        <v>23.2</v>
      </c>
      <c r="R231" s="5" t="n">
        <v>8.199999999999999</v>
      </c>
      <c r="S231" s="5" t="n">
        <v>15</v>
      </c>
      <c r="T231" s="2" t="n">
        <v>30</v>
      </c>
      <c r="U231" s="2" t="inlineStr">
        <is>
          <t>low</t>
        </is>
      </c>
      <c r="V231" s="5" t="n">
        <v>4.5</v>
      </c>
      <c r="W231" s="2" t="inlineStr">
        <is>
          <t>low</t>
        </is>
      </c>
      <c r="X231" s="3" t="inlineStr"/>
      <c r="Y231" s="3" t="inlineStr">
        <is>
          <t>80% of this dish's available carbohydrate comes from ingredients with a published, measured GI; the rest uses conventional placeholders (see Ingredients sheet)</t>
        </is>
      </c>
      <c r="Z231" s="2" t="n">
        <v>80</v>
      </c>
      <c r="AA231" s="3" t="inlineStr">
        <is>
          <t>pescatarian, gluten-free, dairy-free, high-protein, high-fiber</t>
        </is>
      </c>
      <c r="AB231" s="3" t="inlineStr">
        <is>
          <t>1. Sauté shrimp 3 minutes; cool.
2. Segment citrus.
3. Toss greens with oil and lime; top with citrus, avocado, onion, shrimp, pistachios and mint.</t>
        </is>
      </c>
      <c r="AC231" s="4" t="inlineStr">
        <is>
          <t>["Sauté shrimp 3 minutes; cool.", "Segment citrus.", "Toss greens with oil and lime; top with citrus, avocado, onion, shrimp, pistachios and mint."]</t>
        </is>
      </c>
    </row>
    <row r="232" ht="96" customHeight="1">
      <c r="A232" s="2" t="inlineStr">
        <is>
          <t>DB-0231</t>
        </is>
      </c>
      <c r="B232" s="3" t="inlineStr">
        <is>
          <t>Loaded Kale Salad with Chicken &amp; Roasted Chickpeas</t>
        </is>
      </c>
      <c r="C232" s="4" t="inlineStr">
        <is>
          <t>Salad</t>
        </is>
      </c>
      <c r="D232" s="4" t="inlineStr">
        <is>
          <t>American</t>
        </is>
      </c>
      <c r="E232" s="2" t="n">
        <v>3</v>
      </c>
      <c r="F232" s="2" t="n">
        <v>10</v>
      </c>
      <c r="G232" s="2" t="n">
        <v>25</v>
      </c>
      <c r="H232" s="2" t="n">
        <v>35</v>
      </c>
      <c r="I232" s="4" t="inlineStr">
        <is>
          <t>loaded-kale-salad-with-chicken-and-roasted-chickpeas.jpg</t>
        </is>
      </c>
      <c r="J232" s="3" t="inlineStr">
        <is>
          <t>Loaded Kale Salad with Chicken &amp; Roasted Chickpeas, healthy food photography, plated, natural light</t>
        </is>
      </c>
      <c r="K232" s="4" t="inlineStr"/>
      <c r="L232" s="3" t="inlineStr">
        <is>
          <t>Chicken breast, skinless — 350 g (12.3 oz)
Kale — 200 g (7.1 oz)
Chickpeas, cooked — 200 g (7.1 oz)
Extra-virgin olive oil — 25 g (0.9 oz)
Smoked paprika — 2 g (0.1 oz)
Parmesan, grated — 30 g (1.1 oz)
Lemon juice — 20 g (0.7 oz)
Garlic — 4 g (0.1 oz)
Cherry tomatoes — 120 g (4.2 oz)</t>
        </is>
      </c>
      <c r="M232" s="4" t="inlineStr">
        <is>
          <t>[{"ingredient_id": "chicken_breast", "name": "Chicken breast, skinless", "grams": 350.0, "note": ""}, {"ingredient_id": "kale", "name": "Kale", "grams": 200.0, "note": ""}, {"ingredient_id": "chickpeas", "name": "Chickpeas, cooked", "grams": 200.0, "note": ""}, {"ingredient_id": "olive_oil", "name": "Extra-virgin olive oil", "grams": 25.0, "note": ""}, {"ingredient_id": "smoked_paprika", "name": "Smoked paprika", "grams": 2.0, "note": ""}, {"ingredient_id": "parmesan", "name": "Parmesan, grated", "grams": 30.0, "note": ""}, {"ingredient_id": "lemon_juice", "name": "Lemon juice", "grams": 20.0, "note": ""}, {"ingredient_id": "garlic", "name": "Garlic", "grams": 4.0, "note": ""}, {"ingredient_id": "cherry_tomato", "name": "Cherry tomatoes", "grams": 120.0, "note": ""}]</t>
        </is>
      </c>
      <c r="N232" s="2" t="n">
        <v>411</v>
      </c>
      <c r="O232" s="5" t="n">
        <v>39.4</v>
      </c>
      <c r="P232" s="5" t="n">
        <v>16.8</v>
      </c>
      <c r="Q232" s="5" t="n">
        <v>27.1</v>
      </c>
      <c r="R232" s="5" t="n">
        <v>8.199999999999999</v>
      </c>
      <c r="S232" s="5" t="n">
        <v>18.9</v>
      </c>
      <c r="T232" s="2" t="n">
        <v>31</v>
      </c>
      <c r="U232" s="2" t="inlineStr">
        <is>
          <t>low</t>
        </is>
      </c>
      <c r="V232" s="5" t="n">
        <v>5.8</v>
      </c>
      <c r="W232" s="2" t="inlineStr">
        <is>
          <t>low</t>
        </is>
      </c>
      <c r="X232" s="3" t="inlineStr"/>
      <c r="Y232" s="3" t="inlineStr">
        <is>
          <t>69% of this dish's available carbohydrate comes from ingredients with a published, measured GI; the rest uses conventional placeholders (see Ingredients sheet)</t>
        </is>
      </c>
      <c r="Z232" s="2" t="n">
        <v>69</v>
      </c>
      <c r="AA232" s="3" t="inlineStr">
        <is>
          <t>gluten-free, nut-free, high-protein, high-fiber</t>
        </is>
      </c>
      <c r="AB232" s="3" t="inlineStr">
        <is>
          <t>1. Roast chickpeas with half the oil and paprika at 425°F 22 minutes.
2. Grill chicken; slice.
3. Massage kale with remaining oil, lemon and garlic; toss with tomatoes, chicken, chickpeas and parmesan.</t>
        </is>
      </c>
      <c r="AC232" s="4" t="inlineStr">
        <is>
          <t>["Roast chickpeas with half the oil and paprika at 425°F 22 minutes.", "Grill chicken; slice.", "Massage kale with remaining oil, lemon and garlic; toss with tomatoes, chicken, chickpeas and parmesan."]</t>
        </is>
      </c>
    </row>
    <row r="233" ht="96" customHeight="1">
      <c r="A233" s="2" t="inlineStr">
        <is>
          <t>DB-0232</t>
        </is>
      </c>
      <c r="B233" s="3" t="inlineStr">
        <is>
          <t>Cold Sesame Zoodle Salad with Shrimp</t>
        </is>
      </c>
      <c r="C233" s="4" t="inlineStr">
        <is>
          <t>Salad</t>
        </is>
      </c>
      <c r="D233" s="4" t="inlineStr">
        <is>
          <t>Chinese</t>
        </is>
      </c>
      <c r="E233" s="2" t="n">
        <v>2</v>
      </c>
      <c r="F233" s="2" t="n">
        <v>10</v>
      </c>
      <c r="G233" s="2" t="n">
        <v>5</v>
      </c>
      <c r="H233" s="2" t="n">
        <v>15</v>
      </c>
      <c r="I233" s="4" t="inlineStr">
        <is>
          <t>cold-sesame-zoodle-salad-with-shrimp.jpg</t>
        </is>
      </c>
      <c r="J233" s="3" t="inlineStr">
        <is>
          <t>Cold Sesame Zoodle Salad with Shrimp, healthy food photography, plated, natural light</t>
        </is>
      </c>
      <c r="K233" s="4" t="inlineStr"/>
      <c r="L233" s="3" t="inlineStr">
        <is>
          <t>Zucchini noodles (zoodles) — 350 g (12.3 oz)
Shrimp, peeled — 250 g (8.8 oz)
Tahini — 25 g (0.9 oz)
Tamari (gluten-free soy sauce) — 15 g (0.5 oz)
Rice vinegar, unseasoned — 12 g (0.4 oz)
Toasted sesame oil — 8 g (0.3 oz)
Garlic — 4 g (0.1 oz)
Fresh ginger — 4 g (0.1 oz)
Green onions (scallions) — 15 g (0.5 oz)
Sesame seeds — 6 g (0.2 oz)
Cucumber — 80 g (2.8 oz)</t>
        </is>
      </c>
      <c r="M233" s="4" t="inlineStr">
        <is>
          <t>[{"ingredient_id": "zucchini_noodles", "name": "Zucchini noodles (zoodles)", "grams": 350.0, "note": ""}, {"ingredient_id": "shrimp", "name": "Shrimp, peeled", "grams": 250.0, "note": ""}, {"ingredient_id": "tahini", "name": "Tahini", "grams": 25.0, "note": ""}, {"ingredient_id": "tamari", "name": "Tamari (gluten-free soy sauce)", "grams": 15.0, "note": ""}, {"ingredient_id": "rice_vinegar", "name": "Rice vinegar, unseasoned", "grams": 12.0, "note": ""}, {"ingredient_id": "sesame_oil", "name": "Toasted sesame oil", "grams": 8.0, "note": ""}, {"ingredient_id": "garlic", "name": "Garlic", "grams": 4.0, "note": ""}, {"ingredient_id": "ginger", "name": "Fresh ginger", "grams": 4.0, "note": ""}, {"ingredient_id": "green_onion", "name": "Green onions (scallions)", "grams": 15.0, "note": ""}, {"ingredient_id": "sesame_seeds", "name": "Sesame seeds", "grams": 6.0, "note": ""}, {"ingredient_id": "cucumber", "name": "Cucumber", "grams": 80.0, "note": ""}]</t>
        </is>
      </c>
      <c r="N233" s="2" t="n">
        <v>281</v>
      </c>
      <c r="O233" s="5" t="n">
        <v>31.1</v>
      </c>
      <c r="P233" s="5" t="n">
        <v>13.5</v>
      </c>
      <c r="Q233" s="5" t="n">
        <v>12.2</v>
      </c>
      <c r="R233" s="5" t="n">
        <v>3.8</v>
      </c>
      <c r="S233" s="5" t="n">
        <v>8.4</v>
      </c>
      <c r="T233" s="2" t="n">
        <v>22</v>
      </c>
      <c r="U233" s="2" t="inlineStr">
        <is>
          <t>low</t>
        </is>
      </c>
      <c r="V233" s="5" t="n">
        <v>1.8</v>
      </c>
      <c r="W233" s="2" t="inlineStr">
        <is>
          <t>low</t>
        </is>
      </c>
      <c r="X233" s="3" t="inlineStr"/>
      <c r="Y233" s="3" t="inlineStr">
        <is>
          <t>0% of this dish's available carbohydrate comes from ingredients with a published, measured GI; the rest uses conventional placeholders (see Ingredients sheet)</t>
        </is>
      </c>
      <c r="Z233" s="2" t="n">
        <v>0</v>
      </c>
      <c r="AA233" s="3" t="inlineStr">
        <is>
          <t>pescatarian, gluten-free, dairy-free, nut-free, low-carb, high-protein</t>
        </is>
      </c>
      <c r="AB233" s="3" t="inlineStr">
        <is>
          <t>1. Sauté shrimp 3 minutes; cool.
2. Whisk tahini, tamari, vinegar, sesame oil, garlic, ginger and a little water.
3. Toss zoodles and cucumber with sauce; top with shrimp, green onion and sesame.</t>
        </is>
      </c>
      <c r="AC233" s="4" t="inlineStr">
        <is>
          <t>["Sauté shrimp 3 minutes; cool.", "Whisk tahini, tamari, vinegar, sesame oil, garlic, ginger and a little water.", "Toss zoodles and cucumber with sauce; top with shrimp, green onion and sesame."]</t>
        </is>
      </c>
    </row>
    <row r="234" ht="96" customHeight="1">
      <c r="A234" s="2" t="inlineStr">
        <is>
          <t>DB-0233</t>
        </is>
      </c>
      <c r="B234" s="3" t="inlineStr">
        <is>
          <t>Cottage Cheese Veggie Salad Bowl</t>
        </is>
      </c>
      <c r="C234" s="4" t="inlineStr">
        <is>
          <t>Salad</t>
        </is>
      </c>
      <c r="D234" s="4" t="inlineStr">
        <is>
          <t>American</t>
        </is>
      </c>
      <c r="E234" s="2" t="n">
        <v>1</v>
      </c>
      <c r="F234" s="2" t="n">
        <v>10</v>
      </c>
      <c r="G234" s="2" t="n">
        <v>0</v>
      </c>
      <c r="H234" s="2" t="n">
        <v>10</v>
      </c>
      <c r="I234" s="4" t="inlineStr">
        <is>
          <t>cottage-cheese-veggie-salad-bowl.jpg</t>
        </is>
      </c>
      <c r="J234" s="3" t="inlineStr">
        <is>
          <t>Cottage Cheese Veggie Salad Bowl, healthy food photography, plated, natural light</t>
        </is>
      </c>
      <c r="K234" s="4" t="inlineStr"/>
      <c r="L234" s="3" t="inlineStr">
        <is>
          <t>Cottage cheese, low-fat — 200 g (7.1 oz)
Cucumber — 100 g (3.5 oz)
Cherry tomatoes — 100 g (3.5 oz)
Radishes — 40 g (1.4 oz)
Green onions (scallions) — 10 g (0.4 oz)
Sunflower seeds — 12 g (0.4 oz)
Extra-virgin olive oil — 8 g (0.3 oz)
Black pepper — 1 g (0.0 oz)
Fresh dill — 3 g (0.1 oz)</t>
        </is>
      </c>
      <c r="M234" s="4" t="inlineStr">
        <is>
          <t>[{"ingredient_id": "cottage_cheese", "name": "Cottage cheese, low-fat", "grams": 200.0, "note": ""}, {"ingredient_id": "cucumber", "name": "Cucumber", "grams": 100.0, "note": ""}, {"ingredient_id": "cherry_tomato", "name": "Cherry tomatoes", "grams": 100.0, "note": ""}, {"ingredient_id": "radish", "name": "Radishes", "grams": 40.0, "note": ""}, {"ingredient_id": "green_onion", "name": "Green onions (scallions)", "grams": 10.0, "note": ""}, {"ingredient_id": "sunflower_seeds", "name": "Sunflower seeds", "grams": 12.0, "note": ""}, {"ingredient_id": "olive_oil", "name": "Extra-virgin olive oil", "grams": 8.0, "note": ""}, {"ingredient_id": "black_pepper", "name": "Black pepper", "grams": 1.0, "note": ""}, {"ingredient_id": "dill", "name": "Fresh dill", "grams": 3.0, "note": ""}]</t>
        </is>
      </c>
      <c r="N234" s="2" t="n">
        <v>355</v>
      </c>
      <c r="O234" s="5" t="n">
        <v>26.8</v>
      </c>
      <c r="P234" s="5" t="n">
        <v>19.1</v>
      </c>
      <c r="Q234" s="5" t="n">
        <v>21.4</v>
      </c>
      <c r="R234" s="5" t="n">
        <v>3.9</v>
      </c>
      <c r="S234" s="5" t="n">
        <v>17.5</v>
      </c>
      <c r="T234" s="2" t="n">
        <v>13</v>
      </c>
      <c r="U234" s="2" t="inlineStr">
        <is>
          <t>low</t>
        </is>
      </c>
      <c r="V234" s="5" t="n">
        <v>2.3</v>
      </c>
      <c r="W234" s="2" t="inlineStr">
        <is>
          <t>low</t>
        </is>
      </c>
      <c r="X234" s="3" t="inlineStr"/>
      <c r="Y234" s="3" t="inlineStr">
        <is>
          <t>0% of this dish's available carbohydrate comes from ingredients with a published, measured GI; the rest uses conventional placeholders (see Ingredients sheet)</t>
        </is>
      </c>
      <c r="Z234" s="2" t="n">
        <v>0</v>
      </c>
      <c r="AA234" s="3" t="inlineStr">
        <is>
          <t>vegetarian, gluten-free, nut-free, high-protein, no-cook</t>
        </is>
      </c>
      <c r="AB234" s="3" t="inlineStr">
        <is>
          <t>1. Chop vegetables.
2. Spoon cottage cheese into a bowl and surround with vegetables.
3. Drizzle oil, add seeds, dill and pepper.</t>
        </is>
      </c>
      <c r="AC234" s="4" t="inlineStr">
        <is>
          <t>["Chop vegetables.", "Spoon cottage cheese into a bowl and surround with vegetables.", "Drizzle oil, add seeds, dill and pepper."]</t>
        </is>
      </c>
    </row>
    <row r="235" ht="96" customHeight="1">
      <c r="A235" s="2" t="inlineStr">
        <is>
          <t>DB-0234</t>
        </is>
      </c>
      <c r="B235" s="3" t="inlineStr">
        <is>
          <t>Smoked Turkey &amp; Apple Kale Salad</t>
        </is>
      </c>
      <c r="C235" s="4" t="inlineStr">
        <is>
          <t>Salad</t>
        </is>
      </c>
      <c r="D235" s="4" t="inlineStr">
        <is>
          <t>American</t>
        </is>
      </c>
      <c r="E235" s="2" t="n">
        <v>2</v>
      </c>
      <c r="F235" s="2" t="n">
        <v>10</v>
      </c>
      <c r="G235" s="2" t="n">
        <v>0</v>
      </c>
      <c r="H235" s="2" t="n">
        <v>10</v>
      </c>
      <c r="I235" s="4" t="inlineStr">
        <is>
          <t>smoked-turkey-and-apple-kale-salad.jpg</t>
        </is>
      </c>
      <c r="J235" s="3" t="inlineStr">
        <is>
          <t>Smoked Turkey &amp; Apple Kale Salad, healthy food photography, plated, natural light</t>
        </is>
      </c>
      <c r="K235" s="4" t="inlineStr"/>
      <c r="L235" s="3" t="inlineStr">
        <is>
          <t>Deli turkey breast, low sodium — 200 g (7.1 oz)
Kale — 150 g (5.3 oz)
Apple — 120 g (4.2 oz)
Cheddar cheese — 40 g (1.4 oz)
Walnuts — 25 g (0.9 oz)
Extra-virgin olive oil — 15 g (0.5 oz)
Apple cider vinegar — 12 g (0.4 oz)
Dijon mustard — 6 g (0.2 oz)</t>
        </is>
      </c>
      <c r="M235" s="4" t="inlineStr">
        <is>
          <t>[{"ingredient_id": "deli_turkey", "name": "Deli turkey breast, low sodium", "grams": 200.0, "note": ""}, {"ingredient_id": "kale", "name": "Kale", "grams": 150.0, "note": ""}, {"ingredient_id": "apple", "name": "Apple", "grams": 120.0, "note": ""}, {"ingredient_id": "cheddar", "name": "Cheddar cheese", "grams": 40.0, "note": ""}, {"ingredient_id": "walnuts", "name": "Walnuts", "grams": 25.0, "note": ""}, {"ingredient_id": "olive_oil", "name": "Extra-virgin olive oil", "grams": 15.0, "note": ""}, {"ingredient_id": "apple_cider_vinegar", "name": "Apple cider vinegar", "grams": 12.0, "note": ""}, {"ingredient_id": "dijon", "name": "Dijon mustard", "grams": 6.0, "note": ""}]</t>
        </is>
      </c>
      <c r="N235" s="2" t="n">
        <v>404</v>
      </c>
      <c r="O235" s="5" t="n">
        <v>27</v>
      </c>
      <c r="P235" s="5" t="n">
        <v>24.6</v>
      </c>
      <c r="Q235" s="5" t="n">
        <v>21.2</v>
      </c>
      <c r="R235" s="5" t="n">
        <v>5.1</v>
      </c>
      <c r="S235" s="5" t="n">
        <v>16.1</v>
      </c>
      <c r="T235" s="2" t="n">
        <v>20</v>
      </c>
      <c r="U235" s="2" t="inlineStr">
        <is>
          <t>low</t>
        </is>
      </c>
      <c r="V235" s="5" t="n">
        <v>3.2</v>
      </c>
      <c r="W235" s="2" t="inlineStr">
        <is>
          <t>low</t>
        </is>
      </c>
      <c r="X235" s="3" t="inlineStr"/>
      <c r="Y235" s="3" t="inlineStr">
        <is>
          <t>43% of this dish's available carbohydrate comes from ingredients with a published, measured GI; the rest uses conventional placeholders (see Ingredients sheet)</t>
        </is>
      </c>
      <c r="Z235" s="2" t="n">
        <v>43</v>
      </c>
      <c r="AA235" s="3" t="inlineStr">
        <is>
          <t>gluten-free, high-protein, no-cook</t>
        </is>
      </c>
      <c r="AB235" s="3" t="inlineStr">
        <is>
          <t>1. Whisk oil, vinegar and Dijon; massage into kale.
2. Add sliced apple, turkey and cheddar.
3. Top with walnuts.</t>
        </is>
      </c>
      <c r="AC235" s="4" t="inlineStr">
        <is>
          <t>["Whisk oil, vinegar and Dijon; massage into kale.", "Add sliced apple, turkey and cheddar.", "Top with walnuts."]</t>
        </is>
      </c>
    </row>
    <row r="236" ht="96" customHeight="1">
      <c r="A236" s="2" t="inlineStr">
        <is>
          <t>DB-0235</t>
        </is>
      </c>
      <c r="B236" s="3" t="inlineStr">
        <is>
          <t>Mediterranean Tuna Stuffed Peppers Salad</t>
        </is>
      </c>
      <c r="C236" s="4" t="inlineStr">
        <is>
          <t>Salad</t>
        </is>
      </c>
      <c r="D236" s="4" t="inlineStr">
        <is>
          <t>Mediterranean</t>
        </is>
      </c>
      <c r="E236" s="2" t="n">
        <v>2</v>
      </c>
      <c r="F236" s="2" t="n">
        <v>10</v>
      </c>
      <c r="G236" s="2" t="n">
        <v>0</v>
      </c>
      <c r="H236" s="2" t="n">
        <v>10</v>
      </c>
      <c r="I236" s="4" t="inlineStr">
        <is>
          <t>mediterranean-tuna-stuffed-peppers-salad.jpg</t>
        </is>
      </c>
      <c r="J236" s="3" t="inlineStr">
        <is>
          <t>Mediterranean Tuna Stuffed Peppers Salad, healthy food photography, plated, natural light</t>
        </is>
      </c>
      <c r="K236" s="4" t="inlineStr"/>
      <c r="L236" s="3" t="inlineStr">
        <is>
          <t>Tuna, canned in water — 170 g (6.0 oz)
Bell pepper — 300 g (10.6 oz) [2 peppers, halved]
Chickpeas, cooked — 120 g (4.2 oz)
Cucumber — 80 g (2.8 oz)
Olives (kalamata/green) — 25 g (0.9 oz)
Feta cheese — 30 g (1.1 oz)
Extra-virgin olive oil — 12 g (0.4 oz)
Lemon juice — 12 g (0.4 oz)
Fresh parsley — 6 g (0.2 oz)</t>
        </is>
      </c>
      <c r="M236" s="4" t="inlineStr">
        <is>
          <t>[{"ingredient_id": "tuna_canned", "name": "Tuna, canned in water", "grams": 170.0, "note": ""}, {"ingredient_id": "bell_pepper", "name": "Bell pepper", "grams": 300.0, "note": "2 peppers, halved"}, {"ingredient_id": "chickpeas", "name": "Chickpeas, cooked", "grams": 120.0, "note": ""}, {"ingredient_id": "cucumber", "name": "Cucumber", "grams": 80.0, "note": ""}, {"ingredient_id": "olives", "name": "Olives (kalamata/green)", "grams": 25.0, "note": ""}, {"ingredient_id": "feta", "name": "Feta cheese", "grams": 30.0, "note": ""}, {"ingredient_id": "olive_oil", "name": "Extra-virgin olive oil", "grams": 12.0, "note": ""}, {"ingredient_id": "lemon_juice", "name": "Lemon juice", "grams": 12.0, "note": ""}, {"ingredient_id": "parsley", "name": "Fresh parsley", "grams": 6.0, "note": ""}]</t>
        </is>
      </c>
      <c r="N236" s="2" t="n">
        <v>359</v>
      </c>
      <c r="O236" s="5" t="n">
        <v>31.5</v>
      </c>
      <c r="P236" s="5" t="n">
        <v>13.5</v>
      </c>
      <c r="Q236" s="5" t="n">
        <v>28.6</v>
      </c>
      <c r="R236" s="5" t="n">
        <v>8.4</v>
      </c>
      <c r="S236" s="5" t="n">
        <v>20.2</v>
      </c>
      <c r="T236" s="2" t="n">
        <v>28</v>
      </c>
      <c r="U236" s="2" t="inlineStr">
        <is>
          <t>low</t>
        </is>
      </c>
      <c r="V236" s="5" t="n">
        <v>5.6</v>
      </c>
      <c r="W236" s="2" t="inlineStr">
        <is>
          <t>low</t>
        </is>
      </c>
      <c r="X236" s="3" t="inlineStr"/>
      <c r="Y236" s="3" t="inlineStr">
        <is>
          <t>58% of this dish's available carbohydrate comes from ingredients with a published, measured GI; the rest uses conventional placeholders (see Ingredients sheet)</t>
        </is>
      </c>
      <c r="Z236" s="2" t="n">
        <v>58</v>
      </c>
      <c r="AA236" s="3" t="inlineStr">
        <is>
          <t>pescatarian, gluten-free, nut-free, high-protein, high-fiber, no-cook</t>
        </is>
      </c>
      <c r="AB236" s="3" t="inlineStr">
        <is>
          <t>1. Mix tuna, chickpeas, cucumber, olives, feta, parsley with oil and lemon.
2. Halve and seed peppers.
3. Fill with the tuna mixture.</t>
        </is>
      </c>
      <c r="AC236" s="4" t="inlineStr">
        <is>
          <t>["Mix tuna, chickpeas, cucumber, olives, feta, parsley with oil and lemon.", "Halve and seed peppers.", "Fill with the tuna mixture."]</t>
        </is>
      </c>
    </row>
    <row r="237" ht="96" customHeight="1">
      <c r="A237" s="2" t="inlineStr">
        <is>
          <t>DB-0236</t>
        </is>
      </c>
      <c r="B237" s="3" t="inlineStr">
        <is>
          <t>Pesto Chicken Pasta Salad (Chickpea Pasta)</t>
        </is>
      </c>
      <c r="C237" s="4" t="inlineStr">
        <is>
          <t>Salad</t>
        </is>
      </c>
      <c r="D237" s="4" t="inlineStr">
        <is>
          <t>Italian</t>
        </is>
      </c>
      <c r="E237" s="2" t="n">
        <v>4</v>
      </c>
      <c r="F237" s="2" t="n">
        <v>10</v>
      </c>
      <c r="G237" s="2" t="n">
        <v>12</v>
      </c>
      <c r="H237" s="2" t="n">
        <v>22</v>
      </c>
      <c r="I237" s="4" t="inlineStr">
        <is>
          <t>pesto-chicken-pasta-salad-chickpea-pasta.jpg</t>
        </is>
      </c>
      <c r="J237" s="3" t="inlineStr">
        <is>
          <t>Pesto Chicken Pasta Salad (Chickpea Pasta), healthy food photography, plated, natural light</t>
        </is>
      </c>
      <c r="K237" s="4" t="inlineStr"/>
      <c r="L237" s="3" t="inlineStr">
        <is>
          <t>Chickpea pasta, cooked — 400 g (14.1 oz)
Chicken breast, skinless — 350 g (12.3 oz)
Basil pesto — 60 g (2.1 oz)
Cherry tomatoes — 200 g (7.1 oz)
Mozzarella, part-skim — 80 g (2.8 oz)
Arugula — 80 g (2.8 oz)
Lemon juice — 10 g (0.4 oz)</t>
        </is>
      </c>
      <c r="M237" s="4" t="inlineStr">
        <is>
          <t>[{"ingredient_id": "chickpea_pasta", "name": "Chickpea pasta, cooked", "grams": 400.0, "note": ""}, {"ingredient_id": "chicken_breast", "name": "Chicken breast, skinless", "grams": 350.0, "note": ""}, {"ingredient_id": "pesto", "name": "Basil pesto", "grams": 60.0, "note": ""}, {"ingredient_id": "cherry_tomato", "name": "Cherry tomatoes", "grams": 200.0, "note": ""}, {"ingredient_id": "mozzarella", "name": "Mozzarella, part-skim", "grams": 80.0, "note": ""}, {"ingredient_id": "arugula", "name": "Arugula", "grams": 80.0, "note": ""}, {"ingredient_id": "lemon_juice", "name": "Lemon juice", "grams": 10.0, "note": ""}]</t>
        </is>
      </c>
      <c r="N237" s="2" t="n">
        <v>395</v>
      </c>
      <c r="O237" s="5" t="n">
        <v>38.2</v>
      </c>
      <c r="P237" s="5" t="n">
        <v>14.7</v>
      </c>
      <c r="Q237" s="5" t="n">
        <v>31.4</v>
      </c>
      <c r="R237" s="5" t="n">
        <v>7.2</v>
      </c>
      <c r="S237" s="5" t="n">
        <v>24.1</v>
      </c>
      <c r="T237" s="2" t="n">
        <v>28</v>
      </c>
      <c r="U237" s="2" t="inlineStr">
        <is>
          <t>low</t>
        </is>
      </c>
      <c r="V237" s="5" t="n">
        <v>6.8</v>
      </c>
      <c r="W237" s="2" t="inlineStr">
        <is>
          <t>low</t>
        </is>
      </c>
      <c r="X237" s="3" t="inlineStr"/>
      <c r="Y237" s="3" t="inlineStr">
        <is>
          <t>0% of this dish's available carbohydrate comes from ingredients with a published, measured GI; the rest uses conventional placeholders (see Ingredients sheet)</t>
        </is>
      </c>
      <c r="Z237" s="2" t="n">
        <v>0</v>
      </c>
      <c r="AA237" s="3" t="inlineStr">
        <is>
          <t>gluten-free, high-protein, high-fiber, make-ahead</t>
        </is>
      </c>
      <c r="AB237" s="3" t="inlineStr">
        <is>
          <t>1. Cook pasta al dente; rinse cool.
2. Grill chicken; dice.
3. Toss pasta, chicken, tomatoes, mozzarella and arugula with pesto and lemon.</t>
        </is>
      </c>
      <c r="AC237" s="4" t="inlineStr">
        <is>
          <t>["Cook pasta al dente; rinse cool.", "Grill chicken; dice.", "Toss pasta, chicken, tomatoes, mozzarella and arugula with pesto and lemon."]</t>
        </is>
      </c>
    </row>
    <row r="238" ht="96" customHeight="1">
      <c r="A238" s="2" t="inlineStr">
        <is>
          <t>DB-0237</t>
        </is>
      </c>
      <c r="B238" s="3" t="inlineStr">
        <is>
          <t>Ginger Carrot &amp; Edamame Salad</t>
        </is>
      </c>
      <c r="C238" s="4" t="inlineStr">
        <is>
          <t>Salad</t>
        </is>
      </c>
      <c r="D238" s="4" t="inlineStr">
        <is>
          <t>Japanese</t>
        </is>
      </c>
      <c r="E238" s="2" t="n">
        <v>3</v>
      </c>
      <c r="F238" s="2" t="n">
        <v>10</v>
      </c>
      <c r="G238" s="2" t="n">
        <v>0</v>
      </c>
      <c r="H238" s="2" t="n">
        <v>10</v>
      </c>
      <c r="I238" s="4" t="inlineStr">
        <is>
          <t>ginger-carrot-and-edamame-salad.jpg</t>
        </is>
      </c>
      <c r="J238" s="3" t="inlineStr">
        <is>
          <t>Ginger Carrot &amp; Edamame Salad, healthy food photography, plated, natural light</t>
        </is>
      </c>
      <c r="K238" s="4" t="inlineStr"/>
      <c r="L238" s="3" t="inlineStr">
        <is>
          <t>Carrot — 250 g (8.8 oz)
Edamame, shelled, cooked — 250 g (8.8 oz)
Cucumber — 100 g (3.5 oz)
Fresh ginger — 10 g (0.4 oz)
Rice vinegar, unseasoned — 20 g (0.7 oz)
Tamari (gluten-free soy sauce) — 12 g (0.4 oz)
Toasted sesame oil — 8 g (0.3 oz)
Green onions (scallions) — 15 g (0.5 oz)
Sesame seeds — 6 g (0.2 oz)</t>
        </is>
      </c>
      <c r="M238" s="4" t="inlineStr">
        <is>
          <t>[{"ingredient_id": "carrot", "name": "Carrot", "grams": 250.0, "note": ""}, {"ingredient_id": "edamame", "name": "Edamame, shelled, cooked", "grams": 250.0, "note": ""}, {"ingredient_id": "cucumber", "name": "Cucumber", "grams": 100.0, "note": ""}, {"ingredient_id": "ginger", "name": "Fresh ginger", "grams": 10.0, "note": ""}, {"ingredient_id": "rice_vinegar", "name": "Rice vinegar, unseasoned", "grams": 20.0, "note": ""}, {"ingredient_id": "tamari", "name": "Tamari (gluten-free soy sauce)", "grams": 12.0, "note": ""}, {"ingredient_id": "sesame_oil", "name": "Toasted sesame oil", "grams": 8.0, "note": ""}, {"ingredient_id": "green_onion", "name": "Green onions (scallions)", "grams": 15.0, "note": ""}, {"ingredient_id": "sesame_seeds", "name": "Sesame seeds", "grams": 6.0, "note": ""}]</t>
        </is>
      </c>
      <c r="N238" s="2" t="n">
        <v>183</v>
      </c>
      <c r="O238" s="5" t="n">
        <v>11.9</v>
      </c>
      <c r="P238" s="5" t="n">
        <v>8.1</v>
      </c>
      <c r="Q238" s="5" t="n">
        <v>18.4</v>
      </c>
      <c r="R238" s="5" t="n">
        <v>7.1</v>
      </c>
      <c r="S238" s="5" t="n">
        <v>11.2</v>
      </c>
      <c r="T238" s="2" t="n">
        <v>28</v>
      </c>
      <c r="U238" s="2" t="inlineStr">
        <is>
          <t>low</t>
        </is>
      </c>
      <c r="V238" s="5" t="n">
        <v>3.1</v>
      </c>
      <c r="W238" s="2" t="inlineStr">
        <is>
          <t>low</t>
        </is>
      </c>
      <c r="X238" s="3" t="inlineStr"/>
      <c r="Y238" s="3" t="inlineStr">
        <is>
          <t>50% of this dish's available carbohydrate comes from ingredients with a published, measured GI; the rest uses conventional placeholders (see Ingredients sheet)</t>
        </is>
      </c>
      <c r="Z238" s="2" t="n">
        <v>50</v>
      </c>
      <c r="AA238" s="3" t="inlineStr">
        <is>
          <t>vegan, gluten-free, dairy-free, nut-free, low-carb, high-fiber, no-cook</t>
        </is>
      </c>
      <c r="AB238" s="3" t="inlineStr">
        <is>
          <t>1. Shred carrot; slice cucumber.
2. Whisk ginger, vinegar, tamari and sesame oil.
3. Toss with edamame and green onion; top with sesame.</t>
        </is>
      </c>
      <c r="AC238" s="4" t="inlineStr">
        <is>
          <t>["Shred carrot; slice cucumber.", "Whisk ginger, vinegar, tamari and sesame oil.", "Toss with edamame and green onion; top with sesame."]</t>
        </is>
      </c>
    </row>
    <row r="239" ht="96" customHeight="1">
      <c r="A239" s="2" t="inlineStr">
        <is>
          <t>DB-0238</t>
        </is>
      </c>
      <c r="B239" s="3" t="inlineStr">
        <is>
          <t>Chicken Gyro Bowl Salad</t>
        </is>
      </c>
      <c r="C239" s="4" t="inlineStr">
        <is>
          <t>Salad</t>
        </is>
      </c>
      <c r="D239" s="4" t="inlineStr">
        <is>
          <t>Greek</t>
        </is>
      </c>
      <c r="E239" s="2" t="n">
        <v>2</v>
      </c>
      <c r="F239" s="2" t="n">
        <v>10</v>
      </c>
      <c r="G239" s="2" t="n">
        <v>12</v>
      </c>
      <c r="H239" s="2" t="n">
        <v>22</v>
      </c>
      <c r="I239" s="4" t="inlineStr">
        <is>
          <t>chicken-gyro-bowl-salad.jpg</t>
        </is>
      </c>
      <c r="J239" s="3" t="inlineStr">
        <is>
          <t>Chicken Gyro Bowl Salad, healthy food photography, plated, natural light</t>
        </is>
      </c>
      <c r="K239" s="4" t="inlineStr"/>
      <c r="L239" s="3" t="inlineStr">
        <is>
          <t>Chicken thigh, skinless boneless — 300 g (10.6 oz)
Dried oregano — 2 g (0.1 oz)
Garlic — 5 g (0.2 oz)
Lemon juice — 15 g (0.5 oz)
Extra-virgin olive oil — 12 g (0.4 oz)
Romaine lettuce — 150 g (5.3 oz)
Tomato — 120 g (4.2 oz)
Cucumber — 120 g (4.2 oz)
Red onion — 30 g (1.1 oz)
Greek yogurt, plain 2% — 80 g (2.8 oz)
Fresh dill — 4 g (0.1 oz)
Whole wheat pita — 30 g (1.1 oz) [half pita]</t>
        </is>
      </c>
      <c r="M239" s="4" t="inlineStr">
        <is>
          <t>[{"ingredient_id": "chicken_thigh", "name": "Chicken thigh, skinless boneless", "grams": 300.0, "note": ""}, {"ingredient_id": "oregano", "name": "Dried oregano", "grams": 2.0, "note": ""}, {"ingredient_id": "garlic", "name": "Garlic", "grams": 5.0, "note": ""}, {"ingredient_id": "lemon_juice", "name": "Lemon juice", "grams": 15.0, "note": ""}, {"ingredient_id": "olive_oil", "name": "Extra-virgin olive oil", "grams": 12.0, "note": ""}, {"ingredient_id": "romaine", "name": "Romaine lettuce", "grams": 150.0, "note": ""}, {"ingredient_id": "tomato", "name": "Tomato", "grams": 120.0, "note": ""}, {"ingredient_id": "cucumber", "name": "Cucumber", "grams": 120.0, "note": ""}, {"ingredient_id": "red_onion", "name": "Red onion", "grams": 30.0, "note": ""}, {"ingredient_id": "greek_yogurt", "name": "Greek yogurt, plain 2%", "grams": 80.0, "note": ""}, {"ingredient_id": "dill", "name": "Fresh dill", "grams": 4.0, "note": ""}, {"ingredient_id": "whole_wheat_pita", "name": "Whole wheat pita", "grams": 30.0, "note": "half pita"}]</t>
        </is>
      </c>
      <c r="N239" s="2" t="n">
        <v>351</v>
      </c>
      <c r="O239" s="5" t="n">
        <v>37.4</v>
      </c>
      <c r="P239" s="5" t="n">
        <v>13.9</v>
      </c>
      <c r="Q239" s="5" t="n">
        <v>20.4</v>
      </c>
      <c r="R239" s="5" t="n">
        <v>4.5</v>
      </c>
      <c r="S239" s="5" t="n">
        <v>15.9</v>
      </c>
      <c r="T239" s="2" t="n">
        <v>34</v>
      </c>
      <c r="U239" s="2" t="inlineStr">
        <is>
          <t>low</t>
        </is>
      </c>
      <c r="V239" s="5" t="n">
        <v>5.4</v>
      </c>
      <c r="W239" s="2" t="inlineStr">
        <is>
          <t>low</t>
        </is>
      </c>
      <c r="X239" s="3" t="inlineStr"/>
      <c r="Y239" s="3" t="inlineStr">
        <is>
          <t>55% of this dish's available carbohydrate comes from ingredients with a published, measured GI; the rest uses conventional placeholders (see Ingredients sheet)</t>
        </is>
      </c>
      <c r="Z239" s="2" t="n">
        <v>55</v>
      </c>
      <c r="AA239" s="3" t="inlineStr">
        <is>
          <t>nut-free, high-protein</t>
        </is>
      </c>
      <c r="AB239" s="3" t="inlineStr">
        <is>
          <t>1. Season chicken with oregano, garlic, lemon and oil; sear and slice.
2. Make tzatziki with yogurt, dill and grated cucumber.
3. Bowl romaine, tomato, cucumber, onion, chicken and tzatziki; serve with toasted pita half.</t>
        </is>
      </c>
      <c r="AC239" s="4" t="inlineStr">
        <is>
          <t>["Season chicken with oregano, garlic, lemon and oil; sear and slice.", "Make tzatziki with yogurt, dill and grated cucumber.", "Bowl romaine, tomato, cucumber, onion, chicken and tzatziki; serve with toasted pita half."]</t>
        </is>
      </c>
    </row>
    <row r="240" ht="96" customHeight="1">
      <c r="A240" s="2" t="inlineStr">
        <is>
          <t>DB-0239</t>
        </is>
      </c>
      <c r="B240" s="3" t="inlineStr">
        <is>
          <t>Marinated Mushroom &amp; White Bean Salad</t>
        </is>
      </c>
      <c r="C240" s="4" t="inlineStr">
        <is>
          <t>Salad</t>
        </is>
      </c>
      <c r="D240" s="4" t="inlineStr">
        <is>
          <t>Italian</t>
        </is>
      </c>
      <c r="E240" s="2" t="n">
        <v>3</v>
      </c>
      <c r="F240" s="2" t="n">
        <v>10</v>
      </c>
      <c r="G240" s="2" t="n">
        <v>8</v>
      </c>
      <c r="H240" s="2" t="n">
        <v>18</v>
      </c>
      <c r="I240" s="4" t="inlineStr">
        <is>
          <t>marinated-mushroom-and-white-bean-salad.jpg</t>
        </is>
      </c>
      <c r="J240" s="3" t="inlineStr">
        <is>
          <t>Marinated Mushroom &amp; White Bean Salad, healthy food photography, plated, natural light</t>
        </is>
      </c>
      <c r="K240" s="4" t="inlineStr"/>
      <c r="L240" s="3" t="inlineStr">
        <is>
          <t>Mushrooms (cremini/white) — 300 g (10.6 oz)
Cannellini beans, cooked — 250 g (8.8 oz)
Extra-virgin olive oil — 20 g (0.7 oz)
Balsamic vinegar — 12 g (0.4 oz)
Garlic — 5 g (0.2 oz)
Fresh thyme — 2 g (0.1 oz)
Fresh parsley — 8 g (0.3 oz)
Arugula — 100 g (3.5 oz)
Parmesan, grated — 20 g (0.7 oz)</t>
        </is>
      </c>
      <c r="M240" s="4" t="inlineStr">
        <is>
          <t>[{"ingredient_id": "mushrooms", "name": "Mushrooms (cremini/white)", "grams": 300.0, "note": ""}, {"ingredient_id": "white_beans", "name": "Cannellini beans, cooked", "grams": 250.0, "note": ""}, {"ingredient_id": "olive_oil", "name": "Extra-virgin olive oil", "grams": 20.0, "note": ""}, {"ingredient_id": "balsamic_vinegar", "name": "Balsamic vinegar", "grams": 12.0, "note": ""}, {"ingredient_id": "garlic", "name": "Garlic", "grams": 5.0, "note": ""}, {"ingredient_id": "thyme", "name": "Fresh thyme", "grams": 2.0, "note": ""}, {"ingredient_id": "parsley", "name": "Fresh parsley", "grams": 8.0, "note": ""}, {"ingredient_id": "arugula", "name": "Arugula", "grams": 100.0, "note": ""}, {"ingredient_id": "parmesan", "name": "Parmesan, grated", "grams": 20.0, "note": ""}]</t>
        </is>
      </c>
      <c r="N240" s="2" t="n">
        <v>241</v>
      </c>
      <c r="O240" s="5" t="n">
        <v>14.8</v>
      </c>
      <c r="P240" s="5" t="n">
        <v>9.5</v>
      </c>
      <c r="Q240" s="5" t="n">
        <v>27.2</v>
      </c>
      <c r="R240" s="5" t="n">
        <v>7</v>
      </c>
      <c r="S240" s="5" t="n">
        <v>20.2</v>
      </c>
      <c r="T240" s="2" t="n">
        <v>28</v>
      </c>
      <c r="U240" s="2" t="inlineStr">
        <is>
          <t>low</t>
        </is>
      </c>
      <c r="V240" s="5" t="n">
        <v>5.7</v>
      </c>
      <c r="W240" s="2" t="inlineStr">
        <is>
          <t>low</t>
        </is>
      </c>
      <c r="X240" s="3" t="inlineStr"/>
      <c r="Y240" s="3" t="inlineStr">
        <is>
          <t>77% of this dish's available carbohydrate comes from ingredients with a published, measured GI; the rest uses conventional placeholders (see Ingredients sheet)</t>
        </is>
      </c>
      <c r="Z240" s="2" t="n">
        <v>77</v>
      </c>
      <c r="AA240" s="3" t="inlineStr">
        <is>
          <t>vegetarian, gluten-free, nut-free</t>
        </is>
      </c>
      <c r="AB240" s="3" t="inlineStr">
        <is>
          <t>1. Sauté mushrooms with garlic and thyme in oil 6 minutes.
2. Toss warm mushrooms with beans, balsamic and parsley.
3. Serve over arugula with parmesan.</t>
        </is>
      </c>
      <c r="AC240" s="4" t="inlineStr">
        <is>
          <t>["Sauté mushrooms with garlic and thyme in oil 6 minutes.", "Toss warm mushrooms with beans, balsamic and parsley.", "Serve over arugula with parmesan."]</t>
        </is>
      </c>
    </row>
    <row r="241" ht="96" customHeight="1">
      <c r="A241" s="2" t="inlineStr">
        <is>
          <t>DB-0240</t>
        </is>
      </c>
      <c r="B241" s="3" t="inlineStr">
        <is>
          <t>Chili Lime Steak &amp; Avocado Salad</t>
        </is>
      </c>
      <c r="C241" s="4" t="inlineStr">
        <is>
          <t>Salad</t>
        </is>
      </c>
      <c r="D241" s="4" t="inlineStr">
        <is>
          <t>Mexican</t>
        </is>
      </c>
      <c r="E241" s="2" t="n">
        <v>2</v>
      </c>
      <c r="F241" s="2" t="n">
        <v>10</v>
      </c>
      <c r="G241" s="2" t="n">
        <v>10</v>
      </c>
      <c r="H241" s="2" t="n">
        <v>20</v>
      </c>
      <c r="I241" s="4" t="inlineStr">
        <is>
          <t>chili-lime-steak-and-avocado-salad.jpg</t>
        </is>
      </c>
      <c r="J241" s="3" t="inlineStr">
        <is>
          <t>Chili Lime Steak &amp; Avocado Salad, healthy food photography, plated, natural light</t>
        </is>
      </c>
      <c r="K241" s="4" t="inlineStr"/>
      <c r="L241" s="3" t="inlineStr">
        <is>
          <t>Beef sirloin, trimmed — 300 g (10.6 oz)
Chili powder — 4 g (0.1 oz)
Lime juice — 20 g (0.7 oz)
Romaine lettuce — 200 g (7.1 oz)
Avocado — 100 g (3.5 oz)
Cherry tomatoes — 120 g (4.2 oz)
Red onion — 30 g (1.1 oz)
Cotija cheese — 25 g (0.9 oz)
Extra-virgin olive oil — 12 g (0.4 oz)
Fresh cilantro — 6 g (0.2 oz)</t>
        </is>
      </c>
      <c r="M241" s="4" t="inlineStr">
        <is>
          <t>[{"ingredient_id": "beef_sirloin", "name": "Beef sirloin, trimmed", "grams": 300.0, "note": ""}, {"ingredient_id": "chili_powder", "name": "Chili powder", "grams": 4.0, "note": ""}, {"ingredient_id": "lime_juice", "name": "Lime juice", "grams": 20.0, "note": ""}, {"ingredient_id": "romaine", "name": "Romaine lettuce", "grams": 200.0, "note": ""}, {"ingredient_id": "avocado", "name": "Avocado", "grams": 100.0, "note": ""}, {"ingredient_id": "cherry_tomato", "name": "Cherry tomatoes", "grams": 120.0, "note": ""}, {"ingredient_id": "red_onion", "name": "Red onion", "grams": 30.0, "note": ""}, {"ingredient_id": "cotija", "name": "Cotija cheese", "grams": 25.0, "note": ""}, {"ingredient_id": "olive_oil", "name": "Extra-virgin olive oil", "grams": 12.0, "note": ""}, {"ingredient_id": "cilantro", "name": "Fresh cilantro", "grams": 6.0, "note": ""}]</t>
        </is>
      </c>
      <c r="N241" s="2" t="n">
        <v>416</v>
      </c>
      <c r="O241" s="5" t="n">
        <v>38.8</v>
      </c>
      <c r="P241" s="5" t="n">
        <v>24.7</v>
      </c>
      <c r="Q241" s="5" t="n">
        <v>13.7</v>
      </c>
      <c r="R241" s="5" t="n">
        <v>7.2</v>
      </c>
      <c r="S241" s="5" t="n">
        <v>6.5</v>
      </c>
      <c r="T241" s="2" t="n">
        <v>14</v>
      </c>
      <c r="U241" s="2" t="inlineStr">
        <is>
          <t>low</t>
        </is>
      </c>
      <c r="V241" s="5" t="n">
        <v>0.9</v>
      </c>
      <c r="W241" s="2" t="inlineStr">
        <is>
          <t>low</t>
        </is>
      </c>
      <c r="X241" s="3" t="inlineStr"/>
      <c r="Y241" s="3" t="inlineStr">
        <is>
          <t>0% of this dish's available carbohydrate comes from ingredients with a published, measured GI; the rest uses conventional placeholders (see Ingredients sheet)</t>
        </is>
      </c>
      <c r="Z241" s="2" t="n">
        <v>0</v>
      </c>
      <c r="AA241" s="3" t="inlineStr">
        <is>
          <t>gluten-free, nut-free, low-carb, high-protein, high-fiber</t>
        </is>
      </c>
      <c r="AB241" s="3" t="inlineStr">
        <is>
          <t>1. Rub steak with chili powder; sear 4 minutes per side; rest, slice.
2. Toss romaine, tomato, onion with lime and oil.
3. Top with steak, avocado, cotija, cilantro.</t>
        </is>
      </c>
      <c r="AC241" s="4" t="inlineStr">
        <is>
          <t>["Rub steak with chili powder; sear 4 minutes per side; rest, slice.", "Toss romaine, tomato, onion with lime and oil.", "Top with steak, avocado, cotija, cilantro."]</t>
        </is>
      </c>
    </row>
    <row r="242" ht="96" customHeight="1">
      <c r="A242" s="2" t="inlineStr">
        <is>
          <t>DB-0241</t>
        </is>
      </c>
      <c r="B242" s="3" t="inlineStr">
        <is>
          <t>Salmon Caesar Salad</t>
        </is>
      </c>
      <c r="C242" s="4" t="inlineStr">
        <is>
          <t>Salad</t>
        </is>
      </c>
      <c r="D242" s="4" t="inlineStr">
        <is>
          <t>American</t>
        </is>
      </c>
      <c r="E242" s="2" t="n">
        <v>2</v>
      </c>
      <c r="F242" s="2" t="n">
        <v>10</v>
      </c>
      <c r="G242" s="2" t="n">
        <v>12</v>
      </c>
      <c r="H242" s="2" t="n">
        <v>22</v>
      </c>
      <c r="I242" s="4" t="inlineStr">
        <is>
          <t>salmon-caesar-salad.jpg</t>
        </is>
      </c>
      <c r="J242" s="3" t="inlineStr">
        <is>
          <t>Salmon Caesar Salad, healthy food photography, plated, natural light</t>
        </is>
      </c>
      <c r="K242" s="4" t="inlineStr"/>
      <c r="L242" s="3" t="inlineStr">
        <is>
          <t>Salmon fillet — 280 g (9.9 oz)
Romaine lettuce — 250 g (8.8 oz)
Parmesan, grated — 30 g (1.1 oz)
Greek yogurt, plain 2% — 70 g (2.5 oz)
Lemon juice — 15 g (0.5 oz)
Dijon mustard — 6 g (0.2 oz)
Anchovies, canned — 8 g (0.3 oz)
Garlic — 3 g (0.1 oz)
Extra-virgin olive oil — 12 g (0.4 oz)
Capers — 6 g (0.2 oz)</t>
        </is>
      </c>
      <c r="M242" s="4" t="inlineStr">
        <is>
          <t>[{"ingredient_id": "salmon", "name": "Salmon fillet", "grams": 280.0, "note": ""}, {"ingredient_id": "romaine", "name": "Romaine lettuce", "grams": 250.0, "note": ""}, {"ingredient_id": "parmesan", "name": "Parmesan, grated", "grams": 30.0, "note": ""}, {"ingredient_id": "greek_yogurt", "name": "Greek yogurt, plain 2%", "grams": 70.0, "note": ""}, {"ingredient_id": "lemon_juice", "name": "Lemon juice", "grams": 15.0, "note": ""}, {"ingredient_id": "dijon", "name": "Dijon mustard", "grams": 6.0, "note": ""}, {"ingredient_id": "anchovies", "name": "Anchovies, canned", "grams": 8.0, "note": ""}, {"ingredient_id": "garlic", "name": "Garlic", "grams": 3.0, "note": ""}, {"ingredient_id": "olive_oil", "name": "Extra-virgin olive oil", "grams": 12.0, "note": ""}, {"ingredient_id": "capers", "name": "Capers", "grams": 6.0, "note": ""}]</t>
        </is>
      </c>
      <c r="N242" s="2" t="n">
        <v>471</v>
      </c>
      <c r="O242" s="5" t="n">
        <v>40.2</v>
      </c>
      <c r="P242" s="5" t="n">
        <v>30.2</v>
      </c>
      <c r="Q242" s="5" t="n">
        <v>7.4</v>
      </c>
      <c r="R242" s="5" t="n">
        <v>2.9</v>
      </c>
      <c r="S242" s="5" t="n">
        <v>4.6</v>
      </c>
      <c r="T242" s="2" t="n">
        <v>14</v>
      </c>
      <c r="U242" s="2" t="inlineStr">
        <is>
          <t>low</t>
        </is>
      </c>
      <c r="V242" s="5" t="n">
        <v>0.6</v>
      </c>
      <c r="W242" s="2" t="inlineStr">
        <is>
          <t>low</t>
        </is>
      </c>
      <c r="X242" s="3" t="inlineStr">
        <is>
          <t>Negligible carbohydrate (&lt;5 g net/serving): GI has little practical meaning, glycemic load is what matters.</t>
        </is>
      </c>
      <c r="Y242" s="3" t="inlineStr">
        <is>
          <t>31% of this dish's available carbohydrate comes from ingredients with a published, measured GI; the rest uses conventional placeholders (see Ingredients sheet)</t>
        </is>
      </c>
      <c r="Z242" s="2" t="n">
        <v>31</v>
      </c>
      <c r="AA242" s="3" t="inlineStr">
        <is>
          <t>pescatarian, gluten-free, nut-free, low-carb, high-protein, omega-3</t>
        </is>
      </c>
      <c r="AB242" s="3" t="inlineStr">
        <is>
          <t>1. Roast salmon at 400°F 12 minutes.
2. Whisk yogurt, lemon, Dijon, anchovy, garlic and oil.
3. Toss romaine with dressing; top with salmon, parmesan and capers.</t>
        </is>
      </c>
      <c r="AC242" s="4" t="inlineStr">
        <is>
          <t>["Roast salmon at 400°F 12 minutes.", "Whisk yogurt, lemon, Dijon, anchovy, garlic and oil.", "Toss romaine with dressing; top with salmon, parmesan and capers."]</t>
        </is>
      </c>
    </row>
    <row r="243" ht="96" customHeight="1">
      <c r="A243" s="2" t="inlineStr">
        <is>
          <t>DB-0242</t>
        </is>
      </c>
      <c r="B243" s="3" t="inlineStr">
        <is>
          <t>Radish, Cucumber &amp; Dill Salad with Smoked Trout</t>
        </is>
      </c>
      <c r="C243" s="4" t="inlineStr">
        <is>
          <t>Salad</t>
        </is>
      </c>
      <c r="D243" s="4" t="inlineStr">
        <is>
          <t>Scandinavian</t>
        </is>
      </c>
      <c r="E243" s="2" t="n">
        <v>2</v>
      </c>
      <c r="F243" s="2" t="n">
        <v>10</v>
      </c>
      <c r="G243" s="2" t="n">
        <v>0</v>
      </c>
      <c r="H243" s="2" t="n">
        <v>10</v>
      </c>
      <c r="I243" s="4" t="inlineStr">
        <is>
          <t>radish-cucumber-and-dill-salad-with-smoked-trout.jpg</t>
        </is>
      </c>
      <c r="J243" s="3" t="inlineStr">
        <is>
          <t>Radish, Cucumber &amp; Dill Salad with Smoked Trout, healthy food photography, plated, natural light</t>
        </is>
      </c>
      <c r="K243" s="4" t="inlineStr"/>
      <c r="L243" s="3" t="inlineStr">
        <is>
          <t>Rainbow trout fillet — 200 g (7.1 oz) [smoked]
Radishes — 100 g (3.5 oz)
Cucumber — 200 g (7.1 oz)
Fresh dill — 8 g (0.3 oz)
Greek yogurt, plain 2% — 60 g (2.1 oz)
Lemon juice — 12 g (0.4 oz)
Extra-virgin olive oil — 8 g (0.3 oz)
Pumpernickel / whole rye bread — 35 g (1.2 oz) [1 slice, cubed &amp; toasted]</t>
        </is>
      </c>
      <c r="M243" s="4" t="inlineStr">
        <is>
          <t>[{"ingredient_id": "trout", "name": "Rainbow trout fillet", "grams": 200.0, "note": "smoked"}, {"ingredient_id": "radish", "name": "Radishes", "grams": 100.0, "note": ""}, {"ingredient_id": "cucumber", "name": "Cucumber", "grams": 200.0, "note": ""}, {"ingredient_id": "dill", "name": "Fresh dill", "grams": 8.0, "note": ""}, {"ingredient_id": "greek_yogurt", "name": "Greek yogurt, plain 2%", "grams": 60.0, "note": ""}, {"ingredient_id": "lemon_juice", "name": "Lemon juice", "grams": 12.0, "note": ""}, {"ingredient_id": "olive_oil", "name": "Extra-virgin olive oil", "grams": 8.0, "note": ""}, {"ingredient_id": "rye_bread", "name": "Pumpernickel / whole rye bread", "grams": 35.0, "note": "1 slice, cubed &amp; toasted"}]</t>
        </is>
      </c>
      <c r="N243" s="2" t="n">
        <v>246</v>
      </c>
      <c r="O243" s="5" t="n">
        <v>25.7</v>
      </c>
      <c r="P243" s="5" t="n">
        <v>8.800000000000001</v>
      </c>
      <c r="Q243" s="5" t="n">
        <v>15.4</v>
      </c>
      <c r="R243" s="5" t="n">
        <v>2.5</v>
      </c>
      <c r="S243" s="5" t="n">
        <v>12.9</v>
      </c>
      <c r="T243" s="2" t="n">
        <v>34</v>
      </c>
      <c r="U243" s="2" t="inlineStr">
        <is>
          <t>low</t>
        </is>
      </c>
      <c r="V243" s="5" t="n">
        <v>4.4</v>
      </c>
      <c r="W243" s="2" t="inlineStr">
        <is>
          <t>low</t>
        </is>
      </c>
      <c r="X243" s="3" t="inlineStr"/>
      <c r="Y243" s="3" t="inlineStr">
        <is>
          <t>64% of this dish's available carbohydrate comes from ingredients with a published, measured GI; the rest uses conventional placeholders (see Ingredients sheet)</t>
        </is>
      </c>
      <c r="Z243" s="2" t="n">
        <v>64</v>
      </c>
      <c r="AA243" s="3" t="inlineStr">
        <is>
          <t>pescatarian, nut-free, low-carb, high-protein, omega-3</t>
        </is>
      </c>
      <c r="AB243" s="3" t="inlineStr">
        <is>
          <t>1. Slice radish and cucumber thin.
2. Mix yogurt, dill, lemon and oil.
3. Toss vegetables in dressing; top with flaked trout and rye croutons.</t>
        </is>
      </c>
      <c r="AC243" s="4" t="inlineStr">
        <is>
          <t>["Slice radish and cucumber thin.", "Mix yogurt, dill, lemon and oil.", "Toss vegetables in dressing; top with flaked trout and rye croutons."]</t>
        </is>
      </c>
    </row>
    <row r="244" ht="96" customHeight="1">
      <c r="A244" s="2" t="inlineStr">
        <is>
          <t>DB-0243</t>
        </is>
      </c>
      <c r="B244" s="3" t="inlineStr">
        <is>
          <t>Spinach &amp; Chickpea Salad with Tahini Dressing</t>
        </is>
      </c>
      <c r="C244" s="4" t="inlineStr">
        <is>
          <t>Salad</t>
        </is>
      </c>
      <c r="D244" s="4" t="inlineStr">
        <is>
          <t>Middle Eastern</t>
        </is>
      </c>
      <c r="E244" s="2" t="n">
        <v>2</v>
      </c>
      <c r="F244" s="2" t="n">
        <v>10</v>
      </c>
      <c r="G244" s="2" t="n">
        <v>0</v>
      </c>
      <c r="H244" s="2" t="n">
        <v>10</v>
      </c>
      <c r="I244" s="4" t="inlineStr">
        <is>
          <t>spinach-and-chickpea-salad-with-tahini-dressing.jpg</t>
        </is>
      </c>
      <c r="J244" s="3" t="inlineStr">
        <is>
          <t>Spinach &amp; Chickpea Salad with Tahini Dressing, healthy food photography, plated, natural light</t>
        </is>
      </c>
      <c r="K244" s="4" t="inlineStr"/>
      <c r="L244" s="3" t="inlineStr">
        <is>
          <t>Spinach — 150 g (5.3 oz)
Chickpeas, cooked — 250 g (8.8 oz)
Cucumber — 100 g (3.5 oz)
Cherry tomatoes — 120 g (4.2 oz)
Tahini — 25 g (0.9 oz)
Lemon juice — 20 g (0.7 oz)
Garlic — 3 g (0.1 oz)
Water / ice — 25 g (0.9 oz)
Sumac — 2 g (0.1 oz)
Red onion — 20 g (0.7 oz)</t>
        </is>
      </c>
      <c r="M244" s="4" t="inlineStr">
        <is>
          <t>[{"ingredient_id": "spinach", "name": "Spinach", "grams": 150.0, "note": ""}, {"ingredient_id": "chickpeas", "name": "Chickpeas, cooked", "grams": 250.0, "note": ""}, {"ingredient_id": "cucumber", "name": "Cucumber", "grams": 100.0, "note": ""}, {"ingredient_id": "cherry_tomato", "name": "Cherry tomatoes", "grams": 120.0, "note": ""}, {"ingredient_id": "tahini", "name": "Tahini", "grams": 25.0, "note": ""}, {"ingredient_id": "lemon_juice", "name": "Lemon juice", "grams": 20.0, "note": ""}, {"ingredient_id": "garlic", "name": "Garlic", "grams": 3.0, "note": ""}, {"ingredient_id": "water", "name": "Water / ice", "grams": 25.0, "note": ""}, {"ingredient_id": "sumac", "name": "Sumac", "grams": 2.0, "note": ""}, {"ingredient_id": "red_onion", "name": "Red onion", "grams": 20.0, "note": ""}]</t>
        </is>
      </c>
      <c r="N244" s="2" t="n">
        <v>326</v>
      </c>
      <c r="O244" s="5" t="n">
        <v>16.7</v>
      </c>
      <c r="P244" s="5" t="n">
        <v>10.6</v>
      </c>
      <c r="Q244" s="5" t="n">
        <v>45.9</v>
      </c>
      <c r="R244" s="5" t="n">
        <v>13.7</v>
      </c>
      <c r="S244" s="5" t="n">
        <v>32.2</v>
      </c>
      <c r="T244" s="2" t="n">
        <v>34</v>
      </c>
      <c r="U244" s="2" t="inlineStr">
        <is>
          <t>low</t>
        </is>
      </c>
      <c r="V244" s="5" t="n">
        <v>10.9</v>
      </c>
      <c r="W244" s="2" t="inlineStr">
        <is>
          <t>medium</t>
        </is>
      </c>
      <c r="X244" s="3" t="inlineStr"/>
      <c r="Y244" s="3" t="inlineStr">
        <is>
          <t>75% of this dish's available carbohydrate comes from ingredients with a published, measured GI; the rest uses conventional placeholders (see Ingredients sheet)</t>
        </is>
      </c>
      <c r="Z244" s="2" t="n">
        <v>75</v>
      </c>
      <c r="AA244" s="3" t="inlineStr">
        <is>
          <t>vegan, gluten-free, dairy-free, nut-free, high-fiber, no-cook</t>
        </is>
      </c>
      <c r="AB244" s="3" t="inlineStr">
        <is>
          <t>1. Whisk tahini, lemon, garlic and water.
2. Toss spinach, chickpeas, cucumber, tomato and onion.
3. Drizzle with dressing; sprinkle sumac.</t>
        </is>
      </c>
      <c r="AC244" s="4" t="inlineStr">
        <is>
          <t>["Whisk tahini, lemon, garlic and water.", "Toss spinach, chickpeas, cucumber, tomato and onion.", "Drizzle with dressing; sprinkle sumac."]</t>
        </is>
      </c>
    </row>
    <row r="245" ht="96" customHeight="1">
      <c r="A245" s="2" t="inlineStr">
        <is>
          <t>DB-0244</t>
        </is>
      </c>
      <c r="B245" s="3" t="inlineStr">
        <is>
          <t>Peach, Mozzarella &amp; Prosciutto Salad</t>
        </is>
      </c>
      <c r="C245" s="4" t="inlineStr">
        <is>
          <t>Salad</t>
        </is>
      </c>
      <c r="D245" s="4" t="inlineStr">
        <is>
          <t>Italian</t>
        </is>
      </c>
      <c r="E245" s="2" t="n">
        <v>2</v>
      </c>
      <c r="F245" s="2" t="n">
        <v>10</v>
      </c>
      <c r="G245" s="2" t="n">
        <v>0</v>
      </c>
      <c r="H245" s="2" t="n">
        <v>10</v>
      </c>
      <c r="I245" s="4" t="inlineStr">
        <is>
          <t>peach-mozzarella-and-prosciutto-salad.jpg</t>
        </is>
      </c>
      <c r="J245" s="3" t="inlineStr">
        <is>
          <t>Peach, Mozzarella &amp; Prosciutto Salad, healthy food photography, plated, natural light</t>
        </is>
      </c>
      <c r="K245" s="4" t="inlineStr"/>
      <c r="L245" s="3" t="inlineStr">
        <is>
          <t>Peach — 150 g (5.3 oz)
Mozzarella, part-skim — 100 g (3.5 oz)
Prosciutto — 40 g (1.4 oz)
Arugula — 100 g (3.5 oz)
Fresh basil — 6 g (0.2 oz)
Extra-virgin olive oil — 12 g (0.4 oz)
Balsamic vinegar — 8 g (0.3 oz)
Black pepper — 1 g (0.0 oz)</t>
        </is>
      </c>
      <c r="M245" s="4" t="inlineStr">
        <is>
          <t>[{"ingredient_id": "peach", "name": "Peach", "grams": 150.0, "note": ""}, {"ingredient_id": "mozzarella", "name": "Mozzarella, part-skim", "grams": 100.0, "note": ""}, {"ingredient_id": "prosciutto", "name": "Prosciutto", "grams": 40.0, "note": ""}, {"ingredient_id": "arugula", "name": "Arugula", "grams": 100.0, "note": ""}, {"ingredient_id": "basil", "name": "Fresh basil", "grams": 6.0, "note": ""}, {"ingredient_id": "olive_oil", "name": "Extra-virgin olive oil", "grams": 12.0, "note": ""}, {"ingredient_id": "balsamic_vinegar", "name": "Balsamic vinegar", "grams": 8.0, "note": ""}, {"ingredient_id": "black_pepper", "name": "Black pepper", "grams": 1.0, "note": ""}]</t>
        </is>
      </c>
      <c r="N245" s="2" t="n">
        <v>277</v>
      </c>
      <c r="O245" s="5" t="n">
        <v>19.3</v>
      </c>
      <c r="P245" s="5" t="n">
        <v>17.8</v>
      </c>
      <c r="Q245" s="5" t="n">
        <v>11.6</v>
      </c>
      <c r="R245" s="5" t="n">
        <v>2.1</v>
      </c>
      <c r="S245" s="5" t="n">
        <v>9.5</v>
      </c>
      <c r="T245" s="2" t="n">
        <v>41</v>
      </c>
      <c r="U245" s="2" t="inlineStr">
        <is>
          <t>low</t>
        </is>
      </c>
      <c r="V245" s="5" t="n">
        <v>3.9</v>
      </c>
      <c r="W245" s="2" t="inlineStr">
        <is>
          <t>low</t>
        </is>
      </c>
      <c r="X245" s="3" t="inlineStr"/>
      <c r="Y245" s="3" t="inlineStr">
        <is>
          <t>63% of this dish's available carbohydrate comes from ingredients with a published, measured GI; the rest uses conventional placeholders (see Ingredients sheet)</t>
        </is>
      </c>
      <c r="Z245" s="2" t="n">
        <v>63</v>
      </c>
      <c r="AA245" s="3" t="inlineStr">
        <is>
          <t>gluten-free, nut-free, low-carb, no-cook</t>
        </is>
      </c>
      <c r="AB245" s="3" t="inlineStr">
        <is>
          <t>1. Slice peach and mozzarella.
2. Arrange with prosciutto over arugula.
3. Drizzle oil and balsamic; add basil and pepper.</t>
        </is>
      </c>
      <c r="AC245" s="4" t="inlineStr">
        <is>
          <t>["Slice peach and mozzarella.", "Arrange with prosciutto over arugula.", "Drizzle oil and balsamic; add basil and pepper."]</t>
        </is>
      </c>
    </row>
    <row r="246" ht="96" customHeight="1">
      <c r="A246" s="2" t="inlineStr">
        <is>
          <t>DB-0245</t>
        </is>
      </c>
      <c r="B246" s="3" t="inlineStr">
        <is>
          <t>Chicken Cauliflower Tabbouleh</t>
        </is>
      </c>
      <c r="C246" s="4" t="inlineStr">
        <is>
          <t>Salad</t>
        </is>
      </c>
      <c r="D246" s="4" t="inlineStr">
        <is>
          <t>Middle Eastern</t>
        </is>
      </c>
      <c r="E246" s="2" t="n">
        <v>3</v>
      </c>
      <c r="F246" s="2" t="n">
        <v>15</v>
      </c>
      <c r="G246" s="2" t="n">
        <v>12</v>
      </c>
      <c r="H246" s="2" t="n">
        <v>27</v>
      </c>
      <c r="I246" s="4" t="inlineStr">
        <is>
          <t>chicken-cauliflower-tabbouleh.jpg</t>
        </is>
      </c>
      <c r="J246" s="3" t="inlineStr">
        <is>
          <t>Chicken Cauliflower Tabbouleh, healthy food photography, plated, natural light</t>
        </is>
      </c>
      <c r="K246" s="4" t="inlineStr"/>
      <c r="L246" s="3" t="inlineStr">
        <is>
          <t>Chicken breast, skinless — 350 g (12.3 oz)
Cauliflower rice — 300 g (10.6 oz)
Fresh parsley — 60 g (2.1 oz)
Fresh mint — 10 g (0.4 oz)
Tomato — 200 g (7.1 oz)
Cucumber — 120 g (4.2 oz)
Lemon juice — 30 g (1.1 oz)
Extra-virgin olive oil — 25 g (0.9 oz)
Green onions (scallions) — 30 g (1.1 oz)
Salt — 2 g (0.1 oz)</t>
        </is>
      </c>
      <c r="M246" s="4" t="inlineStr">
        <is>
          <t>[{"ingredient_id": "chicken_breast", "name": "Chicken breast, skinless", "grams": 350.0, "note": ""}, {"ingredient_id": "cauliflower_rice", "name": "Cauliflower rice", "grams": 300.0, "note": ""}, {"ingredient_id": "parsley", "name": "Fresh parsley", "grams": 60.0, "note": ""}, {"ingredient_id": "mint", "name": "Fresh mint", "grams": 10.0, "note": ""}, {"ingredient_id": "tomato", "name": "Tomato", "grams": 200.0, "note": ""}, {"ingredient_id": "cucumber", "name": "Cucumber", "grams": 120.0, "note": ""}, {"ingredient_id": "lemon_juice", "name": "Lemon juice", "grams": 30.0, "note": ""}, {"ingredient_id": "olive_oil", "name": "Extra-virgin olive oil", "grams": 25.0, "note": ""}, {"ingredient_id": "green_onion", "name": "Green onions (scallions)", "grams": 30.0, "note": ""}, {"ingredient_id": "salt", "name": "Salt", "grams": 2.0, "note": ""}]</t>
        </is>
      </c>
      <c r="N246" s="2" t="n">
        <v>271</v>
      </c>
      <c r="O246" s="5" t="n">
        <v>30</v>
      </c>
      <c r="P246" s="5" t="n">
        <v>12.1</v>
      </c>
      <c r="Q246" s="5" t="n">
        <v>12</v>
      </c>
      <c r="R246" s="5" t="n">
        <v>4.2</v>
      </c>
      <c r="S246" s="5" t="n">
        <v>7.8</v>
      </c>
      <c r="T246" s="2" t="n">
        <v>15</v>
      </c>
      <c r="U246" s="2" t="inlineStr">
        <is>
          <t>low</t>
        </is>
      </c>
      <c r="V246" s="5" t="n">
        <v>1.2</v>
      </c>
      <c r="W246" s="2" t="inlineStr">
        <is>
          <t>low</t>
        </is>
      </c>
      <c r="X246" s="3" t="inlineStr"/>
      <c r="Y246" s="3" t="inlineStr">
        <is>
          <t>0% of this dish's available carbohydrate comes from ingredients with a published, measured GI; the rest uses conventional placeholders (see Ingredients sheet)</t>
        </is>
      </c>
      <c r="Z246" s="2" t="n">
        <v>0</v>
      </c>
      <c r="AA246" s="3" t="inlineStr">
        <is>
          <t>gluten-free, dairy-free, nut-free, low-carb, high-protein</t>
        </is>
      </c>
      <c r="AB246" s="3" t="inlineStr">
        <is>
          <t>1. Grill chicken; dice.
2. Pulse raw cauliflower rice with parsley, mint, tomato, cucumber and green onion.
3. Dress with lemon, oil and salt; fold in chicken.</t>
        </is>
      </c>
      <c r="AC246" s="4" t="inlineStr">
        <is>
          <t>["Grill chicken; dice.", "Pulse raw cauliflower rice with parsley, mint, tomato, cucumber and green onion.", "Dress with lemon, oil and salt; fold in chicken."]</t>
        </is>
      </c>
    </row>
    <row r="247" ht="96" customHeight="1">
      <c r="A247" s="2" t="inlineStr">
        <is>
          <t>DB-0246</t>
        </is>
      </c>
      <c r="B247" s="3" t="inlineStr">
        <is>
          <t>Autumn Roasted Squash &amp; Arugula Salad</t>
        </is>
      </c>
      <c r="C247" s="4" t="inlineStr">
        <is>
          <t>Salad</t>
        </is>
      </c>
      <c r="D247" s="4" t="inlineStr">
        <is>
          <t>American</t>
        </is>
      </c>
      <c r="E247" s="2" t="n">
        <v>3</v>
      </c>
      <c r="F247" s="2" t="n">
        <v>10</v>
      </c>
      <c r="G247" s="2" t="n">
        <v>25</v>
      </c>
      <c r="H247" s="2" t="n">
        <v>35</v>
      </c>
      <c r="I247" s="4" t="inlineStr">
        <is>
          <t>autumn-roasted-squash-and-arugula-salad.jpg</t>
        </is>
      </c>
      <c r="J247" s="3" t="inlineStr">
        <is>
          <t>Autumn Roasted Squash &amp; Arugula Salad, healthy food photography, plated, natural light</t>
        </is>
      </c>
      <c r="K247" s="4" t="inlineStr"/>
      <c r="L247" s="3" t="inlineStr">
        <is>
          <t>Butternut squash — 300 g (10.6 oz)
Arugula — 120 g (4.2 oz)
Chickpeas, cooked — 150 g (5.3 oz)
Pumpkin seeds (pepitas) — 20 g (0.7 oz)
Goat cheese — 40 g (1.4 oz)
Extra-virgin olive oil — 20 g (0.7 oz)
Balsamic vinegar — 12 g (0.4 oz)
Ground cinnamon — 1 g (0.0 oz)
Salt — 2 g (0.1 oz)</t>
        </is>
      </c>
      <c r="M247" s="4" t="inlineStr">
        <is>
          <t>[{"ingredient_id": "butternut_squash", "name": "Butternut squash", "grams": 300.0, "note": ""}, {"ingredient_id": "arugula", "name": "Arugula", "grams": 120.0, "note": ""}, {"ingredient_id": "chickpeas", "name": "Chickpeas, cooked", "grams": 150.0, "note": ""}, {"ingredient_id": "pumpkin_seeds", "name": "Pumpkin seeds (pepitas)", "grams": 20.0, "note": ""}, {"ingredient_id": "goat_cheese", "name": "Goat cheese", "grams": 40.0, "note": ""}, {"ingredient_id": "olive_oil", "name": "Extra-virgin olive oil", "grams": 20.0, "note": ""}, {"ingredient_id": "balsamic_vinegar", "name": "Balsamic vinegar", "grams": 12.0, "note": ""}, {"ingredient_id": "cinnamon", "name": "Ground cinnamon", "grams": 1.0, "note": ""}, {"ingredient_id": "salt", "name": "Salt", "grams": 2.0, "note": ""}]</t>
        </is>
      </c>
      <c r="N247" s="2" t="n">
        <v>286</v>
      </c>
      <c r="O247" s="5" t="n">
        <v>11.5</v>
      </c>
      <c r="P247" s="5" t="n">
        <v>15.6</v>
      </c>
      <c r="Q247" s="5" t="n">
        <v>28.7</v>
      </c>
      <c r="R247" s="5" t="n">
        <v>7</v>
      </c>
      <c r="S247" s="5" t="n">
        <v>21.6</v>
      </c>
      <c r="T247" s="2" t="n">
        <v>43</v>
      </c>
      <c r="U247" s="2" t="inlineStr">
        <is>
          <t>low</t>
        </is>
      </c>
      <c r="V247" s="5" t="n">
        <v>9.300000000000001</v>
      </c>
      <c r="W247" s="2" t="inlineStr">
        <is>
          <t>low</t>
        </is>
      </c>
      <c r="X247" s="3" t="inlineStr"/>
      <c r="Y247" s="3" t="inlineStr">
        <is>
          <t>91% of this dish's available carbohydrate comes from ingredients with a published, measured GI; the rest uses conventional placeholders (see Ingredients sheet)</t>
        </is>
      </c>
      <c r="Z247" s="2" t="n">
        <v>91</v>
      </c>
      <c r="AA247" s="3" t="inlineStr">
        <is>
          <t>vegetarian, gluten-free, nut-free, high-fiber</t>
        </is>
      </c>
      <c r="AB247" s="3" t="inlineStr">
        <is>
          <t>1. Roast diced squash with half the oil, cinnamon and salt at 425°F 22 minutes.
2. Toss arugula and chickpeas with remaining oil and balsamic.
3. Top with squash, seeds and goat cheese.</t>
        </is>
      </c>
      <c r="AC247" s="4" t="inlineStr">
        <is>
          <t>["Roast diced squash with half the oil, cinnamon and salt at 425°F 22 minutes.", "Toss arugula and chickpeas with remaining oil and balsamic.", "Top with squash, seeds and goat cheese."]</t>
        </is>
      </c>
    </row>
    <row r="248" ht="96" customHeight="1">
      <c r="A248" s="2" t="inlineStr">
        <is>
          <t>DB-0247</t>
        </is>
      </c>
      <c r="B248" s="3" t="inlineStr">
        <is>
          <t>Shrimp &amp; Hearts of Palm Ceviche Salad</t>
        </is>
      </c>
      <c r="C248" s="4" t="inlineStr">
        <is>
          <t>Salad</t>
        </is>
      </c>
      <c r="D248" s="4" t="inlineStr">
        <is>
          <t>Latin</t>
        </is>
      </c>
      <c r="E248" s="2" t="n">
        <v>3</v>
      </c>
      <c r="F248" s="2" t="n">
        <v>15</v>
      </c>
      <c r="G248" s="2" t="n">
        <v>5</v>
      </c>
      <c r="H248" s="2" t="n">
        <v>20</v>
      </c>
      <c r="I248" s="4" t="inlineStr">
        <is>
          <t>shrimp-and-hearts-of-palm-ceviche-salad.jpg</t>
        </is>
      </c>
      <c r="J248" s="3" t="inlineStr">
        <is>
          <t>Shrimp &amp; Hearts of Palm Ceviche Salad, healthy food photography, plated, natural light</t>
        </is>
      </c>
      <c r="K248" s="4" t="inlineStr"/>
      <c r="L248" s="3" t="inlineStr">
        <is>
          <t>Shrimp, peeled — 350 g (12.3 oz)
Hearts of palm — 150 g (5.3 oz)
Tomato — 150 g (5.3 oz)
Red onion — 40 g (1.4 oz)
Fresh cilantro — 10 g (0.4 oz)
Jalapeño — 10 g (0.4 oz)
Lime juice — 40 g (1.4 oz)
Avocado — 100 g (3.5 oz)
Extra-virgin olive oil — 10 g (0.4 oz)
Salt — 1 g (0.0 oz)</t>
        </is>
      </c>
      <c r="M248" s="4" t="inlineStr">
        <is>
          <t>[{"ingredient_id": "shrimp", "name": "Shrimp, peeled", "grams": 350.0, "note": ""}, {"ingredient_id": "hearts_of_palm", "name": "Hearts of palm", "grams": 150.0, "note": ""}, {"ingredient_id": "tomato", "name": "Tomato", "grams": 150.0, "note": ""}, {"ingredient_id": "red_onion", "name": "Red onion", "grams": 40.0, "note": ""}, {"ingredient_id": "cilantro", "name": "Fresh cilantro", "grams": 10.0, "note": ""}, {"ingredient_id": "jalapeno", "name": "Jalapeño", "grams": 10.0, "note": ""}, {"ingredient_id": "lime_juice", "name": "Lime juice", "grams": 40.0, "note": ""}, {"ingredient_id": "avocado", "name": "Avocado", "grams": 100.0, "note": ""}, {"ingredient_id": "olive_oil", "name": "Extra-virgin olive oil", "grams": 10.0, "note": ""}, {"ingredient_id": "salt", "name": "Salt", "grams": 1.0, "note": ""}]</t>
        </is>
      </c>
      <c r="N248" s="2" t="n">
        <v>215</v>
      </c>
      <c r="O248" s="5" t="n">
        <v>26</v>
      </c>
      <c r="P248" s="5" t="n">
        <v>9.4</v>
      </c>
      <c r="Q248" s="5" t="n">
        <v>9.800000000000001</v>
      </c>
      <c r="R248" s="5" t="n">
        <v>4.5</v>
      </c>
      <c r="S248" s="5" t="n">
        <v>5.3</v>
      </c>
      <c r="T248" s="2" t="n">
        <v>16</v>
      </c>
      <c r="U248" s="2" t="inlineStr">
        <is>
          <t>low</t>
        </is>
      </c>
      <c r="V248" s="5" t="n">
        <v>0.8</v>
      </c>
      <c r="W248" s="2" t="inlineStr">
        <is>
          <t>low</t>
        </is>
      </c>
      <c r="X248" s="3" t="inlineStr"/>
      <c r="Y248" s="3" t="inlineStr">
        <is>
          <t>0% of this dish's available carbohydrate comes from ingredients with a published, measured GI; the rest uses conventional placeholders (see Ingredients sheet)</t>
        </is>
      </c>
      <c r="Z248" s="2" t="n">
        <v>0</v>
      </c>
      <c r="AA248" s="3" t="inlineStr">
        <is>
          <t>pescatarian, gluten-free, dairy-free, nut-free, low-carb, high-protein</t>
        </is>
      </c>
      <c r="AB248" s="3" t="inlineStr">
        <is>
          <t>1. Poach shrimp 3 minutes, chop and chill.
2. Toss with hearts of palm, tomato, onion, cilantro, jalapeño, lime and salt; marinate 20 minutes.
3. Fold in avocado and oil.</t>
        </is>
      </c>
      <c r="AC248" s="4" t="inlineStr">
        <is>
          <t>["Poach shrimp 3 minutes, chop and chill.", "Toss with hearts of palm, tomato, onion, cilantro, jalapeño, lime and salt; marinate 20 minutes.", "Fold in avocado and oil."]</t>
        </is>
      </c>
    </row>
    <row r="249" ht="96" customHeight="1">
      <c r="A249" s="2" t="inlineStr">
        <is>
          <t>DB-0248</t>
        </is>
      </c>
      <c r="B249" s="3" t="inlineStr">
        <is>
          <t>Chicken Vegetable Soup</t>
        </is>
      </c>
      <c r="C249" s="4" t="inlineStr">
        <is>
          <t>Soup &amp; Stew</t>
        </is>
      </c>
      <c r="D249" s="4" t="inlineStr">
        <is>
          <t>American</t>
        </is>
      </c>
      <c r="E249" s="2" t="n">
        <v>4</v>
      </c>
      <c r="F249" s="2" t="n">
        <v>15</v>
      </c>
      <c r="G249" s="2" t="n">
        <v>35</v>
      </c>
      <c r="H249" s="2" t="n">
        <v>50</v>
      </c>
      <c r="I249" s="4" t="inlineStr">
        <is>
          <t>chicken-vegetable-soup.jpg</t>
        </is>
      </c>
      <c r="J249" s="3" t="inlineStr">
        <is>
          <t>Chicken Vegetable Soup, healthy food photography, plated, natural light</t>
        </is>
      </c>
      <c r="K249" s="4" t="inlineStr"/>
      <c r="L249" s="3" t="inlineStr">
        <is>
          <t>Chicken breast, skinless — 400 g (14.1 oz)
Chicken broth, low sodium — 1200 g (42.3 oz)
Carrot — 120 g (4.2 oz)
Celery — 120 g (4.2 oz)
Yellow onion — 100 g (3.5 oz)
Green beans — 120 g (4.2 oz)
Zucchini — 150 g (5.3 oz)
Garlic — 8 g (0.3 oz)
Fresh thyme — 2 g (0.1 oz)
Bay leaves — 1 g (0.0 oz)
Extra-virgin olive oil — 12 g (0.4 oz)
Fresh parsley — 8 g (0.3 oz)
Salt — 3 g (0.1 oz)</t>
        </is>
      </c>
      <c r="M249" s="4" t="inlineStr">
        <is>
          <t>[{"ingredient_id": "chicken_breast", "name": "Chicken breast, skinless", "grams": 400.0, "note": ""}, {"ingredient_id": "chicken_broth", "name": "Chicken broth, low sodium", "grams": 1200.0, "note": ""}, {"ingredient_id": "carrot", "name": "Carrot", "grams": 120.0, "note": ""}, {"ingredient_id": "celery", "name": "Celery", "grams": 120.0, "note": ""}, {"ingredient_id": "onion", "name": "Yellow onion", "grams": 100.0, "note": ""}, {"ingredient_id": "green_beans", "name": "Green beans", "grams": 120.0, "note": ""}, {"ingredient_id": "zucchini", "name": "Zucchini", "grams": 150.0, "note": ""}, {"ingredient_id": "garlic", "name": "Garlic", "grams": 8.0, "note": ""}, {"ingredient_id": "thyme", "name": "Fresh thyme", "grams": 2.0, "note": ""}, {"ingredient_id": "bay_leaf", "name": "Bay leaves", "grams": 1.0, "note": ""}, {"ingredient_id": "olive_oil", "name": "Extra-virgin olive oil", "grams": 12.0, "note": ""}, {"ingredient_id": "parsley", "name": "Fresh parsley", "grams": 8.0, "note": ""}, {"ingredient_id": "salt", "name": "Salt", "grams": 3.0, "note": ""}]</t>
        </is>
      </c>
      <c r="N249" s="2" t="n">
        <v>215</v>
      </c>
      <c r="O249" s="5" t="n">
        <v>27.5</v>
      </c>
      <c r="P249" s="5" t="n">
        <v>6.6</v>
      </c>
      <c r="Q249" s="5" t="n">
        <v>12</v>
      </c>
      <c r="R249" s="5" t="n">
        <v>3.2</v>
      </c>
      <c r="S249" s="5" t="n">
        <v>8.800000000000001</v>
      </c>
      <c r="T249" s="2" t="n">
        <v>19</v>
      </c>
      <c r="U249" s="2" t="inlineStr">
        <is>
          <t>low</t>
        </is>
      </c>
      <c r="V249" s="5" t="n">
        <v>1.7</v>
      </c>
      <c r="W249" s="2" t="inlineStr">
        <is>
          <t>low</t>
        </is>
      </c>
      <c r="X249" s="3" t="inlineStr"/>
      <c r="Y249" s="3" t="inlineStr">
        <is>
          <t>23% of this dish's available carbohydrate comes from ingredients with a published, measured GI; the rest uses conventional placeholders (see Ingredients sheet)</t>
        </is>
      </c>
      <c r="Z249" s="2" t="n">
        <v>23</v>
      </c>
      <c r="AA249" s="3" t="inlineStr">
        <is>
          <t>gluten-free, dairy-free, nut-free, low-carb, high-protein, make-ahead</t>
        </is>
      </c>
      <c r="AB249" s="3" t="inlineStr">
        <is>
          <t>1. Sauté onion, carrot and celery in olive oil 6 minutes; add garlic.
2. Add broth, chicken, thyme, bay leaf and salt; simmer 20 minutes; remove chicken and shred.
3. Add green beans and zucchini, simmer 6 minutes; return chicken and finish with parsley.</t>
        </is>
      </c>
      <c r="AC249" s="4" t="inlineStr">
        <is>
          <t>["Sauté onion, carrot and celery in olive oil 6 minutes; add garlic.", "Add broth, chicken, thyme, bay leaf and salt; simmer 20 minutes; remove chicken and shred.", "Add green beans and zucchini, simmer 6 minutes; return chicken and finish with parsley."]</t>
        </is>
      </c>
    </row>
    <row r="250" ht="96" customHeight="1">
      <c r="A250" s="2" t="inlineStr">
        <is>
          <t>DB-0249</t>
        </is>
      </c>
      <c r="B250" s="3" t="inlineStr">
        <is>
          <t>Turkey Chili</t>
        </is>
      </c>
      <c r="C250" s="4" t="inlineStr">
        <is>
          <t>Soup &amp; Stew</t>
        </is>
      </c>
      <c r="D250" s="4" t="inlineStr">
        <is>
          <t>American</t>
        </is>
      </c>
      <c r="E250" s="2" t="n">
        <v>6</v>
      </c>
      <c r="F250" s="2" t="n">
        <v>15</v>
      </c>
      <c r="G250" s="2" t="n">
        <v>45</v>
      </c>
      <c r="H250" s="2" t="n">
        <v>60</v>
      </c>
      <c r="I250" s="4" t="inlineStr">
        <is>
          <t>turkey-chili.jpg</t>
        </is>
      </c>
      <c r="J250" s="3" t="inlineStr">
        <is>
          <t>Turkey Chili, healthy food photography, plated, natural light</t>
        </is>
      </c>
      <c r="K250" s="4" t="inlineStr"/>
      <c r="L250" s="3" t="inlineStr">
        <is>
          <t>Ground turkey 93% lean — 700 g (24.7 oz)
Kidney beans, cooked — 400 g (14.1 oz)
Black beans, cooked — 250 g (8.8 oz)
Crushed tomatoes, canned — 800 g (28.2 oz)
Yellow onion — 150 g (5.3 oz)
Bell pepper — 150 g (5.3 oz)
Garlic — 10 g (0.4 oz)
Chili powder — 15 g (0.5 oz)
Ground cumin — 5 g (0.2 oz)
Smoked paprika — 3 g (0.1 oz)
Dried oregano — 2 g (0.1 oz)
Extra-virgin olive oil — 15 g (0.5 oz)
Chicken broth, low sodium — 300 g (10.6 oz)
Salt — 4 g (0.1 oz)</t>
        </is>
      </c>
      <c r="M250" s="4" t="inlineStr">
        <is>
          <t>[{"ingredient_id": "ground_turkey", "name": "Ground turkey 93% lean", "grams": 700.0, "note": ""}, {"ingredient_id": "kidney_beans", "name": "Kidney beans, cooked", "grams": 400.0, "note": ""}, {"ingredient_id": "black_beans", "name": "Black beans, cooked", "grams": 250.0, "note": ""}, {"ingredient_id": "crushed_tomatoes", "name": "Crushed tomatoes, canned", "grams": 800.0, "note": ""}, {"ingredient_id": "onion", "name": "Yellow onion", "grams": 150.0, "note": ""}, {"ingredient_id": "bell_pepper", "name": "Bell pepper", "grams": 150.0, "note": ""}, {"ingredient_id": "garlic", "name": "Garlic", "grams": 10.0, "note": ""}, {"ingredient_id": "chili_powder", "name": "Chili powder", "grams": 15.0, "note": ""}, {"ingredient_id": "cumin", "name": "Ground cumin", "grams": 5.0, "note": ""}, {"ingredient_id": "smoked_paprika", "name": "Smoked paprika", "grams": 3.0, "note": ""}, {"ingredient_id": "oregano", "name": "Dried oregano", "grams": 2.0, "note": ""}, {"ingredient_id": "olive_oil", "name": "Extra-virgin olive oil", "grams": 15.0, "note": ""}, {"ingredient_id": "chicken_broth", "name": "Chicken broth, low sodium", "grams": 300.0, "note": ""}, {"ingredient_id": "salt", "name": "Salt", "grams": 4.0, "note": ""}]</t>
        </is>
      </c>
      <c r="N250" s="2" t="n">
        <v>416</v>
      </c>
      <c r="O250" s="5" t="n">
        <v>35.2</v>
      </c>
      <c r="P250" s="5" t="n">
        <v>13.6</v>
      </c>
      <c r="Q250" s="5" t="n">
        <v>41.1</v>
      </c>
      <c r="R250" s="5" t="n">
        <v>12.7</v>
      </c>
      <c r="S250" s="5" t="n">
        <v>28.5</v>
      </c>
      <c r="T250" s="2" t="n">
        <v>31</v>
      </c>
      <c r="U250" s="2" t="inlineStr">
        <is>
          <t>low</t>
        </is>
      </c>
      <c r="V250" s="5" t="n">
        <v>8.800000000000001</v>
      </c>
      <c r="W250" s="2" t="inlineStr">
        <is>
          <t>low</t>
        </is>
      </c>
      <c r="X250" s="3" t="inlineStr"/>
      <c r="Y250" s="3" t="inlineStr">
        <is>
          <t>60% of this dish's available carbohydrate comes from ingredients with a published, measured GI; the rest uses conventional placeholders (see Ingredients sheet)</t>
        </is>
      </c>
      <c r="Z250" s="2" t="n">
        <v>60</v>
      </c>
      <c r="AA250" s="3" t="inlineStr">
        <is>
          <t>gluten-free, dairy-free, nut-free, high-protein, high-fiber, make-ahead, freezer</t>
        </is>
      </c>
      <c r="AB250" s="3" t="inlineStr">
        <is>
          <t>1. Brown turkey in olive oil with onion and pepper, 8 minutes; add garlic and spices.
2. Add tomatoes, beans, broth and salt; simmer uncovered 35 minutes, stirring occasionally.
3. Serve with Greek yogurt and cilantro if desired.</t>
        </is>
      </c>
      <c r="AC250" s="4" t="inlineStr">
        <is>
          <t>["Brown turkey in olive oil with onion and pepper, 8 minutes; add garlic and spices.", "Add tomatoes, beans, broth and salt; simmer uncovered 35 minutes, stirring occasionally.", "Serve with Greek yogurt and cilantro if desired."]</t>
        </is>
      </c>
    </row>
    <row r="251" ht="96" customHeight="1">
      <c r="A251" s="2" t="inlineStr">
        <is>
          <t>DB-0250</t>
        </is>
      </c>
      <c r="B251" s="3" t="inlineStr">
        <is>
          <t>Red Lentil Soup with Lemon</t>
        </is>
      </c>
      <c r="C251" s="4" t="inlineStr">
        <is>
          <t>Soup &amp; Stew</t>
        </is>
      </c>
      <c r="D251" s="4" t="inlineStr">
        <is>
          <t>Middle Eastern</t>
        </is>
      </c>
      <c r="E251" s="2" t="n">
        <v>4</v>
      </c>
      <c r="F251" s="2" t="n">
        <v>10</v>
      </c>
      <c r="G251" s="2" t="n">
        <v>30</v>
      </c>
      <c r="H251" s="2" t="n">
        <v>40</v>
      </c>
      <c r="I251" s="4" t="inlineStr">
        <is>
          <t>red-lentil-soup-with-lemon.jpg</t>
        </is>
      </c>
      <c r="J251" s="3" t="inlineStr">
        <is>
          <t>Red Lentil Soup with Lemon, healthy food photography, plated, natural light</t>
        </is>
      </c>
      <c r="K251" s="4" t="inlineStr"/>
      <c r="L251" s="3" t="inlineStr">
        <is>
          <t>Red lentils, cooked — 600 g (21.2 oz) [from 200 g dry]
Vegetable broth, low sodium — 1000 g (35.3 oz)
Yellow onion — 120 g (4.2 oz)
Carrot — 100 g (3.5 oz)
Garlic — 8 g (0.3 oz)
Ground cumin — 4 g (0.1 oz)
Ground turmeric — 2 g (0.1 oz)
Extra-virgin olive oil — 15 g (0.5 oz)
Lemon juice — 30 g (1.1 oz)
Fresh cilantro — 8 g (0.3 oz)
Salt — 3 g (0.1 oz)</t>
        </is>
      </c>
      <c r="M251" s="4" t="inlineStr">
        <is>
          <t>[{"ingredient_id": "red_lentils", "name": "Red lentils, cooked", "grams": 600.0, "note": "from 200 g dry"}, {"ingredient_id": "vegetable_broth", "name": "Vegetable broth, low sodium", "grams": 1000.0, "note": ""}, {"ingredient_id": "onion", "name": "Yellow onion", "grams": 120.0, "note": ""}, {"ingredient_id": "carrot", "name": "Carrot", "grams": 100.0, "note": ""}, {"ingredient_id": "garlic", "name": "Garlic", "grams": 8.0, "note": ""}, {"ingredient_id": "cumin", "name": "Ground cumin", "grams": 4.0, "note": ""}, {"ingredient_id": "turmeric", "name": "Ground turmeric", "grams": 2.0, "note": ""}, {"ingredient_id": "olive_oil", "name": "Extra-virgin olive oil", "grams": 15.0, "note": ""}, {"ingredient_id": "lemon_juice", "name": "Lemon juice", "grams": 30.0, "note": ""}, {"ingredient_id": "cilantro", "name": "Fresh cilantro", "grams": 8.0, "note": ""}, {"ingredient_id": "salt", "name": "Salt", "grams": 3.0, "note": ""}]</t>
        </is>
      </c>
      <c r="N251" s="2" t="n">
        <v>260</v>
      </c>
      <c r="O251" s="5" t="n">
        <v>15.7</v>
      </c>
      <c r="P251" s="5" t="n">
        <v>5.2</v>
      </c>
      <c r="Q251" s="5" t="n">
        <v>41</v>
      </c>
      <c r="R251" s="5" t="n">
        <v>10.5</v>
      </c>
      <c r="S251" s="5" t="n">
        <v>30.4</v>
      </c>
      <c r="T251" s="2" t="n">
        <v>19</v>
      </c>
      <c r="U251" s="2" t="inlineStr">
        <is>
          <t>low</t>
        </is>
      </c>
      <c r="V251" s="5" t="n">
        <v>5.8</v>
      </c>
      <c r="W251" s="2" t="inlineStr">
        <is>
          <t>low</t>
        </is>
      </c>
      <c r="X251" s="3" t="inlineStr"/>
      <c r="Y251" s="3" t="inlineStr">
        <is>
          <t>75% of this dish's available carbohydrate comes from ingredients with a published, measured GI; the rest uses conventional placeholders (see Ingredients sheet)</t>
        </is>
      </c>
      <c r="Z251" s="2" t="n">
        <v>75</v>
      </c>
      <c r="AA251" s="3" t="inlineStr">
        <is>
          <t>vegan, gluten-free, dairy-free, nut-free, high-fiber, make-ahead</t>
        </is>
      </c>
      <c r="AB251" s="3" t="inlineStr">
        <is>
          <t>1. Sauté onion and carrot in oil 6 minutes; add garlic, cumin and turmeric.
2. Add dry lentils and broth; simmer 25 minutes until soft.
3. Blend partially, stir in lemon juice and salt; garnish with cilantro.</t>
        </is>
      </c>
      <c r="AC251" s="4" t="inlineStr">
        <is>
          <t>["Sauté onion and carrot in oil 6 minutes; add garlic, cumin and turmeric.", "Add dry lentils and broth; simmer 25 minutes until soft.", "Blend partially, stir in lemon juice and salt; garnish with cilantro."]</t>
        </is>
      </c>
    </row>
    <row r="252" ht="96" customHeight="1">
      <c r="A252" s="2" t="inlineStr">
        <is>
          <t>DB-0251</t>
        </is>
      </c>
      <c r="B252" s="3" t="inlineStr">
        <is>
          <t>Broccoli Cheddar Soup (Lightened)</t>
        </is>
      </c>
      <c r="C252" s="4" t="inlineStr">
        <is>
          <t>Soup &amp; Stew</t>
        </is>
      </c>
      <c r="D252" s="4" t="inlineStr">
        <is>
          <t>American</t>
        </is>
      </c>
      <c r="E252" s="2" t="n">
        <v>4</v>
      </c>
      <c r="F252" s="2" t="n">
        <v>10</v>
      </c>
      <c r="G252" s="2" t="n">
        <v>25</v>
      </c>
      <c r="H252" s="2" t="n">
        <v>35</v>
      </c>
      <c r="I252" s="4" t="inlineStr">
        <is>
          <t>broccoli-cheddar-soup-lightened.jpg</t>
        </is>
      </c>
      <c r="J252" s="3" t="inlineStr">
        <is>
          <t>Broccoli Cheddar Soup (Lightened), healthy food photography, plated, natural light</t>
        </is>
      </c>
      <c r="K252" s="4" t="inlineStr"/>
      <c r="L252" s="3" t="inlineStr">
        <is>
          <t>Broccoli — 600 g (21.2 oz)
Cauliflower — 200 g (7.1 oz)
Yellow onion — 100 g (3.5 oz)
Chicken broth, low sodium — 800 g (28.2 oz)
Milk, 2% — 200 g (7.1 oz)
Cheddar cheese — 100 g (3.5 oz)
Extra-virgin olive oil — 12 g (0.4 oz)
Garlic — 5 g (0.2 oz)
Dijon mustard — 5 g (0.2 oz)
Salt — 3 g (0.1 oz)</t>
        </is>
      </c>
      <c r="M252" s="4" t="inlineStr">
        <is>
          <t>[{"ingredient_id": "broccoli", "name": "Broccoli", "grams": 600.0, "note": ""}, {"ingredient_id": "cauliflower", "name": "Cauliflower", "grams": 200.0, "note": ""}, {"ingredient_id": "onion", "name": "Yellow onion", "grams": 100.0, "note": ""}, {"ingredient_id": "chicken_broth", "name": "Chicken broth, low sodium", "grams": 800.0, "note": ""}, {"ingredient_id": "milk", "name": "Milk, 2%", "grams": 200.0, "note": ""}, {"ingredient_id": "cheddar", "name": "Cheddar cheese", "grams": 100.0, "note": ""}, {"ingredient_id": "olive_oil", "name": "Extra-virgin olive oil", "grams": 12.0, "note": ""}, {"ingredient_id": "garlic", "name": "Garlic", "grams": 5.0, "note": ""}, {"ingredient_id": "dijon", "name": "Dijon mustard", "grams": 5.0, "note": ""}, {"ingredient_id": "salt", "name": "Salt", "grams": 3.0, "note": ""}]</t>
        </is>
      </c>
      <c r="N252" s="2" t="n">
        <v>242</v>
      </c>
      <c r="O252" s="5" t="n">
        <v>15</v>
      </c>
      <c r="P252" s="5" t="n">
        <v>13.5</v>
      </c>
      <c r="Q252" s="5" t="n">
        <v>18.9</v>
      </c>
      <c r="R252" s="5" t="n">
        <v>5.4</v>
      </c>
      <c r="S252" s="5" t="n">
        <v>13.5</v>
      </c>
      <c r="T252" s="2" t="n">
        <v>16</v>
      </c>
      <c r="U252" s="2" t="inlineStr">
        <is>
          <t>low</t>
        </is>
      </c>
      <c r="V252" s="5" t="n">
        <v>2.2</v>
      </c>
      <c r="W252" s="2" t="inlineStr">
        <is>
          <t>low</t>
        </is>
      </c>
      <c r="X252" s="3" t="inlineStr"/>
      <c r="Y252" s="3" t="inlineStr">
        <is>
          <t>18% of this dish's available carbohydrate comes from ingredients with a published, measured GI; the rest uses conventional placeholders (see Ingredients sheet)</t>
        </is>
      </c>
      <c r="Z252" s="2" t="n">
        <v>18</v>
      </c>
      <c r="AA252" s="3" t="inlineStr">
        <is>
          <t>vegetarian, gluten-free, nut-free, low-carb</t>
        </is>
      </c>
      <c r="AB252" s="3" t="inlineStr">
        <is>
          <t>1. Sauté onion and garlic in oil; add broccoli, cauliflower and broth; simmer 15 minutes.
2. Blend two-thirds of the soup until smooth (cauliflower replaces flour as thickener).
3. Stir in milk, cheddar, Dijon and salt; heat gently without boiling.</t>
        </is>
      </c>
      <c r="AC252" s="4" t="inlineStr">
        <is>
          <t>["Sauté onion and garlic in oil; add broccoli, cauliflower and broth; simmer 15 minutes.", "Blend two-thirds of the soup until smooth (cauliflower replaces flour as thickener).", "Stir in milk, cheddar, Dijon and salt; heat gently without boiling."]</t>
        </is>
      </c>
    </row>
    <row r="253" ht="96" customHeight="1">
      <c r="A253" s="2" t="inlineStr">
        <is>
          <t>DB-0252</t>
        </is>
      </c>
      <c r="B253" s="3" t="inlineStr">
        <is>
          <t>Beef &amp; Barley Soup</t>
        </is>
      </c>
      <c r="C253" s="4" t="inlineStr">
        <is>
          <t>Soup &amp; Stew</t>
        </is>
      </c>
      <c r="D253" s="4" t="inlineStr">
        <is>
          <t>American</t>
        </is>
      </c>
      <c r="E253" s="2" t="n">
        <v>6</v>
      </c>
      <c r="F253" s="2" t="n">
        <v>15</v>
      </c>
      <c r="G253" s="2" t="n">
        <v>90</v>
      </c>
      <c r="H253" s="2" t="n">
        <v>105</v>
      </c>
      <c r="I253" s="4" t="inlineStr">
        <is>
          <t>beef-and-barley-soup.jpg</t>
        </is>
      </c>
      <c r="J253" s="3" t="inlineStr">
        <is>
          <t>Beef &amp; Barley Soup, healthy food photography, plated, natural light</t>
        </is>
      </c>
      <c r="K253" s="4" t="inlineStr"/>
      <c r="L253" s="3" t="inlineStr">
        <is>
          <t>Beef chuck roast, trimmed — 500 g (17.6 oz)
Pearl barley, cooked — 400 g (14.1 oz) [from 130 g dry]
Beef broth, low sodium — 1500 g (52.9 oz)
Carrot — 150 g (5.3 oz)
Celery — 120 g (4.2 oz)
Yellow onion — 150 g (5.3 oz)
Mushrooms (cremini/white) — 200 g (7.1 oz)
Garlic — 8 g (0.3 oz)
Tomato paste — 30 g (1.1 oz)
Fresh thyme — 2 g (0.1 oz)
Bay leaves — 1 g (0.0 oz)
Extra-virgin olive oil — 15 g (0.5 oz)
Salt — 4 g (0.1 oz)</t>
        </is>
      </c>
      <c r="M253" s="4" t="inlineStr">
        <is>
          <t>[{"ingredient_id": "beef_chuck", "name": "Beef chuck roast, trimmed", "grams": 500.0, "note": ""}, {"ingredient_id": "barley", "name": "Pearl barley, cooked", "grams": 400.0, "note": "from 130 g dry"}, {"ingredient_id": "beef_broth", "name": "Beef broth, low sodium", "grams": 1500.0, "note": ""}, {"ingredient_id": "carrot", "name": "Carrot", "grams": 150.0, "note": ""}, {"ingredient_id": "celery", "name": "Celery", "grams": 120.0, "note": ""}, {"ingredient_id": "onion", "name": "Yellow onion", "grams": 150.0, "note": ""}, {"ingredient_id": "mushrooms", "name": "Mushrooms (cremini/white)", "grams": 200.0, "note": ""}, {"ingredient_id": "garlic", "name": "Garlic", "grams": 8.0, "note": ""}, {"ingredient_id": "tomato_paste", "name": "Tomato paste", "grams": 30.0, "note": ""}, {"ingredient_id": "thyme", "name": "Fresh thyme", "grams": 2.0, "note": ""}, {"ingredient_id": "bay_leaf", "name": "Bay leaves", "grams": 1.0, "note": ""}, {"ingredient_id": "olive_oil", "name": "Extra-virgin olive oil", "grams": 15.0, "note": ""}, {"ingredient_id": "salt", "name": "Salt", "grams": 4.0, "note": ""}]</t>
        </is>
      </c>
      <c r="N253" s="2" t="n">
        <v>309</v>
      </c>
      <c r="O253" s="5" t="n">
        <v>23.5</v>
      </c>
      <c r="P253" s="5" t="n">
        <v>12.7</v>
      </c>
      <c r="Q253" s="5" t="n">
        <v>27.7</v>
      </c>
      <c r="R253" s="5" t="n">
        <v>4.6</v>
      </c>
      <c r="S253" s="5" t="n">
        <v>23.1</v>
      </c>
      <c r="T253" s="2" t="n">
        <v>37</v>
      </c>
      <c r="U253" s="2" t="inlineStr">
        <is>
          <t>low</t>
        </is>
      </c>
      <c r="V253" s="5" t="n">
        <v>8.5</v>
      </c>
      <c r="W253" s="2" t="inlineStr">
        <is>
          <t>low</t>
        </is>
      </c>
      <c r="X253" s="3" t="inlineStr"/>
      <c r="Y253" s="3" t="inlineStr">
        <is>
          <t>77% of this dish's available carbohydrate comes from ingredients with a published, measured GI; the rest uses conventional placeholders (see Ingredients sheet)</t>
        </is>
      </c>
      <c r="Z253" s="2" t="n">
        <v>77</v>
      </c>
      <c r="AA253" s="3" t="inlineStr">
        <is>
          <t>dairy-free, nut-free, make-ahead, freezer</t>
        </is>
      </c>
      <c r="AB253" s="3" t="inlineStr">
        <is>
          <t>1. Brown cubed beef in oil; remove. Sauté onion, carrot, celery and mushrooms 8 minutes.
2. Add tomato paste, garlic, broth, beef, thyme and bay leaf; simmer 60 minutes.
3. Add dry barley and simmer 30 minutes more until tender; season.</t>
        </is>
      </c>
      <c r="AC253" s="4" t="inlineStr">
        <is>
          <t>["Brown cubed beef in oil; remove. Sauté onion, carrot, celery and mushrooms 8 minutes.", "Add tomato paste, garlic, broth, beef, thyme and bay leaf; simmer 60 minutes.", "Add dry barley and simmer 30 minutes more until tender; season."]</t>
        </is>
      </c>
    </row>
    <row r="254" ht="96" customHeight="1">
      <c r="A254" s="2" t="inlineStr">
        <is>
          <t>DB-0253</t>
        </is>
      </c>
      <c r="B254" s="3" t="inlineStr">
        <is>
          <t>Tuscan White Bean &amp; Kale Soup</t>
        </is>
      </c>
      <c r="C254" s="4" t="inlineStr">
        <is>
          <t>Soup &amp; Stew</t>
        </is>
      </c>
      <c r="D254" s="4" t="inlineStr">
        <is>
          <t>Italian</t>
        </is>
      </c>
      <c r="E254" s="2" t="n">
        <v>4</v>
      </c>
      <c r="F254" s="2" t="n">
        <v>10</v>
      </c>
      <c r="G254" s="2" t="n">
        <v>30</v>
      </c>
      <c r="H254" s="2" t="n">
        <v>40</v>
      </c>
      <c r="I254" s="4" t="inlineStr">
        <is>
          <t>tuscan-white-bean-and-kale-soup.jpg</t>
        </is>
      </c>
      <c r="J254" s="3" t="inlineStr">
        <is>
          <t>Tuscan White Bean &amp; Kale Soup, healthy food photography, plated, natural light</t>
        </is>
      </c>
      <c r="K254" s="4" t="inlineStr"/>
      <c r="L254" s="3" t="inlineStr">
        <is>
          <t>Cannellini beans, cooked — 500 g (17.6 oz)
Kale — 200 g (7.1 oz)
Chicken sausage — 250 g (8.8 oz)
Yellow onion — 100 g (3.5 oz)
Carrot — 100 g (3.5 oz)
Garlic — 8 g (0.3 oz)
Diced tomatoes, canned — 400 g (14.1 oz)
Chicken broth, low sodium — 900 g (31.7 oz)
Extra-virgin olive oil — 15 g (0.5 oz)
Fresh rosemary — 2 g (0.1 oz)
Parmesan, grated — 30 g (1.1 oz)
Salt — 3 g (0.1 oz)</t>
        </is>
      </c>
      <c r="M254" s="4" t="inlineStr">
        <is>
          <t>[{"ingredient_id": "white_beans", "name": "Cannellini beans, cooked", "grams": 500.0, "note": ""}, {"ingredient_id": "kale", "name": "Kale", "grams": 200.0, "note": ""}, {"ingredient_id": "chicken_sausage", "name": "Chicken sausage", "grams": 250.0, "note": ""}, {"ingredient_id": "onion", "name": "Yellow onion", "grams": 100.0, "note": ""}, {"ingredient_id": "carrot", "name": "Carrot", "grams": 100.0, "note": ""}, {"ingredient_id": "garlic", "name": "Garlic", "grams": 8.0, "note": ""}, {"ingredient_id": "diced_tomatoes", "name": "Diced tomatoes, canned", "grams": 400.0, "note": ""}, {"ingredient_id": "chicken_broth", "name": "Chicken broth, low sodium", "grams": 900.0, "note": ""}, {"ingredient_id": "olive_oil", "name": "Extra-virgin olive oil", "grams": 15.0, "note": ""}, {"ingredient_id": "rosemary", "name": "Fresh rosemary", "grams": 2.0, "note": ""}, {"ingredient_id": "parmesan", "name": "Parmesan, grated", "grams": 30.0, "note": ""}, {"ingredient_id": "salt", "name": "Salt", "grams": 3.0, "note": ""}]</t>
        </is>
      </c>
      <c r="N254" s="2" t="n">
        <v>434</v>
      </c>
      <c r="O254" s="5" t="n">
        <v>30.6</v>
      </c>
      <c r="P254" s="5" t="n">
        <v>14.5</v>
      </c>
      <c r="Q254" s="5" t="n">
        <v>48.8</v>
      </c>
      <c r="R254" s="5" t="n">
        <v>12.4</v>
      </c>
      <c r="S254" s="5" t="n">
        <v>36.4</v>
      </c>
      <c r="T254" s="2" t="n">
        <v>27</v>
      </c>
      <c r="U254" s="2" t="inlineStr">
        <is>
          <t>low</t>
        </is>
      </c>
      <c r="V254" s="5" t="n">
        <v>9.800000000000001</v>
      </c>
      <c r="W254" s="2" t="inlineStr">
        <is>
          <t>low</t>
        </is>
      </c>
      <c r="X254" s="3" t="inlineStr"/>
      <c r="Y254" s="3" t="inlineStr">
        <is>
          <t>69% of this dish's available carbohydrate comes from ingredients with a published, measured GI; the rest uses conventional placeholders (see Ingredients sheet)</t>
        </is>
      </c>
      <c r="Z254" s="2" t="n">
        <v>69</v>
      </c>
      <c r="AA254" s="3" t="inlineStr">
        <is>
          <t>gluten-free, nut-free, high-protein, high-fiber, make-ahead</t>
        </is>
      </c>
      <c r="AB254" s="3" t="inlineStr">
        <is>
          <t>1. Brown sliced sausage in oil; add onion, carrot and garlic and cook 5 minutes.
2. Add tomatoes, broth, beans and rosemary; simmer 15 minutes.
3. Stir in kale until wilted; serve with parmesan.</t>
        </is>
      </c>
      <c r="AC254" s="4" t="inlineStr">
        <is>
          <t>["Brown sliced sausage in oil; add onion, carrot and garlic and cook 5 minutes.", "Add tomatoes, broth, beans and rosemary; simmer 15 minutes.", "Stir in kale until wilted; serve with parmesan."]</t>
        </is>
      </c>
    </row>
    <row r="255" ht="96" customHeight="1">
      <c r="A255" s="2" t="inlineStr">
        <is>
          <t>DB-0254</t>
        </is>
      </c>
      <c r="B255" s="3" t="inlineStr">
        <is>
          <t>Thai Coconut Chicken Soup (Tom Kha)</t>
        </is>
      </c>
      <c r="C255" s="4" t="inlineStr">
        <is>
          <t>Soup &amp; Stew</t>
        </is>
      </c>
      <c r="D255" s="4" t="inlineStr">
        <is>
          <t>Thai</t>
        </is>
      </c>
      <c r="E255" s="2" t="n">
        <v>4</v>
      </c>
      <c r="F255" s="2" t="n">
        <v>15</v>
      </c>
      <c r="G255" s="2" t="n">
        <v>25</v>
      </c>
      <c r="H255" s="2" t="n">
        <v>40</v>
      </c>
      <c r="I255" s="4" t="inlineStr">
        <is>
          <t>thai-coconut-chicken-soup-tom-kha.jpg</t>
        </is>
      </c>
      <c r="J255" s="3" t="inlineStr">
        <is>
          <t>Thai Coconut Chicken Soup (Tom Kha), healthy food photography, plated, natural light</t>
        </is>
      </c>
      <c r="K255" s="4" t="inlineStr"/>
      <c r="L255" s="3" t="inlineStr">
        <is>
          <t>Chicken breast, skinless — 400 g (14.1 oz)
Chicken broth, low sodium — 800 g (28.2 oz)
Coconut milk, canned light — 400 g (14.1 oz)
Mushrooms (cremini/white) — 200 g (7.1 oz)
Fresh ginger — 15 g (0.5 oz)
Lemongrass — 15 g (0.5 oz)
Lime juice — 30 g (1.1 oz)
Fish sauce — 20 g (0.7 oz)
Thai curry paste (red/green) — 15 g (0.5 oz)
Fresh cilantro — 8 g (0.3 oz)
Green onions (scallions) — 20 g (0.7 oz)
Jalapeño — 10 g (0.4 oz)</t>
        </is>
      </c>
      <c r="M255" s="4" t="inlineStr">
        <is>
          <t>[{"ingredient_id": "chicken_breast", "name": "Chicken breast, skinless", "grams": 400.0, "note": ""}, {"ingredient_id": "chicken_broth", "name": "Chicken broth, low sodium", "grams": 800.0, "note": ""}, {"ingredient_id": "coconut_milk_light", "name": "Coconut milk, canned light", "grams": 400.0, "note": ""}, {"ingredient_id": "mushrooms", "name": "Mushrooms (cremini/white)", "grams": 200.0, "note": ""}, {"ingredient_id": "ginger", "name": "Fresh ginger", "grams": 15.0, "note": ""}, {"ingredient_id": "lemongrass", "name": "Lemongrass", "grams": 15.0, "note": ""}, {"ingredient_id": "lime_juice", "name": "Lime juice", "grams": 30.0, "note": ""}, {"ingredient_id": "fish_sauce", "name": "Fish sauce", "grams": 20.0, "note": ""}, {"ingredient_id": "curry_paste", "name": "Thai curry paste (red/green)", "grams": 15.0, "note": ""}, {"ingredient_id": "cilantro", "name": "Fresh cilantro", "grams": 8.0, "note": ""}, {"ingredient_id": "green_onion", "name": "Green onions (scallions)", "grams": 20.0, "note": ""}, {"ingredient_id": "jalapeno", "name": "Jalapeño", "grams": 10.0, "note": ""}]</t>
        </is>
      </c>
      <c r="N255" s="2" t="n">
        <v>230</v>
      </c>
      <c r="O255" s="5" t="n">
        <v>27.4</v>
      </c>
      <c r="P255" s="5" t="n">
        <v>9.4</v>
      </c>
      <c r="Q255" s="5" t="n">
        <v>8.6</v>
      </c>
      <c r="R255" s="5" t="n">
        <v>1</v>
      </c>
      <c r="S255" s="5" t="n">
        <v>7.7</v>
      </c>
      <c r="T255" s="2" t="n">
        <v>20</v>
      </c>
      <c r="U255" s="2" t="inlineStr">
        <is>
          <t>low</t>
        </is>
      </c>
      <c r="V255" s="5" t="n">
        <v>1.5</v>
      </c>
      <c r="W255" s="2" t="inlineStr">
        <is>
          <t>low</t>
        </is>
      </c>
      <c r="X255" s="3" t="inlineStr"/>
      <c r="Y255" s="3" t="inlineStr">
        <is>
          <t>0% of this dish's available carbohydrate comes from ingredients with a published, measured GI; the rest uses conventional placeholders (see Ingredients sheet)</t>
        </is>
      </c>
      <c r="Z255" s="2" t="n">
        <v>0</v>
      </c>
      <c r="AA255" s="3" t="inlineStr">
        <is>
          <t>gluten-free, dairy-free, nut-free, low-carb, high-protein</t>
        </is>
      </c>
      <c r="AB255" s="3" t="inlineStr">
        <is>
          <t>1. Simmer broth with ginger, lemongrass and curry paste 10 minutes.
2. Add sliced chicken and mushrooms; cook 8 minutes.
3. Add coconut milk, fish sauce and lime; heat through. Top with cilantro, green onion and chili.</t>
        </is>
      </c>
      <c r="AC255" s="4" t="inlineStr">
        <is>
          <t>["Simmer broth with ginger, lemongrass and curry paste 10 minutes.", "Add sliced chicken and mushrooms; cook 8 minutes.", "Add coconut milk, fish sauce and lime; heat through. Top with cilantro, green onion and chili."]</t>
        </is>
      </c>
    </row>
    <row r="256" ht="96" customHeight="1">
      <c r="A256" s="2" t="inlineStr">
        <is>
          <t>DB-0255</t>
        </is>
      </c>
      <c r="B256" s="3" t="inlineStr">
        <is>
          <t>Black Bean Soup</t>
        </is>
      </c>
      <c r="C256" s="4" t="inlineStr">
        <is>
          <t>Soup &amp; Stew</t>
        </is>
      </c>
      <c r="D256" s="4" t="inlineStr">
        <is>
          <t>Latin</t>
        </is>
      </c>
      <c r="E256" s="2" t="n">
        <v>4</v>
      </c>
      <c r="F256" s="2" t="n">
        <v>10</v>
      </c>
      <c r="G256" s="2" t="n">
        <v>30</v>
      </c>
      <c r="H256" s="2" t="n">
        <v>40</v>
      </c>
      <c r="I256" s="4" t="inlineStr">
        <is>
          <t>black-bean-soup.jpg</t>
        </is>
      </c>
      <c r="J256" s="3" t="inlineStr">
        <is>
          <t>Black Bean Soup, healthy food photography, plated, natural light</t>
        </is>
      </c>
      <c r="K256" s="4" t="inlineStr"/>
      <c r="L256" s="3" t="inlineStr">
        <is>
          <t>Black beans, cooked — 700 g (24.7 oz)
Vegetable broth, low sodium — 800 g (28.2 oz)
Yellow onion — 120 g (4.2 oz)
Bell pepper — 100 g (3.5 oz)
Garlic — 8 g (0.3 oz)
Ground cumin — 4 g (0.1 oz)
Chili powder — 3 g (0.1 oz)
Extra-virgin olive oil — 15 g (0.5 oz)
Lime juice — 20 g (0.7 oz)
Greek yogurt, plain 2% — 60 g (2.1 oz)
Fresh cilantro — 8 g (0.3 oz)
Salt — 3 g (0.1 oz)</t>
        </is>
      </c>
      <c r="M256" s="4" t="inlineStr">
        <is>
          <t>[{"ingredient_id": "black_beans", "name": "Black beans, cooked", "grams": 700.0, "note": ""}, {"ingredient_id": "vegetable_broth", "name": "Vegetable broth, low sodium", "grams": 800.0, "note": ""}, {"ingredient_id": "onion", "name": "Yellow onion", "grams": 120.0, "note": ""}, {"ingredient_id": "bell_pepper", "name": "Bell pepper", "grams": 100.0, "note": ""}, {"ingredient_id": "garlic", "name": "Garlic", "grams": 8.0, "note": ""}, {"ingredient_id": "cumin", "name": "Ground cumin", "grams": 4.0, "note": ""}, {"ingredient_id": "chili_powder", "name": "Chili powder", "grams": 3.0, "note": ""}, {"ingredient_id": "olive_oil", "name": "Extra-virgin olive oil", "grams": 15.0, "note": ""}, {"ingredient_id": "lime_juice", "name": "Lime juice", "grams": 20.0, "note": ""}, {"ingredient_id": "greek_yogurt", "name": "Greek yogurt, plain 2%", "grams": 60.0, "note": ""}, {"ingredient_id": "cilantro", "name": "Fresh cilantro", "grams": 8.0, "note": ""}, {"ingredient_id": "salt", "name": "Salt", "grams": 3.0, "note": ""}]</t>
        </is>
      </c>
      <c r="N256" s="2" t="n">
        <v>321</v>
      </c>
      <c r="O256" s="5" t="n">
        <v>19.1</v>
      </c>
      <c r="P256" s="5" t="n">
        <v>5.8</v>
      </c>
      <c r="Q256" s="5" t="n">
        <v>51.3</v>
      </c>
      <c r="R256" s="5" t="n">
        <v>16.7</v>
      </c>
      <c r="S256" s="5" t="n">
        <v>34.6</v>
      </c>
      <c r="T256" s="2" t="n">
        <v>25</v>
      </c>
      <c r="U256" s="2" t="inlineStr">
        <is>
          <t>low</t>
        </is>
      </c>
      <c r="V256" s="5" t="n">
        <v>8.6</v>
      </c>
      <c r="W256" s="2" t="inlineStr">
        <is>
          <t>low</t>
        </is>
      </c>
      <c r="X256" s="3" t="inlineStr"/>
      <c r="Y256" s="3" t="inlineStr">
        <is>
          <t>78% of this dish's available carbohydrate comes from ingredients with a published, measured GI; the rest uses conventional placeholders (see Ingredients sheet)</t>
        </is>
      </c>
      <c r="Z256" s="2" t="n">
        <v>78</v>
      </c>
      <c r="AA256" s="3" t="inlineStr">
        <is>
          <t>vegetarian, gluten-free, nut-free, high-fiber, make-ahead</t>
        </is>
      </c>
      <c r="AB256" s="3" t="inlineStr">
        <is>
          <t>1. Sauté onion, pepper and garlic in oil with cumin and chili powder 6 minutes.
2. Add beans and broth; simmer 20 minutes.
3. Blend half the soup, stir back in with lime and salt; top with yogurt and cilantro.</t>
        </is>
      </c>
      <c r="AC256" s="4" t="inlineStr">
        <is>
          <t>["Sauté onion, pepper and garlic in oil with cumin and chili powder 6 minutes.", "Add beans and broth; simmer 20 minutes.", "Blend half the soup, stir back in with lime and salt; top with yogurt and cilantro."]</t>
        </is>
      </c>
    </row>
    <row r="257" ht="96" customHeight="1">
      <c r="A257" s="2" t="inlineStr">
        <is>
          <t>DB-0256</t>
        </is>
      </c>
      <c r="B257" s="3" t="inlineStr">
        <is>
          <t>Chicken Tortilla Soup (No Chips)</t>
        </is>
      </c>
      <c r="C257" s="4" t="inlineStr">
        <is>
          <t>Soup &amp; Stew</t>
        </is>
      </c>
      <c r="D257" s="4" t="inlineStr">
        <is>
          <t>Mexican</t>
        </is>
      </c>
      <c r="E257" s="2" t="n">
        <v>4</v>
      </c>
      <c r="F257" s="2" t="n">
        <v>15</v>
      </c>
      <c r="G257" s="2" t="n">
        <v>30</v>
      </c>
      <c r="H257" s="2" t="n">
        <v>45</v>
      </c>
      <c r="I257" s="4" t="inlineStr">
        <is>
          <t>chicken-tortilla-soup-no-chips.jpg</t>
        </is>
      </c>
      <c r="J257" s="3" t="inlineStr">
        <is>
          <t>Chicken Tortilla Soup (No Chips), healthy food photography, plated, natural light</t>
        </is>
      </c>
      <c r="K257" s="4" t="inlineStr"/>
      <c r="L257" s="3" t="inlineStr">
        <is>
          <t>Chicken breast, skinless — 400 g (14.1 oz)
Chicken broth, low sodium — 1000 g (35.3 oz)
Diced tomatoes, canned — 400 g (14.1 oz)
Yellow onion — 100 g (3.5 oz)
Bell pepper — 100 g (3.5 oz)
Jalapeño — 15 g (0.5 oz)
Garlic — 8 g (0.3 oz)
Ground cumin — 4 g (0.1 oz)
Chili powder — 4 g (0.1 oz)
Black beans, cooked — 200 g (7.1 oz)
Avocado — 100 g (3.5 oz)
Cheddar cheese — 40 g (1.4 oz)
Fresh cilantro — 10 g (0.4 oz)
Lime — 30 g (1.1 oz)
Extra-virgin olive oil — 12 g (0.4 oz)</t>
        </is>
      </c>
      <c r="M257" s="4" t="inlineStr">
        <is>
          <t>[{"ingredient_id": "chicken_breast", "name": "Chicken breast, skinless", "grams": 400.0, "note": ""}, {"ingredient_id": "chicken_broth", "name": "Chicken broth, low sodium", "grams": 1000.0, "note": ""}, {"ingredient_id": "diced_tomatoes", "name": "Diced tomatoes, canned", "grams": 400.0, "note": ""}, {"ingredient_id": "onion", "name": "Yellow onion", "grams": 100.0, "note": ""}, {"ingredient_id": "bell_pepper", "name": "Bell pepper", "grams": 100.0, "note": ""}, {"ingredient_id": "jalapeno", "name": "Jalapeño", "grams": 15.0, "note": ""}, {"ingredient_id": "garlic", "name": "Garlic", "grams": 8.0, "note": ""}, {"ingredient_id": "cumin", "name": "Ground cumin", "grams": 4.0, "note": ""}, {"ingredient_id": "chili_powder", "name": "Chili powder", "grams": 4.0, "note": ""}, {"ingredient_id": "black_beans", "name": "Black beans, cooked", "grams": 200.0, "note": ""}, {"ingredient_id": "avocado", "name": "Avocado", "grams": 100.0, "note": ""}, {"ingredient_id": "cheddar", "name": "Cheddar cheese", "grams": 40.0, "note": ""}, {"ingredient_id": "cilantro", "name": "Fresh cilantro", "grams": 10.0, "note": ""}, {"ingredient_id": "lime", "name": "Lime", "grams": 30.0, "note": ""}, {"ingredient_id": "olive_oil", "name": "Extra-virgin olive oil", "grams": 12.0, "note": ""}]</t>
        </is>
      </c>
      <c r="N257" s="2" t="n">
        <v>366</v>
      </c>
      <c r="O257" s="5" t="n">
        <v>34.6</v>
      </c>
      <c r="P257" s="5" t="n">
        <v>14.1</v>
      </c>
      <c r="Q257" s="5" t="n">
        <v>26.9</v>
      </c>
      <c r="R257" s="5" t="n">
        <v>9.4</v>
      </c>
      <c r="S257" s="5" t="n">
        <v>17.5</v>
      </c>
      <c r="T257" s="2" t="n">
        <v>25</v>
      </c>
      <c r="U257" s="2" t="inlineStr">
        <is>
          <t>low</t>
        </is>
      </c>
      <c r="V257" s="5" t="n">
        <v>4.4</v>
      </c>
      <c r="W257" s="2" t="inlineStr">
        <is>
          <t>low</t>
        </is>
      </c>
      <c r="X257" s="3" t="inlineStr"/>
      <c r="Y257" s="3" t="inlineStr">
        <is>
          <t>43% of this dish's available carbohydrate comes from ingredients with a published, measured GI; the rest uses conventional placeholders (see Ingredients sheet)</t>
        </is>
      </c>
      <c r="Z257" s="2" t="n">
        <v>43</v>
      </c>
      <c r="AA257" s="3" t="inlineStr">
        <is>
          <t>gluten-free, nut-free, high-protein, high-fiber</t>
        </is>
      </c>
      <c r="AB257" s="3" t="inlineStr">
        <is>
          <t>1. Sauté onion, pepper, jalapeño and garlic with spices in oil 5 minutes.
2. Add broth, tomatoes and chicken; simmer 20 minutes; shred the chicken.
3. Add beans and heat; serve with avocado, cheddar, cilantro and lime.</t>
        </is>
      </c>
      <c r="AC257" s="4" t="inlineStr">
        <is>
          <t>["Sauté onion, pepper, jalapeño and garlic with spices in oil 5 minutes.", "Add broth, tomatoes and chicken; simmer 20 minutes; shred the chicken.", "Add beans and heat; serve with avocado, cheddar, cilantro and lime."]</t>
        </is>
      </c>
    </row>
    <row r="258" ht="96" customHeight="1">
      <c r="A258" s="2" t="inlineStr">
        <is>
          <t>DB-0257</t>
        </is>
      </c>
      <c r="B258" s="3" t="inlineStr">
        <is>
          <t>Creamy Cauliflower Soup</t>
        </is>
      </c>
      <c r="C258" s="4" t="inlineStr">
        <is>
          <t>Soup &amp; Stew</t>
        </is>
      </c>
      <c r="D258" s="4" t="inlineStr">
        <is>
          <t>American</t>
        </is>
      </c>
      <c r="E258" s="2" t="n">
        <v>4</v>
      </c>
      <c r="F258" s="2" t="n">
        <v>10</v>
      </c>
      <c r="G258" s="2" t="n">
        <v>25</v>
      </c>
      <c r="H258" s="2" t="n">
        <v>35</v>
      </c>
      <c r="I258" s="4" t="inlineStr">
        <is>
          <t>creamy-cauliflower-soup.jpg</t>
        </is>
      </c>
      <c r="J258" s="3" t="inlineStr">
        <is>
          <t>Creamy Cauliflower Soup, healthy food photography, plated, natural light</t>
        </is>
      </c>
      <c r="K258" s="4" t="inlineStr"/>
      <c r="L258" s="3" t="inlineStr">
        <is>
          <t>Cauliflower — 800 g (28.2 oz)
Yellow onion — 100 g (3.5 oz)
Garlic — 8 g (0.3 oz)
Vegetable broth, low sodium — 800 g (28.2 oz)
Milk, 2% — 150 g (5.3 oz)
Extra-virgin olive oil — 15 g (0.5 oz)
Ground nutmeg — 0.3 g (0.0 oz)
Fresh chives — 5 g (0.2 oz)
Parmesan, grated — 30 g (1.1 oz)
Salt — 3 g (0.1 oz)</t>
        </is>
      </c>
      <c r="M258" s="4" t="inlineStr">
        <is>
          <t>[{"ingredient_id": "cauliflower", "name": "Cauliflower", "grams": 800.0, "note": ""}, {"ingredient_id": "onion", "name": "Yellow onion", "grams": 100.0, "note": ""}, {"ingredient_id": "garlic", "name": "Garlic", "grams": 8.0, "note": ""}, {"ingredient_id": "vegetable_broth", "name": "Vegetable broth, low sodium", "grams": 800.0, "note": ""}, {"ingredient_id": "milk", "name": "Milk, 2%", "grams": 150.0, "note": ""}, {"ingredient_id": "olive_oil", "name": "Extra-virgin olive oil", "grams": 15.0, "note": ""}, {"ingredient_id": "nutmeg", "name": "Ground nutmeg", "grams": 0.3, "note": ""}, {"ingredient_id": "chives", "name": "Fresh chives", "grams": 5.0, "note": ""}, {"ingredient_id": "parmesan", "name": "Parmesan, grated", "grams": 30.0, "note": ""}, {"ingredient_id": "salt", "name": "Salt", "grams": 3.0, "note": ""}]</t>
        </is>
      </c>
      <c r="N258" s="2" t="n">
        <v>164</v>
      </c>
      <c r="O258" s="5" t="n">
        <v>9.300000000000001</v>
      </c>
      <c r="P258" s="5" t="n">
        <v>7.7</v>
      </c>
      <c r="Q258" s="5" t="n">
        <v>18.2</v>
      </c>
      <c r="R258" s="5" t="n">
        <v>4.5</v>
      </c>
      <c r="S258" s="5" t="n">
        <v>13.7</v>
      </c>
      <c r="T258" s="2" t="n">
        <v>14</v>
      </c>
      <c r="U258" s="2" t="inlineStr">
        <is>
          <t>low</t>
        </is>
      </c>
      <c r="V258" s="5" t="n">
        <v>1.9</v>
      </c>
      <c r="W258" s="2" t="inlineStr">
        <is>
          <t>low</t>
        </is>
      </c>
      <c r="X258" s="3" t="inlineStr"/>
      <c r="Y258" s="3" t="inlineStr">
        <is>
          <t>13% of this dish's available carbohydrate comes from ingredients with a published, measured GI; the rest uses conventional placeholders (see Ingredients sheet)</t>
        </is>
      </c>
      <c r="Z258" s="2" t="n">
        <v>13</v>
      </c>
      <c r="AA258" s="3" t="inlineStr">
        <is>
          <t>vegetarian, gluten-free, nut-free, low-carb</t>
        </is>
      </c>
      <c r="AB258" s="3" t="inlineStr">
        <is>
          <t>1. Sauté onion and garlic in oil 5 minutes.
2. Add cauliflower and broth; simmer 15 minutes.
3. Blend smooth with milk, nutmeg and salt; garnish with parmesan and chives.</t>
        </is>
      </c>
      <c r="AC258" s="4" t="inlineStr">
        <is>
          <t>["Sauté onion and garlic in oil 5 minutes.", "Add cauliflower and broth; simmer 15 minutes.", "Blend smooth with milk, nutmeg and salt; garnish with parmesan and chives."]</t>
        </is>
      </c>
    </row>
    <row r="259" ht="96" customHeight="1">
      <c r="A259" s="2" t="inlineStr">
        <is>
          <t>DB-0258</t>
        </is>
      </c>
      <c r="B259" s="3" t="inlineStr">
        <is>
          <t>Lentil Vegetable Soup</t>
        </is>
      </c>
      <c r="C259" s="4" t="inlineStr">
        <is>
          <t>Soup &amp; Stew</t>
        </is>
      </c>
      <c r="D259" s="4" t="inlineStr">
        <is>
          <t>American</t>
        </is>
      </c>
      <c r="E259" s="2" t="n">
        <v>6</v>
      </c>
      <c r="F259" s="2" t="n">
        <v>15</v>
      </c>
      <c r="G259" s="2" t="n">
        <v>40</v>
      </c>
      <c r="H259" s="2" t="n">
        <v>55</v>
      </c>
      <c r="I259" s="4" t="inlineStr">
        <is>
          <t>lentil-vegetable-soup.jpg</t>
        </is>
      </c>
      <c r="J259" s="3" t="inlineStr">
        <is>
          <t>Lentil Vegetable Soup, healthy food photography, plated, natural light</t>
        </is>
      </c>
      <c r="K259" s="4" t="inlineStr"/>
      <c r="L259" s="3" t="inlineStr">
        <is>
          <t>Lentils, cooked — 700 g (24.7 oz) [from 250 g dry]
Vegetable broth, low sodium — 1400 g (49.4 oz)
Carrot — 150 g (5.3 oz)
Celery — 120 g (4.2 oz)
Yellow onion — 150 g (5.3 oz)
Diced tomatoes, canned — 400 g (14.1 oz)
Spinach — 100 g (3.5 oz)
Garlic — 8 g (0.3 oz)
Ground cumin — 3 g (0.1 oz)
Smoked paprika — 2 g (0.1 oz)
Extra-virgin olive oil — 15 g (0.5 oz)
Red wine vinegar — 15 g (0.5 oz)
Salt — 4 g (0.1 oz)</t>
        </is>
      </c>
      <c r="M259" s="4" t="inlineStr">
        <is>
          <t>[{"ingredient_id": "lentils", "name": "Lentils, cooked", "grams": 700.0, "note": "from 250 g dry"}, {"ingredient_id": "vegetable_broth", "name": "Vegetable broth, low sodium", "grams": 1400.0, "note": ""}, {"ingredient_id": "carrot", "name": "Carrot", "grams": 150.0, "note": ""}, {"ingredient_id": "celery", "name": "Celery", "grams": 120.0, "note": ""}, {"ingredient_id": "onion", "name": "Yellow onion", "grams": 150.0, "note": ""}, {"ingredient_id": "diced_tomatoes", "name": "Diced tomatoes, canned", "grams": 400.0, "note": ""}, {"ingredient_id": "spinach", "name": "Spinach", "grams": 100.0, "note": ""}, {"ingredient_id": "garlic", "name": "Garlic", "grams": 8.0, "note": ""}, {"ingredient_id": "cumin", "name": "Ground cumin", "grams": 3.0, "note": ""}, {"ingredient_id": "smoked_paprika", "name": "Smoked paprika", "grams": 2.0, "note": ""}, {"ingredient_id": "olive_oil", "name": "Extra-virgin olive oil", "grams": 15.0, "note": ""}, {"ingredient_id": "red_wine_vinegar", "name": "Red wine vinegar", "grams": 15.0, "note": ""}, {"ingredient_id": "salt", "name": "Salt", "grams": 4.0, "note": ""}]</t>
        </is>
      </c>
      <c r="N259" s="2" t="n">
        <v>225</v>
      </c>
      <c r="O259" s="5" t="n">
        <v>13.8</v>
      </c>
      <c r="P259" s="5" t="n">
        <v>3.9</v>
      </c>
      <c r="Q259" s="5" t="n">
        <v>36.9</v>
      </c>
      <c r="R259" s="5" t="n">
        <v>12.2</v>
      </c>
      <c r="S259" s="5" t="n">
        <v>24.7</v>
      </c>
      <c r="T259" s="2" t="n">
        <v>29</v>
      </c>
      <c r="U259" s="2" t="inlineStr">
        <is>
          <t>low</t>
        </is>
      </c>
      <c r="V259" s="5" t="n">
        <v>7.2</v>
      </c>
      <c r="W259" s="2" t="inlineStr">
        <is>
          <t>low</t>
        </is>
      </c>
      <c r="X259" s="3" t="inlineStr"/>
      <c r="Y259" s="3" t="inlineStr">
        <is>
          <t>64% of this dish's available carbohydrate comes from ingredients with a published, measured GI; the rest uses conventional placeholders (see Ingredients sheet)</t>
        </is>
      </c>
      <c r="Z259" s="2" t="n">
        <v>64</v>
      </c>
      <c r="AA259" s="3" t="inlineStr">
        <is>
          <t>vegan, gluten-free, dairy-free, nut-free, high-fiber, make-ahead, freezer</t>
        </is>
      </c>
      <c r="AB259" s="3" t="inlineStr">
        <is>
          <t>1. Sauté onion, carrot and celery in oil 7 minutes; add garlic and spices.
2. Add dry lentils, tomatoes and broth; simmer 30 minutes.
3. Stir in spinach and vinegar; season.</t>
        </is>
      </c>
      <c r="AC259" s="4" t="inlineStr">
        <is>
          <t>["Sauté onion, carrot and celery in oil 7 minutes; add garlic and spices.", "Add dry lentils, tomatoes and broth; simmer 30 minutes.", "Stir in spinach and vinegar; season."]</t>
        </is>
      </c>
    </row>
    <row r="260" ht="96" customHeight="1">
      <c r="A260" s="2" t="inlineStr">
        <is>
          <t>DB-0259</t>
        </is>
      </c>
      <c r="B260" s="3" t="inlineStr">
        <is>
          <t>Italian Wedding Soup with Turkey Meatballs</t>
        </is>
      </c>
      <c r="C260" s="4" t="inlineStr">
        <is>
          <t>Soup &amp; Stew</t>
        </is>
      </c>
      <c r="D260" s="4" t="inlineStr">
        <is>
          <t>Italian</t>
        </is>
      </c>
      <c r="E260" s="2" t="n">
        <v>4</v>
      </c>
      <c r="F260" s="2" t="n">
        <v>20</v>
      </c>
      <c r="G260" s="2" t="n">
        <v>30</v>
      </c>
      <c r="H260" s="2" t="n">
        <v>50</v>
      </c>
      <c r="I260" s="4" t="inlineStr">
        <is>
          <t>italian-wedding-soup-with-turkey-meatballs.jpg</t>
        </is>
      </c>
      <c r="J260" s="3" t="inlineStr">
        <is>
          <t>Italian Wedding Soup with Turkey Meatballs, healthy food photography, plated, natural light</t>
        </is>
      </c>
      <c r="K260" s="4" t="inlineStr"/>
      <c r="L260" s="3" t="inlineStr">
        <is>
          <t>Ground turkey 93% lean — 400 g (14.1 oz)
Egg, large (50 g each) — 50 g (1.8 oz) [1 large egg]
Parmesan, grated — 40 g (1.4 oz)
Almond flour — 30 g (1.1 oz)
Italian seasoning — 2 g (0.1 oz)
Chicken broth, low sodium — 1200 g (42.3 oz)
Spinach — 150 g (5.3 oz)
Carrot — 100 g (3.5 oz)
Yellow onion — 80 g (2.8 oz)
Celery — 80 g (2.8 oz)
Garlic — 6 g (0.2 oz)
Extra-virgin olive oil — 12 g (0.4 oz)
Salt — 3 g (0.1 oz)</t>
        </is>
      </c>
      <c r="M260" s="4" t="inlineStr">
        <is>
          <t>[{"ingredient_id": "ground_turkey", "name": "Ground turkey 93% lean", "grams": 400.0, "note": ""}, {"ingredient_id": "egg", "name": "Egg, large (50 g each)", "grams": 50.0, "note": "1 large egg"}, {"ingredient_id": "parmesan", "name": "Parmesan, grated", "grams": 40.0, "note": ""}, {"ingredient_id": "almond_flour", "name": "Almond flour", "grams": 30.0, "note": ""}, {"ingredient_id": "italian_seasoning", "name": "Italian seasoning", "grams": 2.0, "note": ""}, {"ingredient_id": "chicken_broth", "name": "Chicken broth, low sodium", "grams": 1200.0, "note": ""}, {"ingredient_id": "spinach", "name": "Spinach", "grams": 150.0, "note": ""}, {"ingredient_id": "carrot", "name": "Carrot", "grams": 100.0, "note": ""}, {"ingredient_id": "onion", "name": "Yellow onion", "grams": 80.0, "note": ""}, {"ingredient_id": "celery", "name": "Celery", "grams": 80.0, "note": ""}, {"ingredient_id": "garlic", "name": "Garlic", "grams": 6.0, "note": ""}, {"ingredient_id": "olive_oil", "name": "Extra-virgin olive oil", "grams": 12.0, "note": ""}, {"ingredient_id": "salt", "name": "Salt", "grams": 3.0, "note": ""}]</t>
        </is>
      </c>
      <c r="N260" s="2" t="n">
        <v>336</v>
      </c>
      <c r="O260" s="5" t="n">
        <v>30.5</v>
      </c>
      <c r="P260" s="5" t="n">
        <v>19.7</v>
      </c>
      <c r="Q260" s="5" t="n">
        <v>10.6</v>
      </c>
      <c r="R260" s="5" t="n">
        <v>3.3</v>
      </c>
      <c r="S260" s="5" t="n">
        <v>7.3</v>
      </c>
      <c r="T260" s="2" t="n">
        <v>17</v>
      </c>
      <c r="U260" s="2" t="inlineStr">
        <is>
          <t>low</t>
        </is>
      </c>
      <c r="V260" s="5" t="n">
        <v>1.2</v>
      </c>
      <c r="W260" s="2" t="inlineStr">
        <is>
          <t>low</t>
        </is>
      </c>
      <c r="X260" s="3" t="inlineStr"/>
      <c r="Y260" s="3" t="inlineStr">
        <is>
          <t>23% of this dish's available carbohydrate comes from ingredients with a published, measured GI; the rest uses conventional placeholders (see Ingredients sheet)</t>
        </is>
      </c>
      <c r="Z260" s="2" t="n">
        <v>23</v>
      </c>
      <c r="AA260" s="3" t="inlineStr">
        <is>
          <t>gluten-free, low-carb, high-protein</t>
        </is>
      </c>
      <c r="AB260" s="3" t="inlineStr">
        <is>
          <t>1. Mix turkey, egg, half the parmesan, almond flour and seasoning; roll into small meatballs.
2. Sauté onion, carrot, celery, garlic in oil; add broth and simmer.
3. Drop in meatballs, cook 12 minutes; add spinach and remaining parmesan.</t>
        </is>
      </c>
      <c r="AC260" s="4" t="inlineStr">
        <is>
          <t>["Mix turkey, egg, half the parmesan, almond flour and seasoning; roll into small meatballs.", "Sauté onion, carrot, celery, garlic in oil; add broth and simmer.", "Drop in meatballs, cook 12 minutes; add spinach and remaining parmesan."]</t>
        </is>
      </c>
    </row>
    <row r="261" ht="96" customHeight="1">
      <c r="A261" s="2" t="inlineStr">
        <is>
          <t>DB-0260</t>
        </is>
      </c>
      <c r="B261" s="3" t="inlineStr">
        <is>
          <t>Split Pea Soup with Ham</t>
        </is>
      </c>
      <c r="C261" s="4" t="inlineStr">
        <is>
          <t>Soup &amp; Stew</t>
        </is>
      </c>
      <c r="D261" s="4" t="inlineStr">
        <is>
          <t>American</t>
        </is>
      </c>
      <c r="E261" s="2" t="n">
        <v>6</v>
      </c>
      <c r="F261" s="2" t="n">
        <v>10</v>
      </c>
      <c r="G261" s="2" t="n">
        <v>75</v>
      </c>
      <c r="H261" s="2" t="n">
        <v>85</v>
      </c>
      <c r="I261" s="4" t="inlineStr">
        <is>
          <t>split-pea-soup-with-ham.jpg</t>
        </is>
      </c>
      <c r="J261" s="3" t="inlineStr">
        <is>
          <t>Split Pea Soup with Ham, healthy food photography, plated, natural light</t>
        </is>
      </c>
      <c r="K261" s="4" t="inlineStr"/>
      <c r="L261" s="3" t="inlineStr">
        <is>
          <t>Split peas, cooked — 900 g (31.7 oz) [from 350 g dry]
Ham, lean — 250 g (8.8 oz)
Chicken broth, low sodium — 1500 g (52.9 oz)
Carrot — 150 g (5.3 oz)
Celery — 100 g (3.5 oz)
Yellow onion — 150 g (5.3 oz)
Garlic — 6 g (0.2 oz)
Bay leaves — 1 g (0.0 oz)
Fresh thyme — 2 g (0.1 oz)
Extra-virgin olive oil — 12 g (0.4 oz)
Black pepper — 1 g (0.0 oz)</t>
        </is>
      </c>
      <c r="M261" s="4" t="inlineStr">
        <is>
          <t>[{"ingredient_id": "split_peas", "name": "Split peas, cooked", "grams": 900.0, "note": "from 350 g dry"}, {"ingredient_id": "ham", "name": "Ham, lean", "grams": 250.0, "note": ""}, {"ingredient_id": "chicken_broth", "name": "Chicken broth, low sodium", "grams": 1500.0, "note": ""}, {"ingredient_id": "carrot", "name": "Carrot", "grams": 150.0, "note": ""}, {"ingredient_id": "celery", "name": "Celery", "grams": 100.0, "note": ""}, {"ingredient_id": "onion", "name": "Yellow onion", "grams": 150.0, "note": ""}, {"ingredient_id": "garlic", "name": "Garlic", "grams": 6.0, "note": ""}, {"ingredient_id": "bay_leaf", "name": "Bay leaves", "grams": 1.0, "note": ""}, {"ingredient_id": "thyme", "name": "Fresh thyme", "grams": 2.0, "note": ""}, {"ingredient_id": "olive_oil", "name": "Extra-virgin olive oil", "grams": 12.0, "note": ""}, {"ingredient_id": "black_pepper", "name": "Black pepper", "grams": 1.0, "note": ""}]</t>
        </is>
      </c>
      <c r="N261" s="2" t="n">
        <v>298</v>
      </c>
      <c r="O261" s="5" t="n">
        <v>24.4</v>
      </c>
      <c r="P261" s="5" t="n">
        <v>5.7</v>
      </c>
      <c r="Q261" s="5" t="n">
        <v>39.2</v>
      </c>
      <c r="R261" s="5" t="n">
        <v>14</v>
      </c>
      <c r="S261" s="5" t="n">
        <v>25.2</v>
      </c>
      <c r="T261" s="2" t="n">
        <v>29</v>
      </c>
      <c r="U261" s="2" t="inlineStr">
        <is>
          <t>low</t>
        </is>
      </c>
      <c r="V261" s="5" t="n">
        <v>7.3</v>
      </c>
      <c r="W261" s="2" t="inlineStr">
        <is>
          <t>low</t>
        </is>
      </c>
      <c r="X261" s="3" t="inlineStr"/>
      <c r="Y261" s="3" t="inlineStr">
        <is>
          <t>82% of this dish's available carbohydrate comes from ingredients with a published, measured GI; the rest uses conventional placeholders (see Ingredients sheet)</t>
        </is>
      </c>
      <c r="Z261" s="2" t="n">
        <v>82</v>
      </c>
      <c r="AA261" s="3" t="inlineStr">
        <is>
          <t>gluten-free, dairy-free, nut-free, high-fiber, make-ahead, freezer</t>
        </is>
      </c>
      <c r="AB261" s="3" t="inlineStr">
        <is>
          <t>1. Sauté onion, carrot and celery in oil 6 minutes; add garlic.
2. Add dry split peas, ham, broth, bay leaf and thyme; simmer 60–70 minutes until peas break down.
3. Remove bay leaf; season with pepper.</t>
        </is>
      </c>
      <c r="AC261" s="4" t="inlineStr">
        <is>
          <t>["Sauté onion, carrot and celery in oil 6 minutes; add garlic.", "Add dry split peas, ham, broth, bay leaf and thyme; simmer 60–70 minutes until peas break down.", "Remove bay leaf; season with pepper."]</t>
        </is>
      </c>
    </row>
    <row r="262" ht="96" customHeight="1">
      <c r="A262" s="2" t="inlineStr">
        <is>
          <t>DB-0261</t>
        </is>
      </c>
      <c r="B262" s="3" t="inlineStr">
        <is>
          <t>Egg Drop Soup with Tofu &amp; Spinach</t>
        </is>
      </c>
      <c r="C262" s="4" t="inlineStr">
        <is>
          <t>Soup &amp; Stew</t>
        </is>
      </c>
      <c r="D262" s="4" t="inlineStr">
        <is>
          <t>Chinese</t>
        </is>
      </c>
      <c r="E262" s="2" t="n">
        <v>2</v>
      </c>
      <c r="F262" s="2" t="n">
        <v>5</v>
      </c>
      <c r="G262" s="2" t="n">
        <v>10</v>
      </c>
      <c r="H262" s="2" t="n">
        <v>15</v>
      </c>
      <c r="I262" s="4" t="inlineStr">
        <is>
          <t>egg-drop-soup-with-tofu-and-spinach.jpg</t>
        </is>
      </c>
      <c r="J262" s="3" t="inlineStr">
        <is>
          <t>Egg Drop Soup with Tofu &amp; Spinach, healthy food photography, plated, natural light</t>
        </is>
      </c>
      <c r="K262" s="4" t="inlineStr"/>
      <c r="L262" s="3" t="inlineStr">
        <is>
          <t>Chicken broth, low sodium — 700 g (24.7 oz)
Egg, large (50 g each) — 100 g (3.5 oz) [2 large eggs]
Tofu, extra-firm — 150 g (5.3 oz)
Spinach — 80 g (2.8 oz)
Fresh ginger — 5 g (0.2 oz)
Tamari (gluten-free soy sauce) — 10 g (0.4 oz)
Toasted sesame oil — 5 g (0.2 oz)
Green onions (scallions) — 15 g (0.5 oz)</t>
        </is>
      </c>
      <c r="M262" s="4" t="inlineStr">
        <is>
          <t>[{"ingredient_id": "chicken_broth", "name": "Chicken broth, low sodium", "grams": 700.0, "note": ""}, {"ingredient_id": "egg", "name": "Egg, large (50 g each)", "grams": 100.0, "note": "2 large eggs"}, {"ingredient_id": "tofu", "name": "Tofu, extra-firm", "grams": 150.0, "note": ""}, {"ingredient_id": "spinach", "name": "Spinach", "grams": 80.0, "note": ""}, {"ingredient_id": "ginger", "name": "Fresh ginger", "grams": 5.0, "note": ""}, {"ingredient_id": "tamari", "name": "Tamari (gluten-free soy sauce)", "grams": 10.0, "note": ""}, {"ingredient_id": "sesame_oil", "name": "Toasted sesame oil", "grams": 5.0, "note": ""}, {"ingredient_id": "green_onion", "name": "Green onions (scallions)", "grams": 15.0, "note": ""}]</t>
        </is>
      </c>
      <c r="N262" s="2" t="n">
        <v>243</v>
      </c>
      <c r="O262" s="5" t="n">
        <v>24.4</v>
      </c>
      <c r="P262" s="5" t="n">
        <v>14.9</v>
      </c>
      <c r="Q262" s="5" t="n">
        <v>7</v>
      </c>
      <c r="R262" s="5" t="n">
        <v>2.7</v>
      </c>
      <c r="S262" s="5" t="n">
        <v>4.4</v>
      </c>
      <c r="T262" s="2" t="n">
        <v>8</v>
      </c>
      <c r="U262" s="2" t="inlineStr">
        <is>
          <t>low</t>
        </is>
      </c>
      <c r="V262" s="5" t="n">
        <v>0.3</v>
      </c>
      <c r="W262" s="2" t="inlineStr">
        <is>
          <t>low</t>
        </is>
      </c>
      <c r="X262" s="3" t="inlineStr">
        <is>
          <t>Negligible carbohydrate (&lt;5 g net/serving): GI has little practical meaning, glycemic load is what matters.</t>
        </is>
      </c>
      <c r="Y262" s="3" t="inlineStr">
        <is>
          <t>0% of this dish's available carbohydrate comes from ingredients with a published, measured GI; the rest uses conventional placeholders (see Ingredients sheet)</t>
        </is>
      </c>
      <c r="Z262" s="2" t="n">
        <v>0</v>
      </c>
      <c r="AA262" s="3" t="inlineStr">
        <is>
          <t>vegetarian, gluten-free, dairy-free, nut-free, low-carb, quick</t>
        </is>
      </c>
      <c r="AB262" s="3" t="inlineStr">
        <is>
          <t>1. Simmer broth with ginger and tamari; add tofu cubes.
2. Drizzle in beaten eggs while stirring slowly to make ribbons.
3. Add spinach, sesame oil and green onion.</t>
        </is>
      </c>
      <c r="AC262" s="4" t="inlineStr">
        <is>
          <t>["Simmer broth with ginger and tamari; add tofu cubes.", "Drizzle in beaten eggs while stirring slowly to make ribbons.", "Add spinach, sesame oil and green onion."]</t>
        </is>
      </c>
    </row>
    <row r="263" ht="96" customHeight="1">
      <c r="A263" s="2" t="inlineStr">
        <is>
          <t>DB-0262</t>
        </is>
      </c>
      <c r="B263" s="3" t="inlineStr">
        <is>
          <t>Salmon Chowder (Cauliflower Base)</t>
        </is>
      </c>
      <c r="C263" s="4" t="inlineStr">
        <is>
          <t>Soup &amp; Stew</t>
        </is>
      </c>
      <c r="D263" s="4" t="inlineStr">
        <is>
          <t>American</t>
        </is>
      </c>
      <c r="E263" s="2" t="n">
        <v>4</v>
      </c>
      <c r="F263" s="2" t="n">
        <v>15</v>
      </c>
      <c r="G263" s="2" t="n">
        <v>30</v>
      </c>
      <c r="H263" s="2" t="n">
        <v>45</v>
      </c>
      <c r="I263" s="4" t="inlineStr">
        <is>
          <t>salmon-chowder-cauliflower-base.jpg</t>
        </is>
      </c>
      <c r="J263" s="3" t="inlineStr">
        <is>
          <t>Salmon Chowder (Cauliflower Base), healthy food photography, plated, natural light</t>
        </is>
      </c>
      <c r="K263" s="4" t="inlineStr"/>
      <c r="L263" s="3" t="inlineStr">
        <is>
          <t>Salmon fillet — 400 g (14.1 oz)
Cauliflower — 400 g (14.1 oz)
Yellow onion — 100 g (3.5 oz)
Celery — 80 g (2.8 oz)
Carrot — 80 g (2.8 oz)
Chicken broth, low sodium — 800 g (28.2 oz)
Milk, 2% — 200 g (7.1 oz)
Fresh dill — 6 g (0.2 oz)
Extra-virgin olive oil — 12 g (0.4 oz)
Garlic — 5 g (0.2 oz)
Lemon juice — 10 g (0.4 oz)
Salt — 3 g (0.1 oz)</t>
        </is>
      </c>
      <c r="M263" s="4" t="inlineStr">
        <is>
          <t>[{"ingredient_id": "salmon", "name": "Salmon fillet", "grams": 400.0, "note": ""}, {"ingredient_id": "cauliflower", "name": "Cauliflower", "grams": 400.0, "note": ""}, {"ingredient_id": "onion", "name": "Yellow onion", "grams": 100.0, "note": ""}, {"ingredient_id": "celery", "name": "Celery", "grams": 80.0, "note": ""}, {"ingredient_id": "carrot", "name": "Carrot", "grams": 80.0, "note": ""}, {"ingredient_id": "chicken_broth", "name": "Chicken broth, low sodium", "grams": 800.0, "note": ""}, {"ingredient_id": "milk", "name": "Milk, 2%", "grams": 200.0, "note": ""}, {"ingredient_id": "dill", "name": "Fresh dill", "grams": 6.0, "note": ""}, {"ingredient_id": "olive_oil", "name": "Extra-virgin olive oil", "grams": 12.0, "note": ""}, {"ingredient_id": "garlic", "name": "Garlic", "grams": 5.0, "note": ""}, {"ingredient_id": "lemon_juice", "name": "Lemon juice", "grams": 10.0, "note": ""}, {"ingredient_id": "salt", "name": "Salt", "grams": 3.0, "note": ""}]</t>
        </is>
      </c>
      <c r="N263" s="2" t="n">
        <v>323</v>
      </c>
      <c r="O263" s="5" t="n">
        <v>26.3</v>
      </c>
      <c r="P263" s="5" t="n">
        <v>17.8</v>
      </c>
      <c r="Q263" s="5" t="n">
        <v>13.9</v>
      </c>
      <c r="R263" s="5" t="n">
        <v>3.4</v>
      </c>
      <c r="S263" s="5" t="n">
        <v>10.6</v>
      </c>
      <c r="T263" s="2" t="n">
        <v>20</v>
      </c>
      <c r="U263" s="2" t="inlineStr">
        <is>
          <t>low</t>
        </is>
      </c>
      <c r="V263" s="5" t="n">
        <v>2.1</v>
      </c>
      <c r="W263" s="2" t="inlineStr">
        <is>
          <t>low</t>
        </is>
      </c>
      <c r="X263" s="3" t="inlineStr"/>
      <c r="Y263" s="3" t="inlineStr">
        <is>
          <t>36% of this dish's available carbohydrate comes from ingredients with a published, measured GI; the rest uses conventional placeholders (see Ingredients sheet)</t>
        </is>
      </c>
      <c r="Z263" s="2" t="n">
        <v>36</v>
      </c>
      <c r="AA263" s="3" t="inlineStr">
        <is>
          <t>pescatarian, gluten-free, nut-free, low-carb, high-protein, omega-3</t>
        </is>
      </c>
      <c r="AB263" s="3" t="inlineStr">
        <is>
          <t>1. Sauté onion, celery, carrot and garlic in oil 6 minutes.
2. Add cauliflower and broth; simmer 12 minutes. Blend half for creaminess.
3. Add salmon chunks and milk; simmer 6 minutes; finish with dill and lemon.</t>
        </is>
      </c>
      <c r="AC263" s="4" t="inlineStr">
        <is>
          <t>["Sauté onion, celery, carrot and garlic in oil 6 minutes.", "Add cauliflower and broth; simmer 12 minutes. Blend half for creaminess.", "Add salmon chunks and milk; simmer 6 minutes; finish with dill and lemon."]</t>
        </is>
      </c>
    </row>
    <row r="264" ht="96" customHeight="1">
      <c r="A264" s="2" t="inlineStr">
        <is>
          <t>DB-0263</t>
        </is>
      </c>
      <c r="B264" s="3" t="inlineStr">
        <is>
          <t>Minestrone with Chickpea Pasta</t>
        </is>
      </c>
      <c r="C264" s="4" t="inlineStr">
        <is>
          <t>Soup &amp; Stew</t>
        </is>
      </c>
      <c r="D264" s="4" t="inlineStr">
        <is>
          <t>Italian</t>
        </is>
      </c>
      <c r="E264" s="2" t="n">
        <v>6</v>
      </c>
      <c r="F264" s="2" t="n">
        <v>15</v>
      </c>
      <c r="G264" s="2" t="n">
        <v>35</v>
      </c>
      <c r="H264" s="2" t="n">
        <v>50</v>
      </c>
      <c r="I264" s="4" t="inlineStr">
        <is>
          <t>minestrone-with-chickpea-pasta.jpg</t>
        </is>
      </c>
      <c r="J264" s="3" t="inlineStr">
        <is>
          <t>Minestrone with Chickpea Pasta, healthy food photography, plated, natural light</t>
        </is>
      </c>
      <c r="K264" s="4" t="inlineStr"/>
      <c r="L264" s="3" t="inlineStr">
        <is>
          <t>Chickpea pasta, cooked — 250 g (8.8 oz)
Kidney beans, cooked — 250 g (8.8 oz)
Cannellini beans, cooked — 250 g (8.8 oz)
Diced tomatoes, canned — 400 g (14.1 oz)
Vegetable broth, low sodium — 1400 g (49.4 oz)
Zucchini — 200 g (7.1 oz)
Carrot — 120 g (4.2 oz)
Celery — 100 g (3.5 oz)
Yellow onion — 120 g (4.2 oz)
Green beans — 120 g (4.2 oz)
Garlic — 8 g (0.3 oz)
Italian seasoning — 3 g (0.1 oz)
Extra-virgin olive oil — 15 g (0.5 oz)
Parmesan, grated — 30 g (1.1 oz)
Salt — 4 g (0.1 oz)</t>
        </is>
      </c>
      <c r="M264" s="4" t="inlineStr">
        <is>
          <t>[{"ingredient_id": "chickpea_pasta", "name": "Chickpea pasta, cooked", "grams": 250.0, "note": ""}, {"ingredient_id": "kidney_beans", "name": "Kidney beans, cooked", "grams": 250.0, "note": ""}, {"ingredient_id": "white_beans", "name": "Cannellini beans, cooked", "grams": 250.0, "note": ""}, {"ingredient_id": "diced_tomatoes", "name": "Diced tomatoes, canned", "grams": 400.0, "note": ""}, {"ingredient_id": "vegetable_broth", "name": "Vegetable broth, low sodium", "grams": 1400.0, "note": ""}, {"ingredient_id": "zucchini", "name": "Zucchini", "grams": 200.0, "note": ""}, {"ingredient_id": "carrot", "name": "Carrot", "grams": 120.0, "note": ""}, {"ingredient_id": "celery", "name": "Celery", "grams": 100.0, "note": ""}, {"ingredient_id": "onion", "name": "Yellow onion", "grams": 120.0, "note": ""}, {"ingredient_id": "green_beans", "name": "Green beans", "grams": 120.0, "note": ""}, {"ingredient_id": "garlic", "name": "Garlic", "grams": 8.0, "note": ""}, {"ingredient_id": "italian_seasoning", "name": "Italian seasoning", "grams": 3.0, "note": ""}, {"ingredient_id": "olive_oil", "name": "Extra-virgin olive oil", "grams": 15.0, "note": ""}, {"ingredient_id": "parmesan", "name": "Parmesan, grated", "grams": 30.0, "note": ""}, {"ingredient_id": "salt", "name": "Salt", "grams": 4.0, "note": ""}]</t>
        </is>
      </c>
      <c r="N264" s="2" t="n">
        <v>292</v>
      </c>
      <c r="O264" s="5" t="n">
        <v>17.9</v>
      </c>
      <c r="P264" s="5" t="n">
        <v>6.4</v>
      </c>
      <c r="Q264" s="5" t="n">
        <v>45.7</v>
      </c>
      <c r="R264" s="5" t="n">
        <v>11.1</v>
      </c>
      <c r="S264" s="5" t="n">
        <v>34.6</v>
      </c>
      <c r="T264" s="2" t="n">
        <v>27</v>
      </c>
      <c r="U264" s="2" t="inlineStr">
        <is>
          <t>low</t>
        </is>
      </c>
      <c r="V264" s="5" t="n">
        <v>9.300000000000001</v>
      </c>
      <c r="W264" s="2" t="inlineStr">
        <is>
          <t>low</t>
        </is>
      </c>
      <c r="X264" s="3" t="inlineStr"/>
      <c r="Y264" s="3" t="inlineStr">
        <is>
          <t>46% of this dish's available carbohydrate comes from ingredients with a published, measured GI; the rest uses conventional placeholders (see Ingredients sheet)</t>
        </is>
      </c>
      <c r="Z264" s="2" t="n">
        <v>46</v>
      </c>
      <c r="AA264" s="3" t="inlineStr">
        <is>
          <t>vegetarian, gluten-free, nut-free, high-fiber, make-ahead</t>
        </is>
      </c>
      <c r="AB264" s="3" t="inlineStr">
        <is>
          <t>1. Sauté onion, carrot, celery in oil 7 minutes; add garlic and seasoning.
2. Add tomatoes, broth, beans; simmer 15 minutes; add zucchini and green beans for 6 minutes.
3. Cook pasta separately and add to bowls; top with parmesan.</t>
        </is>
      </c>
      <c r="AC264" s="4" t="inlineStr">
        <is>
          <t>["Sauté onion, carrot, celery in oil 7 minutes; add garlic and seasoning.", "Add tomatoes, broth, beans; simmer 15 minutes; add zucchini and green beans for 6 minutes.", "Cook pasta separately and add to bowls; top with parmesan."]</t>
        </is>
      </c>
    </row>
    <row r="265" ht="96" customHeight="1">
      <c r="A265" s="2" t="inlineStr">
        <is>
          <t>DB-0264</t>
        </is>
      </c>
      <c r="B265" s="3" t="inlineStr">
        <is>
          <t>Chicken Zoodle Soup</t>
        </is>
      </c>
      <c r="C265" s="4" t="inlineStr">
        <is>
          <t>Soup &amp; Stew</t>
        </is>
      </c>
      <c r="D265" s="4" t="inlineStr">
        <is>
          <t>American</t>
        </is>
      </c>
      <c r="E265" s="2" t="n">
        <v>4</v>
      </c>
      <c r="F265" s="2" t="n">
        <v>15</v>
      </c>
      <c r="G265" s="2" t="n">
        <v>30</v>
      </c>
      <c r="H265" s="2" t="n">
        <v>45</v>
      </c>
      <c r="I265" s="4" t="inlineStr">
        <is>
          <t>chicken-zoodle-soup.jpg</t>
        </is>
      </c>
      <c r="J265" s="3" t="inlineStr">
        <is>
          <t>Chicken Zoodle Soup, healthy food photography, plated, natural light</t>
        </is>
      </c>
      <c r="K265" s="4" t="inlineStr"/>
      <c r="L265" s="3" t="inlineStr">
        <is>
          <t>Chicken thigh, skinless boneless — 450 g (15.9 oz)
Chicken broth, low sodium — 1200 g (42.3 oz)
Zucchini noodles (zoodles) — 400 g (14.1 oz)
Carrot — 100 g (3.5 oz)
Celery — 100 g (3.5 oz)
Yellow onion — 100 g (3.5 oz)
Garlic — 8 g (0.3 oz)
Fresh thyme — 2 g (0.1 oz)
Extra-virgin olive oil — 12 g (0.4 oz)
Fresh parsley — 8 g (0.3 oz)
Lemon juice — 10 g (0.4 oz)
Salt — 3 g (0.1 oz)</t>
        </is>
      </c>
      <c r="M265" s="4" t="inlineStr">
        <is>
          <t>[{"ingredient_id": "chicken_thigh", "name": "Chicken thigh, skinless boneless", "grams": 450.0, "note": ""}, {"ingredient_id": "chicken_broth", "name": "Chicken broth, low sodium", "grams": 1200.0, "note": ""}, {"ingredient_id": "zucchini_noodles", "name": "Zucchini noodles (zoodles)", "grams": 400.0, "note": ""}, {"ingredient_id": "carrot", "name": "Carrot", "grams": 100.0, "note": ""}, {"ingredient_id": "celery", "name": "Celery", "grams": 100.0, "note": ""}, {"ingredient_id": "onion", "name": "Yellow onion", "grams": 100.0, "note": ""}, {"ingredient_id": "garlic", "name": "Garlic", "grams": 8.0, "note": ""}, {"ingredient_id": "thyme", "name": "Fresh thyme", "grams": 2.0, "note": ""}, {"ingredient_id": "olive_oil", "name": "Extra-virgin olive oil", "grams": 12.0, "note": ""}, {"ingredient_id": "parsley", "name": "Fresh parsley", "grams": 8.0, "note": ""}, {"ingredient_id": "lemon_juice", "name": "Lemon juice", "grams": 10.0, "note": ""}, {"ingredient_id": "salt", "name": "Salt", "grams": 3.0, "note": ""}]</t>
        </is>
      </c>
      <c r="N265" s="2" t="n">
        <v>230</v>
      </c>
      <c r="O265" s="5" t="n">
        <v>27.3</v>
      </c>
      <c r="P265" s="5" t="n">
        <v>8.699999999999999</v>
      </c>
      <c r="Q265" s="5" t="n">
        <v>11.2</v>
      </c>
      <c r="R265" s="5" t="n">
        <v>2.7</v>
      </c>
      <c r="S265" s="5" t="n">
        <v>8.4</v>
      </c>
      <c r="T265" s="2" t="n">
        <v>18</v>
      </c>
      <c r="U265" s="2" t="inlineStr">
        <is>
          <t>low</t>
        </is>
      </c>
      <c r="V265" s="5" t="n">
        <v>1.5</v>
      </c>
      <c r="W265" s="2" t="inlineStr">
        <is>
          <t>low</t>
        </is>
      </c>
      <c r="X265" s="3" t="inlineStr"/>
      <c r="Y265" s="3" t="inlineStr">
        <is>
          <t>20% of this dish's available carbohydrate comes from ingredients with a published, measured GI; the rest uses conventional placeholders (see Ingredients sheet)</t>
        </is>
      </c>
      <c r="Z265" s="2" t="n">
        <v>20</v>
      </c>
      <c r="AA265" s="3" t="inlineStr">
        <is>
          <t>gluten-free, dairy-free, nut-free, low-carb, high-protein</t>
        </is>
      </c>
      <c r="AB265" s="3" t="inlineStr">
        <is>
          <t>1. Sauté onion, carrot, celery in oil; add garlic and thyme.
2. Add broth and chicken; simmer 20 minutes; shred chicken.
3. Add zoodles for 2 minutes; finish with parsley and lemon.</t>
        </is>
      </c>
      <c r="AC265" s="4" t="inlineStr">
        <is>
          <t>["Sauté onion, carrot, celery in oil; add garlic and thyme.", "Add broth and chicken; simmer 20 minutes; shred chicken.", "Add zoodles for 2 minutes; finish with parsley and lemon."]</t>
        </is>
      </c>
    </row>
    <row r="266" ht="96" customHeight="1">
      <c r="A266" s="2" t="inlineStr">
        <is>
          <t>DB-0265</t>
        </is>
      </c>
      <c r="B266" s="3" t="inlineStr">
        <is>
          <t>Moroccan Chickpea Stew</t>
        </is>
      </c>
      <c r="C266" s="4" t="inlineStr">
        <is>
          <t>Soup &amp; Stew</t>
        </is>
      </c>
      <c r="D266" s="4" t="inlineStr">
        <is>
          <t>Moroccan</t>
        </is>
      </c>
      <c r="E266" s="2" t="n">
        <v>4</v>
      </c>
      <c r="F266" s="2" t="n">
        <v>15</v>
      </c>
      <c r="G266" s="2" t="n">
        <v>35</v>
      </c>
      <c r="H266" s="2" t="n">
        <v>50</v>
      </c>
      <c r="I266" s="4" t="inlineStr">
        <is>
          <t>moroccan-chickpea-stew.jpg</t>
        </is>
      </c>
      <c r="J266" s="3" t="inlineStr">
        <is>
          <t>Moroccan Chickpea Stew, healthy food photography, plated, natural light</t>
        </is>
      </c>
      <c r="K266" s="4" t="inlineStr"/>
      <c r="L266" s="3" t="inlineStr">
        <is>
          <t>Chickpeas, cooked — 500 g (17.6 oz)
Diced tomatoes, canned — 400 g (14.1 oz)
Vegetable broth, low sodium — 600 g (21.2 oz)
Yellow onion — 120 g (4.2 oz)
Carrot — 120 g (4.2 oz)
Zucchini — 200 g (7.1 oz)
Garlic — 8 g (0.3 oz)
Ground cumin — 4 g (0.1 oz)
Ground coriander — 3 g (0.1 oz)
Ground cinnamon — 2 g (0.1 oz)
Smoked paprika — 2 g (0.1 oz)
Harissa paste — 15 g (0.5 oz)
Extra-virgin olive oil — 15 g (0.5 oz)
Fresh cilantro — 10 g (0.4 oz)
Lemon juice — 15 g (0.5 oz)
Salt — 3 g (0.1 oz)</t>
        </is>
      </c>
      <c r="M266" s="4" t="inlineStr">
        <is>
          <t>[{"ingredient_id": "chickpeas", "name": "Chickpeas, cooked", "grams": 500.0, "note": ""}, {"ingredient_id": "diced_tomatoes", "name": "Diced tomatoes, canned", "grams": 400.0, "note": ""}, {"ingredient_id": "vegetable_broth", "name": "Vegetable broth, low sodium", "grams": 600.0, "note": ""}, {"ingredient_id": "onion", "name": "Yellow onion", "grams": 120.0, "note": ""}, {"ingredient_id": "carrot", "name": "Carrot", "grams": 120.0, "note": ""}, {"ingredient_id": "zucchini", "name": "Zucchini", "grams": 200.0, "note": ""}, {"ingredient_id": "garlic", "name": "Garlic", "grams": 8.0, "note": ""}, {"ingredient_id": "cumin", "name": "Ground cumin", "grams": 4.0, "note": ""}, {"ingredient_id": "coriander", "name": "Ground coriander", "grams": 3.0, "note": ""}, {"ingredient_id": "cinnamon", "name": "Ground cinnamon", "grams": 2.0, "note": ""}, {"ingredient_id": "smoked_paprika", "name": "Smoked paprika", "grams": 2.0, "note": ""}, {"ingredient_id": "harissa", "name": "Harissa paste", "grams": 15.0, "note": ""}, {"ingredient_id": "olive_oil", "name": "Extra-virgin olive oil", "grams": 15.0, "note": ""}, {"ingredient_id": "cilantro", "name": "Fresh cilantro", "grams": 10.0, "note": ""}, {"ingredient_id": "lemon_juice", "name": "Lemon juice", "grams": 15.0, "note": ""}, {"ingredient_id": "salt", "name": "Salt", "grams": 3.0, "note": ""}]</t>
        </is>
      </c>
      <c r="N266" s="2" t="n">
        <v>323</v>
      </c>
      <c r="O266" s="5" t="n">
        <v>14.9</v>
      </c>
      <c r="P266" s="5" t="n">
        <v>8.300000000000001</v>
      </c>
      <c r="Q266" s="5" t="n">
        <v>51.1</v>
      </c>
      <c r="R266" s="5" t="n">
        <v>13.9</v>
      </c>
      <c r="S266" s="5" t="n">
        <v>37.2</v>
      </c>
      <c r="T266" s="2" t="n">
        <v>33</v>
      </c>
      <c r="U266" s="2" t="inlineStr">
        <is>
          <t>low</t>
        </is>
      </c>
      <c r="V266" s="5" t="n">
        <v>12.3</v>
      </c>
      <c r="W266" s="2" t="inlineStr">
        <is>
          <t>medium</t>
        </is>
      </c>
      <c r="X266" s="3" t="inlineStr"/>
      <c r="Y266" s="3" t="inlineStr">
        <is>
          <t>71% of this dish's available carbohydrate comes from ingredients with a published, measured GI; the rest uses conventional placeholders (see Ingredients sheet)</t>
        </is>
      </c>
      <c r="Z266" s="2" t="n">
        <v>71</v>
      </c>
      <c r="AA266" s="3" t="inlineStr">
        <is>
          <t>vegan, gluten-free, dairy-free, nut-free, high-fiber, make-ahead</t>
        </is>
      </c>
      <c r="AB266" s="3" t="inlineStr">
        <is>
          <t>1. Sauté onion and carrot in oil 6 minutes; add garlic and spices 1 minute.
2. Add tomatoes, broth, chickpeas and harissa; simmer 20 minutes.
3. Add zucchini for 8 minutes; finish with lemon and cilantro.</t>
        </is>
      </c>
      <c r="AC266" s="4" t="inlineStr">
        <is>
          <t>["Sauté onion and carrot in oil 6 minutes; add garlic and spices 1 minute.", "Add tomatoes, broth, chickpeas and harissa; simmer 20 minutes.", "Add zucchini for 8 minutes; finish with lemon and cilantro."]</t>
        </is>
      </c>
    </row>
    <row r="267" ht="96" customHeight="1">
      <c r="A267" s="2" t="inlineStr">
        <is>
          <t>DB-0266</t>
        </is>
      </c>
      <c r="B267" s="3" t="inlineStr">
        <is>
          <t>Hearty Beef Stew with Root Vegetables</t>
        </is>
      </c>
      <c r="C267" s="4" t="inlineStr">
        <is>
          <t>Soup &amp; Stew</t>
        </is>
      </c>
      <c r="D267" s="4" t="inlineStr">
        <is>
          <t>American</t>
        </is>
      </c>
      <c r="E267" s="2" t="n">
        <v>6</v>
      </c>
      <c r="F267" s="2" t="n">
        <v>20</v>
      </c>
      <c r="G267" s="2" t="n">
        <v>120</v>
      </c>
      <c r="H267" s="2" t="n">
        <v>140</v>
      </c>
      <c r="I267" s="4" t="inlineStr">
        <is>
          <t>hearty-beef-stew-with-root-vegetables.jpg</t>
        </is>
      </c>
      <c r="J267" s="3" t="inlineStr">
        <is>
          <t>Hearty Beef Stew with Root Vegetables, healthy food photography, plated, natural light</t>
        </is>
      </c>
      <c r="K267" s="4" t="inlineStr"/>
      <c r="L267" s="3" t="inlineStr">
        <is>
          <t>Beef chuck roast, trimmed — 800 g (28.2 oz)
Beef broth, low sodium — 1000 g (35.3 oz)
Yellow onion — 150 g (5.3 oz)
Carrot — 250 g (8.8 oz)
Turnip (GI of swede/rutabaga, closest tested) — 250 g (8.8 oz)
Mushrooms (cremini/white) — 250 g (8.8 oz)
Celery — 100 g (3.5 oz)
Tomato paste — 40 g (1.4 oz)
Garlic — 10 g (0.4 oz)
Dry red wine (cooking) — 120 g (4.2 oz)
Fresh thyme — 3 g (0.1 oz)
Bay leaves — 1 g (0.0 oz)
Extra-virgin olive oil — 20 g (0.7 oz)
Salt — 4 g (0.1 oz)</t>
        </is>
      </c>
      <c r="M267" s="4" t="inlineStr">
        <is>
          <t>[{"ingredient_id": "beef_chuck", "name": "Beef chuck roast, trimmed", "grams": 800.0, "note": ""}, {"ingredient_id": "beef_broth", "name": "Beef broth, low sodium", "grams": 1000.0, "note": ""}, {"ingredient_id": "onion", "name": "Yellow onion", "grams": 150.0, "note": ""}, {"ingredient_id": "carrot", "name": "Carrot", "grams": 250.0, "note": ""}, {"ingredient_id": "turnip", "name": "Turnip (GI of swede/rutabaga, closest tested)", "grams": 250.0, "note": ""}, {"ingredient_id": "mushrooms", "name": "Mushrooms (cremini/white)", "grams": 250.0, "note": ""}, {"ingredient_id": "celery", "name": "Celery", "grams": 100.0, "note": ""}, {"ingredient_id": "tomato_paste", "name": "Tomato paste", "grams": 40.0, "note": ""}, {"ingredient_id": "garlic", "name": "Garlic", "grams": 10.0, "note": ""}, {"ingredient_id": "red_wine", "name": "Dry red wine (cooking)", "grams": 120.0, "note": ""}, {"ingredient_id": "thyme", "name": "Fresh thyme", "grams": 3.0, "note": ""}, {"ingredient_id": "bay_leaf", "name": "Bay leaves", "grams": 1.0, "note": ""}, {"ingredient_id": "olive_oil", "name": "Extra-virgin olive oil", "grams": 20.0, "note": ""}, {"ingredient_id": "salt", "name": "Salt", "grams": 4.0, "note": ""}]</t>
        </is>
      </c>
      <c r="N267" s="2" t="n">
        <v>358</v>
      </c>
      <c r="O267" s="5" t="n">
        <v>31.7</v>
      </c>
      <c r="P267" s="5" t="n">
        <v>18.7</v>
      </c>
      <c r="Q267" s="5" t="n">
        <v>14.1</v>
      </c>
      <c r="R267" s="5" t="n">
        <v>3.4</v>
      </c>
      <c r="S267" s="5" t="n">
        <v>10.7</v>
      </c>
      <c r="T267" s="2" t="n">
        <v>33</v>
      </c>
      <c r="U267" s="2" t="inlineStr">
        <is>
          <t>low</t>
        </is>
      </c>
      <c r="V267" s="5" t="n">
        <v>3.5</v>
      </c>
      <c r="W267" s="2" t="inlineStr">
        <is>
          <t>low</t>
        </is>
      </c>
      <c r="X267" s="3" t="inlineStr"/>
      <c r="Y267" s="3" t="inlineStr">
        <is>
          <t>44% of this dish's available carbohydrate comes from ingredients with a published, measured GI; the rest uses conventional placeholders (see Ingredients sheet)</t>
        </is>
      </c>
      <c r="Z267" s="2" t="n">
        <v>44</v>
      </c>
      <c r="AA267" s="3" t="inlineStr">
        <is>
          <t>gluten-free, dairy-free, nut-free, low-carb, high-protein, make-ahead, freezer</t>
        </is>
      </c>
      <c r="AB267" s="3" t="inlineStr">
        <is>
          <t>1. Brown beef cubes in oil in batches; remove.
2. Sauté onion, celery, mushrooms; add tomato paste, garlic, wine and reduce 2 minutes.
3. Return beef with broth, thyme, bay leaf; simmer covered 90 minutes. Add carrot and turnip; cook 30 minutes more.</t>
        </is>
      </c>
      <c r="AC267" s="4" t="inlineStr">
        <is>
          <t>["Brown beef cubes in oil in batches; remove.", "Sauté onion, celery, mushrooms; add tomato paste, garlic, wine and reduce 2 minutes.", "Return beef with broth, thyme, bay leaf; simmer covered 90 minutes. Add carrot and turnip; cook 30 minutes more."]</t>
        </is>
      </c>
    </row>
    <row r="268" ht="96" customHeight="1">
      <c r="A268" s="2" t="inlineStr">
        <is>
          <t>DB-0267</t>
        </is>
      </c>
      <c r="B268" s="3" t="inlineStr">
        <is>
          <t>Gazpacho</t>
        </is>
      </c>
      <c r="C268" s="4" t="inlineStr">
        <is>
          <t>Soup &amp; Stew</t>
        </is>
      </c>
      <c r="D268" s="4" t="inlineStr">
        <is>
          <t>Spanish</t>
        </is>
      </c>
      <c r="E268" s="2" t="n">
        <v>4</v>
      </c>
      <c r="F268" s="2" t="n">
        <v>15</v>
      </c>
      <c r="G268" s="2" t="n">
        <v>0</v>
      </c>
      <c r="H268" s="2" t="n">
        <v>15</v>
      </c>
      <c r="I268" s="4" t="inlineStr">
        <is>
          <t>gazpacho.jpg</t>
        </is>
      </c>
      <c r="J268" s="3" t="inlineStr">
        <is>
          <t>Gazpacho, healthy food photography, plated, natural light</t>
        </is>
      </c>
      <c r="K268" s="4" t="inlineStr"/>
      <c r="L268" s="3" t="inlineStr">
        <is>
          <t>Tomato — 800 g (28.2 oz)
Cucumber — 200 g (7.1 oz)
Bell pepper — 150 g (5.3 oz)
Red onion — 50 g (1.8 oz)
Garlic — 5 g (0.2 oz)
Extra-virgin olive oil — 30 g (1.1 oz)
Red wine vinegar — 20 g (0.7 oz)
Salt — 3 g (0.1 oz)
Ground cumin — 1 g (0.0 oz)</t>
        </is>
      </c>
      <c r="M268" s="4" t="inlineStr">
        <is>
          <t>[{"ingredient_id": "tomato", "name": "Tomato", "grams": 800.0, "note": ""}, {"ingredient_id": "cucumber", "name": "Cucumber", "grams": 200.0, "note": ""}, {"ingredient_id": "bell_pepper", "name": "Bell pepper", "grams": 150.0, "note": ""}, {"ingredient_id": "red_onion", "name": "Red onion", "grams": 50.0, "note": ""}, {"ingredient_id": "garlic", "name": "Garlic", "grams": 5.0, "note": ""}, {"ingredient_id": "olive_oil", "name": "Extra-virgin olive oil", "grams": 30.0, "note": ""}, {"ingredient_id": "red_wine_vinegar", "name": "Red wine vinegar", "grams": 20.0, "note": ""}, {"ingredient_id": "salt", "name": "Salt", "grams": 3.0, "note": ""}, {"ingredient_id": "cumin", "name": "Ground cumin", "grams": 1.0, "note": ""}]</t>
        </is>
      </c>
      <c r="N268" s="2" t="n">
        <v>130</v>
      </c>
      <c r="O268" s="5" t="n">
        <v>2.8</v>
      </c>
      <c r="P268" s="5" t="n">
        <v>8.1</v>
      </c>
      <c r="Q268" s="5" t="n">
        <v>13.5</v>
      </c>
      <c r="R268" s="5" t="n">
        <v>3.7</v>
      </c>
      <c r="S268" s="5" t="n">
        <v>9.800000000000001</v>
      </c>
      <c r="T268" s="2" t="n">
        <v>16</v>
      </c>
      <c r="U268" s="2" t="inlineStr">
        <is>
          <t>low</t>
        </is>
      </c>
      <c r="V268" s="5" t="n">
        <v>1.6</v>
      </c>
      <c r="W268" s="2" t="inlineStr">
        <is>
          <t>low</t>
        </is>
      </c>
      <c r="X268" s="3" t="inlineStr"/>
      <c r="Y268" s="3" t="inlineStr">
        <is>
          <t>0% of this dish's available carbohydrate comes from ingredients with a published, measured GI; the rest uses conventional placeholders (see Ingredients sheet)</t>
        </is>
      </c>
      <c r="Z268" s="2" t="n">
        <v>0</v>
      </c>
      <c r="AA268" s="3" t="inlineStr">
        <is>
          <t>vegan, gluten-free, dairy-free, nut-free, low-carb, no-cook, make-ahead</t>
        </is>
      </c>
      <c r="AB268" s="3" t="inlineStr">
        <is>
          <t>1. Roughly chop vegetables.
2. Blend with garlic, oil, vinegar, salt and cumin until smooth.
3. Chill 2 hours; serve cold.</t>
        </is>
      </c>
      <c r="AC268" s="4" t="inlineStr">
        <is>
          <t>["Roughly chop vegetables.", "Blend with garlic, oil, vinegar, salt and cumin until smooth.", "Chill 2 hours; serve cold."]</t>
        </is>
      </c>
    </row>
    <row r="269" ht="96" customHeight="1">
      <c r="A269" s="2" t="inlineStr">
        <is>
          <t>DB-0268</t>
        </is>
      </c>
      <c r="B269" s="3" t="inlineStr">
        <is>
          <t>Chicken &amp; White Bean Chili</t>
        </is>
      </c>
      <c r="C269" s="4" t="inlineStr">
        <is>
          <t>Soup &amp; Stew</t>
        </is>
      </c>
      <c r="D269" s="4" t="inlineStr">
        <is>
          <t>American</t>
        </is>
      </c>
      <c r="E269" s="2" t="n">
        <v>6</v>
      </c>
      <c r="F269" s="2" t="n">
        <v>15</v>
      </c>
      <c r="G269" s="2" t="n">
        <v>40</v>
      </c>
      <c r="H269" s="2" t="n">
        <v>55</v>
      </c>
      <c r="I269" s="4" t="inlineStr">
        <is>
          <t>chicken-and-white-bean-chili.jpg</t>
        </is>
      </c>
      <c r="J269" s="3" t="inlineStr">
        <is>
          <t>Chicken &amp; White Bean Chili, healthy food photography, plated, natural light</t>
        </is>
      </c>
      <c r="K269" s="4" t="inlineStr"/>
      <c r="L269" s="3" t="inlineStr">
        <is>
          <t>Chicken breast, skinless — 600 g (21.2 oz)
Cannellini beans, cooked — 500 g (17.6 oz)
Chicken broth, low sodium — 1000 g (35.3 oz)
Diced green chiles, canned — 120 g (4.2 oz)
Yellow onion — 150 g (5.3 oz)
Garlic — 10 g (0.4 oz)
Ground cumin — 5 g (0.2 oz)
Dried oregano — 2 g (0.1 oz)
Ground coriander — 2 g (0.1 oz)
Extra-virgin olive oil — 15 g (0.5 oz)
Greek yogurt, plain 2% — 100 g (3.5 oz)
Fresh cilantro — 10 g (0.4 oz)
Lime juice — 20 g (0.7 oz)
Salt — 4 g (0.1 oz)</t>
        </is>
      </c>
      <c r="M269" s="4" t="inlineStr">
        <is>
          <t>[{"ingredient_id": "chicken_breast", "name": "Chicken breast, skinless", "grams": 600.0, "note": ""}, {"ingredient_id": "white_beans", "name": "Cannellini beans, cooked", "grams": 500.0, "note": ""}, {"ingredient_id": "chicken_broth", "name": "Chicken broth, low sodium", "grams": 1000.0, "note": ""}, {"ingredient_id": "green_chiles", "name": "Diced green chiles, canned", "grams": 120.0, "note": ""}, {"ingredient_id": "onion", "name": "Yellow onion", "grams": 150.0, "note": ""}, {"ingredient_id": "garlic", "name": "Garlic", "grams": 10.0, "note": ""}, {"ingredient_id": "cumin", "name": "Ground cumin", "grams": 5.0, "note": ""}, {"ingredient_id": "oregano", "name": "Dried oregano", "grams": 2.0, "note": ""}, {"ingredient_id": "coriander", "name": "Ground coriander", "grams": 2.0, "note": ""}, {"ingredient_id": "olive_oil", "name": "Extra-virgin olive oil", "grams": 15.0, "note": ""}, {"ingredient_id": "greek_yogurt", "name": "Greek yogurt, plain 2%", "grams": 100.0, "note": ""}, {"ingredient_id": "cilantro", "name": "Fresh cilantro", "grams": 10.0, "note": ""}, {"ingredient_id": "lime_juice", "name": "Lime juice", "grams": 20.0, "note": ""}, {"ingredient_id": "salt", "name": "Salt", "grams": 4.0, "note": ""}]</t>
        </is>
      </c>
      <c r="N269" s="2" t="n">
        <v>304</v>
      </c>
      <c r="O269" s="5" t="n">
        <v>34.7</v>
      </c>
      <c r="P269" s="5" t="n">
        <v>6.4</v>
      </c>
      <c r="Q269" s="5" t="n">
        <v>27.2</v>
      </c>
      <c r="R269" s="5" t="n">
        <v>6.4</v>
      </c>
      <c r="S269" s="5" t="n">
        <v>20.8</v>
      </c>
      <c r="T269" s="2" t="n">
        <v>27</v>
      </c>
      <c r="U269" s="2" t="inlineStr">
        <is>
          <t>low</t>
        </is>
      </c>
      <c r="V269" s="5" t="n">
        <v>5.6</v>
      </c>
      <c r="W269" s="2" t="inlineStr">
        <is>
          <t>low</t>
        </is>
      </c>
      <c r="X269" s="3" t="inlineStr"/>
      <c r="Y269" s="3" t="inlineStr">
        <is>
          <t>78% of this dish's available carbohydrate comes from ingredients with a published, measured GI; the rest uses conventional placeholders (see Ingredients sheet)</t>
        </is>
      </c>
      <c r="Z269" s="2" t="n">
        <v>78</v>
      </c>
      <c r="AA269" s="3" t="inlineStr">
        <is>
          <t>gluten-free, nut-free, high-protein, make-ahead</t>
        </is>
      </c>
      <c r="AB269" s="3" t="inlineStr">
        <is>
          <t>1. Sauté onion and garlic with spices in oil 5 minutes.
2. Add broth, chicken, beans and chiles; simmer 25 minutes; shred chicken.
3. Mash a few beans to thicken; stir in yogurt, lime, cilantro and salt.</t>
        </is>
      </c>
      <c r="AC269" s="4" t="inlineStr">
        <is>
          <t>["Sauté onion and garlic with spices in oil 5 minutes.", "Add broth, chicken, beans and chiles; simmer 25 minutes; shred chicken.", "Mash a few beans to thicken; stir in yogurt, lime, cilantro and salt."]</t>
        </is>
      </c>
    </row>
    <row r="270" ht="96" customHeight="1">
      <c r="A270" s="2" t="inlineStr">
        <is>
          <t>DB-0269</t>
        </is>
      </c>
      <c r="B270" s="3" t="inlineStr">
        <is>
          <t>Miso Soup with Tofu &amp; Wakame</t>
        </is>
      </c>
      <c r="C270" s="4" t="inlineStr">
        <is>
          <t>Soup &amp; Stew</t>
        </is>
      </c>
      <c r="D270" s="4" t="inlineStr">
        <is>
          <t>Japanese</t>
        </is>
      </c>
      <c r="E270" s="2" t="n">
        <v>2</v>
      </c>
      <c r="F270" s="2" t="n">
        <v>5</v>
      </c>
      <c r="G270" s="2" t="n">
        <v>8</v>
      </c>
      <c r="H270" s="2" t="n">
        <v>13</v>
      </c>
      <c r="I270" s="4" t="inlineStr">
        <is>
          <t>miso-soup-with-tofu-and-wakame.jpg</t>
        </is>
      </c>
      <c r="J270" s="3" t="inlineStr">
        <is>
          <t>Miso Soup with Tofu &amp; Wakame, healthy food photography, plated, natural light</t>
        </is>
      </c>
      <c r="K270" s="4" t="inlineStr"/>
      <c r="L270" s="3" t="inlineStr">
        <is>
          <t>Vegetable broth, low sodium — 600 g (21.2 oz)
White miso paste — 30 g (1.1 oz)
Tofu, extra-firm — 150 g (5.3 oz)
Wakame seaweed, rehydrated — 30 g (1.1 oz)
Green onions (scallions) — 15 g (0.5 oz)
Shiitake mushrooms — 50 g (1.8 oz)</t>
        </is>
      </c>
      <c r="M270" s="4" t="inlineStr">
        <is>
          <t>[{"ingredient_id": "vegetable_broth", "name": "Vegetable broth, low sodium", "grams": 600.0, "note": ""}, {"ingredient_id": "miso", "name": "White miso paste", "grams": 30.0, "note": ""}, {"ingredient_id": "tofu", "name": "Tofu, extra-firm", "grams": 150.0, "note": ""}, {"ingredient_id": "seaweed_salad", "name": "Wakame seaweed, rehydrated", "grams": 30.0, "note": ""}, {"ingredient_id": "green_onion", "name": "Green onions (scallions)", "grams": 15.0, "note": ""}, {"ingredient_id": "shiitake", "name": "Shiitake mushrooms", "grams": 50.0, "note": ""}]</t>
        </is>
      </c>
      <c r="N270" s="2" t="n">
        <v>180</v>
      </c>
      <c r="O270" s="5" t="n">
        <v>17.2</v>
      </c>
      <c r="P270" s="5" t="n">
        <v>8.5</v>
      </c>
      <c r="Q270" s="5" t="n">
        <v>14.2</v>
      </c>
      <c r="R270" s="5" t="n">
        <v>3.1</v>
      </c>
      <c r="S270" s="5" t="n">
        <v>11.1</v>
      </c>
      <c r="T270" s="2" t="n">
        <v>13</v>
      </c>
      <c r="U270" s="2" t="inlineStr">
        <is>
          <t>low</t>
        </is>
      </c>
      <c r="V270" s="5" t="n">
        <v>1.4</v>
      </c>
      <c r="W270" s="2" t="inlineStr">
        <is>
          <t>low</t>
        </is>
      </c>
      <c r="X270" s="3" t="inlineStr"/>
      <c r="Y270" s="3" t="inlineStr">
        <is>
          <t>0% of this dish's available carbohydrate comes from ingredients with a published, measured GI; the rest uses conventional placeholders (see Ingredients sheet)</t>
        </is>
      </c>
      <c r="Z270" s="2" t="n">
        <v>0</v>
      </c>
      <c r="AA270" s="3" t="inlineStr">
        <is>
          <t>vegan, dairy-free, nut-free, low-carb, quick</t>
        </is>
      </c>
      <c r="AB270" s="3" t="inlineStr">
        <is>
          <t>1. Simmer broth with sliced shiitake 5 minutes; add tofu and wakame.
2. Remove from heat; whisk miso with a little broth and stir in.
3. Top with green onion.</t>
        </is>
      </c>
      <c r="AC270" s="4" t="inlineStr">
        <is>
          <t>["Simmer broth with sliced shiitake 5 minutes; add tofu and wakame.", "Remove from heat; whisk miso with a little broth and stir in.", "Top with green onion."]</t>
        </is>
      </c>
    </row>
    <row r="271" ht="96" customHeight="1">
      <c r="A271" s="2" t="inlineStr">
        <is>
          <t>DB-0270</t>
        </is>
      </c>
      <c r="B271" s="3" t="inlineStr">
        <is>
          <t>Roasted Tomato Basil Soup</t>
        </is>
      </c>
      <c r="C271" s="4" t="inlineStr">
        <is>
          <t>Soup &amp; Stew</t>
        </is>
      </c>
      <c r="D271" s="4" t="inlineStr">
        <is>
          <t>American</t>
        </is>
      </c>
      <c r="E271" s="2" t="n">
        <v>4</v>
      </c>
      <c r="F271" s="2" t="n">
        <v>10</v>
      </c>
      <c r="G271" s="2" t="n">
        <v>45</v>
      </c>
      <c r="H271" s="2" t="n">
        <v>55</v>
      </c>
      <c r="I271" s="4" t="inlineStr">
        <is>
          <t>roasted-tomato-basil-soup.jpg</t>
        </is>
      </c>
      <c r="J271" s="3" t="inlineStr">
        <is>
          <t>Roasted Tomato Basil Soup, healthy food photography, plated, natural light</t>
        </is>
      </c>
      <c r="K271" s="4" t="inlineStr"/>
      <c r="L271" s="3" t="inlineStr">
        <is>
          <t>Tomato — 1000 g (35.3 oz)
Yellow onion — 120 g (4.2 oz)
Garlic — 10 g (0.4 oz)
Extra-virgin olive oil — 25 g (0.9 oz)
Vegetable broth, low sodium — 500 g (17.6 oz)
Fresh basil — 20 g (0.7 oz)
Cannellini beans, cooked — 200 g (7.1 oz)
Salt — 3 g (0.1 oz)
Black pepper — 1 g (0.0 oz)</t>
        </is>
      </c>
      <c r="M271" s="4" t="inlineStr">
        <is>
          <t>[{"ingredient_id": "tomato", "name": "Tomato", "grams": 1000.0, "note": ""}, {"ingredient_id": "onion", "name": "Yellow onion", "grams": 120.0, "note": ""}, {"ingredient_id": "garlic", "name": "Garlic", "grams": 10.0, "note": ""}, {"ingredient_id": "olive_oil", "name": "Extra-virgin olive oil", "grams": 25.0, "note": ""}, {"ingredient_id": "vegetable_broth", "name": "Vegetable broth, low sodium", "grams": 500.0, "note": ""}, {"ingredient_id": "basil", "name": "Fresh basil", "grams": 20.0, "note": ""}, {"ingredient_id": "white_beans", "name": "Cannellini beans, cooked", "grams": 200.0, "note": ""}, {"ingredient_id": "salt", "name": "Salt", "grams": 3.0, "note": ""}, {"ingredient_id": "black_pepper", "name": "Black pepper", "grams": 1.0, "note": ""}]</t>
        </is>
      </c>
      <c r="N271" s="2" t="n">
        <v>197</v>
      </c>
      <c r="O271" s="5" t="n">
        <v>8.4</v>
      </c>
      <c r="P271" s="5" t="n">
        <v>7.3</v>
      </c>
      <c r="Q271" s="5" t="n">
        <v>28</v>
      </c>
      <c r="R271" s="5" t="n">
        <v>6.9</v>
      </c>
      <c r="S271" s="5" t="n">
        <v>21.2</v>
      </c>
      <c r="T271" s="2" t="n">
        <v>21</v>
      </c>
      <c r="U271" s="2" t="inlineStr">
        <is>
          <t>low</t>
        </is>
      </c>
      <c r="V271" s="5" t="n">
        <v>4.4</v>
      </c>
      <c r="W271" s="2" t="inlineStr">
        <is>
          <t>low</t>
        </is>
      </c>
      <c r="X271" s="3" t="inlineStr"/>
      <c r="Y271" s="3" t="inlineStr">
        <is>
          <t>44% of this dish's available carbohydrate comes from ingredients with a published, measured GI; the rest uses conventional placeholders (see Ingredients sheet)</t>
        </is>
      </c>
      <c r="Z271" s="2" t="n">
        <v>44</v>
      </c>
      <c r="AA271" s="3" t="inlineStr">
        <is>
          <t>vegan, gluten-free, dairy-free, nut-free, make-ahead</t>
        </is>
      </c>
      <c r="AB271" s="3" t="inlineStr">
        <is>
          <t>1. Roast halved tomatoes, onion and garlic with oil at 400°F for 35 minutes.
2. Blend with broth, white beans (for body and protein) and basil.
3. Simmer 5 minutes; season.</t>
        </is>
      </c>
      <c r="AC271" s="4" t="inlineStr">
        <is>
          <t>["Roast halved tomatoes, onion and garlic with oil at 400°F for 35 minutes.", "Blend with broth, white beans (for body and protein) and basil.", "Simmer 5 minutes; season."]</t>
        </is>
      </c>
    </row>
    <row r="272" ht="96" customHeight="1">
      <c r="A272" s="2" t="inlineStr">
        <is>
          <t>DB-0271</t>
        </is>
      </c>
      <c r="B272" s="3" t="inlineStr">
        <is>
          <t>Shrimp &amp; Sausage Gumbo (Light Roux-Free)</t>
        </is>
      </c>
      <c r="C272" s="4" t="inlineStr">
        <is>
          <t>Soup &amp; Stew</t>
        </is>
      </c>
      <c r="D272" s="4" t="inlineStr">
        <is>
          <t>Cajun</t>
        </is>
      </c>
      <c r="E272" s="2" t="n">
        <v>5</v>
      </c>
      <c r="F272" s="2" t="n">
        <v>20</v>
      </c>
      <c r="G272" s="2" t="n">
        <v>45</v>
      </c>
      <c r="H272" s="2" t="n">
        <v>65</v>
      </c>
      <c r="I272" s="4" t="inlineStr">
        <is>
          <t>shrimp-and-sausage-gumbo-light-roux-free.jpg</t>
        </is>
      </c>
      <c r="J272" s="3" t="inlineStr">
        <is>
          <t>Shrimp &amp; Sausage Gumbo (Light Roux-Free), healthy food photography, plated, natural light</t>
        </is>
      </c>
      <c r="K272" s="4" t="inlineStr"/>
      <c r="L272" s="3" t="inlineStr">
        <is>
          <t>Shrimp, peeled — 400 g (14.1 oz)
Chicken sausage — 250 g (8.8 oz)
Okra — 250 g (8.8 oz)
Bell pepper — 150 g (5.3 oz)
Celery — 120 g (4.2 oz)
Yellow onion — 150 g (5.3 oz)
Garlic — 8 g (0.3 oz)
Diced tomatoes, canned — 400 g (14.1 oz)
Chicken broth, low sodium — 1000 g (35.3 oz)
Cajun seasoning — 8 g (0.3 oz)
Bay leaves — 1 g (0.0 oz)
Extra-virgin olive oil — 15 g (0.5 oz)
Cauliflower rice — 400 g (14.1 oz)
Green onions (scallions) — 20 g (0.7 oz)</t>
        </is>
      </c>
      <c r="M272" s="4" t="inlineStr">
        <is>
          <t>[{"ingredient_id": "shrimp", "name": "Shrimp, peeled", "grams": 400.0, "note": ""}, {"ingredient_id": "chicken_sausage", "name": "Chicken sausage", "grams": 250.0, "note": ""}, {"ingredient_id": "okra", "name": "Okra", "grams": 250.0, "note": ""}, {"ingredient_id": "bell_pepper", "name": "Bell pepper", "grams": 150.0, "note": ""}, {"ingredient_id": "celery", "name": "Celery", "grams": 120.0, "note": ""}, {"ingredient_id": "onion", "name": "Yellow onion", "grams": 150.0, "note": ""}, {"ingredient_id": "garlic", "name": "Garlic", "grams": 8.0, "note": ""}, {"ingredient_id": "diced_tomatoes", "name": "Diced tomatoes, canned", "grams": 400.0, "note": ""}, {"ingredient_id": "chicken_broth", "name": "Chicken broth, low sodium", "grams": 1000.0, "note": ""}, {"ingredient_id": "cajun_seasoning", "name": "Cajun seasoning", "grams": 8.0, "note": ""}, {"ingredient_id": "bay_leaf", "name": "Bay leaves", "grams": 1.0, "note": ""}, {"ingredient_id": "olive_oil", "name": "Extra-virgin olive oil", "grams": 15.0, "note": ""}, {"ingredient_id": "cauliflower_rice", "name": "Cauliflower rice", "grams": 400.0, "note": ""}, {"ingredient_id": "green_onion", "name": "Green onions (scallions)", "grams": 20.0, "note": ""}]</t>
        </is>
      </c>
      <c r="N272" s="2" t="n">
        <v>283</v>
      </c>
      <c r="O272" s="5" t="n">
        <v>30.1</v>
      </c>
      <c r="P272" s="5" t="n">
        <v>10.1</v>
      </c>
      <c r="Q272" s="5" t="n">
        <v>20.9</v>
      </c>
      <c r="R272" s="5" t="n">
        <v>6.5</v>
      </c>
      <c r="S272" s="5" t="n">
        <v>14.4</v>
      </c>
      <c r="T272" s="2" t="n">
        <v>18</v>
      </c>
      <c r="U272" s="2" t="inlineStr">
        <is>
          <t>low</t>
        </is>
      </c>
      <c r="V272" s="5" t="n">
        <v>2.6</v>
      </c>
      <c r="W272" s="2" t="inlineStr">
        <is>
          <t>low</t>
        </is>
      </c>
      <c r="X272" s="3" t="inlineStr"/>
      <c r="Y272" s="3" t="inlineStr">
        <is>
          <t>0% of this dish's available carbohydrate comes from ingredients with a published, measured GI; the rest uses conventional placeholders (see Ingredients sheet)</t>
        </is>
      </c>
      <c r="Z272" s="2" t="n">
        <v>0</v>
      </c>
      <c r="AA272" s="3" t="inlineStr">
        <is>
          <t>gluten-free, dairy-free, nut-free, low-carb, high-protein</t>
        </is>
      </c>
      <c r="AB272" s="3" t="inlineStr">
        <is>
          <t>1. Brown sausage in oil; add onion, pepper, celery and cook 8 minutes; add garlic.
2. Add tomatoes, broth, okra, Cajun seasoning and bay leaf; simmer 25 minutes.
3. Add shrimp for 4 minutes; serve over sautéed cauliflower rice with green onion.</t>
        </is>
      </c>
      <c r="AC272" s="4" t="inlineStr">
        <is>
          <t>["Brown sausage in oil; add onion, pepper, celery and cook 8 minutes; add garlic.", "Add tomatoes, broth, okra, Cajun seasoning and bay leaf; simmer 25 minutes.", "Add shrimp for 4 minutes; serve over sautéed cauliflower rice with green onion."]</t>
        </is>
      </c>
    </row>
    <row r="273" ht="96" customHeight="1">
      <c r="A273" s="2" t="inlineStr">
        <is>
          <t>DB-0272</t>
        </is>
      </c>
      <c r="B273" s="3" t="inlineStr">
        <is>
          <t>Mushroom &amp; Wild Rice Soup</t>
        </is>
      </c>
      <c r="C273" s="4" t="inlineStr">
        <is>
          <t>Soup &amp; Stew</t>
        </is>
      </c>
      <c r="D273" s="4" t="inlineStr">
        <is>
          <t>American</t>
        </is>
      </c>
      <c r="E273" s="2" t="n">
        <v>4</v>
      </c>
      <c r="F273" s="2" t="n">
        <v>15</v>
      </c>
      <c r="G273" s="2" t="n">
        <v>35</v>
      </c>
      <c r="H273" s="2" t="n">
        <v>50</v>
      </c>
      <c r="I273" s="4" t="inlineStr">
        <is>
          <t>mushroom-and-wild-rice-soup.jpg</t>
        </is>
      </c>
      <c r="J273" s="3" t="inlineStr">
        <is>
          <t>Mushroom &amp; Wild Rice Soup, healthy food photography, plated, natural light</t>
        </is>
      </c>
      <c r="K273" s="4" t="inlineStr"/>
      <c r="L273" s="3" t="inlineStr">
        <is>
          <t>Mushrooms (cremini/white) — 400 g (14.1 oz)
Wild rice, cooked — 300 g (10.6 oz)
Yellow onion — 100 g (3.5 oz)
Carrot — 100 g (3.5 oz)
Celery — 100 g (3.5 oz)
Garlic — 8 g (0.3 oz)
Vegetable broth, low sodium — 1000 g (35.3 oz)
Milk, 2% — 150 g (5.3 oz)
Fresh thyme — 3 g (0.1 oz)
Extra-virgin olive oil — 15 g (0.5 oz)
Parmesan, grated — 30 g (1.1 oz)
Salt — 3 g (0.1 oz)</t>
        </is>
      </c>
      <c r="M273" s="4" t="inlineStr">
        <is>
          <t>[{"ingredient_id": "mushrooms", "name": "Mushrooms (cremini/white)", "grams": 400.0, "note": ""}, {"ingredient_id": "wild_rice", "name": "Wild rice, cooked", "grams": 300.0, "note": ""}, {"ingredient_id": "onion", "name": "Yellow onion", "grams": 100.0, "note": ""}, {"ingredient_id": "carrot", "name": "Carrot", "grams": 100.0, "note": ""}, {"ingredient_id": "celery", "name": "Celery", "grams": 100.0, "note": ""}, {"ingredient_id": "garlic", "name": "Garlic", "grams": 8.0, "note": ""}, {"ingredient_id": "vegetable_broth", "name": "Vegetable broth, low sodium", "grams": 1000.0, "note": ""}, {"ingredient_id": "milk", "name": "Milk, 2%", "grams": 150.0, "note": ""}, {"ingredient_id": "thyme", "name": "Fresh thyme", "grams": 3.0, "note": ""}, {"ingredient_id": "olive_oil", "name": "Extra-virgin olive oil", "grams": 15.0, "note": ""}, {"ingredient_id": "parmesan", "name": "Parmesan, grated", "grams": 30.0, "note": ""}, {"ingredient_id": "salt", "name": "Salt", "grams": 3.0, "note": ""}]</t>
        </is>
      </c>
      <c r="N273" s="2" t="n">
        <v>230</v>
      </c>
      <c r="O273" s="5" t="n">
        <v>12.3</v>
      </c>
      <c r="P273" s="5" t="n">
        <v>7.8</v>
      </c>
      <c r="Q273" s="5" t="n">
        <v>31.2</v>
      </c>
      <c r="R273" s="5" t="n">
        <v>4</v>
      </c>
      <c r="S273" s="5" t="n">
        <v>27.2</v>
      </c>
      <c r="T273" s="2" t="n">
        <v>38</v>
      </c>
      <c r="U273" s="2" t="inlineStr">
        <is>
          <t>low</t>
        </is>
      </c>
      <c r="V273" s="5" t="n">
        <v>10.3</v>
      </c>
      <c r="W273" s="2" t="inlineStr">
        <is>
          <t>medium</t>
        </is>
      </c>
      <c r="X273" s="3" t="inlineStr"/>
      <c r="Y273" s="3" t="inlineStr">
        <is>
          <t>13% of this dish's available carbohydrate comes from ingredients with a published, measured GI; the rest uses conventional placeholders (see Ingredients sheet)</t>
        </is>
      </c>
      <c r="Z273" s="2" t="n">
        <v>13</v>
      </c>
      <c r="AA273" s="3" t="inlineStr">
        <is>
          <t>vegetarian, gluten-free, nut-free</t>
        </is>
      </c>
      <c r="AB273" s="3" t="inlineStr">
        <is>
          <t>1. Sauté mushrooms in oil until browned; add onion, carrot, celery and garlic 5 minutes.
2. Add broth, thyme; simmer 15 minutes.
3. Stir in cooked wild rice and milk; heat; serve with parmesan.</t>
        </is>
      </c>
      <c r="AC273" s="4" t="inlineStr">
        <is>
          <t>["Sauté mushrooms in oil until browned; add onion, carrot, celery and garlic 5 minutes.", "Add broth, thyme; simmer 15 minutes.", "Stir in cooked wild rice and milk; heat; serve with parmesan."]</t>
        </is>
      </c>
    </row>
    <row r="274" ht="96" customHeight="1">
      <c r="A274" s="2" t="inlineStr">
        <is>
          <t>DB-0273</t>
        </is>
      </c>
      <c r="B274" s="3" t="inlineStr">
        <is>
          <t>Chicken Pho (Zoodle)</t>
        </is>
      </c>
      <c r="C274" s="4" t="inlineStr">
        <is>
          <t>Soup &amp; Stew</t>
        </is>
      </c>
      <c r="D274" s="4" t="inlineStr">
        <is>
          <t>Vietnamese</t>
        </is>
      </c>
      <c r="E274" s="2" t="n">
        <v>2</v>
      </c>
      <c r="F274" s="2" t="n">
        <v>15</v>
      </c>
      <c r="G274" s="2" t="n">
        <v>25</v>
      </c>
      <c r="H274" s="2" t="n">
        <v>40</v>
      </c>
      <c r="I274" s="4" t="inlineStr">
        <is>
          <t>chicken-pho-zoodle.jpg</t>
        </is>
      </c>
      <c r="J274" s="3" t="inlineStr">
        <is>
          <t>Chicken Pho (Zoodle), healthy food photography, plated, natural light</t>
        </is>
      </c>
      <c r="K274" s="4" t="inlineStr"/>
      <c r="L274" s="3" t="inlineStr">
        <is>
          <t>Chicken breast, skinless — 300 g (10.6 oz)
Chicken broth, low sodium — 1000 g (35.3 oz)
Fresh ginger — 15 g (0.5 oz)
Star anise — 2 g (0.1 oz)
Ground cinnamon — 1 g (0.0 oz)
Fish sauce — 15 g (0.5 oz)
Zucchini noodles (zoodles) — 300 g (10.6 oz)
Mung bean sprouts — 80 g (2.8 oz)
Fresh basil — 8 g (0.3 oz)
Fresh cilantro — 8 g (0.3 oz)
Lime — 30 g (1.1 oz)
Jalapeño — 10 g (0.4 oz)
Green onions (scallions) — 15 g (0.5 oz)</t>
        </is>
      </c>
      <c r="M274" s="4" t="inlineStr">
        <is>
          <t>[{"ingredient_id": "chicken_breast", "name": "Chicken breast, skinless", "grams": 300.0, "note": ""}, {"ingredient_id": "chicken_broth", "name": "Chicken broth, low sodium", "grams": 1000.0, "note": ""}, {"ingredient_id": "ginger", "name": "Fresh ginger", "grams": 15.0, "note": ""}, {"ingredient_id": "star_anise", "name": "Star anise", "grams": 2.0, "note": ""}, {"ingredient_id": "cinnamon", "name": "Ground cinnamon", "grams": 1.0, "note": ""}, {"ingredient_id": "fish_sauce", "name": "Fish sauce", "grams": 15.0, "note": ""}, {"ingredient_id": "zucchini_noodles", "name": "Zucchini noodles (zoodles)", "grams": 300.0, "note": ""}, {"ingredient_id": "bean_sprouts", "name": "Mung bean sprouts", "grams": 80.0, "note": ""}, {"ingredient_id": "basil", "name": "Fresh basil", "grams": 8.0, "note": ""}, {"ingredient_id": "cilantro", "name": "Fresh cilantro", "grams": 8.0, "note": ""}, {"ingredient_id": "lime", "name": "Lime", "grams": 30.0, "note": ""}, {"ingredient_id": "jalapeno", "name": "Jalapeño", "grams": 10.0, "note": ""}, {"ingredient_id": "green_onion", "name": "Green onions (scallions)", "grams": 15.0, "note": ""}]</t>
        </is>
      </c>
      <c r="N274" s="2" t="n">
        <v>276</v>
      </c>
      <c r="O274" s="5" t="n">
        <v>43</v>
      </c>
      <c r="P274" s="5" t="n">
        <v>5.8</v>
      </c>
      <c r="Q274" s="5" t="n">
        <v>14.8</v>
      </c>
      <c r="R274" s="5" t="n">
        <v>3.7</v>
      </c>
      <c r="S274" s="5" t="n">
        <v>11.1</v>
      </c>
      <c r="T274" s="2" t="n">
        <v>12</v>
      </c>
      <c r="U274" s="2" t="inlineStr">
        <is>
          <t>low</t>
        </is>
      </c>
      <c r="V274" s="5" t="n">
        <v>1.3</v>
      </c>
      <c r="W274" s="2" t="inlineStr">
        <is>
          <t>low</t>
        </is>
      </c>
      <c r="X274" s="3" t="inlineStr"/>
      <c r="Y274" s="3" t="inlineStr">
        <is>
          <t>0% of this dish's available carbohydrate comes from ingredients with a published, measured GI; the rest uses conventional placeholders (see Ingredients sheet)</t>
        </is>
      </c>
      <c r="Z274" s="2" t="n">
        <v>0</v>
      </c>
      <c r="AA274" s="3" t="inlineStr">
        <is>
          <t>gluten-free, dairy-free, nut-free, low-carb, high-protein</t>
        </is>
      </c>
      <c r="AB274" s="3" t="inlineStr">
        <is>
          <t>1. Simmer broth with ginger, star anise, cinnamon and fish sauce 15 minutes; poach chicken in it 10 minutes; slice.
2. Strain broth over zoodles in bowls.
3. Top with chicken, sprouts, herbs, lime, jalapeño and green onion.</t>
        </is>
      </c>
      <c r="AC274" s="4" t="inlineStr">
        <is>
          <t>["Simmer broth with ginger, star anise, cinnamon and fish sauce 15 minutes; poach chicken in it 10 minutes; slice.", "Strain broth over zoodles in bowls.", "Top with chicken, sprouts, herbs, lime, jalapeño and green onion."]</t>
        </is>
      </c>
    </row>
    <row r="275" ht="96" customHeight="1">
      <c r="A275" s="2" t="inlineStr">
        <is>
          <t>DB-0274</t>
        </is>
      </c>
      <c r="B275" s="3" t="inlineStr">
        <is>
          <t>Curried Butternut &amp; Lentil Soup</t>
        </is>
      </c>
      <c r="C275" s="4" t="inlineStr">
        <is>
          <t>Soup &amp; Stew</t>
        </is>
      </c>
      <c r="D275" s="4" t="inlineStr">
        <is>
          <t>Indian</t>
        </is>
      </c>
      <c r="E275" s="2" t="n">
        <v>4</v>
      </c>
      <c r="F275" s="2" t="n">
        <v>15</v>
      </c>
      <c r="G275" s="2" t="n">
        <v>35</v>
      </c>
      <c r="H275" s="2" t="n">
        <v>50</v>
      </c>
      <c r="I275" s="4" t="inlineStr">
        <is>
          <t>curried-butternut-and-lentil-soup.jpg</t>
        </is>
      </c>
      <c r="J275" s="3" t="inlineStr">
        <is>
          <t>Curried Butternut &amp; Lentil Soup, healthy food photography, plated, natural light</t>
        </is>
      </c>
      <c r="K275" s="4" t="inlineStr"/>
      <c r="L275" s="3" t="inlineStr">
        <is>
          <t>Butternut squash — 400 g (14.1 oz)
Red lentils, cooked — 400 g (14.1 oz) [from 130 g dry]
Yellow onion — 120 g (4.2 oz)
Garlic — 8 g (0.3 oz)
Fresh ginger — 10 g (0.4 oz)
Curry powder — 8 g (0.3 oz)
Vegetable broth, low sodium — 1000 g (35.3 oz)
Coconut milk, canned light — 200 g (7.1 oz)
Extra-virgin olive oil — 15 g (0.5 oz)
Lime juice — 15 g (0.5 oz)
Fresh cilantro — 8 g (0.3 oz)
Salt — 3 g (0.1 oz)</t>
        </is>
      </c>
      <c r="M275" s="4" t="inlineStr">
        <is>
          <t>[{"ingredient_id": "butternut_squash", "name": "Butternut squash", "grams": 400.0, "note": ""}, {"ingredient_id": "red_lentils", "name": "Red lentils, cooked", "grams": 400.0, "note": "from 130 g dry"}, {"ingredient_id": "onion", "name": "Yellow onion", "grams": 120.0, "note": ""}, {"ingredient_id": "garlic", "name": "Garlic", "grams": 8.0, "note": ""}, {"ingredient_id": "ginger", "name": "Fresh ginger", "grams": 10.0, "note": ""}, {"ingredient_id": "curry_powder", "name": "Curry powder", "grams": 8.0, "note": ""}, {"ingredient_id": "vegetable_broth", "name": "Vegetable broth, low sodium", "grams": 1000.0, "note": ""}, {"ingredient_id": "coconut_milk_light", "name": "Coconut milk, canned light", "grams": 200.0, "note": ""}, {"ingredient_id": "olive_oil", "name": "Extra-virgin olive oil", "grams": 15.0, "note": ""}, {"ingredient_id": "lime_juice", "name": "Lime juice", "grams": 15.0, "note": ""}, {"ingredient_id": "cilantro", "name": "Fresh cilantro", "grams": 8.0, "note": ""}, {"ingredient_id": "salt", "name": "Salt", "grams": 3.0, "note": ""}]</t>
        </is>
      </c>
      <c r="N275" s="2" t="n">
        <v>273</v>
      </c>
      <c r="O275" s="5" t="n">
        <v>12.4</v>
      </c>
      <c r="P275" s="5" t="n">
        <v>8.1</v>
      </c>
      <c r="Q275" s="5" t="n">
        <v>42.4</v>
      </c>
      <c r="R275" s="5" t="n">
        <v>9.699999999999999</v>
      </c>
      <c r="S275" s="5" t="n">
        <v>32.7</v>
      </c>
      <c r="T275" s="2" t="n">
        <v>28</v>
      </c>
      <c r="U275" s="2" t="inlineStr">
        <is>
          <t>low</t>
        </is>
      </c>
      <c r="V275" s="5" t="n">
        <v>9.199999999999999</v>
      </c>
      <c r="W275" s="2" t="inlineStr">
        <is>
          <t>low</t>
        </is>
      </c>
      <c r="X275" s="3" t="inlineStr"/>
      <c r="Y275" s="3" t="inlineStr">
        <is>
          <t>73% of this dish's available carbohydrate comes from ingredients with a published, measured GI; the rest uses conventional placeholders (see Ingredients sheet)</t>
        </is>
      </c>
      <c r="Z275" s="2" t="n">
        <v>73</v>
      </c>
      <c r="AA275" s="3" t="inlineStr">
        <is>
          <t>vegan, gluten-free, dairy-free, nut-free, high-fiber, make-ahead</t>
        </is>
      </c>
      <c r="AB275" s="3" t="inlineStr">
        <is>
          <t>1. Sauté onion, garlic, ginger and curry powder in oil 5 minutes.
2. Add squash, dry lentils and broth; simmer 25 minutes.
3. Blend, stir in coconut milk, lime and salt; garnish with cilantro.</t>
        </is>
      </c>
      <c r="AC275" s="4" t="inlineStr">
        <is>
          <t>["Sauté onion, garlic, ginger and curry powder in oil 5 minutes.", "Add squash, dry lentils and broth; simmer 25 minutes.", "Blend, stir in coconut milk, lime and salt; garnish with cilantro."]</t>
        </is>
      </c>
    </row>
    <row r="276" ht="96" customHeight="1">
      <c r="A276" s="2" t="inlineStr">
        <is>
          <t>DB-0275</t>
        </is>
      </c>
      <c r="B276" s="3" t="inlineStr">
        <is>
          <t>Turkey Meatball &amp; Vegetable Soup</t>
        </is>
      </c>
      <c r="C276" s="4" t="inlineStr">
        <is>
          <t>Soup &amp; Stew</t>
        </is>
      </c>
      <c r="D276" s="4" t="inlineStr">
        <is>
          <t>American</t>
        </is>
      </c>
      <c r="E276" s="2" t="n">
        <v>4</v>
      </c>
      <c r="F276" s="2" t="n">
        <v>20</v>
      </c>
      <c r="G276" s="2" t="n">
        <v>30</v>
      </c>
      <c r="H276" s="2" t="n">
        <v>50</v>
      </c>
      <c r="I276" s="4" t="inlineStr">
        <is>
          <t>turkey-meatball-and-vegetable-soup.jpg</t>
        </is>
      </c>
      <c r="J276" s="3" t="inlineStr">
        <is>
          <t>Turkey Meatball &amp; Vegetable Soup, healthy food photography, plated, natural light</t>
        </is>
      </c>
      <c r="K276" s="4" t="inlineStr"/>
      <c r="L276" s="3" t="inlineStr">
        <is>
          <t>Ground turkey 93% lean — 450 g (15.9 oz)
Egg, large (50 g each) — 50 g (1.8 oz)
Almond flour — 30 g (1.1 oz)
Garlic powder — 2 g (0.1 oz)
Chicken broth, low sodium — 1200 g (42.3 oz)
Zucchini — 200 g (7.1 oz)
Carrot — 100 g (3.5 oz)
Green beans — 120 g (4.2 oz)
Yellow onion — 100 g (3.5 oz)
Diced tomatoes, canned — 400 g (14.1 oz)
Extra-virgin olive oil — 12 g (0.4 oz)
Italian seasoning — 3 g (0.1 oz)
Parmesan, grated — 30 g (1.1 oz)
Salt — 3 g (0.1 oz)</t>
        </is>
      </c>
      <c r="M276" s="4" t="inlineStr">
        <is>
          <t>[{"ingredient_id": "ground_turkey", "name": "Ground turkey 93% lean", "grams": 450.0, "note": ""}, {"ingredient_id": "egg", "name": "Egg, large (50 g each)", "grams": 50.0, "note": ""}, {"ingredient_id": "almond_flour", "name": "Almond flour", "grams": 30.0, "note": ""}, {"ingredient_id": "garlic_powder", "name": "Garlic powder", "grams": 2.0, "note": ""}, {"ingredient_id": "chicken_broth", "name": "Chicken broth, low sodium", "grams": 1200.0, "note": ""}, {"ingredient_id": "zucchini", "name": "Zucchini", "grams": 200.0, "note": ""}, {"ingredient_id": "carrot", "name": "Carrot", "grams": 100.0, "note": ""}, {"ingredient_id": "green_beans", "name": "Green beans", "grams": 120.0, "note": ""}, {"ingredient_id": "onion", "name": "Yellow onion", "grams": 100.0, "note": ""}, {"ingredient_id": "diced_tomatoes", "name": "Diced tomatoes, canned", "grams": 400.0, "note": ""}, {"ingredient_id": "olive_oil", "name": "Extra-virgin olive oil", "grams": 12.0, "note": ""}, {"ingredient_id": "italian_seasoning", "name": "Italian seasoning", "grams": 3.0, "note": ""}, {"ingredient_id": "parmesan", "name": "Parmesan, grated", "grams": 30.0, "note": ""}, {"ingredient_id": "salt", "name": "Salt", "grams": 3.0, "note": ""}]</t>
        </is>
      </c>
      <c r="N276" s="2" t="n">
        <v>376</v>
      </c>
      <c r="O276" s="5" t="n">
        <v>33</v>
      </c>
      <c r="P276" s="5" t="n">
        <v>20.2</v>
      </c>
      <c r="Q276" s="5" t="n">
        <v>17.7</v>
      </c>
      <c r="R276" s="5" t="n">
        <v>5.2</v>
      </c>
      <c r="S276" s="5" t="n">
        <v>12.5</v>
      </c>
      <c r="T276" s="2" t="n">
        <v>22</v>
      </c>
      <c r="U276" s="2" t="inlineStr">
        <is>
          <t>low</t>
        </is>
      </c>
      <c r="V276" s="5" t="n">
        <v>2.8</v>
      </c>
      <c r="W276" s="2" t="inlineStr">
        <is>
          <t>low</t>
        </is>
      </c>
      <c r="X276" s="3" t="inlineStr"/>
      <c r="Y276" s="3" t="inlineStr">
        <is>
          <t>14% of this dish's available carbohydrate comes from ingredients with a published, measured GI; the rest uses conventional placeholders (see Ingredients sheet)</t>
        </is>
      </c>
      <c r="Z276" s="2" t="n">
        <v>14</v>
      </c>
      <c r="AA276" s="3" t="inlineStr">
        <is>
          <t>gluten-free, low-carb, high-protein</t>
        </is>
      </c>
      <c r="AB276" s="3" t="inlineStr">
        <is>
          <t>1. Mix turkey, egg, almond flour, garlic powder; form meatballs.
2. Sauté onion and carrot; add broth, tomatoes, seasoning; simmer.
3. Add meatballs 12 minutes; add zucchini and green beans 6 minutes; serve with parmesan.</t>
        </is>
      </c>
      <c r="AC276" s="4" t="inlineStr">
        <is>
          <t>["Mix turkey, egg, almond flour, garlic powder; form meatballs.", "Sauté onion and carrot; add broth, tomatoes, seasoning; simmer.", "Add meatballs 12 minutes; add zucchini and green beans 6 minutes; serve with parmesan."]</t>
        </is>
      </c>
    </row>
    <row r="277" ht="96" customHeight="1">
      <c r="A277" s="2" t="inlineStr">
        <is>
          <t>DB-0276</t>
        </is>
      </c>
      <c r="B277" s="3" t="inlineStr">
        <is>
          <t>Caldo de Pollo (Mexican Chicken Soup)</t>
        </is>
      </c>
      <c r="C277" s="4" t="inlineStr">
        <is>
          <t>Soup &amp; Stew</t>
        </is>
      </c>
      <c r="D277" s="4" t="inlineStr">
        <is>
          <t>Mexican</t>
        </is>
      </c>
      <c r="E277" s="2" t="n">
        <v>5</v>
      </c>
      <c r="F277" s="2" t="n">
        <v>15</v>
      </c>
      <c r="G277" s="2" t="n">
        <v>40</v>
      </c>
      <c r="H277" s="2" t="n">
        <v>55</v>
      </c>
      <c r="I277" s="4" t="inlineStr">
        <is>
          <t>caldo-de-pollo-mexican-chicken-soup.jpg</t>
        </is>
      </c>
      <c r="J277" s="3" t="inlineStr">
        <is>
          <t>Caldo de Pollo (Mexican Chicken Soup), healthy food photography, plated, natural light</t>
        </is>
      </c>
      <c r="K277" s="4" t="inlineStr"/>
      <c r="L277" s="3" t="inlineStr">
        <is>
          <t>Chicken thigh, skinless boneless — 600 g (21.2 oz)
Chicken broth, low sodium — 1500 g (52.9 oz)
Carrot — 150 g (5.3 oz)
Zucchini — 200 g (7.1 oz)
Green cabbage — 200 g (7.1 oz)
Yellow onion — 100 g (3.5 oz)
Garlic — 8 g (0.3 oz)
Fresh cilantro — 12 g (0.4 oz)
Lime — 40 g (1.4 oz)
Jalapeño — 10 g (0.4 oz)
Ground cumin — 2 g (0.1 oz)
Avocado — 100 g (3.5 oz)
Salt — 4 g (0.1 oz)</t>
        </is>
      </c>
      <c r="M277" s="4" t="inlineStr">
        <is>
          <t>[{"ingredient_id": "chicken_thigh", "name": "Chicken thigh, skinless boneless", "grams": 600.0, "note": ""}, {"ingredient_id": "chicken_broth", "name": "Chicken broth, low sodium", "grams": 1500.0, "note": ""}, {"ingredient_id": "carrot", "name": "Carrot", "grams": 150.0, "note": ""}, {"ingredient_id": "zucchini", "name": "Zucchini", "grams": 200.0, "note": ""}, {"ingredient_id": "cabbage", "name": "Green cabbage", "grams": 200.0, "note": ""}, {"ingredient_id": "onion", "name": "Yellow onion", "grams": 100.0, "note": ""}, {"ingredient_id": "garlic", "name": "Garlic", "grams": 8.0, "note": ""}, {"ingredient_id": "cilantro", "name": "Fresh cilantro", "grams": 12.0, "note": ""}, {"ingredient_id": "lime", "name": "Lime", "grams": 40.0, "note": ""}, {"ingredient_id": "jalapeno", "name": "Jalapeño", "grams": 10.0, "note": ""}, {"ingredient_id": "cumin", "name": "Ground cumin", "grams": 2.0, "note": ""}, {"ingredient_id": "avocado", "name": "Avocado", "grams": 100.0, "note": ""}, {"ingredient_id": "salt", "name": "Salt", "grams": 4.0, "note": ""}]</t>
        </is>
      </c>
      <c r="N277" s="2" t="n">
        <v>243</v>
      </c>
      <c r="O277" s="5" t="n">
        <v>28.8</v>
      </c>
      <c r="P277" s="5" t="n">
        <v>8.9</v>
      </c>
      <c r="Q277" s="5" t="n">
        <v>13.3</v>
      </c>
      <c r="R277" s="5" t="n">
        <v>4.3</v>
      </c>
      <c r="S277" s="5" t="n">
        <v>8.9</v>
      </c>
      <c r="T277" s="2" t="n">
        <v>19</v>
      </c>
      <c r="U277" s="2" t="inlineStr">
        <is>
          <t>low</t>
        </is>
      </c>
      <c r="V277" s="5" t="n">
        <v>1.7</v>
      </c>
      <c r="W277" s="2" t="inlineStr">
        <is>
          <t>low</t>
        </is>
      </c>
      <c r="X277" s="3" t="inlineStr"/>
      <c r="Y277" s="3" t="inlineStr">
        <is>
          <t>23% of this dish's available carbohydrate comes from ingredients with a published, measured GI; the rest uses conventional placeholders (see Ingredients sheet)</t>
        </is>
      </c>
      <c r="Z277" s="2" t="n">
        <v>23</v>
      </c>
      <c r="AA277" s="3" t="inlineStr">
        <is>
          <t>gluten-free, dairy-free, nut-free, low-carb, high-protein</t>
        </is>
      </c>
      <c r="AB277" s="3" t="inlineStr">
        <is>
          <t>1. Simmer chicken in broth with onion, garlic, cumin and salt 25 minutes; shred.
2. Add carrot, cabbage and zucchini; cook 10 minutes.
3. Serve with cilantro, lime, jalapeño and avocado.</t>
        </is>
      </c>
      <c r="AC277" s="4" t="inlineStr">
        <is>
          <t>["Simmer chicken in broth with onion, garlic, cumin and salt 25 minutes; shred.", "Add carrot, cabbage and zucchini; cook 10 minutes.", "Serve with cilantro, lime, jalapeño and avocado."]</t>
        </is>
      </c>
    </row>
    <row r="278" ht="96" customHeight="1">
      <c r="A278" s="2" t="inlineStr">
        <is>
          <t>DB-0277</t>
        </is>
      </c>
      <c r="B278" s="3" t="inlineStr">
        <is>
          <t>Creamy Zucchini Basil Soup</t>
        </is>
      </c>
      <c r="C278" s="4" t="inlineStr">
        <is>
          <t>Soup &amp; Stew</t>
        </is>
      </c>
      <c r="D278" s="4" t="inlineStr">
        <is>
          <t>Italian</t>
        </is>
      </c>
      <c r="E278" s="2" t="n">
        <v>4</v>
      </c>
      <c r="F278" s="2" t="n">
        <v>10</v>
      </c>
      <c r="G278" s="2" t="n">
        <v>20</v>
      </c>
      <c r="H278" s="2" t="n">
        <v>30</v>
      </c>
      <c r="I278" s="4" t="inlineStr">
        <is>
          <t>creamy-zucchini-basil-soup.jpg</t>
        </is>
      </c>
      <c r="J278" s="3" t="inlineStr">
        <is>
          <t>Creamy Zucchini Basil Soup, healthy food photography, plated, natural light</t>
        </is>
      </c>
      <c r="K278" s="4" t="inlineStr"/>
      <c r="L278" s="3" t="inlineStr">
        <is>
          <t>Zucchini — 900 g (31.7 oz)
Yellow onion — 100 g (3.5 oz)
Garlic — 8 g (0.3 oz)
Vegetable broth, low sodium — 700 g (24.7 oz)
Cannellini beans, cooked — 200 g (7.1 oz)
Fresh basil — 20 g (0.7 oz)
Extra-virgin olive oil — 15 g (0.5 oz)
Parmesan, grated — 30 g (1.1 oz)
Lemon juice — 10 g (0.4 oz)
Salt — 3 g (0.1 oz)</t>
        </is>
      </c>
      <c r="M278" s="4" t="inlineStr">
        <is>
          <t>[{"ingredient_id": "zucchini", "name": "Zucchini", "grams": 900.0, "note": ""}, {"ingredient_id": "onion", "name": "Yellow onion", "grams": 100.0, "note": ""}, {"ingredient_id": "garlic", "name": "Garlic", "grams": 8.0, "note": ""}, {"ingredient_id": "vegetable_broth", "name": "Vegetable broth, low sodium", "grams": 700.0, "note": ""}, {"ingredient_id": "white_beans", "name": "Cannellini beans, cooked", "grams": 200.0, "note": ""}, {"ingredient_id": "basil", "name": "Fresh basil", "grams": 20.0, "note": ""}, {"ingredient_id": "olive_oil", "name": "Extra-virgin olive oil", "grams": 15.0, "note": ""}, {"ingredient_id": "parmesan", "name": "Parmesan, grated", "grams": 30.0, "note": ""}, {"ingredient_id": "lemon_juice", "name": "Lemon juice", "grams": 10.0, "note": ""}, {"ingredient_id": "salt", "name": "Salt", "grams": 3.0, "note": ""}]</t>
        </is>
      </c>
      <c r="N278" s="2" t="n">
        <v>202</v>
      </c>
      <c r="O278" s="5" t="n">
        <v>11.8</v>
      </c>
      <c r="P278" s="5" t="n">
        <v>7.2</v>
      </c>
      <c r="Q278" s="5" t="n">
        <v>25.7</v>
      </c>
      <c r="R278" s="5" t="n">
        <v>6</v>
      </c>
      <c r="S278" s="5" t="n">
        <v>19.7</v>
      </c>
      <c r="T278" s="2" t="n">
        <v>21</v>
      </c>
      <c r="U278" s="2" t="inlineStr">
        <is>
          <t>low</t>
        </is>
      </c>
      <c r="V278" s="5" t="n">
        <v>4.1</v>
      </c>
      <c r="W278" s="2" t="inlineStr">
        <is>
          <t>low</t>
        </is>
      </c>
      <c r="X278" s="3" t="inlineStr"/>
      <c r="Y278" s="3" t="inlineStr">
        <is>
          <t>47% of this dish's available carbohydrate comes from ingredients with a published, measured GI; the rest uses conventional placeholders (see Ingredients sheet)</t>
        </is>
      </c>
      <c r="Z278" s="2" t="n">
        <v>47</v>
      </c>
      <c r="AA278" s="3" t="inlineStr">
        <is>
          <t>vegetarian, gluten-free, nut-free</t>
        </is>
      </c>
      <c r="AB278" s="3" t="inlineStr">
        <is>
          <t>1. Sauté onion and garlic in oil; add zucchini and cook 5 minutes.
2. Add broth and beans; simmer 12 minutes.
3. Blend with basil and lemon; season; top with parmesan.</t>
        </is>
      </c>
      <c r="AC278" s="4" t="inlineStr">
        <is>
          <t>["Sauté onion and garlic in oil; add zucchini and cook 5 minutes.", "Add broth and beans; simmer 12 minutes.", "Blend with basil and lemon; season; top with parmesan."]</t>
        </is>
      </c>
    </row>
    <row r="279" ht="96" customHeight="1">
      <c r="A279" s="2" t="inlineStr">
        <is>
          <t>DB-0278</t>
        </is>
      </c>
      <c r="B279" s="3" t="inlineStr">
        <is>
          <t>Kimchi Tofu Stew (Sundubu-Style)</t>
        </is>
      </c>
      <c r="C279" s="4" t="inlineStr">
        <is>
          <t>Soup &amp; Stew</t>
        </is>
      </c>
      <c r="D279" s="4" t="inlineStr">
        <is>
          <t>Korean</t>
        </is>
      </c>
      <c r="E279" s="2" t="n">
        <v>2</v>
      </c>
      <c r="F279" s="2" t="n">
        <v>10</v>
      </c>
      <c r="G279" s="2" t="n">
        <v>20</v>
      </c>
      <c r="H279" s="2" t="n">
        <v>30</v>
      </c>
      <c r="I279" s="4" t="inlineStr">
        <is>
          <t>kimchi-tofu-stew-sundubu-style.jpg</t>
        </is>
      </c>
      <c r="J279" s="3" t="inlineStr">
        <is>
          <t>Kimchi Tofu Stew (Sundubu-Style), healthy food photography, plated, natural light</t>
        </is>
      </c>
      <c r="K279" s="4" t="inlineStr"/>
      <c r="L279" s="3" t="inlineStr">
        <is>
          <t>Tofu, extra-firm — 350 g (12.3 oz)
Kimchi — 200 g (7.1 oz)
Mushrooms (cremini/white) — 100 g (3.5 oz)
Zucchini — 100 g (3.5 oz)
Chicken broth, low sodium — 600 g (21.2 oz)
Gochujang (small amount) — 15 g (0.5 oz)
Garlic — 6 g (0.2 oz)
Toasted sesame oil — 8 g (0.3 oz)
Egg, large (50 g each) — 100 g (3.5 oz) [2 large eggs]
Green onions (scallions) — 15 g (0.5 oz)</t>
        </is>
      </c>
      <c r="M279" s="4" t="inlineStr">
        <is>
          <t>[{"ingredient_id": "tofu", "name": "Tofu, extra-firm", "grams": 350.0, "note": ""}, {"ingredient_id": "kimchi", "name": "Kimchi", "grams": 200.0, "note": ""}, {"ingredient_id": "mushrooms", "name": "Mushrooms (cremini/white)", "grams": 100.0, "note": ""}, {"ingredient_id": "zucchini", "name": "Zucchini", "grams": 100.0, "note": ""}, {"ingredient_id": "chicken_broth", "name": "Chicken broth, low sodium", "grams": 600.0, "note": ""}, {"ingredient_id": "gochujang", "name": "Gochujang (small amount)", "grams": 15.0, "note": ""}, {"ingredient_id": "garlic", "name": "Garlic", "grams": 6.0, "note": ""}, {"ingredient_id": "sesame_oil", "name": "Toasted sesame oil", "grams": 8.0, "note": ""}, {"ingredient_id": "egg", "name": "Egg, large (50 g each)", "grams": 100.0, "note": "2 large eggs"}, {"ingredient_id": "green_onion", "name": "Green onions (scallions)", "grams": 15.0, "note": ""}]</t>
        </is>
      </c>
      <c r="N279" s="2" t="n">
        <v>436</v>
      </c>
      <c r="O279" s="5" t="n">
        <v>42.9</v>
      </c>
      <c r="P279" s="5" t="n">
        <v>26</v>
      </c>
      <c r="Q279" s="5" t="n">
        <v>17.6</v>
      </c>
      <c r="R279" s="5" t="n">
        <v>6.6</v>
      </c>
      <c r="S279" s="5" t="n">
        <v>11</v>
      </c>
      <c r="T279" s="2" t="n">
        <v>22</v>
      </c>
      <c r="U279" s="2" t="inlineStr">
        <is>
          <t>low</t>
        </is>
      </c>
      <c r="V279" s="5" t="n">
        <v>2.4</v>
      </c>
      <c r="W279" s="2" t="inlineStr">
        <is>
          <t>low</t>
        </is>
      </c>
      <c r="X279" s="3" t="inlineStr"/>
      <c r="Y279" s="3" t="inlineStr">
        <is>
          <t>0% of this dish's available carbohydrate comes from ingredients with a published, measured GI; the rest uses conventional placeholders (see Ingredients sheet)</t>
        </is>
      </c>
      <c r="Z279" s="2" t="n">
        <v>0</v>
      </c>
      <c r="AA279" s="3" t="inlineStr">
        <is>
          <t>vegetarian, dairy-free, nut-free, low-carb, high-protein</t>
        </is>
      </c>
      <c r="AB279" s="3" t="inlineStr">
        <is>
          <t>1. Sauté kimchi and garlic in sesame oil 3 minutes.
2. Add broth, gochujang, mushrooms and zucchini; simmer 8 minutes.
3. Add tofu chunks; crack in eggs and cook 3 minutes; top with green onion.</t>
        </is>
      </c>
      <c r="AC279" s="4" t="inlineStr">
        <is>
          <t>["Sauté kimchi and garlic in sesame oil 3 minutes.", "Add broth, gochujang, mushrooms and zucchini; simmer 8 minutes.", "Add tofu chunks; crack in eggs and cook 3 minutes; top with green onion."]</t>
        </is>
      </c>
    </row>
    <row r="280" ht="96" customHeight="1">
      <c r="A280" s="2" t="inlineStr">
        <is>
          <t>DB-0279</t>
        </is>
      </c>
      <c r="B280" s="3" t="inlineStr">
        <is>
          <t>Greek Lemon Chicken Soup with Cauliflower Rice</t>
        </is>
      </c>
      <c r="C280" s="4" t="inlineStr">
        <is>
          <t>Soup &amp; Stew</t>
        </is>
      </c>
      <c r="D280" s="4" t="inlineStr">
        <is>
          <t>Greek</t>
        </is>
      </c>
      <c r="E280" s="2" t="n">
        <v>4</v>
      </c>
      <c r="F280" s="2" t="n">
        <v>10</v>
      </c>
      <c r="G280" s="2" t="n">
        <v>30</v>
      </c>
      <c r="H280" s="2" t="n">
        <v>40</v>
      </c>
      <c r="I280" s="4" t="inlineStr">
        <is>
          <t>greek-lemon-chicken-soup-with-cauliflower-rice.jpg</t>
        </is>
      </c>
      <c r="J280" s="3" t="inlineStr">
        <is>
          <t>Greek Lemon Chicken Soup with Cauliflower Rice, healthy food photography, plated, natural light</t>
        </is>
      </c>
      <c r="K280" s="4" t="inlineStr"/>
      <c r="L280" s="3" t="inlineStr">
        <is>
          <t>Chicken breast, skinless — 400 g (14.1 oz)
Chicken broth, low sodium — 1200 g (42.3 oz)
Cauliflower rice — 300 g (10.6 oz)
Egg, large (50 g each) — 100 g (3.5 oz) [2 large eggs]
Lemon juice — 50 g (1.8 oz)
Carrot — 80 g (2.8 oz)
Yellow onion — 80 g (2.8 oz)
Fresh dill — 6 g (0.2 oz)
Extra-virgin olive oil — 10 g (0.4 oz)
Salt — 3 g (0.1 oz)</t>
        </is>
      </c>
      <c r="M280" s="4" t="inlineStr">
        <is>
          <t>[{"ingredient_id": "chicken_breast", "name": "Chicken breast, skinless", "grams": 400.0, "note": ""}, {"ingredient_id": "chicken_broth", "name": "Chicken broth, low sodium", "grams": 1200.0, "note": ""}, {"ingredient_id": "cauliflower_rice", "name": "Cauliflower rice", "grams": 300.0, "note": ""}, {"ingredient_id": "egg", "name": "Egg, large (50 g each)", "grams": 100.0, "note": "2 large eggs"}, {"ingredient_id": "lemon_juice", "name": "Lemon juice", "grams": 50.0, "note": ""}, {"ingredient_id": "carrot", "name": "Carrot", "grams": 80.0, "note": ""}, {"ingredient_id": "onion", "name": "Yellow onion", "grams": 80.0, "note": ""}, {"ingredient_id": "dill", "name": "Fresh dill", "grams": 6.0, "note": ""}, {"ingredient_id": "olive_oil", "name": "Extra-virgin olive oil", "grams": 10.0, "note": ""}, {"ingredient_id": "salt", "name": "Salt", "grams": 3.0, "note": ""}]</t>
        </is>
      </c>
      <c r="N280" s="2" t="n">
        <v>237</v>
      </c>
      <c r="O280" s="5" t="n">
        <v>30.6</v>
      </c>
      <c r="P280" s="5" t="n">
        <v>8.4</v>
      </c>
      <c r="Q280" s="5" t="n">
        <v>10.2</v>
      </c>
      <c r="R280" s="5" t="n">
        <v>2.5</v>
      </c>
      <c r="S280" s="5" t="n">
        <v>7.7</v>
      </c>
      <c r="T280" s="2" t="n">
        <v>17</v>
      </c>
      <c r="U280" s="2" t="inlineStr">
        <is>
          <t>low</t>
        </is>
      </c>
      <c r="V280" s="5" t="n">
        <v>1.3</v>
      </c>
      <c r="W280" s="2" t="inlineStr">
        <is>
          <t>low</t>
        </is>
      </c>
      <c r="X280" s="3" t="inlineStr"/>
      <c r="Y280" s="3" t="inlineStr">
        <is>
          <t>18% of this dish's available carbohydrate comes from ingredients with a published, measured GI; the rest uses conventional placeholders (see Ingredients sheet)</t>
        </is>
      </c>
      <c r="Z280" s="2" t="n">
        <v>18</v>
      </c>
      <c r="AA280" s="3" t="inlineStr">
        <is>
          <t>gluten-free, dairy-free, nut-free, low-carb, high-protein</t>
        </is>
      </c>
      <c r="AB280" s="3" t="inlineStr">
        <is>
          <t>1. Simmer chicken with onion and carrot in broth 20 minutes; shred chicken.
2. Add cauliflower rice, cook 5 minutes.
3. Whisk eggs with lemon; temper with hot broth and stir in off heat (avgolemono); add dill and salt.</t>
        </is>
      </c>
      <c r="AC280" s="4" t="inlineStr">
        <is>
          <t>["Simmer chicken with onion and carrot in broth 20 minutes; shred chicken.", "Add cauliflower rice, cook 5 minutes.", "Whisk eggs with lemon; temper with hot broth and stir in off heat (avgolemono); add dill and salt."]</t>
        </is>
      </c>
    </row>
    <row r="281" ht="96" customHeight="1">
      <c r="A281" s="2" t="inlineStr">
        <is>
          <t>DB-0280</t>
        </is>
      </c>
      <c r="B281" s="3" t="inlineStr">
        <is>
          <t>Vegetarian Three-Bean Chili</t>
        </is>
      </c>
      <c r="C281" s="4" t="inlineStr">
        <is>
          <t>Soup &amp; Stew</t>
        </is>
      </c>
      <c r="D281" s="4" t="inlineStr">
        <is>
          <t>American</t>
        </is>
      </c>
      <c r="E281" s="2" t="n">
        <v>6</v>
      </c>
      <c r="F281" s="2" t="n">
        <v>15</v>
      </c>
      <c r="G281" s="2" t="n">
        <v>40</v>
      </c>
      <c r="H281" s="2" t="n">
        <v>55</v>
      </c>
      <c r="I281" s="4" t="inlineStr">
        <is>
          <t>vegetarian-three-bean-chili.jpg</t>
        </is>
      </c>
      <c r="J281" s="3" t="inlineStr">
        <is>
          <t>Vegetarian Three-Bean Chili, healthy food photography, plated, natural light</t>
        </is>
      </c>
      <c r="K281" s="4" t="inlineStr"/>
      <c r="L281" s="3" t="inlineStr">
        <is>
          <t>Black beans, cooked — 400 g (14.1 oz)
Kidney beans, cooked — 400 g (14.1 oz)
Pinto beans, cooked — 300 g (10.6 oz)
Crushed tomatoes, canned — 800 g (28.2 oz)
Yellow onion — 150 g (5.3 oz)
Bell pepper — 200 g (7.1 oz)
Zucchini — 200 g (7.1 oz)
Garlic — 10 g (0.4 oz)
Chili powder — 15 g (0.5 oz)
Ground cumin — 5 g (0.2 oz)
Smoked paprika — 3 g (0.1 oz)
Cocoa powder, unsweetened — 5 g (0.2 oz)
Extra-virgin olive oil — 15 g (0.5 oz)
Vegetable broth, low sodium — 300 g (10.6 oz)
Salt — 4 g (0.1 oz)</t>
        </is>
      </c>
      <c r="M281" s="4" t="inlineStr">
        <is>
          <t>[{"ingredient_id": "black_beans", "name": "Black beans, cooked", "grams": 400.0, "note": ""}, {"ingredient_id": "kidney_beans", "name": "Kidney beans, cooked", "grams": 400.0, "note": ""}, {"ingredient_id": "pinto_beans", "name": "Pinto beans, cooked", "grams": 300.0, "note": ""}, {"ingredient_id": "crushed_tomatoes", "name": "Crushed tomatoes, canned", "grams": 800.0, "note": ""}, {"ingredient_id": "onion", "name": "Yellow onion", "grams": 150.0, "note": ""}, {"ingredient_id": "bell_pepper", "name": "Bell pepper", "grams": 200.0, "note": ""}, {"ingredient_id": "zucchini", "name": "Zucchini", "grams": 200.0, "note": ""}, {"ingredient_id": "garlic", "name": "Garlic", "grams": 10.0, "note": ""}, {"ingredient_id": "chili_powder", "name": "Chili powder", "grams": 15.0, "note": ""}, {"ingredient_id": "cumin", "name": "Ground cumin", "grams": 5.0, "note": ""}, {"ingredient_id": "smoked_paprika", "name": "Smoked paprika", "grams": 3.0, "note": ""}, {"ingredient_id": "cocoa_powder", "name": "Cocoa powder, unsweetened", "grams": 5.0, "note": ""}, {"ingredient_id": "olive_oil", "name": "Extra-virgin olive oil", "grams": 15.0, "note": ""}, {"ingredient_id": "vegetable_broth", "name": "Vegetable broth, low sodium", "grams": 300.0, "note": ""}, {"ingredient_id": "salt", "name": "Salt", "grams": 4.0, "note": ""}]</t>
        </is>
      </c>
      <c r="N281" s="2" t="n">
        <v>355</v>
      </c>
      <c r="O281" s="5" t="n">
        <v>20.5</v>
      </c>
      <c r="P281" s="5" t="n">
        <v>4.9</v>
      </c>
      <c r="Q281" s="5" t="n">
        <v>62.4</v>
      </c>
      <c r="R281" s="5" t="n">
        <v>20</v>
      </c>
      <c r="S281" s="5" t="n">
        <v>42.4</v>
      </c>
      <c r="T281" s="2" t="n">
        <v>30</v>
      </c>
      <c r="U281" s="2" t="inlineStr">
        <is>
          <t>low</t>
        </is>
      </c>
      <c r="V281" s="5" t="n">
        <v>12.7</v>
      </c>
      <c r="W281" s="2" t="inlineStr">
        <is>
          <t>medium</t>
        </is>
      </c>
      <c r="X281" s="3" t="inlineStr"/>
      <c r="Y281" s="3" t="inlineStr">
        <is>
          <t>69% of this dish's available carbohydrate comes from ingredients with a published, measured GI; the rest uses conventional placeholders (see Ingredients sheet)</t>
        </is>
      </c>
      <c r="Z281" s="2" t="n">
        <v>69</v>
      </c>
      <c r="AA281" s="3" t="inlineStr">
        <is>
          <t>vegan, gluten-free, dairy-free, nut-free, high-fiber, make-ahead, freezer</t>
        </is>
      </c>
      <c r="AB281" s="3" t="inlineStr">
        <is>
          <t>1. Sauté onion, pepper and zucchini in oil 8 minutes; add garlic and spices.
2. Add tomatoes, beans, broth and cocoa; simmer 30 minutes.
3. Season and serve with yogurt or avocado.</t>
        </is>
      </c>
      <c r="AC281" s="4" t="inlineStr">
        <is>
          <t>["Sauté onion, pepper and zucchini in oil 8 minutes; add garlic and spices.", "Add tomatoes, beans, broth and cocoa; simmer 30 minutes.", "Season and serve with yogurt or avocado."]</t>
        </is>
      </c>
    </row>
    <row r="282" ht="96" customHeight="1">
      <c r="A282" s="2" t="inlineStr">
        <is>
          <t>DB-0281</t>
        </is>
      </c>
      <c r="B282" s="3" t="inlineStr">
        <is>
          <t>Clam Chowder (Cauliflower-Thickened)</t>
        </is>
      </c>
      <c r="C282" s="4" t="inlineStr">
        <is>
          <t>Soup &amp; Stew</t>
        </is>
      </c>
      <c r="D282" s="4" t="inlineStr">
        <is>
          <t>American</t>
        </is>
      </c>
      <c r="E282" s="2" t="n">
        <v>4</v>
      </c>
      <c r="F282" s="2" t="n">
        <v>15</v>
      </c>
      <c r="G282" s="2" t="n">
        <v>30</v>
      </c>
      <c r="H282" s="2" t="n">
        <v>45</v>
      </c>
      <c r="I282" s="4" t="inlineStr">
        <is>
          <t>clam-chowder-cauliflower-thickened.jpg</t>
        </is>
      </c>
      <c r="J282" s="3" t="inlineStr">
        <is>
          <t>Clam Chowder (Cauliflower-Thickened), healthy food photography, plated, natural light</t>
        </is>
      </c>
      <c r="K282" s="4" t="inlineStr"/>
      <c r="L282" s="3" t="inlineStr">
        <is>
          <t>Clams — 400 g (14.1 oz)
Cauliflower — 400 g (14.1 oz)
Turkey bacon — 60 g (2.1 oz)
Yellow onion — 100 g (3.5 oz)
Celery — 100 g (3.5 oz)
Chicken broth, low sodium — 700 g (24.7 oz)
Milk, 2% — 250 g (8.8 oz)
Fresh thyme — 2 g (0.1 oz)
Extra-virgin olive oil — 10 g (0.4 oz)
New potatoes, boiled — 150 g (5.3 oz)
Salt — 3 g (0.1 oz)
Black pepper — 1 g (0.0 oz)</t>
        </is>
      </c>
      <c r="M282" s="4" t="inlineStr">
        <is>
          <t>[{"ingredient_id": "clams", "name": "Clams", "grams": 400.0, "note": ""}, {"ingredient_id": "cauliflower", "name": "Cauliflower", "grams": 400.0, "note": ""}, {"ingredient_id": "turkey_bacon", "name": "Turkey bacon", "grams": 60.0, "note": ""}, {"ingredient_id": "onion", "name": "Yellow onion", "grams": 100.0, "note": ""}, {"ingredient_id": "celery", "name": "Celery", "grams": 100.0, "note": ""}, {"ingredient_id": "chicken_broth", "name": "Chicken broth, low sodium", "grams": 700.0, "note": ""}, {"ingredient_id": "milk", "name": "Milk, 2%", "grams": 250.0, "note": ""}, {"ingredient_id": "thyme", "name": "Fresh thyme", "grams": 2.0, "note": ""}, {"ingredient_id": "olive_oil", "name": "Extra-virgin olive oil", "grams": 10.0, "note": ""}, {"ingredient_id": "new_potato", "name": "New potatoes, boiled", "grams": 150.0, "note": ""}, {"ingredient_id": "salt", "name": "Salt", "grams": 3.0, "note": ""}, {"ingredient_id": "black_pepper", "name": "Black pepper", "grams": 1.0, "note": ""}]</t>
        </is>
      </c>
      <c r="N282" s="2" t="n">
        <v>257</v>
      </c>
      <c r="O282" s="5" t="n">
        <v>24.6</v>
      </c>
      <c r="P282" s="5" t="n">
        <v>7.8</v>
      </c>
      <c r="Q282" s="5" t="n">
        <v>23.6</v>
      </c>
      <c r="R282" s="5" t="n">
        <v>3.6</v>
      </c>
      <c r="S282" s="5" t="n">
        <v>20</v>
      </c>
      <c r="T282" s="2" t="n">
        <v>32</v>
      </c>
      <c r="U282" s="2" t="inlineStr">
        <is>
          <t>low</t>
        </is>
      </c>
      <c r="V282" s="5" t="n">
        <v>6.4</v>
      </c>
      <c r="W282" s="2" t="inlineStr">
        <is>
          <t>low</t>
        </is>
      </c>
      <c r="X282" s="3" t="inlineStr"/>
      <c r="Y282" s="3" t="inlineStr">
        <is>
          <t>49% of this dish's available carbohydrate comes from ingredients with a published, measured GI; the rest uses conventional placeholders (see Ingredients sheet)</t>
        </is>
      </c>
      <c r="Z282" s="2" t="n">
        <v>49</v>
      </c>
      <c r="AA282" s="3" t="inlineStr">
        <is>
          <t>gluten-free, nut-free</t>
        </is>
      </c>
      <c r="AB282" s="3" t="inlineStr">
        <is>
          <t>1. Crisp turkey bacon; set aside. Sauté onion and celery in oil.
2. Add cauliflower, potato, broth, thyme; simmer 15 minutes; blend half.
3. Add clams and milk; heat 5 minutes; top with bacon and pepper.</t>
        </is>
      </c>
      <c r="AC282" s="4" t="inlineStr">
        <is>
          <t>["Crisp turkey bacon; set aside. Sauté onion and celery in oil.", "Add cauliflower, potato, broth, thyme; simmer 15 minutes; blend half.", "Add clams and milk; heat 5 minutes; top with bacon and pepper."]</t>
        </is>
      </c>
    </row>
    <row r="283" ht="96" customHeight="1">
      <c r="A283" s="2" t="inlineStr">
        <is>
          <t>DB-0282</t>
        </is>
      </c>
      <c r="B283" s="3" t="inlineStr">
        <is>
          <t>Spicy Peanut Sweet Potato Stew</t>
        </is>
      </c>
      <c r="C283" s="4" t="inlineStr">
        <is>
          <t>Soup &amp; Stew</t>
        </is>
      </c>
      <c r="D283" s="4" t="inlineStr">
        <is>
          <t>West African</t>
        </is>
      </c>
      <c r="E283" s="2" t="n">
        <v>5</v>
      </c>
      <c r="F283" s="2" t="n">
        <v>15</v>
      </c>
      <c r="G283" s="2" t="n">
        <v>35</v>
      </c>
      <c r="H283" s="2" t="n">
        <v>50</v>
      </c>
      <c r="I283" s="4" t="inlineStr">
        <is>
          <t>spicy-peanut-sweet-potato-stew.jpg</t>
        </is>
      </c>
      <c r="J283" s="3" t="inlineStr">
        <is>
          <t>Spicy Peanut Sweet Potato Stew, healthy food photography, plated, natural light</t>
        </is>
      </c>
      <c r="K283" s="4" t="inlineStr"/>
      <c r="L283" s="3" t="inlineStr">
        <is>
          <t>Sweet potato, boiled/simmered — 400 g (14.1 oz)
Chickpeas, cooked — 400 g (14.1 oz)
Diced tomatoes, canned — 400 g (14.1 oz)
Vegetable broth, low sodium — 800 g (28.2 oz)
Peanut butter, natural — 60 g (2.1 oz)
Yellow onion — 120 g (4.2 oz)
Garlic — 8 g (0.3 oz)
Fresh ginger — 10 g (0.4 oz)
Ground cumin — 3 g (0.1 oz)
Cayenne pepper — 1 g (0.0 oz)
Spinach — 150 g (5.3 oz)
Extra-virgin olive oil — 15 g (0.5 oz)
Lime juice — 15 g (0.5 oz)
Salt — 3 g (0.1 oz)</t>
        </is>
      </c>
      <c r="M283" s="4" t="inlineStr">
        <is>
          <t>[{"ingredient_id": "sweet_potato", "name": "Sweet potato, boiled/simmered", "grams": 400.0, "note": ""}, {"ingredient_id": "chickpeas", "name": "Chickpeas, cooked", "grams": 400.0, "note": ""}, {"ingredient_id": "diced_tomatoes", "name": "Diced tomatoes, canned", "grams": 400.0, "note": ""}, {"ingredient_id": "vegetable_broth", "name": "Vegetable broth, low sodium", "grams": 800.0, "note": ""}, {"ingredient_id": "peanut_butter", "name": "Peanut butter, natural", "grams": 60.0, "note": ""}, {"ingredient_id": "onion", "name": "Yellow onion", "grams": 120.0, "note": ""}, {"ingredient_id": "garlic", "name": "Garlic", "grams": 8.0, "note": ""}, {"ingredient_id": "ginger", "name": "Fresh ginger", "grams": 10.0, "note": ""}, {"ingredient_id": "cumin", "name": "Ground cumin", "grams": 3.0, "note": ""}, {"ingredient_id": "cayenne", "name": "Cayenne pepper", "grams": 1.0, "note": ""}, {"ingredient_id": "spinach", "name": "Spinach", "grams": 150.0, "note": ""}, {"ingredient_id": "olive_oil", "name": "Extra-virgin olive oil", "grams": 15.0, "note": ""}, {"ingredient_id": "lime_juice", "name": "Lime juice", "grams": 15.0, "note": ""}, {"ingredient_id": "salt", "name": "Salt", "grams": 3.0, "note": ""}]</t>
        </is>
      </c>
      <c r="N283" s="2" t="n">
        <v>353</v>
      </c>
      <c r="O283" s="5" t="n">
        <v>14.6</v>
      </c>
      <c r="P283" s="5" t="n">
        <v>12</v>
      </c>
      <c r="Q283" s="5" t="n">
        <v>51.2</v>
      </c>
      <c r="R283" s="5" t="n">
        <v>11.7</v>
      </c>
      <c r="S283" s="5" t="n">
        <v>39.6</v>
      </c>
      <c r="T283" s="2" t="n">
        <v>35</v>
      </c>
      <c r="U283" s="2" t="inlineStr">
        <is>
          <t>low</t>
        </is>
      </c>
      <c r="V283" s="5" t="n">
        <v>13.8</v>
      </c>
      <c r="W283" s="2" t="inlineStr">
        <is>
          <t>medium</t>
        </is>
      </c>
      <c r="X283" s="3" t="inlineStr"/>
      <c r="Y283" s="3" t="inlineStr">
        <is>
          <t>74% of this dish's available carbohydrate comes from ingredients with a published, measured GI; the rest uses conventional placeholders (see Ingredients sheet)</t>
        </is>
      </c>
      <c r="Z283" s="2" t="n">
        <v>74</v>
      </c>
      <c r="AA283" s="3" t="inlineStr">
        <is>
          <t>vegan, gluten-free, dairy-free, high-fiber, make-ahead</t>
        </is>
      </c>
      <c r="AB283" s="3" t="inlineStr">
        <is>
          <t>1. Sauté onion, garlic, ginger and spices in oil 5 minutes.
2. Add sweet potato, tomatoes, broth and chickpeas; simmer 20 minutes.
3. Whisk in peanut butter, add spinach and lime; season.</t>
        </is>
      </c>
      <c r="AC283" s="4" t="inlineStr">
        <is>
          <t>["Sauté onion, garlic, ginger and spices in oil 5 minutes.", "Add sweet potato, tomatoes, broth and chickpeas; simmer 20 minutes.", "Whisk in peanut butter, add spinach and lime; season."]</t>
        </is>
      </c>
    </row>
    <row r="284" ht="96" customHeight="1">
      <c r="A284" s="2" t="inlineStr">
        <is>
          <t>DB-0283</t>
        </is>
      </c>
      <c r="B284" s="3" t="inlineStr">
        <is>
          <t>Chicken Cabbage Soup</t>
        </is>
      </c>
      <c r="C284" s="4" t="inlineStr">
        <is>
          <t>Soup &amp; Stew</t>
        </is>
      </c>
      <c r="D284" s="4" t="inlineStr">
        <is>
          <t>American</t>
        </is>
      </c>
      <c r="E284" s="2" t="n">
        <v>4</v>
      </c>
      <c r="F284" s="2" t="n">
        <v>10</v>
      </c>
      <c r="G284" s="2" t="n">
        <v>30</v>
      </c>
      <c r="H284" s="2" t="n">
        <v>40</v>
      </c>
      <c r="I284" s="4" t="inlineStr">
        <is>
          <t>chicken-cabbage-soup.jpg</t>
        </is>
      </c>
      <c r="J284" s="3" t="inlineStr">
        <is>
          <t>Chicken Cabbage Soup, healthy food photography, plated, natural light</t>
        </is>
      </c>
      <c r="K284" s="4" t="inlineStr"/>
      <c r="L284" s="3" t="inlineStr">
        <is>
          <t>Chicken breast, skinless — 400 g (14.1 oz)
Green cabbage — 400 g (14.1 oz)
Chicken broth, low sodium — 1200 g (42.3 oz)
Diced tomatoes, canned — 400 g (14.1 oz)
Yellow onion — 100 g (3.5 oz)
Carrot — 100 g (3.5 oz)
Garlic — 8 g (0.3 oz)
Smoked paprika — 2 g (0.1 oz)
Fresh dill — 6 g (0.2 oz)
Extra-virgin olive oil — 12 g (0.4 oz)
Salt — 3 g (0.1 oz)</t>
        </is>
      </c>
      <c r="M284" s="4" t="inlineStr">
        <is>
          <t>[{"ingredient_id": "chicken_breast", "name": "Chicken breast, skinless", "grams": 400.0, "note": ""}, {"ingredient_id": "cabbage", "name": "Green cabbage", "grams": 400.0, "note": ""}, {"ingredient_id": "chicken_broth", "name": "Chicken broth, low sodium", "grams": 1200.0, "note": ""}, {"ingredient_id": "diced_tomatoes", "name": "Diced tomatoes, canned", "grams": 400.0, "note": ""}, {"ingredient_id": "onion", "name": "Yellow onion", "grams": 100.0, "note": ""}, {"ingredient_id": "carrot", "name": "Carrot", "grams": 100.0, "note": ""}, {"ingredient_id": "garlic", "name": "Garlic", "grams": 8.0, "note": ""}, {"ingredient_id": "smoked_paprika", "name": "Smoked paprika", "grams": 2.0, "note": ""}, {"ingredient_id": "dill", "name": "Fresh dill", "grams": 6.0, "note": ""}, {"ingredient_id": "olive_oil", "name": "Extra-virgin olive oil", "grams": 12.0, "note": ""}, {"ingredient_id": "salt", "name": "Salt", "grams": 3.0, "note": ""}]</t>
        </is>
      </c>
      <c r="N284" s="2" t="n">
        <v>242</v>
      </c>
      <c r="O284" s="5" t="n">
        <v>28.8</v>
      </c>
      <c r="P284" s="5" t="n">
        <v>6.7</v>
      </c>
      <c r="Q284" s="5" t="n">
        <v>18.1</v>
      </c>
      <c r="R284" s="5" t="n">
        <v>5.4</v>
      </c>
      <c r="S284" s="5" t="n">
        <v>12.7</v>
      </c>
      <c r="T284" s="2" t="n">
        <v>23</v>
      </c>
      <c r="U284" s="2" t="inlineStr">
        <is>
          <t>low</t>
        </is>
      </c>
      <c r="V284" s="5" t="n">
        <v>2.9</v>
      </c>
      <c r="W284" s="2" t="inlineStr">
        <is>
          <t>low</t>
        </is>
      </c>
      <c r="X284" s="3" t="inlineStr"/>
      <c r="Y284" s="3" t="inlineStr">
        <is>
          <t>13% of this dish's available carbohydrate comes from ingredients with a published, measured GI; the rest uses conventional placeholders (see Ingredients sheet)</t>
        </is>
      </c>
      <c r="Z284" s="2" t="n">
        <v>13</v>
      </c>
      <c r="AA284" s="3" t="inlineStr">
        <is>
          <t>gluten-free, dairy-free, nut-free, low-carb, high-protein</t>
        </is>
      </c>
      <c r="AB284" s="3" t="inlineStr">
        <is>
          <t>1. Sauté onion and carrot in oil; add garlic and paprika.
2. Add broth, tomatoes and chicken; simmer 20 minutes; shred chicken.
3. Add cabbage and cook 8 minutes; finish with dill.</t>
        </is>
      </c>
      <c r="AC284" s="4" t="inlineStr">
        <is>
          <t>["Sauté onion and carrot in oil; add garlic and paprika.", "Add broth, tomatoes and chicken; simmer 20 minutes; shred chicken.", "Add cabbage and cook 8 minutes; finish with dill."]</t>
        </is>
      </c>
    </row>
    <row r="285" ht="96" customHeight="1">
      <c r="A285" s="2" t="inlineStr">
        <is>
          <t>DB-0284</t>
        </is>
      </c>
      <c r="B285" s="3" t="inlineStr">
        <is>
          <t>Cioppino (Seafood Stew)</t>
        </is>
      </c>
      <c r="C285" s="4" t="inlineStr">
        <is>
          <t>Soup &amp; Stew</t>
        </is>
      </c>
      <c r="D285" s="4" t="inlineStr">
        <is>
          <t>Italian-American</t>
        </is>
      </c>
      <c r="E285" s="2" t="n">
        <v>4</v>
      </c>
      <c r="F285" s="2" t="n">
        <v>20</v>
      </c>
      <c r="G285" s="2" t="n">
        <v>35</v>
      </c>
      <c r="H285" s="2" t="n">
        <v>55</v>
      </c>
      <c r="I285" s="4" t="inlineStr">
        <is>
          <t>cioppino-seafood-stew.jpg</t>
        </is>
      </c>
      <c r="J285" s="3" t="inlineStr">
        <is>
          <t>Cioppino (Seafood Stew), healthy food photography, plated, natural light</t>
        </is>
      </c>
      <c r="K285" s="4" t="inlineStr"/>
      <c r="L285" s="3" t="inlineStr">
        <is>
          <t>Cod fillet — 300 g (10.6 oz)
Shrimp, peeled — 250 g (8.8 oz)
Mussels — 300 g (10.6 oz)
Crushed tomatoes, canned — 600 g (21.2 oz)
Chicken broth, low sodium — 400 g (14.1 oz)
Dry white wine (cooking) — 100 g (3.5 oz)
Yellow onion — 100 g (3.5 oz)
Fennel bulb — 100 g (3.5 oz)
Garlic — 10 g (0.4 oz)
Extra-virgin olive oil — 20 g (0.7 oz)
Red pepper flakes — 1 g (0.0 oz)
Dried oregano — 2 g (0.1 oz)
Fresh parsley — 10 g (0.4 oz)
Salt — 3 g (0.1 oz)</t>
        </is>
      </c>
      <c r="M285" s="4" t="inlineStr">
        <is>
          <t>[{"ingredient_id": "cod", "name": "Cod fillet", "grams": 300.0, "note": ""}, {"ingredient_id": "shrimp", "name": "Shrimp, peeled", "grams": 250.0, "note": ""}, {"ingredient_id": "mussels", "name": "Mussels", "grams": 300.0, "note": ""}, {"ingredient_id": "crushed_tomatoes", "name": "Crushed tomatoes, canned", "grams": 600.0, "note": ""}, {"ingredient_id": "chicken_broth", "name": "Chicken broth, low sodium", "grams": 400.0, "note": ""}, {"ingredient_id": "white_wine", "name": "Dry white wine (cooking)", "grams": 100.0, "note": ""}, {"ingredient_id": "onion", "name": "Yellow onion", "grams": 100.0, "note": ""}, {"ingredient_id": "fennel", "name": "Fennel bulb", "grams": 100.0, "note": ""}, {"ingredient_id": "garlic", "name": "Garlic", "grams": 10.0, "note": ""}, {"ingredient_id": "olive_oil", "name": "Extra-virgin olive oil", "grams": 20.0, "note": ""}, {"ingredient_id": "red_pepper_flakes", "name": "Red pepper flakes", "grams": 1.0, "note": ""}, {"ingredient_id": "oregano", "name": "Dried oregano", "grams": 2.0, "note": ""}, {"ingredient_id": "parsley", "name": "Fresh parsley", "grams": 10.0, "note": ""}, {"ingredient_id": "salt", "name": "Salt", "grams": 3.0, "note": ""}]</t>
        </is>
      </c>
      <c r="N285" s="2" t="n">
        <v>323</v>
      </c>
      <c r="O285" s="5" t="n">
        <v>39.3</v>
      </c>
      <c r="P285" s="5" t="n">
        <v>8.300000000000001</v>
      </c>
      <c r="Q285" s="5" t="n">
        <v>20</v>
      </c>
      <c r="R285" s="5" t="n">
        <v>4.5</v>
      </c>
      <c r="S285" s="5" t="n">
        <v>15.6</v>
      </c>
      <c r="T285" s="2" t="n">
        <v>22</v>
      </c>
      <c r="U285" s="2" t="inlineStr">
        <is>
          <t>low</t>
        </is>
      </c>
      <c r="V285" s="5" t="n">
        <v>3.4</v>
      </c>
      <c r="W285" s="2" t="inlineStr">
        <is>
          <t>low</t>
        </is>
      </c>
      <c r="X285" s="3" t="inlineStr"/>
      <c r="Y285" s="3" t="inlineStr">
        <is>
          <t>0% of this dish's available carbohydrate comes from ingredients with a published, measured GI; the rest uses conventional placeholders (see Ingredients sheet)</t>
        </is>
      </c>
      <c r="Z285" s="2" t="n">
        <v>0</v>
      </c>
      <c r="AA285" s="3" t="inlineStr">
        <is>
          <t>pescatarian, gluten-free, dairy-free, nut-free, high-protein</t>
        </is>
      </c>
      <c r="AB285" s="3" t="inlineStr">
        <is>
          <t>1. Sauté onion, fennel and garlic in oil 6 minutes; add pepper flakes and oregano.
2. Add wine, tomatoes and broth; simmer 15 minutes.
3. Add mussels, cod and shrimp; cover and cook 6 minutes until mussels open; finish with parsley.</t>
        </is>
      </c>
      <c r="AC285" s="4" t="inlineStr">
        <is>
          <t>["Sauté onion, fennel and garlic in oil 6 minutes; add pepper flakes and oregano.", "Add wine, tomatoes and broth; simmer 15 minutes.", "Add mussels, cod and shrimp; cover and cook 6 minutes until mussels open; finish with parsley."]</t>
        </is>
      </c>
    </row>
    <row r="286" ht="96" customHeight="1">
      <c r="A286" s="2" t="inlineStr">
        <is>
          <t>DB-0285</t>
        </is>
      </c>
      <c r="B286" s="3" t="inlineStr">
        <is>
          <t>Greens &amp; Beans Soup with Turkey Sausage</t>
        </is>
      </c>
      <c r="C286" s="4" t="inlineStr">
        <is>
          <t>Soup &amp; Stew</t>
        </is>
      </c>
      <c r="D286" s="4" t="inlineStr">
        <is>
          <t>Italian</t>
        </is>
      </c>
      <c r="E286" s="2" t="n">
        <v>4</v>
      </c>
      <c r="F286" s="2" t="n">
        <v>10</v>
      </c>
      <c r="G286" s="2" t="n">
        <v>25</v>
      </c>
      <c r="H286" s="2" t="n">
        <v>35</v>
      </c>
      <c r="I286" s="4" t="inlineStr">
        <is>
          <t>greens-and-beans-soup-with-turkey-sausage.jpg</t>
        </is>
      </c>
      <c r="J286" s="3" t="inlineStr">
        <is>
          <t>Greens &amp; Beans Soup with Turkey Sausage, healthy food photography, plated, natural light</t>
        </is>
      </c>
      <c r="K286" s="4" t="inlineStr"/>
      <c r="L286" s="3" t="inlineStr">
        <is>
          <t>Turkey sausage — 300 g (10.6 oz)
Cannellini beans, cooked — 400 g (14.1 oz)
Swiss chard — 250 g (8.8 oz)
Yellow onion — 100 g (3.5 oz)
Garlic — 8 g (0.3 oz)
Chicken broth, low sodium — 1000 g (35.3 oz)
Extra-virgin olive oil — 12 g (0.4 oz)
Red pepper flakes — 1 g (0.0 oz)
Parmesan, grated — 30 g (1.1 oz)
Lemon juice — 10 g (0.4 oz)</t>
        </is>
      </c>
      <c r="M286" s="4" t="inlineStr">
        <is>
          <t>[{"ingredient_id": "turkey_sausage", "name": "Turkey sausage", "grams": 300.0, "note": ""}, {"ingredient_id": "white_beans", "name": "Cannellini beans, cooked", "grams": 400.0, "note": ""}, {"ingredient_id": "swiss_chard", "name": "Swiss chard", "grams": 250.0, "note": ""}, {"ingredient_id": "onion", "name": "Yellow onion", "grams": 100.0, "note": ""}, {"ingredient_id": "garlic", "name": "Garlic", "grams": 8.0, "note": ""}, {"ingredient_id": "chicken_broth", "name": "Chicken broth, low sodium", "grams": 1000.0, "note": ""}, {"ingredient_id": "olive_oil", "name": "Extra-virgin olive oil", "grams": 12.0, "note": ""}, {"ingredient_id": "red_pepper_flakes", "name": "Red pepper flakes", "grams": 1.0, "note": ""}, {"ingredient_id": "parmesan", "name": "Parmesan, grated", "grams": 30.0, "note": ""}, {"ingredient_id": "lemon_juice", "name": "Lemon juice", "grams": 10.0, "note": ""}]</t>
        </is>
      </c>
      <c r="N286" s="2" t="n">
        <v>358</v>
      </c>
      <c r="O286" s="5" t="n">
        <v>27.9</v>
      </c>
      <c r="P286" s="5" t="n">
        <v>13.8</v>
      </c>
      <c r="Q286" s="5" t="n">
        <v>33.7</v>
      </c>
      <c r="R286" s="5" t="n">
        <v>7.8</v>
      </c>
      <c r="S286" s="5" t="n">
        <v>25.8</v>
      </c>
      <c r="T286" s="2" t="n">
        <v>25</v>
      </c>
      <c r="U286" s="2" t="inlineStr">
        <is>
          <t>low</t>
        </is>
      </c>
      <c r="V286" s="5" t="n">
        <v>6.5</v>
      </c>
      <c r="W286" s="2" t="inlineStr">
        <is>
          <t>low</t>
        </is>
      </c>
      <c r="X286" s="3" t="inlineStr"/>
      <c r="Y286" s="3" t="inlineStr">
        <is>
          <t>72% of this dish's available carbohydrate comes from ingredients with a published, measured GI; the rest uses conventional placeholders (see Ingredients sheet)</t>
        </is>
      </c>
      <c r="Z286" s="2" t="n">
        <v>72</v>
      </c>
      <c r="AA286" s="3" t="inlineStr">
        <is>
          <t>gluten-free, nut-free, high-protein, high-fiber</t>
        </is>
      </c>
      <c r="AB286" s="3" t="inlineStr">
        <is>
          <t>1. Brown sausage; add onion and garlic 4 minutes.
2. Add broth and beans; simmer 10 minutes.
3. Stir in chard until wilted; finish with lemon and parmesan.</t>
        </is>
      </c>
      <c r="AC286" s="4" t="inlineStr">
        <is>
          <t>["Brown sausage; add onion and garlic 4 minutes.", "Add broth and beans; simmer 10 minutes.", "Stir in chard until wilted; finish with lemon and parmesan."]</t>
        </is>
      </c>
    </row>
    <row r="287" ht="96" customHeight="1">
      <c r="A287" s="2" t="inlineStr">
        <is>
          <t>DB-0286</t>
        </is>
      </c>
      <c r="B287" s="3" t="inlineStr">
        <is>
          <t>Carrot Ginger Soup</t>
        </is>
      </c>
      <c r="C287" s="4" t="inlineStr">
        <is>
          <t>Soup &amp; Stew</t>
        </is>
      </c>
      <c r="D287" s="4" t="inlineStr">
        <is>
          <t>American</t>
        </is>
      </c>
      <c r="E287" s="2" t="n">
        <v>4</v>
      </c>
      <c r="F287" s="2" t="n">
        <v>10</v>
      </c>
      <c r="G287" s="2" t="n">
        <v>30</v>
      </c>
      <c r="H287" s="2" t="n">
        <v>40</v>
      </c>
      <c r="I287" s="4" t="inlineStr">
        <is>
          <t>carrot-ginger-soup.jpg</t>
        </is>
      </c>
      <c r="J287" s="3" t="inlineStr">
        <is>
          <t>Carrot Ginger Soup, healthy food photography, plated, natural light</t>
        </is>
      </c>
      <c r="K287" s="4" t="inlineStr"/>
      <c r="L287" s="3" t="inlineStr">
        <is>
          <t>Carrot — 600 g (21.2 oz)
Yellow onion — 100 g (3.5 oz)
Fresh ginger — 15 g (0.5 oz)
Garlic — 5 g (0.2 oz)
Vegetable broth, low sodium — 800 g (28.2 oz)
Coconut milk, canned light — 200 g (7.1 oz)
Extra-virgin olive oil — 12 g (0.4 oz)
Cannellini beans, cooked — 150 g (5.3 oz)
Lime juice — 10 g (0.4 oz)
Salt — 3 g (0.1 oz)</t>
        </is>
      </c>
      <c r="M287" s="4" t="inlineStr">
        <is>
          <t>[{"ingredient_id": "carrot", "name": "Carrot", "grams": 600.0, "note": ""}, {"ingredient_id": "onion", "name": "Yellow onion", "grams": 100.0, "note": ""}, {"ingredient_id": "ginger", "name": "Fresh ginger", "grams": 15.0, "note": ""}, {"ingredient_id": "garlic", "name": "Garlic", "grams": 5.0, "note": ""}, {"ingredient_id": "vegetable_broth", "name": "Vegetable broth, low sodium", "grams": 800.0, "note": ""}, {"ingredient_id": "coconut_milk_light", "name": "Coconut milk, canned light", "grams": 200.0, "note": ""}, {"ingredient_id": "olive_oil", "name": "Extra-virgin olive oil", "grams": 12.0, "note": ""}, {"ingredient_id": "white_beans", "name": "Cannellini beans, cooked", "grams": 150.0, "note": ""}, {"ingredient_id": "lime_juice", "name": "Lime juice", "grams": 10.0, "note": ""}, {"ingredient_id": "salt", "name": "Salt", "grams": 3.0, "note": ""}]</t>
        </is>
      </c>
      <c r="N287" s="2" t="n">
        <v>206</v>
      </c>
      <c r="O287" s="5" t="n">
        <v>6.8</v>
      </c>
      <c r="P287" s="5" t="n">
        <v>6.9</v>
      </c>
      <c r="Q287" s="5" t="n">
        <v>31.6</v>
      </c>
      <c r="R287" s="5" t="n">
        <v>7.1</v>
      </c>
      <c r="S287" s="5" t="n">
        <v>24.5</v>
      </c>
      <c r="T287" s="2" t="n">
        <v>29</v>
      </c>
      <c r="U287" s="2" t="inlineStr">
        <is>
          <t>low</t>
        </is>
      </c>
      <c r="V287" s="5" t="n">
        <v>7.1</v>
      </c>
      <c r="W287" s="2" t="inlineStr">
        <is>
          <t>low</t>
        </is>
      </c>
      <c r="X287" s="3" t="inlineStr"/>
      <c r="Y287" s="3" t="inlineStr">
        <is>
          <t>70% of this dish's available carbohydrate comes from ingredients with a published, measured GI; the rest uses conventional placeholders (see Ingredients sheet)</t>
        </is>
      </c>
      <c r="Z287" s="2" t="n">
        <v>70</v>
      </c>
      <c r="AA287" s="3" t="inlineStr">
        <is>
          <t>vegan, gluten-free, dairy-free, nut-free, high-fiber, make-ahead</t>
        </is>
      </c>
      <c r="AB287" s="3" t="inlineStr">
        <is>
          <t>1. Sauté onion, ginger and garlic in oil 5 minutes.
2. Add carrot, beans and broth; simmer 20 minutes.
3. Blend with coconut milk and lime; season.</t>
        </is>
      </c>
      <c r="AC287" s="4" t="inlineStr">
        <is>
          <t>["Sauté onion, ginger and garlic in oil 5 minutes.", "Add carrot, beans and broth; simmer 20 minutes.", "Blend with coconut milk and lime; season."]</t>
        </is>
      </c>
    </row>
    <row r="288" ht="96" customHeight="1">
      <c r="A288" s="2" t="inlineStr">
        <is>
          <t>DB-0287</t>
        </is>
      </c>
      <c r="B288" s="3" t="inlineStr">
        <is>
          <t>Pork &amp; Napa Cabbage Soup</t>
        </is>
      </c>
      <c r="C288" s="4" t="inlineStr">
        <is>
          <t>Soup &amp; Stew</t>
        </is>
      </c>
      <c r="D288" s="4" t="inlineStr">
        <is>
          <t>Chinese</t>
        </is>
      </c>
      <c r="E288" s="2" t="n">
        <v>4</v>
      </c>
      <c r="F288" s="2" t="n">
        <v>10</v>
      </c>
      <c r="G288" s="2" t="n">
        <v>20</v>
      </c>
      <c r="H288" s="2" t="n">
        <v>30</v>
      </c>
      <c r="I288" s="4" t="inlineStr">
        <is>
          <t>pork-and-napa-cabbage-soup.jpg</t>
        </is>
      </c>
      <c r="J288" s="3" t="inlineStr">
        <is>
          <t>Pork &amp; Napa Cabbage Soup, healthy food photography, plated, natural light</t>
        </is>
      </c>
      <c r="K288" s="4" t="inlineStr"/>
      <c r="L288" s="3" t="inlineStr">
        <is>
          <t>Ground pork, lean — 350 g (12.3 oz)
Napa cabbage — 400 g (14.1 oz)
Chicken broth, low sodium — 1200 g (42.3 oz)
Fresh ginger — 10 g (0.4 oz)
Garlic — 6 g (0.2 oz)
Tamari (gluten-free soy sauce) — 20 g (0.7 oz)
Toasted sesame oil — 8 g (0.3 oz)
Shiitake mushrooms — 100 g (3.5 oz)
Green onions (scallions) — 20 g (0.7 oz)
Tofu, extra-firm — 150 g (5.3 oz)</t>
        </is>
      </c>
      <c r="M288" s="4" t="inlineStr">
        <is>
          <t>[{"ingredient_id": "ground_pork", "name": "Ground pork, lean", "grams": 350.0, "note": ""}, {"ingredient_id": "napa_cabbage", "name": "Napa cabbage", "grams": 400.0, "note": ""}, {"ingredient_id": "chicken_broth", "name": "Chicken broth, low sodium", "grams": 1200.0, "note": ""}, {"ingredient_id": "ginger", "name": "Fresh ginger", "grams": 10.0, "note": ""}, {"ingredient_id": "garlic", "name": "Garlic", "grams": 6.0, "note": ""}, {"ingredient_id": "tamari", "name": "Tamari (gluten-free soy sauce)", "grams": 20.0, "note": ""}, {"ingredient_id": "sesame_oil", "name": "Toasted sesame oil", "grams": 8.0, "note": ""}, {"ingredient_id": "shiitake", "name": "Shiitake mushrooms", "grams": 100.0, "note": ""}, {"ingredient_id": "green_onion", "name": "Green onions (scallions)", "grams": 20.0, "note": ""}, {"ingredient_id": "tofu", "name": "Tofu, extra-firm", "grams": 150.0, "note": ""}]</t>
        </is>
      </c>
      <c r="N288" s="2" t="n">
        <v>288</v>
      </c>
      <c r="O288" s="5" t="n">
        <v>28.5</v>
      </c>
      <c r="P288" s="5" t="n">
        <v>16.8</v>
      </c>
      <c r="Q288" s="5" t="n">
        <v>9.1</v>
      </c>
      <c r="R288" s="5" t="n">
        <v>2.8</v>
      </c>
      <c r="S288" s="5" t="n">
        <v>6.3</v>
      </c>
      <c r="T288" s="2" t="n">
        <v>13</v>
      </c>
      <c r="U288" s="2" t="inlineStr">
        <is>
          <t>low</t>
        </is>
      </c>
      <c r="V288" s="5" t="n">
        <v>0.8</v>
      </c>
      <c r="W288" s="2" t="inlineStr">
        <is>
          <t>low</t>
        </is>
      </c>
      <c r="X288" s="3" t="inlineStr"/>
      <c r="Y288" s="3" t="inlineStr">
        <is>
          <t>0% of this dish's available carbohydrate comes from ingredients with a published, measured GI; the rest uses conventional placeholders (see Ingredients sheet)</t>
        </is>
      </c>
      <c r="Z288" s="2" t="n">
        <v>0</v>
      </c>
      <c r="AA288" s="3" t="inlineStr">
        <is>
          <t>gluten-free, dairy-free, nut-free, low-carb, high-protein</t>
        </is>
      </c>
      <c r="AB288" s="3" t="inlineStr">
        <is>
          <t>1. Brown pork with ginger and garlic; add tamari.
2. Add broth and shiitake; simmer 8 minutes.
3. Add cabbage and tofu; cook 5 minutes; finish with sesame oil and green onion.</t>
        </is>
      </c>
      <c r="AC288" s="4" t="inlineStr">
        <is>
          <t>["Brown pork with ginger and garlic; add tamari.", "Add broth and shiitake; simmer 8 minutes.", "Add cabbage and tofu; cook 5 minutes; finish with sesame oil and green onion."]</t>
        </is>
      </c>
    </row>
    <row r="289" ht="96" customHeight="1">
      <c r="A289" s="2" t="inlineStr">
        <is>
          <t>DB-0288</t>
        </is>
      </c>
      <c r="B289" s="3" t="inlineStr">
        <is>
          <t>Chickpea Noodle Soup</t>
        </is>
      </c>
      <c r="C289" s="4" t="inlineStr">
        <is>
          <t>Soup &amp; Stew</t>
        </is>
      </c>
      <c r="D289" s="4" t="inlineStr">
        <is>
          <t>American</t>
        </is>
      </c>
      <c r="E289" s="2" t="n">
        <v>4</v>
      </c>
      <c r="F289" s="2" t="n">
        <v>10</v>
      </c>
      <c r="G289" s="2" t="n">
        <v>25</v>
      </c>
      <c r="H289" s="2" t="n">
        <v>35</v>
      </c>
      <c r="I289" s="4" t="inlineStr">
        <is>
          <t>chickpea-noodle-soup.jpg</t>
        </is>
      </c>
      <c r="J289" s="3" t="inlineStr">
        <is>
          <t>Chickpea Noodle Soup, healthy food photography, plated, natural light</t>
        </is>
      </c>
      <c r="K289" s="4" t="inlineStr"/>
      <c r="L289" s="3" t="inlineStr">
        <is>
          <t>Chickpeas, cooked — 400 g (14.1 oz)
Chickpea pasta, cooked — 200 g (7.1 oz)
Vegetable broth, low sodium — 1200 g (42.3 oz)
Carrot — 120 g (4.2 oz)
Celery — 120 g (4.2 oz)
Yellow onion — 100 g (3.5 oz)
Garlic — 8 g (0.3 oz)
Fresh thyme — 2 g (0.1 oz)
Ground turmeric — 1 g (0.0 oz)
Extra-virgin olive oil — 12 g (0.4 oz)
Fresh parsley — 8 g (0.3 oz)
Lemon juice — 10 g (0.4 oz)
Salt — 3 g (0.1 oz)</t>
        </is>
      </c>
      <c r="M289" s="4" t="inlineStr">
        <is>
          <t>[{"ingredient_id": "chickpeas", "name": "Chickpeas, cooked", "grams": 400.0, "note": ""}, {"ingredient_id": "chickpea_pasta", "name": "Chickpea pasta, cooked", "grams": 200.0, "note": ""}, {"ingredient_id": "vegetable_broth", "name": "Vegetable broth, low sodium", "grams": 1200.0, "note": ""}, {"ingredient_id": "carrot", "name": "Carrot", "grams": 120.0, "note": ""}, {"ingredient_id": "celery", "name": "Celery", "grams": 120.0, "note": ""}, {"ingredient_id": "onion", "name": "Yellow onion", "grams": 100.0, "note": ""}, {"ingredient_id": "garlic", "name": "Garlic", "grams": 8.0, "note": ""}, {"ingredient_id": "thyme", "name": "Fresh thyme", "grams": 2.0, "note": ""}, {"ingredient_id": "turmeric", "name": "Ground turmeric", "grams": 1.0, "note": ""}, {"ingredient_id": "olive_oil", "name": "Extra-virgin olive oil", "grams": 12.0, "note": ""}, {"ingredient_id": "parsley", "name": "Fresh parsley", "grams": 8.0, "note": ""}, {"ingredient_id": "lemon_juice", "name": "Lemon juice", "grams": 10.0, "note": ""}, {"ingredient_id": "salt", "name": "Salt", "grams": 3.0, "note": ""}]</t>
        </is>
      </c>
      <c r="N289" s="2" t="n">
        <v>330</v>
      </c>
      <c r="O289" s="5" t="n">
        <v>17.4</v>
      </c>
      <c r="P289" s="5" t="n">
        <v>7.9</v>
      </c>
      <c r="Q289" s="5" t="n">
        <v>52.4</v>
      </c>
      <c r="R289" s="5" t="n">
        <v>12.6</v>
      </c>
      <c r="S289" s="5" t="n">
        <v>39.8</v>
      </c>
      <c r="T289" s="2" t="n">
        <v>30</v>
      </c>
      <c r="U289" s="2" t="inlineStr">
        <is>
          <t>low</t>
        </is>
      </c>
      <c r="V289" s="5" t="n">
        <v>11.9</v>
      </c>
      <c r="W289" s="2" t="inlineStr">
        <is>
          <t>medium</t>
        </is>
      </c>
      <c r="X289" s="3" t="inlineStr"/>
      <c r="Y289" s="3" t="inlineStr">
        <is>
          <t>54% of this dish's available carbohydrate comes from ingredients with a published, measured GI; the rest uses conventional placeholders (see Ingredients sheet)</t>
        </is>
      </c>
      <c r="Z289" s="2" t="n">
        <v>54</v>
      </c>
      <c r="AA289" s="3" t="inlineStr">
        <is>
          <t>vegan, gluten-free, dairy-free, nut-free, high-fiber, make-ahead</t>
        </is>
      </c>
      <c r="AB289" s="3" t="inlineStr">
        <is>
          <t>1. Sauté onion, carrot, celery in oil; add garlic, thyme, turmeric.
2. Add broth and chickpeas; simmer 12 minutes.
3. Add pasta and cook 6–7 minutes; finish with parsley and lemon.</t>
        </is>
      </c>
      <c r="AC289" s="4" t="inlineStr">
        <is>
          <t>["Sauté onion, carrot, celery in oil; add garlic, thyme, turmeric.", "Add broth and chickpeas; simmer 12 minutes.", "Add pasta and cook 6–7 minutes; finish with parsley and lemon."]</t>
        </is>
      </c>
    </row>
    <row r="290" ht="96" customHeight="1">
      <c r="A290" s="2" t="inlineStr">
        <is>
          <t>DB-0289</t>
        </is>
      </c>
      <c r="B290" s="3" t="inlineStr">
        <is>
          <t>Beef &amp; Cabbage Soup</t>
        </is>
      </c>
      <c r="C290" s="4" t="inlineStr">
        <is>
          <t>Soup &amp; Stew</t>
        </is>
      </c>
      <c r="D290" s="4" t="inlineStr">
        <is>
          <t>American</t>
        </is>
      </c>
      <c r="E290" s="2" t="n">
        <v>5</v>
      </c>
      <c r="F290" s="2" t="n">
        <v>10</v>
      </c>
      <c r="G290" s="2" t="n">
        <v>35</v>
      </c>
      <c r="H290" s="2" t="n">
        <v>45</v>
      </c>
      <c r="I290" s="4" t="inlineStr">
        <is>
          <t>beef-and-cabbage-soup.jpg</t>
        </is>
      </c>
      <c r="J290" s="3" t="inlineStr">
        <is>
          <t>Beef &amp; Cabbage Soup, healthy food photography, plated, natural light</t>
        </is>
      </c>
      <c r="K290" s="4" t="inlineStr"/>
      <c r="L290" s="3" t="inlineStr">
        <is>
          <t>Ground beef 90% lean — 500 g (17.6 oz)
Green cabbage — 500 g (17.6 oz)
Diced tomatoes, canned — 400 g (14.1 oz)
Beef broth, low sodium — 1200 g (42.3 oz)
Yellow onion — 120 g (4.2 oz)
Carrot — 100 g (3.5 oz)
Garlic — 8 g (0.3 oz)
Paprika — 3 g (0.1 oz)
Extra-virgin olive oil — 10 g (0.4 oz)
Apple cider vinegar — 10 g (0.4 oz)
Salt — 4 g (0.1 oz)</t>
        </is>
      </c>
      <c r="M290" s="4" t="inlineStr">
        <is>
          <t>[{"ingredient_id": "ground_beef", "name": "Ground beef 90% lean", "grams": 500.0, "note": ""}, {"ingredient_id": "cabbage", "name": "Green cabbage", "grams": 500.0, "note": ""}, {"ingredient_id": "diced_tomatoes", "name": "Diced tomatoes, canned", "grams": 400.0, "note": ""}, {"ingredient_id": "beef_broth", "name": "Beef broth, low sodium", "grams": 1200.0, "note": ""}, {"ingredient_id": "onion", "name": "Yellow onion", "grams": 120.0, "note": ""}, {"ingredient_id": "carrot", "name": "Carrot", "grams": 100.0, "note": ""}, {"ingredient_id": "garlic", "name": "Garlic", "grams": 8.0, "note": ""}, {"ingredient_id": "paprika", "name": "Paprika", "grams": 3.0, "note": ""}, {"ingredient_id": "olive_oil", "name": "Extra-virgin olive oil", "grams": 10.0, "note": ""}, {"ingredient_id": "apple_cider_vinegar", "name": "Apple cider vinegar", "grams": 10.0, "note": ""}, {"ingredient_id": "salt", "name": "Salt", "grams": 4.0, "note": ""}]</t>
        </is>
      </c>
      <c r="N290" s="2" t="n">
        <v>277</v>
      </c>
      <c r="O290" s="5" t="n">
        <v>26</v>
      </c>
      <c r="P290" s="5" t="n">
        <v>12.9</v>
      </c>
      <c r="Q290" s="5" t="n">
        <v>15.8</v>
      </c>
      <c r="R290" s="5" t="n">
        <v>4.9</v>
      </c>
      <c r="S290" s="5" t="n">
        <v>10.9</v>
      </c>
      <c r="T290" s="2" t="n">
        <v>22</v>
      </c>
      <c r="U290" s="2" t="inlineStr">
        <is>
          <t>low</t>
        </is>
      </c>
      <c r="V290" s="5" t="n">
        <v>2.4</v>
      </c>
      <c r="W290" s="2" t="inlineStr">
        <is>
          <t>low</t>
        </is>
      </c>
      <c r="X290" s="3" t="inlineStr"/>
      <c r="Y290" s="3" t="inlineStr">
        <is>
          <t>13% of this dish's available carbohydrate comes from ingredients with a published, measured GI; the rest uses conventional placeholders (see Ingredients sheet)</t>
        </is>
      </c>
      <c r="Z290" s="2" t="n">
        <v>13</v>
      </c>
      <c r="AA290" s="3" t="inlineStr">
        <is>
          <t>gluten-free, dairy-free, nut-free, low-carb, high-protein, make-ahead</t>
        </is>
      </c>
      <c r="AB290" s="3" t="inlineStr">
        <is>
          <t>1. Brown beef with onion in oil; add garlic and paprika.
2. Add broth, tomatoes, carrot and cabbage; simmer 25 minutes.
3. Finish with vinegar and salt.</t>
        </is>
      </c>
      <c r="AC290" s="4" t="inlineStr">
        <is>
          <t>["Brown beef with onion in oil; add garlic and paprika.", "Add broth, tomatoes, carrot and cabbage; simmer 25 minutes.", "Finish with vinegar and salt."]</t>
        </is>
      </c>
    </row>
    <row r="291" ht="96" customHeight="1">
      <c r="A291" s="2" t="inlineStr">
        <is>
          <t>DB-0290</t>
        </is>
      </c>
      <c r="B291" s="3" t="inlineStr">
        <is>
          <t>Chicken Tikka Masala Soup</t>
        </is>
      </c>
      <c r="C291" s="4" t="inlineStr">
        <is>
          <t>Soup &amp; Stew</t>
        </is>
      </c>
      <c r="D291" s="4" t="inlineStr">
        <is>
          <t>Indian</t>
        </is>
      </c>
      <c r="E291" s="2" t="n">
        <v>4</v>
      </c>
      <c r="F291" s="2" t="n">
        <v>15</v>
      </c>
      <c r="G291" s="2" t="n">
        <v>35</v>
      </c>
      <c r="H291" s="2" t="n">
        <v>50</v>
      </c>
      <c r="I291" s="4" t="inlineStr">
        <is>
          <t>chicken-tikka-masala-soup.jpg</t>
        </is>
      </c>
      <c r="J291" s="3" t="inlineStr">
        <is>
          <t>Chicken Tikka Masala Soup, healthy food photography, plated, natural light</t>
        </is>
      </c>
      <c r="K291" s="4" t="inlineStr"/>
      <c r="L291" s="3" t="inlineStr">
        <is>
          <t>Chicken breast, skinless — 450 g (15.9 oz)
Crushed tomatoes, canned — 500 g (17.6 oz)
Chicken broth, low sodium — 700 g (24.7 oz)
Yellow onion — 120 g (4.2 oz)
Garlic — 8 g (0.3 oz)
Fresh ginger — 10 g (0.4 oz)
Garam masala — 8 g (0.3 oz)
Ground turmeric — 2 g (0.1 oz)
Cauliflower — 300 g (10.6 oz)
Greek yogurt, plain 2% — 120 g (4.2 oz)
Extra-virgin olive oil — 12 g (0.4 oz)
Fresh cilantro — 8 g (0.3 oz)
Salt — 3 g (0.1 oz)</t>
        </is>
      </c>
      <c r="M291" s="4" t="inlineStr">
        <is>
          <t>[{"ingredient_id": "chicken_breast", "name": "Chicken breast, skinless", "grams": 450.0, "note": ""}, {"ingredient_id": "crushed_tomatoes", "name": "Crushed tomatoes, canned", "grams": 500.0, "note": ""}, {"ingredient_id": "chicken_broth", "name": "Chicken broth, low sodium", "grams": 700.0, "note": ""}, {"ingredient_id": "onion", "name": "Yellow onion", "grams": 120.0, "note": ""}, {"ingredient_id": "garlic", "name": "Garlic", "grams": 8.0, "note": ""}, {"ingredient_id": "ginger", "name": "Fresh ginger", "grams": 10.0, "note": ""}, {"ingredient_id": "garam_masala", "name": "Garam masala", "grams": 8.0, "note": ""}, {"ingredient_id": "turmeric", "name": "Ground turmeric", "grams": 2.0, "note": ""}, {"ingredient_id": "cauliflower", "name": "Cauliflower", "grams": 300.0, "note": ""}, {"ingredient_id": "greek_yogurt", "name": "Greek yogurt, plain 2%", "grams": 120.0, "note": ""}, {"ingredient_id": "olive_oil", "name": "Extra-virgin olive oil", "grams": 12.0, "note": ""}, {"ingredient_id": "cilantro", "name": "Fresh cilantro", "grams": 8.0, "note": ""}, {"ingredient_id": "salt", "name": "Salt", "grams": 3.0, "note": ""}]</t>
        </is>
      </c>
      <c r="N291" s="2" t="n">
        <v>280</v>
      </c>
      <c r="O291" s="5" t="n">
        <v>34.4</v>
      </c>
      <c r="P291" s="5" t="n">
        <v>7.8</v>
      </c>
      <c r="Q291" s="5" t="n">
        <v>20</v>
      </c>
      <c r="R291" s="5" t="n">
        <v>5.7</v>
      </c>
      <c r="S291" s="5" t="n">
        <v>14.3</v>
      </c>
      <c r="T291" s="2" t="n">
        <v>23</v>
      </c>
      <c r="U291" s="2" t="inlineStr">
        <is>
          <t>low</t>
        </is>
      </c>
      <c r="V291" s="5" t="n">
        <v>3.3</v>
      </c>
      <c r="W291" s="2" t="inlineStr">
        <is>
          <t>low</t>
        </is>
      </c>
      <c r="X291" s="3" t="inlineStr"/>
      <c r="Y291" s="3" t="inlineStr">
        <is>
          <t>8% of this dish's available carbohydrate comes from ingredients with a published, measured GI; the rest uses conventional placeholders (see Ingredients sheet)</t>
        </is>
      </c>
      <c r="Z291" s="2" t="n">
        <v>8</v>
      </c>
      <c r="AA291" s="3" t="inlineStr">
        <is>
          <t>gluten-free, nut-free, low-carb, high-protein</t>
        </is>
      </c>
      <c r="AB291" s="3" t="inlineStr">
        <is>
          <t>1. Sauté onion, garlic, ginger and spices in oil 5 minutes.
2. Add tomatoes, broth, chicken and cauliflower; simmer 20 minutes; shred chicken.
3. Stir in yogurt off heat; garnish cilantro.</t>
        </is>
      </c>
      <c r="AC291" s="4" t="inlineStr">
        <is>
          <t>["Sauté onion, garlic, ginger and spices in oil 5 minutes.", "Add tomatoes, broth, chicken and cauliflower; simmer 20 minutes; shred chicken.", "Stir in yogurt off heat; garnish cilantro."]</t>
        </is>
      </c>
    </row>
    <row r="292" ht="96" customHeight="1">
      <c r="A292" s="2" t="inlineStr">
        <is>
          <t>DB-0291</t>
        </is>
      </c>
      <c r="B292" s="3" t="inlineStr">
        <is>
          <t>Asparagus &amp; Leek Soup</t>
        </is>
      </c>
      <c r="C292" s="4" t="inlineStr">
        <is>
          <t>Soup &amp; Stew</t>
        </is>
      </c>
      <c r="D292" s="4" t="inlineStr">
        <is>
          <t>French</t>
        </is>
      </c>
      <c r="E292" s="2" t="n">
        <v>4</v>
      </c>
      <c r="F292" s="2" t="n">
        <v>10</v>
      </c>
      <c r="G292" s="2" t="n">
        <v>25</v>
      </c>
      <c r="H292" s="2" t="n">
        <v>35</v>
      </c>
      <c r="I292" s="4" t="inlineStr">
        <is>
          <t>asparagus-and-leek-soup.jpg</t>
        </is>
      </c>
      <c r="J292" s="3" t="inlineStr">
        <is>
          <t>Asparagus &amp; Leek Soup, healthy food photography, plated, natural light</t>
        </is>
      </c>
      <c r="K292" s="4" t="inlineStr"/>
      <c r="L292" s="3" t="inlineStr">
        <is>
          <t>Asparagus — 600 g (21.2 oz)
Leek — 200 g (7.1 oz)
Garlic — 5 g (0.2 oz)
Vegetable broth, low sodium — 800 g (28.2 oz)
Cannellini beans, cooked — 200 g (7.1 oz)
Extra-virgin olive oil — 15 g (0.5 oz)
Lemon juice — 12 g (0.4 oz)
Greek yogurt, plain 2% — 60 g (2.1 oz)
Fresh chives — 5 g (0.2 oz)
Salt — 3 g (0.1 oz)</t>
        </is>
      </c>
      <c r="M292" s="4" t="inlineStr">
        <is>
          <t>[{"ingredient_id": "asparagus", "name": "Asparagus", "grams": 600.0, "note": ""}, {"ingredient_id": "leek", "name": "Leek", "grams": 200.0, "note": ""}, {"ingredient_id": "garlic", "name": "Garlic", "grams": 5.0, "note": ""}, {"ingredient_id": "vegetable_broth", "name": "Vegetable broth, low sodium", "grams": 800.0, "note": ""}, {"ingredient_id": "white_beans", "name": "Cannellini beans, cooked", "grams": 200.0, "note": ""}, {"ingredient_id": "olive_oil", "name": "Extra-virgin olive oil", "grams": 15.0, "note": ""}, {"ingredient_id": "lemon_juice", "name": "Lemon juice", "grams": 12.0, "note": ""}, {"ingredient_id": "greek_yogurt", "name": "Greek yogurt, plain 2%", "grams": 60.0, "note": ""}, {"ingredient_id": "chives", "name": "Fresh chives", "grams": 5.0, "note": ""}, {"ingredient_id": "salt", "name": "Salt", "grams": 3.0, "note": ""}]</t>
        </is>
      </c>
      <c r="N292" s="2" t="n">
        <v>193</v>
      </c>
      <c r="O292" s="5" t="n">
        <v>11.5</v>
      </c>
      <c r="P292" s="5" t="n">
        <v>5</v>
      </c>
      <c r="Q292" s="5" t="n">
        <v>29.6</v>
      </c>
      <c r="R292" s="5" t="n">
        <v>7.3</v>
      </c>
      <c r="S292" s="5" t="n">
        <v>22.4</v>
      </c>
      <c r="T292" s="2" t="n">
        <v>20</v>
      </c>
      <c r="U292" s="2" t="inlineStr">
        <is>
          <t>low</t>
        </is>
      </c>
      <c r="V292" s="5" t="n">
        <v>4.5</v>
      </c>
      <c r="W292" s="2" t="inlineStr">
        <is>
          <t>low</t>
        </is>
      </c>
      <c r="X292" s="3" t="inlineStr"/>
      <c r="Y292" s="3" t="inlineStr">
        <is>
          <t>45% of this dish's available carbohydrate comes from ingredients with a published, measured GI; the rest uses conventional placeholders (see Ingredients sheet)</t>
        </is>
      </c>
      <c r="Z292" s="2" t="n">
        <v>45</v>
      </c>
      <c r="AA292" s="3" t="inlineStr">
        <is>
          <t>vegetarian, gluten-free, nut-free, high-fiber</t>
        </is>
      </c>
      <c r="AB292" s="3" t="inlineStr">
        <is>
          <t>1. Sauté leek and garlic in oil 6 minutes.
2. Add asparagus, beans and broth; simmer 12 minutes.
3. Blend smooth with lemon; serve with yogurt and chives.</t>
        </is>
      </c>
      <c r="AC292" s="4" t="inlineStr">
        <is>
          <t>["Sauté leek and garlic in oil 6 minutes.", "Add asparagus, beans and broth; simmer 12 minutes.", "Blend smooth with lemon; serve with yogurt and chives."]</t>
        </is>
      </c>
    </row>
    <row r="293" ht="96" customHeight="1">
      <c r="A293" s="2" t="inlineStr">
        <is>
          <t>DB-0292</t>
        </is>
      </c>
      <c r="B293" s="3" t="inlineStr">
        <is>
          <t>Hot &amp; Sour Soup</t>
        </is>
      </c>
      <c r="C293" s="4" t="inlineStr">
        <is>
          <t>Soup &amp; Stew</t>
        </is>
      </c>
      <c r="D293" s="4" t="inlineStr">
        <is>
          <t>Chinese</t>
        </is>
      </c>
      <c r="E293" s="2" t="n">
        <v>3</v>
      </c>
      <c r="F293" s="2" t="n">
        <v>10</v>
      </c>
      <c r="G293" s="2" t="n">
        <v>15</v>
      </c>
      <c r="H293" s="2" t="n">
        <v>25</v>
      </c>
      <c r="I293" s="4" t="inlineStr">
        <is>
          <t>hot-and-sour-soup.jpg</t>
        </is>
      </c>
      <c r="J293" s="3" t="inlineStr">
        <is>
          <t>Hot &amp; Sour Soup, healthy food photography, plated, natural light</t>
        </is>
      </c>
      <c r="K293" s="4" t="inlineStr"/>
      <c r="L293" s="3" t="inlineStr">
        <is>
          <t>Chicken broth, low sodium — 900 g (31.7 oz)
Tofu, extra-firm — 200 g (7.1 oz)
Shiitake mushrooms — 120 g (4.2 oz)
Egg, large (50 g each) — 100 g (3.5 oz) [2 large eggs]
Rice vinegar, unseasoned — 30 g (1.1 oz)
Tamari (gluten-free soy sauce) — 20 g (0.7 oz)
Fresh ginger — 8 g (0.3 oz)
Toasted sesame oil — 8 g (0.3 oz)
Green onions (scallions) — 15 g (0.5 oz)
Mung bean sprouts — 60 g (2.1 oz)</t>
        </is>
      </c>
      <c r="M293" s="4" t="inlineStr">
        <is>
          <t>[{"ingredient_id": "chicken_broth", "name": "Chicken broth, low sodium", "grams": 900.0, "note": ""}, {"ingredient_id": "tofu", "name": "Tofu, extra-firm", "grams": 200.0, "note": ""}, {"ingredient_id": "shiitake", "name": "Shiitake mushrooms", "grams": 120.0, "note": ""}, {"ingredient_id": "egg", "name": "Egg, large (50 g each)", "grams": 100.0, "note": "2 large eggs"}, {"ingredient_id": "rice_vinegar", "name": "Rice vinegar, unseasoned", "grams": 30.0, "note": ""}, {"ingredient_id": "tamari", "name": "Tamari (gluten-free soy sauce)", "grams": 20.0, "note": ""}, {"ingredient_id": "ginger", "name": "Fresh ginger", "grams": 8.0, "note": ""}, {"ingredient_id": "sesame_oil", "name": "Toasted sesame oil", "grams": 8.0, "note": ""}, {"ingredient_id": "green_onion", "name": "Green onions (scallions)", "grams": 15.0, "note": ""}, {"ingredient_id": "bean_sprouts", "name": "Mung bean sprouts", "grams": 60.0, "note": ""}]</t>
        </is>
      </c>
      <c r="N293" s="2" t="n">
        <v>217</v>
      </c>
      <c r="O293" s="5" t="n">
        <v>20.8</v>
      </c>
      <c r="P293" s="5" t="n">
        <v>12.7</v>
      </c>
      <c r="Q293" s="5" t="n">
        <v>8.9</v>
      </c>
      <c r="R293" s="5" t="n">
        <v>2.9</v>
      </c>
      <c r="S293" s="5" t="n">
        <v>6</v>
      </c>
      <c r="T293" s="2" t="n">
        <v>11</v>
      </c>
      <c r="U293" s="2" t="inlineStr">
        <is>
          <t>low</t>
        </is>
      </c>
      <c r="V293" s="5" t="n">
        <v>0.7</v>
      </c>
      <c r="W293" s="2" t="inlineStr">
        <is>
          <t>low</t>
        </is>
      </c>
      <c r="X293" s="3" t="inlineStr"/>
      <c r="Y293" s="3" t="inlineStr">
        <is>
          <t>0% of this dish's available carbohydrate comes from ingredients with a published, measured GI; the rest uses conventional placeholders (see Ingredients sheet)</t>
        </is>
      </c>
      <c r="Z293" s="2" t="n">
        <v>0</v>
      </c>
      <c r="AA293" s="3" t="inlineStr">
        <is>
          <t>vegetarian, gluten-free, dairy-free, nut-free, low-carb, quick</t>
        </is>
      </c>
      <c r="AB293" s="3" t="inlineStr">
        <is>
          <t>1. Simmer broth with shiitake, ginger, tamari and vinegar 8 minutes.
2. Add tofu strips; drizzle in beaten eggs while stirring.
3. Finish with sesame oil, pepper, sprouts and green onion.</t>
        </is>
      </c>
      <c r="AC293" s="4" t="inlineStr">
        <is>
          <t>["Simmer broth with shiitake, ginger, tamari and vinegar 8 minutes.", "Add tofu strips; drizzle in beaten eggs while stirring.", "Finish with sesame oil, pepper, sprouts and green onion."]</t>
        </is>
      </c>
    </row>
    <row r="294" ht="96" customHeight="1">
      <c r="A294" s="2" t="inlineStr">
        <is>
          <t>DB-0293</t>
        </is>
      </c>
      <c r="B294" s="3" t="inlineStr">
        <is>
          <t>Lamb &amp; Chickpea Stew</t>
        </is>
      </c>
      <c r="C294" s="4" t="inlineStr">
        <is>
          <t>Soup &amp; Stew</t>
        </is>
      </c>
      <c r="D294" s="4" t="inlineStr">
        <is>
          <t>Moroccan</t>
        </is>
      </c>
      <c r="E294" s="2" t="n">
        <v>5</v>
      </c>
      <c r="F294" s="2" t="n">
        <v>20</v>
      </c>
      <c r="G294" s="2" t="n">
        <v>90</v>
      </c>
      <c r="H294" s="2" t="n">
        <v>110</v>
      </c>
      <c r="I294" s="4" t="inlineStr">
        <is>
          <t>lamb-and-chickpea-stew.jpg</t>
        </is>
      </c>
      <c r="J294" s="3" t="inlineStr">
        <is>
          <t>Lamb &amp; Chickpea Stew, healthy food photography, plated, natural light</t>
        </is>
      </c>
      <c r="K294" s="4" t="inlineStr"/>
      <c r="L294" s="3" t="inlineStr">
        <is>
          <t>Lamb leg, trimmed — 600 g (21.2 oz)
Chickpeas, cooked — 400 g (14.1 oz)
Diced tomatoes, canned — 400 g (14.1 oz)
Chicken broth, low sodium — 800 g (28.2 oz)
Yellow onion — 150 g (5.3 oz)
Carrot — 150 g (5.3 oz)
Garlic — 10 g (0.4 oz)
Ground cumin — 4 g (0.1 oz)
Ground coriander — 3 g (0.1 oz)
Ground cinnamon — 2 g (0.1 oz)
Ground turmeric — 2 g (0.1 oz)
Extra-virgin olive oil — 20 g (0.7 oz)
Fresh cilantro — 10 g (0.4 oz)
Lemon juice — 15 g (0.5 oz)
Salt — 4 g (0.1 oz)</t>
        </is>
      </c>
      <c r="M294" s="4" t="inlineStr">
        <is>
          <t>[{"ingredient_id": "lamb_leg", "name": "Lamb leg, trimmed", "grams": 600.0, "note": ""}, {"ingredient_id": "chickpeas", "name": "Chickpeas, cooked", "grams": 400.0, "note": ""}, {"ingredient_id": "diced_tomatoes", "name": "Diced tomatoes, canned", "grams": 400.0, "note": ""}, {"ingredient_id": "chicken_broth", "name": "Chicken broth, low sodium", "grams": 800.0, "note": ""}, {"ingredient_id": "onion", "name": "Yellow onion", "grams": 150.0, "note": ""}, {"ingredient_id": "carrot", "name": "Carrot", "grams": 150.0, "note": ""}, {"ingredient_id": "garlic", "name": "Garlic", "grams": 10.0, "note": ""}, {"ingredient_id": "cumin", "name": "Ground cumin", "grams": 4.0, "note": ""}, {"ingredient_id": "coriander", "name": "Ground coriander", "grams": 3.0, "note": ""}, {"ingredient_id": "cinnamon", "name": "Ground cinnamon", "grams": 2.0, "note": ""}, {"ingredient_id": "turmeric", "name": "Ground turmeric", "grams": 2.0, "note": ""}, {"ingredient_id": "olive_oil", "name": "Extra-virgin olive oil", "grams": 20.0, "note": ""}, {"ingredient_id": "cilantro", "name": "Fresh cilantro", "grams": 10.0, "note": ""}, {"ingredient_id": "lemon_juice", "name": "Lemon juice", "grams": 15.0, "note": ""}, {"ingredient_id": "salt", "name": "Salt", "grams": 4.0, "note": ""}]</t>
        </is>
      </c>
      <c r="N294" s="2" t="n">
        <v>424</v>
      </c>
      <c r="O294" s="5" t="n">
        <v>34.7</v>
      </c>
      <c r="P294" s="5" t="n">
        <v>17.8</v>
      </c>
      <c r="Q294" s="5" t="n">
        <v>34.3</v>
      </c>
      <c r="R294" s="5" t="n">
        <v>9.4</v>
      </c>
      <c r="S294" s="5" t="n">
        <v>24.9</v>
      </c>
      <c r="T294" s="2" t="n">
        <v>33</v>
      </c>
      <c r="U294" s="2" t="inlineStr">
        <is>
          <t>low</t>
        </is>
      </c>
      <c r="V294" s="5" t="n">
        <v>8.199999999999999</v>
      </c>
      <c r="W294" s="2" t="inlineStr">
        <is>
          <t>low</t>
        </is>
      </c>
      <c r="X294" s="3" t="inlineStr"/>
      <c r="Y294" s="3" t="inlineStr">
        <is>
          <t>70% of this dish's available carbohydrate comes from ingredients with a published, measured GI; the rest uses conventional placeholders (see Ingredients sheet)</t>
        </is>
      </c>
      <c r="Z294" s="2" t="n">
        <v>70</v>
      </c>
      <c r="AA294" s="3" t="inlineStr">
        <is>
          <t>gluten-free, dairy-free, nut-free, high-protein, high-fiber, make-ahead</t>
        </is>
      </c>
      <c r="AB294" s="3" t="inlineStr">
        <is>
          <t>1. Brown lamb cubes in oil; remove. Sauté onion, carrot, garlic and spices 6 minutes.
2. Return lamb with tomatoes and broth; simmer covered 60 minutes.
3. Add chickpeas for 20 minutes; finish with lemon and cilantro.</t>
        </is>
      </c>
      <c r="AC294" s="4" t="inlineStr">
        <is>
          <t>["Brown lamb cubes in oil; remove. Sauté onion, carrot, garlic and spices 6 minutes.", "Return lamb with tomatoes and broth; simmer covered 60 minutes.", "Add chickpeas for 20 minutes; finish with lemon and cilantro."]</t>
        </is>
      </c>
    </row>
    <row r="295" ht="96" customHeight="1">
      <c r="A295" s="2" t="inlineStr">
        <is>
          <t>DB-0294</t>
        </is>
      </c>
      <c r="B295" s="3" t="inlineStr">
        <is>
          <t>Creamy Mushroom Soup (No Cream)</t>
        </is>
      </c>
      <c r="C295" s="4" t="inlineStr">
        <is>
          <t>Soup &amp; Stew</t>
        </is>
      </c>
      <c r="D295" s="4" t="inlineStr">
        <is>
          <t>French</t>
        </is>
      </c>
      <c r="E295" s="2" t="n">
        <v>4</v>
      </c>
      <c r="F295" s="2" t="n">
        <v>10</v>
      </c>
      <c r="G295" s="2" t="n">
        <v>25</v>
      </c>
      <c r="H295" s="2" t="n">
        <v>35</v>
      </c>
      <c r="I295" s="4" t="inlineStr">
        <is>
          <t>creamy-mushroom-soup-no-cream.jpg</t>
        </is>
      </c>
      <c r="J295" s="3" t="inlineStr">
        <is>
          <t>Creamy Mushroom Soup (No Cream), healthy food photography, plated, natural light</t>
        </is>
      </c>
      <c r="K295" s="4" t="inlineStr"/>
      <c r="L295" s="3" t="inlineStr">
        <is>
          <t>Mushrooms (cremini/white) — 600 g (21.2 oz)
Cauliflower — 250 g (8.8 oz)
Yellow onion — 100 g (3.5 oz)
Garlic — 8 g (0.3 oz)
Vegetable broth, low sodium — 800 g (28.2 oz)
Milk, 2% — 150 g (5.3 oz)
Fresh thyme — 3 g (0.1 oz)
Extra-virgin olive oil — 15 g (0.5 oz)
Dry white wine (cooking) — 50 g (1.8 oz)
Salt — 3 g (0.1 oz)</t>
        </is>
      </c>
      <c r="M295" s="4" t="inlineStr">
        <is>
          <t>[{"ingredient_id": "mushrooms", "name": "Mushrooms (cremini/white)", "grams": 600.0, "note": ""}, {"ingredient_id": "cauliflower", "name": "Cauliflower", "grams": 250.0, "note": ""}, {"ingredient_id": "onion", "name": "Yellow onion", "grams": 100.0, "note": ""}, {"ingredient_id": "garlic", "name": "Garlic", "grams": 8.0, "note": ""}, {"ingredient_id": "vegetable_broth", "name": "Vegetable broth, low sodium", "grams": 800.0, "note": ""}, {"ingredient_id": "milk", "name": "Milk, 2%", "grams": 150.0, "note": ""}, {"ingredient_id": "thyme", "name": "Fresh thyme", "grams": 3.0, "note": ""}, {"ingredient_id": "olive_oil", "name": "Extra-virgin olive oil", "grams": 15.0, "note": ""}, {"ingredient_id": "white_wine", "name": "Dry white wine (cooking)", "grams": 50.0, "note": ""}, {"ingredient_id": "salt", "name": "Salt", "grams": 3.0, "note": ""}]</t>
        </is>
      </c>
      <c r="N295" s="2" t="n">
        <v>141</v>
      </c>
      <c r="O295" s="5" t="n">
        <v>8.5</v>
      </c>
      <c r="P295" s="5" t="n">
        <v>5.6</v>
      </c>
      <c r="Q295" s="5" t="n">
        <v>16.4</v>
      </c>
      <c r="R295" s="5" t="n">
        <v>3.3</v>
      </c>
      <c r="S295" s="5" t="n">
        <v>13</v>
      </c>
      <c r="T295" s="2" t="n">
        <v>14</v>
      </c>
      <c r="U295" s="2" t="inlineStr">
        <is>
          <t>low</t>
        </is>
      </c>
      <c r="V295" s="5" t="n">
        <v>1.8</v>
      </c>
      <c r="W295" s="2" t="inlineStr">
        <is>
          <t>low</t>
        </is>
      </c>
      <c r="X295" s="3" t="inlineStr"/>
      <c r="Y295" s="3" t="inlineStr">
        <is>
          <t>14% of this dish's available carbohydrate comes from ingredients with a published, measured GI; the rest uses conventional placeholders (see Ingredients sheet)</t>
        </is>
      </c>
      <c r="Z295" s="2" t="n">
        <v>14</v>
      </c>
      <c r="AA295" s="3" t="inlineStr">
        <is>
          <t>vegetarian, gluten-free, nut-free, low-carb</t>
        </is>
      </c>
      <c r="AB295" s="3" t="inlineStr">
        <is>
          <t>1. Sear mushrooms in oil until browned; add onion, garlic, thyme; deglaze with wine.
2. Add cauliflower and broth; simmer 15 minutes.
3. Blend with milk; season.</t>
        </is>
      </c>
      <c r="AC295" s="4" t="inlineStr">
        <is>
          <t>["Sear mushrooms in oil until browned; add onion, garlic, thyme; deglaze with wine.", "Add cauliflower and broth; simmer 15 minutes.", "Blend with milk; season."]</t>
        </is>
      </c>
    </row>
    <row r="296" ht="96" customHeight="1">
      <c r="A296" s="2" t="inlineStr">
        <is>
          <t>DB-0295</t>
        </is>
      </c>
      <c r="B296" s="3" t="inlineStr">
        <is>
          <t>Shrimp Coconut Curry Soup</t>
        </is>
      </c>
      <c r="C296" s="4" t="inlineStr">
        <is>
          <t>Soup &amp; Stew</t>
        </is>
      </c>
      <c r="D296" s="4" t="inlineStr">
        <is>
          <t>Thai</t>
        </is>
      </c>
      <c r="E296" s="2" t="n">
        <v>3</v>
      </c>
      <c r="F296" s="2" t="n">
        <v>10</v>
      </c>
      <c r="G296" s="2" t="n">
        <v>20</v>
      </c>
      <c r="H296" s="2" t="n">
        <v>30</v>
      </c>
      <c r="I296" s="4" t="inlineStr">
        <is>
          <t>shrimp-coconut-curry-soup.jpg</t>
        </is>
      </c>
      <c r="J296" s="3" t="inlineStr">
        <is>
          <t>Shrimp Coconut Curry Soup, healthy food photography, plated, natural light</t>
        </is>
      </c>
      <c r="K296" s="4" t="inlineStr"/>
      <c r="L296" s="3" t="inlineStr">
        <is>
          <t>Shrimp, peeled — 400 g (14.1 oz)
Coconut milk, canned light — 400 g (14.1 oz)
Chicken broth, low sodium — 500 g (17.6 oz)
Thai curry paste (red/green) — 25 g (0.9 oz)
Bell pepper — 120 g (4.2 oz)
Sugar snap peas — 100 g (3.5 oz)
Mushrooms (cremini/white) — 100 g (3.5 oz)
Fish sauce — 10 g (0.4 oz)
Lime juice — 20 g (0.7 oz)
Fresh basil — 8 g (0.3 oz)
Fresh ginger — 6 g (0.2 oz)</t>
        </is>
      </c>
      <c r="M296" s="4" t="inlineStr">
        <is>
          <t>[{"ingredient_id": "shrimp", "name": "Shrimp, peeled", "grams": 400.0, "note": ""}, {"ingredient_id": "coconut_milk_light", "name": "Coconut milk, canned light", "grams": 400.0, "note": ""}, {"ingredient_id": "chicken_broth", "name": "Chicken broth, low sodium", "grams": 500.0, "note": ""}, {"ingredient_id": "curry_paste", "name": "Thai curry paste (red/green)", "grams": 25.0, "note": ""}, {"ingredient_id": "bell_pepper", "name": "Bell pepper", "grams": 120.0, "note": ""}, {"ingredient_id": "snap_peas", "name": "Sugar snap peas", "grams": 100.0, "note": ""}, {"ingredient_id": "mushrooms", "name": "Mushrooms (cremini/white)", "grams": 100.0, "note": ""}, {"ingredient_id": "fish_sauce", "name": "Fish sauce", "grams": 10.0, "note": ""}, {"ingredient_id": "lime_juice", "name": "Lime juice", "grams": 20.0, "note": ""}, {"ingredient_id": "basil", "name": "Fresh basil", "grams": 8.0, "note": ""}, {"ingredient_id": "ginger", "name": "Fresh ginger", "grams": 6.0, "note": ""}]</t>
        </is>
      </c>
      <c r="N296" s="2" t="n">
        <v>262</v>
      </c>
      <c r="O296" s="5" t="n">
        <v>32.1</v>
      </c>
      <c r="P296" s="5" t="n">
        <v>9.699999999999999</v>
      </c>
      <c r="Q296" s="5" t="n">
        <v>12.3</v>
      </c>
      <c r="R296" s="5" t="n">
        <v>2.4</v>
      </c>
      <c r="S296" s="5" t="n">
        <v>9.9</v>
      </c>
      <c r="T296" s="2" t="n">
        <v>22</v>
      </c>
      <c r="U296" s="2" t="inlineStr">
        <is>
          <t>low</t>
        </is>
      </c>
      <c r="V296" s="5" t="n">
        <v>2.2</v>
      </c>
      <c r="W296" s="2" t="inlineStr">
        <is>
          <t>low</t>
        </is>
      </c>
      <c r="X296" s="3" t="inlineStr"/>
      <c r="Y296" s="3" t="inlineStr">
        <is>
          <t>0% of this dish's available carbohydrate comes from ingredients with a published, measured GI; the rest uses conventional placeholders (see Ingredients sheet)</t>
        </is>
      </c>
      <c r="Z296" s="2" t="n">
        <v>0</v>
      </c>
      <c r="AA296" s="3" t="inlineStr">
        <is>
          <t>pescatarian, gluten-free, dairy-free, nut-free, low-carb, high-protein</t>
        </is>
      </c>
      <c r="AB296" s="3" t="inlineStr">
        <is>
          <t>1. Fry curry paste and ginger 1 minute; add broth and coconut milk; simmer 5 minutes.
2. Add pepper, mushrooms and snap peas; cook 4 minutes.
3. Add shrimp 3 minutes; finish with fish sauce, lime and basil.</t>
        </is>
      </c>
      <c r="AC296" s="4" t="inlineStr">
        <is>
          <t>["Fry curry paste and ginger 1 minute; add broth and coconut milk; simmer 5 minutes.", "Add pepper, mushrooms and snap peas; cook 4 minutes.", "Add shrimp 3 minutes; finish with fish sauce, lime and basil."]</t>
        </is>
      </c>
    </row>
    <row r="297" ht="96" customHeight="1">
      <c r="A297" s="2" t="inlineStr">
        <is>
          <t>DB-0296</t>
        </is>
      </c>
      <c r="B297" s="3" t="inlineStr">
        <is>
          <t>Southwest Turkey &amp; Bean Soup</t>
        </is>
      </c>
      <c r="C297" s="4" t="inlineStr">
        <is>
          <t>Soup &amp; Stew</t>
        </is>
      </c>
      <c r="D297" s="4" t="inlineStr">
        <is>
          <t>Tex-Mex</t>
        </is>
      </c>
      <c r="E297" s="2" t="n">
        <v>5</v>
      </c>
      <c r="F297" s="2" t="n">
        <v>10</v>
      </c>
      <c r="G297" s="2" t="n">
        <v>30</v>
      </c>
      <c r="H297" s="2" t="n">
        <v>40</v>
      </c>
      <c r="I297" s="4" t="inlineStr">
        <is>
          <t>southwest-turkey-and-bean-soup.jpg</t>
        </is>
      </c>
      <c r="J297" s="3" t="inlineStr">
        <is>
          <t>Southwest Turkey &amp; Bean Soup, healthy food photography, plated, natural light</t>
        </is>
      </c>
      <c r="K297" s="4" t="inlineStr"/>
      <c r="L297" s="3" t="inlineStr">
        <is>
          <t>Ground turkey 93% lean — 450 g (15.9 oz)
Black beans, cooked — 300 g (10.6 oz)
Pinto beans, cooked — 200 g (7.1 oz)
Diced tomatoes, canned — 400 g (14.1 oz)
Chicken broth, low sodium — 1000 g (35.3 oz)
Yellow onion — 120 g (4.2 oz)
Bell pepper — 120 g (4.2 oz)
Diced green chiles, canned — 100 g (3.5 oz)
Garlic — 8 g (0.3 oz)
Ground cumin — 4 g (0.1 oz)
Chili powder — 6 g (0.2 oz)
Extra-virgin olive oil — 12 g (0.4 oz)
Fresh cilantro — 8 g (0.3 oz)
Lime juice — 15 g (0.5 oz)
Salt — 3 g (0.1 oz)</t>
        </is>
      </c>
      <c r="M297" s="4" t="inlineStr">
        <is>
          <t>[{"ingredient_id": "ground_turkey", "name": "Ground turkey 93% lean", "grams": 450.0, "note": ""}, {"ingredient_id": "black_beans", "name": "Black beans, cooked", "grams": 300.0, "note": ""}, {"ingredient_id": "pinto_beans", "name": "Pinto beans, cooked", "grams": 200.0, "note": ""}, {"ingredient_id": "diced_tomatoes", "name": "Diced tomatoes, canned", "grams": 400.0, "note": ""}, {"ingredient_id": "chicken_broth", "name": "Chicken broth, low sodium", "grams": 1000.0, "note": ""}, {"ingredient_id": "onion", "name": "Yellow onion", "grams": 120.0, "note": ""}, {"ingredient_id": "bell_pepper", "name": "Bell pepper", "grams": 120.0, "note": ""}, {"ingredient_id": "green_chiles", "name": "Diced green chiles, canned", "grams": 100.0, "note": ""}, {"ingredient_id": "garlic", "name": "Garlic", "grams": 8.0, "note": ""}, {"ingredient_id": "cumin", "name": "Ground cumin", "grams": 4.0, "note": ""}, {"ingredient_id": "chili_powder", "name": "Chili powder", "grams": 6.0, "note": ""}, {"ingredient_id": "olive_oil", "name": "Extra-virgin olive oil", "grams": 12.0, "note": ""}, {"ingredient_id": "cilantro", "name": "Fresh cilantro", "grams": 8.0, "note": ""}, {"ingredient_id": "lime_juice", "name": "Lime juice", "grams": 15.0, "note": ""}, {"ingredient_id": "salt", "name": "Salt", "grams": 3.0, "note": ""}]</t>
        </is>
      </c>
      <c r="N297" s="2" t="n">
        <v>357</v>
      </c>
      <c r="O297" s="5" t="n">
        <v>29.8</v>
      </c>
      <c r="P297" s="5" t="n">
        <v>11.2</v>
      </c>
      <c r="Q297" s="5" t="n">
        <v>36</v>
      </c>
      <c r="R297" s="5" t="n">
        <v>11.8</v>
      </c>
      <c r="S297" s="5" t="n">
        <v>24.2</v>
      </c>
      <c r="T297" s="2" t="n">
        <v>28</v>
      </c>
      <c r="U297" s="2" t="inlineStr">
        <is>
          <t>low</t>
        </is>
      </c>
      <c r="V297" s="5" t="n">
        <v>6.8</v>
      </c>
      <c r="W297" s="2" t="inlineStr">
        <is>
          <t>low</t>
        </is>
      </c>
      <c r="X297" s="3" t="inlineStr"/>
      <c r="Y297" s="3" t="inlineStr">
        <is>
          <t>65% of this dish's available carbohydrate comes from ingredients with a published, measured GI; the rest uses conventional placeholders (see Ingredients sheet)</t>
        </is>
      </c>
      <c r="Z297" s="2" t="n">
        <v>65</v>
      </c>
      <c r="AA297" s="3" t="inlineStr">
        <is>
          <t>gluten-free, dairy-free, nut-free, high-protein, high-fiber, make-ahead</t>
        </is>
      </c>
      <c r="AB297" s="3" t="inlineStr">
        <is>
          <t>1. Brown turkey with onion and pepper in oil; add garlic and spices.
2. Add beans, tomatoes, chiles, broth; simmer 20 minutes.
3. Finish with cilantro and lime.</t>
        </is>
      </c>
      <c r="AC297" s="4" t="inlineStr">
        <is>
          <t>["Brown turkey with onion and pepper in oil; add garlic and spices.", "Add beans, tomatoes, chiles, broth; simmer 20 minutes.", "Finish with cilantro and lime."]</t>
        </is>
      </c>
    </row>
    <row r="298" ht="96" customHeight="1">
      <c r="A298" s="2" t="inlineStr">
        <is>
          <t>DB-0297</t>
        </is>
      </c>
      <c r="B298" s="3" t="inlineStr">
        <is>
          <t>French Onion Soup (Lightened, No Bread)</t>
        </is>
      </c>
      <c r="C298" s="4" t="inlineStr">
        <is>
          <t>Soup &amp; Stew</t>
        </is>
      </c>
      <c r="D298" s="4" t="inlineStr">
        <is>
          <t>French</t>
        </is>
      </c>
      <c r="E298" s="2" t="n">
        <v>4</v>
      </c>
      <c r="F298" s="2" t="n">
        <v>10</v>
      </c>
      <c r="G298" s="2" t="n">
        <v>60</v>
      </c>
      <c r="H298" s="2" t="n">
        <v>70</v>
      </c>
      <c r="I298" s="4" t="inlineStr">
        <is>
          <t>french-onion-soup-lightened-no-bread.jpg</t>
        </is>
      </c>
      <c r="J298" s="3" t="inlineStr">
        <is>
          <t>French Onion Soup (Lightened, No Bread), healthy food photography, plated, natural light</t>
        </is>
      </c>
      <c r="K298" s="4" t="inlineStr"/>
      <c r="L298" s="3" t="inlineStr">
        <is>
          <t>Yellow onion — 800 g (28.2 oz)
Beef broth, low sodium — 1200 g (42.3 oz)
Extra-virgin olive oil — 20 g (0.7 oz)
Butter — 10 g (0.4 oz)
Fresh thyme — 3 g (0.1 oz)
Dry white wine (cooking) — 80 g (2.8 oz)
Swiss cheese — 80 g (2.8 oz)
Garlic — 5 g (0.2 oz)
Salt — 3 g (0.1 oz)</t>
        </is>
      </c>
      <c r="M298" s="4" t="inlineStr">
        <is>
          <t>[{"ingredient_id": "onion", "name": "Yellow onion", "grams": 800.0, "note": ""}, {"ingredient_id": "beef_broth", "name": "Beef broth, low sodium", "grams": 1200.0, "note": ""}, {"ingredient_id": "olive_oil", "name": "Extra-virgin olive oil", "grams": 20.0, "note": ""}, {"ingredient_id": "butter", "name": "Butter", "grams": 10.0, "note": ""}, {"ingredient_id": "thyme", "name": "Fresh thyme", "grams": 3.0, "note": ""}, {"ingredient_id": "white_wine", "name": "Dry white wine (cooking)", "grams": 80.0, "note": ""}, {"ingredient_id": "swiss_cheese", "name": "Swiss cheese", "grams": 80.0, "note": ""}, {"ingredient_id": "garlic", "name": "Garlic", "grams": 5.0, "note": ""}, {"ingredient_id": "salt", "name": "Salt", "grams": 3.0, "note": ""}]</t>
        </is>
      </c>
      <c r="N298" s="2" t="n">
        <v>258</v>
      </c>
      <c r="O298" s="5" t="n">
        <v>11.6</v>
      </c>
      <c r="P298" s="5" t="n">
        <v>13.4</v>
      </c>
      <c r="Q298" s="5" t="n">
        <v>21.2</v>
      </c>
      <c r="R298" s="5" t="n">
        <v>3.5</v>
      </c>
      <c r="S298" s="5" t="n">
        <v>17.7</v>
      </c>
      <c r="T298" s="2" t="n">
        <v>14</v>
      </c>
      <c r="U298" s="2" t="inlineStr">
        <is>
          <t>low</t>
        </is>
      </c>
      <c r="V298" s="5" t="n">
        <v>2.5</v>
      </c>
      <c r="W298" s="2" t="inlineStr">
        <is>
          <t>low</t>
        </is>
      </c>
      <c r="X298" s="3" t="inlineStr"/>
      <c r="Y298" s="3" t="inlineStr">
        <is>
          <t>0% of this dish's available carbohydrate comes from ingredients with a published, measured GI; the rest uses conventional placeholders (see Ingredients sheet)</t>
        </is>
      </c>
      <c r="Z298" s="2" t="n">
        <v>0</v>
      </c>
      <c r="AA298" s="3" t="inlineStr">
        <is>
          <t>vegetarian, gluten-free, nut-free</t>
        </is>
      </c>
      <c r="AB298" s="3" t="inlineStr">
        <is>
          <t>1. Cook thinly sliced onions in oil and butter over medium-low heat 40 minutes until deeply caramelized.
2. Add garlic, thyme and wine; reduce; add broth and simmer 15 minutes.
3. Ladle into ovenproof bowls, top with Swiss cheese and broil until bubbling.</t>
        </is>
      </c>
      <c r="AC298" s="4" t="inlineStr">
        <is>
          <t>["Cook thinly sliced onions in oil and butter over medium-low heat 40 minutes until deeply caramelized.", "Add garlic, thyme and wine; reduce; add broth and simmer 15 minutes.", "Ladle into ovenproof bowls, top with Swiss cheese and broil until bubbling."]</t>
        </is>
      </c>
    </row>
    <row r="299" ht="96" customHeight="1">
      <c r="A299" s="2" t="inlineStr">
        <is>
          <t>DB-0298</t>
        </is>
      </c>
      <c r="B299" s="3" t="inlineStr">
        <is>
          <t>Cauliflower Leek Vichyssoise</t>
        </is>
      </c>
      <c r="C299" s="4" t="inlineStr">
        <is>
          <t>Soup &amp; Stew</t>
        </is>
      </c>
      <c r="D299" s="4" t="inlineStr">
        <is>
          <t>French</t>
        </is>
      </c>
      <c r="E299" s="2" t="n">
        <v>4</v>
      </c>
      <c r="F299" s="2" t="n">
        <v>10</v>
      </c>
      <c r="G299" s="2" t="n">
        <v>25</v>
      </c>
      <c r="H299" s="2" t="n">
        <v>35</v>
      </c>
      <c r="I299" s="4" t="inlineStr">
        <is>
          <t>cauliflower-leek-vichyssoise.jpg</t>
        </is>
      </c>
      <c r="J299" s="3" t="inlineStr">
        <is>
          <t>Cauliflower Leek Vichyssoise, healthy food photography, plated, natural light</t>
        </is>
      </c>
      <c r="K299" s="4" t="inlineStr"/>
      <c r="L299" s="3" t="inlineStr">
        <is>
          <t>Cauliflower — 700 g (24.7 oz)
Leek — 250 g (8.8 oz)
Chicken broth, low sodium — 800 g (28.2 oz)
Milk, 2% — 150 g (5.3 oz)
Extra-virgin olive oil — 15 g (0.5 oz)
Fresh chives — 6 g (0.2 oz)
Salt — 3 g (0.1 oz)
White wine vinegar — 5 g (0.2 oz)</t>
        </is>
      </c>
      <c r="M299" s="4" t="inlineStr">
        <is>
          <t>[{"ingredient_id": "cauliflower", "name": "Cauliflower", "grams": 700.0, "note": ""}, {"ingredient_id": "leek", "name": "Leek", "grams": 250.0, "note": ""}, {"ingredient_id": "chicken_broth", "name": "Chicken broth, low sodium", "grams": 800.0, "note": ""}, {"ingredient_id": "milk", "name": "Milk, 2%", "grams": 150.0, "note": ""}, {"ingredient_id": "olive_oil", "name": "Extra-virgin olive oil", "grams": 15.0, "note": ""}, {"ingredient_id": "chives", "name": "Fresh chives", "grams": 6.0, "note": ""}, {"ingredient_id": "salt", "name": "Salt", "grams": 3.0, "note": ""}, {"ingredient_id": "white_wine_vinegar", "name": "White wine vinegar", "grams": 5.0, "note": ""}]</t>
        </is>
      </c>
      <c r="N299" s="2" t="n">
        <v>148</v>
      </c>
      <c r="O299" s="5" t="n">
        <v>7.5</v>
      </c>
      <c r="P299" s="5" t="n">
        <v>5.6</v>
      </c>
      <c r="Q299" s="5" t="n">
        <v>20.4</v>
      </c>
      <c r="R299" s="5" t="n">
        <v>4.7</v>
      </c>
      <c r="S299" s="5" t="n">
        <v>15.7</v>
      </c>
      <c r="T299" s="2" t="n">
        <v>15</v>
      </c>
      <c r="U299" s="2" t="inlineStr">
        <is>
          <t>low</t>
        </is>
      </c>
      <c r="V299" s="5" t="n">
        <v>2.4</v>
      </c>
      <c r="W299" s="2" t="inlineStr">
        <is>
          <t>low</t>
        </is>
      </c>
      <c r="X299" s="3" t="inlineStr"/>
      <c r="Y299" s="3" t="inlineStr">
        <is>
          <t>11% of this dish's available carbohydrate comes from ingredients with a published, measured GI; the rest uses conventional placeholders (see Ingredients sheet)</t>
        </is>
      </c>
      <c r="Z299" s="2" t="n">
        <v>11</v>
      </c>
      <c r="AA299" s="3" t="inlineStr">
        <is>
          <t>vegetarian, gluten-free, nut-free, make-ahead</t>
        </is>
      </c>
      <c r="AB299" s="3" t="inlineStr">
        <is>
          <t>1. Sweat leeks in oil 6 minutes without browning.
2. Add cauliflower and broth; simmer 15 minutes.
3. Blend with milk and vinegar; chill or serve warm with chives.</t>
        </is>
      </c>
      <c r="AC299" s="4" t="inlineStr">
        <is>
          <t>["Sweat leeks in oil 6 minutes without browning.", "Add cauliflower and broth; simmer 15 minutes.", "Blend with milk and vinegar; chill or serve warm with chives."]</t>
        </is>
      </c>
    </row>
    <row r="300" ht="96" customHeight="1">
      <c r="A300" s="2" t="inlineStr">
        <is>
          <t>DB-0299</t>
        </is>
      </c>
      <c r="B300" s="3" t="inlineStr">
        <is>
          <t>Chicken Enchilada Soup</t>
        </is>
      </c>
      <c r="C300" s="4" t="inlineStr">
        <is>
          <t>Soup &amp; Stew</t>
        </is>
      </c>
      <c r="D300" s="4" t="inlineStr">
        <is>
          <t>Tex-Mex</t>
        </is>
      </c>
      <c r="E300" s="2" t="n">
        <v>5</v>
      </c>
      <c r="F300" s="2" t="n">
        <v>10</v>
      </c>
      <c r="G300" s="2" t="n">
        <v>30</v>
      </c>
      <c r="H300" s="2" t="n">
        <v>40</v>
      </c>
      <c r="I300" s="4" t="inlineStr">
        <is>
          <t>chicken-enchilada-soup.jpg</t>
        </is>
      </c>
      <c r="J300" s="3" t="inlineStr">
        <is>
          <t>Chicken Enchilada Soup, healthy food photography, plated, natural light</t>
        </is>
      </c>
      <c r="K300" s="4" t="inlineStr"/>
      <c r="L300" s="3" t="inlineStr">
        <is>
          <t>Chicken breast, skinless — 500 g (17.6 oz)
Red enchilada sauce, no sugar added — 300 g (10.6 oz)
Chicken broth, low sodium — 900 g (31.7 oz)
Black beans, cooked — 250 g (8.8 oz)
Yellow onion — 100 g (3.5 oz)
Bell pepper — 100 g (3.5 oz)
Diced green chiles, canned — 100 g (3.5 oz)
Cheddar cheese — 60 g (2.1 oz)
Greek yogurt, plain 2% — 80 g (2.8 oz)
Fresh cilantro — 8 g (0.3 oz)
Extra-virgin olive oil — 10 g (0.4 oz)
Ground cumin — 2 g (0.1 oz)</t>
        </is>
      </c>
      <c r="M300" s="4" t="inlineStr">
        <is>
          <t>[{"ingredient_id": "chicken_breast", "name": "Chicken breast, skinless", "grams": 500.0, "note": ""}, {"ingredient_id": "enchilada_sauce", "name": "Red enchilada sauce, no sugar added", "grams": 300.0, "note": ""}, {"ingredient_id": "chicken_broth", "name": "Chicken broth, low sodium", "grams": 900.0, "note": ""}, {"ingredient_id": "black_beans", "name": "Black beans, cooked", "grams": 250.0, "note": ""}, {"ingredient_id": "onion", "name": "Yellow onion", "grams": 100.0, "note": ""}, {"ingredient_id": "bell_pepper", "name": "Bell pepper", "grams": 100.0, "note": ""}, {"ingredient_id": "green_chiles", "name": "Diced green chiles, canned", "grams": 100.0, "note": ""}, {"ingredient_id": "cheddar", "name": "Cheddar cheese", "grams": 60.0, "note": ""}, {"ingredient_id": "greek_yogurt", "name": "Greek yogurt, plain 2%", "grams": 80.0, "note": ""}, {"ingredient_id": "cilantro", "name": "Fresh cilantro", "grams": 8.0, "note": ""}, {"ingredient_id": "olive_oil", "name": "Extra-virgin olive oil", "grams": 10.0, "note": ""}, {"ingredient_id": "cumin", "name": "Ground cumin", "grams": 2.0, "note": ""}]</t>
        </is>
      </c>
      <c r="N300" s="2" t="n">
        <v>320</v>
      </c>
      <c r="O300" s="5" t="n">
        <v>34.4</v>
      </c>
      <c r="P300" s="5" t="n">
        <v>10.9</v>
      </c>
      <c r="Q300" s="5" t="n">
        <v>20.7</v>
      </c>
      <c r="R300" s="5" t="n">
        <v>6.1</v>
      </c>
      <c r="S300" s="5" t="n">
        <v>14.6</v>
      </c>
      <c r="T300" s="2" t="n">
        <v>24</v>
      </c>
      <c r="U300" s="2" t="inlineStr">
        <is>
          <t>low</t>
        </is>
      </c>
      <c r="V300" s="5" t="n">
        <v>3.5</v>
      </c>
      <c r="W300" s="2" t="inlineStr">
        <is>
          <t>low</t>
        </is>
      </c>
      <c r="X300" s="3" t="inlineStr"/>
      <c r="Y300" s="3" t="inlineStr">
        <is>
          <t>56% of this dish's available carbohydrate comes from ingredients with a published, measured GI; the rest uses conventional placeholders (see Ingredients sheet)</t>
        </is>
      </c>
      <c r="Z300" s="2" t="n">
        <v>56</v>
      </c>
      <c r="AA300" s="3" t="inlineStr">
        <is>
          <t>gluten-free, nut-free, low-carb, high-protein</t>
        </is>
      </c>
      <c r="AB300" s="3" t="inlineStr">
        <is>
          <t>1. Sauté onion and pepper in oil with cumin.
2. Add enchilada sauce, broth, chiles and chicken; simmer 20 minutes; shred chicken.
3. Add beans; serve with cheddar, yogurt and cilantro.</t>
        </is>
      </c>
      <c r="AC300" s="4" t="inlineStr">
        <is>
          <t>["Sauté onion and pepper in oil with cumin.", "Add enchilada sauce, broth, chiles and chicken; simmer 20 minutes; shred chicken.", "Add beans; serve with cheddar, yogurt and cilantro."]</t>
        </is>
      </c>
    </row>
    <row r="301" ht="96" customHeight="1">
      <c r="A301" s="2" t="inlineStr">
        <is>
          <t>DB-0300</t>
        </is>
      </c>
      <c r="B301" s="3" t="inlineStr">
        <is>
          <t>Lentil &amp; Sausage Stew</t>
        </is>
      </c>
      <c r="C301" s="4" t="inlineStr">
        <is>
          <t>Soup &amp; Stew</t>
        </is>
      </c>
      <c r="D301" s="4" t="inlineStr">
        <is>
          <t>Spanish</t>
        </is>
      </c>
      <c r="E301" s="2" t="n">
        <v>5</v>
      </c>
      <c r="F301" s="2" t="n">
        <v>10</v>
      </c>
      <c r="G301" s="2" t="n">
        <v>40</v>
      </c>
      <c r="H301" s="2" t="n">
        <v>50</v>
      </c>
      <c r="I301" s="4" t="inlineStr">
        <is>
          <t>lentil-and-sausage-stew.jpg</t>
        </is>
      </c>
      <c r="J301" s="3" t="inlineStr">
        <is>
          <t>Lentil &amp; Sausage Stew, healthy food photography, plated, natural light</t>
        </is>
      </c>
      <c r="K301" s="4" t="inlineStr"/>
      <c r="L301" s="3" t="inlineStr">
        <is>
          <t>Chicken sausage — 300 g (10.6 oz)
Lentils, cooked — 600 g (21.2 oz)
Diced tomatoes, canned — 400 g (14.1 oz)
Chicken broth, low sodium — 1000 g (35.3 oz)
Yellow onion — 120 g (4.2 oz)
Carrot — 120 g (4.2 oz)
Garlic — 8 g (0.3 oz)
Smoked paprika — 4 g (0.1 oz)
Extra-virgin olive oil — 12 g (0.4 oz)
Spinach — 100 g (3.5 oz)
Red wine vinegar — 10 g (0.4 oz)
Salt — 3 g (0.1 oz)</t>
        </is>
      </c>
      <c r="M301" s="4" t="inlineStr">
        <is>
          <t>[{"ingredient_id": "chicken_sausage", "name": "Chicken sausage", "grams": 300.0, "note": ""}, {"ingredient_id": "lentils", "name": "Lentils, cooked", "grams": 600.0, "note": ""}, {"ingredient_id": "diced_tomatoes", "name": "Diced tomatoes, canned", "grams": 400.0, "note": ""}, {"ingredient_id": "chicken_broth", "name": "Chicken broth, low sodium", "grams": 1000.0, "note": ""}, {"ingredient_id": "onion", "name": "Yellow onion", "grams": 120.0, "note": ""}, {"ingredient_id": "carrot", "name": "Carrot", "grams": 120.0, "note": ""}, {"ingredient_id": "garlic", "name": "Garlic", "grams": 8.0, "note": ""}, {"ingredient_id": "smoked_paprika", "name": "Smoked paprika", "grams": 4.0, "note": ""}, {"ingredient_id": "olive_oil", "name": "Extra-virgin olive oil", "grams": 12.0, "note": ""}, {"ingredient_id": "spinach", "name": "Spinach", "grams": 100.0, "note": ""}, {"ingredient_id": "red_wine_vinegar", "name": "Red wine vinegar", "grams": 10.0, "note": ""}, {"ingredient_id": "salt", "name": "Salt", "grams": 3.0, "note": ""}]</t>
        </is>
      </c>
      <c r="N301" s="2" t="n">
        <v>325</v>
      </c>
      <c r="O301" s="5" t="n">
        <v>24</v>
      </c>
      <c r="P301" s="5" t="n">
        <v>10.3</v>
      </c>
      <c r="Q301" s="5" t="n">
        <v>36.4</v>
      </c>
      <c r="R301" s="5" t="n">
        <v>12.5</v>
      </c>
      <c r="S301" s="5" t="n">
        <v>23.9</v>
      </c>
      <c r="T301" s="2" t="n">
        <v>31</v>
      </c>
      <c r="U301" s="2" t="inlineStr">
        <is>
          <t>low</t>
        </is>
      </c>
      <c r="V301" s="5" t="n">
        <v>7.4</v>
      </c>
      <c r="W301" s="2" t="inlineStr">
        <is>
          <t>low</t>
        </is>
      </c>
      <c r="X301" s="3" t="inlineStr"/>
      <c r="Y301" s="3" t="inlineStr">
        <is>
          <t>68% of this dish's available carbohydrate comes from ingredients with a published, measured GI; the rest uses conventional placeholders (see Ingredients sheet)</t>
        </is>
      </c>
      <c r="Z301" s="2" t="n">
        <v>68</v>
      </c>
      <c r="AA301" s="3" t="inlineStr">
        <is>
          <t>gluten-free, dairy-free, nut-free, high-fiber, make-ahead</t>
        </is>
      </c>
      <c r="AB301" s="3" t="inlineStr">
        <is>
          <t>1. Brown sausage; add onion, carrot and garlic 5 minutes; add paprika.
2. Add lentils, tomatoes and broth; simmer 25 minutes.
3. Stir in spinach and vinegar.</t>
        </is>
      </c>
      <c r="AC301" s="4" t="inlineStr">
        <is>
          <t>["Brown sausage; add onion, carrot and garlic 5 minutes; add paprika.", "Add lentils, tomatoes and broth; simmer 25 minutes.", "Stir in spinach and vinegar."]</t>
        </is>
      </c>
    </row>
    <row r="302" ht="96" customHeight="1">
      <c r="A302" s="2" t="inlineStr">
        <is>
          <t>DB-0301</t>
        </is>
      </c>
      <c r="B302" s="3" t="inlineStr">
        <is>
          <t>Chilled Cucumber Avocado Soup</t>
        </is>
      </c>
      <c r="C302" s="4" t="inlineStr">
        <is>
          <t>Soup &amp; Stew</t>
        </is>
      </c>
      <c r="D302" s="4" t="inlineStr">
        <is>
          <t>American</t>
        </is>
      </c>
      <c r="E302" s="2" t="n">
        <v>3</v>
      </c>
      <c r="F302" s="2" t="n">
        <v>10</v>
      </c>
      <c r="G302" s="2" t="n">
        <v>0</v>
      </c>
      <c r="H302" s="2" t="n">
        <v>10</v>
      </c>
      <c r="I302" s="4" t="inlineStr">
        <is>
          <t>chilled-cucumber-avocado-soup.jpg</t>
        </is>
      </c>
      <c r="J302" s="3" t="inlineStr">
        <is>
          <t>Chilled Cucumber Avocado Soup, healthy food photography, plated, natural light</t>
        </is>
      </c>
      <c r="K302" s="4" t="inlineStr"/>
      <c r="L302" s="3" t="inlineStr">
        <is>
          <t>Cucumber — 500 g (17.6 oz)
Avocado — 140 g (4.9 oz)
Greek yogurt, plain 2% — 150 g (5.3 oz)
Lime juice — 20 g (0.7 oz)
Fresh dill — 6 g (0.2 oz)
Garlic — 3 g (0.1 oz)
Water / ice — 150 g (5.3 oz)
Extra-virgin olive oil — 10 g (0.4 oz)
Salt — 2 g (0.1 oz)</t>
        </is>
      </c>
      <c r="M302" s="4" t="inlineStr">
        <is>
          <t>[{"ingredient_id": "cucumber", "name": "Cucumber", "grams": 500.0, "note": ""}, {"ingredient_id": "avocado", "name": "Avocado", "grams": 140.0, "note": ""}, {"ingredient_id": "greek_yogurt", "name": "Greek yogurt, plain 2%", "grams": 150.0, "note": ""}, {"ingredient_id": "lime_juice", "name": "Lime juice", "grams": 20.0, "note": ""}, {"ingredient_id": "dill", "name": "Fresh dill", "grams": 6.0, "note": ""}, {"ingredient_id": "garlic", "name": "Garlic", "grams": 3.0, "note": ""}, {"ingredient_id": "water", "name": "Water / ice", "grams": 150.0, "note": ""}, {"ingredient_id": "olive_oil", "name": "Extra-virgin olive oil", "grams": 10.0, "note": ""}, {"ingredient_id": "salt", "name": "Salt", "grams": 2.0, "note": ""}]</t>
        </is>
      </c>
      <c r="N302" s="2" t="n">
        <v>170</v>
      </c>
      <c r="O302" s="5" t="n">
        <v>7.3</v>
      </c>
      <c r="P302" s="5" t="n">
        <v>11.5</v>
      </c>
      <c r="Q302" s="5" t="n">
        <v>13</v>
      </c>
      <c r="R302" s="5" t="n">
        <v>4</v>
      </c>
      <c r="S302" s="5" t="n">
        <v>8.9</v>
      </c>
      <c r="T302" s="2" t="n">
        <v>15</v>
      </c>
      <c r="U302" s="2" t="inlineStr">
        <is>
          <t>low</t>
        </is>
      </c>
      <c r="V302" s="5" t="n">
        <v>1.3</v>
      </c>
      <c r="W302" s="2" t="inlineStr">
        <is>
          <t>low</t>
        </is>
      </c>
      <c r="X302" s="3" t="inlineStr"/>
      <c r="Y302" s="3" t="inlineStr">
        <is>
          <t>22% of this dish's available carbohydrate comes from ingredients with a published, measured GI; the rest uses conventional placeholders (see Ingredients sheet)</t>
        </is>
      </c>
      <c r="Z302" s="2" t="n">
        <v>22</v>
      </c>
      <c r="AA302" s="3" t="inlineStr">
        <is>
          <t>vegetarian, gluten-free, nut-free, low-carb, no-cook</t>
        </is>
      </c>
      <c r="AB302" s="3" t="inlineStr">
        <is>
          <t>1. Blend cucumber, avocado, yogurt, lime, dill, garlic, water and salt until smooth.
2. Chill 1 hour.
3. Drizzle with olive oil before serving.</t>
        </is>
      </c>
      <c r="AC302" s="4" t="inlineStr">
        <is>
          <t>["Blend cucumber, avocado, yogurt, lime, dill, garlic, water and salt until smooth.", "Chill 1 hour.", "Drizzle with olive oil before serving."]</t>
        </is>
      </c>
    </row>
    <row r="303" ht="96" customHeight="1">
      <c r="A303" s="2" t="inlineStr">
        <is>
          <t>DB-0302</t>
        </is>
      </c>
      <c r="B303" s="3" t="inlineStr">
        <is>
          <t>Turkey Kale White Bean Soup</t>
        </is>
      </c>
      <c r="C303" s="4" t="inlineStr">
        <is>
          <t>Soup &amp; Stew</t>
        </is>
      </c>
      <c r="D303" s="4" t="inlineStr">
        <is>
          <t>American</t>
        </is>
      </c>
      <c r="E303" s="2" t="n">
        <v>4</v>
      </c>
      <c r="F303" s="2" t="n">
        <v>10</v>
      </c>
      <c r="G303" s="2" t="n">
        <v>30</v>
      </c>
      <c r="H303" s="2" t="n">
        <v>40</v>
      </c>
      <c r="I303" s="4" t="inlineStr">
        <is>
          <t>turkey-kale-white-bean-soup.jpg</t>
        </is>
      </c>
      <c r="J303" s="3" t="inlineStr">
        <is>
          <t>Turkey Kale White Bean Soup, healthy food photography, plated, natural light</t>
        </is>
      </c>
      <c r="K303" s="4" t="inlineStr"/>
      <c r="L303" s="3" t="inlineStr">
        <is>
          <t>Ground turkey 93% lean — 400 g (14.1 oz)
Cannellini beans, cooked — 400 g (14.1 oz)
Kale — 200 g (7.1 oz)
Chicken broth, low sodium — 1200 g (42.3 oz)
Yellow onion — 100 g (3.5 oz)
Carrot — 100 g (3.5 oz)
Garlic — 8 g (0.3 oz)
Fresh rosemary — 2 g (0.1 oz)
Extra-virgin olive oil — 12 g (0.4 oz)
Parmesan, grated — 30 g (1.1 oz)
Salt — 3 g (0.1 oz)</t>
        </is>
      </c>
      <c r="M303" s="4" t="inlineStr">
        <is>
          <t>[{"ingredient_id": "ground_turkey", "name": "Ground turkey 93% lean", "grams": 400.0, "note": ""}, {"ingredient_id": "white_beans", "name": "Cannellini beans, cooked", "grams": 400.0, "note": ""}, {"ingredient_id": "kale", "name": "Kale", "grams": 200.0, "note": ""}, {"ingredient_id": "chicken_broth", "name": "Chicken broth, low sodium", "grams": 1200.0, "note": ""}, {"ingredient_id": "onion", "name": "Yellow onion", "grams": 100.0, "note": ""}, {"ingredient_id": "carrot", "name": "Carrot", "grams": 100.0, "note": ""}, {"ingredient_id": "garlic", "name": "Garlic", "grams": 8.0, "note": ""}, {"ingredient_id": "rosemary", "name": "Fresh rosemary", "grams": 2.0, "note": ""}, {"ingredient_id": "olive_oil", "name": "Extra-virgin olive oil", "grams": 12.0, "note": ""}, {"ingredient_id": "parmesan", "name": "Parmesan, grated", "grams": 30.0, "note": ""}, {"ingredient_id": "salt", "name": "Salt", "grams": 3.0, "note": ""}]</t>
        </is>
      </c>
      <c r="N303" s="2" t="n">
        <v>417</v>
      </c>
      <c r="O303" s="5" t="n">
        <v>37</v>
      </c>
      <c r="P303" s="5" t="n">
        <v>14.7</v>
      </c>
      <c r="Q303" s="5" t="n">
        <v>36.7</v>
      </c>
      <c r="R303" s="5" t="n">
        <v>9.300000000000001</v>
      </c>
      <c r="S303" s="5" t="n">
        <v>27.4</v>
      </c>
      <c r="T303" s="2" t="n">
        <v>27</v>
      </c>
      <c r="U303" s="2" t="inlineStr">
        <is>
          <t>low</t>
        </is>
      </c>
      <c r="V303" s="5" t="n">
        <v>7.4</v>
      </c>
      <c r="W303" s="2" t="inlineStr">
        <is>
          <t>low</t>
        </is>
      </c>
      <c r="X303" s="3" t="inlineStr"/>
      <c r="Y303" s="3" t="inlineStr">
        <is>
          <t>75% of this dish's available carbohydrate comes from ingredients with a published, measured GI; the rest uses conventional placeholders (see Ingredients sheet)</t>
        </is>
      </c>
      <c r="Z303" s="2" t="n">
        <v>75</v>
      </c>
      <c r="AA303" s="3" t="inlineStr">
        <is>
          <t>gluten-free, nut-free, high-protein, high-fiber</t>
        </is>
      </c>
      <c r="AB303" s="3" t="inlineStr">
        <is>
          <t>1. Brown turkey with onion and carrot in oil; add garlic and rosemary.
2. Add broth and beans; simmer 15 minutes.
3. Add kale for 5 minutes; serve with parmesan.</t>
        </is>
      </c>
      <c r="AC303" s="4" t="inlineStr">
        <is>
          <t>["Brown turkey with onion and carrot in oil; add garlic and rosemary.", "Add broth and beans; simmer 15 minutes.", "Add kale for 5 minutes; serve with parmesan."]</t>
        </is>
      </c>
    </row>
    <row r="304" ht="96" customHeight="1">
      <c r="A304" s="2" t="inlineStr">
        <is>
          <t>DB-0303</t>
        </is>
      </c>
      <c r="B304" s="3" t="inlineStr">
        <is>
          <t>Cabbage Roll Soup</t>
        </is>
      </c>
      <c r="C304" s="4" t="inlineStr">
        <is>
          <t>Soup &amp; Stew</t>
        </is>
      </c>
      <c r="D304" s="4" t="inlineStr">
        <is>
          <t>Eastern European</t>
        </is>
      </c>
      <c r="E304" s="2" t="n">
        <v>5</v>
      </c>
      <c r="F304" s="2" t="n">
        <v>15</v>
      </c>
      <c r="G304" s="2" t="n">
        <v>40</v>
      </c>
      <c r="H304" s="2" t="n">
        <v>55</v>
      </c>
      <c r="I304" s="4" t="inlineStr">
        <is>
          <t>cabbage-roll-soup.jpg</t>
        </is>
      </c>
      <c r="J304" s="3" t="inlineStr">
        <is>
          <t>Cabbage Roll Soup, healthy food photography, plated, natural light</t>
        </is>
      </c>
      <c r="K304" s="4" t="inlineStr"/>
      <c r="L304" s="3" t="inlineStr">
        <is>
          <t>Ground beef 90% lean — 450 g (15.9 oz)
Green cabbage — 500 g (17.6 oz)
Cauliflower rice — 300 g (10.6 oz)
Diced tomatoes, canned — 400 g (14.1 oz)
Tomato sauce, canned, no sugar added — 300 g (10.6 oz)
Beef broth, low sodium — 900 g (31.7 oz)
Yellow onion — 120 g (4.2 oz)
Garlic — 8 g (0.3 oz)
Paprika — 3 g (0.1 oz)
Extra-virgin olive oil — 10 g (0.4 oz)
Fresh dill — 6 g (0.2 oz)
Salt — 4 g (0.1 oz)</t>
        </is>
      </c>
      <c r="M304" s="4" t="inlineStr">
        <is>
          <t>[{"ingredient_id": "ground_beef", "name": "Ground beef 90% lean", "grams": 450.0, "note": ""}, {"ingredient_id": "cabbage", "name": "Green cabbage", "grams": 500.0, "note": ""}, {"ingredient_id": "cauliflower_rice", "name": "Cauliflower rice", "grams": 300.0, "note": ""}, {"ingredient_id": "diced_tomatoes", "name": "Diced tomatoes, canned", "grams": 400.0, "note": ""}, {"ingredient_id": "tomato_sauce", "name": "Tomato sauce, canned, no sugar added", "grams": 300.0, "note": ""}, {"ingredient_id": "beef_broth", "name": "Beef broth, low sodium", "grams": 900.0, "note": ""}, {"ingredient_id": "onion", "name": "Yellow onion", "grams": 120.0, "note": ""}, {"ingredient_id": "garlic", "name": "Garlic", "grams": 8.0, "note": ""}, {"ingredient_id": "paprika", "name": "Paprika", "grams": 3.0, "note": ""}, {"ingredient_id": "olive_oil", "name": "Extra-virgin olive oil", "grams": 10.0, "note": ""}, {"ingredient_id": "dill", "name": "Fresh dill", "grams": 6.0, "note": ""}, {"ingredient_id": "salt", "name": "Salt", "grams": 4.0, "note": ""}]</t>
        </is>
      </c>
      <c r="N304" s="2" t="n">
        <v>276</v>
      </c>
      <c r="O304" s="5" t="n">
        <v>25</v>
      </c>
      <c r="P304" s="5" t="n">
        <v>12</v>
      </c>
      <c r="Q304" s="5" t="n">
        <v>19.9</v>
      </c>
      <c r="R304" s="5" t="n">
        <v>6.5</v>
      </c>
      <c r="S304" s="5" t="n">
        <v>13.4</v>
      </c>
      <c r="T304" s="2" t="n">
        <v>22</v>
      </c>
      <c r="U304" s="2" t="inlineStr">
        <is>
          <t>low</t>
        </is>
      </c>
      <c r="V304" s="5" t="n">
        <v>2.9</v>
      </c>
      <c r="W304" s="2" t="inlineStr">
        <is>
          <t>low</t>
        </is>
      </c>
      <c r="X304" s="3" t="inlineStr"/>
      <c r="Y304" s="3" t="inlineStr">
        <is>
          <t>0% of this dish's available carbohydrate comes from ingredients with a published, measured GI; the rest uses conventional placeholders (see Ingredients sheet)</t>
        </is>
      </c>
      <c r="Z304" s="2" t="n">
        <v>0</v>
      </c>
      <c r="AA304" s="3" t="inlineStr">
        <is>
          <t>gluten-free, dairy-free, nut-free, low-carb, high-protein, make-ahead</t>
        </is>
      </c>
      <c r="AB304" s="3" t="inlineStr">
        <is>
          <t>1. Brown beef and onion in oil; add garlic and paprika.
2. Add tomatoes, sauce, broth and cabbage; simmer 25 minutes.
3. Add cauliflower rice for 5 minutes; finish with dill.</t>
        </is>
      </c>
      <c r="AC304" s="4" t="inlineStr">
        <is>
          <t>["Brown beef and onion in oil; add garlic and paprika.", "Add tomatoes, sauce, broth and cabbage; simmer 25 minutes.", "Add cauliflower rice for 5 minutes; finish with dill."]</t>
        </is>
      </c>
    </row>
    <row r="305" ht="96" customHeight="1">
      <c r="A305" s="2" t="inlineStr">
        <is>
          <t>DB-0304</t>
        </is>
      </c>
      <c r="B305" s="3" t="inlineStr">
        <is>
          <t>Cod &amp; Vegetable Stew</t>
        </is>
      </c>
      <c r="C305" s="4" t="inlineStr">
        <is>
          <t>Soup &amp; Stew</t>
        </is>
      </c>
      <c r="D305" s="4" t="inlineStr">
        <is>
          <t>Portuguese</t>
        </is>
      </c>
      <c r="E305" s="2" t="n">
        <v>4</v>
      </c>
      <c r="F305" s="2" t="n">
        <v>15</v>
      </c>
      <c r="G305" s="2" t="n">
        <v>30</v>
      </c>
      <c r="H305" s="2" t="n">
        <v>45</v>
      </c>
      <c r="I305" s="4" t="inlineStr">
        <is>
          <t>cod-and-vegetable-stew.jpg</t>
        </is>
      </c>
      <c r="J305" s="3" t="inlineStr">
        <is>
          <t>Cod &amp; Vegetable Stew, healthy food photography, plated, natural light</t>
        </is>
      </c>
      <c r="K305" s="4" t="inlineStr"/>
      <c r="L305" s="3" t="inlineStr">
        <is>
          <t>Cod fillet — 500 g (17.6 oz)
Diced tomatoes, canned — 400 g (14.1 oz)
Chicken broth, low sodium — 600 g (21.2 oz)
Yellow onion — 120 g (4.2 oz)
Bell pepper — 150 g (5.3 oz)
Garlic — 8 g (0.3 oz)
Smoked paprika — 3 g (0.1 oz)
Extra-virgin olive oil — 20 g (0.7 oz)
Dry white wine (cooking) — 80 g (2.8 oz)
Kale — 150 g (5.3 oz)
Chickpeas, cooked — 200 g (7.1 oz)
Fresh parsley — 8 g (0.3 oz)
Salt — 3 g (0.1 oz)</t>
        </is>
      </c>
      <c r="M305" s="4" t="inlineStr">
        <is>
          <t>[{"ingredient_id": "cod", "name": "Cod fillet", "grams": 500.0, "note": ""}, {"ingredient_id": "diced_tomatoes", "name": "Diced tomatoes, canned", "grams": 400.0, "note": ""}, {"ingredient_id": "chicken_broth", "name": "Chicken broth, low sodium", "grams": 600.0, "note": ""}, {"ingredient_id": "onion", "name": "Yellow onion", "grams": 120.0, "note": ""}, {"ingredient_id": "bell_pepper", "name": "Bell pepper", "grams": 150.0, "note": ""}, {"ingredient_id": "garlic", "name": "Garlic", "grams": 8.0, "note": ""}, {"ingredient_id": "smoked_paprika", "name": "Smoked paprika", "grams": 3.0, "note": ""}, {"ingredient_id": "olive_oil", "name": "Extra-virgin olive oil", "grams": 20.0, "note": ""}, {"ingredient_id": "white_wine", "name": "Dry white wine (cooking)", "grams": 80.0, "note": ""}, {"ingredient_id": "kale", "name": "Kale", "grams": 150.0, "note": ""}, {"ingredient_id": "chickpeas", "name": "Chickpeas, cooked", "grams": 200.0, "note": ""}, {"ingredient_id": "parsley", "name": "Fresh parsley", "grams": 8.0, "note": ""}, {"ingredient_id": "salt", "name": "Salt", "grams": 3.0, "note": ""}]</t>
        </is>
      </c>
      <c r="N305" s="2" t="n">
        <v>327</v>
      </c>
      <c r="O305" s="5" t="n">
        <v>32.3</v>
      </c>
      <c r="P305" s="5" t="n">
        <v>8.300000000000001</v>
      </c>
      <c r="Q305" s="5" t="n">
        <v>29.3</v>
      </c>
      <c r="R305" s="5" t="n">
        <v>8.300000000000001</v>
      </c>
      <c r="S305" s="5" t="n">
        <v>21</v>
      </c>
      <c r="T305" s="2" t="n">
        <v>29</v>
      </c>
      <c r="U305" s="2" t="inlineStr">
        <is>
          <t>low</t>
        </is>
      </c>
      <c r="V305" s="5" t="n">
        <v>6.1</v>
      </c>
      <c r="W305" s="2" t="inlineStr">
        <is>
          <t>low</t>
        </is>
      </c>
      <c r="X305" s="3" t="inlineStr"/>
      <c r="Y305" s="3" t="inlineStr">
        <is>
          <t>46% of this dish's available carbohydrate comes from ingredients with a published, measured GI; the rest uses conventional placeholders (see Ingredients sheet)</t>
        </is>
      </c>
      <c r="Z305" s="2" t="n">
        <v>46</v>
      </c>
      <c r="AA305" s="3" t="inlineStr">
        <is>
          <t>pescatarian, gluten-free, dairy-free, nut-free, high-protein, high-fiber</t>
        </is>
      </c>
      <c r="AB305" s="3" t="inlineStr">
        <is>
          <t>1. Sauté onion, pepper, garlic with paprika in oil 6 minutes; add wine.
2. Add tomatoes, broth, chickpeas, kale; simmer 12 minutes.
3. Add cod chunks; cook 6 minutes; finish with parsley.</t>
        </is>
      </c>
      <c r="AC305" s="4" t="inlineStr">
        <is>
          <t>["Sauté onion, pepper, garlic with paprika in oil 6 minutes; add wine.", "Add tomatoes, broth, chickpeas, kale; simmer 12 minutes.", "Add cod chunks; cook 6 minutes; finish with parsley."]</t>
        </is>
      </c>
    </row>
    <row r="306" ht="96" customHeight="1">
      <c r="A306" s="2" t="inlineStr">
        <is>
          <t>DB-0305</t>
        </is>
      </c>
      <c r="B306" s="3" t="inlineStr">
        <is>
          <t>Spinach &amp; Egg White Soup</t>
        </is>
      </c>
      <c r="C306" s="4" t="inlineStr">
        <is>
          <t>Soup &amp; Stew</t>
        </is>
      </c>
      <c r="D306" s="4" t="inlineStr">
        <is>
          <t>Chinese</t>
        </is>
      </c>
      <c r="E306" s="2" t="n">
        <v>2</v>
      </c>
      <c r="F306" s="2" t="n">
        <v>5</v>
      </c>
      <c r="G306" s="2" t="n">
        <v>8</v>
      </c>
      <c r="H306" s="2" t="n">
        <v>13</v>
      </c>
      <c r="I306" s="4" t="inlineStr">
        <is>
          <t>spinach-and-egg-white-soup.jpg</t>
        </is>
      </c>
      <c r="J306" s="3" t="inlineStr">
        <is>
          <t>Spinach &amp; Egg White Soup, healthy food photography, plated, natural light</t>
        </is>
      </c>
      <c r="K306" s="4" t="inlineStr"/>
      <c r="L306" s="3" t="inlineStr">
        <is>
          <t>Chicken broth, low sodium — 700 g (24.7 oz)
Egg whites — 120 g (4.2 oz) [4 egg whites]
Spinach — 120 g (4.2 oz)
Fresh ginger — 5 g (0.2 oz)
Garlic — 3 g (0.1 oz)
Tamari (gluten-free soy sauce) — 8 g (0.3 oz)
Toasted sesame oil — 5 g (0.2 oz)
Green onions (scallions) — 10 g (0.4 oz)</t>
        </is>
      </c>
      <c r="M306" s="4" t="inlineStr">
        <is>
          <t>[{"ingredient_id": "chicken_broth", "name": "Chicken broth, low sodium", "grams": 700.0, "note": ""}, {"ingredient_id": "egg_white", "name": "Egg whites", "grams": 120.0, "note": "4 egg whites"}, {"ingredient_id": "spinach", "name": "Spinach", "grams": 120.0, "note": ""}, {"ingredient_id": "ginger", "name": "Fresh ginger", "grams": 5.0, "note": ""}, {"ingredient_id": "garlic", "name": "Garlic", "grams": 3.0, "note": ""}, {"ingredient_id": "tamari", "name": "Tamari (gluten-free soy sauce)", "grams": 8.0, "note": ""}, {"ingredient_id": "sesame_oil", "name": "Toasted sesame oil", "grams": 5.0, "note": ""}, {"ingredient_id": "green_onion", "name": "Green onions (scallions)", "grams": 10.0, "note": ""}]</t>
        </is>
      </c>
      <c r="N306" s="2" t="n">
        <v>100</v>
      </c>
      <c r="O306" s="5" t="n">
        <v>12.5</v>
      </c>
      <c r="P306" s="5" t="n">
        <v>3.6</v>
      </c>
      <c r="Q306" s="5" t="n">
        <v>5.8</v>
      </c>
      <c r="R306" s="5" t="n">
        <v>1.6</v>
      </c>
      <c r="S306" s="5" t="n">
        <v>4.3</v>
      </c>
      <c r="T306" s="2" t="n">
        <v>9</v>
      </c>
      <c r="U306" s="2" t="inlineStr">
        <is>
          <t>low</t>
        </is>
      </c>
      <c r="V306" s="5" t="n">
        <v>0.4</v>
      </c>
      <c r="W306" s="2" t="inlineStr">
        <is>
          <t>low</t>
        </is>
      </c>
      <c r="X306" s="3" t="inlineStr">
        <is>
          <t>Negligible carbohydrate (&lt;5 g net/serving): GI has little practical meaning, glycemic load is what matters.</t>
        </is>
      </c>
      <c r="Y306" s="3" t="inlineStr">
        <is>
          <t>0% of this dish's available carbohydrate comes from ingredients with a published, measured GI; the rest uses conventional placeholders (see Ingredients sheet)</t>
        </is>
      </c>
      <c r="Z306" s="2" t="n">
        <v>0</v>
      </c>
      <c r="AA306" s="3" t="inlineStr">
        <is>
          <t>vegetarian, gluten-free, dairy-free, nut-free, low-carb, quick</t>
        </is>
      </c>
      <c r="AB306" s="3" t="inlineStr">
        <is>
          <t>1. Simmer broth with ginger, garlic and tamari.
2. Drizzle in egg whites while stirring.
3. Add spinach, sesame oil and green onion.</t>
        </is>
      </c>
      <c r="AC306" s="4" t="inlineStr">
        <is>
          <t>["Simmer broth with ginger, garlic and tamari.", "Drizzle in egg whites while stirring.", "Add spinach, sesame oil and green onion."]</t>
        </is>
      </c>
    </row>
    <row r="307" ht="96" customHeight="1">
      <c r="A307" s="2" t="inlineStr">
        <is>
          <t>DB-0306</t>
        </is>
      </c>
      <c r="B307" s="3" t="inlineStr">
        <is>
          <t>Chicken Barley Soup</t>
        </is>
      </c>
      <c r="C307" s="4" t="inlineStr">
        <is>
          <t>Soup &amp; Stew</t>
        </is>
      </c>
      <c r="D307" s="4" t="inlineStr">
        <is>
          <t>American</t>
        </is>
      </c>
      <c r="E307" s="2" t="n">
        <v>5</v>
      </c>
      <c r="F307" s="2" t="n">
        <v>10</v>
      </c>
      <c r="G307" s="2" t="n">
        <v>45</v>
      </c>
      <c r="H307" s="2" t="n">
        <v>55</v>
      </c>
      <c r="I307" s="4" t="inlineStr">
        <is>
          <t>chicken-barley-soup.jpg</t>
        </is>
      </c>
      <c r="J307" s="3" t="inlineStr">
        <is>
          <t>Chicken Barley Soup, healthy food photography, plated, natural light</t>
        </is>
      </c>
      <c r="K307" s="4" t="inlineStr"/>
      <c r="L307" s="3" t="inlineStr">
        <is>
          <t>Chicken thigh, skinless boneless — 450 g (15.9 oz)
Pearl barley, cooked — 300 g (10.6 oz)
Chicken broth, low sodium — 1400 g (49.4 oz)
Carrot — 120 g (4.2 oz)
Celery — 120 g (4.2 oz)
Yellow onion — 120 g (4.2 oz)
Mushrooms (cremini/white) — 150 g (5.3 oz)
Garlic — 8 g (0.3 oz)
Fresh thyme — 2 g (0.1 oz)
Extra-virgin olive oil — 12 g (0.4 oz)
Fresh parsley — 8 g (0.3 oz)
Salt — 3 g (0.1 oz)</t>
        </is>
      </c>
      <c r="M307" s="4" t="inlineStr">
        <is>
          <t>[{"ingredient_id": "chicken_thigh", "name": "Chicken thigh, skinless boneless", "grams": 450.0, "note": ""}, {"ingredient_id": "barley", "name": "Pearl barley, cooked", "grams": 300.0, "note": ""}, {"ingredient_id": "chicken_broth", "name": "Chicken broth, low sodium", "grams": 1400.0, "note": ""}, {"ingredient_id": "carrot", "name": "Carrot", "grams": 120.0, "note": ""}, {"ingredient_id": "celery", "name": "Celery", "grams": 120.0, "note": ""}, {"ingredient_id": "onion", "name": "Yellow onion", "grams": 120.0, "note": ""}, {"ingredient_id": "mushrooms", "name": "Mushrooms (cremini/white)", "grams": 150.0, "note": ""}, {"ingredient_id": "garlic", "name": "Garlic", "grams": 8.0, "note": ""}, {"ingredient_id": "thyme", "name": "Fresh thyme", "grams": 2.0, "note": ""}, {"ingredient_id": "olive_oil", "name": "Extra-virgin olive oil", "grams": 12.0, "note": ""}, {"ingredient_id": "parsley", "name": "Fresh parsley", "grams": 8.0, "note": ""}, {"ingredient_id": "salt", "name": "Salt", "grams": 3.0, "note": ""}]</t>
        </is>
      </c>
      <c r="N307" s="2" t="n">
        <v>257</v>
      </c>
      <c r="O307" s="5" t="n">
        <v>23.7</v>
      </c>
      <c r="P307" s="5" t="n">
        <v>7.1</v>
      </c>
      <c r="Q307" s="5" t="n">
        <v>25.2</v>
      </c>
      <c r="R307" s="5" t="n">
        <v>4.2</v>
      </c>
      <c r="S307" s="5" t="n">
        <v>21</v>
      </c>
      <c r="T307" s="2" t="n">
        <v>36</v>
      </c>
      <c r="U307" s="2" t="inlineStr">
        <is>
          <t>low</t>
        </is>
      </c>
      <c r="V307" s="5" t="n">
        <v>7.6</v>
      </c>
      <c r="W307" s="2" t="inlineStr">
        <is>
          <t>low</t>
        </is>
      </c>
      <c r="X307" s="3" t="inlineStr"/>
      <c r="Y307" s="3" t="inlineStr">
        <is>
          <t>77% of this dish's available carbohydrate comes from ingredients with a published, measured GI; the rest uses conventional placeholders (see Ingredients sheet)</t>
        </is>
      </c>
      <c r="Z307" s="2" t="n">
        <v>77</v>
      </c>
      <c r="AA307" s="3" t="inlineStr">
        <is>
          <t>dairy-free, nut-free, make-ahead</t>
        </is>
      </c>
      <c r="AB307" s="3" t="inlineStr">
        <is>
          <t>1. Sauté onion, carrot, celery, mushrooms in oil 6 minutes; add garlic and thyme.
2. Add broth and chicken; simmer 25 minutes; shred chicken.
3. Stir in cooked barley; finish with parsley.</t>
        </is>
      </c>
      <c r="AC307" s="4" t="inlineStr">
        <is>
          <t>["Sauté onion, carrot, celery, mushrooms in oil 6 minutes; add garlic and thyme.", "Add broth and chicken; simmer 25 minutes; shred chicken.", "Stir in cooked barley; finish with parsley."]</t>
        </is>
      </c>
    </row>
    <row r="308" ht="96" customHeight="1">
      <c r="A308" s="2" t="inlineStr">
        <is>
          <t>DB-0307</t>
        </is>
      </c>
      <c r="B308" s="3" t="inlineStr">
        <is>
          <t>Golden Turmeric Chicken Soup</t>
        </is>
      </c>
      <c r="C308" s="4" t="inlineStr">
        <is>
          <t>Soup &amp; Stew</t>
        </is>
      </c>
      <c r="D308" s="4" t="inlineStr">
        <is>
          <t>American</t>
        </is>
      </c>
      <c r="E308" s="2" t="n">
        <v>4</v>
      </c>
      <c r="F308" s="2" t="n">
        <v>10</v>
      </c>
      <c r="G308" s="2" t="n">
        <v>30</v>
      </c>
      <c r="H308" s="2" t="n">
        <v>40</v>
      </c>
      <c r="I308" s="4" t="inlineStr">
        <is>
          <t>golden-turmeric-chicken-soup.jpg</t>
        </is>
      </c>
      <c r="J308" s="3" t="inlineStr">
        <is>
          <t>Golden Turmeric Chicken Soup, healthy food photography, plated, natural light</t>
        </is>
      </c>
      <c r="K308" s="4" t="inlineStr"/>
      <c r="L308" s="3" t="inlineStr">
        <is>
          <t>Chicken breast, skinless — 400 g (14.1 oz)
Chicken broth, low sodium — 1200 g (42.3 oz)
Ground turmeric — 4 g (0.1 oz)
Fresh ginger — 10 g (0.4 oz)
Garlic — 8 g (0.3 oz)
Carrot — 120 g (4.2 oz)
Celery — 100 g (3.5 oz)
Yellow onion — 100 g (3.5 oz)
Cauliflower rice — 250 g (8.8 oz)
Lemon juice — 15 g (0.5 oz)
Extra-virgin olive oil — 12 g (0.4 oz)
Fresh parsley — 8 g (0.3 oz)
Black pepper — 1 g (0.0 oz)
Salt — 3 g (0.1 oz)</t>
        </is>
      </c>
      <c r="M308" s="4" t="inlineStr">
        <is>
          <t>[{"ingredient_id": "chicken_breast", "name": "Chicken breast, skinless", "grams": 400.0, "note": ""}, {"ingredient_id": "chicken_broth", "name": "Chicken broth, low sodium", "grams": 1200.0, "note": ""}, {"ingredient_id": "turmeric", "name": "Ground turmeric", "grams": 4.0, "note": ""}, {"ingredient_id": "ginger", "name": "Fresh ginger", "grams": 10.0, "note": ""}, {"ingredient_id": "garlic", "name": "Garlic", "grams": 8.0, "note": ""}, {"ingredient_id": "carrot", "name": "Carrot", "grams": 120.0, "note": ""}, {"ingredient_id": "celery", "name": "Celery", "grams": 100.0, "note": ""}, {"ingredient_id": "onion", "name": "Yellow onion", "grams": 100.0, "note": ""}, {"ingredient_id": "cauliflower_rice", "name": "Cauliflower rice", "grams": 250.0, "note": ""}, {"ingredient_id": "lemon_juice", "name": "Lemon juice", "grams": 15.0, "note": ""}, {"ingredient_id": "olive_oil", "name": "Extra-virgin olive oil", "grams": 12.0, "note": ""}, {"ingredient_id": "parsley", "name": "Fresh parsley", "grams": 8.0, "note": ""}, {"ingredient_id": "black_pepper", "name": "Black pepper", "grams": 1.0, "note": ""}, {"ingredient_id": "salt", "name": "Salt", "grams": 3.0, "note": ""}]</t>
        </is>
      </c>
      <c r="N308" s="2" t="n">
        <v>220</v>
      </c>
      <c r="O308" s="5" t="n">
        <v>27.8</v>
      </c>
      <c r="P308" s="5" t="n">
        <v>6.6</v>
      </c>
      <c r="Q308" s="5" t="n">
        <v>12.9</v>
      </c>
      <c r="R308" s="5" t="n">
        <v>3.4</v>
      </c>
      <c r="S308" s="5" t="n">
        <v>9.5</v>
      </c>
      <c r="T308" s="2" t="n">
        <v>19</v>
      </c>
      <c r="U308" s="2" t="inlineStr">
        <is>
          <t>low</t>
        </is>
      </c>
      <c r="V308" s="5" t="n">
        <v>1.8</v>
      </c>
      <c r="W308" s="2" t="inlineStr">
        <is>
          <t>low</t>
        </is>
      </c>
      <c r="X308" s="3" t="inlineStr"/>
      <c r="Y308" s="3" t="inlineStr">
        <is>
          <t>21% of this dish's available carbohydrate comes from ingredients with a published, measured GI; the rest uses conventional placeholders (see Ingredients sheet)</t>
        </is>
      </c>
      <c r="Z308" s="2" t="n">
        <v>21</v>
      </c>
      <c r="AA308" s="3" t="inlineStr">
        <is>
          <t>gluten-free, dairy-free, nut-free, low-carb, high-protein, anti-inflammatory</t>
        </is>
      </c>
      <c r="AB308" s="3" t="inlineStr">
        <is>
          <t>1. Sauté onion, carrot, celery in oil with turmeric, ginger and garlic.
2. Add broth and chicken; simmer 20 minutes; shred.
3. Add cauliflower rice 5 minutes; finish with lemon, parsley, pepper.</t>
        </is>
      </c>
      <c r="AC308" s="4" t="inlineStr">
        <is>
          <t>["Sauté onion, carrot, celery in oil with turmeric, ginger and garlic.", "Add broth and chicken; simmer 20 minutes; shred.", "Add cauliflower rice 5 minutes; finish with lemon, parsley, pepper."]</t>
        </is>
      </c>
    </row>
    <row r="309" ht="96" customHeight="1">
      <c r="A309" s="2" t="inlineStr">
        <is>
          <t>DB-0308</t>
        </is>
      </c>
      <c r="B309" s="3" t="inlineStr">
        <is>
          <t>Italian Sausage &amp; Zucchini Soup</t>
        </is>
      </c>
      <c r="C309" s="4" t="inlineStr">
        <is>
          <t>Soup &amp; Stew</t>
        </is>
      </c>
      <c r="D309" s="4" t="inlineStr">
        <is>
          <t>Italian</t>
        </is>
      </c>
      <c r="E309" s="2" t="n">
        <v>4</v>
      </c>
      <c r="F309" s="2" t="n">
        <v>10</v>
      </c>
      <c r="G309" s="2" t="n">
        <v>25</v>
      </c>
      <c r="H309" s="2" t="n">
        <v>35</v>
      </c>
      <c r="I309" s="4" t="inlineStr">
        <is>
          <t>italian-sausage-and-zucchini-soup.jpg</t>
        </is>
      </c>
      <c r="J309" s="3" t="inlineStr">
        <is>
          <t>Italian Sausage &amp; Zucchini Soup, healthy food photography, plated, natural light</t>
        </is>
      </c>
      <c r="K309" s="4" t="inlineStr"/>
      <c r="L309" s="3" t="inlineStr">
        <is>
          <t>Chicken sausage — 350 g (12.3 oz)
Zucchini — 400 g (14.1 oz)
Diced tomatoes, canned — 400 g (14.1 oz)
Chicken broth, low sodium — 900 g (31.7 oz)
Yellow onion — 100 g (3.5 oz)
Garlic — 8 g (0.3 oz)
Italian seasoning — 3 g (0.1 oz)
Spinach — 100 g (3.5 oz)
Parmesan, grated — 30 g (1.1 oz)
Extra-virgin olive oil — 10 g (0.4 oz)</t>
        </is>
      </c>
      <c r="M309" s="4" t="inlineStr">
        <is>
          <t>[{"ingredient_id": "chicken_sausage", "name": "Chicken sausage", "grams": 350.0, "note": ""}, {"ingredient_id": "zucchini", "name": "Zucchini", "grams": 400.0, "note": ""}, {"ingredient_id": "diced_tomatoes", "name": "Diced tomatoes, canned", "grams": 400.0, "note": ""}, {"ingredient_id": "chicken_broth", "name": "Chicken broth, low sodium", "grams": 900.0, "note": ""}, {"ingredient_id": "onion", "name": "Yellow onion", "grams": 100.0, "note": ""}, {"ingredient_id": "garlic", "name": "Garlic", "grams": 8.0, "note": ""}, {"ingredient_id": "italian_seasoning", "name": "Italian seasoning", "grams": 3.0, "note": ""}, {"ingredient_id": "spinach", "name": "Spinach", "grams": 100.0, "note": ""}, {"ingredient_id": "parmesan", "name": "Parmesan, grated", "grams": 30.0, "note": ""}, {"ingredient_id": "olive_oil", "name": "Extra-virgin olive oil", "grams": 10.0, "note": ""}]</t>
        </is>
      </c>
      <c r="N309" s="2" t="n">
        <v>281</v>
      </c>
      <c r="O309" s="5" t="n">
        <v>21.8</v>
      </c>
      <c r="P309" s="5" t="n">
        <v>15.4</v>
      </c>
      <c r="Q309" s="5" t="n">
        <v>15.7</v>
      </c>
      <c r="R309" s="5" t="n">
        <v>3.8</v>
      </c>
      <c r="S309" s="5" t="n">
        <v>11.8</v>
      </c>
      <c r="T309" s="2" t="n">
        <v>18</v>
      </c>
      <c r="U309" s="2" t="inlineStr">
        <is>
          <t>low</t>
        </is>
      </c>
      <c r="V309" s="5" t="n">
        <v>2.1</v>
      </c>
      <c r="W309" s="2" t="inlineStr">
        <is>
          <t>low</t>
        </is>
      </c>
      <c r="X309" s="3" t="inlineStr"/>
      <c r="Y309" s="3" t="inlineStr">
        <is>
          <t>0% of this dish's available carbohydrate comes from ingredients with a published, measured GI; the rest uses conventional placeholders (see Ingredients sheet)</t>
        </is>
      </c>
      <c r="Z309" s="2" t="n">
        <v>0</v>
      </c>
      <c r="AA309" s="3" t="inlineStr">
        <is>
          <t>gluten-free, nut-free, low-carb</t>
        </is>
      </c>
      <c r="AB309" s="3" t="inlineStr">
        <is>
          <t>1. Brown sausage; add onion and garlic.
2. Add tomatoes, broth and zucchini; simmer 12 minutes.
3. Stir in spinach; serve with parmesan.</t>
        </is>
      </c>
      <c r="AC309" s="4" t="inlineStr">
        <is>
          <t>["Brown sausage; add onion and garlic.", "Add tomatoes, broth and zucchini; simmer 12 minutes.", "Stir in spinach; serve with parmesan."]</t>
        </is>
      </c>
    </row>
    <row r="310" ht="96" customHeight="1">
      <c r="A310" s="2" t="inlineStr">
        <is>
          <t>DB-0309</t>
        </is>
      </c>
      <c r="B310" s="3" t="inlineStr">
        <is>
          <t>Tofu Vegetable Ramen (Shirataki)</t>
        </is>
      </c>
      <c r="C310" s="4" t="inlineStr">
        <is>
          <t>Soup &amp; Stew</t>
        </is>
      </c>
      <c r="D310" s="4" t="inlineStr">
        <is>
          <t>Japanese</t>
        </is>
      </c>
      <c r="E310" s="2" t="n">
        <v>2</v>
      </c>
      <c r="F310" s="2" t="n">
        <v>10</v>
      </c>
      <c r="G310" s="2" t="n">
        <v>15</v>
      </c>
      <c r="H310" s="2" t="n">
        <v>25</v>
      </c>
      <c r="I310" s="4" t="inlineStr">
        <is>
          <t>tofu-vegetable-ramen-shirataki.jpg</t>
        </is>
      </c>
      <c r="J310" s="3" t="inlineStr">
        <is>
          <t>Tofu Vegetable Ramen (Shirataki), healthy food photography, plated, natural light</t>
        </is>
      </c>
      <c r="K310" s="4" t="inlineStr"/>
      <c r="L310" s="3" t="inlineStr">
        <is>
          <t>Shirataki noodles — 400 g (14.1 oz)
Tofu, extra-firm — 250 g (8.8 oz)
Vegetable broth, low sodium — 900 g (31.7 oz)
White miso paste — 25 g (0.9 oz)
Tamari (gluten-free soy sauce) — 15 g (0.5 oz)
Fresh ginger — 8 g (0.3 oz)
Garlic — 5 g (0.2 oz)
Bok choy — 150 g (5.3 oz)
Shiitake mushrooms — 100 g (3.5 oz)
Egg, large (50 g each) — 100 g (3.5 oz) [2 soft-boiled eggs]
Green onions (scallions) — 15 g (0.5 oz)
Toasted sesame oil — 6 g (0.2 oz)
Nori seaweed sheets — 2 g (0.1 oz)</t>
        </is>
      </c>
      <c r="M310" s="4" t="inlineStr">
        <is>
          <t>[{"ingredient_id": "shirataki", "name": "Shirataki noodles", "grams": 400.0, "note": ""}, {"ingredient_id": "tofu", "name": "Tofu, extra-firm", "grams": 250.0, "note": ""}, {"ingredient_id": "vegetable_broth", "name": "Vegetable broth, low sodium", "grams": 900.0, "note": ""}, {"ingredient_id": "miso", "name": "White miso paste", "grams": 25.0, "note": ""}, {"ingredient_id": "tamari", "name": "Tamari (gluten-free soy sauce)", "grams": 15.0, "note": ""}, {"ingredient_id": "ginger", "name": "Fresh ginger", "grams": 8.0, "note": ""}, {"ingredient_id": "garlic", "name": "Garlic", "grams": 5.0, "note": ""}, {"ingredient_id": "bok_choy", "name": "Bok choy", "grams": 150.0, "note": ""}, {"ingredient_id": "shiitake", "name": "Shiitake mushrooms", "grams": 100.0, "note": ""}, {"ingredient_id": "egg", "name": "Egg, large (50 g each)", "grams": 100.0, "note": "2 soft-boiled eggs"}, {"ingredient_id": "green_onion", "name": "Green onions (scallions)", "grams": 15.0, "note": ""}, {"ingredient_id": "sesame_oil", "name": "Toasted sesame oil", "grams": 6.0, "note": ""}, {"ingredient_id": "nori", "name": "Nori seaweed sheets", "grams": 2.0, "note": ""}]</t>
        </is>
      </c>
      <c r="N310" s="2" t="n">
        <v>400</v>
      </c>
      <c r="O310" s="5" t="n">
        <v>34.7</v>
      </c>
      <c r="P310" s="5" t="n">
        <v>21.1</v>
      </c>
      <c r="Q310" s="5" t="n">
        <v>27.7</v>
      </c>
      <c r="R310" s="5" t="n">
        <v>11.5</v>
      </c>
      <c r="S310" s="5" t="n">
        <v>16.2</v>
      </c>
      <c r="T310" s="2" t="n">
        <v>12</v>
      </c>
      <c r="U310" s="2" t="inlineStr">
        <is>
          <t>low</t>
        </is>
      </c>
      <c r="V310" s="5" t="n">
        <v>1.9</v>
      </c>
      <c r="W310" s="2" t="inlineStr">
        <is>
          <t>low</t>
        </is>
      </c>
      <c r="X310" s="3" t="inlineStr"/>
      <c r="Y310" s="3" t="inlineStr">
        <is>
          <t>0% of this dish's available carbohydrate comes from ingredients with a published, measured GI; the rest uses conventional placeholders (see Ingredients sheet)</t>
        </is>
      </c>
      <c r="Z310" s="2" t="n">
        <v>0</v>
      </c>
      <c r="AA310" s="3" t="inlineStr">
        <is>
          <t>vegetarian, dairy-free, nut-free, high-protein, high-fiber</t>
        </is>
      </c>
      <c r="AB310" s="3" t="inlineStr">
        <is>
          <t>1. Simmer broth with ginger, garlic, tamari and shiitake 8 minutes; add bok choy 2 minutes.
2. Rinse shirataki well and add to bowls with pan-seared tofu.
3. Whisk miso into broth off heat; pour over; top with halved eggs, green onion, sesame oil, nori.</t>
        </is>
      </c>
      <c r="AC310" s="4" t="inlineStr">
        <is>
          <t>["Simmer broth with ginger, garlic, tamari and shiitake 8 minutes; add bok choy 2 minutes.", "Rinse shirataki well and add to bowls with pan-seared tofu.", "Whisk miso into broth off heat; pour over; top with halved eggs, green onion, sesame oil, nori."]</t>
        </is>
      </c>
    </row>
    <row r="311" ht="96" customHeight="1">
      <c r="A311" s="2" t="inlineStr">
        <is>
          <t>DB-0310</t>
        </is>
      </c>
      <c r="B311" s="3" t="inlineStr">
        <is>
          <t>Turkey Pumpkin Chili</t>
        </is>
      </c>
      <c r="C311" s="4" t="inlineStr">
        <is>
          <t>Soup &amp; Stew</t>
        </is>
      </c>
      <c r="D311" s="4" t="inlineStr">
        <is>
          <t>American</t>
        </is>
      </c>
      <c r="E311" s="2" t="n">
        <v>6</v>
      </c>
      <c r="F311" s="2" t="n">
        <v>15</v>
      </c>
      <c r="G311" s="2" t="n">
        <v>40</v>
      </c>
      <c r="H311" s="2" t="n">
        <v>55</v>
      </c>
      <c r="I311" s="4" t="inlineStr">
        <is>
          <t>turkey-pumpkin-chili.jpg</t>
        </is>
      </c>
      <c r="J311" s="3" t="inlineStr">
        <is>
          <t>Turkey Pumpkin Chili, healthy food photography, plated, natural light</t>
        </is>
      </c>
      <c r="K311" s="4" t="inlineStr"/>
      <c r="L311" s="3" t="inlineStr">
        <is>
          <t>Ground turkey 93% lean — 600 g (21.2 oz)
Pumpkin puree, canned — 300 g (10.6 oz)
Black beans, cooked — 400 g (14.1 oz)
Diced tomatoes, canned — 400 g (14.1 oz)
Chicken broth, low sodium — 400 g (14.1 oz)
Yellow onion — 150 g (5.3 oz)
Bell pepper — 150 g (5.3 oz)
Garlic — 8 g (0.3 oz)
Chili powder — 12 g (0.4 oz)
Ground cumin — 5 g (0.2 oz)
Ground cinnamon — 1 g (0.0 oz)
Extra-virgin olive oil — 12 g (0.4 oz)
Salt — 4 g (0.1 oz)</t>
        </is>
      </c>
      <c r="M311" s="4" t="inlineStr">
        <is>
          <t>[{"ingredient_id": "ground_turkey", "name": "Ground turkey 93% lean", "grams": 600.0, "note": ""}, {"ingredient_id": "pumpkin_puree", "name": "Pumpkin puree, canned", "grams": 300.0, "note": ""}, {"ingredient_id": "black_beans", "name": "Black beans, cooked", "grams": 400.0, "note": ""}, {"ingredient_id": "diced_tomatoes", "name": "Diced tomatoes, canned", "grams": 400.0, "note": ""}, {"ingredient_id": "chicken_broth", "name": "Chicken broth, low sodium", "grams": 400.0, "note": ""}, {"ingredient_id": "onion", "name": "Yellow onion", "grams": 150.0, "note": ""}, {"ingredient_id": "bell_pepper", "name": "Bell pepper", "grams": 150.0, "note": ""}, {"ingredient_id": "garlic", "name": "Garlic", "grams": 8.0, "note": ""}, {"ingredient_id": "chili_powder", "name": "Chili powder", "grams": 12.0, "note": ""}, {"ingredient_id": "cumin", "name": "Ground cumin", "grams": 5.0, "note": ""}, {"ingredient_id": "cinnamon", "name": "Ground cinnamon", "grams": 1.0, "note": ""}, {"ingredient_id": "olive_oil", "name": "Extra-virgin olive oil", "grams": 12.0, "note": ""}, {"ingredient_id": "salt", "name": "Salt", "grams": 4.0, "note": ""}]</t>
        </is>
      </c>
      <c r="N311" s="2" t="n">
        <v>322</v>
      </c>
      <c r="O311" s="5" t="n">
        <v>27.7</v>
      </c>
      <c r="P311" s="5" t="n">
        <v>11.2</v>
      </c>
      <c r="Q311" s="5" t="n">
        <v>29.2</v>
      </c>
      <c r="R311" s="5" t="n">
        <v>10.2</v>
      </c>
      <c r="S311" s="5" t="n">
        <v>19.1</v>
      </c>
      <c r="T311" s="2" t="n">
        <v>33</v>
      </c>
      <c r="U311" s="2" t="inlineStr">
        <is>
          <t>low</t>
        </is>
      </c>
      <c r="V311" s="5" t="n">
        <v>6.3</v>
      </c>
      <c r="W311" s="2" t="inlineStr">
        <is>
          <t>low</t>
        </is>
      </c>
      <c r="X311" s="3" t="inlineStr"/>
      <c r="Y311" s="3" t="inlineStr">
        <is>
          <t>66% of this dish's available carbohydrate comes from ingredients with a published, measured GI; the rest uses conventional placeholders (see Ingredients sheet)</t>
        </is>
      </c>
      <c r="Z311" s="2" t="n">
        <v>66</v>
      </c>
      <c r="AA311" s="3" t="inlineStr">
        <is>
          <t>gluten-free, dairy-free, nut-free, high-protein, high-fiber, make-ahead</t>
        </is>
      </c>
      <c r="AB311" s="3" t="inlineStr">
        <is>
          <t>1. Brown turkey with onion and pepper in oil; add garlic and spices.
2. Add pumpkin, tomatoes, beans, broth; simmer 30 minutes.
3. Season; serve with yogurt and pepitas.</t>
        </is>
      </c>
      <c r="AC311" s="4" t="inlineStr">
        <is>
          <t>["Brown turkey with onion and pepper in oil; add garlic and spices.", "Add pumpkin, tomatoes, beans, broth; simmer 30 minutes.", "Season; serve with yogurt and pepitas."]</t>
        </is>
      </c>
    </row>
    <row r="312" ht="96" customHeight="1">
      <c r="A312" s="2" t="inlineStr">
        <is>
          <t>DB-0311</t>
        </is>
      </c>
      <c r="B312" s="3" t="inlineStr">
        <is>
          <t>Seafood &amp; Fennel Broth</t>
        </is>
      </c>
      <c r="C312" s="4" t="inlineStr">
        <is>
          <t>Soup &amp; Stew</t>
        </is>
      </c>
      <c r="D312" s="4" t="inlineStr">
        <is>
          <t>Mediterranean</t>
        </is>
      </c>
      <c r="E312" s="2" t="n">
        <v>3</v>
      </c>
      <c r="F312" s="2" t="n">
        <v>15</v>
      </c>
      <c r="G312" s="2" t="n">
        <v>25</v>
      </c>
      <c r="H312" s="2" t="n">
        <v>40</v>
      </c>
      <c r="I312" s="4" t="inlineStr">
        <is>
          <t>seafood-and-fennel-broth.jpg</t>
        </is>
      </c>
      <c r="J312" s="3" t="inlineStr">
        <is>
          <t>Seafood &amp; Fennel Broth, healthy food photography, plated, natural light</t>
        </is>
      </c>
      <c r="K312" s="4" t="inlineStr"/>
      <c r="L312" s="3" t="inlineStr">
        <is>
          <t>Shrimp, peeled — 250 g (8.8 oz)
Cod fillet — 250 g (8.8 oz)
Fennel bulb — 200 g (7.1 oz)
Leek — 100 g (3.5 oz)
Chicken broth, low sodium — 900 g (31.7 oz)
Dry white wine (cooking) — 80 g (2.8 oz)
Garlic — 6 g (0.2 oz)
Extra-virgin olive oil — 15 g (0.5 oz)
Diced tomatoes, canned — 200 g (7.1 oz)
Fresh parsley — 8 g (0.3 oz)
Lemon (with juice &amp; zest) — 30 g (1.1 oz)
Salt — 3 g (0.1 oz)</t>
        </is>
      </c>
      <c r="M312" s="4" t="inlineStr">
        <is>
          <t>[{"ingredient_id": "shrimp", "name": "Shrimp, peeled", "grams": 250.0, "note": ""}, {"ingredient_id": "cod", "name": "Cod fillet", "grams": 250.0, "note": ""}, {"ingredient_id": "fennel", "name": "Fennel bulb", "grams": 200.0, "note": ""}, {"ingredient_id": "leek", "name": "Leek", "grams": 100.0, "note": ""}, {"ingredient_id": "chicken_broth", "name": "Chicken broth, low sodium", "grams": 900.0, "note": ""}, {"ingredient_id": "white_wine", "name": "Dry white wine (cooking)", "grams": 80.0, "note": ""}, {"ingredient_id": "garlic", "name": "Garlic", "grams": 6.0, "note": ""}, {"ingredient_id": "olive_oil", "name": "Extra-virgin olive oil", "grams": 15.0, "note": ""}, {"ingredient_id": "diced_tomatoes", "name": "Diced tomatoes, canned", "grams": 200.0, "note": ""}, {"ingredient_id": "parsley", "name": "Fresh parsley", "grams": 8.0, "note": ""}, {"ingredient_id": "lemon", "name": "Lemon (with juice &amp; zest)", "grams": 30.0, "note": ""}, {"ingredient_id": "salt", "name": "Salt", "grams": 3.0, "note": ""}]</t>
        </is>
      </c>
      <c r="N312" s="2" t="n">
        <v>290</v>
      </c>
      <c r="O312" s="5" t="n">
        <v>37.1</v>
      </c>
      <c r="P312" s="5" t="n">
        <v>7</v>
      </c>
      <c r="Q312" s="5" t="n">
        <v>16.8</v>
      </c>
      <c r="R312" s="5" t="n">
        <v>4.1</v>
      </c>
      <c r="S312" s="5" t="n">
        <v>12.7</v>
      </c>
      <c r="T312" s="2" t="n">
        <v>17</v>
      </c>
      <c r="U312" s="2" t="inlineStr">
        <is>
          <t>low</t>
        </is>
      </c>
      <c r="V312" s="5" t="n">
        <v>2.2</v>
      </c>
      <c r="W312" s="2" t="inlineStr">
        <is>
          <t>low</t>
        </is>
      </c>
      <c r="X312" s="3" t="inlineStr"/>
      <c r="Y312" s="3" t="inlineStr">
        <is>
          <t>0% of this dish's available carbohydrate comes from ingredients with a published, measured GI; the rest uses conventional placeholders (see Ingredients sheet)</t>
        </is>
      </c>
      <c r="Z312" s="2" t="n">
        <v>0</v>
      </c>
      <c r="AA312" s="3" t="inlineStr">
        <is>
          <t>pescatarian, gluten-free, dairy-free, nut-free, low-carb, high-protein</t>
        </is>
      </c>
      <c r="AB312" s="3" t="inlineStr">
        <is>
          <t>1. Sauté fennel, leek and garlic in oil 6 minutes; add wine.
2. Add broth and tomatoes; simmer 10 minutes.
3. Add cod and shrimp 5 minutes; finish with parsley and lemon.</t>
        </is>
      </c>
      <c r="AC312" s="4" t="inlineStr">
        <is>
          <t>["Sauté fennel, leek and garlic in oil 6 minutes; add wine.", "Add broth and tomatoes; simmer 10 minutes.", "Add cod and shrimp 5 minutes; finish with parsley and lemon."]</t>
        </is>
      </c>
    </row>
    <row r="313" ht="96" customHeight="1">
      <c r="A313" s="2" t="inlineStr">
        <is>
          <t>DB-0312</t>
        </is>
      </c>
      <c r="B313" s="3" t="inlineStr">
        <is>
          <t>Lemon Herb Grilled Chicken Breast</t>
        </is>
      </c>
      <c r="C313" s="4" t="inlineStr">
        <is>
          <t>Poultry</t>
        </is>
      </c>
      <c r="D313" s="4" t="inlineStr">
        <is>
          <t>American</t>
        </is>
      </c>
      <c r="E313" s="2" t="n">
        <v>4</v>
      </c>
      <c r="F313" s="2" t="n">
        <v>10</v>
      </c>
      <c r="G313" s="2" t="n">
        <v>15</v>
      </c>
      <c r="H313" s="2" t="n">
        <v>25</v>
      </c>
      <c r="I313" s="4" t="inlineStr">
        <is>
          <t>lemon-herb-grilled-chicken-breast.jpg</t>
        </is>
      </c>
      <c r="J313" s="3" t="inlineStr">
        <is>
          <t>Lemon Herb Grilled Chicken Breast, healthy food photography, plated, natural light</t>
        </is>
      </c>
      <c r="K313" s="4" t="inlineStr"/>
      <c r="L313" s="3" t="inlineStr">
        <is>
          <t>Chicken breast, skinless — 600 g (21.2 oz)
Lemon (with juice &amp; zest) — 60 g (2.1 oz) [zest + juice]
Extra-virgin olive oil — 20 g (0.7 oz)
Garlic — 8 g (0.3 oz)
Dried oregano — 2 g (0.1 oz)
Fresh thyme — 2 g (0.1 oz)
Salt — 3 g (0.1 oz)
Black pepper — 1 g (0.0 oz)
Broccoli — 400 g (14.1 oz)
Quinoa, cooked — 300 g (10.6 oz)</t>
        </is>
      </c>
      <c r="M313" s="4" t="inlineStr">
        <is>
          <t>[{"ingredient_id": "chicken_breast", "name": "Chicken breast, skinless", "grams": 600.0, "note": ""}, {"ingredient_id": "lemon", "name": "Lemon (with juice &amp; zest)", "grams": 60.0, "note": "zest + juice"}, {"ingredient_id": "olive_oil", "name": "Extra-virgin olive oil", "grams": 20.0, "note": ""}, {"ingredient_id": "garlic", "name": "Garlic", "grams": 8.0, "note": ""}, {"ingredient_id": "oregano", "name": "Dried oregano", "grams": 2.0, "note": ""}, {"ingredient_id": "thyme", "name": "Fresh thyme", "grams": 2.0, "note": ""}, {"ingredient_id": "salt", "name": "Salt", "grams": 3.0, "note": ""}, {"ingredient_id": "black_pepper", "name": "Black pepper", "grams": 1.0, "note": ""}, {"ingredient_id": "broccoli", "name": "Broccoli", "grams": 400.0, "note": ""}, {"ingredient_id": "quinoa", "name": "Quinoa, cooked", "grams": 300.0, "note": ""}]</t>
        </is>
      </c>
      <c r="N313" s="2" t="n">
        <v>358</v>
      </c>
      <c r="O313" s="5" t="n">
        <v>40.2</v>
      </c>
      <c r="P313" s="5" t="n">
        <v>10.8</v>
      </c>
      <c r="Q313" s="5" t="n">
        <v>25</v>
      </c>
      <c r="R313" s="5" t="n">
        <v>5.5</v>
      </c>
      <c r="S313" s="5" t="n">
        <v>19.5</v>
      </c>
      <c r="T313" s="2" t="n">
        <v>42</v>
      </c>
      <c r="U313" s="2" t="inlineStr">
        <is>
          <t>low</t>
        </is>
      </c>
      <c r="V313" s="5" t="n">
        <v>8.199999999999999</v>
      </c>
      <c r="W313" s="2" t="inlineStr">
        <is>
          <t>low</t>
        </is>
      </c>
      <c r="X313" s="3" t="inlineStr"/>
      <c r="Y313" s="3" t="inlineStr">
        <is>
          <t>70% of this dish's available carbohydrate comes from ingredients with a published, measured GI; the rest uses conventional placeholders (see Ingredients sheet)</t>
        </is>
      </c>
      <c r="Z313" s="2" t="n">
        <v>70</v>
      </c>
      <c r="AA313" s="3" t="inlineStr">
        <is>
          <t>gluten-free, dairy-free, nut-free, high-protein, meal-prep</t>
        </is>
      </c>
      <c r="AB313" s="3" t="inlineStr">
        <is>
          <t>1. Marinate chicken in lemon, oil, garlic, herbs, salt and pepper 15 minutes.
2. Grill 6–7 minutes per side until 165°F; rest 5 minutes.
3. Serve with steamed broccoli and quinoa.</t>
        </is>
      </c>
      <c r="AC313" s="4" t="inlineStr">
        <is>
          <t>["Marinate chicken in lemon, oil, garlic, herbs, salt and pepper 15 minutes.", "Grill 6–7 minutes per side until 165°F; rest 5 minutes.", "Serve with steamed broccoli and quinoa."]</t>
        </is>
      </c>
    </row>
    <row r="314" ht="96" customHeight="1">
      <c r="A314" s="2" t="inlineStr">
        <is>
          <t>DB-0313</t>
        </is>
      </c>
      <c r="B314" s="3" t="inlineStr">
        <is>
          <t>Sheet Pan Chicken Fajitas</t>
        </is>
      </c>
      <c r="C314" s="4" t="inlineStr">
        <is>
          <t>Poultry</t>
        </is>
      </c>
      <c r="D314" s="4" t="inlineStr">
        <is>
          <t>Tex-Mex</t>
        </is>
      </c>
      <c r="E314" s="2" t="n">
        <v>4</v>
      </c>
      <c r="F314" s="2" t="n">
        <v>10</v>
      </c>
      <c r="G314" s="2" t="n">
        <v>22</v>
      </c>
      <c r="H314" s="2" t="n">
        <v>32</v>
      </c>
      <c r="I314" s="4" t="inlineStr">
        <is>
          <t>sheet-pan-chicken-fajitas.jpg</t>
        </is>
      </c>
      <c r="J314" s="3" t="inlineStr">
        <is>
          <t>Sheet Pan Chicken Fajitas, healthy food photography, plated, natural light</t>
        </is>
      </c>
      <c r="K314" s="4" t="inlineStr"/>
      <c r="L314" s="3" t="inlineStr">
        <is>
          <t>Chicken breast, skinless — 600 g (21.2 oz)
Bell pepper — 400 g (14.1 oz)
Yellow onion — 200 g (7.1 oz)
Extra-virgin olive oil — 20 g (0.7 oz)
Chili powder — 6 g (0.2 oz)
Ground cumin — 4 g (0.1 oz)
Smoked paprika — 3 g (0.1 oz)
Garlic powder — 2 g (0.1 oz)
Lime — 40 g (1.4 oz)
Low-carb high-fiber tortilla — 168 g (5.9 oz) [4 tortillas]
Greek yogurt, plain 2% — 80 g (2.8 oz)
Fresh cilantro — 8 g (0.3 oz)
Salt — 3 g (0.1 oz)</t>
        </is>
      </c>
      <c r="M314" s="4" t="inlineStr">
        <is>
          <t>[{"ingredient_id": "chicken_breast", "name": "Chicken breast, skinless", "grams": 600.0, "note": ""}, {"ingredient_id": "bell_pepper", "name": "Bell pepper", "grams": 400.0, "note": ""}, {"ingredient_id": "onion", "name": "Yellow onion", "grams": 200.0, "note": ""}, {"ingredient_id": "olive_oil", "name": "Extra-virgin olive oil", "grams": 20.0, "note": ""}, {"ingredient_id": "chili_powder", "name": "Chili powder", "grams": 6.0, "note": ""}, {"ingredient_id": "cumin", "name": "Ground cumin", "grams": 4.0, "note": ""}, {"ingredient_id": "smoked_paprika", "name": "Smoked paprika", "grams": 3.0, "note": ""}, {"ingredient_id": "garlic_powder", "name": "Garlic powder", "grams": 2.0, "note": ""}, {"ingredient_id": "lime", "name": "Lime", "grams": 40.0, "note": ""}, {"ingredient_id": "low_carb_tortilla", "name": "Low-carb high-fiber tortilla", "grams": 168.0, "note": "4 tortillas"}, {"ingredient_id": "greek_yogurt", "name": "Greek yogurt, plain 2%", "grams": 80.0, "note": ""}, {"ingredient_id": "cilantro", "name": "Fresh cilantro", "grams": 8.0, "note": ""}, {"ingredient_id": "salt", "name": "Salt", "grams": 3.0, "note": ""}]</t>
        </is>
      </c>
      <c r="N314" s="2" t="n">
        <v>410</v>
      </c>
      <c r="O314" s="5" t="n">
        <v>43</v>
      </c>
      <c r="P314" s="5" t="n">
        <v>13.6</v>
      </c>
      <c r="Q314" s="5" t="n">
        <v>31.3</v>
      </c>
      <c r="R314" s="5" t="n">
        <v>14.7</v>
      </c>
      <c r="S314" s="5" t="n">
        <v>16.6</v>
      </c>
      <c r="T314" s="2" t="n">
        <v>21</v>
      </c>
      <c r="U314" s="2" t="inlineStr">
        <is>
          <t>low</t>
        </is>
      </c>
      <c r="V314" s="5" t="n">
        <v>3.5</v>
      </c>
      <c r="W314" s="2" t="inlineStr">
        <is>
          <t>low</t>
        </is>
      </c>
      <c r="X314" s="3" t="inlineStr"/>
      <c r="Y314" s="3" t="inlineStr">
        <is>
          <t>5% of this dish's available carbohydrate comes from ingredients with a published, measured GI; the rest uses conventional placeholders (see Ingredients sheet)</t>
        </is>
      </c>
      <c r="Z314" s="2" t="n">
        <v>5</v>
      </c>
      <c r="AA314" s="3" t="inlineStr">
        <is>
          <t>nut-free, high-protein, high-fiber, one-pan</t>
        </is>
      </c>
      <c r="AB314" s="3" t="inlineStr">
        <is>
          <t>1. Toss sliced chicken, peppers and onion with oil and spices on a sheet pan.
2. Roast at 425°F for 20 minutes, stirring once.
3. Squeeze lime over; serve in warm tortillas with yogurt and cilantro.</t>
        </is>
      </c>
      <c r="AC314" s="4" t="inlineStr">
        <is>
          <t>["Toss sliced chicken, peppers and onion with oil and spices on a sheet pan.", "Roast at 425°F for 20 minutes, stirring once.", "Squeeze lime over; serve in warm tortillas with yogurt and cilantro."]</t>
        </is>
      </c>
    </row>
    <row r="315" ht="96" customHeight="1">
      <c r="A315" s="2" t="inlineStr">
        <is>
          <t>DB-0314</t>
        </is>
      </c>
      <c r="B315" s="3" t="inlineStr">
        <is>
          <t>Chicken Stir-Fry with Broccoli &amp; Cashews</t>
        </is>
      </c>
      <c r="C315" s="4" t="inlineStr">
        <is>
          <t>Poultry</t>
        </is>
      </c>
      <c r="D315" s="4" t="inlineStr">
        <is>
          <t>Chinese-American</t>
        </is>
      </c>
      <c r="E315" s="2" t="n">
        <v>3</v>
      </c>
      <c r="F315" s="2" t="n">
        <v>15</v>
      </c>
      <c r="G315" s="2" t="n">
        <v>12</v>
      </c>
      <c r="H315" s="2" t="n">
        <v>27</v>
      </c>
      <c r="I315" s="4" t="inlineStr">
        <is>
          <t>chicken-stir-fry-with-broccoli-and-cashews.jpg</t>
        </is>
      </c>
      <c r="J315" s="3" t="inlineStr">
        <is>
          <t>Chicken Stir-Fry with Broccoli &amp; Cashews, healthy food photography, plated, natural light</t>
        </is>
      </c>
      <c r="K315" s="4" t="inlineStr"/>
      <c r="L315" s="3" t="inlineStr">
        <is>
          <t>Chicken breast, skinless — 450 g (15.9 oz)
Broccoli — 400 g (14.1 oz)
Bell pepper — 100 g (3.5 oz)
Cashews — 40 g (1.4 oz)
Tamari (gluten-free soy sauce) — 25 g (0.9 oz)
Garlic — 8 g (0.3 oz)
Fresh ginger — 8 g (0.3 oz)
Toasted sesame oil — 8 g (0.3 oz)
Avocado oil — 12 g (0.4 oz)
Rice vinegar, unseasoned — 10 g (0.4 oz)
Arrowroot starch — 5 g (0.2 oz)
Green onions (scallions) — 15 g (0.5 oz)</t>
        </is>
      </c>
      <c r="M315" s="4" t="inlineStr">
        <is>
          <t>[{"ingredient_id": "chicken_breast", "name": "Chicken breast, skinless", "grams": 450.0, "note": ""}, {"ingredient_id": "broccoli", "name": "Broccoli", "grams": 400.0, "note": ""}, {"ingredient_id": "bell_pepper", "name": "Bell pepper", "grams": 100.0, "note": ""}, {"ingredient_id": "cashews", "name": "Cashews", "grams": 40.0, "note": ""}, {"ingredient_id": "tamari", "name": "Tamari (gluten-free soy sauce)", "grams": 25.0, "note": ""}, {"ingredient_id": "garlic", "name": "Garlic", "grams": 8.0, "note": ""}, {"ingredient_id": "ginger", "name": "Fresh ginger", "grams": 8.0, "note": ""}, {"ingredient_id": "sesame_oil", "name": "Toasted sesame oil", "grams": 8.0, "note": ""}, {"ingredient_id": "avocado_oil", "name": "Avocado oil", "grams": 12.0, "note": ""}, {"ingredient_id": "rice_vinegar", "name": "Rice vinegar, unseasoned", "grams": 10.0, "note": ""}, {"ingredient_id": "arrowroot", "name": "Arrowroot starch", "grams": 5.0, "note": ""}, {"ingredient_id": "green_onion", "name": "Green onions (scallions)", "grams": 15.0, "note": ""}]</t>
        </is>
      </c>
      <c r="N315" s="2" t="n">
        <v>388</v>
      </c>
      <c r="O315" s="5" t="n">
        <v>41.4</v>
      </c>
      <c r="P315" s="5" t="n">
        <v>17.1</v>
      </c>
      <c r="Q315" s="5" t="n">
        <v>18.4</v>
      </c>
      <c r="R315" s="5" t="n">
        <v>5</v>
      </c>
      <c r="S315" s="5" t="n">
        <v>13.5</v>
      </c>
      <c r="T315" s="2" t="n">
        <v>24</v>
      </c>
      <c r="U315" s="2" t="inlineStr">
        <is>
          <t>low</t>
        </is>
      </c>
      <c r="V315" s="5" t="n">
        <v>3.2</v>
      </c>
      <c r="W315" s="2" t="inlineStr">
        <is>
          <t>low</t>
        </is>
      </c>
      <c r="X315" s="3" t="inlineStr"/>
      <c r="Y315" s="3" t="inlineStr">
        <is>
          <t>37% of this dish's available carbohydrate comes from ingredients with a published, measured GI; the rest uses conventional placeholders (see Ingredients sheet)</t>
        </is>
      </c>
      <c r="Z315" s="2" t="n">
        <v>37</v>
      </c>
      <c r="AA315" s="3" t="inlineStr">
        <is>
          <t>gluten-free, dairy-free, low-carb, high-protein, quick</t>
        </is>
      </c>
      <c r="AB315" s="3" t="inlineStr">
        <is>
          <t>1. Toss sliced chicken with arrowroot and half the tamari.
2. Stir-fry chicken in avocado oil until golden; remove. Stir-fry broccoli, pepper, garlic, ginger 4 minutes.
3. Return chicken with remaining tamari, vinegar and sesame oil; toss with cashews and green onion.</t>
        </is>
      </c>
      <c r="AC315" s="4" t="inlineStr">
        <is>
          <t>["Toss sliced chicken with arrowroot and half the tamari.", "Stir-fry chicken in avocado oil until golden; remove. Stir-fry broccoli, pepper, garlic, ginger 4 minutes.", "Return chicken with remaining tamari, vinegar and sesame oil; toss with cashews and green onion."]</t>
        </is>
      </c>
    </row>
    <row r="316" ht="96" customHeight="1">
      <c r="A316" s="2" t="inlineStr">
        <is>
          <t>DB-0315</t>
        </is>
      </c>
      <c r="B316" s="3" t="inlineStr">
        <is>
          <t>Baked Chicken Parmesan (Almond Crust)</t>
        </is>
      </c>
      <c r="C316" s="4" t="inlineStr">
        <is>
          <t>Poultry</t>
        </is>
      </c>
      <c r="D316" s="4" t="inlineStr">
        <is>
          <t>Italian</t>
        </is>
      </c>
      <c r="E316" s="2" t="n">
        <v>4</v>
      </c>
      <c r="F316" s="2" t="n">
        <v>15</v>
      </c>
      <c r="G316" s="2" t="n">
        <v>25</v>
      </c>
      <c r="H316" s="2" t="n">
        <v>40</v>
      </c>
      <c r="I316" s="4" t="inlineStr">
        <is>
          <t>baked-chicken-parmesan-almond-crust.jpg</t>
        </is>
      </c>
      <c r="J316" s="3" t="inlineStr">
        <is>
          <t>Baked Chicken Parmesan (Almond Crust), healthy food photography, plated, natural light</t>
        </is>
      </c>
      <c r="K316" s="4" t="inlineStr"/>
      <c r="L316" s="3" t="inlineStr">
        <is>
          <t>Chicken breast, skinless — 600 g (21.2 oz)
Almond flour — 60 g (2.1 oz)
Parmesan, grated — 50 g (1.8 oz)
Egg, large (50 g each) — 50 g (1.8 oz) [1 large egg]
Italian seasoning — 3 g (0.1 oz)
Marinara sauce, no sugar added — 240 g (8.5 oz)
Mozzarella, part-skim — 100 g (3.5 oz)
Extra-virgin olive oil — 10 g (0.4 oz)
Zucchini noodles (zoodles) — 500 g (17.6 oz)
Fresh basil — 6 g (0.2 oz)</t>
        </is>
      </c>
      <c r="M316" s="4" t="inlineStr">
        <is>
          <t>[{"ingredient_id": "chicken_breast", "name": "Chicken breast, skinless", "grams": 600.0, "note": ""}, {"ingredient_id": "almond_flour", "name": "Almond flour", "grams": 60.0, "note": ""}, {"ingredient_id": "parmesan", "name": "Parmesan, grated", "grams": 50.0, "note": ""}, {"ingredient_id": "egg", "name": "Egg, large (50 g each)", "grams": 50.0, "note": "1 large egg"}, {"ingredient_id": "italian_seasoning", "name": "Italian seasoning", "grams": 3.0, "note": ""}, {"ingredient_id": "marinara", "name": "Marinara sauce, no sugar added", "grams": 240.0, "note": ""}, {"ingredient_id": "mozzarella", "name": "Mozzarella, part-skim", "grams": 100.0, "note": ""}, {"ingredient_id": "olive_oil", "name": "Extra-virgin olive oil", "grams": 10.0, "note": ""}, {"ingredient_id": "zucchini_noodles", "name": "Zucchini noodles (zoodles)", "grams": 500.0, "note": ""}, {"ingredient_id": "basil", "name": "Fresh basil", "grams": 6.0, "note": ""}]</t>
        </is>
      </c>
      <c r="N316" s="2" t="n">
        <v>476</v>
      </c>
      <c r="O316" s="5" t="n">
        <v>51.7</v>
      </c>
      <c r="P316" s="5" t="n">
        <v>24.6</v>
      </c>
      <c r="Q316" s="5" t="n">
        <v>11.9</v>
      </c>
      <c r="R316" s="5" t="n">
        <v>4.3</v>
      </c>
      <c r="S316" s="5" t="n">
        <v>7.6</v>
      </c>
      <c r="T316" s="2" t="n">
        <v>18</v>
      </c>
      <c r="U316" s="2" t="inlineStr">
        <is>
          <t>low</t>
        </is>
      </c>
      <c r="V316" s="5" t="n">
        <v>1.4</v>
      </c>
      <c r="W316" s="2" t="inlineStr">
        <is>
          <t>low</t>
        </is>
      </c>
      <c r="X316" s="3" t="inlineStr"/>
      <c r="Y316" s="3" t="inlineStr">
        <is>
          <t>28% of this dish's available carbohydrate comes from ingredients with a published, measured GI; the rest uses conventional placeholders (see Ingredients sheet)</t>
        </is>
      </c>
      <c r="Z316" s="2" t="n">
        <v>28</v>
      </c>
      <c r="AA316" s="3" t="inlineStr">
        <is>
          <t>gluten-free, low-carb, high-protein</t>
        </is>
      </c>
      <c r="AB316" s="3" t="inlineStr">
        <is>
          <t>1. Pound chicken thin; dip in egg then almond flour mixed with half the parmesan and seasoning.
2. Bake on an oiled sheet at 425°F 15 minutes; top with marinara and mozzarella; bake 8 more minutes.
3. Serve over sautéed zoodles with basil and remaining parmesan.</t>
        </is>
      </c>
      <c r="AC316" s="4" t="inlineStr">
        <is>
          <t>["Pound chicken thin; dip in egg then almond flour mixed with half the parmesan and seasoning.", "Bake on an oiled sheet at 425°F 15 minutes; top with marinara and mozzarella; bake 8 more minutes.", "Serve over sautéed zoodles with basil and remaining parmesan."]</t>
        </is>
      </c>
    </row>
    <row r="317" ht="96" customHeight="1">
      <c r="A317" s="2" t="inlineStr">
        <is>
          <t>DB-0316</t>
        </is>
      </c>
      <c r="B317" s="3" t="inlineStr">
        <is>
          <t>Greek Chicken Skewers with Tzatziki</t>
        </is>
      </c>
      <c r="C317" s="4" t="inlineStr">
        <is>
          <t>Poultry</t>
        </is>
      </c>
      <c r="D317" s="4" t="inlineStr">
        <is>
          <t>Greek</t>
        </is>
      </c>
      <c r="E317" s="2" t="n">
        <v>4</v>
      </c>
      <c r="F317" s="2" t="n">
        <v>20</v>
      </c>
      <c r="G317" s="2" t="n">
        <v>12</v>
      </c>
      <c r="H317" s="2" t="n">
        <v>32</v>
      </c>
      <c r="I317" s="4" t="inlineStr">
        <is>
          <t>greek-chicken-skewers-with-tzatziki.jpg</t>
        </is>
      </c>
      <c r="J317" s="3" t="inlineStr">
        <is>
          <t>Greek Chicken Skewers with Tzatziki, healthy food photography, plated, natural light</t>
        </is>
      </c>
      <c r="K317" s="4" t="inlineStr"/>
      <c r="L317" s="3" t="inlineStr">
        <is>
          <t>Chicken thigh, skinless boneless — 600 g (21.2 oz)
Lemon juice — 30 g (1.1 oz)
Extra-virgin olive oil — 20 g (0.7 oz)
Garlic — 8 g (0.3 oz)
Dried oregano — 3 g (0.1 oz)
Greek yogurt, plain 2% — 200 g (7.1 oz)
Cucumber — 120 g (4.2 oz)
Fresh dill — 6 g (0.2 oz)
Cherry tomatoes — 200 g (7.1 oz)
Red onion — 80 g (2.8 oz)
Salt — 3 g (0.1 oz)</t>
        </is>
      </c>
      <c r="M317" s="4" t="inlineStr">
        <is>
          <t>[{"ingredient_id": "chicken_thigh", "name": "Chicken thigh, skinless boneless", "grams": 600.0, "note": ""}, {"ingredient_id": "lemon_juice", "name": "Lemon juice", "grams": 30.0, "note": ""}, {"ingredient_id": "olive_oil", "name": "Extra-virgin olive oil", "grams": 20.0, "note": ""}, {"ingredient_id": "garlic", "name": "Garlic", "grams": 8.0, "note": ""}, {"ingredient_id": "oregano", "name": "Dried oregano", "grams": 3.0, "note": ""}, {"ingredient_id": "greek_yogurt", "name": "Greek yogurt, plain 2%", "grams": 200.0, "note": ""}, {"ingredient_id": "cucumber", "name": "Cucumber", "grams": 120.0, "note": ""}, {"ingredient_id": "dill", "name": "Fresh dill", "grams": 6.0, "note": ""}, {"ingredient_id": "cherry_tomato", "name": "Cherry tomatoes", "grams": 200.0, "note": ""}, {"ingredient_id": "red_onion", "name": "Red onion", "grams": 80.0, "note": ""}, {"ingredient_id": "salt", "name": "Salt", "grams": 3.0, "note": ""}]</t>
        </is>
      </c>
      <c r="N317" s="2" t="n">
        <v>291</v>
      </c>
      <c r="O317" s="5" t="n">
        <v>35.7</v>
      </c>
      <c r="P317" s="5" t="n">
        <v>12.4</v>
      </c>
      <c r="Q317" s="5" t="n">
        <v>8.699999999999999</v>
      </c>
      <c r="R317" s="5" t="n">
        <v>1.5</v>
      </c>
      <c r="S317" s="5" t="n">
        <v>7.2</v>
      </c>
      <c r="T317" s="2" t="n">
        <v>16</v>
      </c>
      <c r="U317" s="2" t="inlineStr">
        <is>
          <t>low</t>
        </is>
      </c>
      <c r="V317" s="5" t="n">
        <v>1.1</v>
      </c>
      <c r="W317" s="2" t="inlineStr">
        <is>
          <t>low</t>
        </is>
      </c>
      <c r="X317" s="3" t="inlineStr"/>
      <c r="Y317" s="3" t="inlineStr">
        <is>
          <t>28% of this dish's available carbohydrate comes from ingredients with a published, measured GI; the rest uses conventional placeholders (see Ingredients sheet)</t>
        </is>
      </c>
      <c r="Z317" s="2" t="n">
        <v>28</v>
      </c>
      <c r="AA317" s="3" t="inlineStr">
        <is>
          <t>gluten-free, nut-free, low-carb, high-protein</t>
        </is>
      </c>
      <c r="AB317" s="3" t="inlineStr">
        <is>
          <t>1. Marinate chicken cubes in lemon, oil, garlic, oregano and salt 20 minutes; thread onto skewers.
2. Grill 10–12 minutes, turning.
3. Mix yogurt with grated squeezed cucumber, dill and garlic for tzatziki; serve with tomatoes and onion.</t>
        </is>
      </c>
      <c r="AC317" s="4" t="inlineStr">
        <is>
          <t>["Marinate chicken cubes in lemon, oil, garlic, oregano and salt 20 minutes; thread onto skewers.", "Grill 10–12 minutes, turning.", "Mix yogurt with grated squeezed cucumber, dill and garlic for tzatziki; serve with tomatoes and onion."]</t>
        </is>
      </c>
    </row>
    <row r="318" ht="96" customHeight="1">
      <c r="A318" s="2" t="inlineStr">
        <is>
          <t>DB-0317</t>
        </is>
      </c>
      <c r="B318" s="3" t="inlineStr">
        <is>
          <t>Slow Cooker Salsa Chicken</t>
        </is>
      </c>
      <c r="C318" s="4" t="inlineStr">
        <is>
          <t>Poultry</t>
        </is>
      </c>
      <c r="D318" s="4" t="inlineStr">
        <is>
          <t>Mexican</t>
        </is>
      </c>
      <c r="E318" s="2" t="n">
        <v>5</v>
      </c>
      <c r="F318" s="2" t="n">
        <v>5</v>
      </c>
      <c r="G318" s="2" t="n">
        <v>240</v>
      </c>
      <c r="H318" s="2" t="n">
        <v>245</v>
      </c>
      <c r="I318" s="4" t="inlineStr">
        <is>
          <t>slow-cooker-salsa-chicken.jpg</t>
        </is>
      </c>
      <c r="J318" s="3" t="inlineStr">
        <is>
          <t>Slow Cooker Salsa Chicken, healthy food photography, plated, natural light</t>
        </is>
      </c>
      <c r="K318" s="4" t="inlineStr"/>
      <c r="L318" s="3" t="inlineStr">
        <is>
          <t>Chicken breast, skinless — 800 g (28.2 oz)
Salsa, no sugar added — 400 g (14.1 oz)
Ground cumin — 4 g (0.1 oz)
Chili powder — 4 g (0.1 oz)
Garlic powder — 2 g (0.1 oz)
Black beans, cooked — 300 g (10.6 oz)
Romaine lettuce — 300 g (10.6 oz)
Avocado — 120 g (4.2 oz)
Cheddar cheese — 60 g (2.1 oz)
Greek yogurt, plain 2% — 80 g (2.8 oz)</t>
        </is>
      </c>
      <c r="M318" s="4" t="inlineStr">
        <is>
          <t>[{"ingredient_id": "chicken_breast", "name": "Chicken breast, skinless", "grams": 800.0, "note": ""}, {"ingredient_id": "salsa", "name": "Salsa, no sugar added", "grams": 400.0, "note": ""}, {"ingredient_id": "cumin", "name": "Ground cumin", "grams": 4.0, "note": ""}, {"ingredient_id": "chili_powder", "name": "Chili powder", "grams": 4.0, "note": ""}, {"ingredient_id": "garlic_powder", "name": "Garlic powder", "grams": 2.0, "note": ""}, {"ingredient_id": "black_beans", "name": "Black beans, cooked", "grams": 300.0, "note": ""}, {"ingredient_id": "romaine", "name": "Romaine lettuce", "grams": 300.0, "note": ""}, {"ingredient_id": "avocado", "name": "Avocado", "grams": 120.0, "note": ""}, {"ingredient_id": "cheddar", "name": "Cheddar cheese", "grams": 60.0, "note": ""}, {"ingredient_id": "greek_yogurt", "name": "Greek yogurt, plain 2%", "grams": 80.0, "note": ""}]</t>
        </is>
      </c>
      <c r="N318" s="2" t="n">
        <v>415</v>
      </c>
      <c r="O318" s="5" t="n">
        <v>48.4</v>
      </c>
      <c r="P318" s="5" t="n">
        <v>13</v>
      </c>
      <c r="Q318" s="5" t="n">
        <v>25.7</v>
      </c>
      <c r="R318" s="5" t="n">
        <v>9.699999999999999</v>
      </c>
      <c r="S318" s="5" t="n">
        <v>16</v>
      </c>
      <c r="T318" s="2" t="n">
        <v>27</v>
      </c>
      <c r="U318" s="2" t="inlineStr">
        <is>
          <t>low</t>
        </is>
      </c>
      <c r="V318" s="5" t="n">
        <v>4.3</v>
      </c>
      <c r="W318" s="2" t="inlineStr">
        <is>
          <t>low</t>
        </is>
      </c>
      <c r="X318" s="3" t="inlineStr"/>
      <c r="Y318" s="3" t="inlineStr">
        <is>
          <t>60% of this dish's available carbohydrate comes from ingredients with a published, measured GI; the rest uses conventional placeholders (see Ingredients sheet)</t>
        </is>
      </c>
      <c r="Z318" s="2" t="n">
        <v>60</v>
      </c>
      <c r="AA318" s="3" t="inlineStr">
        <is>
          <t>gluten-free, nut-free, high-protein, high-fiber, meal-prep, slow-cooker</t>
        </is>
      </c>
      <c r="AB318" s="3" t="inlineStr">
        <is>
          <t>1. Place chicken, salsa and spices in a slow cooker; cook on low 4 hours.
2. Shred chicken in the sauce; stir in beans.
3. Serve over romaine with avocado, cheddar and yogurt.</t>
        </is>
      </c>
      <c r="AC318" s="4" t="inlineStr">
        <is>
          <t>["Place chicken, salsa and spices in a slow cooker; cook on low 4 hours.", "Shred chicken in the sauce; stir in beans.", "Serve over romaine with avocado, cheddar and yogurt."]</t>
        </is>
      </c>
    </row>
    <row r="319" ht="96" customHeight="1">
      <c r="A319" s="2" t="inlineStr">
        <is>
          <t>DB-0318</t>
        </is>
      </c>
      <c r="B319" s="3" t="inlineStr">
        <is>
          <t>Chicken Cacciatore</t>
        </is>
      </c>
      <c r="C319" s="4" t="inlineStr">
        <is>
          <t>Poultry</t>
        </is>
      </c>
      <c r="D319" s="4" t="inlineStr">
        <is>
          <t>Italian</t>
        </is>
      </c>
      <c r="E319" s="2" t="n">
        <v>4</v>
      </c>
      <c r="F319" s="2" t="n">
        <v>15</v>
      </c>
      <c r="G319" s="2" t="n">
        <v>45</v>
      </c>
      <c r="H319" s="2" t="n">
        <v>60</v>
      </c>
      <c r="I319" s="4" t="inlineStr">
        <is>
          <t>chicken-cacciatore.jpg</t>
        </is>
      </c>
      <c r="J319" s="3" t="inlineStr">
        <is>
          <t>Chicken Cacciatore, healthy food photography, plated, natural light</t>
        </is>
      </c>
      <c r="K319" s="4" t="inlineStr"/>
      <c r="L319" s="3" t="inlineStr">
        <is>
          <t>Chicken thigh, skinless boneless — 700 g (24.7 oz)
Crushed tomatoes, canned — 500 g (17.6 oz)
Bell pepper — 200 g (7.1 oz)
Yellow onion — 120 g (4.2 oz)
Mushrooms (cremini/white) — 200 g (7.1 oz)
Garlic — 8 g (0.3 oz)
Olives (kalamata/green) — 40 g (1.4 oz)
Capers — 10 g (0.4 oz)
Dry red wine (cooking) — 80 g (2.8 oz)
Extra-virgin olive oil — 15 g (0.5 oz)
Dried oregano — 2 g (0.1 oz)
Fresh rosemary — 2 g (0.1 oz)
Salt — 3 g (0.1 oz)</t>
        </is>
      </c>
      <c r="M319" s="4" t="inlineStr">
        <is>
          <t>[{"ingredient_id": "chicken_thigh", "name": "Chicken thigh, skinless boneless", "grams": 700.0, "note": ""}, {"ingredient_id": "crushed_tomatoes", "name": "Crushed tomatoes, canned", "grams": 500.0, "note": ""}, {"ingredient_id": "bell_pepper", "name": "Bell pepper", "grams": 200.0, "note": ""}, {"ingredient_id": "onion", "name": "Yellow onion", "grams": 120.0, "note": ""}, {"ingredient_id": "mushrooms", "name": "Mushrooms (cremini/white)", "grams": 200.0, "note": ""}, {"ingredient_id": "garlic", "name": "Garlic", "grams": 8.0, "note": ""}, {"ingredient_id": "olives", "name": "Olives (kalamata/green)", "grams": 40.0, "note": ""}, {"ingredient_id": "capers", "name": "Capers", "grams": 10.0, "note": ""}, {"ingredient_id": "red_wine", "name": "Dry red wine (cooking)", "grams": 80.0, "note": ""}, {"ingredient_id": "olive_oil", "name": "Extra-virgin olive oil", "grams": 15.0, "note": ""}, {"ingredient_id": "oregano", "name": "Dried oregano", "grams": 2.0, "note": ""}, {"ingredient_id": "rosemary", "name": "Fresh rosemary", "grams": 2.0, "note": ""}, {"ingredient_id": "salt", "name": "Salt", "grams": 3.0, "note": ""}]</t>
        </is>
      </c>
      <c r="N319" s="2" t="n">
        <v>357</v>
      </c>
      <c r="O319" s="5" t="n">
        <v>39.2</v>
      </c>
      <c r="P319" s="5" t="n">
        <v>12.8</v>
      </c>
      <c r="Q319" s="5" t="n">
        <v>18.5</v>
      </c>
      <c r="R319" s="5" t="n">
        <v>5.2</v>
      </c>
      <c r="S319" s="5" t="n">
        <v>13.4</v>
      </c>
      <c r="T319" s="2" t="n">
        <v>25</v>
      </c>
      <c r="U319" s="2" t="inlineStr">
        <is>
          <t>low</t>
        </is>
      </c>
      <c r="V319" s="5" t="n">
        <v>3.3</v>
      </c>
      <c r="W319" s="2" t="inlineStr">
        <is>
          <t>low</t>
        </is>
      </c>
      <c r="X319" s="3" t="inlineStr"/>
      <c r="Y319" s="3" t="inlineStr">
        <is>
          <t>0% of this dish's available carbohydrate comes from ingredients with a published, measured GI; the rest uses conventional placeholders (see Ingredients sheet)</t>
        </is>
      </c>
      <c r="Z319" s="2" t="n">
        <v>0</v>
      </c>
      <c r="AA319" s="3" t="inlineStr">
        <is>
          <t>gluten-free, dairy-free, nut-free, low-carb, high-protein, make-ahead</t>
        </is>
      </c>
      <c r="AB319" s="3" t="inlineStr">
        <is>
          <t>1. Brown chicken in oil; remove. Sauté onion, pepper, mushrooms 6 minutes; add garlic and herbs.
2. Deglaze with wine; add tomatoes, olives, capers; return chicken.
3. Simmer covered 30 minutes; serve with sautéed greens or cauliflower rice.</t>
        </is>
      </c>
      <c r="AC319" s="4" t="inlineStr">
        <is>
          <t>["Brown chicken in oil; remove. Sauté onion, pepper, mushrooms 6 minutes; add garlic and herbs.", "Deglaze with wine; add tomatoes, olives, capers; return chicken.", "Simmer covered 30 minutes; serve with sautéed greens or cauliflower rice."]</t>
        </is>
      </c>
    </row>
    <row r="320" ht="96" customHeight="1">
      <c r="A320" s="2" t="inlineStr">
        <is>
          <t>DB-0319</t>
        </is>
      </c>
      <c r="B320" s="3" t="inlineStr">
        <is>
          <t>Turkey Meatballs in Marinara over Zoodles</t>
        </is>
      </c>
      <c r="C320" s="4" t="inlineStr">
        <is>
          <t>Poultry</t>
        </is>
      </c>
      <c r="D320" s="4" t="inlineStr">
        <is>
          <t>Italian</t>
        </is>
      </c>
      <c r="E320" s="2" t="n">
        <v>4</v>
      </c>
      <c r="F320" s="2" t="n">
        <v>15</v>
      </c>
      <c r="G320" s="2" t="n">
        <v>25</v>
      </c>
      <c r="H320" s="2" t="n">
        <v>40</v>
      </c>
      <c r="I320" s="4" t="inlineStr">
        <is>
          <t>turkey-meatballs-in-marinara-over-zoodles.jpg</t>
        </is>
      </c>
      <c r="J320" s="3" t="inlineStr">
        <is>
          <t>Turkey Meatballs in Marinara over Zoodles, healthy food photography, plated, natural light</t>
        </is>
      </c>
      <c r="K320" s="4" t="inlineStr"/>
      <c r="L320" s="3" t="inlineStr">
        <is>
          <t>Ground turkey 93% lean — 600 g (21.2 oz)
Egg, large (50 g each) — 50 g (1.8 oz)
Parmesan, grated — 40 g (1.4 oz)
Almond flour — 40 g (1.4 oz)
Garlic — 6 g (0.2 oz)
Fresh parsley — 8 g (0.3 oz)
Italian seasoning — 3 g (0.1 oz)
Marinara sauce, no sugar added — 400 g (14.1 oz)
Zucchini noodles (zoodles) — 600 g (21.2 oz)
Extra-virgin olive oil — 12 g (0.4 oz)
Salt — 3 g (0.1 oz)</t>
        </is>
      </c>
      <c r="M320" s="4" t="inlineStr">
        <is>
          <t>[{"ingredient_id": "ground_turkey", "name": "Ground turkey 93% lean", "grams": 600.0, "note": ""}, {"ingredient_id": "egg", "name": "Egg, large (50 g each)", "grams": 50.0, "note": ""}, {"ingredient_id": "parmesan", "name": "Parmesan, grated", "grams": 40.0, "note": ""}, {"ingredient_id": "almond_flour", "name": "Almond flour", "grams": 40.0, "note": ""}, {"ingredient_id": "garlic", "name": "Garlic", "grams": 6.0, "note": ""}, {"ingredient_id": "parsley", "name": "Fresh parsley", "grams": 8.0, "note": ""}, {"ingredient_id": "italian_seasoning", "name": "Italian seasoning", "grams": 3.0, "note": ""}, {"ingredient_id": "marinara", "name": "Marinara sauce, no sugar added", "grams": 400.0, "note": ""}, {"ingredient_id": "zucchini_noodles", "name": "Zucchini noodles (zoodles)", "grams": 600.0, "note": ""}, {"ingredient_id": "olive_oil", "name": "Extra-virgin olive oil", "grams": 12.0, "note": ""}, {"ingredient_id": "salt", "name": "Salt", "grams": 3.0, "note": ""}]</t>
        </is>
      </c>
      <c r="N320" s="2" t="n">
        <v>447</v>
      </c>
      <c r="O320" s="5" t="n">
        <v>39</v>
      </c>
      <c r="P320" s="5" t="n">
        <v>27.1</v>
      </c>
      <c r="Q320" s="5" t="n">
        <v>13.4</v>
      </c>
      <c r="R320" s="5" t="n">
        <v>4.6</v>
      </c>
      <c r="S320" s="5" t="n">
        <v>8.800000000000001</v>
      </c>
      <c r="T320" s="2" t="n">
        <v>23</v>
      </c>
      <c r="U320" s="2" t="inlineStr">
        <is>
          <t>low</t>
        </is>
      </c>
      <c r="V320" s="5" t="n">
        <v>2</v>
      </c>
      <c r="W320" s="2" t="inlineStr">
        <is>
          <t>low</t>
        </is>
      </c>
      <c r="X320" s="3" t="inlineStr"/>
      <c r="Y320" s="3" t="inlineStr">
        <is>
          <t>40% of this dish's available carbohydrate comes from ingredients with a published, measured GI; the rest uses conventional placeholders (see Ingredients sheet)</t>
        </is>
      </c>
      <c r="Z320" s="2" t="n">
        <v>40</v>
      </c>
      <c r="AA320" s="3" t="inlineStr">
        <is>
          <t>gluten-free, low-carb, high-protein, meal-prep</t>
        </is>
      </c>
      <c r="AB320" s="3" t="inlineStr">
        <is>
          <t>1. Mix turkey, egg, parmesan, almond flour, garlic, parsley, seasoning and salt; form 16 meatballs.
2. Brown in oil, add marinara and simmer 15 minutes.
3. Serve over lightly sautéed zoodles.</t>
        </is>
      </c>
      <c r="AC320" s="4" t="inlineStr">
        <is>
          <t>["Mix turkey, egg, parmesan, almond flour, garlic, parsley, seasoning and salt; form 16 meatballs.", "Brown in oil, add marinara and simmer 15 minutes.", "Serve over lightly sautéed zoodles."]</t>
        </is>
      </c>
    </row>
    <row r="321" ht="96" customHeight="1">
      <c r="A321" s="2" t="inlineStr">
        <is>
          <t>DB-0320</t>
        </is>
      </c>
      <c r="B321" s="3" t="inlineStr">
        <is>
          <t>Chicken Tikka Masala (Yogurt Sauce)</t>
        </is>
      </c>
      <c r="C321" s="4" t="inlineStr">
        <is>
          <t>Poultry</t>
        </is>
      </c>
      <c r="D321" s="4" t="inlineStr">
        <is>
          <t>Indian</t>
        </is>
      </c>
      <c r="E321" s="2" t="n">
        <v>4</v>
      </c>
      <c r="F321" s="2" t="n">
        <v>20</v>
      </c>
      <c r="G321" s="2" t="n">
        <v>30</v>
      </c>
      <c r="H321" s="2" t="n">
        <v>50</v>
      </c>
      <c r="I321" s="4" t="inlineStr">
        <is>
          <t>chicken-tikka-masala-yogurt-sauce.jpg</t>
        </is>
      </c>
      <c r="J321" s="3" t="inlineStr">
        <is>
          <t>Chicken Tikka Masala (Yogurt Sauce), healthy food photography, plated, natural light</t>
        </is>
      </c>
      <c r="K321" s="4" t="inlineStr"/>
      <c r="L321" s="3" t="inlineStr">
        <is>
          <t>Chicken breast, skinless — 600 g (21.2 oz)
Greek yogurt, plain 2% — 200 g (7.1 oz)
Garam masala — 10 g (0.4 oz)
Ground turmeric — 3 g (0.1 oz)
Ground cumin — 3 g (0.1 oz)
Fresh ginger — 10 g (0.4 oz)
Garlic — 10 g (0.4 oz)
Yellow onion — 150 g (5.3 oz)
Crushed tomatoes, canned — 400 g (14.1 oz)
Coconut milk, canned light — 150 g (5.3 oz)
Extra-virgin olive oil — 15 g (0.5 oz)
Fresh cilantro — 8 g (0.3 oz)
Cauliflower rice — 500 g (17.6 oz)
Salt — 3 g (0.1 oz)</t>
        </is>
      </c>
      <c r="M321" s="4" t="inlineStr">
        <is>
          <t>[{"ingredient_id": "chicken_breast", "name": "Chicken breast, skinless", "grams": 600.0, "note": ""}, {"ingredient_id": "greek_yogurt", "name": "Greek yogurt, plain 2%", "grams": 200.0, "note": ""}, {"ingredient_id": "garam_masala", "name": "Garam masala", "grams": 10.0, "note": ""}, {"ingredient_id": "turmeric", "name": "Ground turmeric", "grams": 3.0, "note": ""}, {"ingredient_id": "cumin", "name": "Ground cumin", "grams": 3.0, "note": ""}, {"ingredient_id": "ginger", "name": "Fresh ginger", "grams": 10.0, "note": ""}, {"ingredient_id": "garlic", "name": "Garlic", "grams": 10.0, "note": ""}, {"ingredient_id": "onion", "name": "Yellow onion", "grams": 150.0, "note": ""}, {"ingredient_id": "crushed_tomatoes", "name": "Crushed tomatoes, canned", "grams": 400.0, "note": ""}, {"ingredient_id": "coconut_milk_light", "name": "Coconut milk, canned light", "grams": 150.0, "note": ""}, {"ingredient_id": "olive_oil", "name": "Extra-virgin olive oil", "grams": 15.0, "note": ""}, {"ingredient_id": "cilantro", "name": "Fresh cilantro", "grams": 8.0, "note": ""}, {"ingredient_id": "cauliflower_rice", "name": "Cauliflower rice", "grams": 500.0, "note": ""}, {"ingredient_id": "salt", "name": "Salt", "grams": 3.0, "note": ""}]</t>
        </is>
      </c>
      <c r="N321" s="2" t="n">
        <v>373</v>
      </c>
      <c r="O321" s="5" t="n">
        <v>44.2</v>
      </c>
      <c r="P321" s="5" t="n">
        <v>12.2</v>
      </c>
      <c r="Q321" s="5" t="n">
        <v>23.3</v>
      </c>
      <c r="R321" s="5" t="n">
        <v>6.8</v>
      </c>
      <c r="S321" s="5" t="n">
        <v>16.5</v>
      </c>
      <c r="T321" s="2" t="n">
        <v>23</v>
      </c>
      <c r="U321" s="2" t="inlineStr">
        <is>
          <t>low</t>
        </is>
      </c>
      <c r="V321" s="5" t="n">
        <v>3.8</v>
      </c>
      <c r="W321" s="2" t="inlineStr">
        <is>
          <t>low</t>
        </is>
      </c>
      <c r="X321" s="3" t="inlineStr"/>
      <c r="Y321" s="3" t="inlineStr">
        <is>
          <t>12% of this dish's available carbohydrate comes from ingredients with a published, measured GI; the rest uses conventional placeholders (see Ingredients sheet)</t>
        </is>
      </c>
      <c r="Z321" s="2" t="n">
        <v>12</v>
      </c>
      <c r="AA321" s="3" t="inlineStr">
        <is>
          <t>gluten-free, nut-free, high-protein</t>
        </is>
      </c>
      <c r="AB321" s="3" t="inlineStr">
        <is>
          <t>1. Marinate chicken in half the yogurt with half the spices 20 minutes; broil 8 minutes.
2. Sauté onion, ginger, garlic and remaining spices in oil; add tomatoes and simmer 10 minutes.
3. Add coconut milk, remaining yogurt and chicken; simmer 8 minutes. Serve over cauliflower rice with cilantro.</t>
        </is>
      </c>
      <c r="AC321" s="4" t="inlineStr">
        <is>
          <t>["Marinate chicken in half the yogurt with half the spices 20 minutes; broil 8 minutes.", "Sauté onion, ginger, garlic and remaining spices in oil; add tomatoes and simmer 10 minutes.", "Add coconut milk, remaining yogurt and chicken; simmer 8 minutes. Serve over cauliflower rice with cilantro."]</t>
        </is>
      </c>
    </row>
    <row r="322" ht="96" customHeight="1">
      <c r="A322" s="2" t="inlineStr">
        <is>
          <t>DB-0321</t>
        </is>
      </c>
      <c r="B322" s="3" t="inlineStr">
        <is>
          <t>Buffalo Chicken Lettuce Wraps</t>
        </is>
      </c>
      <c r="C322" s="4" t="inlineStr">
        <is>
          <t>Poultry</t>
        </is>
      </c>
      <c r="D322" s="4" t="inlineStr">
        <is>
          <t>American</t>
        </is>
      </c>
      <c r="E322" s="2" t="n">
        <v>3</v>
      </c>
      <c r="F322" s="2" t="n">
        <v>10</v>
      </c>
      <c r="G322" s="2" t="n">
        <v>0</v>
      </c>
      <c r="H322" s="2" t="n">
        <v>10</v>
      </c>
      <c r="I322" s="4" t="inlineStr">
        <is>
          <t>buffalo-chicken-lettuce-wraps.jpg</t>
        </is>
      </c>
      <c r="J322" s="3" t="inlineStr">
        <is>
          <t>Buffalo Chicken Lettuce Wraps, healthy food photography, plated, natural light</t>
        </is>
      </c>
      <c r="K322" s="4" t="inlineStr"/>
      <c r="L322" s="3" t="inlineStr">
        <is>
          <t>Rotisserie chicken, skin removed — 400 g (14.1 oz)
Hot sauce (Tabasco/Frank's) — 40 g (1.4 oz)
Greek yogurt, plain 2% — 80 g (2.8 oz)
Blue cheese, crumbled — 40 g (1.4 oz)
Celery — 80 g (2.8 oz)
Carrot — 60 g (2.1 oz)
Butter lettuce — 150 g (5.3 oz)
Butter — 8 g (0.3 oz)</t>
        </is>
      </c>
      <c r="M322" s="4" t="inlineStr">
        <is>
          <t>[{"ingredient_id": "rotisserie_chicken", "name": "Rotisserie chicken, skin removed", "grams": 400.0, "note": ""}, {"ingredient_id": "hot_sauce", "name": "Hot sauce (Tabasco/Frank's)", "grams": 40.0, "note": ""}, {"ingredient_id": "greek_yogurt", "name": "Greek yogurt, plain 2%", "grams": 80.0, "note": ""}, {"ingredient_id": "blue_cheese", "name": "Blue cheese, crumbled", "grams": 40.0, "note": ""}, {"ingredient_id": "celery", "name": "Celery", "grams": 80.0, "note": ""}, {"ingredient_id": "carrot", "name": "Carrot", "grams": 60.0, "note": ""}, {"ingredient_id": "butter_lettuce", "name": "Butter lettuce", "grams": 150.0, "note": ""}, {"ingredient_id": "butter", "name": "Butter", "grams": 8.0, "note": ""}]</t>
        </is>
      </c>
      <c r="N322" s="2" t="n">
        <v>320</v>
      </c>
      <c r="O322" s="5" t="n">
        <v>37.3</v>
      </c>
      <c r="P322" s="5" t="n">
        <v>16.1</v>
      </c>
      <c r="Q322" s="5" t="n">
        <v>5.4</v>
      </c>
      <c r="R322" s="5" t="n">
        <v>1.6</v>
      </c>
      <c r="S322" s="5" t="n">
        <v>3.9</v>
      </c>
      <c r="T322" s="2" t="n">
        <v>21</v>
      </c>
      <c r="U322" s="2" t="inlineStr">
        <is>
          <t>low</t>
        </is>
      </c>
      <c r="V322" s="5" t="n">
        <v>0.8</v>
      </c>
      <c r="W322" s="2" t="inlineStr">
        <is>
          <t>low</t>
        </is>
      </c>
      <c r="X322" s="3" t="inlineStr">
        <is>
          <t>Negligible carbohydrate (&lt;5 g net/serving): GI has little practical meaning, glycemic load is what matters.</t>
        </is>
      </c>
      <c r="Y322" s="3" t="inlineStr">
        <is>
          <t>63% of this dish's available carbohydrate comes from ingredients with a published, measured GI; the rest uses conventional placeholders (see Ingredients sheet)</t>
        </is>
      </c>
      <c r="Z322" s="2" t="n">
        <v>63</v>
      </c>
      <c r="AA322" s="3" t="inlineStr">
        <is>
          <t>gluten-free, nut-free, low-carb, high-protein, no-cook, quick</t>
        </is>
      </c>
      <c r="AB322" s="3" t="inlineStr">
        <is>
          <t>1. Toss shredded chicken with hot sauce and melted butter.
2. Mix yogurt and blue cheese.
3. Fill lettuce leaves with chicken, celery, carrot and blue cheese sauce.</t>
        </is>
      </c>
      <c r="AC322" s="4" t="inlineStr">
        <is>
          <t>["Toss shredded chicken with hot sauce and melted butter.", "Mix yogurt and blue cheese.", "Fill lettuce leaves with chicken, celery, carrot and blue cheese sauce."]</t>
        </is>
      </c>
    </row>
    <row r="323" ht="96" customHeight="1">
      <c r="A323" s="2" t="inlineStr">
        <is>
          <t>DB-0322</t>
        </is>
      </c>
      <c r="B323" s="3" t="inlineStr">
        <is>
          <t>Chicken Piccata</t>
        </is>
      </c>
      <c r="C323" s="4" t="inlineStr">
        <is>
          <t>Poultry</t>
        </is>
      </c>
      <c r="D323" s="4" t="inlineStr">
        <is>
          <t>Italian</t>
        </is>
      </c>
      <c r="E323" s="2" t="n">
        <v>4</v>
      </c>
      <c r="F323" s="2" t="n">
        <v>10</v>
      </c>
      <c r="G323" s="2" t="n">
        <v>20</v>
      </c>
      <c r="H323" s="2" t="n">
        <v>30</v>
      </c>
      <c r="I323" s="4" t="inlineStr">
        <is>
          <t>chicken-piccata.jpg</t>
        </is>
      </c>
      <c r="J323" s="3" t="inlineStr">
        <is>
          <t>Chicken Piccata, healthy food photography, plated, natural light</t>
        </is>
      </c>
      <c r="K323" s="4" t="inlineStr"/>
      <c r="L323" s="3" t="inlineStr">
        <is>
          <t>Chicken breast, skinless — 600 g (21.2 oz)
Almond flour — 30 g (1.1 oz)
Extra-virgin olive oil — 20 g (0.7 oz)
Butter — 15 g (0.5 oz)
Chicken broth, low sodium — 150 g (5.3 oz)
Lemon juice — 40 g (1.4 oz)
Capers — 20 g (0.7 oz)
Garlic — 5 g (0.2 oz)
Fresh parsley — 8 g (0.3 oz)
Green beans — 400 g (14.1 oz)
Salt — 3 g (0.1 oz)</t>
        </is>
      </c>
      <c r="M323" s="4" t="inlineStr">
        <is>
          <t>[{"ingredient_id": "chicken_breast", "name": "Chicken breast, skinless", "grams": 600.0, "note": ""}, {"ingredient_id": "almond_flour", "name": "Almond flour", "grams": 30.0, "note": ""}, {"ingredient_id": "olive_oil", "name": "Extra-virgin olive oil", "grams": 20.0, "note": ""}, {"ingredient_id": "butter", "name": "Butter", "grams": 15.0, "note": ""}, {"ingredient_id": "chicken_broth", "name": "Chicken broth, low sodium", "grams": 150.0, "note": ""}, {"ingredient_id": "lemon_juice", "name": "Lemon juice", "grams": 40.0, "note": ""}, {"ingredient_id": "capers", "name": "Capers", "grams": 20.0, "note": ""}, {"ingredient_id": "garlic", "name": "Garlic", "grams": 5.0, "note": ""}, {"ingredient_id": "parsley", "name": "Fresh parsley", "grams": 8.0, "note": ""}, {"ingredient_id": "green_beans", "name": "Green beans", "grams": 400.0, "note": ""}, {"ingredient_id": "salt", "name": "Salt", "grams": 3.0, "note": ""}]</t>
        </is>
      </c>
      <c r="N323" s="2" t="n">
        <v>335</v>
      </c>
      <c r="O323" s="5" t="n">
        <v>37.8</v>
      </c>
      <c r="P323" s="5" t="n">
        <v>16</v>
      </c>
      <c r="Q323" s="5" t="n">
        <v>10.2</v>
      </c>
      <c r="R323" s="5" t="n">
        <v>3.9</v>
      </c>
      <c r="S323" s="5" t="n">
        <v>6.4</v>
      </c>
      <c r="T323" s="2" t="n">
        <v>16</v>
      </c>
      <c r="U323" s="2" t="inlineStr">
        <is>
          <t>low</t>
        </is>
      </c>
      <c r="V323" s="5" t="n">
        <v>1</v>
      </c>
      <c r="W323" s="2" t="inlineStr">
        <is>
          <t>low</t>
        </is>
      </c>
      <c r="X323" s="3" t="inlineStr"/>
      <c r="Y323" s="3" t="inlineStr">
        <is>
          <t>0% of this dish's available carbohydrate comes from ingredients with a published, measured GI; the rest uses conventional placeholders (see Ingredients sheet)</t>
        </is>
      </c>
      <c r="Z323" s="2" t="n">
        <v>0</v>
      </c>
      <c r="AA323" s="3" t="inlineStr">
        <is>
          <t>gluten-free, low-carb, high-protein</t>
        </is>
      </c>
      <c r="AB323" s="3" t="inlineStr">
        <is>
          <t>1. Pound chicken thin, season, dust with almond flour and sear in oil 4 minutes per side; remove.
2. Add garlic, broth, lemon and capers; simmer 3 minutes; whisk in butter.
3. Return chicken to coat; serve with steamed green beans and parsley.</t>
        </is>
      </c>
      <c r="AC323" s="4" t="inlineStr">
        <is>
          <t>["Pound chicken thin, season, dust with almond flour and sear in oil 4 minutes per side; remove.", "Add garlic, broth, lemon and capers; simmer 3 minutes; whisk in butter.", "Return chicken to coat; serve with steamed green beans and parsley."]</t>
        </is>
      </c>
    </row>
    <row r="324" ht="96" customHeight="1">
      <c r="A324" s="2" t="inlineStr">
        <is>
          <t>DB-0323</t>
        </is>
      </c>
      <c r="B324" s="3" t="inlineStr">
        <is>
          <t>Chicken &amp; Vegetable Curry</t>
        </is>
      </c>
      <c r="C324" s="4" t="inlineStr">
        <is>
          <t>Poultry</t>
        </is>
      </c>
      <c r="D324" s="4" t="inlineStr">
        <is>
          <t>Thai</t>
        </is>
      </c>
      <c r="E324" s="2" t="n">
        <v>4</v>
      </c>
      <c r="F324" s="2" t="n">
        <v>15</v>
      </c>
      <c r="G324" s="2" t="n">
        <v>25</v>
      </c>
      <c r="H324" s="2" t="n">
        <v>40</v>
      </c>
      <c r="I324" s="4" t="inlineStr">
        <is>
          <t>chicken-and-vegetable-curry.jpg</t>
        </is>
      </c>
      <c r="J324" s="3" t="inlineStr">
        <is>
          <t>Chicken &amp; Vegetable Curry, healthy food photography, plated, natural light</t>
        </is>
      </c>
      <c r="K324" s="4" t="inlineStr"/>
      <c r="L324" s="3" t="inlineStr">
        <is>
          <t>Chicken thigh, skinless boneless — 600 g (21.2 oz)
Thai curry paste (red/green) — 40 g (1.4 oz)
Coconut milk, canned light — 400 g (14.1 oz)
Chicken broth, low sodium — 200 g (7.1 oz)
Bell pepper — 200 g (7.1 oz)
Green beans — 200 g (7.1 oz)
Zucchini — 200 g (7.1 oz)
Fish sauce — 15 g (0.5 oz)
Lime juice — 20 g (0.7 oz)
Fresh basil — 10 g (0.4 oz)
Avocado oil — 12 g (0.4 oz)
Brown rice, cooked — 400 g (14.1 oz)</t>
        </is>
      </c>
      <c r="M324" s="4" t="inlineStr">
        <is>
          <t>[{"ingredient_id": "chicken_thigh", "name": "Chicken thigh, skinless boneless", "grams": 600.0, "note": ""}, {"ingredient_id": "curry_paste", "name": "Thai curry paste (red/green)", "grams": 40.0, "note": ""}, {"ingredient_id": "coconut_milk_light", "name": "Coconut milk, canned light", "grams": 400.0, "note": ""}, {"ingredient_id": "chicken_broth", "name": "Chicken broth, low sodium", "grams": 200.0, "note": ""}, {"ingredient_id": "bell_pepper", "name": "Bell pepper", "grams": 200.0, "note": ""}, {"ingredient_id": "green_beans", "name": "Green beans", "grams": 200.0, "note": ""}, {"ingredient_id": "zucchini", "name": "Zucchini", "grams": 200.0, "note": ""}, {"ingredient_id": "fish_sauce", "name": "Fish sauce", "grams": 15.0, "note": ""}, {"ingredient_id": "lime_juice", "name": "Lime juice", "grams": 20.0, "note": ""}, {"ingredient_id": "basil", "name": "Fresh basil", "grams": 10.0, "note": ""}, {"ingredient_id": "avocado_oil", "name": "Avocado oil", "grams": 12.0, "note": ""}, {"ingredient_id": "brown_rice", "name": "Brown rice, cooked", "grams": 400.0, "note": ""}]</t>
        </is>
      </c>
      <c r="N324" s="2" t="n">
        <v>444</v>
      </c>
      <c r="O324" s="5" t="n">
        <v>35.5</v>
      </c>
      <c r="P324" s="5" t="n">
        <v>16.9</v>
      </c>
      <c r="Q324" s="5" t="n">
        <v>36.6</v>
      </c>
      <c r="R324" s="5" t="n">
        <v>5.1</v>
      </c>
      <c r="S324" s="5" t="n">
        <v>31.6</v>
      </c>
      <c r="T324" s="2" t="n">
        <v>54</v>
      </c>
      <c r="U324" s="2" t="inlineStr">
        <is>
          <t>low</t>
        </is>
      </c>
      <c r="V324" s="5" t="n">
        <v>17.1</v>
      </c>
      <c r="W324" s="2" t="inlineStr">
        <is>
          <t>medium</t>
        </is>
      </c>
      <c r="X324" s="3" t="inlineStr"/>
      <c r="Y324" s="3" t="inlineStr">
        <is>
          <t>70% of this dish's available carbohydrate comes from ingredients with a published, measured GI; the rest uses conventional placeholders (see Ingredients sheet)</t>
        </is>
      </c>
      <c r="Z324" s="2" t="n">
        <v>70</v>
      </c>
      <c r="AA324" s="3" t="inlineStr">
        <is>
          <t>gluten-free, dairy-free, nut-free, high-protein</t>
        </is>
      </c>
      <c r="AB324" s="3" t="inlineStr">
        <is>
          <t>1. Fry curry paste in oil 1 minute; add chicken and brown 5 minutes.
2. Add coconut milk, broth and vegetables; simmer 15 minutes.
3. Season with fish sauce and lime; top with basil; serve with a small portion of brown rice.</t>
        </is>
      </c>
      <c r="AC324" s="4" t="inlineStr">
        <is>
          <t>["Fry curry paste in oil 1 minute; add chicken and brown 5 minutes.", "Add coconut milk, broth and vegetables; simmer 15 minutes.", "Season with fish sauce and lime; top with basil; serve with a small portion of brown rice."]</t>
        </is>
      </c>
    </row>
    <row r="325" ht="96" customHeight="1">
      <c r="A325" s="2" t="inlineStr">
        <is>
          <t>DB-0324</t>
        </is>
      </c>
      <c r="B325" s="3" t="inlineStr">
        <is>
          <t>Herb Roasted Whole Chicken with Vegetables</t>
        </is>
      </c>
      <c r="C325" s="4" t="inlineStr">
        <is>
          <t>Poultry</t>
        </is>
      </c>
      <c r="D325" s="4" t="inlineStr">
        <is>
          <t>American</t>
        </is>
      </c>
      <c r="E325" s="2" t="n">
        <v>6</v>
      </c>
      <c r="F325" s="2" t="n">
        <v>15</v>
      </c>
      <c r="G325" s="2" t="n">
        <v>80</v>
      </c>
      <c r="H325" s="2" t="n">
        <v>95</v>
      </c>
      <c r="I325" s="4" t="inlineStr">
        <is>
          <t>herb-roasted-whole-chicken-with-vegetables.jpg</t>
        </is>
      </c>
      <c r="J325" s="3" t="inlineStr">
        <is>
          <t>Herb Roasted Whole Chicken with Vegetables, healthy food photography, plated, natural light</t>
        </is>
      </c>
      <c r="K325" s="4" t="inlineStr"/>
      <c r="L325" s="3" t="inlineStr">
        <is>
          <t>Chicken thigh, skinless boneless — 1200 g (42.3 oz) [1 whole chicken ~1.6 kg, skin removed after roasting]
Carrot — 300 g (10.6 oz)
Yellow onion — 200 g (7.1 oz)
Brussels sprouts — 400 g (14.1 oz)
Lemon (with juice &amp; zest) — 80 g (2.8 oz)
Garlic — 15 g (0.5 oz)
Fresh rosemary — 4 g (0.1 oz)
Fresh thyme — 3 g (0.1 oz)
Extra-virgin olive oil — 30 g (1.1 oz)
Salt — 5 g (0.2 oz)</t>
        </is>
      </c>
      <c r="M325" s="4" t="inlineStr">
        <is>
          <t>[{"ingredient_id": "chicken_thigh", "name": "Chicken thigh, skinless boneless", "grams": 1200.0, "note": "1 whole chicken ~1.6 kg, skin removed after roasting"}, {"ingredient_id": "carrot", "name": "Carrot", "grams": 300.0, "note": ""}, {"ingredient_id": "onion", "name": "Yellow onion", "grams": 200.0, "note": ""}, {"ingredient_id": "brussels_sprouts", "name": "Brussels sprouts", "grams": 400.0, "note": ""}, {"ingredient_id": "lemon", "name": "Lemon (with juice &amp; zest)", "grams": 80.0, "note": ""}, {"ingredient_id": "garlic", "name": "Garlic", "grams": 15.0, "note": ""}, {"ingredient_id": "rosemary", "name": "Fresh rosemary", "grams": 4.0, "note": ""}, {"ingredient_id": "thyme", "name": "Fresh thyme", "grams": 3.0, "note": ""}, {"ingredient_id": "olive_oil", "name": "Extra-virgin olive oil", "grams": 30.0, "note": ""}, {"ingredient_id": "salt", "name": "Salt", "grams": 5.0, "note": ""}]</t>
        </is>
      </c>
      <c r="N325" s="2" t="n">
        <v>358</v>
      </c>
      <c r="O325" s="5" t="n">
        <v>42.8</v>
      </c>
      <c r="P325" s="5" t="n">
        <v>13.6</v>
      </c>
      <c r="Q325" s="5" t="n">
        <v>16.2</v>
      </c>
      <c r="R325" s="5" t="n">
        <v>5.1</v>
      </c>
      <c r="S325" s="5" t="n">
        <v>11.1</v>
      </c>
      <c r="T325" s="2" t="n">
        <v>24</v>
      </c>
      <c r="U325" s="2" t="inlineStr">
        <is>
          <t>low</t>
        </is>
      </c>
      <c r="V325" s="5" t="n">
        <v>2.7</v>
      </c>
      <c r="W325" s="2" t="inlineStr">
        <is>
          <t>low</t>
        </is>
      </c>
      <c r="X325" s="3" t="inlineStr"/>
      <c r="Y325" s="3" t="inlineStr">
        <is>
          <t>31% of this dish's available carbohydrate comes from ingredients with a published, measured GI; the rest uses conventional placeholders (see Ingredients sheet)</t>
        </is>
      </c>
      <c r="Z325" s="2" t="n">
        <v>31</v>
      </c>
      <c r="AA325" s="3" t="inlineStr">
        <is>
          <t>gluten-free, dairy-free, nut-free, low-carb, high-protein, make-ahead</t>
        </is>
      </c>
      <c r="AB325" s="3" t="inlineStr">
        <is>
          <t>1. Preheat oven to 425°F. Rub chicken with oil, herbs, salt; stuff with lemon and garlic.
2. Roast on a bed of carrots and onion 60 minutes; add sprouts for the last 25 minutes.
3. Rest 10 minutes; carve, removing most skin, and serve with the vegetables.</t>
        </is>
      </c>
      <c r="AC325" s="4" t="inlineStr">
        <is>
          <t>["Preheat oven to 425°F. Rub chicken with oil, herbs, salt; stuff with lemon and garlic.", "Roast on a bed of carrots and onion 60 minutes; add sprouts for the last 25 minutes.", "Rest 10 minutes; carve, removing most skin, and serve with the vegetables."]</t>
        </is>
      </c>
    </row>
    <row r="326" ht="96" customHeight="1">
      <c r="A326" s="2" t="inlineStr">
        <is>
          <t>DB-0325</t>
        </is>
      </c>
      <c r="B326" s="3" t="inlineStr">
        <is>
          <t>Chicken Shawarma Bowls</t>
        </is>
      </c>
      <c r="C326" s="4" t="inlineStr">
        <is>
          <t>Poultry</t>
        </is>
      </c>
      <c r="D326" s="4" t="inlineStr">
        <is>
          <t>Middle Eastern</t>
        </is>
      </c>
      <c r="E326" s="2" t="n">
        <v>4</v>
      </c>
      <c r="F326" s="2" t="n">
        <v>15</v>
      </c>
      <c r="G326" s="2" t="n">
        <v>20</v>
      </c>
      <c r="H326" s="2" t="n">
        <v>35</v>
      </c>
      <c r="I326" s="4" t="inlineStr">
        <is>
          <t>chicken-shawarma-bowls.jpg</t>
        </is>
      </c>
      <c r="J326" s="3" t="inlineStr">
        <is>
          <t>Chicken Shawarma Bowls, healthy food photography, plated, natural light</t>
        </is>
      </c>
      <c r="K326" s="4" t="inlineStr"/>
      <c r="L326" s="3" t="inlineStr">
        <is>
          <t>Chicken thigh, skinless boneless — 700 g (24.7 oz)
Ground cumin — 4 g (0.1 oz)
Ground coriander — 3 g (0.1 oz)
Paprika — 4 g (0.1 oz)
Ground turmeric — 2 g (0.1 oz)
Ground cinnamon — 1 g (0.0 oz)
Garlic — 10 g (0.4 oz)
Lemon juice — 30 g (1.1 oz)
Extra-virgin olive oil — 20 g (0.7 oz)
Cauliflower rice — 500 g (17.6 oz)
Cucumber — 200 g (7.1 oz)
Tomato — 200 g (7.1 oz)
Tahini — 40 g (1.4 oz)
Greek yogurt, plain 2% — 80 g (2.8 oz)
Fresh parsley — 10 g (0.4 oz)
Salt — 3 g (0.1 oz)</t>
        </is>
      </c>
      <c r="M326" s="4" t="inlineStr">
        <is>
          <t>[{"ingredient_id": "chicken_thigh", "name": "Chicken thigh, skinless boneless", "grams": 700.0, "note": ""}, {"ingredient_id": "cumin", "name": "Ground cumin", "grams": 4.0, "note": ""}, {"ingredient_id": "coriander", "name": "Ground coriander", "grams": 3.0, "note": ""}, {"ingredient_id": "paprika", "name": "Paprika", "grams": 4.0, "note": ""}, {"ingredient_id": "turmeric", "name": "Ground turmeric", "grams": 2.0, "note": ""}, {"ingredient_id": "cinnamon", "name": "Ground cinnamon", "grams": 1.0, "note": ""}, {"ingredient_id": "garlic", "name": "Garlic", "grams": 10.0, "note": ""}, {"ingredient_id": "lemon_juice", "name": "Lemon juice", "grams": 30.0, "note": ""}, {"ingredient_id": "olive_oil", "name": "Extra-virgin olive oil", "grams": 20.0, "note": ""}, {"ingredient_id": "cauliflower_rice", "name": "Cauliflower rice", "grams": 500.0, "note": ""}, {"ingredient_id": "cucumber", "name": "Cucumber", "grams": 200.0, "note": ""}, {"ingredient_id": "tomato", "name": "Tomato", "grams": 200.0, "note": ""}, {"ingredient_id": "tahini", "name": "Tahini", "grams": 40.0, "note": ""}, {"ingredient_id": "greek_yogurt", "name": "Greek yogurt, plain 2%", "grams": 80.0, "note": ""}, {"ingredient_id": "parsley", "name": "Fresh parsley", "grams": 10.0, "note": ""}, {"ingredient_id": "salt", "name": "Salt", "grams": 3.0, "note": ""}]</t>
        </is>
      </c>
      <c r="N326" s="2" t="n">
        <v>395</v>
      </c>
      <c r="O326" s="5" t="n">
        <v>42.1</v>
      </c>
      <c r="P326" s="5" t="n">
        <v>19.1</v>
      </c>
      <c r="Q326" s="5" t="n">
        <v>16.3</v>
      </c>
      <c r="R326" s="5" t="n">
        <v>5.4</v>
      </c>
      <c r="S326" s="5" t="n">
        <v>10.9</v>
      </c>
      <c r="T326" s="2" t="n">
        <v>19</v>
      </c>
      <c r="U326" s="2" t="inlineStr">
        <is>
          <t>low</t>
        </is>
      </c>
      <c r="V326" s="5" t="n">
        <v>2.1</v>
      </c>
      <c r="W326" s="2" t="inlineStr">
        <is>
          <t>low</t>
        </is>
      </c>
      <c r="X326" s="3" t="inlineStr"/>
      <c r="Y326" s="3" t="inlineStr">
        <is>
          <t>7% of this dish's available carbohydrate comes from ingredients with a published, measured GI; the rest uses conventional placeholders (see Ingredients sheet)</t>
        </is>
      </c>
      <c r="Z326" s="2" t="n">
        <v>7</v>
      </c>
      <c r="AA326" s="3" t="inlineStr">
        <is>
          <t>gluten-free, nut-free, low-carb, high-protein, meal-prep</t>
        </is>
      </c>
      <c r="AB326" s="3" t="inlineStr">
        <is>
          <t>1. Marinate chicken in spices, garlic, lemon, oil 15 minutes; roast at 425°F 20 minutes; slice.
2. Sauté cauliflower rice; whisk tahini with yogurt, lemon and water.
3. Bowl cauliflower rice, chicken, cucumber, tomato, sauce and parsley.</t>
        </is>
      </c>
      <c r="AC326" s="4" t="inlineStr">
        <is>
          <t>["Marinate chicken in spices, garlic, lemon, oil 15 minutes; roast at 425°F 20 minutes; slice.", "Sauté cauliflower rice; whisk tahini with yogurt, lemon and water.", "Bowl cauliflower rice, chicken, cucumber, tomato, sauce and parsley."]</t>
        </is>
      </c>
    </row>
    <row r="327" ht="96" customHeight="1">
      <c r="A327" s="2" t="inlineStr">
        <is>
          <t>DB-0326</t>
        </is>
      </c>
      <c r="B327" s="3" t="inlineStr">
        <is>
          <t>Turkey Burgers with Avocado (Lettuce Bun)</t>
        </is>
      </c>
      <c r="C327" s="4" t="inlineStr">
        <is>
          <t>Poultry</t>
        </is>
      </c>
      <c r="D327" s="4" t="inlineStr">
        <is>
          <t>American</t>
        </is>
      </c>
      <c r="E327" s="2" t="n">
        <v>4</v>
      </c>
      <c r="F327" s="2" t="n">
        <v>10</v>
      </c>
      <c r="G327" s="2" t="n">
        <v>14</v>
      </c>
      <c r="H327" s="2" t="n">
        <v>24</v>
      </c>
      <c r="I327" s="4" t="inlineStr">
        <is>
          <t>turkey-burgers-with-avocado-lettuce-bun.jpg</t>
        </is>
      </c>
      <c r="J327" s="3" t="inlineStr">
        <is>
          <t>Turkey Burgers with Avocado (Lettuce Bun), healthy food photography, plated, natural light</t>
        </is>
      </c>
      <c r="K327" s="4" t="inlineStr"/>
      <c r="L327" s="3" t="inlineStr">
        <is>
          <t>Ground turkey 93% lean — 600 g (21.2 oz)
Yellow onion — 50 g (1.8 oz)
Garlic — 5 g (0.2 oz)
Dijon mustard — 10 g (0.4 oz)
Egg, large (50 g each) — 50 g (1.8 oz)
Salt — 3 g (0.1 oz)
Butter lettuce — 120 g (4.2 oz)
Avocado — 120 g (4.2 oz)
Tomato — 150 g (5.3 oz)
Red onion — 40 g (1.4 oz)
Extra-virgin olive oil — 10 g (0.4 oz)</t>
        </is>
      </c>
      <c r="M327" s="4" t="inlineStr">
        <is>
          <t>[{"ingredient_id": "ground_turkey", "name": "Ground turkey 93% lean", "grams": 600.0, "note": ""}, {"ingredient_id": "onion", "name": "Yellow onion", "grams": 50.0, "note": ""}, {"ingredient_id": "garlic", "name": "Garlic", "grams": 5.0, "note": ""}, {"ingredient_id": "dijon", "name": "Dijon mustard", "grams": 10.0, "note": ""}, {"ingredient_id": "egg", "name": "Egg, large (50 g each)", "grams": 50.0, "note": ""}, {"ingredient_id": "salt", "name": "Salt", "grams": 3.0, "note": ""}, {"ingredient_id": "butter_lettuce", "name": "Butter lettuce", "grams": 120.0, "note": ""}, {"ingredient_id": "avocado", "name": "Avocado", "grams": 120.0, "note": ""}, {"ingredient_id": "tomato", "name": "Tomato", "grams": 150.0, "note": ""}, {"ingredient_id": "red_onion", "name": "Red onion", "grams": 40.0, "note": ""}, {"ingredient_id": "olive_oil", "name": "Extra-virgin olive oil", "grams": 10.0, "note": ""}]</t>
        </is>
      </c>
      <c r="N327" s="2" t="n">
        <v>336</v>
      </c>
      <c r="O327" s="5" t="n">
        <v>31.4</v>
      </c>
      <c r="P327" s="5" t="n">
        <v>20.4</v>
      </c>
      <c r="Q327" s="5" t="n">
        <v>7.4</v>
      </c>
      <c r="R327" s="5" t="n">
        <v>3.3</v>
      </c>
      <c r="S327" s="5" t="n">
        <v>4.1</v>
      </c>
      <c r="T327" s="2" t="n">
        <v>16</v>
      </c>
      <c r="U327" s="2" t="inlineStr">
        <is>
          <t>low</t>
        </is>
      </c>
      <c r="V327" s="5" t="n">
        <v>0.7</v>
      </c>
      <c r="W327" s="2" t="inlineStr">
        <is>
          <t>low</t>
        </is>
      </c>
      <c r="X327" s="3" t="inlineStr">
        <is>
          <t>Negligible carbohydrate (&lt;5 g net/serving): GI has little practical meaning, glycemic load is what matters.</t>
        </is>
      </c>
      <c r="Y327" s="3" t="inlineStr">
        <is>
          <t>0% of this dish's available carbohydrate comes from ingredients with a published, measured GI; the rest uses conventional placeholders (see Ingredients sheet)</t>
        </is>
      </c>
      <c r="Z327" s="2" t="n">
        <v>0</v>
      </c>
      <c r="AA327" s="3" t="inlineStr">
        <is>
          <t>gluten-free, dairy-free, nut-free, low-carb, high-protein</t>
        </is>
      </c>
      <c r="AB327" s="3" t="inlineStr">
        <is>
          <t>1. Mix turkey with grated onion, garlic, Dijon, egg and salt; form 4 patties.
2. Grill or pan-sear in oil 6–7 minutes per side to 165°F.
3. Serve in lettuce leaves with avocado, tomato and red onion.</t>
        </is>
      </c>
      <c r="AC327" s="4" t="inlineStr">
        <is>
          <t>["Mix turkey with grated onion, garlic, Dijon, egg and salt; form 4 patties.", "Grill or pan-sear in oil 6–7 minutes per side to 165°F.", "Serve in lettuce leaves with avocado, tomato and red onion."]</t>
        </is>
      </c>
    </row>
    <row r="328" ht="96" customHeight="1">
      <c r="A328" s="2" t="inlineStr">
        <is>
          <t>DB-0327</t>
        </is>
      </c>
      <c r="B328" s="3" t="inlineStr">
        <is>
          <t>Chicken Marsala with Mushrooms</t>
        </is>
      </c>
      <c r="C328" s="4" t="inlineStr">
        <is>
          <t>Poultry</t>
        </is>
      </c>
      <c r="D328" s="4" t="inlineStr">
        <is>
          <t>Italian</t>
        </is>
      </c>
      <c r="E328" s="2" t="n">
        <v>4</v>
      </c>
      <c r="F328" s="2" t="n">
        <v>10</v>
      </c>
      <c r="G328" s="2" t="n">
        <v>25</v>
      </c>
      <c r="H328" s="2" t="n">
        <v>35</v>
      </c>
      <c r="I328" s="4" t="inlineStr">
        <is>
          <t>chicken-marsala-with-mushrooms.jpg</t>
        </is>
      </c>
      <c r="J328" s="3" t="inlineStr">
        <is>
          <t>Chicken Marsala with Mushrooms, healthy food photography, plated, natural light</t>
        </is>
      </c>
      <c r="K328" s="4" t="inlineStr"/>
      <c r="L328" s="3" t="inlineStr">
        <is>
          <t>Chicken breast, skinless — 600 g (21.2 oz)
Mushrooms (cremini/white) — 300 g (10.6 oz)
Dry red wine (cooking) — 120 g (4.2 oz) [dry Marsala]
Chicken broth, low sodium — 150 g (5.3 oz)
Shallot — 40 g (1.4 oz)
Garlic — 5 g (0.2 oz)
Extra-virgin olive oil — 15 g (0.5 oz)
Butter — 10 g (0.4 oz)
Fresh thyme — 2 g (0.1 oz)
Fresh parsley — 6 g (0.2 oz)
Asparagus — 400 g (14.1 oz)
Salt — 3 g (0.1 oz)</t>
        </is>
      </c>
      <c r="M328" s="4" t="inlineStr">
        <is>
          <t>[{"ingredient_id": "chicken_breast", "name": "Chicken breast, skinless", "grams": 600.0, "note": ""}, {"ingredient_id": "mushrooms", "name": "Mushrooms (cremini/white)", "grams": 300.0, "note": ""}, {"ingredient_id": "red_wine", "name": "Dry red wine (cooking)", "grams": 120.0, "note": "dry Marsala"}, {"ingredient_id": "chicken_broth", "name": "Chicken broth, low sodium", "grams": 150.0, "note": ""}, {"ingredient_id": "shallot", "name": "Shallot", "grams": 40.0, "note": ""}, {"ingredient_id": "garlic", "name": "Garlic", "grams": 5.0, "note": ""}, {"ingredient_id": "olive_oil", "name": "Extra-virgin olive oil", "grams": 15.0, "note": ""}, {"ingredient_id": "butter", "name": "Butter", "grams": 10.0, "note": ""}, {"ingredient_id": "thyme", "name": "Fresh thyme", "grams": 2.0, "note": ""}, {"ingredient_id": "parsley", "name": "Fresh parsley", "grams": 6.0, "note": ""}, {"ingredient_id": "asparagus", "name": "Asparagus", "grams": 400.0, "note": ""}, {"ingredient_id": "salt", "name": "Salt", "grams": 3.0, "note": ""}]</t>
        </is>
      </c>
      <c r="N328" s="2" t="n">
        <v>306</v>
      </c>
      <c r="O328" s="5" t="n">
        <v>39.1</v>
      </c>
      <c r="P328" s="5" t="n">
        <v>10.1</v>
      </c>
      <c r="Q328" s="5" t="n">
        <v>9.699999999999999</v>
      </c>
      <c r="R328" s="5" t="n">
        <v>3.3</v>
      </c>
      <c r="S328" s="5" t="n">
        <v>6.4</v>
      </c>
      <c r="T328" s="2" t="n">
        <v>14</v>
      </c>
      <c r="U328" s="2" t="inlineStr">
        <is>
          <t>low</t>
        </is>
      </c>
      <c r="V328" s="5" t="n">
        <v>0.9</v>
      </c>
      <c r="W328" s="2" t="inlineStr">
        <is>
          <t>low</t>
        </is>
      </c>
      <c r="X328" s="3" t="inlineStr"/>
      <c r="Y328" s="3" t="inlineStr">
        <is>
          <t>0% of this dish's available carbohydrate comes from ingredients with a published, measured GI; the rest uses conventional placeholders (see Ingredients sheet)</t>
        </is>
      </c>
      <c r="Z328" s="2" t="n">
        <v>0</v>
      </c>
      <c r="AA328" s="3" t="inlineStr">
        <is>
          <t>gluten-free, nut-free, low-carb, high-protein</t>
        </is>
      </c>
      <c r="AB328" s="3" t="inlineStr">
        <is>
          <t>1. Pound chicken, season, sear in oil 4 minutes per side; remove.
2. Sauté mushrooms and shallot 6 minutes; add garlic, wine, broth, thyme; reduce by half; swirl in butter.
3. Return chicken 3 minutes; serve with roasted asparagus and parsley.</t>
        </is>
      </c>
      <c r="AC328" s="4" t="inlineStr">
        <is>
          <t>["Pound chicken, season, sear in oil 4 minutes per side; remove.", "Sauté mushrooms and shallot 6 minutes; add garlic, wine, broth, thyme; reduce by half; swirl in butter.", "Return chicken 3 minutes; serve with roasted asparagus and parsley."]</t>
        </is>
      </c>
    </row>
    <row r="329" ht="96" customHeight="1">
      <c r="A329" s="2" t="inlineStr">
        <is>
          <t>DB-0328</t>
        </is>
      </c>
      <c r="B329" s="3" t="inlineStr">
        <is>
          <t>Pesto Chicken Stuffed Peppers</t>
        </is>
      </c>
      <c r="C329" s="4" t="inlineStr">
        <is>
          <t>Poultry</t>
        </is>
      </c>
      <c r="D329" s="4" t="inlineStr">
        <is>
          <t>Italian</t>
        </is>
      </c>
      <c r="E329" s="2" t="n">
        <v>4</v>
      </c>
      <c r="F329" s="2" t="n">
        <v>15</v>
      </c>
      <c r="G329" s="2" t="n">
        <v>35</v>
      </c>
      <c r="H329" s="2" t="n">
        <v>50</v>
      </c>
      <c r="I329" s="4" t="inlineStr">
        <is>
          <t>pesto-chicken-stuffed-peppers.jpg</t>
        </is>
      </c>
      <c r="J329" s="3" t="inlineStr">
        <is>
          <t>Pesto Chicken Stuffed Peppers, healthy food photography, plated, natural light</t>
        </is>
      </c>
      <c r="K329" s="4" t="inlineStr"/>
      <c r="L329" s="3" t="inlineStr">
        <is>
          <t>Bell pepper — 600 g (21.2 oz) [4 peppers]
Rotisserie chicken, skin removed — 400 g (14.1 oz)
Basil pesto — 60 g (2.1 oz)
Cauliflower rice — 250 g (8.8 oz)
Cherry tomatoes — 150 g (5.3 oz)
Mozzarella, part-skim — 100 g (3.5 oz)
Spinach — 80 g (2.8 oz)</t>
        </is>
      </c>
      <c r="M329" s="4" t="inlineStr">
        <is>
          <t>[{"ingredient_id": "bell_pepper", "name": "Bell pepper", "grams": 600.0, "note": "4 peppers"}, {"ingredient_id": "rotisserie_chicken", "name": "Rotisserie chicken, skin removed", "grams": 400.0, "note": ""}, {"ingredient_id": "pesto", "name": "Basil pesto", "grams": 60.0, "note": ""}, {"ingredient_id": "cauliflower_rice", "name": "Cauliflower rice", "grams": 250.0, "note": ""}, {"ingredient_id": "cherry_tomato", "name": "Cherry tomatoes", "grams": 150.0, "note": ""}, {"ingredient_id": "mozzarella", "name": "Mozzarella, part-skim", "grams": 100.0, "note": ""}, {"ingredient_id": "spinach", "name": "Spinach", "grams": 80.0, "note": ""}]</t>
        </is>
      </c>
      <c r="N329" s="2" t="n">
        <v>357</v>
      </c>
      <c r="O329" s="5" t="n">
        <v>33.4</v>
      </c>
      <c r="P329" s="5" t="n">
        <v>17.8</v>
      </c>
      <c r="Q329" s="5" t="n">
        <v>16</v>
      </c>
      <c r="R329" s="5" t="n">
        <v>5.6</v>
      </c>
      <c r="S329" s="5" t="n">
        <v>10.4</v>
      </c>
      <c r="T329" s="2" t="n">
        <v>14</v>
      </c>
      <c r="U329" s="2" t="inlineStr">
        <is>
          <t>low</t>
        </is>
      </c>
      <c r="V329" s="5" t="n">
        <v>1.5</v>
      </c>
      <c r="W329" s="2" t="inlineStr">
        <is>
          <t>low</t>
        </is>
      </c>
      <c r="X329" s="3" t="inlineStr"/>
      <c r="Y329" s="3" t="inlineStr">
        <is>
          <t>0% of this dish's available carbohydrate comes from ingredients with a published, measured GI; the rest uses conventional placeholders (see Ingredients sheet)</t>
        </is>
      </c>
      <c r="Z329" s="2" t="n">
        <v>0</v>
      </c>
      <c r="AA329" s="3" t="inlineStr">
        <is>
          <t>gluten-free, low-carb, high-protein</t>
        </is>
      </c>
      <c r="AB329" s="3" t="inlineStr">
        <is>
          <t>1. Halve and seed peppers; roast cut-side down at 400°F 10 minutes.
2. Mix chicken, pesto, cauliflower rice, chopped tomato, spinach and half the mozzarella.
3. Fill peppers, top with remaining cheese; bake 20 minutes.</t>
        </is>
      </c>
      <c r="AC329" s="4" t="inlineStr">
        <is>
          <t>["Halve and seed peppers; roast cut-side down at 400°F 10 minutes.", "Mix chicken, pesto, cauliflower rice, chopped tomato, spinach and half the mozzarella.", "Fill peppers, top with remaining cheese; bake 20 minutes."]</t>
        </is>
      </c>
    </row>
    <row r="330" ht="96" customHeight="1">
      <c r="A330" s="2" t="inlineStr">
        <is>
          <t>DB-0329</t>
        </is>
      </c>
      <c r="B330" s="3" t="inlineStr">
        <is>
          <t>Chicken Teriyaki Bowl (No-Sugar Sauce)</t>
        </is>
      </c>
      <c r="C330" s="4" t="inlineStr">
        <is>
          <t>Poultry</t>
        </is>
      </c>
      <c r="D330" s="4" t="inlineStr">
        <is>
          <t>Japanese</t>
        </is>
      </c>
      <c r="E330" s="2" t="n">
        <v>3</v>
      </c>
      <c r="F330" s="2" t="n">
        <v>10</v>
      </c>
      <c r="G330" s="2" t="n">
        <v>15</v>
      </c>
      <c r="H330" s="2" t="n">
        <v>25</v>
      </c>
      <c r="I330" s="4" t="inlineStr">
        <is>
          <t>chicken-teriyaki-bowl-no-sugar-sauce.jpg</t>
        </is>
      </c>
      <c r="J330" s="3" t="inlineStr">
        <is>
          <t>Chicken Teriyaki Bowl (No-Sugar Sauce), healthy food photography, plated, natural light</t>
        </is>
      </c>
      <c r="K330" s="4" t="inlineStr"/>
      <c r="L330" s="3" t="inlineStr">
        <is>
          <t>Chicken thigh, skinless boneless — 500 g (17.6 oz)
Tamari (gluten-free soy sauce) — 30 g (1.1 oz)
Rice vinegar, unseasoned — 15 g (0.5 oz)
Fresh ginger — 8 g (0.3 oz)
Garlic — 6 g (0.2 oz)
Monk fruit/erythritol sweetener — 8 g (0.3 oz)
Toasted sesame oil — 6 g (0.2 oz)
Arrowroot starch — 4 g (0.1 oz)
Broccoli — 300 g (10.6 oz)
Carrot — 80 g (2.8 oz)
Brown rice, cooked — 300 g (10.6 oz)
Sesame seeds — 6 g (0.2 oz)
Green onions (scallions) — 15 g (0.5 oz)
Avocado oil — 10 g (0.4 oz)</t>
        </is>
      </c>
      <c r="M330" s="4" t="inlineStr">
        <is>
          <t>[{"ingredient_id": "chicken_thigh", "name": "Chicken thigh, skinless boneless", "grams": 500.0, "note": ""}, {"ingredient_id": "tamari", "name": "Tamari (gluten-free soy sauce)", "grams": 30.0, "note": ""}, {"ingredient_id": "rice_vinegar", "name": "Rice vinegar, unseasoned", "grams": 15.0, "note": ""}, {"ingredient_id": "ginger", "name": "Fresh ginger", "grams": 8.0, "note": ""}, {"ingredient_id": "garlic", "name": "Garlic", "grams": 6.0, "note": ""}, {"ingredient_id": "monk_fruit_sweetener", "name": "Monk fruit/erythritol sweetener", "grams": 8.0, "note": ""}, {"ingredient_id": "sesame_oil", "name": "Toasted sesame oil", "grams": 6.0, "note": ""}, {"ingredient_id": "arrowroot", "name": "Arrowroot starch", "grams": 4.0, "note": ""}, {"ingredient_id": "broccoli", "name": "Broccoli", "grams": 300.0, "note": ""}, {"ingredient_id": "carrot", "name": "Carrot", "grams": 80.0, "note": ""}, {"ingredient_id": "brown_rice", "name": "Brown rice, cooked", "grams": 300.0, "note": ""}, {"ingredient_id": "sesame_seeds", "name": "Sesame seeds", "grams": 6.0, "note": ""}, {"ingredient_id": "green_onion", "name": "Green onions (scallions)", "grams": 15.0, "note": ""}, {"ingredient_id": "avocado_oil", "name": "Avocado oil", "grams": 10.0, "note": ""}]</t>
        </is>
      </c>
      <c r="N330" s="2" t="n">
        <v>436</v>
      </c>
      <c r="O330" s="5" t="n">
        <v>39.8</v>
      </c>
      <c r="P330" s="5" t="n">
        <v>14.5</v>
      </c>
      <c r="Q330" s="5" t="n">
        <v>36.8</v>
      </c>
      <c r="R330" s="5" t="n">
        <v>5.7</v>
      </c>
      <c r="S330" s="5" t="n">
        <v>31.1</v>
      </c>
      <c r="T330" s="2" t="n">
        <v>57</v>
      </c>
      <c r="U330" s="2" t="inlineStr">
        <is>
          <t>medium</t>
        </is>
      </c>
      <c r="V330" s="5" t="n">
        <v>17.7</v>
      </c>
      <c r="W330" s="2" t="inlineStr">
        <is>
          <t>medium</t>
        </is>
      </c>
      <c r="X330" s="3" t="inlineStr">
        <is>
          <t>Medium-GI dish: keep to the stated portion and pair with the protein/fat in the recipe; GL per serving is the better guide.</t>
        </is>
      </c>
      <c r="Y330" s="3" t="inlineStr">
        <is>
          <t>81% of this dish's available carbohydrate comes from ingredients with a published, measured GI; the rest uses conventional placeholders (see Ingredients sheet)</t>
        </is>
      </c>
      <c r="Z330" s="2" t="n">
        <v>81</v>
      </c>
      <c r="AA330" s="3" t="inlineStr">
        <is>
          <t>gluten-free, dairy-free, nut-free, high-protein</t>
        </is>
      </c>
      <c r="AB330" s="3" t="inlineStr">
        <is>
          <t>1. Whisk tamari, vinegar, ginger, garlic, sweetener, sesame oil and arrowroot with 60 ml water.
2. Sear chicken in avocado oil 8 minutes; add sauce and simmer until glossy.
3. Serve over brown rice with steamed broccoli and carrot; top with sesame and green onion.</t>
        </is>
      </c>
      <c r="AC330" s="4" t="inlineStr">
        <is>
          <t>["Whisk tamari, vinegar, ginger, garlic, sweetener, sesame oil and arrowroot with 60 ml water.", "Sear chicken in avocado oil 8 minutes; add sauce and simmer until glossy.", "Serve over brown rice with steamed broccoli and carrot; top with sesame and green onion."]</t>
        </is>
      </c>
    </row>
    <row r="331" ht="96" customHeight="1">
      <c r="A331" s="2" t="inlineStr">
        <is>
          <t>DB-0330</t>
        </is>
      </c>
      <c r="B331" s="3" t="inlineStr">
        <is>
          <t>Chicken Enchiladas (Low-Carb Tortillas)</t>
        </is>
      </c>
      <c r="C331" s="4" t="inlineStr">
        <is>
          <t>Poultry</t>
        </is>
      </c>
      <c r="D331" s="4" t="inlineStr">
        <is>
          <t>Mexican</t>
        </is>
      </c>
      <c r="E331" s="2" t="n">
        <v>4</v>
      </c>
      <c r="F331" s="2" t="n">
        <v>15</v>
      </c>
      <c r="G331" s="2" t="n">
        <v>25</v>
      </c>
      <c r="H331" s="2" t="n">
        <v>40</v>
      </c>
      <c r="I331" s="4" t="inlineStr">
        <is>
          <t>chicken-enchiladas-low-carb-tortillas.jpg</t>
        </is>
      </c>
      <c r="J331" s="3" t="inlineStr">
        <is>
          <t>Chicken Enchiladas (Low-Carb Tortillas), healthy food photography, plated, natural light</t>
        </is>
      </c>
      <c r="K331" s="4" t="inlineStr"/>
      <c r="L331" s="3" t="inlineStr">
        <is>
          <t>Low-carb high-fiber tortilla — 336 g (11.9 oz) [8 tortillas]
Rotisserie chicken, skin removed — 500 g (17.6 oz)
Red enchilada sauce, no sugar added — 350 g (12.3 oz)
Cheddar cheese — 120 g (4.2 oz)
Black beans, cooked — 200 g (7.1 oz)
Diced green chiles, canned — 100 g (3.5 oz)
Yellow onion — 60 g (2.1 oz)
Greek yogurt, plain 2% — 80 g (2.8 oz)
Fresh cilantro — 8 g (0.3 oz)</t>
        </is>
      </c>
      <c r="M331" s="4" t="inlineStr">
        <is>
          <t>[{"ingredient_id": "low_carb_tortilla", "name": "Low-carb high-fiber tortilla", "grams": 336.0, "note": "8 tortillas"}, {"ingredient_id": "rotisserie_chicken", "name": "Rotisserie chicken, skin removed", "grams": 500.0, "note": ""}, {"ingredient_id": "enchilada_sauce", "name": "Red enchilada sauce, no sugar added", "grams": 350.0, "note": ""}, {"ingredient_id": "cheddar", "name": "Cheddar cheese", "grams": 120.0, "note": ""}, {"ingredient_id": "black_beans", "name": "Black beans, cooked", "grams": 200.0, "note": ""}, {"ingredient_id": "green_chiles", "name": "Diced green chiles, canned", "grams": 100.0, "note": ""}, {"ingredient_id": "onion", "name": "Yellow onion", "grams": 60.0, "note": ""}, {"ingredient_id": "greek_yogurt", "name": "Greek yogurt, plain 2%", "grams": 80.0, "note": ""}, {"ingredient_id": "cilantro", "name": "Fresh cilantro", "grams": 8.0, "note": ""}]</t>
        </is>
      </c>
      <c r="N331" s="2" t="n">
        <v>658</v>
      </c>
      <c r="O331" s="5" t="n">
        <v>53.5</v>
      </c>
      <c r="P331" s="5" t="n">
        <v>27.8</v>
      </c>
      <c r="Q331" s="5" t="n">
        <v>53.6</v>
      </c>
      <c r="R331" s="5" t="n">
        <v>26.9</v>
      </c>
      <c r="S331" s="5" t="n">
        <v>26.7</v>
      </c>
      <c r="T331" s="2" t="n">
        <v>28</v>
      </c>
      <c r="U331" s="2" t="inlineStr">
        <is>
          <t>low</t>
        </is>
      </c>
      <c r="V331" s="5" t="n">
        <v>7.5</v>
      </c>
      <c r="W331" s="2" t="inlineStr">
        <is>
          <t>low</t>
        </is>
      </c>
      <c r="X331" s="3" t="inlineStr"/>
      <c r="Y331" s="3" t="inlineStr">
        <is>
          <t>31% of this dish's available carbohydrate comes from ingredients with a published, measured GI; the rest uses conventional placeholders (see Ingredients sheet)</t>
        </is>
      </c>
      <c r="Z331" s="2" t="n">
        <v>31</v>
      </c>
      <c r="AA331" s="3" t="inlineStr">
        <is>
          <t>nut-free, high-protein, high-fiber</t>
        </is>
      </c>
      <c r="AB331" s="3" t="inlineStr">
        <is>
          <t>1. Mix chicken, beans, chiles, onion, half the cheese and a third of the sauce.
2. Fill and roll tortillas; place seam-side down in a baking dish; pour over remaining sauce and cheese.
3. Bake at 375°F 20 minutes; serve with yogurt and cilantro.</t>
        </is>
      </c>
      <c r="AC331" s="4" t="inlineStr">
        <is>
          <t>["Mix chicken, beans, chiles, onion, half the cheese and a third of the sauce.", "Fill and roll tortillas; place seam-side down in a baking dish; pour over remaining sauce and cheese.", "Bake at 375°F 20 minutes; serve with yogurt and cilantro."]</t>
        </is>
      </c>
    </row>
    <row r="332" ht="96" customHeight="1">
      <c r="A332" s="2" t="inlineStr">
        <is>
          <t>DB-0331</t>
        </is>
      </c>
      <c r="B332" s="3" t="inlineStr">
        <is>
          <t>Spatchcock Lemon Pepper Chicken</t>
        </is>
      </c>
      <c r="C332" s="4" t="inlineStr">
        <is>
          <t>Poultry</t>
        </is>
      </c>
      <c r="D332" s="4" t="inlineStr">
        <is>
          <t>American</t>
        </is>
      </c>
      <c r="E332" s="2" t="n">
        <v>6</v>
      </c>
      <c r="F332" s="2" t="n">
        <v>15</v>
      </c>
      <c r="G332" s="2" t="n">
        <v>50</v>
      </c>
      <c r="H332" s="2" t="n">
        <v>65</v>
      </c>
      <c r="I332" s="4" t="inlineStr">
        <is>
          <t>spatchcock-lemon-pepper-chicken.jpg</t>
        </is>
      </c>
      <c r="J332" s="3" t="inlineStr">
        <is>
          <t>Spatchcock Lemon Pepper Chicken, healthy food photography, plated, natural light</t>
        </is>
      </c>
      <c r="K332" s="4" t="inlineStr"/>
      <c r="L332" s="3" t="inlineStr">
        <is>
          <t>Chicken thigh, skinless boneless — 1200 g (42.3 oz) [1 whole chicken, spatchcocked]
Lemon (with juice &amp; zest) — 80 g (2.8 oz)
Black pepper — 5 g (0.2 oz)
Garlic — 12 g (0.4 oz)
Extra-virgin olive oil — 25 g (0.9 oz)
Fresh thyme — 3 g (0.1 oz)
Salt — 5 g (0.2 oz)
Green beans — 500 g (17.6 oz)
Cherry tomatoes — 300 g (10.6 oz)</t>
        </is>
      </c>
      <c r="M332" s="4" t="inlineStr">
        <is>
          <t>[{"ingredient_id": "chicken_thigh", "name": "Chicken thigh, skinless boneless", "grams": 1200.0, "note": "1 whole chicken, spatchcocked"}, {"ingredient_id": "lemon", "name": "Lemon (with juice &amp; zest)", "grams": 80.0, "note": ""}, {"ingredient_id": "black_pepper", "name": "Black pepper", "grams": 5.0, "note": ""}, {"ingredient_id": "garlic", "name": "Garlic", "grams": 12.0, "note": ""}, {"ingredient_id": "olive_oil", "name": "Extra-virgin olive oil", "grams": 25.0, "note": ""}, {"ingredient_id": "thyme", "name": "Fresh thyme", "grams": 3.0, "note": ""}, {"ingredient_id": "salt", "name": "Salt", "grams": 5.0, "note": ""}, {"ingredient_id": "green_beans", "name": "Green beans", "grams": 500.0, "note": ""}, {"ingredient_id": "cherry_tomato", "name": "Cherry tomatoes", "grams": 300.0, "note": ""}]</t>
        </is>
      </c>
      <c r="N332" s="2" t="n">
        <v>323</v>
      </c>
      <c r="O332" s="5" t="n">
        <v>41.7</v>
      </c>
      <c r="P332" s="5" t="n">
        <v>12.7</v>
      </c>
      <c r="Q332" s="5" t="n">
        <v>10.3</v>
      </c>
      <c r="R332" s="5" t="n">
        <v>3.5</v>
      </c>
      <c r="S332" s="5" t="n">
        <v>6.8</v>
      </c>
      <c r="T332" s="2" t="n">
        <v>17</v>
      </c>
      <c r="U332" s="2" t="inlineStr">
        <is>
          <t>low</t>
        </is>
      </c>
      <c r="V332" s="5" t="n">
        <v>1.2</v>
      </c>
      <c r="W332" s="2" t="inlineStr">
        <is>
          <t>low</t>
        </is>
      </c>
      <c r="X332" s="3" t="inlineStr"/>
      <c r="Y332" s="3" t="inlineStr">
        <is>
          <t>0% of this dish's available carbohydrate comes from ingredients with a published, measured GI; the rest uses conventional placeholders (see Ingredients sheet)</t>
        </is>
      </c>
      <c r="Z332" s="2" t="n">
        <v>0</v>
      </c>
      <c r="AA332" s="3" t="inlineStr">
        <is>
          <t>gluten-free, dairy-free, nut-free, low-carb, high-protein</t>
        </is>
      </c>
      <c r="AB332" s="3" t="inlineStr">
        <is>
          <t>1. Remove backbone and flatten chicken; rub with oil, lemon zest, pepper, garlic, thyme and salt.
2. Roast at 450°F 40–45 minutes to 165°F; add green beans and tomatoes to the pan for the last 15 minutes.
3. Rest, carve and serve, removing skin.</t>
        </is>
      </c>
      <c r="AC332" s="4" t="inlineStr">
        <is>
          <t>["Remove backbone and flatten chicken; rub with oil, lemon zest, pepper, garlic, thyme and salt.", "Roast at 450°F 40–45 minutes to 165°F; add green beans and tomatoes to the pan for the last 15 minutes.", "Rest, carve and serve, removing skin."]</t>
        </is>
      </c>
    </row>
    <row r="333" ht="96" customHeight="1">
      <c r="A333" s="2" t="inlineStr">
        <is>
          <t>DB-0332</t>
        </is>
      </c>
      <c r="B333" s="3" t="inlineStr">
        <is>
          <t>Chicken Lettuce Wraps (PF Chang's Style)</t>
        </is>
      </c>
      <c r="C333" s="4" t="inlineStr">
        <is>
          <t>Poultry</t>
        </is>
      </c>
      <c r="D333" s="4" t="inlineStr">
        <is>
          <t>Chinese-American</t>
        </is>
      </c>
      <c r="E333" s="2" t="n">
        <v>4</v>
      </c>
      <c r="F333" s="2" t="n">
        <v>15</v>
      </c>
      <c r="G333" s="2" t="n">
        <v>12</v>
      </c>
      <c r="H333" s="2" t="n">
        <v>27</v>
      </c>
      <c r="I333" s="4" t="inlineStr">
        <is>
          <t>chicken-lettuce-wraps-pf-chang-s-style.jpg</t>
        </is>
      </c>
      <c r="J333" s="3" t="inlineStr">
        <is>
          <t>Chicken Lettuce Wraps (PF Chang's Style), healthy food photography, plated, natural light</t>
        </is>
      </c>
      <c r="K333" s="4" t="inlineStr"/>
      <c r="L333" s="3" t="inlineStr">
        <is>
          <t>Ground chicken — 600 g (21.2 oz)
Water chestnuts, canned — 100 g (3.5 oz)
Mushrooms (cremini/white) — 150 g (5.3 oz)
Green onions (scallions) — 30 g (1.1 oz)
Garlic — 8 g (0.3 oz)
Fresh ginger — 8 g (0.3 oz)
Tamari (gluten-free soy sauce) — 30 g (1.1 oz)
Rice vinegar, unseasoned — 15 g (0.5 oz)
Toasted sesame oil — 8 g (0.3 oz)
Sriracha — 8 g (0.3 oz)
Butter lettuce — 200 g (7.1 oz)
Avocado oil — 10 g (0.4 oz)</t>
        </is>
      </c>
      <c r="M333" s="4" t="inlineStr">
        <is>
          <t>[{"ingredient_id": "ground_chicken", "name": "Ground chicken", "grams": 600.0, "note": ""}, {"ingredient_id": "water_chestnuts", "name": "Water chestnuts, canned", "grams": 100.0, "note": ""}, {"ingredient_id": "mushrooms", "name": "Mushrooms (cremini/white)", "grams": 150.0, "note": ""}, {"ingredient_id": "green_onion", "name": "Green onions (scallions)", "grams": 30.0, "note": ""}, {"ingredient_id": "garlic", "name": "Garlic", "grams": 8.0, "note": ""}, {"ingredient_id": "ginger", "name": "Fresh ginger", "grams": 8.0, "note": ""}, {"ingredient_id": "tamari", "name": "Tamari (gluten-free soy sauce)", "grams": 30.0, "note": ""}, {"ingredient_id": "rice_vinegar", "name": "Rice vinegar, unseasoned", "grams": 15.0, "note": ""}, {"ingredient_id": "sesame_oil", "name": "Toasted sesame oil", "grams": 8.0, "note": ""}, {"ingredient_id": "sriracha", "name": "Sriracha", "grams": 8.0, "note": ""}, {"ingredient_id": "butter_lettuce", "name": "Butter lettuce", "grams": 200.0, "note": ""}, {"ingredient_id": "avocado_oil", "name": "Avocado oil", "grams": 10.0, "note": ""}]</t>
        </is>
      </c>
      <c r="N333" s="2" t="n">
        <v>296</v>
      </c>
      <c r="O333" s="5" t="n">
        <v>28.7</v>
      </c>
      <c r="P333" s="5" t="n">
        <v>16.8</v>
      </c>
      <c r="Q333" s="5" t="n">
        <v>7.7</v>
      </c>
      <c r="R333" s="5" t="n">
        <v>1.9</v>
      </c>
      <c r="S333" s="5" t="n">
        <v>5.8</v>
      </c>
      <c r="T333" s="2" t="n">
        <v>30</v>
      </c>
      <c r="U333" s="2" t="inlineStr">
        <is>
          <t>low</t>
        </is>
      </c>
      <c r="V333" s="5" t="n">
        <v>1.7</v>
      </c>
      <c r="W333" s="2" t="inlineStr">
        <is>
          <t>low</t>
        </is>
      </c>
      <c r="X333" s="3" t="inlineStr"/>
      <c r="Y333" s="3" t="inlineStr">
        <is>
          <t>0% of this dish's available carbohydrate comes from ingredients with a published, measured GI; the rest uses conventional placeholders (see Ingredients sheet)</t>
        </is>
      </c>
      <c r="Z333" s="2" t="n">
        <v>0</v>
      </c>
      <c r="AA333" s="3" t="inlineStr">
        <is>
          <t>gluten-free, dairy-free, nut-free, low-carb, high-protein, quick</t>
        </is>
      </c>
      <c r="AB333" s="3" t="inlineStr">
        <is>
          <t>1. Brown chicken in avocado oil; add garlic, ginger, mushrooms, water chestnuts 4 minutes.
2. Add tamari, vinegar, sesame oil, sriracha; cook 2 minutes; stir in green onion.
3. Spoon into lettuce cups.</t>
        </is>
      </c>
      <c r="AC333" s="4" t="inlineStr">
        <is>
          <t>["Brown chicken in avocado oil; add garlic, ginger, mushrooms, water chestnuts 4 minutes.", "Add tamari, vinegar, sesame oil, sriracha; cook 2 minutes; stir in green onion.", "Spoon into lettuce cups."]</t>
        </is>
      </c>
    </row>
    <row r="334" ht="96" customHeight="1">
      <c r="A334" s="2" t="inlineStr">
        <is>
          <t>DB-0333</t>
        </is>
      </c>
      <c r="B334" s="3" t="inlineStr">
        <is>
          <t>Coconut Lime Chicken Thighs</t>
        </is>
      </c>
      <c r="C334" s="4" t="inlineStr">
        <is>
          <t>Poultry</t>
        </is>
      </c>
      <c r="D334" s="4" t="inlineStr">
        <is>
          <t>Caribbean</t>
        </is>
      </c>
      <c r="E334" s="2" t="n">
        <v>4</v>
      </c>
      <c r="F334" s="2" t="n">
        <v>10</v>
      </c>
      <c r="G334" s="2" t="n">
        <v>30</v>
      </c>
      <c r="H334" s="2" t="n">
        <v>40</v>
      </c>
      <c r="I334" s="4" t="inlineStr">
        <is>
          <t>coconut-lime-chicken-thighs.jpg</t>
        </is>
      </c>
      <c r="J334" s="3" t="inlineStr">
        <is>
          <t>Coconut Lime Chicken Thighs, healthy food photography, plated, natural light</t>
        </is>
      </c>
      <c r="K334" s="4" t="inlineStr"/>
      <c r="L334" s="3" t="inlineStr">
        <is>
          <t>Chicken thigh, skinless boneless — 700 g (24.7 oz)
Coconut milk, canned light — 300 g (10.6 oz)
Lime — 60 g (2.1 oz)
Garlic — 8 g (0.3 oz)
Fresh ginger — 8 g (0.3 oz)
Fresh cilantro — 10 g (0.4 oz)
Jalapeño — 10 g (0.4 oz)
Avocado oil — 12 g (0.4 oz)
Cauliflower rice — 500 g (17.6 oz)
Spinach — 150 g (5.3 oz)
Salt — 3 g (0.1 oz)</t>
        </is>
      </c>
      <c r="M334" s="4" t="inlineStr">
        <is>
          <t>[{"ingredient_id": "chicken_thigh", "name": "Chicken thigh, skinless boneless", "grams": 700.0, "note": ""}, {"ingredient_id": "coconut_milk_light", "name": "Coconut milk, canned light", "grams": 300.0, "note": ""}, {"ingredient_id": "lime", "name": "Lime", "grams": 60.0, "note": ""}, {"ingredient_id": "garlic", "name": "Garlic", "grams": 8.0, "note": ""}, {"ingredient_id": "ginger", "name": "Fresh ginger", "grams": 8.0, "note": ""}, {"ingredient_id": "cilantro", "name": "Fresh cilantro", "grams": 10.0, "note": ""}, {"ingredient_id": "jalapeno", "name": "Jalapeño", "grams": 10.0, "note": ""}, {"ingredient_id": "avocado_oil", "name": "Avocado oil", "grams": 12.0, "note": ""}, {"ingredient_id": "cauliflower_rice", "name": "Cauliflower rice", "grams": 500.0, "note": ""}, {"ingredient_id": "spinach", "name": "Spinach", "grams": 150.0, "note": ""}, {"ingredient_id": "salt", "name": "Salt", "grams": 3.0, "note": ""}]</t>
        </is>
      </c>
      <c r="N334" s="2" t="n">
        <v>340</v>
      </c>
      <c r="O334" s="5" t="n">
        <v>38.8</v>
      </c>
      <c r="P334" s="5" t="n">
        <v>15.3</v>
      </c>
      <c r="Q334" s="5" t="n">
        <v>12.3</v>
      </c>
      <c r="R334" s="5" t="n">
        <v>4</v>
      </c>
      <c r="S334" s="5" t="n">
        <v>8.4</v>
      </c>
      <c r="T334" s="2" t="n">
        <v>21</v>
      </c>
      <c r="U334" s="2" t="inlineStr">
        <is>
          <t>low</t>
        </is>
      </c>
      <c r="V334" s="5" t="n">
        <v>1.8</v>
      </c>
      <c r="W334" s="2" t="inlineStr">
        <is>
          <t>low</t>
        </is>
      </c>
      <c r="X334" s="3" t="inlineStr"/>
      <c r="Y334" s="3" t="inlineStr">
        <is>
          <t>0% of this dish's available carbohydrate comes from ingredients with a published, measured GI; the rest uses conventional placeholders (see Ingredients sheet)</t>
        </is>
      </c>
      <c r="Z334" s="2" t="n">
        <v>0</v>
      </c>
      <c r="AA334" s="3" t="inlineStr">
        <is>
          <t>gluten-free, dairy-free, nut-free, low-carb, high-protein</t>
        </is>
      </c>
      <c r="AB334" s="3" t="inlineStr">
        <is>
          <t>1. Sear seasoned chicken in oil 4 minutes per side.
2. Add coconut milk, lime juice, garlic, ginger, jalapeño; simmer covered 15 minutes.
3. Stir in spinach; serve over cauliflower rice with cilantro and lime zest.</t>
        </is>
      </c>
      <c r="AC334" s="4" t="inlineStr">
        <is>
          <t>["Sear seasoned chicken in oil 4 minutes per side.", "Add coconut milk, lime juice, garlic, ginger, jalapeño; simmer covered 15 minutes.", "Stir in spinach; serve over cauliflower rice with cilantro and lime zest."]</t>
        </is>
      </c>
    </row>
    <row r="335" ht="96" customHeight="1">
      <c r="A335" s="2" t="inlineStr">
        <is>
          <t>DB-0334</t>
        </is>
      </c>
      <c r="B335" s="3" t="inlineStr">
        <is>
          <t>Chicken Cobb Bowl Meal Prep</t>
        </is>
      </c>
      <c r="C335" s="4" t="inlineStr">
        <is>
          <t>Poultry</t>
        </is>
      </c>
      <c r="D335" s="4" t="inlineStr">
        <is>
          <t>American</t>
        </is>
      </c>
      <c r="E335" s="2" t="n">
        <v>4</v>
      </c>
      <c r="F335" s="2" t="n">
        <v>15</v>
      </c>
      <c r="G335" s="2" t="n">
        <v>20</v>
      </c>
      <c r="H335" s="2" t="n">
        <v>35</v>
      </c>
      <c r="I335" s="4" t="inlineStr">
        <is>
          <t>chicken-cobb-bowl-meal-prep.jpg</t>
        </is>
      </c>
      <c r="J335" s="3" t="inlineStr">
        <is>
          <t>Chicken Cobb Bowl Meal Prep, healthy food photography, plated, natural light</t>
        </is>
      </c>
      <c r="K335" s="4" t="inlineStr"/>
      <c r="L335" s="3" t="inlineStr">
        <is>
          <t>Chicken breast, skinless — 600 g (21.2 oz)
Egg, large (50 g each) — 200 g (7.1 oz) [4 hard-boiled eggs]
Turkey bacon — 60 g (2.1 oz)
Romaine lettuce — 300 g (10.6 oz)
Cherry tomatoes — 200 g (7.1 oz)
Avocado — 160 g (5.6 oz)
Blue cheese, crumbled — 60 g (2.1 oz)
Extra-virgin olive oil — 20 g (0.7 oz)
Red wine vinegar — 15 g (0.5 oz)
Dijon mustard — 8 g (0.3 oz)</t>
        </is>
      </c>
      <c r="M335" s="4" t="inlineStr">
        <is>
          <t>[{"ingredient_id": "chicken_breast", "name": "Chicken breast, skinless", "grams": 600.0, "note": ""}, {"ingredient_id": "egg", "name": "Egg, large (50 g each)", "grams": 200.0, "note": "4 hard-boiled eggs"}, {"ingredient_id": "turkey_bacon", "name": "Turkey bacon", "grams": 60.0, "note": ""}, {"ingredient_id": "romaine", "name": "Romaine lettuce", "grams": 300.0, "note": ""}, {"ingredient_id": "cherry_tomato", "name": "Cherry tomatoes", "grams": 200.0, "note": ""}, {"ingredient_id": "avocado", "name": "Avocado", "grams": 160.0, "note": ""}, {"ingredient_id": "blue_cheese", "name": "Blue cheese, crumbled", "grams": 60.0, "note": ""}, {"ingredient_id": "olive_oil", "name": "Extra-virgin olive oil", "grams": 20.0, "note": ""}, {"ingredient_id": "red_wine_vinegar", "name": "Red wine vinegar", "grams": 15.0, "note": ""}, {"ingredient_id": "dijon", "name": "Dijon mustard", "grams": 8.0, "note": ""}]</t>
        </is>
      </c>
      <c r="N335" s="2" t="n">
        <v>469</v>
      </c>
      <c r="O335" s="5" t="n">
        <v>48.1</v>
      </c>
      <c r="P335" s="5" t="n">
        <v>26.6</v>
      </c>
      <c r="Q335" s="5" t="n">
        <v>8.9</v>
      </c>
      <c r="R335" s="5" t="n">
        <v>4.9</v>
      </c>
      <c r="S335" s="5" t="n">
        <v>4</v>
      </c>
      <c r="T335" s="2" t="n">
        <v>11</v>
      </c>
      <c r="U335" s="2" t="inlineStr">
        <is>
          <t>low</t>
        </is>
      </c>
      <c r="V335" s="5" t="n">
        <v>0.4</v>
      </c>
      <c r="W335" s="2" t="inlineStr">
        <is>
          <t>low</t>
        </is>
      </c>
      <c r="X335" s="3" t="inlineStr">
        <is>
          <t>Negligible carbohydrate (&lt;5 g net/serving): GI has little practical meaning, glycemic load is what matters.</t>
        </is>
      </c>
      <c r="Y335" s="3" t="inlineStr">
        <is>
          <t>0% of this dish's available carbohydrate comes from ingredients with a published, measured GI; the rest uses conventional placeholders (see Ingredients sheet)</t>
        </is>
      </c>
      <c r="Z335" s="2" t="n">
        <v>0</v>
      </c>
      <c r="AA335" s="3" t="inlineStr">
        <is>
          <t>gluten-free, nut-free, low-carb, high-protein, meal-prep</t>
        </is>
      </c>
      <c r="AB335" s="3" t="inlineStr">
        <is>
          <t>1. Grill chicken and slice; boil eggs; crisp bacon.
2. Divide romaine, tomatoes, chicken, eggs, bacon and blue cheese into 4 containers.
3. Pack dressing (oil, vinegar, Dijon) and avocado separately; add before eating.</t>
        </is>
      </c>
      <c r="AC335" s="4" t="inlineStr">
        <is>
          <t>["Grill chicken and slice; boil eggs; crisp bacon.", "Divide romaine, tomatoes, chicken, eggs, bacon and blue cheese into 4 containers.", "Pack dressing (oil, vinegar, Dijon) and avocado separately; add before eating."]</t>
        </is>
      </c>
    </row>
    <row r="336" ht="96" customHeight="1">
      <c r="A336" s="2" t="inlineStr">
        <is>
          <t>DB-0335</t>
        </is>
      </c>
      <c r="B336" s="3" t="inlineStr">
        <is>
          <t>Turkey Stuffed Zucchini Boats</t>
        </is>
      </c>
      <c r="C336" s="4" t="inlineStr">
        <is>
          <t>Poultry</t>
        </is>
      </c>
      <c r="D336" s="4" t="inlineStr">
        <is>
          <t>Italian</t>
        </is>
      </c>
      <c r="E336" s="2" t="n">
        <v>4</v>
      </c>
      <c r="F336" s="2" t="n">
        <v>15</v>
      </c>
      <c r="G336" s="2" t="n">
        <v>30</v>
      </c>
      <c r="H336" s="2" t="n">
        <v>45</v>
      </c>
      <c r="I336" s="4" t="inlineStr">
        <is>
          <t>turkey-stuffed-zucchini-boats.jpg</t>
        </is>
      </c>
      <c r="J336" s="3" t="inlineStr">
        <is>
          <t>Turkey Stuffed Zucchini Boats, healthy food photography, plated, natural light</t>
        </is>
      </c>
      <c r="K336" s="4" t="inlineStr"/>
      <c r="L336" s="3" t="inlineStr">
        <is>
          <t>Zucchini — 800 g (28.2 oz) [4 medium]
Ground turkey 93% lean — 500 g (17.6 oz)
Marinara sauce, no sugar added — 250 g (8.8 oz)
Yellow onion — 80 g (2.8 oz)
Garlic — 6 g (0.2 oz)
Mozzarella, part-skim — 100 g (3.5 oz)
Parmesan, grated — 30 g (1.1 oz)
Italian seasoning — 3 g (0.1 oz)
Extra-virgin olive oil — 10 g (0.4 oz)</t>
        </is>
      </c>
      <c r="M336" s="4" t="inlineStr">
        <is>
          <t>[{"ingredient_id": "zucchini", "name": "Zucchini", "grams": 800.0, "note": "4 medium"}, {"ingredient_id": "ground_turkey", "name": "Ground turkey 93% lean", "grams": 500.0, "note": ""}, {"ingredient_id": "marinara", "name": "Marinara sauce, no sugar added", "grams": 250.0, "note": ""}, {"ingredient_id": "onion", "name": "Yellow onion", "grams": 80.0, "note": ""}, {"ingredient_id": "garlic", "name": "Garlic", "grams": 6.0, "note": ""}, {"ingredient_id": "mozzarella", "name": "Mozzarella, part-skim", "grams": 100.0, "note": ""}, {"ingredient_id": "parmesan", "name": "Parmesan, grated", "grams": 30.0, "note": ""}, {"ingredient_id": "italian_seasoning", "name": "Italian seasoning", "grams": 3.0, "note": ""}, {"ingredient_id": "olive_oil", "name": "Extra-virgin olive oil", "grams": 10.0, "note": ""}]</t>
        </is>
      </c>
      <c r="N336" s="2" t="n">
        <v>380</v>
      </c>
      <c r="O336" s="5" t="n">
        <v>35.9</v>
      </c>
      <c r="P336" s="5" t="n">
        <v>20.9</v>
      </c>
      <c r="Q336" s="5" t="n">
        <v>13.2</v>
      </c>
      <c r="R336" s="5" t="n">
        <v>3.6</v>
      </c>
      <c r="S336" s="5" t="n">
        <v>9.6</v>
      </c>
      <c r="T336" s="2" t="n">
        <v>19</v>
      </c>
      <c r="U336" s="2" t="inlineStr">
        <is>
          <t>low</t>
        </is>
      </c>
      <c r="V336" s="5" t="n">
        <v>1.8</v>
      </c>
      <c r="W336" s="2" t="inlineStr">
        <is>
          <t>low</t>
        </is>
      </c>
      <c r="X336" s="3" t="inlineStr"/>
      <c r="Y336" s="3" t="inlineStr">
        <is>
          <t>23% of this dish's available carbohydrate comes from ingredients with a published, measured GI; the rest uses conventional placeholders (see Ingredients sheet)</t>
        </is>
      </c>
      <c r="Z336" s="2" t="n">
        <v>23</v>
      </c>
      <c r="AA336" s="3" t="inlineStr">
        <is>
          <t>gluten-free, nut-free, low-carb, high-protein</t>
        </is>
      </c>
      <c r="AB336" s="3" t="inlineStr">
        <is>
          <t>1. Halve zucchini lengthwise, scoop out centers and chop the flesh.
2. Brown turkey with onion, garlic, zucchini flesh and seasoning; stir in marinara.
3. Fill boats, top with cheeses; bake at 400°F 20 minutes.</t>
        </is>
      </c>
      <c r="AC336" s="4" t="inlineStr">
        <is>
          <t>["Halve zucchini lengthwise, scoop out centers and chop the flesh.", "Brown turkey with onion, garlic, zucchini flesh and seasoning; stir in marinara.", "Fill boats, top with cheeses; bake at 400°F 20 minutes."]</t>
        </is>
      </c>
    </row>
    <row r="337" ht="96" customHeight="1">
      <c r="A337" s="2" t="inlineStr">
        <is>
          <t>DB-0336</t>
        </is>
      </c>
      <c r="B337" s="3" t="inlineStr">
        <is>
          <t>Chicken Adobo (Filipino-Style)</t>
        </is>
      </c>
      <c r="C337" s="4" t="inlineStr">
        <is>
          <t>Poultry</t>
        </is>
      </c>
      <c r="D337" s="4" t="inlineStr">
        <is>
          <t>Filipino</t>
        </is>
      </c>
      <c r="E337" s="2" t="n">
        <v>4</v>
      </c>
      <c r="F337" s="2" t="n">
        <v>10</v>
      </c>
      <c r="G337" s="2" t="n">
        <v>45</v>
      </c>
      <c r="H337" s="2" t="n">
        <v>55</v>
      </c>
      <c r="I337" s="4" t="inlineStr">
        <is>
          <t>chicken-adobo-filipino-style.jpg</t>
        </is>
      </c>
      <c r="J337" s="3" t="inlineStr">
        <is>
          <t>Chicken Adobo (Filipino-Style), healthy food photography, plated, natural light</t>
        </is>
      </c>
      <c r="K337" s="4" t="inlineStr"/>
      <c r="L337" s="3" t="inlineStr">
        <is>
          <t>Chicken thigh, skinless boneless — 800 g (28.2 oz)
Tamari (gluten-free soy sauce) — 50 g (1.8 oz)
Apple cider vinegar — 60 g (2.1 oz)
Garlic — 15 g (0.5 oz)
Bay leaves — 2 g (0.1 oz)
Black pepper — 3 g (0.1 oz)
Yellow onion — 100 g (3.5 oz)
Avocado oil — 10 g (0.4 oz)
Bok choy — 400 g (14.1 oz)
Cauliflower rice — 500 g (17.6 oz)</t>
        </is>
      </c>
      <c r="M337" s="4" t="inlineStr">
        <is>
          <t>[{"ingredient_id": "chicken_thigh", "name": "Chicken thigh, skinless boneless", "grams": 800.0, "note": ""}, {"ingredient_id": "tamari", "name": "Tamari (gluten-free soy sauce)", "grams": 50.0, "note": ""}, {"ingredient_id": "apple_cider_vinegar", "name": "Apple cider vinegar", "grams": 60.0, "note": ""}, {"ingredient_id": "garlic", "name": "Garlic", "grams": 15.0, "note": ""}, {"ingredient_id": "bay_leaf", "name": "Bay leaves", "grams": 2.0, "note": ""}, {"ingredient_id": "black_pepper", "name": "Black pepper", "grams": 3.0, "note": ""}, {"ingredient_id": "onion", "name": "Yellow onion", "grams": 100.0, "note": ""}, {"ingredient_id": "avocado_oil", "name": "Avocado oil", "grams": 10.0, "note": ""}, {"ingredient_id": "bok_choy", "name": "Bok choy", "grams": 400.0, "note": ""}, {"ingredient_id": "cauliflower_rice", "name": "Cauliflower rice", "grams": 500.0, "note": ""}]</t>
        </is>
      </c>
      <c r="N337" s="2" t="n">
        <v>338</v>
      </c>
      <c r="O337" s="5" t="n">
        <v>45.2</v>
      </c>
      <c r="P337" s="5" t="n">
        <v>11.4</v>
      </c>
      <c r="Q337" s="5" t="n">
        <v>13.6</v>
      </c>
      <c r="R337" s="5" t="n">
        <v>4.4</v>
      </c>
      <c r="S337" s="5" t="n">
        <v>9.199999999999999</v>
      </c>
      <c r="T337" s="2" t="n">
        <v>17</v>
      </c>
      <c r="U337" s="2" t="inlineStr">
        <is>
          <t>low</t>
        </is>
      </c>
      <c r="V337" s="5" t="n">
        <v>1.6</v>
      </c>
      <c r="W337" s="2" t="inlineStr">
        <is>
          <t>low</t>
        </is>
      </c>
      <c r="X337" s="3" t="inlineStr"/>
      <c r="Y337" s="3" t="inlineStr">
        <is>
          <t>0% of this dish's available carbohydrate comes from ingredients with a published, measured GI; the rest uses conventional placeholders (see Ingredients sheet)</t>
        </is>
      </c>
      <c r="Z337" s="2" t="n">
        <v>0</v>
      </c>
      <c r="AA337" s="3" t="inlineStr">
        <is>
          <t>gluten-free, dairy-free, nut-free, low-carb, high-protein</t>
        </is>
      </c>
      <c r="AB337" s="3" t="inlineStr">
        <is>
          <t>1. Brown chicken in oil; add onion and garlic.
2. Add tamari, vinegar, bay leaves and pepper with 150 ml water; simmer covered 35 minutes, uncovered the last 10 to reduce.
3. Serve with sautéed bok choy and cauliflower rice.</t>
        </is>
      </c>
      <c r="AC337" s="4" t="inlineStr">
        <is>
          <t>["Brown chicken in oil; add onion and garlic.", "Add tamari, vinegar, bay leaves and pepper with 150 ml water; simmer covered 35 minutes, uncovered the last 10 to reduce.", "Serve with sautéed bok choy and cauliflower rice."]</t>
        </is>
      </c>
    </row>
    <row r="338" ht="96" customHeight="1">
      <c r="A338" s="2" t="inlineStr">
        <is>
          <t>DB-0337</t>
        </is>
      </c>
      <c r="B338" s="3" t="inlineStr">
        <is>
          <t>Almond-Crusted Chicken Tenders</t>
        </is>
      </c>
      <c r="C338" s="4" t="inlineStr">
        <is>
          <t>Poultry</t>
        </is>
      </c>
      <c r="D338" s="4" t="inlineStr">
        <is>
          <t>American</t>
        </is>
      </c>
      <c r="E338" s="2" t="n">
        <v>4</v>
      </c>
      <c r="F338" s="2" t="n">
        <v>15</v>
      </c>
      <c r="G338" s="2" t="n">
        <v>20</v>
      </c>
      <c r="H338" s="2" t="n">
        <v>35</v>
      </c>
      <c r="I338" s="4" t="inlineStr">
        <is>
          <t>almond-crusted-chicken-tenders.jpg</t>
        </is>
      </c>
      <c r="J338" s="3" t="inlineStr">
        <is>
          <t>Almond-Crusted Chicken Tenders, healthy food photography, plated, natural light</t>
        </is>
      </c>
      <c r="K338" s="4" t="inlineStr"/>
      <c r="L338" s="3" t="inlineStr">
        <is>
          <t>Chicken breast, skinless — 600 g (21.2 oz)
Almond flour — 80 g (2.8 oz)
Parmesan, grated — 30 g (1.1 oz)
Egg, large (50 g each) — 100 g (3.5 oz) [2 large eggs]
Paprika — 3 g (0.1 oz)
Garlic powder — 2 g (0.1 oz)
Extra-virgin olive oil — 15 g (0.5 oz)
Greek yogurt, plain 2% — 100 g (3.5 oz)
Dijon mustard — 15 g (0.5 oz)
Broccoli — 400 g (14.1 oz)
Salt — 3 g (0.1 oz)</t>
        </is>
      </c>
      <c r="M338" s="4" t="inlineStr">
        <is>
          <t>[{"ingredient_id": "chicken_breast", "name": "Chicken breast, skinless", "grams": 600.0, "note": ""}, {"ingredient_id": "almond_flour", "name": "Almond flour", "grams": 80.0, "note": ""}, {"ingredient_id": "parmesan", "name": "Parmesan, grated", "grams": 30.0, "note": ""}, {"ingredient_id": "egg", "name": "Egg, large (50 g each)", "grams": 100.0, "note": "2 large eggs"}, {"ingredient_id": "paprika", "name": "Paprika", "grams": 3.0, "note": ""}, {"ingredient_id": "garlic_powder", "name": "Garlic powder", "grams": 2.0, "note": ""}, {"ingredient_id": "olive_oil", "name": "Extra-virgin olive oil", "grams": 15.0, "note": ""}, {"ingredient_id": "greek_yogurt", "name": "Greek yogurt, plain 2%", "grams": 100.0, "note": ""}, {"ingredient_id": "dijon", "name": "Dijon mustard", "grams": 15.0, "note": ""}, {"ingredient_id": "broccoli", "name": "Broccoli", "grams": 400.0, "note": ""}, {"ingredient_id": "salt", "name": "Salt", "grams": 3.0, "note": ""}]</t>
        </is>
      </c>
      <c r="N338" s="2" t="n">
        <v>458</v>
      </c>
      <c r="O338" s="5" t="n">
        <v>49.6</v>
      </c>
      <c r="P338" s="5" t="n">
        <v>23.3</v>
      </c>
      <c r="Q338" s="5" t="n">
        <v>13.2</v>
      </c>
      <c r="R338" s="5" t="n">
        <v>5.4</v>
      </c>
      <c r="S338" s="5" t="n">
        <v>7.8</v>
      </c>
      <c r="T338" s="2" t="n">
        <v>14</v>
      </c>
      <c r="U338" s="2" t="inlineStr">
        <is>
          <t>low</t>
        </is>
      </c>
      <c r="V338" s="5" t="n">
        <v>1.1</v>
      </c>
      <c r="W338" s="2" t="inlineStr">
        <is>
          <t>low</t>
        </is>
      </c>
      <c r="X338" s="3" t="inlineStr"/>
      <c r="Y338" s="3" t="inlineStr">
        <is>
          <t>13% of this dish's available carbohydrate comes from ingredients with a published, measured GI; the rest uses conventional placeholders (see Ingredients sheet)</t>
        </is>
      </c>
      <c r="Z338" s="2" t="n">
        <v>13</v>
      </c>
      <c r="AA338" s="3" t="inlineStr">
        <is>
          <t>gluten-free, low-carb, high-protein, kid-friendly</t>
        </is>
      </c>
      <c r="AB338" s="3" t="inlineStr">
        <is>
          <t>1. Cut chicken into strips; dip in egg then almond flour-parmesan-spice mix.
2. Bake on an oiled rack at 425°F 18 minutes, flipping once.
3. Mix yogurt and Dijon for dipping; serve with roasted broccoli.</t>
        </is>
      </c>
      <c r="AC338" s="4" t="inlineStr">
        <is>
          <t>["Cut chicken into strips; dip in egg then almond flour-parmesan-spice mix.", "Bake on an oiled rack at 425°F 18 minutes, flipping once.", "Mix yogurt and Dijon for dipping; serve with roasted broccoli."]</t>
        </is>
      </c>
    </row>
    <row r="339" ht="96" customHeight="1">
      <c r="A339" s="2" t="inlineStr">
        <is>
          <t>DB-0338</t>
        </is>
      </c>
      <c r="B339" s="3" t="inlineStr">
        <is>
          <t>Chicken &amp; Broccoli Alfredo (Cauliflower Sauce)</t>
        </is>
      </c>
      <c r="C339" s="4" t="inlineStr">
        <is>
          <t>Poultry</t>
        </is>
      </c>
      <c r="D339" s="4" t="inlineStr">
        <is>
          <t>Italian</t>
        </is>
      </c>
      <c r="E339" s="2" t="n">
        <v>4</v>
      </c>
      <c r="F339" s="2" t="n">
        <v>15</v>
      </c>
      <c r="G339" s="2" t="n">
        <v>25</v>
      </c>
      <c r="H339" s="2" t="n">
        <v>40</v>
      </c>
      <c r="I339" s="4" t="inlineStr">
        <is>
          <t>chicken-and-broccoli-alfredo-cauliflower-sauce.jpg</t>
        </is>
      </c>
      <c r="J339" s="3" t="inlineStr">
        <is>
          <t>Chicken &amp; Broccoli Alfredo (Cauliflower Sauce), healthy food photography, plated, natural light</t>
        </is>
      </c>
      <c r="K339" s="4" t="inlineStr"/>
      <c r="L339" s="3" t="inlineStr">
        <is>
          <t>Chicken breast, skinless — 550 g (19.4 oz)
Broccoli — 400 g (14.1 oz)
Cauliflower — 400 g (14.1 oz)
Chicken broth, low sodium — 250 g (8.8 oz)
Milk, 2% — 100 g (3.5 oz)
Parmesan, grated — 60 g (2.1 oz)
Garlic — 8 g (0.3 oz)
Extra-virgin olive oil — 15 g (0.5 oz)
Chickpea pasta, cooked — 300 g (10.6 oz)
Ground nutmeg — 0.3 g (0.0 oz)
Salt — 3 g (0.1 oz)</t>
        </is>
      </c>
      <c r="M339" s="4" t="inlineStr">
        <is>
          <t>[{"ingredient_id": "chicken_breast", "name": "Chicken breast, skinless", "grams": 550.0, "note": ""}, {"ingredient_id": "broccoli", "name": "Broccoli", "grams": 400.0, "note": ""}, {"ingredient_id": "cauliflower", "name": "Cauliflower", "grams": 400.0, "note": ""}, {"ingredient_id": "chicken_broth", "name": "Chicken broth, low sodium", "grams": 250.0, "note": ""}, {"ingredient_id": "milk", "name": "Milk, 2%", "grams": 100.0, "note": ""}, {"ingredient_id": "parmesan", "name": "Parmesan, grated", "grams": 60.0, "note": ""}, {"ingredient_id": "garlic", "name": "Garlic", "grams": 8.0, "note": ""}, {"ingredient_id": "olive_oil", "name": "Extra-virgin olive oil", "grams": 15.0, "note": ""}, {"ingredient_id": "chickpea_pasta", "name": "Chickpea pasta, cooked", "grams": 300.0, "note": ""}, {"ingredient_id": "nutmeg", "name": "Ground nutmeg", "grams": 0.3, "note": ""}, {"ingredient_id": "salt", "name": "Salt", "grams": 3.0, "note": ""}]</t>
        </is>
      </c>
      <c r="N339" s="2" t="n">
        <v>466</v>
      </c>
      <c r="O339" s="5" t="n">
        <v>51.9</v>
      </c>
      <c r="P339" s="5" t="n">
        <v>15.3</v>
      </c>
      <c r="Q339" s="5" t="n">
        <v>34.7</v>
      </c>
      <c r="R339" s="5" t="n">
        <v>9.199999999999999</v>
      </c>
      <c r="S339" s="5" t="n">
        <v>25.5</v>
      </c>
      <c r="T339" s="2" t="n">
        <v>25</v>
      </c>
      <c r="U339" s="2" t="inlineStr">
        <is>
          <t>low</t>
        </is>
      </c>
      <c r="V339" s="5" t="n">
        <v>6.4</v>
      </c>
      <c r="W339" s="2" t="inlineStr">
        <is>
          <t>low</t>
        </is>
      </c>
      <c r="X339" s="3" t="inlineStr"/>
      <c r="Y339" s="3" t="inlineStr">
        <is>
          <t>5% of this dish's available carbohydrate comes from ingredients with a published, measured GI; the rest uses conventional placeholders (see Ingredients sheet)</t>
        </is>
      </c>
      <c r="Z339" s="2" t="n">
        <v>5</v>
      </c>
      <c r="AA339" s="3" t="inlineStr">
        <is>
          <t>gluten-free, nut-free, high-protein, high-fiber</t>
        </is>
      </c>
      <c r="AB339" s="3" t="inlineStr">
        <is>
          <t>1. Simmer cauliflower with garlic in broth 12 minutes; blend with milk, parmesan, nutmeg and salt into a creamy sauce.
2. Sear chicken pieces in oil; steam broccoli; cook pasta al dente.
3. Toss everything with the sauce.</t>
        </is>
      </c>
      <c r="AC339" s="4" t="inlineStr">
        <is>
          <t>["Simmer cauliflower with garlic in broth 12 minutes; blend with milk, parmesan, nutmeg and salt into a creamy sauce.", "Sear chicken pieces in oil; steam broccoli; cook pasta al dente.", "Toss everything with the sauce."]</t>
        </is>
      </c>
    </row>
    <row r="340" ht="96" customHeight="1">
      <c r="A340" s="2" t="inlineStr">
        <is>
          <t>DB-0339</t>
        </is>
      </c>
      <c r="B340" s="3" t="inlineStr">
        <is>
          <t>Jerk Chicken with Cabbage Slaw</t>
        </is>
      </c>
      <c r="C340" s="4" t="inlineStr">
        <is>
          <t>Poultry</t>
        </is>
      </c>
      <c r="D340" s="4" t="inlineStr">
        <is>
          <t>Jamaican</t>
        </is>
      </c>
      <c r="E340" s="2" t="n">
        <v>4</v>
      </c>
      <c r="F340" s="2" t="n">
        <v>15</v>
      </c>
      <c r="G340" s="2" t="n">
        <v>25</v>
      </c>
      <c r="H340" s="2" t="n">
        <v>40</v>
      </c>
      <c r="I340" s="4" t="inlineStr">
        <is>
          <t>jerk-chicken-with-cabbage-slaw.jpg</t>
        </is>
      </c>
      <c r="J340" s="3" t="inlineStr">
        <is>
          <t>Jerk Chicken with Cabbage Slaw, healthy food photography, plated, natural light</t>
        </is>
      </c>
      <c r="K340" s="4" t="inlineStr"/>
      <c r="L340" s="3" t="inlineStr">
        <is>
          <t>Chicken thigh, skinless boneless — 700 g (24.7 oz)
Jalapeño — 20 g (0.7 oz)
Green onions (scallions) — 40 g (1.4 oz)
Garlic — 8 g (0.3 oz)
Fresh ginger — 8 g (0.3 oz)
Fresh thyme — 3 g (0.1 oz)
Ground cinnamon — 1 g (0.0 oz)
Ground nutmeg — 0.5 g (0.0 oz)
Tamari (gluten-free soy sauce) — 20 g (0.7 oz)
Lime juice — 30 g (1.1 oz)
Avocado oil — 15 g (0.5 oz)
Green cabbage — 400 g (14.1 oz)
Carrot — 80 g (2.8 oz)
Greek yogurt, plain 2% — 60 g (2.1 oz)
Salt — 3 g (0.1 oz)</t>
        </is>
      </c>
      <c r="M340" s="4" t="inlineStr">
        <is>
          <t>[{"ingredient_id": "chicken_thigh", "name": "Chicken thigh, skinless boneless", "grams": 700.0, "note": ""}, {"ingredient_id": "jalapeno", "name": "Jalapeño", "grams": 20.0, "note": ""}, {"ingredient_id": "green_onion", "name": "Green onions (scallions)", "grams": 40.0, "note": ""}, {"ingredient_id": "garlic", "name": "Garlic", "grams": 8.0, "note": ""}, {"ingredient_id": "ginger", "name": "Fresh ginger", "grams": 8.0, "note": ""}, {"ingredient_id": "thyme", "name": "Fresh thyme", "grams": 3.0, "note": ""}, {"ingredient_id": "cinnamon", "name": "Ground cinnamon", "grams": 1.0, "note": ""}, {"ingredient_id": "nutmeg", "name": "Ground nutmeg", "grams": 0.5, "note": ""}, {"ingredient_id": "tamari", "name": "Tamari (gluten-free soy sauce)", "grams": 20.0, "note": ""}, {"ingredient_id": "lime_juice", "name": "Lime juice", "grams": 30.0, "note": ""}, {"ingredient_id": "avocado_oil", "name": "Avocado oil", "grams": 15.0, "note": ""}, {"ingredient_id": "cabbage", "name": "Green cabbage", "grams": 400.0, "note": ""}, {"ingredient_id": "carrot", "name": "Carrot", "grams": 80.0, "note": ""}, {"ingredient_id": "greek_yogurt", "name": "Greek yogurt, plain 2%", "grams": 60.0, "note": ""}, {"ingredient_id": "salt", "name": "Salt", "grams": 3.0, "note": ""}]</t>
        </is>
      </c>
      <c r="N340" s="2" t="n">
        <v>305</v>
      </c>
      <c r="O340" s="5" t="n">
        <v>38.4</v>
      </c>
      <c r="P340" s="5" t="n">
        <v>11.5</v>
      </c>
      <c r="Q340" s="5" t="n">
        <v>11.7</v>
      </c>
      <c r="R340" s="5" t="n">
        <v>3.9</v>
      </c>
      <c r="S340" s="5" t="n">
        <v>7.8</v>
      </c>
      <c r="T340" s="2" t="n">
        <v>20</v>
      </c>
      <c r="U340" s="2" t="inlineStr">
        <is>
          <t>low</t>
        </is>
      </c>
      <c r="V340" s="5" t="n">
        <v>1.6</v>
      </c>
      <c r="W340" s="2" t="inlineStr">
        <is>
          <t>low</t>
        </is>
      </c>
      <c r="X340" s="3" t="inlineStr"/>
      <c r="Y340" s="3" t="inlineStr">
        <is>
          <t>25% of this dish's available carbohydrate comes from ingredients with a published, measured GI; the rest uses conventional placeholders (see Ingredients sheet)</t>
        </is>
      </c>
      <c r="Z340" s="2" t="n">
        <v>25</v>
      </c>
      <c r="AA340" s="3" t="inlineStr">
        <is>
          <t>gluten-free, nut-free, low-carb, high-protein</t>
        </is>
      </c>
      <c r="AB340" s="3" t="inlineStr">
        <is>
          <t>1. Blend jalapeño, green onion, garlic, ginger, spices, tamari, half the lime, oil into a paste; coat chicken 15 minutes.
2. Grill or roast at 425°F 22 minutes.
3. Toss cabbage and carrot with yogurt, remaining lime and salt.</t>
        </is>
      </c>
      <c r="AC340" s="4" t="inlineStr">
        <is>
          <t>["Blend jalapeño, green onion, garlic, ginger, spices, tamari, half the lime, oil into a paste; coat chicken 15 minutes.", "Grill or roast at 425°F 22 minutes.", "Toss cabbage and carrot with yogurt, remaining lime and salt."]</t>
        </is>
      </c>
    </row>
    <row r="341" ht="96" customHeight="1">
      <c r="A341" s="2" t="inlineStr">
        <is>
          <t>DB-0340</t>
        </is>
      </c>
      <c r="B341" s="3" t="inlineStr">
        <is>
          <t>Chicken Zucchini Poppers</t>
        </is>
      </c>
      <c r="C341" s="4" t="inlineStr">
        <is>
          <t>Poultry</t>
        </is>
      </c>
      <c r="D341" s="4" t="inlineStr">
        <is>
          <t>American</t>
        </is>
      </c>
      <c r="E341" s="2" t="n">
        <v>4</v>
      </c>
      <c r="F341" s="2" t="n">
        <v>15</v>
      </c>
      <c r="G341" s="2" t="n">
        <v>20</v>
      </c>
      <c r="H341" s="2" t="n">
        <v>35</v>
      </c>
      <c r="I341" s="4" t="inlineStr">
        <is>
          <t>chicken-zucchini-poppers.jpg</t>
        </is>
      </c>
      <c r="J341" s="3" t="inlineStr">
        <is>
          <t>Chicken Zucchini Poppers, healthy food photography, plated, natural light</t>
        </is>
      </c>
      <c r="K341" s="4" t="inlineStr"/>
      <c r="L341" s="3" t="inlineStr">
        <is>
          <t>Ground chicken — 600 g (21.2 oz)
Zucchini — 250 g (8.8 oz)
Green onions (scallions) — 30 g (1.1 oz)
Fresh cilantro — 8 g (0.3 oz)
Garlic — 6 g (0.2 oz)
Ground cumin — 2 g (0.1 oz)
Extra-virgin olive oil — 15 g (0.5 oz)
Guacamole — 120 g (4.2 oz)
Salt — 3 g (0.1 oz)</t>
        </is>
      </c>
      <c r="M341" s="4" t="inlineStr">
        <is>
          <t>[{"ingredient_id": "ground_chicken", "name": "Ground chicken", "grams": 600.0, "note": ""}, {"ingredient_id": "zucchini", "name": "Zucchini", "grams": 250.0, "note": ""}, {"ingredient_id": "green_onion", "name": "Green onions (scallions)", "grams": 30.0, "note": ""}, {"ingredient_id": "cilantro", "name": "Fresh cilantro", "grams": 8.0, "note": ""}, {"ingredient_id": "garlic", "name": "Garlic", "grams": 6.0, "note": ""}, {"ingredient_id": "cumin", "name": "Ground cumin", "grams": 2.0, "note": ""}, {"ingredient_id": "olive_oil", "name": "Extra-virgin olive oil", "grams": 15.0, "note": ""}, {"ingredient_id": "guacamole", "name": "Guacamole", "grams": 120.0, "note": ""}, {"ingredient_id": "salt", "name": "Salt", "grams": 3.0, "note": ""}]</t>
        </is>
      </c>
      <c r="N341" s="2" t="n">
        <v>310</v>
      </c>
      <c r="O341" s="5" t="n">
        <v>27.2</v>
      </c>
      <c r="P341" s="5" t="n">
        <v>20</v>
      </c>
      <c r="Q341" s="5" t="n">
        <v>5.8</v>
      </c>
      <c r="R341" s="5" t="n">
        <v>2.8</v>
      </c>
      <c r="S341" s="5" t="n">
        <v>3.1</v>
      </c>
      <c r="T341" s="2" t="n">
        <v>17</v>
      </c>
      <c r="U341" s="2" t="inlineStr">
        <is>
          <t>low</t>
        </is>
      </c>
      <c r="V341" s="5" t="n">
        <v>0.5</v>
      </c>
      <c r="W341" s="2" t="inlineStr">
        <is>
          <t>low</t>
        </is>
      </c>
      <c r="X341" s="3" t="inlineStr">
        <is>
          <t>Negligible carbohydrate (&lt;5 g net/serving): GI has little practical meaning, glycemic load is what matters.</t>
        </is>
      </c>
      <c r="Y341" s="3" t="inlineStr">
        <is>
          <t>0% of this dish's available carbohydrate comes from ingredients with a published, measured GI; the rest uses conventional placeholders (see Ingredients sheet)</t>
        </is>
      </c>
      <c r="Z341" s="2" t="n">
        <v>0</v>
      </c>
      <c r="AA341" s="3" t="inlineStr">
        <is>
          <t>gluten-free, dairy-free, nut-free, low-carb, high-protein, meal-prep</t>
        </is>
      </c>
      <c r="AB341" s="3" t="inlineStr">
        <is>
          <t>1. Grate zucchini and squeeze dry; mix with chicken, green onion, cilantro, garlic, cumin and salt.
2. Form small balls and bake on an oiled sheet at 400°F 18 minutes.
3. Serve with guacamole.</t>
        </is>
      </c>
      <c r="AC341" s="4" t="inlineStr">
        <is>
          <t>["Grate zucchini and squeeze dry; mix with chicken, green onion, cilantro, garlic, cumin and salt.", "Form small balls and bake on an oiled sheet at 400°F 18 minutes.", "Serve with guacamole."]</t>
        </is>
      </c>
    </row>
    <row r="342" ht="96" customHeight="1">
      <c r="A342" s="2" t="inlineStr">
        <is>
          <t>DB-0341</t>
        </is>
      </c>
      <c r="B342" s="3" t="inlineStr">
        <is>
          <t>Chicken Souvlaki Plate</t>
        </is>
      </c>
      <c r="C342" s="4" t="inlineStr">
        <is>
          <t>Poultry</t>
        </is>
      </c>
      <c r="D342" s="4" t="inlineStr">
        <is>
          <t>Greek</t>
        </is>
      </c>
      <c r="E342" s="2" t="n">
        <v>4</v>
      </c>
      <c r="F342" s="2" t="n">
        <v>20</v>
      </c>
      <c r="G342" s="2" t="n">
        <v>12</v>
      </c>
      <c r="H342" s="2" t="n">
        <v>32</v>
      </c>
      <c r="I342" s="4" t="inlineStr">
        <is>
          <t>chicken-souvlaki-plate.jpg</t>
        </is>
      </c>
      <c r="J342" s="3" t="inlineStr">
        <is>
          <t>Chicken Souvlaki Plate, healthy food photography, plated, natural light</t>
        </is>
      </c>
      <c r="K342" s="4" t="inlineStr"/>
      <c r="L342" s="3" t="inlineStr">
        <is>
          <t>Chicken breast, skinless — 600 g (21.2 oz)
Lemon juice — 40 g (1.4 oz)
Extra-virgin olive oil — 25 g (0.9 oz)
Garlic — 8 g (0.3 oz)
Dried oregano — 3 g (0.1 oz)
Greek yogurt, plain 2% — 200 g (7.1 oz)
Cucumber — 150 g (5.3 oz)
Fresh dill — 6 g (0.2 oz)
Tomato — 200 g (7.1 oz)
Red onion — 60 g (2.1 oz)
Whole wheat pita — 120 g (4.2 oz) [2 pitas]
Salt — 3 g (0.1 oz)</t>
        </is>
      </c>
      <c r="M342" s="4" t="inlineStr">
        <is>
          <t>[{"ingredient_id": "chicken_breast", "name": "Chicken breast, skinless", "grams": 600.0, "note": ""}, {"ingredient_id": "lemon_juice", "name": "Lemon juice", "grams": 40.0, "note": ""}, {"ingredient_id": "olive_oil", "name": "Extra-virgin olive oil", "grams": 25.0, "note": ""}, {"ingredient_id": "garlic", "name": "Garlic", "grams": 8.0, "note": ""}, {"ingredient_id": "oregano", "name": "Dried oregano", "grams": 3.0, "note": ""}, {"ingredient_id": "greek_yogurt", "name": "Greek yogurt, plain 2%", "grams": 200.0, "note": ""}, {"ingredient_id": "cucumber", "name": "Cucumber", "grams": 150.0, "note": ""}, {"ingredient_id": "dill", "name": "Fresh dill", "grams": 6.0, "note": ""}, {"ingredient_id": "tomato", "name": "Tomato", "grams": 200.0, "note": ""}, {"ingredient_id": "red_onion", "name": "Red onion", "grams": 60.0, "note": ""}, {"ingredient_id": "whole_wheat_pita", "name": "Whole wheat pita", "grams": 120.0, "note": "2 pitas"}, {"ingredient_id": "salt", "name": "Salt", "grams": 3.0, "note": ""}]</t>
        </is>
      </c>
      <c r="N342" s="2" t="n">
        <v>380</v>
      </c>
      <c r="O342" s="5" t="n">
        <v>42.9</v>
      </c>
      <c r="P342" s="5" t="n">
        <v>12.2</v>
      </c>
      <c r="Q342" s="5" t="n">
        <v>25.2</v>
      </c>
      <c r="R342" s="5" t="n">
        <v>3.7</v>
      </c>
      <c r="S342" s="5" t="n">
        <v>21.5</v>
      </c>
      <c r="T342" s="2" t="n">
        <v>43</v>
      </c>
      <c r="U342" s="2" t="inlineStr">
        <is>
          <t>low</t>
        </is>
      </c>
      <c r="V342" s="5" t="n">
        <v>9.199999999999999</v>
      </c>
      <c r="W342" s="2" t="inlineStr">
        <is>
          <t>low</t>
        </is>
      </c>
      <c r="X342" s="3" t="inlineStr"/>
      <c r="Y342" s="3" t="inlineStr">
        <is>
          <t>76% of this dish's available carbohydrate comes from ingredients with a published, measured GI; the rest uses conventional placeholders (see Ingredients sheet)</t>
        </is>
      </c>
      <c r="Z342" s="2" t="n">
        <v>76</v>
      </c>
      <c r="AA342" s="3" t="inlineStr">
        <is>
          <t>nut-free, high-protein</t>
        </is>
      </c>
      <c r="AB342" s="3" t="inlineStr">
        <is>
          <t>1. Marinate chicken cubes in lemon, oil, garlic, oregano, salt; skewer and grill 10–12 minutes.
2. Make tzatziki with yogurt, grated cucumber and dill.
3. Serve with tomato, onion and warm pita halves.</t>
        </is>
      </c>
      <c r="AC342" s="4" t="inlineStr">
        <is>
          <t>["Marinate chicken cubes in lemon, oil, garlic, oregano, salt; skewer and grill 10–12 minutes.", "Make tzatziki with yogurt, grated cucumber and dill.", "Serve with tomato, onion and warm pita halves."]</t>
        </is>
      </c>
    </row>
    <row r="343" ht="96" customHeight="1">
      <c r="A343" s="2" t="inlineStr">
        <is>
          <t>DB-0342</t>
        </is>
      </c>
      <c r="B343" s="3" t="inlineStr">
        <is>
          <t>Turkey Taco Skillet</t>
        </is>
      </c>
      <c r="C343" s="4" t="inlineStr">
        <is>
          <t>Poultry</t>
        </is>
      </c>
      <c r="D343" s="4" t="inlineStr">
        <is>
          <t>Tex-Mex</t>
        </is>
      </c>
      <c r="E343" s="2" t="n">
        <v>4</v>
      </c>
      <c r="F343" s="2" t="n">
        <v>10</v>
      </c>
      <c r="G343" s="2" t="n">
        <v>20</v>
      </c>
      <c r="H343" s="2" t="n">
        <v>30</v>
      </c>
      <c r="I343" s="4" t="inlineStr">
        <is>
          <t>turkey-taco-skillet.jpg</t>
        </is>
      </c>
      <c r="J343" s="3" t="inlineStr">
        <is>
          <t>Turkey Taco Skillet, healthy food photography, plated, natural light</t>
        </is>
      </c>
      <c r="K343" s="4" t="inlineStr"/>
      <c r="L343" s="3" t="inlineStr">
        <is>
          <t>Ground turkey 93% lean — 600 g (21.2 oz)
Taco seasoning, low sodium — 12 g (0.4 oz)
Bell pepper — 200 g (7.1 oz)
Yellow onion — 100 g (3.5 oz)
Black beans, cooked — 250 g (8.8 oz)
Diced tomatoes, canned — 400 g (14.1 oz)
Cauliflower rice — 300 g (10.6 oz)
Cheddar cheese — 80 g (2.8 oz)
Avocado — 100 g (3.5 oz)
Greek yogurt, plain 2% — 60 g (2.1 oz)
Fresh cilantro — 8 g (0.3 oz)
Extra-virgin olive oil — 10 g (0.4 oz)</t>
        </is>
      </c>
      <c r="M343" s="4" t="inlineStr">
        <is>
          <t>[{"ingredient_id": "ground_turkey", "name": "Ground turkey 93% lean", "grams": 600.0, "note": ""}, {"ingredient_id": "taco_seasoning", "name": "Taco seasoning, low sodium", "grams": 12.0, "note": ""}, {"ingredient_id": "bell_pepper", "name": "Bell pepper", "grams": 200.0, "note": ""}, {"ingredient_id": "onion", "name": "Yellow onion", "grams": 100.0, "note": ""}, {"ingredient_id": "black_beans", "name": "Black beans, cooked", "grams": 250.0, "note": ""}, {"ingredient_id": "diced_tomatoes", "name": "Diced tomatoes, canned", "grams": 400.0, "note": ""}, {"ingredient_id": "cauliflower_rice", "name": "Cauliflower rice", "grams": 300.0, "note": ""}, {"ingredient_id": "cheddar", "name": "Cheddar cheese", "grams": 80.0, "note": ""}, {"ingredient_id": "avocado", "name": "Avocado", "grams": 100.0, "note": ""}, {"ingredient_id": "greek_yogurt", "name": "Greek yogurt, plain 2%", "grams": 60.0, "note": ""}, {"ingredient_id": "cilantro", "name": "Fresh cilantro", "grams": 8.0, "note": ""}, {"ingredient_id": "olive_oil", "name": "Extra-virgin olive oil", "grams": 10.0, "note": ""}]</t>
        </is>
      </c>
      <c r="N343" s="2" t="n">
        <v>539</v>
      </c>
      <c r="O343" s="5" t="n">
        <v>44</v>
      </c>
      <c r="P343" s="5" t="n">
        <v>26.3</v>
      </c>
      <c r="Q343" s="5" t="n">
        <v>33.6</v>
      </c>
      <c r="R343" s="5" t="n">
        <v>12.4</v>
      </c>
      <c r="S343" s="5" t="n">
        <v>21.2</v>
      </c>
      <c r="T343" s="2" t="n">
        <v>25</v>
      </c>
      <c r="U343" s="2" t="inlineStr">
        <is>
          <t>low</t>
        </is>
      </c>
      <c r="V343" s="5" t="n">
        <v>5.3</v>
      </c>
      <c r="W343" s="2" t="inlineStr">
        <is>
          <t>low</t>
        </is>
      </c>
      <c r="X343" s="3" t="inlineStr"/>
      <c r="Y343" s="3" t="inlineStr">
        <is>
          <t>47% of this dish's available carbohydrate comes from ingredients with a published, measured GI; the rest uses conventional placeholders (see Ingredients sheet)</t>
        </is>
      </c>
      <c r="Z343" s="2" t="n">
        <v>47</v>
      </c>
      <c r="AA343" s="3" t="inlineStr">
        <is>
          <t>gluten-free, nut-free, high-protein, high-fiber, one-pan</t>
        </is>
      </c>
      <c r="AB343" s="3" t="inlineStr">
        <is>
          <t>1. Brown turkey with onion and pepper in oil; add seasoning.
2. Add beans, tomatoes and cauliflower rice; simmer 8 minutes.
3. Top with cheddar, cover to melt; serve with avocado, yogurt and cilantro.</t>
        </is>
      </c>
      <c r="AC343" s="4" t="inlineStr">
        <is>
          <t>["Brown turkey with onion and pepper in oil; add seasoning.", "Add beans, tomatoes and cauliflower rice; simmer 8 minutes.", "Top with cheddar, cover to melt; serve with avocado, yogurt and cilantro."]</t>
        </is>
      </c>
    </row>
    <row r="344" ht="96" customHeight="1">
      <c r="A344" s="2" t="inlineStr">
        <is>
          <t>DB-0343</t>
        </is>
      </c>
      <c r="B344" s="3" t="inlineStr">
        <is>
          <t>Chicken Caprese Skillet</t>
        </is>
      </c>
      <c r="C344" s="4" t="inlineStr">
        <is>
          <t>Poultry</t>
        </is>
      </c>
      <c r="D344" s="4" t="inlineStr">
        <is>
          <t>Italian</t>
        </is>
      </c>
      <c r="E344" s="2" t="n">
        <v>4</v>
      </c>
      <c r="F344" s="2" t="n">
        <v>10</v>
      </c>
      <c r="G344" s="2" t="n">
        <v>20</v>
      </c>
      <c r="H344" s="2" t="n">
        <v>30</v>
      </c>
      <c r="I344" s="4" t="inlineStr">
        <is>
          <t>chicken-caprese-skillet.jpg</t>
        </is>
      </c>
      <c r="J344" s="3" t="inlineStr">
        <is>
          <t>Chicken Caprese Skillet, healthy food photography, plated, natural light</t>
        </is>
      </c>
      <c r="K344" s="4" t="inlineStr"/>
      <c r="L344" s="3" t="inlineStr">
        <is>
          <t>Chicken breast, skinless — 600 g (21.2 oz)
Cherry tomatoes — 300 g (10.6 oz)
Mozzarella, part-skim — 120 g (4.2 oz)
Fresh basil — 12 g (0.4 oz)
Garlic — 6 g (0.2 oz)
Balsamic vinegar — 20 g (0.7 oz)
Extra-virgin olive oil — 15 g (0.5 oz)
Spinach — 200 g (7.1 oz)
Salt — 3 g (0.1 oz)</t>
        </is>
      </c>
      <c r="M344" s="4" t="inlineStr">
        <is>
          <t>[{"ingredient_id": "chicken_breast", "name": "Chicken breast, skinless", "grams": 600.0, "note": ""}, {"ingredient_id": "cherry_tomato", "name": "Cherry tomatoes", "grams": 300.0, "note": ""}, {"ingredient_id": "mozzarella", "name": "Mozzarella, part-skim", "grams": 120.0, "note": ""}, {"ingredient_id": "basil", "name": "Fresh basil", "grams": 12.0, "note": ""}, {"ingredient_id": "garlic", "name": "Garlic", "grams": 6.0, "note": ""}, {"ingredient_id": "balsamic_vinegar", "name": "Balsamic vinegar", "grams": 20.0, "note": ""}, {"ingredient_id": "olive_oil", "name": "Extra-virgin olive oil", "grams": 15.0, "note": ""}, {"ingredient_id": "spinach", "name": "Spinach", "grams": 200.0, "note": ""}, {"ingredient_id": "salt", "name": "Salt", "grams": 3.0, "note": ""}]</t>
        </is>
      </c>
      <c r="N344" s="2" t="n">
        <v>322</v>
      </c>
      <c r="O344" s="5" t="n">
        <v>43.3</v>
      </c>
      <c r="P344" s="5" t="n">
        <v>12.8</v>
      </c>
      <c r="Q344" s="5" t="n">
        <v>7.1</v>
      </c>
      <c r="R344" s="5" t="n">
        <v>2.1</v>
      </c>
      <c r="S344" s="5" t="n">
        <v>5</v>
      </c>
      <c r="T344" s="2" t="n">
        <v>17</v>
      </c>
      <c r="U344" s="2" t="inlineStr">
        <is>
          <t>low</t>
        </is>
      </c>
      <c r="V344" s="5" t="n">
        <v>0.8</v>
      </c>
      <c r="W344" s="2" t="inlineStr">
        <is>
          <t>low</t>
        </is>
      </c>
      <c r="X344" s="3" t="inlineStr">
        <is>
          <t>Negligible carbohydrate (&lt;5 g net/serving): GI has little practical meaning, glycemic load is what matters.</t>
        </is>
      </c>
      <c r="Y344" s="3" t="inlineStr">
        <is>
          <t>0% of this dish's available carbohydrate comes from ingredients with a published, measured GI; the rest uses conventional placeholders (see Ingredients sheet)</t>
        </is>
      </c>
      <c r="Z344" s="2" t="n">
        <v>0</v>
      </c>
      <c r="AA344" s="3" t="inlineStr">
        <is>
          <t>gluten-free, nut-free, low-carb, high-protein, one-pan</t>
        </is>
      </c>
      <c r="AB344" s="3" t="inlineStr">
        <is>
          <t>1. Sear seasoned chicken in oil 5 minutes per side; remove.
2. Sauté garlic and tomatoes until they burst; add balsamic and spinach.
3. Return chicken, top with mozzarella; cover 2 minutes; scatter basil.</t>
        </is>
      </c>
      <c r="AC344" s="4" t="inlineStr">
        <is>
          <t>["Sear seasoned chicken in oil 5 minutes per side; remove.", "Sauté garlic and tomatoes until they burst; add balsamic and spinach.", "Return chicken, top with mozzarella; cover 2 minutes; scatter basil."]</t>
        </is>
      </c>
    </row>
    <row r="345" ht="96" customHeight="1">
      <c r="A345" s="2" t="inlineStr">
        <is>
          <t>DB-0344</t>
        </is>
      </c>
      <c r="B345" s="3" t="inlineStr">
        <is>
          <t>Chicken &amp; Chickpea Tagine</t>
        </is>
      </c>
      <c r="C345" s="4" t="inlineStr">
        <is>
          <t>Poultry</t>
        </is>
      </c>
      <c r="D345" s="4" t="inlineStr">
        <is>
          <t>Moroccan</t>
        </is>
      </c>
      <c r="E345" s="2" t="n">
        <v>5</v>
      </c>
      <c r="F345" s="2" t="n">
        <v>15</v>
      </c>
      <c r="G345" s="2" t="n">
        <v>45</v>
      </c>
      <c r="H345" s="2" t="n">
        <v>60</v>
      </c>
      <c r="I345" s="4" t="inlineStr">
        <is>
          <t>chicken-and-chickpea-tagine.jpg</t>
        </is>
      </c>
      <c r="J345" s="3" t="inlineStr">
        <is>
          <t>Chicken &amp; Chickpea Tagine, healthy food photography, plated, natural light</t>
        </is>
      </c>
      <c r="K345" s="4" t="inlineStr"/>
      <c r="L345" s="3" t="inlineStr">
        <is>
          <t>Chicken thigh, skinless boneless — 700 g (24.7 oz)
Chickpeas, cooked — 400 g (14.1 oz)
Diced tomatoes, canned — 400 g (14.1 oz)
Yellow onion — 150 g (5.3 oz)
Garlic — 10 g (0.4 oz)
Fresh ginger — 8 g (0.3 oz)
Ground cumin — 4 g (0.1 oz)
Ground coriander — 3 g (0.1 oz)
Ground cinnamon — 2 g (0.1 oz)
Ground turmeric — 2 g (0.1 oz)
Olives (kalamata/green) — 50 g (1.8 oz)
Lemon (with juice &amp; zest) — 40 g (1.4 oz)
Chicken broth, low sodium — 300 g (10.6 oz)
Extra-virgin olive oil — 15 g (0.5 oz)
Fresh cilantro — 10 g (0.4 oz)
Salt — 3 g (0.1 oz)</t>
        </is>
      </c>
      <c r="M345" s="4" t="inlineStr">
        <is>
          <t>[{"ingredient_id": "chicken_thigh", "name": "Chicken thigh, skinless boneless", "grams": 700.0, "note": ""}, {"ingredient_id": "chickpeas", "name": "Chickpeas, cooked", "grams": 400.0, "note": ""}, {"ingredient_id": "diced_tomatoes", "name": "Diced tomatoes, canned", "grams": 400.0, "note": ""}, {"ingredient_id": "onion", "name": "Yellow onion", "grams": 150.0, "note": ""}, {"ingredient_id": "garlic", "name": "Garlic", "grams": 10.0, "note": ""}, {"ingredient_id": "ginger", "name": "Fresh ginger", "grams": 8.0, "note": ""}, {"ingredient_id": "cumin", "name": "Ground cumin", "grams": 4.0, "note": ""}, {"ingredient_id": "coriander", "name": "Ground coriander", "grams": 3.0, "note": ""}, {"ingredient_id": "cinnamon", "name": "Ground cinnamon", "grams": 2.0, "note": ""}, {"ingredient_id": "turmeric", "name": "Ground turmeric", "grams": 2.0, "note": ""}, {"ingredient_id": "olives", "name": "Olives (kalamata/green)", "grams": 50.0, "note": ""}, {"ingredient_id": "lemon", "name": "Lemon (with juice &amp; zest)", "grams": 40.0, "note": ""}, {"ingredient_id": "chicken_broth", "name": "Chicken broth, low sodium", "grams": 300.0, "note": ""}, {"ingredient_id": "olive_oil", "name": "Extra-virgin olive oil", "grams": 15.0, "note": ""}, {"ingredient_id": "cilantro", "name": "Fresh cilantro", "grams": 10.0, "note": ""}, {"ingredient_id": "salt", "name": "Salt", "grams": 3.0, "note": ""}]</t>
        </is>
      </c>
      <c r="N345" s="2" t="n">
        <v>388</v>
      </c>
      <c r="O345" s="5" t="n">
        <v>37.2</v>
      </c>
      <c r="P345" s="5" t="n">
        <v>12.6</v>
      </c>
      <c r="Q345" s="5" t="n">
        <v>32.3</v>
      </c>
      <c r="R345" s="5" t="n">
        <v>9.1</v>
      </c>
      <c r="S345" s="5" t="n">
        <v>23.2</v>
      </c>
      <c r="T345" s="2" t="n">
        <v>33</v>
      </c>
      <c r="U345" s="2" t="inlineStr">
        <is>
          <t>low</t>
        </is>
      </c>
      <c r="V345" s="5" t="n">
        <v>7.7</v>
      </c>
      <c r="W345" s="2" t="inlineStr">
        <is>
          <t>low</t>
        </is>
      </c>
      <c r="X345" s="3" t="inlineStr"/>
      <c r="Y345" s="3" t="inlineStr">
        <is>
          <t>67% of this dish's available carbohydrate comes from ingredients with a published, measured GI; the rest uses conventional placeholders (see Ingredients sheet)</t>
        </is>
      </c>
      <c r="Z345" s="2" t="n">
        <v>67</v>
      </c>
      <c r="AA345" s="3" t="inlineStr">
        <is>
          <t>gluten-free, dairy-free, nut-free, high-protein, high-fiber, make-ahead</t>
        </is>
      </c>
      <c r="AB345" s="3" t="inlineStr">
        <is>
          <t>1. Brown chicken in oil; remove. Sauté onion, garlic, ginger and spices 5 minutes.
2. Add tomatoes, broth, chickpeas, olives, lemon; return chicken; simmer covered 30 minutes.
3. Garnish with cilantro; serve with cauliflower couscous.</t>
        </is>
      </c>
      <c r="AC345" s="4" t="inlineStr">
        <is>
          <t>["Brown chicken in oil; remove. Sauté onion, garlic, ginger and spices 5 minutes.", "Add tomatoes, broth, chickpeas, olives, lemon; return chicken; simmer covered 30 minutes.", "Garnish with cilantro; serve with cauliflower couscous."]</t>
        </is>
      </c>
    </row>
    <row r="346" ht="96" customHeight="1">
      <c r="A346" s="2" t="inlineStr">
        <is>
          <t>DB-0345</t>
        </is>
      </c>
      <c r="B346" s="3" t="inlineStr">
        <is>
          <t>Air Fryer Chicken Thighs with Roasted Veggies</t>
        </is>
      </c>
      <c r="C346" s="4" t="inlineStr">
        <is>
          <t>Poultry</t>
        </is>
      </c>
      <c r="D346" s="4" t="inlineStr">
        <is>
          <t>American</t>
        </is>
      </c>
      <c r="E346" s="2" t="n">
        <v>4</v>
      </c>
      <c r="F346" s="2" t="n">
        <v>10</v>
      </c>
      <c r="G346" s="2" t="n">
        <v>22</v>
      </c>
      <c r="H346" s="2" t="n">
        <v>32</v>
      </c>
      <c r="I346" s="4" t="inlineStr">
        <is>
          <t>air-fryer-chicken-thighs-with-roasted-veggies.jpg</t>
        </is>
      </c>
      <c r="J346" s="3" t="inlineStr">
        <is>
          <t>Air Fryer Chicken Thighs with Roasted Veggies, healthy food photography, plated, natural light</t>
        </is>
      </c>
      <c r="K346" s="4" t="inlineStr"/>
      <c r="L346" s="3" t="inlineStr">
        <is>
          <t>Chicken thigh, skinless boneless — 700 g (24.7 oz)
Smoked paprika — 4 g (0.1 oz)
Garlic powder — 3 g (0.1 oz)
Onion powder — 2 g (0.1 oz)
Extra-virgin olive oil — 15 g (0.5 oz)
Brussels sprouts — 300 g (10.6 oz)
Bell pepper — 200 g (7.1 oz)
Red onion — 100 g (3.5 oz)
Salt — 3 g (0.1 oz)</t>
        </is>
      </c>
      <c r="M346" s="4" t="inlineStr">
        <is>
          <t>[{"ingredient_id": "chicken_thigh", "name": "Chicken thigh, skinless boneless", "grams": 700.0, "note": ""}, {"ingredient_id": "smoked_paprika", "name": "Smoked paprika", "grams": 4.0, "note": ""}, {"ingredient_id": "garlic_powder", "name": "Garlic powder", "grams": 3.0, "note": ""}, {"ingredient_id": "onion_powder", "name": "Onion powder", "grams": 2.0, "note": ""}, {"ingredient_id": "olive_oil", "name": "Extra-virgin olive oil", "grams": 15.0, "note": ""}, {"ingredient_id": "brussels_sprouts", "name": "Brussels sprouts", "grams": 300.0, "note": ""}, {"ingredient_id": "bell_pepper", "name": "Bell pepper", "grams": 200.0, "note": ""}, {"ingredient_id": "red_onion", "name": "Red onion", "grams": 100.0, "note": ""}, {"ingredient_id": "salt", "name": "Salt", "grams": 3.0, "note": ""}]</t>
        </is>
      </c>
      <c r="N346" s="2" t="n">
        <v>310</v>
      </c>
      <c r="O346" s="5" t="n">
        <v>38.1</v>
      </c>
      <c r="P346" s="5" t="n">
        <v>11.5</v>
      </c>
      <c r="Q346" s="5" t="n">
        <v>13.6</v>
      </c>
      <c r="R346" s="5" t="n">
        <v>4.8</v>
      </c>
      <c r="S346" s="5" t="n">
        <v>8.699999999999999</v>
      </c>
      <c r="T346" s="2" t="n">
        <v>15</v>
      </c>
      <c r="U346" s="2" t="inlineStr">
        <is>
          <t>low</t>
        </is>
      </c>
      <c r="V346" s="5" t="n">
        <v>1.3</v>
      </c>
      <c r="W346" s="2" t="inlineStr">
        <is>
          <t>low</t>
        </is>
      </c>
      <c r="X346" s="3" t="inlineStr"/>
      <c r="Y346" s="3" t="inlineStr">
        <is>
          <t>0% of this dish's available carbohydrate comes from ingredients with a published, measured GI; the rest uses conventional placeholders (see Ingredients sheet)</t>
        </is>
      </c>
      <c r="Z346" s="2" t="n">
        <v>0</v>
      </c>
      <c r="AA346" s="3" t="inlineStr">
        <is>
          <t>gluten-free, dairy-free, nut-free, low-carb, high-protein, quick</t>
        </is>
      </c>
      <c r="AB346" s="3" t="inlineStr">
        <is>
          <t>1. Rub chicken with spices, salt and half the oil; air fry at 400°F 18 minutes, flipping once.
2. Toss vegetables with remaining oil; roast at 425°F 20 minutes.
3. Serve together.</t>
        </is>
      </c>
      <c r="AC346" s="4" t="inlineStr">
        <is>
          <t>["Rub chicken with spices, salt and half the oil; air fry at 400°F 18 minutes, flipping once.", "Toss vegetables with remaining oil; roast at 425°F 20 minutes.", "Serve together."]</t>
        </is>
      </c>
    </row>
    <row r="347" ht="96" customHeight="1">
      <c r="A347" s="2" t="inlineStr">
        <is>
          <t>DB-0346</t>
        </is>
      </c>
      <c r="B347" s="3" t="inlineStr">
        <is>
          <t>Chicken Pad Thai with Zoodles</t>
        </is>
      </c>
      <c r="C347" s="4" t="inlineStr">
        <is>
          <t>Poultry</t>
        </is>
      </c>
      <c r="D347" s="4" t="inlineStr">
        <is>
          <t>Thai</t>
        </is>
      </c>
      <c r="E347" s="2" t="n">
        <v>3</v>
      </c>
      <c r="F347" s="2" t="n">
        <v>15</v>
      </c>
      <c r="G347" s="2" t="n">
        <v>12</v>
      </c>
      <c r="H347" s="2" t="n">
        <v>27</v>
      </c>
      <c r="I347" s="4" t="inlineStr">
        <is>
          <t>chicken-pad-thai-with-zoodles.jpg</t>
        </is>
      </c>
      <c r="J347" s="3" t="inlineStr">
        <is>
          <t>Chicken Pad Thai with Zoodles, healthy food photography, plated, natural light</t>
        </is>
      </c>
      <c r="K347" s="4" t="inlineStr"/>
      <c r="L347" s="3" t="inlineStr">
        <is>
          <t>Chicken breast, skinless — 450 g (15.9 oz)
Zucchini noodles (zoodles) — 500 g (17.6 oz)
Egg, large (50 g each) — 100 g (3.5 oz) [2 large eggs]
Mung bean sprouts — 100 g (3.5 oz)
Green onions (scallions) — 20 g (0.7 oz)
Peanuts, dry roasted — 25 g (0.9 oz)
Fish sauce — 20 g (0.7 oz)
Lime juice — 25 g (0.9 oz)
Tamari (gluten-free soy sauce) — 15 g (0.5 oz)
Monk fruit/erythritol sweetener — 6 g (0.2 oz)
Garlic — 6 g (0.2 oz)
Avocado oil — 12 g (0.4 oz)
Fresh cilantro — 6 g (0.2 oz)</t>
        </is>
      </c>
      <c r="M347" s="4" t="inlineStr">
        <is>
          <t>[{"ingredient_id": "chicken_breast", "name": "Chicken breast, skinless", "grams": 450.0, "note": ""}, {"ingredient_id": "zucchini_noodles", "name": "Zucchini noodles (zoodles)", "grams": 500.0, "note": ""}, {"ingredient_id": "egg", "name": "Egg, large (50 g each)", "grams": 100.0, "note": "2 large eggs"}, {"ingredient_id": "bean_sprouts", "name": "Mung bean sprouts", "grams": 100.0, "note": ""}, {"ingredient_id": "green_onion", "name": "Green onions (scallions)", "grams": 20.0, "note": ""}, {"ingredient_id": "peanuts", "name": "Peanuts, dry roasted", "grams": 25.0, "note": ""}, {"ingredient_id": "fish_sauce", "name": "Fish sauce", "grams": 20.0, "note": ""}, {"ingredient_id": "lime_juice", "name": "Lime juice", "grams": 25.0, "note": ""}, {"ingredient_id": "tamari", "name": "Tamari (gluten-free soy sauce)", "grams": 15.0, "note": ""}, {"ingredient_id": "monk_fruit_sweetener", "name": "Monk fruit/erythritol sweetener", "grams": 6.0, "note": ""}, {"ingredient_id": "garlic", "name": "Garlic", "grams": 6.0, "note": ""}, {"ingredient_id": "avocado_oil", "name": "Avocado oil", "grams": 12.0, "note": ""}, {"ingredient_id": "cilantro", "name": "Fresh cilantro", "grams": 6.0, "note": ""}]</t>
        </is>
      </c>
      <c r="N347" s="2" t="n">
        <v>362</v>
      </c>
      <c r="O347" s="5" t="n">
        <v>44.3</v>
      </c>
      <c r="P347" s="5" t="n">
        <v>15.8</v>
      </c>
      <c r="Q347" s="5" t="n">
        <v>11.2</v>
      </c>
      <c r="R347" s="5" t="n">
        <v>3.3</v>
      </c>
      <c r="S347" s="5" t="n">
        <v>7.9</v>
      </c>
      <c r="T347" s="2" t="n">
        <v>16</v>
      </c>
      <c r="U347" s="2" t="inlineStr">
        <is>
          <t>low</t>
        </is>
      </c>
      <c r="V347" s="5" t="n">
        <v>1.3</v>
      </c>
      <c r="W347" s="2" t="inlineStr">
        <is>
          <t>low</t>
        </is>
      </c>
      <c r="X347" s="3" t="inlineStr"/>
      <c r="Y347" s="3" t="inlineStr">
        <is>
          <t>8% of this dish's available carbohydrate comes from ingredients with a published, measured GI; the rest uses conventional placeholders (see Ingredients sheet)</t>
        </is>
      </c>
      <c r="Z347" s="2" t="n">
        <v>8</v>
      </c>
      <c r="AA347" s="3" t="inlineStr">
        <is>
          <t>gluten-free, dairy-free, low-carb, high-protein</t>
        </is>
      </c>
      <c r="AB347" s="3" t="inlineStr">
        <is>
          <t>1. Whisk fish sauce, lime, tamari, sweetener.
2. Stir-fry chicken in oil with garlic; push aside and scramble eggs.
3. Add zoodles, sauce, sprouts and green onion; toss 2 minutes; top with peanuts, cilantro.</t>
        </is>
      </c>
      <c r="AC347" s="4" t="inlineStr">
        <is>
          <t>["Whisk fish sauce, lime, tamari, sweetener.", "Stir-fry chicken in oil with garlic; push aside and scramble eggs.", "Add zoodles, sauce, sprouts and green onion; toss 2 minutes; top with peanuts, cilantro."]</t>
        </is>
      </c>
    </row>
    <row r="348" ht="96" customHeight="1">
      <c r="A348" s="2" t="inlineStr">
        <is>
          <t>DB-0347</t>
        </is>
      </c>
      <c r="B348" s="3" t="inlineStr">
        <is>
          <t>Rosemary Garlic Roasted Chicken Legs</t>
        </is>
      </c>
      <c r="C348" s="4" t="inlineStr">
        <is>
          <t>Poultry</t>
        </is>
      </c>
      <c r="D348" s="4" t="inlineStr">
        <is>
          <t>American</t>
        </is>
      </c>
      <c r="E348" s="2" t="n">
        <v>4</v>
      </c>
      <c r="F348" s="2" t="n">
        <v>10</v>
      </c>
      <c r="G348" s="2" t="n">
        <v>45</v>
      </c>
      <c r="H348" s="2" t="n">
        <v>55</v>
      </c>
      <c r="I348" s="4" t="inlineStr">
        <is>
          <t>rosemary-garlic-roasted-chicken-legs.jpg</t>
        </is>
      </c>
      <c r="J348" s="3" t="inlineStr">
        <is>
          <t>Rosemary Garlic Roasted Chicken Legs, healthy food photography, plated, natural light</t>
        </is>
      </c>
      <c r="K348" s="4" t="inlineStr"/>
      <c r="L348" s="3" t="inlineStr">
        <is>
          <t>Chicken thigh, skinless boneless — 800 g (28.2 oz) [drumsticks/thighs]
Fresh rosemary — 4 g (0.1 oz)
Garlic — 12 g (0.4 oz)
Lemon (with juice &amp; zest) — 40 g (1.4 oz)
Extra-virgin olive oil — 20 g (0.7 oz)
Cauliflower — 500 g (17.6 oz)
Carrot — 200 g (7.1 oz)
Salt — 3 g (0.1 oz)</t>
        </is>
      </c>
      <c r="M348" s="4" t="inlineStr">
        <is>
          <t>[{"ingredient_id": "chicken_thigh", "name": "Chicken thigh, skinless boneless", "grams": 800.0, "note": "drumsticks/thighs"}, {"ingredient_id": "rosemary", "name": "Fresh rosemary", "grams": 4.0, "note": ""}, {"ingredient_id": "garlic", "name": "Garlic", "grams": 12.0, "note": ""}, {"ingredient_id": "lemon", "name": "Lemon (with juice &amp; zest)", "grams": 40.0, "note": ""}, {"ingredient_id": "olive_oil", "name": "Extra-virgin olive oil", "grams": 20.0, "note": ""}, {"ingredient_id": "cauliflower", "name": "Cauliflower", "grams": 500.0, "note": ""}, {"ingredient_id": "carrot", "name": "Carrot", "grams": 200.0, "note": ""}, {"ingredient_id": "salt", "name": "Salt", "grams": 3.0, "note": ""}]</t>
        </is>
      </c>
      <c r="N348" s="2" t="n">
        <v>347</v>
      </c>
      <c r="O348" s="5" t="n">
        <v>42.6</v>
      </c>
      <c r="P348" s="5" t="n">
        <v>13.8</v>
      </c>
      <c r="Q348" s="5" t="n">
        <v>13.2</v>
      </c>
      <c r="R348" s="5" t="n">
        <v>4.4</v>
      </c>
      <c r="S348" s="5" t="n">
        <v>8.800000000000001</v>
      </c>
      <c r="T348" s="2" t="n">
        <v>26</v>
      </c>
      <c r="U348" s="2" t="inlineStr">
        <is>
          <t>low</t>
        </is>
      </c>
      <c r="V348" s="5" t="n">
        <v>2.3</v>
      </c>
      <c r="W348" s="2" t="inlineStr">
        <is>
          <t>low</t>
        </is>
      </c>
      <c r="X348" s="3" t="inlineStr"/>
      <c r="Y348" s="3" t="inlineStr">
        <is>
          <t>39% of this dish's available carbohydrate comes from ingredients with a published, measured GI; the rest uses conventional placeholders (see Ingredients sheet)</t>
        </is>
      </c>
      <c r="Z348" s="2" t="n">
        <v>39</v>
      </c>
      <c r="AA348" s="3" t="inlineStr">
        <is>
          <t>gluten-free, dairy-free, nut-free, low-carb, high-protein, one-pan</t>
        </is>
      </c>
      <c r="AB348" s="3" t="inlineStr">
        <is>
          <t>1. Rub chicken with rosemary, garlic, lemon zest, oil and salt.
2. Roast at 425°F with cauliflower and carrot 40–45 minutes.
3. Squeeze lemon over before serving.</t>
        </is>
      </c>
      <c r="AC348" s="4" t="inlineStr">
        <is>
          <t>["Rub chicken with rosemary, garlic, lemon zest, oil and salt.", "Roast at 425°F with cauliflower and carrot 40–45 minutes.", "Squeeze lemon over before serving."]</t>
        </is>
      </c>
    </row>
    <row r="349" ht="96" customHeight="1">
      <c r="A349" s="2" t="inlineStr">
        <is>
          <t>DB-0348</t>
        </is>
      </c>
      <c r="B349" s="3" t="inlineStr">
        <is>
          <t>Chicken Fried Cauliflower Rice</t>
        </is>
      </c>
      <c r="C349" s="4" t="inlineStr">
        <is>
          <t>Poultry</t>
        </is>
      </c>
      <c r="D349" s="4" t="inlineStr">
        <is>
          <t>Chinese-American</t>
        </is>
      </c>
      <c r="E349" s="2" t="n">
        <v>4</v>
      </c>
      <c r="F349" s="2" t="n">
        <v>10</v>
      </c>
      <c r="G349" s="2" t="n">
        <v>15</v>
      </c>
      <c r="H349" s="2" t="n">
        <v>25</v>
      </c>
      <c r="I349" s="4" t="inlineStr">
        <is>
          <t>chicken-fried-cauliflower-rice.jpg</t>
        </is>
      </c>
      <c r="J349" s="3" t="inlineStr">
        <is>
          <t>Chicken Fried Cauliflower Rice, healthy food photography, plated, natural light</t>
        </is>
      </c>
      <c r="K349" s="4" t="inlineStr"/>
      <c r="L349" s="3" t="inlineStr">
        <is>
          <t>Chicken breast, skinless — 500 g (17.6 oz)
Cauliflower rice — 600 g (21.2 oz)
Egg, large (50 g each) — 100 g (3.5 oz) [2 large eggs]
Green peas — 100 g (3.5 oz)
Carrot — 100 g (3.5 oz)
Green onions (scallions) — 30 g (1.1 oz)
Garlic — 8 g (0.3 oz)
Fresh ginger — 6 g (0.2 oz)
Tamari (gluten-free soy sauce) — 30 g (1.1 oz)
Toasted sesame oil — 10 g (0.4 oz)
Avocado oil — 12 g (0.4 oz)</t>
        </is>
      </c>
      <c r="M349" s="4" t="inlineStr">
        <is>
          <t>[{"ingredient_id": "chicken_breast", "name": "Chicken breast, skinless", "grams": 500.0, "note": ""}, {"ingredient_id": "cauliflower_rice", "name": "Cauliflower rice", "grams": 600.0, "note": ""}, {"ingredient_id": "egg", "name": "Egg, large (50 g each)", "grams": 100.0, "note": "2 large eggs"}, {"ingredient_id": "green_peas", "name": "Green peas", "grams": 100.0, "note": ""}, {"ingredient_id": "carrot", "name": "Carrot", "grams": 100.0, "note": ""}, {"ingredient_id": "green_onion", "name": "Green onions (scallions)", "grams": 30.0, "note": ""}, {"ingredient_id": "garlic", "name": "Garlic", "grams": 8.0, "note": ""}, {"ingredient_id": "ginger", "name": "Fresh ginger", "grams": 6.0, "note": ""}, {"ingredient_id": "tamari", "name": "Tamari (gluten-free soy sauce)", "grams": 30.0, "note": ""}, {"ingredient_id": "sesame_oil", "name": "Toasted sesame oil", "grams": 10.0, "note": ""}, {"ingredient_id": "avocado_oil", "name": "Avocado oil", "grams": 12.0, "note": ""}]</t>
        </is>
      </c>
      <c r="N349" s="2" t="n">
        <v>313</v>
      </c>
      <c r="O349" s="5" t="n">
        <v>36.7</v>
      </c>
      <c r="P349" s="5" t="n">
        <v>11.8</v>
      </c>
      <c r="Q349" s="5" t="n">
        <v>15.4</v>
      </c>
      <c r="R349" s="5" t="n">
        <v>5.5</v>
      </c>
      <c r="S349" s="5" t="n">
        <v>10</v>
      </c>
      <c r="T349" s="2" t="n">
        <v>25</v>
      </c>
      <c r="U349" s="2" t="inlineStr">
        <is>
          <t>low</t>
        </is>
      </c>
      <c r="V349" s="5" t="n">
        <v>2.5</v>
      </c>
      <c r="W349" s="2" t="inlineStr">
        <is>
          <t>low</t>
        </is>
      </c>
      <c r="X349" s="3" t="inlineStr"/>
      <c r="Y349" s="3" t="inlineStr">
        <is>
          <t>38% of this dish's available carbohydrate comes from ingredients with a published, measured GI; the rest uses conventional placeholders (see Ingredients sheet)</t>
        </is>
      </c>
      <c r="Z349" s="2" t="n">
        <v>38</v>
      </c>
      <c r="AA349" s="3" t="inlineStr">
        <is>
          <t>gluten-free, dairy-free, nut-free, low-carb, high-protein, quick</t>
        </is>
      </c>
      <c r="AB349" s="3" t="inlineStr">
        <is>
          <t>1. Stir-fry diced chicken in avocado oil; remove.
2. Scramble eggs; add carrot, garlic, ginger, cauliflower rice; stir-fry 5 minutes.
3. Add peas, chicken, tamari and sesame oil; finish with green onion.</t>
        </is>
      </c>
      <c r="AC349" s="4" t="inlineStr">
        <is>
          <t>["Stir-fry diced chicken in avocado oil; remove.", "Scramble eggs; add carrot, garlic, ginger, cauliflower rice; stir-fry 5 minutes.", "Add peas, chicken, tamari and sesame oil; finish with green onion."]</t>
        </is>
      </c>
    </row>
    <row r="350" ht="96" customHeight="1">
      <c r="A350" s="2" t="inlineStr">
        <is>
          <t>DB-0349</t>
        </is>
      </c>
      <c r="B350" s="3" t="inlineStr">
        <is>
          <t>Turkey Sloppy Joes on Lettuce</t>
        </is>
      </c>
      <c r="C350" s="4" t="inlineStr">
        <is>
          <t>Poultry</t>
        </is>
      </c>
      <c r="D350" s="4" t="inlineStr">
        <is>
          <t>American</t>
        </is>
      </c>
      <c r="E350" s="2" t="n">
        <v>4</v>
      </c>
      <c r="F350" s="2" t="n">
        <v>10</v>
      </c>
      <c r="G350" s="2" t="n">
        <v>20</v>
      </c>
      <c r="H350" s="2" t="n">
        <v>30</v>
      </c>
      <c r="I350" s="4" t="inlineStr">
        <is>
          <t>turkey-sloppy-joes-on-lettuce.jpg</t>
        </is>
      </c>
      <c r="J350" s="3" t="inlineStr">
        <is>
          <t>Turkey Sloppy Joes on Lettuce, healthy food photography, plated, natural light</t>
        </is>
      </c>
      <c r="K350" s="4" t="inlineStr"/>
      <c r="L350" s="3" t="inlineStr">
        <is>
          <t>Ground turkey 93% lean — 600 g (21.2 oz)
Yellow onion — 100 g (3.5 oz)
Bell pepper — 150 g (5.3 oz)
Garlic — 6 g (0.2 oz)
Tomato sauce, canned, no sugar added — 300 g (10.6 oz)
Tomato paste — 30 g (1.1 oz)
Apple cider vinegar — 15 g (0.5 oz)
Dijon mustard — 10 g (0.4 oz)
Smoked paprika — 3 g (0.1 oz)
Monk fruit/erythritol sweetener — 6 g (0.2 oz)
Extra-virgin olive oil — 10 g (0.4 oz)
Butter lettuce — 150 g (5.3 oz)
Whole wheat English muffin — 114 g (4.0 oz) [2, split]</t>
        </is>
      </c>
      <c r="M350" s="4" t="inlineStr">
        <is>
          <t>[{"ingredient_id": "ground_turkey", "name": "Ground turkey 93% lean", "grams": 600.0, "note": ""}, {"ingredient_id": "onion", "name": "Yellow onion", "grams": 100.0, "note": ""}, {"ingredient_id": "bell_pepper", "name": "Bell pepper", "grams": 150.0, "note": ""}, {"ingredient_id": "garlic", "name": "Garlic", "grams": 6.0, "note": ""}, {"ingredient_id": "tomato_sauce", "name": "Tomato sauce, canned, no sugar added", "grams": 300.0, "note": ""}, {"ingredient_id": "tomato_paste", "name": "Tomato paste", "grams": 30.0, "note": ""}, {"ingredient_id": "apple_cider_vinegar", "name": "Apple cider vinegar", "grams": 15.0, "note": ""}, {"ingredient_id": "dijon", "name": "Dijon mustard", "grams": 10.0, "note": ""}, {"ingredient_id": "smoked_paprika", "name": "Smoked paprika", "grams": 3.0, "note": ""}, {"ingredient_id": "monk_fruit_sweetener", "name": "Monk fruit/erythritol sweetener", "grams": 6.0, "note": ""}, {"ingredient_id": "olive_oil", "name": "Extra-virgin olive oil", "grams": 10.0, "note": ""}, {"ingredient_id": "butter_lettuce", "name": "Butter lettuce", "grams": 150.0, "note": ""}, {"ingredient_id": "whole_wheat_english_muffin", "name": "Whole wheat English muffin", "grams": 114.0, "note": "2, split"}]</t>
        </is>
      </c>
      <c r="N350" s="2" t="n">
        <v>367</v>
      </c>
      <c r="O350" s="5" t="n">
        <v>33.4</v>
      </c>
      <c r="P350" s="5" t="n">
        <v>15.7</v>
      </c>
      <c r="Q350" s="5" t="n">
        <v>24.7</v>
      </c>
      <c r="R350" s="5" t="n">
        <v>5.4</v>
      </c>
      <c r="S350" s="5" t="n">
        <v>19.3</v>
      </c>
      <c r="T350" s="2" t="n">
        <v>36</v>
      </c>
      <c r="U350" s="2" t="inlineStr">
        <is>
          <t>low</t>
        </is>
      </c>
      <c r="V350" s="5" t="n">
        <v>6.9</v>
      </c>
      <c r="W350" s="2" t="inlineStr">
        <is>
          <t>low</t>
        </is>
      </c>
      <c r="X350" s="3" t="inlineStr"/>
      <c r="Y350" s="3" t="inlineStr">
        <is>
          <t>56% of this dish's available carbohydrate comes from ingredients with a published, measured GI; the rest uses conventional placeholders (see Ingredients sheet)</t>
        </is>
      </c>
      <c r="Z350" s="2" t="n">
        <v>56</v>
      </c>
      <c r="AA350" s="3" t="inlineStr">
        <is>
          <t>dairy-free, nut-free, high-protein</t>
        </is>
      </c>
      <c r="AB350" s="3" t="inlineStr">
        <is>
          <t>1. Brown turkey with onion and pepper in oil; add garlic.
2. Add tomato sauce, paste, vinegar, Dijon, paprika and sweetener; simmer 10 minutes.
3. Serve on toasted English muffin halves or in lettuce cups.</t>
        </is>
      </c>
      <c r="AC350" s="4" t="inlineStr">
        <is>
          <t>["Brown turkey with onion and pepper in oil; add garlic.", "Add tomato sauce, paste, vinegar, Dijon, paprika and sweetener; simmer 10 minutes.", "Serve on toasted English muffin halves or in lettuce cups."]</t>
        </is>
      </c>
    </row>
    <row r="351" ht="96" customHeight="1">
      <c r="A351" s="2" t="inlineStr">
        <is>
          <t>DB-0350</t>
        </is>
      </c>
      <c r="B351" s="3" t="inlineStr">
        <is>
          <t>Chicken Florentine</t>
        </is>
      </c>
      <c r="C351" s="4" t="inlineStr">
        <is>
          <t>Poultry</t>
        </is>
      </c>
      <c r="D351" s="4" t="inlineStr">
        <is>
          <t>Italian</t>
        </is>
      </c>
      <c r="E351" s="2" t="n">
        <v>4</v>
      </c>
      <c r="F351" s="2" t="n">
        <v>10</v>
      </c>
      <c r="G351" s="2" t="n">
        <v>25</v>
      </c>
      <c r="H351" s="2" t="n">
        <v>35</v>
      </c>
      <c r="I351" s="4" t="inlineStr">
        <is>
          <t>chicken-florentine.jpg</t>
        </is>
      </c>
      <c r="J351" s="3" t="inlineStr">
        <is>
          <t>Chicken Florentine, healthy food photography, plated, natural light</t>
        </is>
      </c>
      <c r="K351" s="4" t="inlineStr"/>
      <c r="L351" s="3" t="inlineStr">
        <is>
          <t>Chicken breast, skinless — 600 g (21.2 oz)
Spinach — 300 g (10.6 oz)
Garlic — 8 g (0.3 oz)
Chicken broth, low sodium — 150 g (5.3 oz)
Cream cheese — 60 g (2.1 oz)
Milk, 2% — 80 g (2.8 oz)
Parmesan, grated — 40 g (1.4 oz)
Extra-virgin olive oil — 15 g (0.5 oz)
Sun-dried tomatoes in oil, drained — 30 g (1.1 oz)
Salt — 3 g (0.1 oz)</t>
        </is>
      </c>
      <c r="M351" s="4" t="inlineStr">
        <is>
          <t>[{"ingredient_id": "chicken_breast", "name": "Chicken breast, skinless", "grams": 600.0, "note": ""}, {"ingredient_id": "spinach", "name": "Spinach", "grams": 300.0, "note": ""}, {"ingredient_id": "garlic", "name": "Garlic", "grams": 8.0, "note": ""}, {"ingredient_id": "chicken_broth", "name": "Chicken broth, low sodium", "grams": 150.0, "note": ""}, {"ingredient_id": "cream_cheese", "name": "Cream cheese", "grams": 60.0, "note": ""}, {"ingredient_id": "milk", "name": "Milk, 2%", "grams": 80.0, "note": ""}, {"ingredient_id": "parmesan", "name": "Parmesan, grated", "grams": 40.0, "note": ""}, {"ingredient_id": "olive_oil", "name": "Extra-virgin olive oil", "grams": 15.0, "note": ""}, {"ingredient_id": "sun_dried_tomato", "name": "Sun-dried tomatoes in oil, drained", "grams": 30.0, "note": ""}, {"ingredient_id": "salt", "name": "Salt", "grams": 3.0, "note": ""}]</t>
        </is>
      </c>
      <c r="N351" s="2" t="n">
        <v>356</v>
      </c>
      <c r="O351" s="5" t="n">
        <v>42.2</v>
      </c>
      <c r="P351" s="5" t="n">
        <v>17.5</v>
      </c>
      <c r="Q351" s="5" t="n">
        <v>7.2</v>
      </c>
      <c r="R351" s="5" t="n">
        <v>2.1</v>
      </c>
      <c r="S351" s="5" t="n">
        <v>5.1</v>
      </c>
      <c r="T351" s="2" t="n">
        <v>21</v>
      </c>
      <c r="U351" s="2" t="inlineStr">
        <is>
          <t>low</t>
        </is>
      </c>
      <c r="V351" s="5" t="n">
        <v>1.1</v>
      </c>
      <c r="W351" s="2" t="inlineStr">
        <is>
          <t>low</t>
        </is>
      </c>
      <c r="X351" s="3" t="inlineStr"/>
      <c r="Y351" s="3" t="inlineStr">
        <is>
          <t>19% of this dish's available carbohydrate comes from ingredients with a published, measured GI; the rest uses conventional placeholders (see Ingredients sheet)</t>
        </is>
      </c>
      <c r="Z351" s="2" t="n">
        <v>19</v>
      </c>
      <c r="AA351" s="3" t="inlineStr">
        <is>
          <t>gluten-free, nut-free, low-carb, high-protein</t>
        </is>
      </c>
      <c r="AB351" s="3" t="inlineStr">
        <is>
          <t>1. Sear chicken in oil 5 minutes per side; remove.
2. Sauté garlic and sun-dried tomatoes; add broth, cream cheese, milk and parmesan; whisk smooth.
3. Wilt spinach in the sauce, return chicken; simmer 5 minutes.</t>
        </is>
      </c>
      <c r="AC351" s="4" t="inlineStr">
        <is>
          <t>["Sear chicken in oil 5 minutes per side; remove.", "Sauté garlic and sun-dried tomatoes; add broth, cream cheese, milk and parmesan; whisk smooth.", "Wilt spinach in the sauce, return chicken; simmer 5 minutes."]</t>
        </is>
      </c>
    </row>
    <row r="352" ht="96" customHeight="1">
      <c r="A352" s="2" t="inlineStr">
        <is>
          <t>DB-0351</t>
        </is>
      </c>
      <c r="B352" s="3" t="inlineStr">
        <is>
          <t>Chicken Burrito Bowls</t>
        </is>
      </c>
      <c r="C352" s="4" t="inlineStr">
        <is>
          <t>Poultry</t>
        </is>
      </c>
      <c r="D352" s="4" t="inlineStr">
        <is>
          <t>Tex-Mex</t>
        </is>
      </c>
      <c r="E352" s="2" t="n">
        <v>4</v>
      </c>
      <c r="F352" s="2" t="n">
        <v>15</v>
      </c>
      <c r="G352" s="2" t="n">
        <v>20</v>
      </c>
      <c r="H352" s="2" t="n">
        <v>35</v>
      </c>
      <c r="I352" s="4" t="inlineStr">
        <is>
          <t>chicken-burrito-bowls.jpg</t>
        </is>
      </c>
      <c r="J352" s="3" t="inlineStr">
        <is>
          <t>Chicken Burrito Bowls, healthy food photography, plated, natural light</t>
        </is>
      </c>
      <c r="K352" s="4" t="inlineStr"/>
      <c r="L352" s="3" t="inlineStr">
        <is>
          <t>Chicken breast, skinless — 600 g (21.2 oz)
Chili powder — 6 g (0.2 oz)
Ground cumin — 4 g (0.1 oz)
Lime — 40 g (1.4 oz)
Brown rice, cooked — 300 g (10.6 oz)
Cauliflower rice — 300 g (10.6 oz)
Black beans, cooked — 300 g (10.6 oz)
Pico de gallo — 200 g (7.1 oz)
Romaine lettuce — 200 g (7.1 oz)
Avocado — 120 g (4.2 oz)
Cheddar cheese — 60 g (2.1 oz)
Greek yogurt, plain 2% — 80 g (2.8 oz)
Extra-virgin olive oil — 12 g (0.4 oz)</t>
        </is>
      </c>
      <c r="M352" s="4" t="inlineStr">
        <is>
          <t>[{"ingredient_id": "chicken_breast", "name": "Chicken breast, skinless", "grams": 600.0, "note": ""}, {"ingredient_id": "chili_powder", "name": "Chili powder", "grams": 6.0, "note": ""}, {"ingredient_id": "cumin", "name": "Ground cumin", "grams": 4.0, "note": ""}, {"ingredient_id": "lime", "name": "Lime", "grams": 40.0, "note": ""}, {"ingredient_id": "brown_rice", "name": "Brown rice, cooked", "grams": 300.0, "note": ""}, {"ingredient_id": "cauliflower_rice", "name": "Cauliflower rice", "grams": 300.0, "note": ""}, {"ingredient_id": "black_beans", "name": "Black beans, cooked", "grams": 300.0, "note": ""}, {"ingredient_id": "pico_de_gallo", "name": "Pico de gallo", "grams": 200.0, "note": ""}, {"ingredient_id": "romaine", "name": "Romaine lettuce", "grams": 200.0, "note": ""}, {"ingredient_id": "avocado", "name": "Avocado", "grams": 120.0, "note": ""}, {"ingredient_id": "cheddar", "name": "Cheddar cheese", "grams": 60.0, "note": ""}, {"ingredient_id": "greek_yogurt", "name": "Greek yogurt, plain 2%", "grams": 80.0, "note": ""}, {"ingredient_id": "olive_oil", "name": "Extra-virgin olive oil", "grams": 12.0, "note": ""}]</t>
        </is>
      </c>
      <c r="N352" s="2" t="n">
        <v>561</v>
      </c>
      <c r="O352" s="5" t="n">
        <v>51.1</v>
      </c>
      <c r="P352" s="5" t="n">
        <v>18.6</v>
      </c>
      <c r="Q352" s="5" t="n">
        <v>49.2</v>
      </c>
      <c r="R352" s="5" t="n">
        <v>13.9</v>
      </c>
      <c r="S352" s="5" t="n">
        <v>35.3</v>
      </c>
      <c r="T352" s="2" t="n">
        <v>45</v>
      </c>
      <c r="U352" s="2" t="inlineStr">
        <is>
          <t>low</t>
        </is>
      </c>
      <c r="V352" s="5" t="n">
        <v>15.9</v>
      </c>
      <c r="W352" s="2" t="inlineStr">
        <is>
          <t>medium</t>
        </is>
      </c>
      <c r="X352" s="3" t="inlineStr"/>
      <c r="Y352" s="3" t="inlineStr">
        <is>
          <t>81% of this dish's available carbohydrate comes from ingredients with a published, measured GI; the rest uses conventional placeholders (see Ingredients sheet)</t>
        </is>
      </c>
      <c r="Z352" s="2" t="n">
        <v>81</v>
      </c>
      <c r="AA352" s="3" t="inlineStr">
        <is>
          <t>gluten-free, nut-free, high-protein, high-fiber, meal-prep</t>
        </is>
      </c>
      <c r="AB352" s="3" t="inlineStr">
        <is>
          <t>1. Season chicken with chili powder, cumin, lime; grill and slice.
2. Mix brown rice and cauliflower rice for a half-carb base.
3. Bowl rice, beans, chicken, pico, romaine, avocado, cheddar and yogurt.</t>
        </is>
      </c>
      <c r="AC352" s="4" t="inlineStr">
        <is>
          <t>["Season chicken with chili powder, cumin, lime; grill and slice.", "Mix brown rice and cauliflower rice for a half-carb base.", "Bowl rice, beans, chicken, pico, romaine, avocado, cheddar and yogurt."]</t>
        </is>
      </c>
    </row>
    <row r="353" ht="96" customHeight="1">
      <c r="A353" s="2" t="inlineStr">
        <is>
          <t>DB-0352</t>
        </is>
      </c>
      <c r="B353" s="3" t="inlineStr">
        <is>
          <t>Chicken Vindaloo (Mild)</t>
        </is>
      </c>
      <c r="C353" s="4" t="inlineStr">
        <is>
          <t>Poultry</t>
        </is>
      </c>
      <c r="D353" s="4" t="inlineStr">
        <is>
          <t>Indian</t>
        </is>
      </c>
      <c r="E353" s="2" t="n">
        <v>4</v>
      </c>
      <c r="F353" s="2" t="n">
        <v>15</v>
      </c>
      <c r="G353" s="2" t="n">
        <v>40</v>
      </c>
      <c r="H353" s="2" t="n">
        <v>55</v>
      </c>
      <c r="I353" s="4" t="inlineStr">
        <is>
          <t>chicken-vindaloo-mild.jpg</t>
        </is>
      </c>
      <c r="J353" s="3" t="inlineStr">
        <is>
          <t>Chicken Vindaloo (Mild), healthy food photography, plated, natural light</t>
        </is>
      </c>
      <c r="K353" s="4" t="inlineStr"/>
      <c r="L353" s="3" t="inlineStr">
        <is>
          <t>Chicken thigh, skinless boneless — 700 g (24.7 oz)
Yellow onion — 150 g (5.3 oz)
Garlic — 12 g (0.4 oz)
Fresh ginger — 12 g (0.4 oz)
Apple cider vinegar — 30 g (1.1 oz)
Ground cumin — 4 g (0.1 oz)
Ground coriander — 3 g (0.1 oz)
Ground turmeric — 2 g (0.1 oz)
Cayenne pepper — 1 g (0.0 oz)
Ground cinnamon — 1 g (0.0 oz)
Crushed tomatoes, canned — 300 g (10.6 oz)
Extra-virgin olive oil — 15 g (0.5 oz)
Cauliflower — 400 g (14.1 oz)
Fresh cilantro — 8 g (0.3 oz)
Salt — 3 g (0.1 oz)</t>
        </is>
      </c>
      <c r="M353" s="4" t="inlineStr">
        <is>
          <t>[{"ingredient_id": "chicken_thigh", "name": "Chicken thigh, skinless boneless", "grams": 700.0, "note": ""}, {"ingredient_id": "onion", "name": "Yellow onion", "grams": 150.0, "note": ""}, {"ingredient_id": "garlic", "name": "Garlic", "grams": 12.0, "note": ""}, {"ingredient_id": "ginger", "name": "Fresh ginger", "grams": 12.0, "note": ""}, {"ingredient_id": "apple_cider_vinegar", "name": "Apple cider vinegar", "grams": 30.0, "note": ""}, {"ingredient_id": "cumin", "name": "Ground cumin", "grams": 4.0, "note": ""}, {"ingredient_id": "coriander", "name": "Ground coriander", "grams": 3.0, "note": ""}, {"ingredient_id": "turmeric", "name": "Ground turmeric", "grams": 2.0, "note": ""}, {"ingredient_id": "cayenne", "name": "Cayenne pepper", "grams": 1.0, "note": ""}, {"ingredient_id": "cinnamon", "name": "Ground cinnamon", "grams": 1.0, "note": ""}, {"ingredient_id": "crushed_tomatoes", "name": "Crushed tomatoes, canned", "grams": 300.0, "note": ""}, {"ingredient_id": "olive_oil", "name": "Extra-virgin olive oil", "grams": 15.0, "note": ""}, {"ingredient_id": "cauliflower", "name": "Cauliflower", "grams": 400.0, "note": ""}, {"ingredient_id": "cilantro", "name": "Fresh cilantro", "grams": 8.0, "note": ""}, {"ingredient_id": "salt", "name": "Salt", "grams": 3.0, "note": ""}]</t>
        </is>
      </c>
      <c r="N353" s="2" t="n">
        <v>327</v>
      </c>
      <c r="O353" s="5" t="n">
        <v>38.6</v>
      </c>
      <c r="P353" s="5" t="n">
        <v>12</v>
      </c>
      <c r="Q353" s="5" t="n">
        <v>16.9</v>
      </c>
      <c r="R353" s="5" t="n">
        <v>5</v>
      </c>
      <c r="S353" s="5" t="n">
        <v>12</v>
      </c>
      <c r="T353" s="2" t="n">
        <v>22</v>
      </c>
      <c r="U353" s="2" t="inlineStr">
        <is>
          <t>low</t>
        </is>
      </c>
      <c r="V353" s="5" t="n">
        <v>2.6</v>
      </c>
      <c r="W353" s="2" t="inlineStr">
        <is>
          <t>low</t>
        </is>
      </c>
      <c r="X353" s="3" t="inlineStr"/>
      <c r="Y353" s="3" t="inlineStr">
        <is>
          <t>0% of this dish's available carbohydrate comes from ingredients with a published, measured GI; the rest uses conventional placeholders (see Ingredients sheet)</t>
        </is>
      </c>
      <c r="Z353" s="2" t="n">
        <v>0</v>
      </c>
      <c r="AA353" s="3" t="inlineStr">
        <is>
          <t>gluten-free, dairy-free, nut-free, low-carb, high-protein</t>
        </is>
      </c>
      <c r="AB353" s="3" t="inlineStr">
        <is>
          <t>1. Blend garlic, ginger, vinegar and spices; marinate chicken 15 minutes.
2. Sauté onion in oil until golden; add chicken and marinade; cook 5 minutes.
3. Add tomatoes and cauliflower; simmer covered 25 minutes; top with cilantro.</t>
        </is>
      </c>
      <c r="AC353" s="4" t="inlineStr">
        <is>
          <t>["Blend garlic, ginger, vinegar and spices; marinate chicken 15 minutes.", "Sauté onion in oil until golden; add chicken and marinade; cook 5 minutes.", "Add tomatoes and cauliflower; simmer covered 25 minutes; top with cilantro."]</t>
        </is>
      </c>
    </row>
    <row r="354" ht="96" customHeight="1">
      <c r="A354" s="2" t="inlineStr">
        <is>
          <t>DB-0353</t>
        </is>
      </c>
      <c r="B354" s="3" t="inlineStr">
        <is>
          <t>Chicken Cordon Bleu (Baked, No Breading)</t>
        </is>
      </c>
      <c r="C354" s="4" t="inlineStr">
        <is>
          <t>Poultry</t>
        </is>
      </c>
      <c r="D354" s="4" t="inlineStr">
        <is>
          <t>French</t>
        </is>
      </c>
      <c r="E354" s="2" t="n">
        <v>4</v>
      </c>
      <c r="F354" s="2" t="n">
        <v>15</v>
      </c>
      <c r="G354" s="2" t="n">
        <v>30</v>
      </c>
      <c r="H354" s="2" t="n">
        <v>45</v>
      </c>
      <c r="I354" s="4" t="inlineStr">
        <is>
          <t>chicken-cordon-bleu-baked-no-breading.jpg</t>
        </is>
      </c>
      <c r="J354" s="3" t="inlineStr">
        <is>
          <t>Chicken Cordon Bleu (Baked, No Breading), healthy food photography, plated, natural light</t>
        </is>
      </c>
      <c r="K354" s="4" t="inlineStr"/>
      <c r="L354" s="3" t="inlineStr">
        <is>
          <t>Chicken breast, skinless — 600 g (21.2 oz)
Ham, lean — 120 g (4.2 oz)
Swiss cheese — 100 g (3.5 oz)
Dijon mustard — 15 g (0.5 oz)
Almond flour — 30 g (1.1 oz)
Parmesan, grated — 20 g (0.7 oz)
Extra-virgin olive oil — 10 g (0.4 oz)
Asparagus — 400 g (14.1 oz)
Salt — 2 g (0.1 oz)</t>
        </is>
      </c>
      <c r="M354" s="4" t="inlineStr">
        <is>
          <t>[{"ingredient_id": "chicken_breast", "name": "Chicken breast, skinless", "grams": 600.0, "note": ""}, {"ingredient_id": "ham", "name": "Ham, lean", "grams": 120.0, "note": ""}, {"ingredient_id": "swiss_cheese", "name": "Swiss cheese", "grams": 100.0, "note": ""}, {"ingredient_id": "dijon", "name": "Dijon mustard", "grams": 15.0, "note": ""}, {"ingredient_id": "almond_flour", "name": "Almond flour", "grams": 30.0, "note": ""}, {"ingredient_id": "parmesan", "name": "Parmesan, grated", "grams": 20.0, "note": ""}, {"ingredient_id": "olive_oil", "name": "Extra-virgin olive oil", "grams": 10.0, "note": ""}, {"ingredient_id": "asparagus", "name": "Asparagus", "grams": 400.0, "note": ""}, {"ingredient_id": "salt", "name": "Salt", "grams": 2.0, "note": ""}]</t>
        </is>
      </c>
      <c r="N354" s="2" t="n">
        <v>429</v>
      </c>
      <c r="O354" s="5" t="n">
        <v>52.6</v>
      </c>
      <c r="P354" s="5" t="n">
        <v>20.6</v>
      </c>
      <c r="Q354" s="5" t="n">
        <v>6.7</v>
      </c>
      <c r="R354" s="5" t="n">
        <v>3.1</v>
      </c>
      <c r="S354" s="5" t="n">
        <v>3.6</v>
      </c>
      <c r="T354" s="2" t="n">
        <v>11</v>
      </c>
      <c r="U354" s="2" t="inlineStr">
        <is>
          <t>low</t>
        </is>
      </c>
      <c r="V354" s="5" t="n">
        <v>0.4</v>
      </c>
      <c r="W354" s="2" t="inlineStr">
        <is>
          <t>low</t>
        </is>
      </c>
      <c r="X354" s="3" t="inlineStr">
        <is>
          <t>Negligible carbohydrate (&lt;5 g net/serving): GI has little practical meaning, glycemic load is what matters.</t>
        </is>
      </c>
      <c r="Y354" s="3" t="inlineStr">
        <is>
          <t>0% of this dish's available carbohydrate comes from ingredients with a published, measured GI; the rest uses conventional placeholders (see Ingredients sheet)</t>
        </is>
      </c>
      <c r="Z354" s="2" t="n">
        <v>0</v>
      </c>
      <c r="AA354" s="3" t="inlineStr">
        <is>
          <t>gluten-free, low-carb, high-protein</t>
        </is>
      </c>
      <c r="AB354" s="3" t="inlineStr">
        <is>
          <t>1. Butterfly chicken, spread Dijon, layer ham and Swiss; roll and secure.
2. Sprinkle with almond flour-parmesan; bake at 400°F 25–28 minutes.
3. Serve with roasted asparagus.</t>
        </is>
      </c>
      <c r="AC354" s="4" t="inlineStr">
        <is>
          <t>["Butterfly chicken, spread Dijon, layer ham and Swiss; roll and secure.", "Sprinkle with almond flour-parmesan; bake at 400°F 25–28 minutes.", "Serve with roasted asparagus."]</t>
        </is>
      </c>
    </row>
    <row r="355" ht="96" customHeight="1">
      <c r="A355" s="2" t="inlineStr">
        <is>
          <t>DB-0354</t>
        </is>
      </c>
      <c r="B355" s="3" t="inlineStr">
        <is>
          <t>Turkey Zucchini Meatloaf</t>
        </is>
      </c>
      <c r="C355" s="4" t="inlineStr">
        <is>
          <t>Poultry</t>
        </is>
      </c>
      <c r="D355" s="4" t="inlineStr">
        <is>
          <t>American</t>
        </is>
      </c>
      <c r="E355" s="2" t="n">
        <v>6</v>
      </c>
      <c r="F355" s="2" t="n">
        <v>15</v>
      </c>
      <c r="G355" s="2" t="n">
        <v>55</v>
      </c>
      <c r="H355" s="2" t="n">
        <v>70</v>
      </c>
      <c r="I355" s="4" t="inlineStr">
        <is>
          <t>turkey-zucchini-meatloaf.jpg</t>
        </is>
      </c>
      <c r="J355" s="3" t="inlineStr">
        <is>
          <t>Turkey Zucchini Meatloaf, healthy food photography, plated, natural light</t>
        </is>
      </c>
      <c r="K355" s="4" t="inlineStr"/>
      <c r="L355" s="3" t="inlineStr">
        <is>
          <t>Ground turkey 93% lean — 900 g (31.7 oz)
Zucchini — 250 g (8.8 oz)
Yellow onion — 100 g (3.5 oz)
Egg, large (50 g each) — 100 g (3.5 oz) [2 large eggs]
Almond flour — 50 g (1.8 oz)
Garlic — 8 g (0.3 oz)
Parmesan, grated — 40 g (1.4 oz)
Italian seasoning — 4 g (0.1 oz)
Tomato paste — 40 g (1.4 oz)
Dijon mustard — 10 g (0.4 oz)
Salt — 4 g (0.1 oz)</t>
        </is>
      </c>
      <c r="M355" s="4" t="inlineStr">
        <is>
          <t>[{"ingredient_id": "ground_turkey", "name": "Ground turkey 93% lean", "grams": 900.0, "note": ""}, {"ingredient_id": "zucchini", "name": "Zucchini", "grams": 250.0, "note": ""}, {"ingredient_id": "onion", "name": "Yellow onion", "grams": 100.0, "note": ""}, {"ingredient_id": "egg", "name": "Egg, large (50 g each)", "grams": 100.0, "note": "2 large eggs"}, {"ingredient_id": "almond_flour", "name": "Almond flour", "grams": 50.0, "note": ""}, {"ingredient_id": "garlic", "name": "Garlic", "grams": 8.0, "note": ""}, {"ingredient_id": "parmesan", "name": "Parmesan, grated", "grams": 40.0, "note": ""}, {"ingredient_id": "italian_seasoning", "name": "Italian seasoning", "grams": 4.0, "note": ""}, {"ingredient_id": "tomato_paste", "name": "Tomato paste", "grams": 40.0, "note": ""}, {"ingredient_id": "dijon", "name": "Dijon mustard", "grams": 10.0, "note": ""}, {"ingredient_id": "salt", "name": "Salt", "grams": 4.0, "note": ""}]</t>
        </is>
      </c>
      <c r="N355" s="2" t="n">
        <v>351</v>
      </c>
      <c r="O355" s="5" t="n">
        <v>35.6</v>
      </c>
      <c r="P355" s="5" t="n">
        <v>19.9</v>
      </c>
      <c r="Q355" s="5" t="n">
        <v>7.2</v>
      </c>
      <c r="R355" s="5" t="n">
        <v>2.3</v>
      </c>
      <c r="S355" s="5" t="n">
        <v>4.9</v>
      </c>
      <c r="T355" s="2" t="n">
        <v>19</v>
      </c>
      <c r="U355" s="2" t="inlineStr">
        <is>
          <t>low</t>
        </is>
      </c>
      <c r="V355" s="5" t="n">
        <v>0.9</v>
      </c>
      <c r="W355" s="2" t="inlineStr">
        <is>
          <t>low</t>
        </is>
      </c>
      <c r="X355" s="3" t="inlineStr">
        <is>
          <t>Negligible carbohydrate (&lt;5 g net/serving): GI has little practical meaning, glycemic load is what matters.</t>
        </is>
      </c>
      <c r="Y355" s="3" t="inlineStr">
        <is>
          <t>0% of this dish's available carbohydrate comes from ingredients with a published, measured GI; the rest uses conventional placeholders (see Ingredients sheet)</t>
        </is>
      </c>
      <c r="Z355" s="2" t="n">
        <v>0</v>
      </c>
      <c r="AA355" s="3" t="inlineStr">
        <is>
          <t>gluten-free, low-carb, high-protein, make-ahead</t>
        </is>
      </c>
      <c r="AB355" s="3" t="inlineStr">
        <is>
          <t>1. Mix turkey, grated squeezed zucchini, onion, eggs, almond flour, garlic, parmesan, seasoning, salt.
2. Shape into a loaf; spread with tomato paste mixed with Dijon.
3. Bake at 375°F 50–55 minutes to 165°F; rest 10 minutes.</t>
        </is>
      </c>
      <c r="AC355" s="4" t="inlineStr">
        <is>
          <t>["Mix turkey, grated squeezed zucchini, onion, eggs, almond flour, garlic, parmesan, seasoning, salt.", "Shape into a loaf; spread with tomato paste mixed with Dijon.", "Bake at 375°F 50–55 minutes to 165°F; rest 10 minutes."]</t>
        </is>
      </c>
    </row>
    <row r="356" ht="96" customHeight="1">
      <c r="A356" s="2" t="inlineStr">
        <is>
          <t>DB-0355</t>
        </is>
      </c>
      <c r="B356" s="3" t="inlineStr">
        <is>
          <t>Chicken Satay with Peanut Sauce</t>
        </is>
      </c>
      <c r="C356" s="4" t="inlineStr">
        <is>
          <t>Poultry</t>
        </is>
      </c>
      <c r="D356" s="4" t="inlineStr">
        <is>
          <t>Thai</t>
        </is>
      </c>
      <c r="E356" s="2" t="n">
        <v>4</v>
      </c>
      <c r="F356" s="2" t="n">
        <v>20</v>
      </c>
      <c r="G356" s="2" t="n">
        <v>12</v>
      </c>
      <c r="H356" s="2" t="n">
        <v>32</v>
      </c>
      <c r="I356" s="4" t="inlineStr">
        <is>
          <t>chicken-satay-with-peanut-sauce.jpg</t>
        </is>
      </c>
      <c r="J356" s="3" t="inlineStr">
        <is>
          <t>Chicken Satay with Peanut Sauce, healthy food photography, plated, natural light</t>
        </is>
      </c>
      <c r="K356" s="4" t="inlineStr"/>
      <c r="L356" s="3" t="inlineStr">
        <is>
          <t>Chicken breast, skinless — 600 g (21.2 oz)
Coconut milk, canned light — 100 g (3.5 oz)
Curry powder — 4 g (0.1 oz)
Ground turmeric — 2 g (0.1 oz)
Garlic — 6 g (0.2 oz)
Tamari (gluten-free soy sauce) — 20 g (0.7 oz)
Peanut butter, natural — 50 g (1.8 oz)
Lime juice — 20 g (0.7 oz)
Sriracha — 6 g (0.2 oz)
Cucumber — 200 g (7.1 oz)
Avocado oil — 10 g (0.4 oz)</t>
        </is>
      </c>
      <c r="M356" s="4" t="inlineStr">
        <is>
          <t>[{"ingredient_id": "chicken_breast", "name": "Chicken breast, skinless", "grams": 600.0, "note": ""}, {"ingredient_id": "coconut_milk_light", "name": "Coconut milk, canned light", "grams": 100.0, "note": ""}, {"ingredient_id": "curry_powder", "name": "Curry powder", "grams": 4.0, "note": ""}, {"ingredient_id": "turmeric", "name": "Ground turmeric", "grams": 2.0, "note": ""}, {"ingredient_id": "garlic", "name": "Garlic", "grams": 6.0, "note": ""}, {"ingredient_id": "tamari", "name": "Tamari (gluten-free soy sauce)", "grams": 20.0, "note": ""}, {"ingredient_id": "peanut_butter", "name": "Peanut butter, natural", "grams": 50.0, "note": ""}, {"ingredient_id": "lime_juice", "name": "Lime juice", "grams": 20.0, "note": ""}, {"ingredient_id": "sriracha", "name": "Sriracha", "grams": 6.0, "note": ""}, {"ingredient_id": "cucumber", "name": "Cucumber", "grams": 200.0, "note": ""}, {"ingredient_id": "avocado_oil", "name": "Avocado oil", "grams": 10.0, "note": ""}]</t>
        </is>
      </c>
      <c r="N356" s="2" t="n">
        <v>313</v>
      </c>
      <c r="O356" s="5" t="n">
        <v>38.2</v>
      </c>
      <c r="P356" s="5" t="n">
        <v>14.4</v>
      </c>
      <c r="Q356" s="5" t="n">
        <v>7.3</v>
      </c>
      <c r="R356" s="5" t="n">
        <v>1.8</v>
      </c>
      <c r="S356" s="5" t="n">
        <v>5.5</v>
      </c>
      <c r="T356" s="2" t="n">
        <v>20</v>
      </c>
      <c r="U356" s="2" t="inlineStr">
        <is>
          <t>low</t>
        </is>
      </c>
      <c r="V356" s="5" t="n">
        <v>1.1</v>
      </c>
      <c r="W356" s="2" t="inlineStr">
        <is>
          <t>low</t>
        </is>
      </c>
      <c r="X356" s="3" t="inlineStr"/>
      <c r="Y356" s="3" t="inlineStr">
        <is>
          <t>0% of this dish's available carbohydrate comes from ingredients with a published, measured GI; the rest uses conventional placeholders (see Ingredients sheet)</t>
        </is>
      </c>
      <c r="Z356" s="2" t="n">
        <v>0</v>
      </c>
      <c r="AA356" s="3" t="inlineStr">
        <is>
          <t>gluten-free, dairy-free, low-carb, high-protein</t>
        </is>
      </c>
      <c r="AB356" s="3" t="inlineStr">
        <is>
          <t>1. Marinate chicken strips in coconut milk, curry powder, turmeric, garlic and half the tamari 20 minutes; skewer.
2. Grill 4–5 minutes per side.
3. Whisk peanut butter, remaining tamari, lime, sriracha and warm water; serve with cucumber.</t>
        </is>
      </c>
      <c r="AC356" s="4" t="inlineStr">
        <is>
          <t>["Marinate chicken strips in coconut milk, curry powder, turmeric, garlic and half the tamari 20 minutes; skewer.", "Grill 4–5 minutes per side.", "Whisk peanut butter, remaining tamari, lime, sriracha and warm water; serve with cucumber."]</t>
        </is>
      </c>
    </row>
    <row r="357" ht="96" customHeight="1">
      <c r="A357" s="2" t="inlineStr">
        <is>
          <t>DB-0356</t>
        </is>
      </c>
      <c r="B357" s="3" t="inlineStr">
        <is>
          <t>Chicken Kale Sausage Skillet with White Beans</t>
        </is>
      </c>
      <c r="C357" s="4" t="inlineStr">
        <is>
          <t>Poultry</t>
        </is>
      </c>
      <c r="D357" s="4" t="inlineStr">
        <is>
          <t>Italian</t>
        </is>
      </c>
      <c r="E357" s="2" t="n">
        <v>4</v>
      </c>
      <c r="F357" s="2" t="n">
        <v>10</v>
      </c>
      <c r="G357" s="2" t="n">
        <v>20</v>
      </c>
      <c r="H357" s="2" t="n">
        <v>30</v>
      </c>
      <c r="I357" s="4" t="inlineStr">
        <is>
          <t>chicken-kale-sausage-skillet-with-white-beans.jpg</t>
        </is>
      </c>
      <c r="J357" s="3" t="inlineStr">
        <is>
          <t>Chicken Kale Sausage Skillet with White Beans, healthy food photography, plated, natural light</t>
        </is>
      </c>
      <c r="K357" s="4" t="inlineStr"/>
      <c r="L357" s="3" t="inlineStr">
        <is>
          <t>Chicken sausage — 450 g (15.9 oz)
Kale — 250 g (8.8 oz)
Cannellini beans, cooked — 400 g (14.1 oz)
Garlic — 8 g (0.3 oz)
Yellow onion — 80 g (2.8 oz)
Chicken broth, low sodium — 150 g (5.3 oz)
Extra-virgin olive oil — 12 g (0.4 oz)
Red pepper flakes — 1 g (0.0 oz)
Parmesan, grated — 30 g (1.1 oz)
Lemon juice — 10 g (0.4 oz)</t>
        </is>
      </c>
      <c r="M357" s="4" t="inlineStr">
        <is>
          <t>[{"ingredient_id": "chicken_sausage", "name": "Chicken sausage", "grams": 450.0, "note": ""}, {"ingredient_id": "kale", "name": "Kale", "grams": 250.0, "note": ""}, {"ingredient_id": "white_beans", "name": "Cannellini beans, cooked", "grams": 400.0, "note": ""}, {"ingredient_id": "garlic", "name": "Garlic", "grams": 8.0, "note": ""}, {"ingredient_id": "onion", "name": "Yellow onion", "grams": 80.0, "note": ""}, {"ingredient_id": "chicken_broth", "name": "Chicken broth, low sodium", "grams": 150.0, "note": ""}, {"ingredient_id": "olive_oil", "name": "Extra-virgin olive oil", "grams": 12.0, "note": ""}, {"ingredient_id": "red_pepper_flakes", "name": "Red pepper flakes", "grams": 1.0, "note": ""}, {"ingredient_id": "parmesan", "name": "Parmesan, grated", "grams": 30.0, "note": ""}, {"ingredient_id": "lemon_juice", "name": "Lemon juice", "grams": 10.0, "note": ""}]</t>
        </is>
      </c>
      <c r="N357" s="2" t="n">
        <v>435</v>
      </c>
      <c r="O357" s="5" t="n">
        <v>32.9</v>
      </c>
      <c r="P357" s="5" t="n">
        <v>18.7</v>
      </c>
      <c r="Q357" s="5" t="n">
        <v>36.1</v>
      </c>
      <c r="R357" s="5" t="n">
        <v>9</v>
      </c>
      <c r="S357" s="5" t="n">
        <v>27.1</v>
      </c>
      <c r="T357" s="2" t="n">
        <v>25</v>
      </c>
      <c r="U357" s="2" t="inlineStr">
        <is>
          <t>low</t>
        </is>
      </c>
      <c r="V357" s="5" t="n">
        <v>6.8</v>
      </c>
      <c r="W357" s="2" t="inlineStr">
        <is>
          <t>low</t>
        </is>
      </c>
      <c r="X357" s="3" t="inlineStr"/>
      <c r="Y357" s="3" t="inlineStr">
        <is>
          <t>69% of this dish's available carbohydrate comes from ingredients with a published, measured GI; the rest uses conventional placeholders (see Ingredients sheet)</t>
        </is>
      </c>
      <c r="Z357" s="2" t="n">
        <v>69</v>
      </c>
      <c r="AA357" s="3" t="inlineStr">
        <is>
          <t>gluten-free, nut-free, high-protein, high-fiber, one-pan</t>
        </is>
      </c>
      <c r="AB357" s="3" t="inlineStr">
        <is>
          <t>1. Brown sausage slices in oil; add onion and garlic.
2. Add kale and broth; cook until wilted.
3. Stir in beans, pepper flakes, lemon; top with parmesan.</t>
        </is>
      </c>
      <c r="AC357" s="4" t="inlineStr">
        <is>
          <t>["Brown sausage slices in oil; add onion and garlic.", "Add kale and broth; cook until wilted.", "Stir in beans, pepper flakes, lemon; top with parmesan."]</t>
        </is>
      </c>
    </row>
    <row r="358" ht="96" customHeight="1">
      <c r="A358" s="2" t="inlineStr">
        <is>
          <t>DB-0357</t>
        </is>
      </c>
      <c r="B358" s="3" t="inlineStr">
        <is>
          <t>Chicken Tinga Tostadas (Low-Carb)</t>
        </is>
      </c>
      <c r="C358" s="4" t="inlineStr">
        <is>
          <t>Poultry</t>
        </is>
      </c>
      <c r="D358" s="4" t="inlineStr">
        <is>
          <t>Mexican</t>
        </is>
      </c>
      <c r="E358" s="2" t="n">
        <v>4</v>
      </c>
      <c r="F358" s="2" t="n">
        <v>10</v>
      </c>
      <c r="G358" s="2" t="n">
        <v>25</v>
      </c>
      <c r="H358" s="2" t="n">
        <v>35</v>
      </c>
      <c r="I358" s="4" t="inlineStr">
        <is>
          <t>chicken-tinga-tostadas-low-carb.jpg</t>
        </is>
      </c>
      <c r="J358" s="3" t="inlineStr">
        <is>
          <t>Chicken Tinga Tostadas (Low-Carb), healthy food photography, plated, natural light</t>
        </is>
      </c>
      <c r="K358" s="4" t="inlineStr"/>
      <c r="L358" s="3" t="inlineStr">
        <is>
          <t>Chicken breast, skinless — 600 g (21.2 oz)
Chipotle peppers in adobo — 30 g (1.1 oz)
Diced tomatoes, canned — 400 g (14.1 oz)
Yellow onion — 100 g (3.5 oz)
Garlic — 6 g (0.2 oz)
Extra-virgin olive oil — 10 g (0.4 oz)
Low-carb high-fiber tortilla — 168 g (5.9 oz) [4 tortillas, baked crisp]
Refried beans, fat-free — 200 g (7.1 oz)
Romaine lettuce — 150 g (5.3 oz)
Cotija cheese — 40 g (1.4 oz)
Avocado — 100 g (3.5 oz)
Greek yogurt, plain 2% — 60 g (2.1 oz)</t>
        </is>
      </c>
      <c r="M358" s="4" t="inlineStr">
        <is>
          <t>[{"ingredient_id": "chicken_breast", "name": "Chicken breast, skinless", "grams": 600.0, "note": ""}, {"ingredient_id": "chipotle_adobo", "name": "Chipotle peppers in adobo", "grams": 30.0, "note": ""}, {"ingredient_id": "diced_tomatoes", "name": "Diced tomatoes, canned", "grams": 400.0, "note": ""}, {"ingredient_id": "onion", "name": "Yellow onion", "grams": 100.0, "note": ""}, {"ingredient_id": "garlic", "name": "Garlic", "grams": 6.0, "note": ""}, {"ingredient_id": "olive_oil", "name": "Extra-virgin olive oil", "grams": 10.0, "note": ""}, {"ingredient_id": "low_carb_tortilla", "name": "Low-carb high-fiber tortilla", "grams": 168.0, "note": "4 tortillas, baked crisp"}, {"ingredient_id": "refried_beans", "name": "Refried beans, fat-free", "grams": 200.0, "note": ""}, {"ingredient_id": "romaine", "name": "Romaine lettuce", "grams": 150.0, "note": ""}, {"ingredient_id": "cotija", "name": "Cotija cheese", "grams": 40.0, "note": ""}, {"ingredient_id": "avocado", "name": "Avocado", "grams": 100.0, "note": ""}, {"ingredient_id": "greek_yogurt", "name": "Greek yogurt, plain 2%", "grams": 60.0, "note": ""}]</t>
        </is>
      </c>
      <c r="N358" s="2" t="n">
        <v>488</v>
      </c>
      <c r="O358" s="5" t="n">
        <v>47.7</v>
      </c>
      <c r="P358" s="5" t="n">
        <v>17.5</v>
      </c>
      <c r="Q358" s="5" t="n">
        <v>37.5</v>
      </c>
      <c r="R358" s="5" t="n">
        <v>17.7</v>
      </c>
      <c r="S358" s="5" t="n">
        <v>19.8</v>
      </c>
      <c r="T358" s="2" t="n">
        <v>30</v>
      </c>
      <c r="U358" s="2" t="inlineStr">
        <is>
          <t>low</t>
        </is>
      </c>
      <c r="V358" s="5" t="n">
        <v>5.9</v>
      </c>
      <c r="W358" s="2" t="inlineStr">
        <is>
          <t>low</t>
        </is>
      </c>
      <c r="X358" s="3" t="inlineStr"/>
      <c r="Y358" s="3" t="inlineStr">
        <is>
          <t>3% of this dish's available carbohydrate comes from ingredients with a published, measured GI; the rest uses conventional placeholders (see Ingredients sheet)</t>
        </is>
      </c>
      <c r="Z358" s="2" t="n">
        <v>3</v>
      </c>
      <c r="AA358" s="3" t="inlineStr">
        <is>
          <t>nut-free, high-protein, high-fiber</t>
        </is>
      </c>
      <c r="AB358" s="3" t="inlineStr">
        <is>
          <t>1. Poach chicken and shred. Blend tomatoes, chipotle, sautéed onion and garlic; simmer with chicken 10 minutes.
2. Bake tortillas at 400°F 8 minutes until crisp.
3. Top with beans, tinga, lettuce, cotija, avocado and yogurt.</t>
        </is>
      </c>
      <c r="AC358" s="4" t="inlineStr">
        <is>
          <t>["Poach chicken and shred. Blend tomatoes, chipotle, sautéed onion and garlic; simmer with chicken 10 minutes.", "Bake tortillas at 400°F 8 minutes until crisp.", "Top with beans, tinga, lettuce, cotija, avocado and yogurt."]</t>
        </is>
      </c>
    </row>
    <row r="359" ht="96" customHeight="1">
      <c r="A359" s="2" t="inlineStr">
        <is>
          <t>DB-0358</t>
        </is>
      </c>
      <c r="B359" s="3" t="inlineStr">
        <is>
          <t>Chicken with Creamy Mushroom Sauce</t>
        </is>
      </c>
      <c r="C359" s="4" t="inlineStr">
        <is>
          <t>Poultry</t>
        </is>
      </c>
      <c r="D359" s="4" t="inlineStr">
        <is>
          <t>French</t>
        </is>
      </c>
      <c r="E359" s="2" t="n">
        <v>4</v>
      </c>
      <c r="F359" s="2" t="n">
        <v>10</v>
      </c>
      <c r="G359" s="2" t="n">
        <v>25</v>
      </c>
      <c r="H359" s="2" t="n">
        <v>35</v>
      </c>
      <c r="I359" s="4" t="inlineStr">
        <is>
          <t>chicken-with-creamy-mushroom-sauce.jpg</t>
        </is>
      </c>
      <c r="J359" s="3" t="inlineStr">
        <is>
          <t>Chicken with Creamy Mushroom Sauce, healthy food photography, plated, natural light</t>
        </is>
      </c>
      <c r="K359" s="4" t="inlineStr"/>
      <c r="L359" s="3" t="inlineStr">
        <is>
          <t>Chicken breast, skinless — 600 g (21.2 oz)
Mushrooms (cremini/white) — 300 g (10.6 oz)
Shallot — 40 g (1.4 oz)
Garlic — 6 g (0.2 oz)
Chicken broth, low sodium — 150 g (5.3 oz)
Greek yogurt, plain 2% — 100 g (3.5 oz)
Dijon mustard — 10 g (0.4 oz)
Fresh thyme — 2 g (0.1 oz)
Extra-virgin olive oil — 15 g (0.5 oz)
Green beans — 400 g (14.1 oz)
Salt — 3 g (0.1 oz)</t>
        </is>
      </c>
      <c r="M359" s="4" t="inlineStr">
        <is>
          <t>[{"ingredient_id": "chicken_breast", "name": "Chicken breast, skinless", "grams": 600.0, "note": ""}, {"ingredient_id": "mushrooms", "name": "Mushrooms (cremini/white)", "grams": 300.0, "note": ""}, {"ingredient_id": "shallot", "name": "Shallot", "grams": 40.0, "note": ""}, {"ingredient_id": "garlic", "name": "Garlic", "grams": 6.0, "note": ""}, {"ingredient_id": "chicken_broth", "name": "Chicken broth, low sodium", "grams": 150.0, "note": ""}, {"ingredient_id": "greek_yogurt", "name": "Greek yogurt, plain 2%", "grams": 100.0, "note": ""}, {"ingredient_id": "dijon", "name": "Dijon mustard", "grams": 10.0, "note": ""}, {"ingredient_id": "thyme", "name": "Fresh thyme", "grams": 2.0, "note": ""}, {"ingredient_id": "olive_oil", "name": "Extra-virgin olive oil", "grams": 15.0, "note": ""}, {"ingredient_id": "green_beans", "name": "Green beans", "grams": 400.0, "note": ""}, {"ingredient_id": "salt", "name": "Salt", "grams": 3.0, "note": ""}]</t>
        </is>
      </c>
      <c r="N359" s="2" t="n">
        <v>293</v>
      </c>
      <c r="O359" s="5" t="n">
        <v>41.2</v>
      </c>
      <c r="P359" s="5" t="n">
        <v>8.800000000000001</v>
      </c>
      <c r="Q359" s="5" t="n">
        <v>13.1</v>
      </c>
      <c r="R359" s="5" t="n">
        <v>3.9</v>
      </c>
      <c r="S359" s="5" t="n">
        <v>9.199999999999999</v>
      </c>
      <c r="T359" s="2" t="n">
        <v>15</v>
      </c>
      <c r="U359" s="2" t="inlineStr">
        <is>
          <t>low</t>
        </is>
      </c>
      <c r="V359" s="5" t="n">
        <v>1.4</v>
      </c>
      <c r="W359" s="2" t="inlineStr">
        <is>
          <t>low</t>
        </is>
      </c>
      <c r="X359" s="3" t="inlineStr"/>
      <c r="Y359" s="3" t="inlineStr">
        <is>
          <t>11% of this dish's available carbohydrate comes from ingredients with a published, measured GI; the rest uses conventional placeholders (see Ingredients sheet)</t>
        </is>
      </c>
      <c r="Z359" s="2" t="n">
        <v>11</v>
      </c>
      <c r="AA359" s="3" t="inlineStr">
        <is>
          <t>gluten-free, nut-free, low-carb, high-protein</t>
        </is>
      </c>
      <c r="AB359" s="3" t="inlineStr">
        <is>
          <t>1. Sear chicken in oil; remove. Sauté mushrooms, shallot, garlic and thyme 6 minutes.
2. Add broth; reduce; stir in yogurt and Dijon off the heat.
3. Return chicken; serve with green beans.</t>
        </is>
      </c>
      <c r="AC359" s="4" t="inlineStr">
        <is>
          <t>["Sear chicken in oil; remove. Sauté mushrooms, shallot, garlic and thyme 6 minutes.", "Add broth; reduce; stir in yogurt and Dijon off the heat.", "Return chicken; serve with green beans."]</t>
        </is>
      </c>
    </row>
    <row r="360" ht="96" customHeight="1">
      <c r="A360" s="2" t="inlineStr">
        <is>
          <t>DB-0359</t>
        </is>
      </c>
      <c r="B360" s="3" t="inlineStr">
        <is>
          <t>Greek Turkey Meatballs with Cucumber Salad</t>
        </is>
      </c>
      <c r="C360" s="4" t="inlineStr">
        <is>
          <t>Poultry</t>
        </is>
      </c>
      <c r="D360" s="4" t="inlineStr">
        <is>
          <t>Greek</t>
        </is>
      </c>
      <c r="E360" s="2" t="n">
        <v>4</v>
      </c>
      <c r="F360" s="2" t="n">
        <v>15</v>
      </c>
      <c r="G360" s="2" t="n">
        <v>20</v>
      </c>
      <c r="H360" s="2" t="n">
        <v>35</v>
      </c>
      <c r="I360" s="4" t="inlineStr">
        <is>
          <t>greek-turkey-meatballs-with-cucumber-salad.jpg</t>
        </is>
      </c>
      <c r="J360" s="3" t="inlineStr">
        <is>
          <t>Greek Turkey Meatballs with Cucumber Salad, healthy food photography, plated, natural light</t>
        </is>
      </c>
      <c r="K360" s="4" t="inlineStr"/>
      <c r="L360" s="3" t="inlineStr">
        <is>
          <t>Ground turkey 93% lean — 600 g (21.2 oz)
Feta cheese — 60 g (2.1 oz)
Red onion — 50 g (1.8 oz)
Garlic — 6 g (0.2 oz)
Dried oregano — 3 g (0.1 oz)
Fresh mint — 6 g (0.2 oz)
Egg, large (50 g each) — 50 g (1.8 oz)
Almond flour — 30 g (1.1 oz)
Cucumber — 300 g (10.6 oz)
Cherry tomatoes — 200 g (7.1 oz)
Greek yogurt, plain 2% — 150 g (5.3 oz)
Fresh dill — 5 g (0.2 oz)
Extra-virgin olive oil — 15 g (0.5 oz)
Salt — 3 g (0.1 oz)</t>
        </is>
      </c>
      <c r="M360" s="4" t="inlineStr">
        <is>
          <t>[{"ingredient_id": "ground_turkey", "name": "Ground turkey 93% lean", "grams": 600.0, "note": ""}, {"ingredient_id": "feta", "name": "Feta cheese", "grams": 60.0, "note": ""}, {"ingredient_id": "red_onion", "name": "Red onion", "grams": 50.0, "note": ""}, {"ingredient_id": "garlic", "name": "Garlic", "grams": 6.0, "note": ""}, {"ingredient_id": "oregano", "name": "Dried oregano", "grams": 3.0, "note": ""}, {"ingredient_id": "mint", "name": "Fresh mint", "grams": 6.0, "note": ""}, {"ingredient_id": "egg", "name": "Egg, large (50 g each)", "grams": 50.0, "note": ""}, {"ingredient_id": "almond_flour", "name": "Almond flour", "grams": 30.0, "note": ""}, {"ingredient_id": "cucumber", "name": "Cucumber", "grams": 300.0, "note": ""}, {"ingredient_id": "cherry_tomato", "name": "Cherry tomatoes", "grams": 200.0, "note": ""}, {"ingredient_id": "greek_yogurt", "name": "Greek yogurt, plain 2%", "grams": 150.0, "note": ""}, {"ingredient_id": "dill", "name": "Fresh dill", "grams": 5.0, "note": ""}, {"ingredient_id": "olive_oil", "name": "Extra-virgin olive oil", "grams": 15.0, "note": ""}, {"ingredient_id": "salt", "name": "Salt", "grams": 3.0, "note": ""}]</t>
        </is>
      </c>
      <c r="N360" s="2" t="n">
        <v>418</v>
      </c>
      <c r="O360" s="5" t="n">
        <v>38.4</v>
      </c>
      <c r="P360" s="5" t="n">
        <v>24.8</v>
      </c>
      <c r="Q360" s="5" t="n">
        <v>10.8</v>
      </c>
      <c r="R360" s="5" t="n">
        <v>2.6</v>
      </c>
      <c r="S360" s="5" t="n">
        <v>8.199999999999999</v>
      </c>
      <c r="T360" s="2" t="n">
        <v>14</v>
      </c>
      <c r="U360" s="2" t="inlineStr">
        <is>
          <t>low</t>
        </is>
      </c>
      <c r="V360" s="5" t="n">
        <v>1.2</v>
      </c>
      <c r="W360" s="2" t="inlineStr">
        <is>
          <t>low</t>
        </is>
      </c>
      <c r="X360" s="3" t="inlineStr"/>
      <c r="Y360" s="3" t="inlineStr">
        <is>
          <t>18% of this dish's available carbohydrate comes from ingredients with a published, measured GI; the rest uses conventional placeholders (see Ingredients sheet)</t>
        </is>
      </c>
      <c r="Z360" s="2" t="n">
        <v>18</v>
      </c>
      <c r="AA360" s="3" t="inlineStr">
        <is>
          <t>gluten-free, low-carb, high-protein, meal-prep</t>
        </is>
      </c>
      <c r="AB360" s="3" t="inlineStr">
        <is>
          <t>1. Mix turkey, feta, onion, garlic, oregano, mint, egg, almond flour, salt; form 16 meatballs.
2. Bake at 400°F 18 minutes.
3. Serve with cucumber-tomato salad and yogurt-dill sauce.</t>
        </is>
      </c>
      <c r="AC360" s="4" t="inlineStr">
        <is>
          <t>["Mix turkey, feta, onion, garlic, oregano, mint, egg, almond flour, salt; form 16 meatballs.", "Bake at 400°F 18 minutes.", "Serve with cucumber-tomato salad and yogurt-dill sauce."]</t>
        </is>
      </c>
    </row>
    <row r="361" ht="96" customHeight="1">
      <c r="A361" s="2" t="inlineStr">
        <is>
          <t>DB-0360</t>
        </is>
      </c>
      <c r="B361" s="3" t="inlineStr">
        <is>
          <t>Chicken &amp; Asparagus Sheet Pan with Lemon</t>
        </is>
      </c>
      <c r="C361" s="4" t="inlineStr">
        <is>
          <t>Poultry</t>
        </is>
      </c>
      <c r="D361" s="4" t="inlineStr">
        <is>
          <t>American</t>
        </is>
      </c>
      <c r="E361" s="2" t="n">
        <v>4</v>
      </c>
      <c r="F361" s="2" t="n">
        <v>10</v>
      </c>
      <c r="G361" s="2" t="n">
        <v>25</v>
      </c>
      <c r="H361" s="2" t="n">
        <v>35</v>
      </c>
      <c r="I361" s="4" t="inlineStr">
        <is>
          <t>chicken-and-asparagus-sheet-pan-with-lemon.jpg</t>
        </is>
      </c>
      <c r="J361" s="3" t="inlineStr">
        <is>
          <t>Chicken &amp; Asparagus Sheet Pan with Lemon, healthy food photography, plated, natural light</t>
        </is>
      </c>
      <c r="K361" s="4" t="inlineStr"/>
      <c r="L361" s="3" t="inlineStr">
        <is>
          <t>Chicken breast, skinless — 600 g (21.2 oz)
Asparagus — 500 g (17.6 oz)
Cherry tomatoes — 250 g (8.8 oz)
Lemon (with juice &amp; zest) — 60 g (2.1 oz)
Garlic — 8 g (0.3 oz)
Extra-virgin olive oil — 20 g (0.7 oz)
Parmesan, grated — 30 g (1.1 oz)
Italian seasoning — 3 g (0.1 oz)
Salt — 3 g (0.1 oz)</t>
        </is>
      </c>
      <c r="M361" s="4" t="inlineStr">
        <is>
          <t>[{"ingredient_id": "chicken_breast", "name": "Chicken breast, skinless", "grams": 600.0, "note": ""}, {"ingredient_id": "asparagus", "name": "Asparagus", "grams": 500.0, "note": ""}, {"ingredient_id": "cherry_tomato", "name": "Cherry tomatoes", "grams": 250.0, "note": ""}, {"ingredient_id": "lemon", "name": "Lemon (with juice &amp; zest)", "grams": 60.0, "note": ""}, {"ingredient_id": "garlic", "name": "Garlic", "grams": 8.0, "note": ""}, {"ingredient_id": "olive_oil", "name": "Extra-virgin olive oil", "grams": 20.0, "note": ""}, {"ingredient_id": "parmesan", "name": "Parmesan, grated", "grams": 30.0, "note": ""}, {"ingredient_id": "italian_seasoning", "name": "Italian seasoning", "grams": 3.0, "note": ""}, {"ingredient_id": "salt", "name": "Salt", "grams": 3.0, "note": ""}]</t>
        </is>
      </c>
      <c r="N361" s="2" t="n">
        <v>302</v>
      </c>
      <c r="O361" s="5" t="n">
        <v>40.3</v>
      </c>
      <c r="P361" s="5" t="n">
        <v>11.4</v>
      </c>
      <c r="Q361" s="5" t="n">
        <v>10.2</v>
      </c>
      <c r="R361" s="5" t="n">
        <v>4.2</v>
      </c>
      <c r="S361" s="5" t="n">
        <v>6</v>
      </c>
      <c r="T361" s="2" t="n">
        <v>17</v>
      </c>
      <c r="U361" s="2" t="inlineStr">
        <is>
          <t>low</t>
        </is>
      </c>
      <c r="V361" s="5" t="n">
        <v>1</v>
      </c>
      <c r="W361" s="2" t="inlineStr">
        <is>
          <t>low</t>
        </is>
      </c>
      <c r="X361" s="3" t="inlineStr"/>
      <c r="Y361" s="3" t="inlineStr">
        <is>
          <t>0% of this dish's available carbohydrate comes from ingredients with a published, measured GI; the rest uses conventional placeholders (see Ingredients sheet)</t>
        </is>
      </c>
      <c r="Z361" s="2" t="n">
        <v>0</v>
      </c>
      <c r="AA361" s="3" t="inlineStr">
        <is>
          <t>gluten-free, nut-free, low-carb, high-protein, one-pan</t>
        </is>
      </c>
      <c r="AB361" s="3" t="inlineStr">
        <is>
          <t>1. Toss chicken and vegetables with oil, garlic, seasoning, salt; arrange on a sheet pan with lemon slices.
2. Roast at 425°F 22 minutes.
3. Sprinkle with parmesan.</t>
        </is>
      </c>
      <c r="AC361" s="4" t="inlineStr">
        <is>
          <t>["Toss chicken and vegetables with oil, garlic, seasoning, salt; arrange on a sheet pan with lemon slices.", "Roast at 425°F 22 minutes.", "Sprinkle with parmesan."]</t>
        </is>
      </c>
    </row>
    <row r="362" ht="96" customHeight="1">
      <c r="A362" s="2" t="inlineStr">
        <is>
          <t>DB-0361</t>
        </is>
      </c>
      <c r="B362" s="3" t="inlineStr">
        <is>
          <t>Turkey &amp; Spinach Stuffed Portobellos</t>
        </is>
      </c>
      <c r="C362" s="4" t="inlineStr">
        <is>
          <t>Poultry</t>
        </is>
      </c>
      <c r="D362" s="4" t="inlineStr">
        <is>
          <t>Italian</t>
        </is>
      </c>
      <c r="E362" s="2" t="n">
        <v>4</v>
      </c>
      <c r="F362" s="2" t="n">
        <v>15</v>
      </c>
      <c r="G362" s="2" t="n">
        <v>25</v>
      </c>
      <c r="H362" s="2" t="n">
        <v>40</v>
      </c>
      <c r="I362" s="4" t="inlineStr">
        <is>
          <t>turkey-and-spinach-stuffed-portobellos.jpg</t>
        </is>
      </c>
      <c r="J362" s="3" t="inlineStr">
        <is>
          <t>Turkey &amp; Spinach Stuffed Portobellos, healthy food photography, plated, natural light</t>
        </is>
      </c>
      <c r="K362" s="4" t="inlineStr"/>
      <c r="L362" s="3" t="inlineStr">
        <is>
          <t>Portobello mushrooms — 400 g (14.1 oz) [4 large caps]
Ground turkey 93% lean — 450 g (15.9 oz)
Spinach — 150 g (5.3 oz)
Yellow onion — 60 g (2.1 oz)
Garlic — 6 g (0.2 oz)
Marinara sauce, no sugar added — 150 g (5.3 oz)
Mozzarella, part-skim — 100 g (3.5 oz)
Italian seasoning — 3 g (0.1 oz)
Extra-virgin olive oil — 12 g (0.4 oz)</t>
        </is>
      </c>
      <c r="M362" s="4" t="inlineStr">
        <is>
          <t>[{"ingredient_id": "portobello", "name": "Portobello mushrooms", "grams": 400.0, "note": "4 large caps"}, {"ingredient_id": "ground_turkey", "name": "Ground turkey 93% lean", "grams": 450.0, "note": ""}, {"ingredient_id": "spinach", "name": "Spinach", "grams": 150.0, "note": ""}, {"ingredient_id": "onion", "name": "Yellow onion", "grams": 60.0, "note": ""}, {"ingredient_id": "garlic", "name": "Garlic", "grams": 6.0, "note": ""}, {"ingredient_id": "marinara", "name": "Marinara sauce, no sugar added", "grams": 150.0, "note": ""}, {"ingredient_id": "mozzarella", "name": "Mozzarella, part-skim", "grams": 100.0, "note": ""}, {"ingredient_id": "italian_seasoning", "name": "Italian seasoning", "grams": 3.0, "note": ""}, {"ingredient_id": "olive_oil", "name": "Extra-virgin olive oil", "grams": 12.0, "note": ""}]</t>
        </is>
      </c>
      <c r="N362" s="2" t="n">
        <v>316</v>
      </c>
      <c r="O362" s="5" t="n">
        <v>31.1</v>
      </c>
      <c r="P362" s="5" t="n">
        <v>17.5</v>
      </c>
      <c r="Q362" s="5" t="n">
        <v>10.3</v>
      </c>
      <c r="R362" s="5" t="n">
        <v>3.3</v>
      </c>
      <c r="S362" s="5" t="n">
        <v>7</v>
      </c>
      <c r="T362" s="2" t="n">
        <v>18</v>
      </c>
      <c r="U362" s="2" t="inlineStr">
        <is>
          <t>low</t>
        </is>
      </c>
      <c r="V362" s="5" t="n">
        <v>1.3</v>
      </c>
      <c r="W362" s="2" t="inlineStr">
        <is>
          <t>low</t>
        </is>
      </c>
      <c r="X362" s="3" t="inlineStr"/>
      <c r="Y362" s="3" t="inlineStr">
        <is>
          <t>19% of this dish's available carbohydrate comes from ingredients with a published, measured GI; the rest uses conventional placeholders (see Ingredients sheet)</t>
        </is>
      </c>
      <c r="Z362" s="2" t="n">
        <v>19</v>
      </c>
      <c r="AA362" s="3" t="inlineStr">
        <is>
          <t>gluten-free, nut-free, low-carb, high-protein</t>
        </is>
      </c>
      <c r="AB362" s="3" t="inlineStr">
        <is>
          <t>1. Brush caps with oil; roast 8 minutes.
2. Brown turkey with onion, garlic, seasoning; add spinach and marinara.
3. Fill caps, top with mozzarella; bake at 400°F 12 minutes.</t>
        </is>
      </c>
      <c r="AC362" s="4" t="inlineStr">
        <is>
          <t>["Brush caps with oil; roast 8 minutes.", "Brown turkey with onion, garlic, seasoning; add spinach and marinara.", "Fill caps, top with mozzarella; bake at 400°F 12 minutes."]</t>
        </is>
      </c>
    </row>
    <row r="363" ht="96" customHeight="1">
      <c r="A363" s="2" t="inlineStr">
        <is>
          <t>DB-0362</t>
        </is>
      </c>
      <c r="B363" s="3" t="inlineStr">
        <is>
          <t>Butter Chicken (Lightened)</t>
        </is>
      </c>
      <c r="C363" s="4" t="inlineStr">
        <is>
          <t>Poultry</t>
        </is>
      </c>
      <c r="D363" s="4" t="inlineStr">
        <is>
          <t>Indian</t>
        </is>
      </c>
      <c r="E363" s="2" t="n">
        <v>4</v>
      </c>
      <c r="F363" s="2" t="n">
        <v>15</v>
      </c>
      <c r="G363" s="2" t="n">
        <v>30</v>
      </c>
      <c r="H363" s="2" t="n">
        <v>45</v>
      </c>
      <c r="I363" s="4" t="inlineStr">
        <is>
          <t>butter-chicken-lightened.jpg</t>
        </is>
      </c>
      <c r="J363" s="3" t="inlineStr">
        <is>
          <t>Butter Chicken (Lightened), healthy food photography, plated, natural light</t>
        </is>
      </c>
      <c r="K363" s="4" t="inlineStr"/>
      <c r="L363" s="3" t="inlineStr">
        <is>
          <t>Chicken breast, skinless — 600 g (21.2 oz)
Greek yogurt, plain 2% — 150 g (5.3 oz)
Garam masala — 8 g (0.3 oz)
Ground turmeric — 2 g (0.1 oz)
Ground cumin — 3 g (0.1 oz)
Fresh ginger — 10 g (0.4 oz)
Garlic — 10 g (0.4 oz)
Butter — 15 g (0.5 oz)
Yellow onion — 120 g (4.2 oz)
Crushed tomatoes, canned — 400 g (14.1 oz)
Coconut milk, canned light — 200 g (7.1 oz)
Fresh cilantro — 8 g (0.3 oz)
Cauliflower rice — 500 g (17.6 oz)
Salt — 3 g (0.1 oz)</t>
        </is>
      </c>
      <c r="M363" s="4" t="inlineStr">
        <is>
          <t>[{"ingredient_id": "chicken_breast", "name": "Chicken breast, skinless", "grams": 600.0, "note": ""}, {"ingredient_id": "greek_yogurt", "name": "Greek yogurt, plain 2%", "grams": 150.0, "note": ""}, {"ingredient_id": "garam_masala", "name": "Garam masala", "grams": 8.0, "note": ""}, {"ingredient_id": "turmeric", "name": "Ground turmeric", "grams": 2.0, "note": ""}, {"ingredient_id": "cumin", "name": "Ground cumin", "grams": 3.0, "note": ""}, {"ingredient_id": "ginger", "name": "Fresh ginger", "grams": 10.0, "note": ""}, {"ingredient_id": "garlic", "name": "Garlic", "grams": 10.0, "note": ""}, {"ingredient_id": "butter", "name": "Butter", "grams": 15.0, "note": ""}, {"ingredient_id": "onion", "name": "Yellow onion", "grams": 120.0, "note": ""}, {"ingredient_id": "crushed_tomatoes", "name": "Crushed tomatoes, canned", "grams": 400.0, "note": ""}, {"ingredient_id": "coconut_milk_light", "name": "Coconut milk, canned light", "grams": 200.0, "note": ""}, {"ingredient_id": "cilantro", "name": "Fresh cilantro", "grams": 8.0, "note": ""}, {"ingredient_id": "cauliflower_rice", "name": "Cauliflower rice", "grams": 500.0, "note": ""}, {"ingredient_id": "salt", "name": "Salt", "grams": 3.0, "note": ""}]</t>
        </is>
      </c>
      <c r="N363" s="2" t="n">
        <v>361</v>
      </c>
      <c r="O363" s="5" t="n">
        <v>42.9</v>
      </c>
      <c r="P363" s="5" t="n">
        <v>11.9</v>
      </c>
      <c r="Q363" s="5" t="n">
        <v>22</v>
      </c>
      <c r="R363" s="5" t="n">
        <v>6.3</v>
      </c>
      <c r="S363" s="5" t="n">
        <v>15.6</v>
      </c>
      <c r="T363" s="2" t="n">
        <v>23</v>
      </c>
      <c r="U363" s="2" t="inlineStr">
        <is>
          <t>low</t>
        </is>
      </c>
      <c r="V363" s="5" t="n">
        <v>3.6</v>
      </c>
      <c r="W363" s="2" t="inlineStr">
        <is>
          <t>low</t>
        </is>
      </c>
      <c r="X363" s="3" t="inlineStr"/>
      <c r="Y363" s="3" t="inlineStr">
        <is>
          <t>10% of this dish's available carbohydrate comes from ingredients with a published, measured GI; the rest uses conventional placeholders (see Ingredients sheet)</t>
        </is>
      </c>
      <c r="Z363" s="2" t="n">
        <v>10</v>
      </c>
      <c r="AA363" s="3" t="inlineStr">
        <is>
          <t>gluten-free, nut-free, high-protein</t>
        </is>
      </c>
      <c r="AB363" s="3" t="inlineStr">
        <is>
          <t>1. Marinate chicken in half the yogurt and spices; broil 8 minutes.
2. Cook onion, ginger, garlic in butter; add tomatoes and simmer 10 minutes; blend.
3. Add coconut milk, remaining yogurt and chicken; simmer 8 minutes; serve over cauliflower rice.</t>
        </is>
      </c>
      <c r="AC363" s="4" t="inlineStr">
        <is>
          <t>["Marinate chicken in half the yogurt and spices; broil 8 minutes.", "Cook onion, ginger, garlic in butter; add tomatoes and simmer 10 minutes; blend.", "Add coconut milk, remaining yogurt and chicken; simmer 8 minutes; serve over cauliflower rice."]</t>
        </is>
      </c>
    </row>
    <row r="364" ht="96" customHeight="1">
      <c r="A364" s="2" t="inlineStr">
        <is>
          <t>DB-0363</t>
        </is>
      </c>
      <c r="B364" s="3" t="inlineStr">
        <is>
          <t>Chicken Pesto Zucchini Lasagna</t>
        </is>
      </c>
      <c r="C364" s="4" t="inlineStr">
        <is>
          <t>Poultry</t>
        </is>
      </c>
      <c r="D364" s="4" t="inlineStr">
        <is>
          <t>Italian</t>
        </is>
      </c>
      <c r="E364" s="2" t="n">
        <v>6</v>
      </c>
      <c r="F364" s="2" t="n">
        <v>25</v>
      </c>
      <c r="G364" s="2" t="n">
        <v>45</v>
      </c>
      <c r="H364" s="2" t="n">
        <v>70</v>
      </c>
      <c r="I364" s="4" t="inlineStr">
        <is>
          <t>chicken-pesto-zucchini-lasagna.jpg</t>
        </is>
      </c>
      <c r="J364" s="3" t="inlineStr">
        <is>
          <t>Chicken Pesto Zucchini Lasagna, healthy food photography, plated, natural light</t>
        </is>
      </c>
      <c r="K364" s="4" t="inlineStr"/>
      <c r="L364" s="3" t="inlineStr">
        <is>
          <t>Zucchini — 900 g (31.7 oz)
Ground chicken — 600 g (21.2 oz)
Basil pesto — 60 g (2.1 oz)
Ricotta, part-skim — 300 g (10.6 oz)
Egg, large (50 g each) — 50 g (1.8 oz)
Mozzarella, part-skim — 150 g (5.3 oz)
Parmesan, grated — 40 g (1.4 oz)
Marinara sauce, no sugar added — 300 g (10.6 oz)
Spinach — 150 g (5.3 oz)
Extra-virgin olive oil — 10 g (0.4 oz)
Salt — 3 g (0.1 oz)</t>
        </is>
      </c>
      <c r="M364" s="4" t="inlineStr">
        <is>
          <t>[{"ingredient_id": "zucchini", "name": "Zucchini", "grams": 900.0, "note": ""}, {"ingredient_id": "ground_chicken", "name": "Ground chicken", "grams": 600.0, "note": ""}, {"ingredient_id": "pesto", "name": "Basil pesto", "grams": 60.0, "note": ""}, {"ingredient_id": "ricotta", "name": "Ricotta, part-skim", "grams": 300.0, "note": ""}, {"ingredient_id": "egg", "name": "Egg, large (50 g each)", "grams": 50.0, "note": ""}, {"ingredient_id": "mozzarella", "name": "Mozzarella, part-skim", "grams": 150.0, "note": ""}, {"ingredient_id": "parmesan", "name": "Parmesan, grated", "grams": 40.0, "note": ""}, {"ingredient_id": "marinara", "name": "Marinara sauce, no sugar added", "grams": 300.0, "note": ""}, {"ingredient_id": "spinach", "name": "Spinach", "grams": 150.0, "note": ""}, {"ingredient_id": "olive_oil", "name": "Extra-virgin olive oil", "grams": 10.0, "note": ""}, {"ingredient_id": "salt", "name": "Salt", "grams": 3.0, "note": ""}]</t>
        </is>
      </c>
      <c r="N364" s="2" t="n">
        <v>425</v>
      </c>
      <c r="O364" s="5" t="n">
        <v>35.9</v>
      </c>
      <c r="P364" s="5" t="n">
        <v>26.2</v>
      </c>
      <c r="Q364" s="5" t="n">
        <v>12.2</v>
      </c>
      <c r="R364" s="5" t="n">
        <v>3</v>
      </c>
      <c r="S364" s="5" t="n">
        <v>9.199999999999999</v>
      </c>
      <c r="T364" s="2" t="n">
        <v>17</v>
      </c>
      <c r="U364" s="2" t="inlineStr">
        <is>
          <t>low</t>
        </is>
      </c>
      <c r="V364" s="5" t="n">
        <v>1.6</v>
      </c>
      <c r="W364" s="2" t="inlineStr">
        <is>
          <t>low</t>
        </is>
      </c>
      <c r="X364" s="3" t="inlineStr"/>
      <c r="Y364" s="3" t="inlineStr">
        <is>
          <t>19% of this dish's available carbohydrate comes from ingredients with a published, measured GI; the rest uses conventional placeholders (see Ingredients sheet)</t>
        </is>
      </c>
      <c r="Z364" s="2" t="n">
        <v>19</v>
      </c>
      <c r="AA364" s="3" t="inlineStr">
        <is>
          <t>gluten-free, low-carb, high-protein, make-ahead</t>
        </is>
      </c>
      <c r="AB364" s="3" t="inlineStr">
        <is>
          <t>1. Slice zucchini lengthwise; salt and blot dry 15 minutes; grill briefly.
2. Brown chicken; mix with marinara. Mix ricotta, egg, pesto, spinach.
3. Layer zucchini, ricotta and chicken sauce; top with mozzarella and parmesan; bake at 375°F 40 minutes.</t>
        </is>
      </c>
      <c r="AC364" s="4" t="inlineStr">
        <is>
          <t>["Slice zucchini lengthwise; salt and blot dry 15 minutes; grill briefly.", "Brown chicken; mix with marinara. Mix ricotta, egg, pesto, spinach.", "Layer zucchini, ricotta and chicken sauce; top with mozzarella and parmesan; bake at 375°F 40 minutes."]</t>
        </is>
      </c>
    </row>
    <row r="365" ht="96" customHeight="1">
      <c r="A365" s="2" t="inlineStr">
        <is>
          <t>DB-0364</t>
        </is>
      </c>
      <c r="B365" s="3" t="inlineStr">
        <is>
          <t>Mustard Glazed Chicken Thighs</t>
        </is>
      </c>
      <c r="C365" s="4" t="inlineStr">
        <is>
          <t>Poultry</t>
        </is>
      </c>
      <c r="D365" s="4" t="inlineStr">
        <is>
          <t>American</t>
        </is>
      </c>
      <c r="E365" s="2" t="n">
        <v>4</v>
      </c>
      <c r="F365" s="2" t="n">
        <v>10</v>
      </c>
      <c r="G365" s="2" t="n">
        <v>30</v>
      </c>
      <c r="H365" s="2" t="n">
        <v>40</v>
      </c>
      <c r="I365" s="4" t="inlineStr">
        <is>
          <t>mustard-glazed-chicken-thighs.jpg</t>
        </is>
      </c>
      <c r="J365" s="3" t="inlineStr">
        <is>
          <t>Mustard Glazed Chicken Thighs, healthy food photography, plated, natural light</t>
        </is>
      </c>
      <c r="K365" s="4" t="inlineStr"/>
      <c r="L365" s="3" t="inlineStr">
        <is>
          <t>Chicken thigh, skinless boneless — 700 g (24.7 oz)
Dijon mustard — 30 g (1.1 oz)
Yellow mustard — 15 g (0.5 oz)
Apple cider vinegar — 15 g (0.5 oz)
Garlic — 6 g (0.2 oz)
Monk fruit/erythritol sweetener — 8 g (0.3 oz)
Extra-virgin olive oil — 15 g (0.5 oz)
Fresh thyme — 2 g (0.1 oz)
Green beans — 400 g (14.1 oz)
Salt — 3 g (0.1 oz)</t>
        </is>
      </c>
      <c r="M365" s="4" t="inlineStr">
        <is>
          <t>[{"ingredient_id": "chicken_thigh", "name": "Chicken thigh, skinless boneless", "grams": 700.0, "note": ""}, {"ingredient_id": "dijon", "name": "Dijon mustard", "grams": 30.0, "note": ""}, {"ingredient_id": "yellow_mustard", "name": "Yellow mustard", "grams": 15.0, "note": ""}, {"ingredient_id": "apple_cider_vinegar", "name": "Apple cider vinegar", "grams": 15.0, "note": ""}, {"ingredient_id": "garlic", "name": "Garlic", "grams": 6.0, "note": ""}, {"ingredient_id": "monk_fruit_sweetener", "name": "Monk fruit/erythritol sweetener", "grams": 8.0, "note": ""}, {"ingredient_id": "olive_oil", "name": "Extra-virgin olive oil", "grams": 15.0, "note": ""}, {"ingredient_id": "thyme", "name": "Fresh thyme", "grams": 2.0, "note": ""}, {"ingredient_id": "green_beans", "name": "Green beans", "grams": 400.0, "note": ""}, {"ingredient_id": "salt", "name": "Salt", "grams": 3.0, "note": ""}]</t>
        </is>
      </c>
      <c r="N365" s="2" t="n">
        <v>287</v>
      </c>
      <c r="O365" s="5" t="n">
        <v>36.8</v>
      </c>
      <c r="P365" s="5" t="n">
        <v>11.5</v>
      </c>
      <c r="Q365" s="5" t="n">
        <v>8.199999999999999</v>
      </c>
      <c r="R365" s="5" t="n">
        <v>3.1</v>
      </c>
      <c r="S365" s="5" t="n">
        <v>5.1</v>
      </c>
      <c r="T365" s="2" t="n">
        <v>16</v>
      </c>
      <c r="U365" s="2" t="inlineStr">
        <is>
          <t>low</t>
        </is>
      </c>
      <c r="V365" s="5" t="n">
        <v>0.8</v>
      </c>
      <c r="W365" s="2" t="inlineStr">
        <is>
          <t>low</t>
        </is>
      </c>
      <c r="X365" s="3" t="inlineStr"/>
      <c r="Y365" s="3" t="inlineStr">
        <is>
          <t>0% of this dish's available carbohydrate comes from ingredients with a published, measured GI; the rest uses conventional placeholders (see Ingredients sheet)</t>
        </is>
      </c>
      <c r="Z365" s="2" t="n">
        <v>0</v>
      </c>
      <c r="AA365" s="3" t="inlineStr">
        <is>
          <t>gluten-free, dairy-free, nut-free, low-carb, high-protein</t>
        </is>
      </c>
      <c r="AB365" s="3" t="inlineStr">
        <is>
          <t>1. Whisk mustards, vinegar, garlic, sweetener, oil and thyme.
2. Coat chicken and roast at 425°F 25–28 minutes, basting once.
3. Serve with green beans.</t>
        </is>
      </c>
      <c r="AC365" s="4" t="inlineStr">
        <is>
          <t>["Whisk mustards, vinegar, garlic, sweetener, oil and thyme.", "Coat chicken and roast at 425°F 25–28 minutes, basting once.", "Serve with green beans."]</t>
        </is>
      </c>
    </row>
    <row r="366" ht="96" customHeight="1">
      <c r="A366" s="2" t="inlineStr">
        <is>
          <t>DB-0365</t>
        </is>
      </c>
      <c r="B366" s="3" t="inlineStr">
        <is>
          <t>Cashew Chicken</t>
        </is>
      </c>
      <c r="C366" s="4" t="inlineStr">
        <is>
          <t>Poultry</t>
        </is>
      </c>
      <c r="D366" s="4" t="inlineStr">
        <is>
          <t>Chinese-American</t>
        </is>
      </c>
      <c r="E366" s="2" t="n">
        <v>4</v>
      </c>
      <c r="F366" s="2" t="n">
        <v>15</v>
      </c>
      <c r="G366" s="2" t="n">
        <v>15</v>
      </c>
      <c r="H366" s="2" t="n">
        <v>30</v>
      </c>
      <c r="I366" s="4" t="inlineStr">
        <is>
          <t>cashew-chicken.jpg</t>
        </is>
      </c>
      <c r="J366" s="3" t="inlineStr">
        <is>
          <t>Cashew Chicken, healthy food photography, plated, natural light</t>
        </is>
      </c>
      <c r="K366" s="4" t="inlineStr"/>
      <c r="L366" s="3" t="inlineStr">
        <is>
          <t>Chicken breast, skinless — 600 g (21.2 oz)
Cashews — 60 g (2.1 oz)
Bell pepper — 200 g (7.1 oz)
Sugar snap peas — 150 g (5.3 oz)
Yellow onion — 80 g (2.8 oz)
Garlic — 8 g (0.3 oz)
Fresh ginger — 8 g (0.3 oz)
Tamari (gluten-free soy sauce) — 30 g (1.1 oz)
Rice vinegar, unseasoned — 15 g (0.5 oz)
Toasted sesame oil — 8 g (0.3 oz)
Arrowroot starch — 5 g (0.2 oz)
Avocado oil — 12 g (0.4 oz)
Cauliflower rice — 500 g (17.6 oz)</t>
        </is>
      </c>
      <c r="M366" s="4" t="inlineStr">
        <is>
          <t>[{"ingredient_id": "chicken_breast", "name": "Chicken breast, skinless", "grams": 600.0, "note": ""}, {"ingredient_id": "cashews", "name": "Cashews", "grams": 60.0, "note": ""}, {"ingredient_id": "bell_pepper", "name": "Bell pepper", "grams": 200.0, "note": ""}, {"ingredient_id": "snap_peas", "name": "Sugar snap peas", "grams": 150.0, "note": ""}, {"ingredient_id": "onion", "name": "Yellow onion", "grams": 80.0, "note": ""}, {"ingredient_id": "garlic", "name": "Garlic", "grams": 8.0, "note": ""}, {"ingredient_id": "ginger", "name": "Fresh ginger", "grams": 8.0, "note": ""}, {"ingredient_id": "tamari", "name": "Tamari (gluten-free soy sauce)", "grams": 30.0, "note": ""}, {"ingredient_id": "rice_vinegar", "name": "Rice vinegar, unseasoned", "grams": 15.0, "note": ""}, {"ingredient_id": "sesame_oil", "name": "Toasted sesame oil", "grams": 8.0, "note": ""}, {"ingredient_id": "arrowroot", "name": "Arrowroot starch", "grams": 5.0, "note": ""}, {"ingredient_id": "avocado_oil", "name": "Avocado oil", "grams": 12.0, "note": ""}, {"ingredient_id": "cauliflower_rice", "name": "Cauliflower rice", "grams": 500.0, "note": ""}]</t>
        </is>
      </c>
      <c r="N366" s="2" t="n">
        <v>392</v>
      </c>
      <c r="O366" s="5" t="n">
        <v>41.5</v>
      </c>
      <c r="P366" s="5" t="n">
        <v>16.1</v>
      </c>
      <c r="Q366" s="5" t="n">
        <v>20.9</v>
      </c>
      <c r="R366" s="5" t="n">
        <v>5.5</v>
      </c>
      <c r="S366" s="5" t="n">
        <v>15.4</v>
      </c>
      <c r="T366" s="2" t="n">
        <v>22</v>
      </c>
      <c r="U366" s="2" t="inlineStr">
        <is>
          <t>low</t>
        </is>
      </c>
      <c r="V366" s="5" t="n">
        <v>3.4</v>
      </c>
      <c r="W366" s="2" t="inlineStr">
        <is>
          <t>low</t>
        </is>
      </c>
      <c r="X366" s="3" t="inlineStr"/>
      <c r="Y366" s="3" t="inlineStr">
        <is>
          <t>33% of this dish's available carbohydrate comes from ingredients with a published, measured GI; the rest uses conventional placeholders (see Ingredients sheet)</t>
        </is>
      </c>
      <c r="Z366" s="2" t="n">
        <v>33</v>
      </c>
      <c r="AA366" s="3" t="inlineStr">
        <is>
          <t>gluten-free, dairy-free, high-protein</t>
        </is>
      </c>
      <c r="AB366" s="3" t="inlineStr">
        <is>
          <t>1. Toss chicken with arrowroot; stir-fry in avocado oil; remove.
2. Stir-fry vegetables, garlic, ginger 4 minutes; add tamari, vinegar, sesame oil.
3. Return chicken with cashews; serve over cauliflower rice.</t>
        </is>
      </c>
      <c r="AC366" s="4" t="inlineStr">
        <is>
          <t>["Toss chicken with arrowroot; stir-fry in avocado oil; remove.", "Stir-fry vegetables, garlic, ginger 4 minutes; add tamari, vinegar, sesame oil.", "Return chicken with cashews; serve over cauliflower rice."]</t>
        </is>
      </c>
    </row>
    <row r="367" ht="96" customHeight="1">
      <c r="A367" s="2" t="inlineStr">
        <is>
          <t>DB-0366</t>
        </is>
      </c>
      <c r="B367" s="3" t="inlineStr">
        <is>
          <t>Chicken Quinoa Stuffed Peppers</t>
        </is>
      </c>
      <c r="C367" s="4" t="inlineStr">
        <is>
          <t>Poultry</t>
        </is>
      </c>
      <c r="D367" s="4" t="inlineStr">
        <is>
          <t>American</t>
        </is>
      </c>
      <c r="E367" s="2" t="n">
        <v>4</v>
      </c>
      <c r="F367" s="2" t="n">
        <v>15</v>
      </c>
      <c r="G367" s="2" t="n">
        <v>35</v>
      </c>
      <c r="H367" s="2" t="n">
        <v>50</v>
      </c>
      <c r="I367" s="4" t="inlineStr">
        <is>
          <t>chicken-quinoa-stuffed-peppers.jpg</t>
        </is>
      </c>
      <c r="J367" s="3" t="inlineStr">
        <is>
          <t>Chicken Quinoa Stuffed Peppers, healthy food photography, plated, natural light</t>
        </is>
      </c>
      <c r="K367" s="4" t="inlineStr"/>
      <c r="L367" s="3" t="inlineStr">
        <is>
          <t>Bell pepper — 600 g (21.2 oz) [4 peppers]
Ground chicken — 500 g (17.6 oz)
Quinoa, cooked — 250 g (8.8 oz)
Diced tomatoes, canned — 300 g (10.6 oz)
Yellow onion — 80 g (2.8 oz)
Garlic — 6 g (0.2 oz)
Ground cumin — 3 g (0.1 oz)
Cheddar cheese — 80 g (2.8 oz)
Spinach — 80 g (2.8 oz)
Extra-virgin olive oil — 10 g (0.4 oz)</t>
        </is>
      </c>
      <c r="M367" s="4" t="inlineStr">
        <is>
          <t>[{"ingredient_id": "bell_pepper", "name": "Bell pepper", "grams": 600.0, "note": "4 peppers"}, {"ingredient_id": "ground_chicken", "name": "Ground chicken", "grams": 500.0, "note": ""}, {"ingredient_id": "quinoa", "name": "Quinoa, cooked", "grams": 250.0, "note": ""}, {"ingredient_id": "diced_tomatoes", "name": "Diced tomatoes, canned", "grams": 300.0, "note": ""}, {"ingredient_id": "onion", "name": "Yellow onion", "grams": 80.0, "note": ""}, {"ingredient_id": "garlic", "name": "Garlic", "grams": 6.0, "note": ""}, {"ingredient_id": "cumin", "name": "Ground cumin", "grams": 3.0, "note": ""}, {"ingredient_id": "cheddar", "name": "Cheddar cheese", "grams": 80.0, "note": ""}, {"ingredient_id": "spinach", "name": "Spinach", "grams": 80.0, "note": ""}, {"ingredient_id": "olive_oil", "name": "Extra-virgin olive oil", "grams": 10.0, "note": ""}]</t>
        </is>
      </c>
      <c r="N367" s="2" t="n">
        <v>439</v>
      </c>
      <c r="O367" s="5" t="n">
        <v>32</v>
      </c>
      <c r="P367" s="5" t="n">
        <v>21.2</v>
      </c>
      <c r="Q367" s="5" t="n">
        <v>29.5</v>
      </c>
      <c r="R367" s="5" t="n">
        <v>6.9</v>
      </c>
      <c r="S367" s="5" t="n">
        <v>22.6</v>
      </c>
      <c r="T367" s="2" t="n">
        <v>37</v>
      </c>
      <c r="U367" s="2" t="inlineStr">
        <is>
          <t>low</t>
        </is>
      </c>
      <c r="V367" s="5" t="n">
        <v>8.4</v>
      </c>
      <c r="W367" s="2" t="inlineStr">
        <is>
          <t>low</t>
        </is>
      </c>
      <c r="X367" s="3" t="inlineStr"/>
      <c r="Y367" s="3" t="inlineStr">
        <is>
          <t>50% of this dish's available carbohydrate comes from ingredients with a published, measured GI; the rest uses conventional placeholders (see Ingredients sheet)</t>
        </is>
      </c>
      <c r="Z367" s="2" t="n">
        <v>50</v>
      </c>
      <c r="AA367" s="3" t="inlineStr">
        <is>
          <t>gluten-free, nut-free, high-protein, meal-prep</t>
        </is>
      </c>
      <c r="AB367" s="3" t="inlineStr">
        <is>
          <t>1. Halve peppers; roast 10 minutes.
2. Brown chicken with onion, garlic, cumin; stir in quinoa, tomatoes and spinach.
3. Fill peppers, top with cheddar; bake at 400°F 20 minutes.</t>
        </is>
      </c>
      <c r="AC367" s="4" t="inlineStr">
        <is>
          <t>["Halve peppers; roast 10 minutes.", "Brown chicken with onion, garlic, cumin; stir in quinoa, tomatoes and spinach.", "Fill peppers, top with cheddar; bake at 400°F 20 minutes."]</t>
        </is>
      </c>
    </row>
    <row r="368" ht="96" customHeight="1">
      <c r="A368" s="2" t="inlineStr">
        <is>
          <t>DB-0367</t>
        </is>
      </c>
      <c r="B368" s="3" t="inlineStr">
        <is>
          <t>Chicken Gyros with Low-Carb Pita</t>
        </is>
      </c>
      <c r="C368" s="4" t="inlineStr">
        <is>
          <t>Poultry</t>
        </is>
      </c>
      <c r="D368" s="4" t="inlineStr">
        <is>
          <t>Greek</t>
        </is>
      </c>
      <c r="E368" s="2" t="n">
        <v>4</v>
      </c>
      <c r="F368" s="2" t="n">
        <v>15</v>
      </c>
      <c r="G368" s="2" t="n">
        <v>20</v>
      </c>
      <c r="H368" s="2" t="n">
        <v>35</v>
      </c>
      <c r="I368" s="4" t="inlineStr">
        <is>
          <t>chicken-gyros-with-low-carb-pita.jpg</t>
        </is>
      </c>
      <c r="J368" s="3" t="inlineStr">
        <is>
          <t>Chicken Gyros with Low-Carb Pita, healthy food photography, plated, natural light</t>
        </is>
      </c>
      <c r="K368" s="4" t="inlineStr"/>
      <c r="L368" s="3" t="inlineStr">
        <is>
          <t>Chicken thigh, skinless boneless — 700 g (24.7 oz)
Greek yogurt, plain 2% — 200 g (7.1 oz)
Garlic — 10 g (0.4 oz)
Dried oregano — 4 g (0.1 oz)
Lemon juice — 30 g (1.1 oz)
Extra-virgin olive oil — 15 g (0.5 oz)
Low-carb high-fiber tortilla — 168 g (5.9 oz) [4 tortillas]
Tomato — 200 g (7.1 oz)
Red onion — 60 g (2.1 oz)
Cucumber — 150 g (5.3 oz)
Fresh dill — 5 g (0.2 oz)
Salt — 3 g (0.1 oz)</t>
        </is>
      </c>
      <c r="M368" s="4" t="inlineStr">
        <is>
          <t>[{"ingredient_id": "chicken_thigh", "name": "Chicken thigh, skinless boneless", "grams": 700.0, "note": ""}, {"ingredient_id": "greek_yogurt", "name": "Greek yogurt, plain 2%", "grams": 200.0, "note": ""}, {"ingredient_id": "garlic", "name": "Garlic", "grams": 10.0, "note": ""}, {"ingredient_id": "oregano", "name": "Dried oregano", "grams": 4.0, "note": ""}, {"ingredient_id": "lemon_juice", "name": "Lemon juice", "grams": 30.0, "note": ""}, {"ingredient_id": "olive_oil", "name": "Extra-virgin olive oil", "grams": 15.0, "note": ""}, {"ingredient_id": "low_carb_tortilla", "name": "Low-carb high-fiber tortilla", "grams": 168.0, "note": "4 tortillas"}, {"ingredient_id": "tomato", "name": "Tomato", "grams": 200.0, "note": ""}, {"ingredient_id": "red_onion", "name": "Red onion", "grams": 60.0, "note": ""}, {"ingredient_id": "cucumber", "name": "Cucumber", "grams": 150.0, "note": ""}, {"ingredient_id": "dill", "name": "Fresh dill", "grams": 5.0, "note": ""}, {"ingredient_id": "salt", "name": "Salt", "grams": 3.0, "note": ""}]</t>
        </is>
      </c>
      <c r="N368" s="2" t="n">
        <v>416</v>
      </c>
      <c r="O368" s="5" t="n">
        <v>45.7</v>
      </c>
      <c r="P368" s="5" t="n">
        <v>15.5</v>
      </c>
      <c r="Q368" s="5" t="n">
        <v>25.6</v>
      </c>
      <c r="R368" s="5" t="n">
        <v>12.1</v>
      </c>
      <c r="S368" s="5" t="n">
        <v>13.5</v>
      </c>
      <c r="T368" s="2" t="n">
        <v>22</v>
      </c>
      <c r="U368" s="2" t="inlineStr">
        <is>
          <t>low</t>
        </is>
      </c>
      <c r="V368" s="5" t="n">
        <v>3</v>
      </c>
      <c r="W368" s="2" t="inlineStr">
        <is>
          <t>low</t>
        </is>
      </c>
      <c r="X368" s="3" t="inlineStr"/>
      <c r="Y368" s="3" t="inlineStr">
        <is>
          <t>15% of this dish's available carbohydrate comes from ingredients with a published, measured GI; the rest uses conventional placeholders (see Ingredients sheet)</t>
        </is>
      </c>
      <c r="Z368" s="2" t="n">
        <v>15</v>
      </c>
      <c r="AA368" s="3" t="inlineStr">
        <is>
          <t>nut-free, low-carb, high-protein, high-fiber</t>
        </is>
      </c>
      <c r="AB368" s="3" t="inlineStr">
        <is>
          <t>1. Marinate chicken in half the yogurt, garlic, oregano, lemon, oil, salt; roast at 450°F 20 minutes; slice.
2. Mix remaining yogurt with grated cucumber and dill.
3. Fill warm tortillas with chicken, tomato, onion and tzatziki.</t>
        </is>
      </c>
      <c r="AC368" s="4" t="inlineStr">
        <is>
          <t>["Marinate chicken in half the yogurt, garlic, oregano, lemon, oil, salt; roast at 450°F 20 minutes; slice.", "Mix remaining yogurt with grated cucumber and dill.", "Fill warm tortillas with chicken, tomato, onion and tzatziki."]</t>
        </is>
      </c>
    </row>
    <row r="369" ht="96" customHeight="1">
      <c r="A369" s="2" t="inlineStr">
        <is>
          <t>DB-0368</t>
        </is>
      </c>
      <c r="B369" s="3" t="inlineStr">
        <is>
          <t>Chicken Fajita Stuffed Sweet Potatoes</t>
        </is>
      </c>
      <c r="C369" s="4" t="inlineStr">
        <is>
          <t>Poultry</t>
        </is>
      </c>
      <c r="D369" s="4" t="inlineStr">
        <is>
          <t>Tex-Mex</t>
        </is>
      </c>
      <c r="E369" s="2" t="n">
        <v>4</v>
      </c>
      <c r="F369" s="2" t="n">
        <v>10</v>
      </c>
      <c r="G369" s="2" t="n">
        <v>50</v>
      </c>
      <c r="H369" s="2" t="n">
        <v>60</v>
      </c>
      <c r="I369" s="4" t="inlineStr">
        <is>
          <t>chicken-fajita-stuffed-sweet-potatoes.jpg</t>
        </is>
      </c>
      <c r="J369" s="3" t="inlineStr">
        <is>
          <t>Chicken Fajita Stuffed Sweet Potatoes, healthy food photography, plated, natural light</t>
        </is>
      </c>
      <c r="K369" s="4" t="inlineStr"/>
      <c r="L369" s="3" t="inlineStr">
        <is>
          <t>Sweet potato, boiled/simmered — 400 g (14.1 oz) [4 small (100 g each)]
Chicken breast, skinless — 500 g (17.6 oz)
Bell pepper — 200 g (7.1 oz)
Yellow onion — 100 g (3.5 oz)
Taco seasoning, low sodium — 8 g (0.3 oz)
Extra-virgin olive oil — 12 g (0.4 oz)
Cheddar cheese — 60 g (2.1 oz)
Greek yogurt, plain 2% — 80 g (2.8 oz)
Fresh cilantro — 6 g (0.2 oz)
Lime — 30 g (1.1 oz)</t>
        </is>
      </c>
      <c r="M369" s="4" t="inlineStr">
        <is>
          <t>[{"ingredient_id": "sweet_potato", "name": "Sweet potato, boiled/simmered", "grams": 400.0, "note": "4 small (100 g each)"}, {"ingredient_id": "chicken_breast", "name": "Chicken breast, skinless", "grams": 500.0, "note": ""}, {"ingredient_id": "bell_pepper", "name": "Bell pepper", "grams": 200.0, "note": ""}, {"ingredient_id": "onion", "name": "Yellow onion", "grams": 100.0, "note": ""}, {"ingredient_id": "taco_seasoning", "name": "Taco seasoning, low sodium", "grams": 8.0, "note": ""}, {"ingredient_id": "olive_oil", "name": "Extra-virgin olive oil", "grams": 12.0, "note": ""}, {"ingredient_id": "cheddar", "name": "Cheddar cheese", "grams": 60.0, "note": ""}, {"ingredient_id": "greek_yogurt", "name": "Greek yogurt, plain 2%", "grams": 80.0, "note": ""}, {"ingredient_id": "cilantro", "name": "Fresh cilantro", "grams": 6.0, "note": ""}, {"ingredient_id": "lime", "name": "Lime", "grams": 30.0, "note": ""}]</t>
        </is>
      </c>
      <c r="N369" s="2" t="n">
        <v>372</v>
      </c>
      <c r="O369" s="5" t="n">
        <v>36.2</v>
      </c>
      <c r="P369" s="5" t="n">
        <v>12.1</v>
      </c>
      <c r="Q369" s="5" t="n">
        <v>28.3</v>
      </c>
      <c r="R369" s="5" t="n">
        <v>5.2</v>
      </c>
      <c r="S369" s="5" t="n">
        <v>23</v>
      </c>
      <c r="T369" s="2" t="n">
        <v>38</v>
      </c>
      <c r="U369" s="2" t="inlineStr">
        <is>
          <t>low</t>
        </is>
      </c>
      <c r="V369" s="5" t="n">
        <v>8.800000000000001</v>
      </c>
      <c r="W369" s="2" t="inlineStr">
        <is>
          <t>low</t>
        </is>
      </c>
      <c r="X369" s="3" t="inlineStr"/>
      <c r="Y369" s="3" t="inlineStr">
        <is>
          <t>77% of this dish's available carbohydrate comes from ingredients with a published, measured GI; the rest uses conventional placeholders (see Ingredients sheet)</t>
        </is>
      </c>
      <c r="Z369" s="2" t="n">
        <v>77</v>
      </c>
      <c r="AA369" s="3" t="inlineStr">
        <is>
          <t>gluten-free, nut-free, high-protein</t>
        </is>
      </c>
      <c r="AB369" s="3" t="inlineStr">
        <is>
          <t>1. Boil whole sweet potatoes 20–25 minutes until tender (boiling keeps the GI far lower than baking).
2. Sauté chicken strips, pepper and onion with seasoning in oil.
3. Split potatoes, fill with fajita mix; top with cheddar, yogurt, cilantro, lime.</t>
        </is>
      </c>
      <c r="AC369" s="4" t="inlineStr">
        <is>
          <t>["Boil whole sweet potatoes 20–25 minutes until tender (boiling keeps the GI far lower than baking).", "Sauté chicken strips, pepper and onion with seasoning in oil.", "Split potatoes, fill with fajita mix; top with cheddar, yogurt, cilantro, lime."]</t>
        </is>
      </c>
    </row>
    <row r="370" ht="96" customHeight="1">
      <c r="A370" s="2" t="inlineStr">
        <is>
          <t>DB-0369</t>
        </is>
      </c>
      <c r="B370" s="3" t="inlineStr">
        <is>
          <t>Turkey Bolognese over Spaghetti Squash</t>
        </is>
      </c>
      <c r="C370" s="4" t="inlineStr">
        <is>
          <t>Poultry</t>
        </is>
      </c>
      <c r="D370" s="4" t="inlineStr">
        <is>
          <t>Italian</t>
        </is>
      </c>
      <c r="E370" s="2" t="n">
        <v>5</v>
      </c>
      <c r="F370" s="2" t="n">
        <v>15</v>
      </c>
      <c r="G370" s="2" t="n">
        <v>50</v>
      </c>
      <c r="H370" s="2" t="n">
        <v>65</v>
      </c>
      <c r="I370" s="4" t="inlineStr">
        <is>
          <t>turkey-bolognese-over-spaghetti-squash.jpg</t>
        </is>
      </c>
      <c r="J370" s="3" t="inlineStr">
        <is>
          <t>Turkey Bolognese over Spaghetti Squash, healthy food photography, plated, natural light</t>
        </is>
      </c>
      <c r="K370" s="4" t="inlineStr"/>
      <c r="L370" s="3" t="inlineStr">
        <is>
          <t>Spaghetti squash, cooked — 1200 g (42.3 oz) [1 medium]
Ground turkey 93% lean — 600 g (21.2 oz)
Crushed tomatoes, canned — 600 g (21.2 oz)
Yellow onion — 120 g (4.2 oz)
Carrot — 100 g (3.5 oz)
Celery — 80 g (2.8 oz)
Garlic — 8 g (0.3 oz)
Dry red wine (cooking) — 80 g (2.8 oz)
Extra-virgin olive oil — 15 g (0.5 oz)
Italian seasoning — 4 g (0.1 oz)
Parmesan, grated — 40 g (1.4 oz)
Milk, 2% — 60 g (2.1 oz)
Salt — 4 g (0.1 oz)</t>
        </is>
      </c>
      <c r="M370" s="4" t="inlineStr">
        <is>
          <t>[{"ingredient_id": "spaghetti_squash", "name": "Spaghetti squash, cooked", "grams": 1200.0, "note": "1 medium"}, {"ingredient_id": "ground_turkey", "name": "Ground turkey 93% lean", "grams": 600.0, "note": ""}, {"ingredient_id": "crushed_tomatoes", "name": "Crushed tomatoes, canned", "grams": 600.0, "note": ""}, {"ingredient_id": "onion", "name": "Yellow onion", "grams": 120.0, "note": ""}, {"ingredient_id": "carrot", "name": "Carrot", "grams": 100.0, "note": ""}, {"ingredient_id": "celery", "name": "Celery", "grams": 80.0, "note": ""}, {"ingredient_id": "garlic", "name": "Garlic", "grams": 8.0, "note": ""}, {"ingredient_id": "red_wine", "name": "Dry red wine (cooking)", "grams": 80.0, "note": ""}, {"ingredient_id": "olive_oil", "name": "Extra-virgin olive oil", "grams": 15.0, "note": ""}, {"ingredient_id": "italian_seasoning", "name": "Italian seasoning", "grams": 4.0, "note": ""}, {"ingredient_id": "parmesan", "name": "Parmesan, grated", "grams": 40.0, "note": ""}, {"ingredient_id": "milk", "name": "Milk, 2%", "grams": 60.0, "note": ""}, {"ingredient_id": "salt", "name": "Salt", "grams": 4.0, "note": ""}]</t>
        </is>
      </c>
      <c r="N370" s="2" t="n">
        <v>398</v>
      </c>
      <c r="O370" s="5" t="n">
        <v>30</v>
      </c>
      <c r="P370" s="5" t="n">
        <v>17.1</v>
      </c>
      <c r="Q370" s="5" t="n">
        <v>32.2</v>
      </c>
      <c r="R370" s="5" t="n">
        <v>7.5</v>
      </c>
      <c r="S370" s="5" t="n">
        <v>24.7</v>
      </c>
      <c r="T370" s="2" t="n">
        <v>24</v>
      </c>
      <c r="U370" s="2" t="inlineStr">
        <is>
          <t>low</t>
        </is>
      </c>
      <c r="V370" s="5" t="n">
        <v>5.9</v>
      </c>
      <c r="W370" s="2" t="inlineStr">
        <is>
          <t>low</t>
        </is>
      </c>
      <c r="X370" s="3" t="inlineStr"/>
      <c r="Y370" s="3" t="inlineStr">
        <is>
          <t>8% of this dish's available carbohydrate comes from ingredients with a published, measured GI; the rest uses conventional placeholders (see Ingredients sheet)</t>
        </is>
      </c>
      <c r="Z370" s="2" t="n">
        <v>8</v>
      </c>
      <c r="AA370" s="3" t="inlineStr">
        <is>
          <t>gluten-free, nut-free, high-protein, high-fiber, make-ahead</t>
        </is>
      </c>
      <c r="AB370" s="3" t="inlineStr">
        <is>
          <t>1. Halve squash, roast cut-side down at 400°F 40 minutes; scrape strands.
2. Brown turkey with onion, carrot, celery, garlic; add wine, tomatoes, seasoning; simmer 25 minutes; stir in milk.
3. Serve sauce over squash with parmesan.</t>
        </is>
      </c>
      <c r="AC370" s="4" t="inlineStr">
        <is>
          <t>["Halve squash, roast cut-side down at 400°F 40 minutes; scrape strands.", "Brown turkey with onion, carrot, celery, garlic; add wine, tomatoes, seasoning; simmer 25 minutes; stir in milk.", "Serve sauce over squash with parmesan."]</t>
        </is>
      </c>
    </row>
    <row r="371" ht="96" customHeight="1">
      <c r="A371" s="2" t="inlineStr">
        <is>
          <t>DB-0370</t>
        </is>
      </c>
      <c r="B371" s="3" t="inlineStr">
        <is>
          <t>Chicken Tenders with Buffalo Cauliflower</t>
        </is>
      </c>
      <c r="C371" s="4" t="inlineStr">
        <is>
          <t>Poultry</t>
        </is>
      </c>
      <c r="D371" s="4" t="inlineStr">
        <is>
          <t>American</t>
        </is>
      </c>
      <c r="E371" s="2" t="n">
        <v>4</v>
      </c>
      <c r="F371" s="2" t="n">
        <v>15</v>
      </c>
      <c r="G371" s="2" t="n">
        <v>25</v>
      </c>
      <c r="H371" s="2" t="n">
        <v>40</v>
      </c>
      <c r="I371" s="4" t="inlineStr">
        <is>
          <t>chicken-tenders-with-buffalo-cauliflower.jpg</t>
        </is>
      </c>
      <c r="J371" s="3" t="inlineStr">
        <is>
          <t>Chicken Tenders with Buffalo Cauliflower, healthy food photography, plated, natural light</t>
        </is>
      </c>
      <c r="K371" s="4" t="inlineStr"/>
      <c r="L371" s="3" t="inlineStr">
        <is>
          <t>Chicken breast, skinless — 600 g (21.2 oz)
Almond flour — 70 g (2.5 oz)
Egg, large (50 g each) — 100 g (3.5 oz)
Paprika — 3 g (0.1 oz)
Cauliflower — 500 g (17.6 oz)
Hot sauce (Tabasco/Frank's) — 50 g (1.8 oz)
Butter — 10 g (0.4 oz)
Extra-virgin olive oil — 12 g (0.4 oz)
Greek yogurt, plain 2% — 100 g (3.5 oz)
Blue cheese, crumbled — 30 g (1.1 oz)
Celery — 100 g (3.5 oz)</t>
        </is>
      </c>
      <c r="M371" s="4" t="inlineStr">
        <is>
          <t>[{"ingredient_id": "chicken_breast", "name": "Chicken breast, skinless", "grams": 600.0, "note": ""}, {"ingredient_id": "almond_flour", "name": "Almond flour", "grams": 70.0, "note": ""}, {"ingredient_id": "egg", "name": "Egg, large (50 g each)", "grams": 100.0, "note": ""}, {"ingredient_id": "paprika", "name": "Paprika", "grams": 3.0, "note": ""}, {"ingredient_id": "cauliflower", "name": "Cauliflower", "grams": 500.0, "note": ""}, {"ingredient_id": "hot_sauce", "name": "Hot sauce (Tabasco/Frank's)", "grams": 50.0, "note": ""}, {"ingredient_id": "butter", "name": "Butter", "grams": 10.0, "note": ""}, {"ingredient_id": "olive_oil", "name": "Extra-virgin olive oil", "grams": 12.0, "note": ""}, {"ingredient_id": "greek_yogurt", "name": "Greek yogurt, plain 2%", "grams": 100.0, "note": ""}, {"ingredient_id": "blue_cheese", "name": "Blue cheese, crumbled", "grams": 30.0, "note": ""}, {"ingredient_id": "celery", "name": "Celery", "grams": 100.0, "note": ""}]</t>
        </is>
      </c>
      <c r="N371" s="2" t="n">
        <v>447</v>
      </c>
      <c r="O371" s="5" t="n">
        <v>47.4</v>
      </c>
      <c r="P371" s="5" t="n">
        <v>23.3</v>
      </c>
      <c r="Q371" s="5" t="n">
        <v>12.7</v>
      </c>
      <c r="R371" s="5" t="n">
        <v>5.3</v>
      </c>
      <c r="S371" s="5" t="n">
        <v>7.4</v>
      </c>
      <c r="T371" s="2" t="n">
        <v>14</v>
      </c>
      <c r="U371" s="2" t="inlineStr">
        <is>
          <t>low</t>
        </is>
      </c>
      <c r="V371" s="5" t="n">
        <v>1</v>
      </c>
      <c r="W371" s="2" t="inlineStr">
        <is>
          <t>low</t>
        </is>
      </c>
      <c r="X371" s="3" t="inlineStr"/>
      <c r="Y371" s="3" t="inlineStr">
        <is>
          <t>14% of this dish's available carbohydrate comes from ingredients with a published, measured GI; the rest uses conventional placeholders (see Ingredients sheet)</t>
        </is>
      </c>
      <c r="Z371" s="2" t="n">
        <v>14</v>
      </c>
      <c r="AA371" s="3" t="inlineStr">
        <is>
          <t>gluten-free, low-carb, high-protein</t>
        </is>
      </c>
      <c r="AB371" s="3" t="inlineStr">
        <is>
          <t>1. Coat chicken strips in egg then almond flour-paprika; bake at 425°F 18 minutes.
2. Toss cauliflower in oil; roast 20 minutes; toss in hot sauce and butter.
3. Mix yogurt and blue cheese; serve with celery.</t>
        </is>
      </c>
      <c r="AC371" s="4" t="inlineStr">
        <is>
          <t>["Coat chicken strips in egg then almond flour-paprika; bake at 425°F 18 minutes.", "Toss cauliflower in oil; roast 20 minutes; toss in hot sauce and butter.", "Mix yogurt and blue cheese; serve with celery."]</t>
        </is>
      </c>
    </row>
    <row r="372" ht="96" customHeight="1">
      <c r="A372" s="2" t="inlineStr">
        <is>
          <t>DB-0371</t>
        </is>
      </c>
      <c r="B372" s="3" t="inlineStr">
        <is>
          <t>One-Pot Chicken, Kale &amp; Farro</t>
        </is>
      </c>
      <c r="C372" s="4" t="inlineStr">
        <is>
          <t>Poultry</t>
        </is>
      </c>
      <c r="D372" s="4" t="inlineStr">
        <is>
          <t>American</t>
        </is>
      </c>
      <c r="E372" s="2" t="n">
        <v>4</v>
      </c>
      <c r="F372" s="2" t="n">
        <v>10</v>
      </c>
      <c r="G372" s="2" t="n">
        <v>35</v>
      </c>
      <c r="H372" s="2" t="n">
        <v>45</v>
      </c>
      <c r="I372" s="4" t="inlineStr">
        <is>
          <t>one-pot-chicken-kale-and-farro.jpg</t>
        </is>
      </c>
      <c r="J372" s="3" t="inlineStr">
        <is>
          <t>One-Pot Chicken, Kale &amp; Farro, healthy food photography, plated, natural light</t>
        </is>
      </c>
      <c r="K372" s="4" t="inlineStr"/>
      <c r="L372" s="3" t="inlineStr">
        <is>
          <t>Chicken thigh, skinless boneless — 600 g (21.2 oz)
Farro (pearled spelt), cooked — 400 g (14.1 oz)
Kale — 200 g (7.1 oz)
Yellow onion — 100 g (3.5 oz)
Garlic — 8 g (0.3 oz)
Chicken broth, low sodium — 400 g (14.1 oz)
Lemon (with juice &amp; zest) — 40 g (1.4 oz)
Extra-virgin olive oil — 15 g (0.5 oz)
Parmesan, grated — 30 g (1.1 oz)
Fresh thyme — 2 g (0.1 oz)
Salt — 3 g (0.1 oz)</t>
        </is>
      </c>
      <c r="M372" s="4" t="inlineStr">
        <is>
          <t>[{"ingredient_id": "chicken_thigh", "name": "Chicken thigh, skinless boneless", "grams": 600.0, "note": ""}, {"ingredient_id": "farro", "name": "Farro (pearled spelt), cooked", "grams": 400.0, "note": ""}, {"ingredient_id": "kale", "name": "Kale", "grams": 200.0, "note": ""}, {"ingredient_id": "onion", "name": "Yellow onion", "grams": 100.0, "note": ""}, {"ingredient_id": "garlic", "name": "Garlic", "grams": 8.0, "note": ""}, {"ingredient_id": "chicken_broth", "name": "Chicken broth, low sodium", "grams": 400.0, "note": ""}, {"ingredient_id": "lemon", "name": "Lemon (with juice &amp; zest)", "grams": 40.0, "note": ""}, {"ingredient_id": "olive_oil", "name": "Extra-virgin olive oil", "grams": 15.0, "note": ""}, {"ingredient_id": "parmesan", "name": "Parmesan, grated", "grams": 30.0, "note": ""}, {"ingredient_id": "thyme", "name": "Fresh thyme", "grams": 2.0, "note": ""}, {"ingredient_id": "salt", "name": "Salt", "grams": 3.0, "note": ""}]</t>
        </is>
      </c>
      <c r="N372" s="2" t="n">
        <v>425</v>
      </c>
      <c r="O372" s="5" t="n">
        <v>41.1</v>
      </c>
      <c r="P372" s="5" t="n">
        <v>13.8</v>
      </c>
      <c r="Q372" s="5" t="n">
        <v>35.2</v>
      </c>
      <c r="R372" s="5" t="n">
        <v>6.1</v>
      </c>
      <c r="S372" s="5" t="n">
        <v>29.1</v>
      </c>
      <c r="T372" s="2" t="n">
        <v>52</v>
      </c>
      <c r="U372" s="2" t="inlineStr">
        <is>
          <t>low</t>
        </is>
      </c>
      <c r="V372" s="5" t="n">
        <v>15.1</v>
      </c>
      <c r="W372" s="2" t="inlineStr">
        <is>
          <t>medium</t>
        </is>
      </c>
      <c r="X372" s="3" t="inlineStr"/>
      <c r="Y372" s="3" t="inlineStr">
        <is>
          <t>77% of this dish's available carbohydrate comes from ingredients with a published, measured GI; the rest uses conventional placeholders (see Ingredients sheet)</t>
        </is>
      </c>
      <c r="Z372" s="2" t="n">
        <v>77</v>
      </c>
      <c r="AA372" s="3" t="inlineStr">
        <is>
          <t>nut-free, high-protein, one-pan</t>
        </is>
      </c>
      <c r="AB372" s="3" t="inlineStr">
        <is>
          <t>1. Sear chicken in oil; remove. Sauté onion and garlic; add cooked farro, broth, thyme.
2. Return chicken, simmer covered 15 minutes.
3. Stir in kale until wilted; finish with lemon and parmesan.</t>
        </is>
      </c>
      <c r="AC372" s="4" t="inlineStr">
        <is>
          <t>["Sear chicken in oil; remove. Sauté onion and garlic; add cooked farro, broth, thyme.", "Return chicken, simmer covered 15 minutes.", "Stir in kale until wilted; finish with lemon and parmesan."]</t>
        </is>
      </c>
    </row>
    <row r="373" ht="96" customHeight="1">
      <c r="A373" s="2" t="inlineStr">
        <is>
          <t>DB-0372</t>
        </is>
      </c>
      <c r="B373" s="3" t="inlineStr">
        <is>
          <t>Chicken Lemon Garlic Zoodle Bowl</t>
        </is>
      </c>
      <c r="C373" s="4" t="inlineStr">
        <is>
          <t>Poultry</t>
        </is>
      </c>
      <c r="D373" s="4" t="inlineStr">
        <is>
          <t>Italian</t>
        </is>
      </c>
      <c r="E373" s="2" t="n">
        <v>3</v>
      </c>
      <c r="F373" s="2" t="n">
        <v>10</v>
      </c>
      <c r="G373" s="2" t="n">
        <v>15</v>
      </c>
      <c r="H373" s="2" t="n">
        <v>25</v>
      </c>
      <c r="I373" s="4" t="inlineStr">
        <is>
          <t>chicken-lemon-garlic-zoodle-bowl.jpg</t>
        </is>
      </c>
      <c r="J373" s="3" t="inlineStr">
        <is>
          <t>Chicken Lemon Garlic Zoodle Bowl, healthy food photography, plated, natural light</t>
        </is>
      </c>
      <c r="K373" s="4" t="inlineStr"/>
      <c r="L373" s="3" t="inlineStr">
        <is>
          <t>Chicken breast, skinless — 450 g (15.9 oz)
Zucchini noodles (zoodles) — 500 g (17.6 oz)
Garlic — 10 g (0.4 oz)
Lemon (with juice &amp; zest) — 50 g (1.8 oz)
Extra-virgin olive oil — 18 g (0.6 oz)
Cherry tomatoes — 200 g (7.1 oz)
Parmesan, grated — 30 g (1.1 oz)
Red pepper flakes — 1 g (0.0 oz)
Fresh basil — 6 g (0.2 oz)
Salt — 2 g (0.1 oz)</t>
        </is>
      </c>
      <c r="M373" s="4" t="inlineStr">
        <is>
          <t>[{"ingredient_id": "chicken_breast", "name": "Chicken breast, skinless", "grams": 450.0, "note": ""}, {"ingredient_id": "zucchini_noodles", "name": "Zucchini noodles (zoodles)", "grams": 500.0, "note": ""}, {"ingredient_id": "garlic", "name": "Garlic", "grams": 10.0, "note": ""}, {"ingredient_id": "lemon", "name": "Lemon (with juice &amp; zest)", "grams": 50.0, "note": ""}, {"ingredient_id": "olive_oil", "name": "Extra-virgin olive oil", "grams": 18.0, "note": ""}, {"ingredient_id": "cherry_tomato", "name": "Cherry tomatoes", "grams": 200.0, "note": ""}, {"ingredient_id": "parmesan", "name": "Parmesan, grated", "grams": 30.0, "note": ""}, {"ingredient_id": "red_pepper_flakes", "name": "Red pepper flakes", "grams": 1.0, "note": ""}, {"ingredient_id": "basil", "name": "Fresh basil", "grams": 6.0, "note": ""}, {"ingredient_id": "salt", "name": "Salt", "grams": 2.0, "note": ""}]</t>
        </is>
      </c>
      <c r="N373" s="2" t="n">
        <v>328</v>
      </c>
      <c r="O373" s="5" t="n">
        <v>40.7</v>
      </c>
      <c r="P373" s="5" t="n">
        <v>13.6</v>
      </c>
      <c r="Q373" s="5" t="n">
        <v>11.1</v>
      </c>
      <c r="R373" s="5" t="n">
        <v>3.1</v>
      </c>
      <c r="S373" s="5" t="n">
        <v>7.9</v>
      </c>
      <c r="T373" s="2" t="n">
        <v>17</v>
      </c>
      <c r="U373" s="2" t="inlineStr">
        <is>
          <t>low</t>
        </is>
      </c>
      <c r="V373" s="5" t="n">
        <v>1.3</v>
      </c>
      <c r="W373" s="2" t="inlineStr">
        <is>
          <t>low</t>
        </is>
      </c>
      <c r="X373" s="3" t="inlineStr"/>
      <c r="Y373" s="3" t="inlineStr">
        <is>
          <t>0% of this dish's available carbohydrate comes from ingredients with a published, measured GI; the rest uses conventional placeholders (see Ingredients sheet)</t>
        </is>
      </c>
      <c r="Z373" s="2" t="n">
        <v>0</v>
      </c>
      <c r="AA373" s="3" t="inlineStr">
        <is>
          <t>gluten-free, nut-free, low-carb, high-protein, quick</t>
        </is>
      </c>
      <c r="AB373" s="3" t="inlineStr">
        <is>
          <t>1. Sear chicken pieces in oil with garlic; remove.
2. Sauté tomatoes 2 minutes; add zoodles, lemon zest and juice; toss 2 minutes.
3. Return chicken; top with parmesan, basil, pepper flakes.</t>
        </is>
      </c>
      <c r="AC373" s="4" t="inlineStr">
        <is>
          <t>["Sear chicken pieces in oil with garlic; remove.", "Sauté tomatoes 2 minutes; add zoodles, lemon zest and juice; toss 2 minutes.", "Return chicken; top with parmesan, basil, pepper flakes."]</t>
        </is>
      </c>
    </row>
    <row r="374" ht="96" customHeight="1">
      <c r="A374" s="2" t="inlineStr">
        <is>
          <t>DB-0373</t>
        </is>
      </c>
      <c r="B374" s="3" t="inlineStr">
        <is>
          <t>Chicken Cauliflower Fried Rice with Kimchi</t>
        </is>
      </c>
      <c r="C374" s="4" t="inlineStr">
        <is>
          <t>Poultry</t>
        </is>
      </c>
      <c r="D374" s="4" t="inlineStr">
        <is>
          <t>Korean</t>
        </is>
      </c>
      <c r="E374" s="2" t="n">
        <v>3</v>
      </c>
      <c r="F374" s="2" t="n">
        <v>10</v>
      </c>
      <c r="G374" s="2" t="n">
        <v>15</v>
      </c>
      <c r="H374" s="2" t="n">
        <v>25</v>
      </c>
      <c r="I374" s="4" t="inlineStr">
        <is>
          <t>chicken-cauliflower-fried-rice-with-kimchi.jpg</t>
        </is>
      </c>
      <c r="J374" s="3" t="inlineStr">
        <is>
          <t>Chicken Cauliflower Fried Rice with Kimchi, healthy food photography, plated, natural light</t>
        </is>
      </c>
      <c r="K374" s="4" t="inlineStr"/>
      <c r="L374" s="3" t="inlineStr">
        <is>
          <t>Chicken thigh, skinless boneless — 450 g (15.9 oz)
Cauliflower rice — 500 g (17.6 oz)
Kimchi — 150 g (5.3 oz)
Egg, large (50 g each) — 100 g (3.5 oz)
Green onions (scallions) — 25 g (0.9 oz)
Garlic — 6 g (0.2 oz)
Tamari (gluten-free soy sauce) — 20 g (0.7 oz)
Toasted sesame oil — 8 g (0.3 oz)
Avocado oil — 10 g (0.4 oz)
Gochujang (small amount) — 10 g (0.4 oz)</t>
        </is>
      </c>
      <c r="M374" s="4" t="inlineStr">
        <is>
          <t>[{"ingredient_id": "chicken_thigh", "name": "Chicken thigh, skinless boneless", "grams": 450.0, "note": ""}, {"ingredient_id": "cauliflower_rice", "name": "Cauliflower rice", "grams": 500.0, "note": ""}, {"ingredient_id": "kimchi", "name": "Kimchi", "grams": 150.0, "note": ""}, {"ingredient_id": "egg", "name": "Egg, large (50 g each)", "grams": 100.0, "note": ""}, {"ingredient_id": "green_onion", "name": "Green onions (scallions)", "grams": 25.0, "note": ""}, {"ingredient_id": "garlic", "name": "Garlic", "grams": 6.0, "note": ""}, {"ingredient_id": "tamari", "name": "Tamari (gluten-free soy sauce)", "grams": 20.0, "note": ""}, {"ingredient_id": "sesame_oil", "name": "Toasted sesame oil", "grams": 8.0, "note": ""}, {"ingredient_id": "avocado_oil", "name": "Avocado oil", "grams": 10.0, "note": ""}, {"ingredient_id": "gochujang", "name": "Gochujang (small amount)", "grams": 10.0, "note": ""}]</t>
        </is>
      </c>
      <c r="N374" s="2" t="n">
        <v>348</v>
      </c>
      <c r="O374" s="5" t="n">
        <v>38.5</v>
      </c>
      <c r="P374" s="5" t="n">
        <v>16.1</v>
      </c>
      <c r="Q374" s="5" t="n">
        <v>12.9</v>
      </c>
      <c r="R374" s="5" t="n">
        <v>4.5</v>
      </c>
      <c r="S374" s="5" t="n">
        <v>8.300000000000001</v>
      </c>
      <c r="T374" s="2" t="n">
        <v>21</v>
      </c>
      <c r="U374" s="2" t="inlineStr">
        <is>
          <t>low</t>
        </is>
      </c>
      <c r="V374" s="5" t="n">
        <v>1.7</v>
      </c>
      <c r="W374" s="2" t="inlineStr">
        <is>
          <t>low</t>
        </is>
      </c>
      <c r="X374" s="3" t="inlineStr"/>
      <c r="Y374" s="3" t="inlineStr">
        <is>
          <t>0% of this dish's available carbohydrate comes from ingredients with a published, measured GI; the rest uses conventional placeholders (see Ingredients sheet)</t>
        </is>
      </c>
      <c r="Z374" s="2" t="n">
        <v>0</v>
      </c>
      <c r="AA374" s="3" t="inlineStr">
        <is>
          <t>dairy-free, nut-free, low-carb, high-protein</t>
        </is>
      </c>
      <c r="AB374" s="3" t="inlineStr">
        <is>
          <t>1. Stir-fry chicken in avocado oil until browned.
2. Add garlic, kimchi, cauliflower rice; cook 5 minutes; push aside and scramble eggs.
3. Stir in tamari, gochujang, sesame oil, green onion.</t>
        </is>
      </c>
      <c r="AC374" s="4" t="inlineStr">
        <is>
          <t>["Stir-fry chicken in avocado oil until browned.", "Add garlic, kimchi, cauliflower rice; cook 5 minutes; push aside and scramble eggs.", "Stir in tamari, gochujang, sesame oil, green onion."]</t>
        </is>
      </c>
    </row>
    <row r="375" ht="96" customHeight="1">
      <c r="A375" s="2" t="inlineStr">
        <is>
          <t>DB-0374</t>
        </is>
      </c>
      <c r="B375" s="3" t="inlineStr">
        <is>
          <t>Crispy Baked Chicken Thighs with Roasted Cabbage</t>
        </is>
      </c>
      <c r="C375" s="4" t="inlineStr">
        <is>
          <t>Poultry</t>
        </is>
      </c>
      <c r="D375" s="4" t="inlineStr">
        <is>
          <t>American</t>
        </is>
      </c>
      <c r="E375" s="2" t="n">
        <v>4</v>
      </c>
      <c r="F375" s="2" t="n">
        <v>10</v>
      </c>
      <c r="G375" s="2" t="n">
        <v>40</v>
      </c>
      <c r="H375" s="2" t="n">
        <v>50</v>
      </c>
      <c r="I375" s="4" t="inlineStr">
        <is>
          <t>crispy-baked-chicken-thighs-with-roasted-cabbage.jpg</t>
        </is>
      </c>
      <c r="J375" s="3" t="inlineStr">
        <is>
          <t>Crispy Baked Chicken Thighs with Roasted Cabbage, healthy food photography, plated, natural light</t>
        </is>
      </c>
      <c r="K375" s="4" t="inlineStr"/>
      <c r="L375" s="3" t="inlineStr">
        <is>
          <t>Chicken thigh, skinless boneless — 700 g (24.7 oz)
Green cabbage — 600 g (21.2 oz)
Extra-virgin olive oil — 20 g (0.7 oz)
Smoked paprika — 4 g (0.1 oz)
Garlic powder — 3 g (0.1 oz)
Dijon mustard — 15 g (0.5 oz)
Apple cider vinegar — 10 g (0.4 oz)
Salt — 3 g (0.1 oz)</t>
        </is>
      </c>
      <c r="M375" s="4" t="inlineStr">
        <is>
          <t>[{"ingredient_id": "chicken_thigh", "name": "Chicken thigh, skinless boneless", "grams": 700.0, "note": ""}, {"ingredient_id": "cabbage", "name": "Green cabbage", "grams": 600.0, "note": ""}, {"ingredient_id": "olive_oil", "name": "Extra-virgin olive oil", "grams": 20.0, "note": ""}, {"ingredient_id": "smoked_paprika", "name": "Smoked paprika", "grams": 4.0, "note": ""}, {"ingredient_id": "garlic_powder", "name": "Garlic powder", "grams": 3.0, "note": ""}, {"ingredient_id": "dijon", "name": "Dijon mustard", "grams": 15.0, "note": ""}, {"ingredient_id": "apple_cider_vinegar", "name": "Apple cider vinegar", "grams": 10.0, "note": ""}, {"ingredient_id": "salt", "name": "Salt", "grams": 3.0, "note": ""}]</t>
        </is>
      </c>
      <c r="N375" s="2" t="n">
        <v>302</v>
      </c>
      <c r="O375" s="5" t="n">
        <v>36.8</v>
      </c>
      <c r="P375" s="5" t="n">
        <v>12.6</v>
      </c>
      <c r="Q375" s="5" t="n">
        <v>10</v>
      </c>
      <c r="R375" s="5" t="n">
        <v>4.3</v>
      </c>
      <c r="S375" s="5" t="n">
        <v>5.7</v>
      </c>
      <c r="T375" s="2" t="n">
        <v>15</v>
      </c>
      <c r="U375" s="2" t="inlineStr">
        <is>
          <t>low</t>
        </is>
      </c>
      <c r="V375" s="5" t="n">
        <v>0.9</v>
      </c>
      <c r="W375" s="2" t="inlineStr">
        <is>
          <t>low</t>
        </is>
      </c>
      <c r="X375" s="3" t="inlineStr"/>
      <c r="Y375" s="3" t="inlineStr">
        <is>
          <t>0% of this dish's available carbohydrate comes from ingredients with a published, measured GI; the rest uses conventional placeholders (see Ingredients sheet)</t>
        </is>
      </c>
      <c r="Z375" s="2" t="n">
        <v>0</v>
      </c>
      <c r="AA375" s="3" t="inlineStr">
        <is>
          <t>gluten-free, dairy-free, nut-free, low-carb, high-protein, one-pan</t>
        </is>
      </c>
      <c r="AB375" s="3" t="inlineStr">
        <is>
          <t>1. Rub chicken with paprika, garlic powder, salt and half the oil.
2. Cut cabbage into wedges, brush with oil, Dijon and vinegar.
3. Roast everything at 425°F 35–40 minutes.</t>
        </is>
      </c>
      <c r="AC375" s="4" t="inlineStr">
        <is>
          <t>["Rub chicken with paprika, garlic powder, salt and half the oil.", "Cut cabbage into wedges, brush with oil, Dijon and vinegar.", "Roast everything at 425°F 35–40 minutes."]</t>
        </is>
      </c>
    </row>
    <row r="376" ht="96" customHeight="1">
      <c r="A376" s="2" t="inlineStr">
        <is>
          <t>DB-0375</t>
        </is>
      </c>
      <c r="B376" s="3" t="inlineStr">
        <is>
          <t>Chicken Tostada Salad Bowl with Refried Beans</t>
        </is>
      </c>
      <c r="C376" s="4" t="inlineStr">
        <is>
          <t>Poultry</t>
        </is>
      </c>
      <c r="D376" s="4" t="inlineStr">
        <is>
          <t>Mexican</t>
        </is>
      </c>
      <c r="E376" s="2" t="n">
        <v>4</v>
      </c>
      <c r="F376" s="2" t="n">
        <v>10</v>
      </c>
      <c r="G376" s="2" t="n">
        <v>15</v>
      </c>
      <c r="H376" s="2" t="n">
        <v>25</v>
      </c>
      <c r="I376" s="4" t="inlineStr">
        <is>
          <t>chicken-tostada-salad-bowl-with-refried-beans.jpg</t>
        </is>
      </c>
      <c r="J376" s="3" t="inlineStr">
        <is>
          <t>Chicken Tostada Salad Bowl with Refried Beans, healthy food photography, plated, natural light</t>
        </is>
      </c>
      <c r="K376" s="4" t="inlineStr"/>
      <c r="L376" s="3" t="inlineStr">
        <is>
          <t>Chicken breast, skinless — 550 g (19.4 oz)
Refried beans, fat-free — 300 g (10.6 oz)
Romaine lettuce — 300 g (10.6 oz)
Pico de gallo — 200 g (7.1 oz)
Cotija cheese — 50 g (1.8 oz)
Avocado — 120 g (4.2 oz)
Greek yogurt, plain 2% — 80 g (2.8 oz)
Taco seasoning, low sodium — 8 g (0.3 oz)
Extra-virgin olive oil — 10 g (0.4 oz)
Corn tortilla — 100 g (3.5 oz) [4 small, baked]</t>
        </is>
      </c>
      <c r="M376" s="4" t="inlineStr">
        <is>
          <t>[{"ingredient_id": "chicken_breast", "name": "Chicken breast, skinless", "grams": 550.0, "note": ""}, {"ingredient_id": "refried_beans", "name": "Refried beans, fat-free", "grams": 300.0, "note": ""}, {"ingredient_id": "romaine", "name": "Romaine lettuce", "grams": 300.0, "note": ""}, {"ingredient_id": "pico_de_gallo", "name": "Pico de gallo", "grams": 200.0, "note": ""}, {"ingredient_id": "cotija", "name": "Cotija cheese", "grams": 50.0, "note": ""}, {"ingredient_id": "avocado", "name": "Avocado", "grams": 120.0, "note": ""}, {"ingredient_id": "greek_yogurt", "name": "Greek yogurt, plain 2%", "grams": 80.0, "note": ""}, {"ingredient_id": "taco_seasoning", "name": "Taco seasoning, low sodium", "grams": 8.0, "note": ""}, {"ingredient_id": "olive_oil", "name": "Extra-virgin olive oil", "grams": 10.0, "note": ""}, {"ingredient_id": "corn_tortilla", "name": "Corn tortilla", "grams": 100.0, "note": "4 small, baked"}]</t>
        </is>
      </c>
      <c r="N376" s="2" t="n">
        <v>446</v>
      </c>
      <c r="O376" s="5" t="n">
        <v>43.1</v>
      </c>
      <c r="P376" s="5" t="n">
        <v>16.3</v>
      </c>
      <c r="Q376" s="5" t="n">
        <v>32.2</v>
      </c>
      <c r="R376" s="5" t="n">
        <v>10</v>
      </c>
      <c r="S376" s="5" t="n">
        <v>22.2</v>
      </c>
      <c r="T376" s="2" t="n">
        <v>38</v>
      </c>
      <c r="U376" s="2" t="inlineStr">
        <is>
          <t>low</t>
        </is>
      </c>
      <c r="V376" s="5" t="n">
        <v>8.4</v>
      </c>
      <c r="W376" s="2" t="inlineStr">
        <is>
          <t>low</t>
        </is>
      </c>
      <c r="X376" s="3" t="inlineStr"/>
      <c r="Y376" s="3" t="inlineStr">
        <is>
          <t>47% of this dish's available carbohydrate comes from ingredients with a published, measured GI; the rest uses conventional placeholders (see Ingredients sheet)</t>
        </is>
      </c>
      <c r="Z376" s="2" t="n">
        <v>47</v>
      </c>
      <c r="AA376" s="3" t="inlineStr">
        <is>
          <t>gluten-free, nut-free, high-protein, high-fiber</t>
        </is>
      </c>
      <c r="AB376" s="3" t="inlineStr">
        <is>
          <t>1. Season chicken; sear and slice.
2. Bake tortillas until crisp.
3. Layer beans, romaine, chicken, pico, cotija, avocado and yogurt over the tortillas.</t>
        </is>
      </c>
      <c r="AC376" s="4" t="inlineStr">
        <is>
          <t>["Season chicken; sear and slice.", "Bake tortillas until crisp.", "Layer beans, romaine, chicken, pico, cotija, avocado and yogurt over the tortillas."]</t>
        </is>
      </c>
    </row>
    <row r="377" ht="96" customHeight="1">
      <c r="A377" s="2" t="inlineStr">
        <is>
          <t>DB-0376</t>
        </is>
      </c>
      <c r="B377" s="3" t="inlineStr">
        <is>
          <t>Mediterranean Chicken Thighs with Olives &amp; Artichokes</t>
        </is>
      </c>
      <c r="C377" s="4" t="inlineStr">
        <is>
          <t>Poultry</t>
        </is>
      </c>
      <c r="D377" s="4" t="inlineStr">
        <is>
          <t>Mediterranean</t>
        </is>
      </c>
      <c r="E377" s="2" t="n">
        <v>4</v>
      </c>
      <c r="F377" s="2" t="n">
        <v>10</v>
      </c>
      <c r="G377" s="2" t="n">
        <v>35</v>
      </c>
      <c r="H377" s="2" t="n">
        <v>45</v>
      </c>
      <c r="I377" s="4" t="inlineStr">
        <is>
          <t>mediterranean-chicken-thighs-with-olives-and-artichokes.jpg</t>
        </is>
      </c>
      <c r="J377" s="3" t="inlineStr">
        <is>
          <t>Mediterranean Chicken Thighs with Olives &amp; Artichokes, healthy food photography, plated, natural light</t>
        </is>
      </c>
      <c r="K377" s="4" t="inlineStr"/>
      <c r="L377" s="3" t="inlineStr">
        <is>
          <t>Chicken thigh, skinless boneless — 700 g (24.7 oz)
Artichoke hearts, canned in water — 250 g (8.8 oz)
Olives (kalamata/green) — 60 g (2.1 oz)
Cherry tomatoes — 250 g (8.8 oz)
Garlic — 8 g (0.3 oz)
Lemon (with juice &amp; zest) — 50 g (1.8 oz)
Dried oregano — 3 g (0.1 oz)
Extra-virgin olive oil — 15 g (0.5 oz)
Feta cheese — 50 g (1.8 oz)
Fresh parsley — 6 g (0.2 oz)
Salt — 3 g (0.1 oz)</t>
        </is>
      </c>
      <c r="M377" s="4" t="inlineStr">
        <is>
          <t>[{"ingredient_id": "chicken_thigh", "name": "Chicken thigh, skinless boneless", "grams": 700.0, "note": ""}, {"ingredient_id": "artichoke_hearts", "name": "Artichoke hearts, canned in water", "grams": 250.0, "note": ""}, {"ingredient_id": "olives", "name": "Olives (kalamata/green)", "grams": 60.0, "note": ""}, {"ingredient_id": "cherry_tomato", "name": "Cherry tomatoes", "grams": 250.0, "note": ""}, {"ingredient_id": "garlic", "name": "Garlic", "grams": 8.0, "note": ""}, {"ingredient_id": "lemon", "name": "Lemon (with juice &amp; zest)", "grams": 50.0, "note": ""}, {"ingredient_id": "oregano", "name": "Dried oregano", "grams": 3.0, "note": ""}, {"ingredient_id": "olive_oil", "name": "Extra-virgin olive oil", "grams": 15.0, "note": ""}, {"ingredient_id": "feta", "name": "Feta cheese", "grams": 50.0, "note": ""}, {"ingredient_id": "parsley", "name": "Fresh parsley", "grams": 6.0, "note": ""}, {"ingredient_id": "salt", "name": "Salt", "grams": 3.0, "note": ""}]</t>
        </is>
      </c>
      <c r="N377" s="2" t="n">
        <v>345</v>
      </c>
      <c r="O377" s="5" t="n">
        <v>39.3</v>
      </c>
      <c r="P377" s="5" t="n">
        <v>15.5</v>
      </c>
      <c r="Q377" s="5" t="n">
        <v>12.8</v>
      </c>
      <c r="R377" s="5" t="n">
        <v>5.4</v>
      </c>
      <c r="S377" s="5" t="n">
        <v>7.5</v>
      </c>
      <c r="T377" s="2" t="n">
        <v>16</v>
      </c>
      <c r="U377" s="2" t="inlineStr">
        <is>
          <t>low</t>
        </is>
      </c>
      <c r="V377" s="5" t="n">
        <v>1.2</v>
      </c>
      <c r="W377" s="2" t="inlineStr">
        <is>
          <t>low</t>
        </is>
      </c>
      <c r="X377" s="3" t="inlineStr"/>
      <c r="Y377" s="3" t="inlineStr">
        <is>
          <t>0% of this dish's available carbohydrate comes from ingredients with a published, measured GI; the rest uses conventional placeholders (see Ingredients sheet)</t>
        </is>
      </c>
      <c r="Z377" s="2" t="n">
        <v>0</v>
      </c>
      <c r="AA377" s="3" t="inlineStr">
        <is>
          <t>gluten-free, nut-free, low-carb, high-protein, one-pan</t>
        </is>
      </c>
      <c r="AB377" s="3" t="inlineStr">
        <is>
          <t>1. Sear chicken in oil; add garlic, artichokes, olives, tomatoes, lemon slices, oregano.
2. Roast at 400°F 25 minutes.
3. Top with feta and parsley.</t>
        </is>
      </c>
      <c r="AC377" s="4" t="inlineStr">
        <is>
          <t>["Sear chicken in oil; add garlic, artichokes, olives, tomatoes, lemon slices, oregano.", "Roast at 400°F 25 minutes.", "Top with feta and parsley."]</t>
        </is>
      </c>
    </row>
    <row r="378" ht="96" customHeight="1">
      <c r="A378" s="2" t="inlineStr">
        <is>
          <t>DB-0377</t>
        </is>
      </c>
      <c r="B378" s="3" t="inlineStr">
        <is>
          <t>Peruvian-Style Roast Chicken with Green Sauce</t>
        </is>
      </c>
      <c r="C378" s="4" t="inlineStr">
        <is>
          <t>Poultry</t>
        </is>
      </c>
      <c r="D378" s="4" t="inlineStr">
        <is>
          <t>Peruvian</t>
        </is>
      </c>
      <c r="E378" s="2" t="n">
        <v>4</v>
      </c>
      <c r="F378" s="2" t="n">
        <v>15</v>
      </c>
      <c r="G378" s="2" t="n">
        <v>35</v>
      </c>
      <c r="H378" s="2" t="n">
        <v>50</v>
      </c>
      <c r="I378" s="4" t="inlineStr">
        <is>
          <t>peruvian-style-roast-chicken-with-green-sauce.jpg</t>
        </is>
      </c>
      <c r="J378" s="3" t="inlineStr">
        <is>
          <t>Peruvian-Style Roast Chicken with Green Sauce, healthy food photography, plated, natural light</t>
        </is>
      </c>
      <c r="K378" s="4" t="inlineStr"/>
      <c r="L378" s="3" t="inlineStr">
        <is>
          <t>Chicken thigh, skinless boneless — 800 g (28.2 oz)
Ground cumin — 4 g (0.1 oz)
Smoked paprika — 4 g (0.1 oz)
Garlic — 10 g (0.4 oz)
Lime juice — 30 g (1.1 oz)
Extra-virgin olive oil — 15 g (0.5 oz)
Greek yogurt, plain 2% — 120 g (4.2 oz)
Fresh cilantro — 30 g (1.1 oz)
Jalapeño — 20 g (0.7 oz)
Mayonnaise (avocado oil) — 20 g (0.7 oz)
Romaine lettuce — 200 g (7.1 oz)
Salt — 3 g (0.1 oz)</t>
        </is>
      </c>
      <c r="M378" s="4" t="inlineStr">
        <is>
          <t>[{"ingredient_id": "chicken_thigh", "name": "Chicken thigh, skinless boneless", "grams": 800.0, "note": ""}, {"ingredient_id": "cumin", "name": "Ground cumin", "grams": 4.0, "note": ""}, {"ingredient_id": "smoked_paprika", "name": "Smoked paprika", "grams": 4.0, "note": ""}, {"ingredient_id": "garlic", "name": "Garlic", "grams": 10.0, "note": ""}, {"ingredient_id": "lime_juice", "name": "Lime juice", "grams": 30.0, "note": ""}, {"ingredient_id": "olive_oil", "name": "Extra-virgin olive oil", "grams": 15.0, "note": ""}, {"ingredient_id": "greek_yogurt", "name": "Greek yogurt, plain 2%", "grams": 120.0, "note": ""}, {"ingredient_id": "cilantro", "name": "Fresh cilantro", "grams": 30.0, "note": ""}, {"ingredient_id": "jalapeno", "name": "Jalapeño", "grams": 20.0, "note": ""}, {"ingredient_id": "mayo", "name": "Mayonnaise (avocado oil)", "grams": 20.0, "note": ""}, {"ingredient_id": "romaine", "name": "Romaine lettuce", "grams": 200.0, "note": ""}, {"ingredient_id": "salt", "name": "Salt", "grams": 3.0, "note": ""}]</t>
        </is>
      </c>
      <c r="N378" s="2" t="n">
        <v>356</v>
      </c>
      <c r="O378" s="5" t="n">
        <v>43.7</v>
      </c>
      <c r="P378" s="5" t="n">
        <v>17</v>
      </c>
      <c r="Q378" s="5" t="n">
        <v>5.9</v>
      </c>
      <c r="R378" s="5" t="n">
        <v>1.9</v>
      </c>
      <c r="S378" s="5" t="n">
        <v>3.9</v>
      </c>
      <c r="T378" s="2" t="n">
        <v>17</v>
      </c>
      <c r="U378" s="2" t="inlineStr">
        <is>
          <t>low</t>
        </is>
      </c>
      <c r="V378" s="5" t="n">
        <v>0.7</v>
      </c>
      <c r="W378" s="2" t="inlineStr">
        <is>
          <t>low</t>
        </is>
      </c>
      <c r="X378" s="3" t="inlineStr">
        <is>
          <t>Negligible carbohydrate (&lt;5 g net/serving): GI has little practical meaning, glycemic load is what matters.</t>
        </is>
      </c>
      <c r="Y378" s="3" t="inlineStr">
        <is>
          <t>30% of this dish's available carbohydrate comes from ingredients with a published, measured GI; the rest uses conventional placeholders (see Ingredients sheet)</t>
        </is>
      </c>
      <c r="Z378" s="2" t="n">
        <v>30</v>
      </c>
      <c r="AA378" s="3" t="inlineStr">
        <is>
          <t>gluten-free, nut-free, low-carb, high-protein</t>
        </is>
      </c>
      <c r="AB378" s="3" t="inlineStr">
        <is>
          <t>1. Rub chicken with cumin, paprika, garlic, lime, oil and salt; roast at 425°F 30 minutes.
2. Blend yogurt, cilantro, jalapeño, mayo and lime into green sauce.
3. Serve chicken with sauce and romaine.</t>
        </is>
      </c>
      <c r="AC378" s="4" t="inlineStr">
        <is>
          <t>["Rub chicken with cumin, paprika, garlic, lime, oil and salt; roast at 425°F 30 minutes.", "Blend yogurt, cilantro, jalapeño, mayo and lime into green sauce.", "Serve chicken with sauce and romaine."]</t>
        </is>
      </c>
    </row>
    <row r="379" ht="96" customHeight="1">
      <c r="A379" s="2" t="inlineStr">
        <is>
          <t>DB-0378</t>
        </is>
      </c>
      <c r="B379" s="3" t="inlineStr">
        <is>
          <t>Chicken &amp; Black Bean Quesadillas</t>
        </is>
      </c>
      <c r="C379" s="4" t="inlineStr">
        <is>
          <t>Poultry</t>
        </is>
      </c>
      <c r="D379" s="4" t="inlineStr">
        <is>
          <t>Tex-Mex</t>
        </is>
      </c>
      <c r="E379" s="2" t="n">
        <v>4</v>
      </c>
      <c r="F379" s="2" t="n">
        <v>10</v>
      </c>
      <c r="G379" s="2" t="n">
        <v>15</v>
      </c>
      <c r="H379" s="2" t="n">
        <v>25</v>
      </c>
      <c r="I379" s="4" t="inlineStr">
        <is>
          <t>chicken-and-black-bean-quesadillas.jpg</t>
        </is>
      </c>
      <c r="J379" s="3" t="inlineStr">
        <is>
          <t>Chicken &amp; Black Bean Quesadillas, healthy food photography, plated, natural light</t>
        </is>
      </c>
      <c r="K379" s="4" t="inlineStr"/>
      <c r="L379" s="3" t="inlineStr">
        <is>
          <t>Low-carb high-fiber tortilla — 168 g (5.9 oz) [4 tortillas]
Rotisserie chicken, skin removed — 400 g (14.1 oz)
Black beans, cooked — 200 g (7.1 oz)
Pepper jack cheese — 120 g (4.2 oz)
Bell pepper — 100 g (3.5 oz)
Salsa, no sugar added — 120 g (4.2 oz)
Greek yogurt, plain 2% — 80 g (2.8 oz)
Extra-virgin olive oil — 10 g (0.4 oz)
Ground cumin — 2 g (0.1 oz)</t>
        </is>
      </c>
      <c r="M379" s="4" t="inlineStr">
        <is>
          <t>[{"ingredient_id": "low_carb_tortilla", "name": "Low-carb high-fiber tortilla", "grams": 168.0, "note": "4 tortillas"}, {"ingredient_id": "rotisserie_chicken", "name": "Rotisserie chicken, skin removed", "grams": 400.0, "note": ""}, {"ingredient_id": "black_beans", "name": "Black beans, cooked", "grams": 200.0, "note": ""}, {"ingredient_id": "pepper_jack", "name": "Pepper jack cheese", "grams": 120.0, "note": ""}, {"ingredient_id": "bell_pepper", "name": "Bell pepper", "grams": 100.0, "note": ""}, {"ingredient_id": "salsa", "name": "Salsa, no sugar added", "grams": 120.0, "note": ""}, {"ingredient_id": "greek_yogurt", "name": "Greek yogurt, plain 2%", "grams": 80.0, "note": ""}, {"ingredient_id": "olive_oil", "name": "Extra-virgin olive oil", "grams": 10.0, "note": ""}, {"ingredient_id": "cumin", "name": "Ground cumin", "grams": 2.0, "note": ""}]</t>
        </is>
      </c>
      <c r="N379" s="2" t="n">
        <v>502</v>
      </c>
      <c r="O379" s="5" t="n">
        <v>42.5</v>
      </c>
      <c r="P379" s="5" t="n">
        <v>22.8</v>
      </c>
      <c r="Q379" s="5" t="n">
        <v>33.7</v>
      </c>
      <c r="R379" s="5" t="n">
        <v>15.9</v>
      </c>
      <c r="S379" s="5" t="n">
        <v>17.8</v>
      </c>
      <c r="T379" s="2" t="n">
        <v>27</v>
      </c>
      <c r="U379" s="2" t="inlineStr">
        <is>
          <t>low</t>
        </is>
      </c>
      <c r="V379" s="5" t="n">
        <v>4.8</v>
      </c>
      <c r="W379" s="2" t="inlineStr">
        <is>
          <t>low</t>
        </is>
      </c>
      <c r="X379" s="3" t="inlineStr"/>
      <c r="Y379" s="3" t="inlineStr">
        <is>
          <t>47% of this dish's available carbohydrate comes from ingredients with a published, measured GI; the rest uses conventional placeholders (see Ingredients sheet)</t>
        </is>
      </c>
      <c r="Z379" s="2" t="n">
        <v>47</v>
      </c>
      <c r="AA379" s="3" t="inlineStr">
        <is>
          <t>nut-free, high-protein, high-fiber, quick</t>
        </is>
      </c>
      <c r="AB379" s="3" t="inlineStr">
        <is>
          <t>1. Mix chicken, beans, pepper and cumin.
2. Fill half of each tortilla with cheese and filling; fold.
3. Cook in oil 3 minutes per side; serve with salsa and yogurt.</t>
        </is>
      </c>
      <c r="AC379" s="4" t="inlineStr">
        <is>
          <t>["Mix chicken, beans, pepper and cumin.", "Fill half of each tortilla with cheese and filling; fold.", "Cook in oil 3 minutes per side; serve with salsa and yogurt."]</t>
        </is>
      </c>
    </row>
    <row r="380" ht="96" customHeight="1">
      <c r="A380" s="2" t="inlineStr">
        <is>
          <t>DB-0379</t>
        </is>
      </c>
      <c r="B380" s="3" t="inlineStr">
        <is>
          <t>Chicken &amp; Spinach Stuffed Chicken Breast</t>
        </is>
      </c>
      <c r="C380" s="4" t="inlineStr">
        <is>
          <t>Poultry</t>
        </is>
      </c>
      <c r="D380" s="4" t="inlineStr">
        <is>
          <t>American</t>
        </is>
      </c>
      <c r="E380" s="2" t="n">
        <v>4</v>
      </c>
      <c r="F380" s="2" t="n">
        <v>15</v>
      </c>
      <c r="G380" s="2" t="n">
        <v>30</v>
      </c>
      <c r="H380" s="2" t="n">
        <v>45</v>
      </c>
      <c r="I380" s="4" t="inlineStr">
        <is>
          <t>chicken-and-spinach-stuffed-chicken-breast.jpg</t>
        </is>
      </c>
      <c r="J380" s="3" t="inlineStr">
        <is>
          <t>Chicken &amp; Spinach Stuffed Chicken Breast, healthy food photography, plated, natural light</t>
        </is>
      </c>
      <c r="K380" s="4" t="inlineStr"/>
      <c r="L380" s="3" t="inlineStr">
        <is>
          <t>Chicken breast, skinless — 700 g (24.7 oz)
Spinach — 150 g (5.3 oz)
Cream cheese — 60 g (2.1 oz)
Mozzarella, part-skim — 60 g (2.1 oz)
Garlic — 6 g (0.2 oz)
Sun-dried tomatoes in oil, drained — 30 g (1.1 oz)
Extra-virgin olive oil — 12 g (0.4 oz)
Italian seasoning — 3 g (0.1 oz)
Broccoli — 400 g (14.1 oz)
Salt — 3 g (0.1 oz)</t>
        </is>
      </c>
      <c r="M380" s="4" t="inlineStr">
        <is>
          <t>[{"ingredient_id": "chicken_breast", "name": "Chicken breast, skinless", "grams": 700.0, "note": ""}, {"ingredient_id": "spinach", "name": "Spinach", "grams": 150.0, "note": ""}, {"ingredient_id": "cream_cheese", "name": "Cream cheese", "grams": 60.0, "note": ""}, {"ingredient_id": "mozzarella", "name": "Mozzarella, part-skim", "grams": 60.0, "note": ""}, {"ingredient_id": "garlic", "name": "Garlic", "grams": 6.0, "note": ""}, {"ingredient_id": "sun_dried_tomato", "name": "Sun-dried tomatoes in oil, drained", "grams": 30.0, "note": ""}, {"ingredient_id": "olive_oil", "name": "Extra-virgin olive oil", "grams": 12.0, "note": ""}, {"ingredient_id": "italian_seasoning", "name": "Italian seasoning", "grams": 3.0, "note": ""}, {"ingredient_id": "broccoli", "name": "Broccoli", "grams": 400.0, "note": ""}, {"ingredient_id": "salt", "name": "Salt", "grams": 3.0, "note": ""}]</t>
        </is>
      </c>
      <c r="N380" s="2" t="n">
        <v>389</v>
      </c>
      <c r="O380" s="5" t="n">
        <v>48.3</v>
      </c>
      <c r="P380" s="5" t="n">
        <v>16.7</v>
      </c>
      <c r="Q380" s="5" t="n">
        <v>11.7</v>
      </c>
      <c r="R380" s="5" t="n">
        <v>4.2</v>
      </c>
      <c r="S380" s="5" t="n">
        <v>7.5</v>
      </c>
      <c r="T380" s="2" t="n">
        <v>17</v>
      </c>
      <c r="U380" s="2" t="inlineStr">
        <is>
          <t>low</t>
        </is>
      </c>
      <c r="V380" s="5" t="n">
        <v>1.3</v>
      </c>
      <c r="W380" s="2" t="inlineStr">
        <is>
          <t>low</t>
        </is>
      </c>
      <c r="X380" s="3" t="inlineStr"/>
      <c r="Y380" s="3" t="inlineStr">
        <is>
          <t>0% of this dish's available carbohydrate comes from ingredients with a published, measured GI; the rest uses conventional placeholders (see Ingredients sheet)</t>
        </is>
      </c>
      <c r="Z380" s="2" t="n">
        <v>0</v>
      </c>
      <c r="AA380" s="3" t="inlineStr">
        <is>
          <t>gluten-free, nut-free, low-carb, high-protein</t>
        </is>
      </c>
      <c r="AB380" s="3" t="inlineStr">
        <is>
          <t>1. Cut pockets in chicken; fill with wilted spinach, cream cheese, mozzarella, garlic, sun-dried tomato.
2. Season, sear in oil 3 minutes per side; bake at 400°F 18 minutes.
3. Serve with roasted broccoli.</t>
        </is>
      </c>
      <c r="AC380" s="4" t="inlineStr">
        <is>
          <t>["Cut pockets in chicken; fill with wilted spinach, cream cheese, mozzarella, garlic, sun-dried tomato.", "Season, sear in oil 3 minutes per side; bake at 400°F 18 minutes.", "Serve with roasted broccoli."]</t>
        </is>
      </c>
    </row>
    <row r="381" ht="96" customHeight="1">
      <c r="A381" s="2" t="inlineStr">
        <is>
          <t>DB-0380</t>
        </is>
      </c>
      <c r="B381" s="3" t="inlineStr">
        <is>
          <t>Chicken Yakitori Skewers</t>
        </is>
      </c>
      <c r="C381" s="4" t="inlineStr">
        <is>
          <t>Poultry</t>
        </is>
      </c>
      <c r="D381" s="4" t="inlineStr">
        <is>
          <t>Japanese</t>
        </is>
      </c>
      <c r="E381" s="2" t="n">
        <v>4</v>
      </c>
      <c r="F381" s="2" t="n">
        <v>15</v>
      </c>
      <c r="G381" s="2" t="n">
        <v>12</v>
      </c>
      <c r="H381" s="2" t="n">
        <v>27</v>
      </c>
      <c r="I381" s="4" t="inlineStr">
        <is>
          <t>chicken-yakitori-skewers.jpg</t>
        </is>
      </c>
      <c r="J381" s="3" t="inlineStr">
        <is>
          <t>Chicken Yakitori Skewers, healthy food photography, plated, natural light</t>
        </is>
      </c>
      <c r="K381" s="4" t="inlineStr"/>
      <c r="L381" s="3" t="inlineStr">
        <is>
          <t>Chicken thigh, skinless boneless — 700 g (24.7 oz)
Green onions (scallions) — 80 g (2.8 oz)
Tamari (gluten-free soy sauce) — 40 g (1.4 oz)
Rice vinegar, unseasoned — 15 g (0.5 oz)
Fresh ginger — 8 g (0.3 oz)
Garlic — 6 g (0.2 oz)
Monk fruit/erythritol sweetener — 8 g (0.3 oz)
Toasted sesame oil — 6 g (0.2 oz)
Bok choy — 400 g (14.1 oz)
Sesame seeds — 6 g (0.2 oz)</t>
        </is>
      </c>
      <c r="M381" s="4" t="inlineStr">
        <is>
          <t>[{"ingredient_id": "chicken_thigh", "name": "Chicken thigh, skinless boneless", "grams": 700.0, "note": ""}, {"ingredient_id": "green_onion", "name": "Green onions (scallions)", "grams": 80.0, "note": ""}, {"ingredient_id": "tamari", "name": "Tamari (gluten-free soy sauce)", "grams": 40.0, "note": ""}, {"ingredient_id": "rice_vinegar", "name": "Rice vinegar, unseasoned", "grams": 15.0, "note": ""}, {"ingredient_id": "ginger", "name": "Fresh ginger", "grams": 8.0, "note": ""}, {"ingredient_id": "garlic", "name": "Garlic", "grams": 6.0, "note": ""}, {"ingredient_id": "monk_fruit_sweetener", "name": "Monk fruit/erythritol sweetener", "grams": 8.0, "note": ""}, {"ingredient_id": "sesame_oil", "name": "Toasted sesame oil", "grams": 6.0, "note": ""}, {"ingredient_id": "bok_choy", "name": "Bok choy", "grams": 400.0, "note": ""}, {"ingredient_id": "sesame_seeds", "name": "Sesame seeds", "grams": 6.0, "note": ""}]</t>
        </is>
      </c>
      <c r="N381" s="2" t="n">
        <v>264</v>
      </c>
      <c r="O381" s="5" t="n">
        <v>37.7</v>
      </c>
      <c r="P381" s="5" t="n">
        <v>9.699999999999999</v>
      </c>
      <c r="Q381" s="5" t="n">
        <v>5.4</v>
      </c>
      <c r="R381" s="5" t="n">
        <v>1.9</v>
      </c>
      <c r="S381" s="5" t="n">
        <v>3.5</v>
      </c>
      <c r="T381" s="2" t="n">
        <v>18</v>
      </c>
      <c r="U381" s="2" t="inlineStr">
        <is>
          <t>low</t>
        </is>
      </c>
      <c r="V381" s="5" t="n">
        <v>0.6</v>
      </c>
      <c r="W381" s="2" t="inlineStr">
        <is>
          <t>low</t>
        </is>
      </c>
      <c r="X381" s="3" t="inlineStr">
        <is>
          <t>Negligible carbohydrate (&lt;5 g net/serving): GI has little practical meaning, glycemic load is what matters.</t>
        </is>
      </c>
      <c r="Y381" s="3" t="inlineStr">
        <is>
          <t>0% of this dish's available carbohydrate comes from ingredients with a published, measured GI; the rest uses conventional placeholders (see Ingredients sheet)</t>
        </is>
      </c>
      <c r="Z381" s="2" t="n">
        <v>0</v>
      </c>
      <c r="AA381" s="3" t="inlineStr">
        <is>
          <t>gluten-free, dairy-free, nut-free, low-carb, high-protein</t>
        </is>
      </c>
      <c r="AB381" s="3" t="inlineStr">
        <is>
          <t>1. Simmer tamari, vinegar, ginger, garlic, sweetener into a glaze.
2. Skewer chicken and green onion pieces; grill 10–12 minutes, brushing with glaze.
3. Serve with sautéed bok choy and sesame seeds.</t>
        </is>
      </c>
      <c r="AC381" s="4" t="inlineStr">
        <is>
          <t>["Simmer tamari, vinegar, ginger, garlic, sweetener into a glaze.", "Skewer chicken and green onion pieces; grill 10–12 minutes, brushing with glaze.", "Serve with sautéed bok choy and sesame seeds."]</t>
        </is>
      </c>
    </row>
    <row r="382" ht="96" customHeight="1">
      <c r="A382" s="2" t="inlineStr">
        <is>
          <t>DB-0381</t>
        </is>
      </c>
      <c r="B382" s="3" t="inlineStr">
        <is>
          <t>Chicken Bacon Ranch Cauliflower Casserole</t>
        </is>
      </c>
      <c r="C382" s="4" t="inlineStr">
        <is>
          <t>Poultry</t>
        </is>
      </c>
      <c r="D382" s="4" t="inlineStr">
        <is>
          <t>American</t>
        </is>
      </c>
      <c r="E382" s="2" t="n">
        <v>6</v>
      </c>
      <c r="F382" s="2" t="n">
        <v>15</v>
      </c>
      <c r="G382" s="2" t="n">
        <v>30</v>
      </c>
      <c r="H382" s="2" t="n">
        <v>45</v>
      </c>
      <c r="I382" s="4" t="inlineStr">
        <is>
          <t>chicken-bacon-ranch-cauliflower-casserole.jpg</t>
        </is>
      </c>
      <c r="J382" s="3" t="inlineStr">
        <is>
          <t>Chicken Bacon Ranch Cauliflower Casserole, healthy food photography, plated, natural light</t>
        </is>
      </c>
      <c r="K382" s="4" t="inlineStr"/>
      <c r="L382" s="3" t="inlineStr">
        <is>
          <t>Chicken breast, skinless — 600 g (21.2 oz)
Cauliflower — 800 g (28.2 oz)
Turkey bacon — 90 g (3.2 oz)
Cheddar cheese — 120 g (4.2 oz)
Greek yogurt, plain 2% — 200 g (7.1 oz)
Cream cheese — 60 g (2.1 oz)
Ranch seasoning (dry) — 8 g (0.3 oz)
Green onions (scallions) — 20 g (0.7 oz)
Extra-virgin olive oil — 10 g (0.4 oz)</t>
        </is>
      </c>
      <c r="M382" s="4" t="inlineStr">
        <is>
          <t>[{"ingredient_id": "chicken_breast", "name": "Chicken breast, skinless", "grams": 600.0, "note": ""}, {"ingredient_id": "cauliflower", "name": "Cauliflower", "grams": 800.0, "note": ""}, {"ingredient_id": "turkey_bacon", "name": "Turkey bacon", "grams": 90.0, "note": ""}, {"ingredient_id": "cheddar", "name": "Cheddar cheese", "grams": 120.0, "note": ""}, {"ingredient_id": "greek_yogurt", "name": "Greek yogurt, plain 2%", "grams": 200.0, "note": ""}, {"ingredient_id": "cream_cheese", "name": "Cream cheese", "grams": 60.0, "note": ""}, {"ingredient_id": "ranch_seasoning", "name": "Ranch seasoning (dry)", "grams": 8.0, "note": ""}, {"ingredient_id": "green_onion", "name": "Green onions (scallions)", "grams": 20.0, "note": ""}, {"ingredient_id": "olive_oil", "name": "Extra-virgin olive oil", "grams": 10.0, "note": ""}]</t>
        </is>
      </c>
      <c r="N382" s="2" t="n">
        <v>345</v>
      </c>
      <c r="O382" s="5" t="n">
        <v>36.5</v>
      </c>
      <c r="P382" s="5" t="n">
        <v>17.7</v>
      </c>
      <c r="Q382" s="5" t="n">
        <v>9.9</v>
      </c>
      <c r="R382" s="5" t="n">
        <v>3.1</v>
      </c>
      <c r="S382" s="5" t="n">
        <v>6.8</v>
      </c>
      <c r="T382" s="2" t="n">
        <v>12</v>
      </c>
      <c r="U382" s="2" t="inlineStr">
        <is>
          <t>low</t>
        </is>
      </c>
      <c r="V382" s="5" t="n">
        <v>0.8</v>
      </c>
      <c r="W382" s="2" t="inlineStr">
        <is>
          <t>low</t>
        </is>
      </c>
      <c r="X382" s="3" t="inlineStr"/>
      <c r="Y382" s="3" t="inlineStr">
        <is>
          <t>19% of this dish's available carbohydrate comes from ingredients with a published, measured GI; the rest uses conventional placeholders (see Ingredients sheet)</t>
        </is>
      </c>
      <c r="Z382" s="2" t="n">
        <v>19</v>
      </c>
      <c r="AA382" s="3" t="inlineStr">
        <is>
          <t>gluten-free, nut-free, low-carb, high-protein, make-ahead</t>
        </is>
      </c>
      <c r="AB382" s="3" t="inlineStr">
        <is>
          <t>1. Steam cauliflower 5 minutes; cook and dice chicken; crisp bacon.
2. Mix yogurt, cream cheese and ranch; fold in chicken and cauliflower.
3. Top with cheddar and bacon; bake at 375°F 20 minutes; add green onion.</t>
        </is>
      </c>
      <c r="AC382" s="4" t="inlineStr">
        <is>
          <t>["Steam cauliflower 5 minutes; cook and dice chicken; crisp bacon.", "Mix yogurt, cream cheese and ranch; fold in chicken and cauliflower.", "Top with cheddar and bacon; bake at 375°F 20 minutes; add green onion."]</t>
        </is>
      </c>
    </row>
    <row r="383" ht="96" customHeight="1">
      <c r="A383" s="2" t="inlineStr">
        <is>
          <t>DB-0382</t>
        </is>
      </c>
      <c r="B383" s="3" t="inlineStr">
        <is>
          <t>Sesame Ginger Chicken Lettuce Cups</t>
        </is>
      </c>
      <c r="C383" s="4" t="inlineStr">
        <is>
          <t>Poultry</t>
        </is>
      </c>
      <c r="D383" s="4" t="inlineStr">
        <is>
          <t>Asian</t>
        </is>
      </c>
      <c r="E383" s="2" t="n">
        <v>4</v>
      </c>
      <c r="F383" s="2" t="n">
        <v>10</v>
      </c>
      <c r="G383" s="2" t="n">
        <v>10</v>
      </c>
      <c r="H383" s="2" t="n">
        <v>20</v>
      </c>
      <c r="I383" s="4" t="inlineStr">
        <is>
          <t>sesame-ginger-chicken-lettuce-cups.jpg</t>
        </is>
      </c>
      <c r="J383" s="3" t="inlineStr">
        <is>
          <t>Sesame Ginger Chicken Lettuce Cups, healthy food photography, plated, natural light</t>
        </is>
      </c>
      <c r="K383" s="4" t="inlineStr"/>
      <c r="L383" s="3" t="inlineStr">
        <is>
          <t>Ground chicken — 600 g (21.2 oz)
Fresh ginger — 10 g (0.4 oz)
Garlic — 8 g (0.3 oz)
Tamari (gluten-free soy sauce) — 30 g (1.1 oz)
Rice vinegar, unseasoned — 15 g (0.5 oz)
Toasted sesame oil — 10 g (0.4 oz)
Carrot — 80 g (2.8 oz)
Green onions (scallions) — 30 g (1.1 oz)
Cucumber — 100 g (3.5 oz)
Butter lettuce — 200 g (7.1 oz)
Sesame seeds — 6 g (0.2 oz)
Avocado oil — 10 g (0.4 oz)</t>
        </is>
      </c>
      <c r="M383" s="4" t="inlineStr">
        <is>
          <t>[{"ingredient_id": "ground_chicken", "name": "Ground chicken", "grams": 600.0, "note": ""}, {"ingredient_id": "ginger", "name": "Fresh ginger", "grams": 10.0, "note": ""}, {"ingredient_id": "garlic", "name": "Garlic", "grams": 8.0, "note": ""}, {"ingredient_id": "tamari", "name": "Tamari (gluten-free soy sauce)", "grams": 30.0, "note": ""}, {"ingredient_id": "rice_vinegar", "name": "Rice vinegar, unseasoned", "grams": 15.0, "note": ""}, {"ingredient_id": "sesame_oil", "name": "Toasted sesame oil", "grams": 10.0, "note": ""}, {"ingredient_id": "carrot", "name": "Carrot", "grams": 80.0, "note": ""}, {"ingredient_id": "green_onion", "name": "Green onions (scallions)", "grams": 30.0, "note": ""}, {"ingredient_id": "cucumber", "name": "Cucumber", "grams": 100.0, "note": ""}, {"ingredient_id": "butter_lettuce", "name": "Butter lettuce", "grams": 200.0, "note": ""}, {"ingredient_id": "sesame_seeds", "name": "Sesame seeds", "grams": 6.0, "note": ""}, {"ingredient_id": "avocado_oil", "name": "Avocado oil", "grams": 10.0, "note": ""}]</t>
        </is>
      </c>
      <c r="N383" s="2" t="n">
        <v>298</v>
      </c>
      <c r="O383" s="5" t="n">
        <v>27.9</v>
      </c>
      <c r="P383" s="5" t="n">
        <v>18</v>
      </c>
      <c r="Q383" s="5" t="n">
        <v>6.3</v>
      </c>
      <c r="R383" s="5" t="n">
        <v>1.8</v>
      </c>
      <c r="S383" s="5" t="n">
        <v>4.6</v>
      </c>
      <c r="T383" s="2" t="n">
        <v>25</v>
      </c>
      <c r="U383" s="2" t="inlineStr">
        <is>
          <t>low</t>
        </is>
      </c>
      <c r="V383" s="5" t="n">
        <v>1.1</v>
      </c>
      <c r="W383" s="2" t="inlineStr">
        <is>
          <t>low</t>
        </is>
      </c>
      <c r="X383" s="3" t="inlineStr">
        <is>
          <t>Negligible carbohydrate (&lt;5 g net/serving): GI has little practical meaning, glycemic load is what matters.</t>
        </is>
      </c>
      <c r="Y383" s="3" t="inlineStr">
        <is>
          <t>30% of this dish's available carbohydrate comes from ingredients with a published, measured GI; the rest uses conventional placeholders (see Ingredients sheet)</t>
        </is>
      </c>
      <c r="Z383" s="2" t="n">
        <v>30</v>
      </c>
      <c r="AA383" s="3" t="inlineStr">
        <is>
          <t>gluten-free, dairy-free, nut-free, low-carb, high-protein, quick</t>
        </is>
      </c>
      <c r="AB383" s="3" t="inlineStr">
        <is>
          <t>1. Brown chicken in avocado oil with ginger and garlic.
2. Add tamari, vinegar, sesame oil and grated carrot; cook 2 minutes.
3. Serve in lettuce cups with cucumber, green onion and sesame.</t>
        </is>
      </c>
      <c r="AC383" s="4" t="inlineStr">
        <is>
          <t>["Brown chicken in avocado oil with ginger and garlic.", "Add tamari, vinegar, sesame oil and grated carrot; cook 2 minutes.", "Serve in lettuce cups with cucumber, green onion and sesame."]</t>
        </is>
      </c>
    </row>
    <row r="384" ht="96" customHeight="1">
      <c r="A384" s="2" t="inlineStr">
        <is>
          <t>DB-0383</t>
        </is>
      </c>
      <c r="B384" s="3" t="inlineStr">
        <is>
          <t>Chicken Provençal</t>
        </is>
      </c>
      <c r="C384" s="4" t="inlineStr">
        <is>
          <t>Poultry</t>
        </is>
      </c>
      <c r="D384" s="4" t="inlineStr">
        <is>
          <t>French</t>
        </is>
      </c>
      <c r="E384" s="2" t="n">
        <v>4</v>
      </c>
      <c r="F384" s="2" t="n">
        <v>10</v>
      </c>
      <c r="G384" s="2" t="n">
        <v>40</v>
      </c>
      <c r="H384" s="2" t="n">
        <v>50</v>
      </c>
      <c r="I384" s="4" t="inlineStr">
        <is>
          <t>chicken-proven-al.jpg</t>
        </is>
      </c>
      <c r="J384" s="3" t="inlineStr">
        <is>
          <t>Chicken Provençal, healthy food photography, plated, natural light</t>
        </is>
      </c>
      <c r="K384" s="4" t="inlineStr"/>
      <c r="L384" s="3" t="inlineStr">
        <is>
          <t>Chicken thigh, skinless boneless — 700 g (24.7 oz)
Diced tomatoes, canned — 400 g (14.1 oz)
Olives (kalamata/green) — 50 g (1.8 oz)
Garlic — 10 g (0.4 oz)
Shallot — 50 g (1.8 oz)
Dry white wine (cooking) — 100 g (3.5 oz)
Fresh thyme — 3 g (0.1 oz)
Fresh rosemary — 2 g (0.1 oz)
Extra-virgin olive oil — 15 g (0.5 oz)
Zucchini — 300 g (10.6 oz)
Salt — 3 g (0.1 oz)</t>
        </is>
      </c>
      <c r="M384" s="4" t="inlineStr">
        <is>
          <t>[{"ingredient_id": "chicken_thigh", "name": "Chicken thigh, skinless boneless", "grams": 700.0, "note": ""}, {"ingredient_id": "diced_tomatoes", "name": "Diced tomatoes, canned", "grams": 400.0, "note": ""}, {"ingredient_id": "olives", "name": "Olives (kalamata/green)", "grams": 50.0, "note": ""}, {"ingredient_id": "garlic", "name": "Garlic", "grams": 10.0, "note": ""}, {"ingredient_id": "shallot", "name": "Shallot", "grams": 50.0, "note": ""}, {"ingredient_id": "white_wine", "name": "Dry white wine (cooking)", "grams": 100.0, "note": ""}, {"ingredient_id": "thyme", "name": "Fresh thyme", "grams": 3.0, "note": ""}, {"ingredient_id": "rosemary", "name": "Fresh rosemary", "grams": 2.0, "note": ""}, {"ingredient_id": "olive_oil", "name": "Extra-virgin olive oil", "grams": 15.0, "note": ""}, {"ingredient_id": "zucchini", "name": "Zucchini", "grams": 300.0, "note": ""}, {"ingredient_id": "salt", "name": "Salt", "grams": 3.0, "note": ""}]</t>
        </is>
      </c>
      <c r="N384" s="2" t="n">
        <v>331</v>
      </c>
      <c r="O384" s="5" t="n">
        <v>37.2</v>
      </c>
      <c r="P384" s="5" t="n">
        <v>12.8</v>
      </c>
      <c r="Q384" s="5" t="n">
        <v>12</v>
      </c>
      <c r="R384" s="5" t="n">
        <v>3.3</v>
      </c>
      <c r="S384" s="5" t="n">
        <v>8.699999999999999</v>
      </c>
      <c r="T384" s="2" t="n">
        <v>23</v>
      </c>
      <c r="U384" s="2" t="inlineStr">
        <is>
          <t>low</t>
        </is>
      </c>
      <c r="V384" s="5" t="n">
        <v>2</v>
      </c>
      <c r="W384" s="2" t="inlineStr">
        <is>
          <t>low</t>
        </is>
      </c>
      <c r="X384" s="3" t="inlineStr"/>
      <c r="Y384" s="3" t="inlineStr">
        <is>
          <t>0% of this dish's available carbohydrate comes from ingredients with a published, measured GI; the rest uses conventional placeholders (see Ingredients sheet)</t>
        </is>
      </c>
      <c r="Z384" s="2" t="n">
        <v>0</v>
      </c>
      <c r="AA384" s="3" t="inlineStr">
        <is>
          <t>gluten-free, dairy-free, nut-free, low-carb, high-protein, one-pan</t>
        </is>
      </c>
      <c r="AB384" s="3" t="inlineStr">
        <is>
          <t>1. Sear chicken in oil; remove. Sauté shallot and garlic; add wine.
2. Add tomatoes, olives, herbs, zucchini; return chicken.
3. Simmer covered 25 minutes.</t>
        </is>
      </c>
      <c r="AC384" s="4" t="inlineStr">
        <is>
          <t>["Sear chicken in oil; remove. Sauté shallot and garlic; add wine.", "Add tomatoes, olives, herbs, zucchini; return chicken.", "Simmer covered 25 minutes."]</t>
        </is>
      </c>
    </row>
    <row r="385" ht="96" customHeight="1">
      <c r="A385" s="2" t="inlineStr">
        <is>
          <t>DB-0384</t>
        </is>
      </c>
      <c r="B385" s="3" t="inlineStr">
        <is>
          <t>BBQ Chicken Stuffed Sweet Potatoes</t>
        </is>
      </c>
      <c r="C385" s="4" t="inlineStr">
        <is>
          <t>Poultry</t>
        </is>
      </c>
      <c r="D385" s="4" t="inlineStr">
        <is>
          <t>Southern</t>
        </is>
      </c>
      <c r="E385" s="2" t="n">
        <v>4</v>
      </c>
      <c r="F385" s="2" t="n">
        <v>10</v>
      </c>
      <c r="G385" s="2" t="n">
        <v>50</v>
      </c>
      <c r="H385" s="2" t="n">
        <v>60</v>
      </c>
      <c r="I385" s="4" t="inlineStr">
        <is>
          <t>bbq-chicken-stuffed-sweet-potatoes.jpg</t>
        </is>
      </c>
      <c r="J385" s="3" t="inlineStr">
        <is>
          <t>BBQ Chicken Stuffed Sweet Potatoes, healthy food photography, plated, natural light</t>
        </is>
      </c>
      <c r="K385" s="4" t="inlineStr"/>
      <c r="L385" s="3" t="inlineStr">
        <is>
          <t>Sweet potato, boiled/simmered — 400 g (14.1 oz) [4 small (100 g each)]
Rotisserie chicken, skin removed — 450 g (15.9 oz)
Tomato paste — 40 g (1.4 oz)
Apple cider vinegar — 25 g (0.9 oz)
Smoked paprika — 4 g (0.1 oz)
Monk fruit/erythritol sweetener — 8 g (0.3 oz)
Dijon mustard — 10 g (0.4 oz)
Coleslaw mix (cabbage &amp; carrot) — 200 g (7.1 oz)
Greek yogurt, plain 2% — 60 g (2.1 oz)
Green onions (scallions) — 15 g (0.5 oz)</t>
        </is>
      </c>
      <c r="M385" s="4" t="inlineStr">
        <is>
          <t>[{"ingredient_id": "sweet_potato", "name": "Sweet potato, boiled/simmered", "grams": 400.0, "note": "4 small (100 g each)"}, {"ingredient_id": "rotisserie_chicken", "name": "Rotisserie chicken, skin removed", "grams": 450.0, "note": ""}, {"ingredient_id": "tomato_paste", "name": "Tomato paste", "grams": 40.0, "note": ""}, {"ingredient_id": "apple_cider_vinegar", "name": "Apple cider vinegar", "grams": 25.0, "note": ""}, {"ingredient_id": "smoked_paprika", "name": "Smoked paprika", "grams": 4.0, "note": ""}, {"ingredient_id": "monk_fruit_sweetener", "name": "Monk fruit/erythritol sweetener", "grams": 8.0, "note": ""}, {"ingredient_id": "dijon", "name": "Dijon mustard", "grams": 10.0, "note": ""}, {"ingredient_id": "coleslaw_mix", "name": "Coleslaw mix (cabbage &amp; carrot)", "grams": 200.0, "note": ""}, {"ingredient_id": "greek_yogurt", "name": "Greek yogurt, plain 2%", "grams": 60.0, "note": ""}, {"ingredient_id": "green_onion", "name": "Green onions (scallions)", "grams": 15.0, "note": ""}]</t>
        </is>
      </c>
      <c r="N385" s="2" t="n">
        <v>306</v>
      </c>
      <c r="O385" s="5" t="n">
        <v>30.4</v>
      </c>
      <c r="P385" s="5" t="n">
        <v>8.6</v>
      </c>
      <c r="Q385" s="5" t="n">
        <v>26.5</v>
      </c>
      <c r="R385" s="5" t="n">
        <v>5.1</v>
      </c>
      <c r="S385" s="5" t="n">
        <v>21.4</v>
      </c>
      <c r="T385" s="2" t="n">
        <v>41</v>
      </c>
      <c r="U385" s="2" t="inlineStr">
        <is>
          <t>low</t>
        </is>
      </c>
      <c r="V385" s="5" t="n">
        <v>8.800000000000001</v>
      </c>
      <c r="W385" s="2" t="inlineStr">
        <is>
          <t>low</t>
        </is>
      </c>
      <c r="X385" s="3" t="inlineStr"/>
      <c r="Y385" s="3" t="inlineStr">
        <is>
          <t>82% of this dish's available carbohydrate comes from ingredients with a published, measured GI; the rest uses conventional placeholders (see Ingredients sheet)</t>
        </is>
      </c>
      <c r="Z385" s="2" t="n">
        <v>82</v>
      </c>
      <c r="AA385" s="3" t="inlineStr">
        <is>
          <t>gluten-free, nut-free, high-protein</t>
        </is>
      </c>
      <c r="AB385" s="3" t="inlineStr">
        <is>
          <t>1. Boil whole sweet potatoes 20–25 minutes until tender (boiling keeps the GI far lower than baking).
2. Simmer tomato paste, vinegar, paprika, sweetener, Dijon and 60 ml water into BBQ sauce; toss with chicken.
3. Split potatoes, fill with chicken; top with slaw mixed with yogurt and green onion.</t>
        </is>
      </c>
      <c r="AC385" s="4" t="inlineStr">
        <is>
          <t>["Boil whole sweet potatoes 20–25 minutes until tender (boiling keeps the GI far lower than baking).", "Simmer tomato paste, vinegar, paprika, sweetener, Dijon and 60 ml water into BBQ sauce; toss with chicken.", "Split potatoes, fill with chicken; top with slaw mixed with yogurt and green onion."]</t>
        </is>
      </c>
    </row>
    <row r="386" ht="96" customHeight="1">
      <c r="A386" s="2" t="inlineStr">
        <is>
          <t>DB-0385</t>
        </is>
      </c>
      <c r="B386" s="3" t="inlineStr">
        <is>
          <t>Chicken Tandoori with Cucumber Raita</t>
        </is>
      </c>
      <c r="C386" s="4" t="inlineStr">
        <is>
          <t>Poultry</t>
        </is>
      </c>
      <c r="D386" s="4" t="inlineStr">
        <is>
          <t>Indian</t>
        </is>
      </c>
      <c r="E386" s="2" t="n">
        <v>4</v>
      </c>
      <c r="F386" s="2" t="n">
        <v>15</v>
      </c>
      <c r="G386" s="2" t="n">
        <v>25</v>
      </c>
      <c r="H386" s="2" t="n">
        <v>40</v>
      </c>
      <c r="I386" s="4" t="inlineStr">
        <is>
          <t>chicken-tandoori-with-cucumber-raita.jpg</t>
        </is>
      </c>
      <c r="J386" s="3" t="inlineStr">
        <is>
          <t>Chicken Tandoori with Cucumber Raita, healthy food photography, plated, natural light</t>
        </is>
      </c>
      <c r="K386" s="4" t="inlineStr"/>
      <c r="L386" s="3" t="inlineStr">
        <is>
          <t>Chicken thigh, skinless boneless — 700 g (24.7 oz)
Greek yogurt, plain 2% — 250 g (8.8 oz)
Garam masala — 8 g (0.3 oz)
Paprika — 4 g (0.1 oz)
Ground turmeric — 2 g (0.1 oz)
Ground cumin — 3 g (0.1 oz)
Fresh ginger — 10 g (0.4 oz)
Garlic — 10 g (0.4 oz)
Lemon juice — 25 g (0.9 oz)
Cucumber — 200 g (7.1 oz)
Fresh mint — 6 g (0.2 oz)
Extra-virgin olive oil — 10 g (0.4 oz)
Salt — 3 g (0.1 oz)</t>
        </is>
      </c>
      <c r="M386" s="4" t="inlineStr">
        <is>
          <t>[{"ingredient_id": "chicken_thigh", "name": "Chicken thigh, skinless boneless", "grams": 700.0, "note": ""}, {"ingredient_id": "greek_yogurt", "name": "Greek yogurt, plain 2%", "grams": 250.0, "note": ""}, {"ingredient_id": "garam_masala", "name": "Garam masala", "grams": 8.0, "note": ""}, {"ingredient_id": "paprika", "name": "Paprika", "grams": 4.0, "note": ""}, {"ingredient_id": "turmeric", "name": "Ground turmeric", "grams": 2.0, "note": ""}, {"ingredient_id": "cumin", "name": "Ground cumin", "grams": 3.0, "note": ""}, {"ingredient_id": "ginger", "name": "Fresh ginger", "grams": 10.0, "note": ""}, {"ingredient_id": "garlic", "name": "Garlic", "grams": 10.0, "note": ""}, {"ingredient_id": "lemon_juice", "name": "Lemon juice", "grams": 25.0, "note": ""}, {"ingredient_id": "cucumber", "name": "Cucumber", "grams": 200.0, "note": ""}, {"ingredient_id": "mint", "name": "Fresh mint", "grams": 6.0, "note": ""}, {"ingredient_id": "olive_oil", "name": "Extra-virgin olive oil", "grams": 10.0, "note": ""}, {"ingredient_id": "salt", "name": "Salt", "grams": 3.0, "note": ""}]</t>
        </is>
      </c>
      <c r="N386" s="2" t="n">
        <v>308</v>
      </c>
      <c r="O386" s="5" t="n">
        <v>42</v>
      </c>
      <c r="P386" s="5" t="n">
        <v>11.6</v>
      </c>
      <c r="Q386" s="5" t="n">
        <v>8.5</v>
      </c>
      <c r="R386" s="5" t="n">
        <v>2.1</v>
      </c>
      <c r="S386" s="5" t="n">
        <v>6.4</v>
      </c>
      <c r="T386" s="2" t="n">
        <v>16</v>
      </c>
      <c r="U386" s="2" t="inlineStr">
        <is>
          <t>low</t>
        </is>
      </c>
      <c r="V386" s="5" t="n">
        <v>1</v>
      </c>
      <c r="W386" s="2" t="inlineStr">
        <is>
          <t>low</t>
        </is>
      </c>
      <c r="X386" s="3" t="inlineStr"/>
      <c r="Y386" s="3" t="inlineStr">
        <is>
          <t>39% of this dish's available carbohydrate comes from ingredients with a published, measured GI; the rest uses conventional placeholders (see Ingredients sheet)</t>
        </is>
      </c>
      <c r="Z386" s="2" t="n">
        <v>39</v>
      </c>
      <c r="AA386" s="3" t="inlineStr">
        <is>
          <t>gluten-free, nut-free, low-carb, high-protein</t>
        </is>
      </c>
      <c r="AB386" s="3" t="inlineStr">
        <is>
          <t>1. Marinate chicken in 150 g yogurt, spices, ginger, garlic, lemon, salt for 30 minutes.
2. Roast at 450°F 22 minutes.
3. Mix remaining yogurt with grated cucumber, mint for raita.</t>
        </is>
      </c>
      <c r="AC386" s="4" t="inlineStr">
        <is>
          <t>["Marinate chicken in 150 g yogurt, spices, ginger, garlic, lemon, salt for 30 minutes.", "Roast at 450°F 22 minutes.", "Mix remaining yogurt with grated cucumber, mint for raita."]</t>
        </is>
      </c>
    </row>
    <row r="387" ht="96" customHeight="1">
      <c r="A387" s="2" t="inlineStr">
        <is>
          <t>DB-0386</t>
        </is>
      </c>
      <c r="B387" s="3" t="inlineStr">
        <is>
          <t>Crispy Chicken Thighs with Brussels &amp; Bacon</t>
        </is>
      </c>
      <c r="C387" s="4" t="inlineStr">
        <is>
          <t>Poultry</t>
        </is>
      </c>
      <c r="D387" s="4" t="inlineStr">
        <is>
          <t>American</t>
        </is>
      </c>
      <c r="E387" s="2" t="n">
        <v>4</v>
      </c>
      <c r="F387" s="2" t="n">
        <v>10</v>
      </c>
      <c r="G387" s="2" t="n">
        <v>35</v>
      </c>
      <c r="H387" s="2" t="n">
        <v>45</v>
      </c>
      <c r="I387" s="4" t="inlineStr">
        <is>
          <t>crispy-chicken-thighs-with-brussels-and-bacon.jpg</t>
        </is>
      </c>
      <c r="J387" s="3" t="inlineStr">
        <is>
          <t>Crispy Chicken Thighs with Brussels &amp; Bacon, healthy food photography, plated, natural light</t>
        </is>
      </c>
      <c r="K387" s="4" t="inlineStr"/>
      <c r="L387" s="3" t="inlineStr">
        <is>
          <t>Chicken thigh, skinless boneless — 700 g (24.7 oz)
Brussels sprouts — 500 g (17.6 oz)
Bacon — 45 g (1.6 oz) [3 slices]
Garlic — 6 g (0.2 oz)
Extra-virgin olive oil — 15 g (0.5 oz)
Apple cider vinegar — 10 g (0.4 oz)
Dijon mustard — 10 g (0.4 oz)
Salt — 3 g (0.1 oz)</t>
        </is>
      </c>
      <c r="M387" s="4" t="inlineStr">
        <is>
          <t>[{"ingredient_id": "chicken_thigh", "name": "Chicken thigh, skinless boneless", "grams": 700.0, "note": ""}, {"ingredient_id": "brussels_sprouts", "name": "Brussels sprouts", "grams": 500.0, "note": ""}, {"ingredient_id": "bacon", "name": "Bacon", "grams": 45.0, "note": "3 slices"}, {"ingredient_id": "garlic", "name": "Garlic", "grams": 6.0, "note": ""}, {"ingredient_id": "olive_oil", "name": "Extra-virgin olive oil", "grams": 15.0, "note": ""}, {"ingredient_id": "apple_cider_vinegar", "name": "Apple cider vinegar", "grams": 10.0, "note": ""}, {"ingredient_id": "dijon", "name": "Dijon mustard", "grams": 10.0, "note": ""}, {"ingredient_id": "salt", "name": "Salt", "grams": 3.0, "note": ""}]</t>
        </is>
      </c>
      <c r="N387" s="2" t="n">
        <v>364</v>
      </c>
      <c r="O387" s="5" t="n">
        <v>43.1</v>
      </c>
      <c r="P387" s="5" t="n">
        <v>16.1</v>
      </c>
      <c r="Q387" s="5" t="n">
        <v>12.1</v>
      </c>
      <c r="R387" s="5" t="n">
        <v>4.9</v>
      </c>
      <c r="S387" s="5" t="n">
        <v>7.2</v>
      </c>
      <c r="T387" s="2" t="n">
        <v>16</v>
      </c>
      <c r="U387" s="2" t="inlineStr">
        <is>
          <t>low</t>
        </is>
      </c>
      <c r="V387" s="5" t="n">
        <v>1.2</v>
      </c>
      <c r="W387" s="2" t="inlineStr">
        <is>
          <t>low</t>
        </is>
      </c>
      <c r="X387" s="3" t="inlineStr"/>
      <c r="Y387" s="3" t="inlineStr">
        <is>
          <t>0% of this dish's available carbohydrate comes from ingredients with a published, measured GI; the rest uses conventional placeholders (see Ingredients sheet)</t>
        </is>
      </c>
      <c r="Z387" s="2" t="n">
        <v>0</v>
      </c>
      <c r="AA387" s="3" t="inlineStr">
        <is>
          <t>gluten-free, dairy-free, nut-free, low-carb, high-protein, one-pan</t>
        </is>
      </c>
      <c r="AB387" s="3" t="inlineStr">
        <is>
          <t>1. Season chicken; sear skin-side down in an ovenproof skillet 6 minutes.
2. Add halved sprouts, chopped bacon, garlic; roast at 425°F 25 minutes.
3. Toss sprouts with vinegar and Dijon.</t>
        </is>
      </c>
      <c r="AC387" s="4" t="inlineStr">
        <is>
          <t>["Season chicken; sear skin-side down in an ovenproof skillet 6 minutes.", "Add halved sprouts, chopped bacon, garlic; roast at 425°F 25 minutes.", "Toss sprouts with vinegar and Dijon."]</t>
        </is>
      </c>
    </row>
    <row r="388" ht="96" customHeight="1">
      <c r="A388" s="2" t="inlineStr">
        <is>
          <t>DB-0387</t>
        </is>
      </c>
      <c r="B388" s="3" t="inlineStr">
        <is>
          <t>Chicken Paprikash (Yogurt)</t>
        </is>
      </c>
      <c r="C388" s="4" t="inlineStr">
        <is>
          <t>Poultry</t>
        </is>
      </c>
      <c r="D388" s="4" t="inlineStr">
        <is>
          <t>Hungarian</t>
        </is>
      </c>
      <c r="E388" s="2" t="n">
        <v>4</v>
      </c>
      <c r="F388" s="2" t="n">
        <v>10</v>
      </c>
      <c r="G388" s="2" t="n">
        <v>40</v>
      </c>
      <c r="H388" s="2" t="n">
        <v>50</v>
      </c>
      <c r="I388" s="4" t="inlineStr">
        <is>
          <t>chicken-paprikash-yogurt.jpg</t>
        </is>
      </c>
      <c r="J388" s="3" t="inlineStr">
        <is>
          <t>Chicken Paprikash (Yogurt), healthy food photography, plated, natural light</t>
        </is>
      </c>
      <c r="K388" s="4" t="inlineStr"/>
      <c r="L388" s="3" t="inlineStr">
        <is>
          <t>Chicken thigh, skinless boneless — 700 g (24.7 oz)
Yellow onion — 150 g (5.3 oz)
Bell pepper — 150 g (5.3 oz)
Paprika — 15 g (0.5 oz)
Garlic — 6 g (0.2 oz)
Chicken broth, low sodium — 300 g (10.6 oz)
Tomato paste — 20 g (0.7 oz)
Greek yogurt, plain 2% — 150 g (5.3 oz)
Extra-virgin olive oil — 15 g (0.5 oz)
Cauliflower rice — 500 g (17.6 oz)
Fresh parsley — 6 g (0.2 oz)
Salt — 3 g (0.1 oz)</t>
        </is>
      </c>
      <c r="M388" s="4" t="inlineStr">
        <is>
          <t>[{"ingredient_id": "chicken_thigh", "name": "Chicken thigh, skinless boneless", "grams": 700.0, "note": ""}, {"ingredient_id": "onion", "name": "Yellow onion", "grams": 150.0, "note": ""}, {"ingredient_id": "bell_pepper", "name": "Bell pepper", "grams": 150.0, "note": ""}, {"ingredient_id": "paprika", "name": "Paprika", "grams": 15.0, "note": ""}, {"ingredient_id": "garlic", "name": "Garlic", "grams": 6.0, "note": ""}, {"ingredient_id": "chicken_broth", "name": "Chicken broth, low sodium", "grams": 300.0, "note": ""}, {"ingredient_id": "tomato_paste", "name": "Tomato paste", "grams": 20.0, "note": ""}, {"ingredient_id": "greek_yogurt", "name": "Greek yogurt, plain 2%", "grams": 150.0, "note": ""}, {"ingredient_id": "olive_oil", "name": "Extra-virgin olive oil", "grams": 15.0, "note": ""}, {"ingredient_id": "cauliflower_rice", "name": "Cauliflower rice", "grams": 500.0, "note": ""}, {"ingredient_id": "parsley", "name": "Fresh parsley", "grams": 6.0, "note": ""}, {"ingredient_id": "salt", "name": "Salt", "grams": 3.0, "note": ""}]</t>
        </is>
      </c>
      <c r="N388" s="2" t="n">
        <v>353</v>
      </c>
      <c r="O388" s="5" t="n">
        <v>43</v>
      </c>
      <c r="P388" s="5" t="n">
        <v>12.9</v>
      </c>
      <c r="Q388" s="5" t="n">
        <v>17.4</v>
      </c>
      <c r="R388" s="5" t="n">
        <v>5.5</v>
      </c>
      <c r="S388" s="5" t="n">
        <v>11.9</v>
      </c>
      <c r="T388" s="2" t="n">
        <v>16</v>
      </c>
      <c r="U388" s="2" t="inlineStr">
        <is>
          <t>low</t>
        </is>
      </c>
      <c r="V388" s="5" t="n">
        <v>1.9</v>
      </c>
      <c r="W388" s="2" t="inlineStr">
        <is>
          <t>low</t>
        </is>
      </c>
      <c r="X388" s="3" t="inlineStr"/>
      <c r="Y388" s="3" t="inlineStr">
        <is>
          <t>13% of this dish's available carbohydrate comes from ingredients with a published, measured GI; the rest uses conventional placeholders (see Ingredients sheet)</t>
        </is>
      </c>
      <c r="Z388" s="2" t="n">
        <v>13</v>
      </c>
      <c r="AA388" s="3" t="inlineStr">
        <is>
          <t>gluten-free, nut-free, low-carb, high-protein</t>
        </is>
      </c>
      <c r="AB388" s="3" t="inlineStr">
        <is>
          <t>1. Brown chicken in oil; remove. Sauté onion and pepper; add paprika, garlic, tomato paste.
2. Add broth and chicken; simmer covered 25 minutes.
3. Stir in yogurt off heat; serve over cauliflower rice with parsley.</t>
        </is>
      </c>
      <c r="AC388" s="4" t="inlineStr">
        <is>
          <t>["Brown chicken in oil; remove. Sauté onion and pepper; add paprika, garlic, tomato paste.", "Add broth and chicken; simmer covered 25 minutes.", "Stir in yogurt off heat; serve over cauliflower rice with parsley."]</t>
        </is>
      </c>
    </row>
    <row r="389" ht="96" customHeight="1">
      <c r="A389" s="2" t="inlineStr">
        <is>
          <t>DB-0388</t>
        </is>
      </c>
      <c r="B389" s="3" t="inlineStr">
        <is>
          <t>Chicken Zucchini Noodle Pad See Ew</t>
        </is>
      </c>
      <c r="C389" s="4" t="inlineStr">
        <is>
          <t>Poultry</t>
        </is>
      </c>
      <c r="D389" s="4" t="inlineStr">
        <is>
          <t>Thai</t>
        </is>
      </c>
      <c r="E389" s="2" t="n">
        <v>3</v>
      </c>
      <c r="F389" s="2" t="n">
        <v>10</v>
      </c>
      <c r="G389" s="2" t="n">
        <v>12</v>
      </c>
      <c r="H389" s="2" t="n">
        <v>22</v>
      </c>
      <c r="I389" s="4" t="inlineStr">
        <is>
          <t>chicken-zucchini-noodle-pad-see-ew.jpg</t>
        </is>
      </c>
      <c r="J389" s="3" t="inlineStr">
        <is>
          <t>Chicken Zucchini Noodle Pad See Ew, healthy food photography, plated, natural light</t>
        </is>
      </c>
      <c r="K389" s="4" t="inlineStr"/>
      <c r="L389" s="3" t="inlineStr">
        <is>
          <t>Chicken breast, skinless — 450 g (15.9 oz)
Zucchini noodles (zoodles) — 500 g (17.6 oz)
Broccolini — 200 g (7.1 oz)
Egg, large (50 g each) — 100 g (3.5 oz)
Tamari (gluten-free soy sauce) — 25 g (0.9 oz)
Fish sauce — 10 g (0.4 oz)
Garlic — 8 g (0.3 oz)
Monk fruit/erythritol sweetener — 4 g (0.1 oz)
Avocado oil — 12 g (0.4 oz)
Black pepper — 1 g (0.0 oz)</t>
        </is>
      </c>
      <c r="M389" s="4" t="inlineStr">
        <is>
          <t>[{"ingredient_id": "chicken_breast", "name": "Chicken breast, skinless", "grams": 450.0, "note": ""}, {"ingredient_id": "zucchini_noodles", "name": "Zucchini noodles (zoodles)", "grams": 500.0, "note": ""}, {"ingredient_id": "broccolini", "name": "Broccolini", "grams": 200.0, "note": ""}, {"ingredient_id": "egg", "name": "Egg, large (50 g each)", "grams": 100.0, "note": ""}, {"ingredient_id": "tamari", "name": "Tamari (gluten-free soy sauce)", "grams": 25.0, "note": ""}, {"ingredient_id": "fish_sauce", "name": "Fish sauce", "grams": 10.0, "note": ""}, {"ingredient_id": "garlic", "name": "Garlic", "grams": 8.0, "note": ""}, {"ingredient_id": "monk_fruit_sweetener", "name": "Monk fruit/erythritol sweetener", "grams": 4.0, "note": ""}, {"ingredient_id": "avocado_oil", "name": "Avocado oil", "grams": 12.0, "note": ""}, {"ingredient_id": "black_pepper", "name": "Black pepper", "grams": 1.0, "note": ""}]</t>
        </is>
      </c>
      <c r="N389" s="2" t="n">
        <v>326</v>
      </c>
      <c r="O389" s="5" t="n">
        <v>43.2</v>
      </c>
      <c r="P389" s="5" t="n">
        <v>11.9</v>
      </c>
      <c r="Q389" s="5" t="n">
        <v>11.4</v>
      </c>
      <c r="R389" s="5" t="n">
        <v>3.5</v>
      </c>
      <c r="S389" s="5" t="n">
        <v>7.8</v>
      </c>
      <c r="T389" s="2" t="n">
        <v>16</v>
      </c>
      <c r="U389" s="2" t="inlineStr">
        <is>
          <t>low</t>
        </is>
      </c>
      <c r="V389" s="5" t="n">
        <v>1.3</v>
      </c>
      <c r="W389" s="2" t="inlineStr">
        <is>
          <t>low</t>
        </is>
      </c>
      <c r="X389" s="3" t="inlineStr"/>
      <c r="Y389" s="3" t="inlineStr">
        <is>
          <t>0% of this dish's available carbohydrate comes from ingredients with a published, measured GI; the rest uses conventional placeholders (see Ingredients sheet)</t>
        </is>
      </c>
      <c r="Z389" s="2" t="n">
        <v>0</v>
      </c>
      <c r="AA389" s="3" t="inlineStr">
        <is>
          <t>gluten-free, dairy-free, nut-free, low-carb, high-protein, quick</t>
        </is>
      </c>
      <c r="AB389" s="3" t="inlineStr">
        <is>
          <t>1. Stir-fry chicken and garlic in oil; push aside and scramble eggs.
2. Add broccolini 2 minutes; add zoodles, tamari, fish sauce, sweetener.
3. Toss 2 minutes; finish with pepper.</t>
        </is>
      </c>
      <c r="AC389" s="4" t="inlineStr">
        <is>
          <t>["Stir-fry chicken and garlic in oil; push aside and scramble eggs.", "Add broccolini 2 minutes; add zoodles, tamari, fish sauce, sweetener.", "Toss 2 minutes; finish with pepper."]</t>
        </is>
      </c>
    </row>
    <row r="390" ht="96" customHeight="1">
      <c r="A390" s="2" t="inlineStr">
        <is>
          <t>DB-0389</t>
        </is>
      </c>
      <c r="B390" s="3" t="inlineStr">
        <is>
          <t>Turkey Cutlets with Sage &amp; Lemon</t>
        </is>
      </c>
      <c r="C390" s="4" t="inlineStr">
        <is>
          <t>Poultry</t>
        </is>
      </c>
      <c r="D390" s="4" t="inlineStr">
        <is>
          <t>Italian</t>
        </is>
      </c>
      <c r="E390" s="2" t="n">
        <v>4</v>
      </c>
      <c r="F390" s="2" t="n">
        <v>10</v>
      </c>
      <c r="G390" s="2" t="n">
        <v>15</v>
      </c>
      <c r="H390" s="2" t="n">
        <v>25</v>
      </c>
      <c r="I390" s="4" t="inlineStr">
        <is>
          <t>turkey-cutlets-with-sage-and-lemon.jpg</t>
        </is>
      </c>
      <c r="J390" s="3" t="inlineStr">
        <is>
          <t>Turkey Cutlets with Sage &amp; Lemon, healthy food photography, plated, natural light</t>
        </is>
      </c>
      <c r="K390" s="4" t="inlineStr"/>
      <c r="L390" s="3" t="inlineStr">
        <is>
          <t>Turkey breast, skinless — 600 g (21.2 oz)
Fresh sage — 4 g (0.1 oz)
Lemon (with juice &amp; zest) — 50 g (1.8 oz)
Extra-virgin olive oil — 18 g (0.6 oz)
Butter — 10 g (0.4 oz)
Chicken broth, low sodium — 100 g (3.5 oz)
Garlic — 5 g (0.2 oz)
Spinach — 300 g (10.6 oz)
Salt — 3 g (0.1 oz)</t>
        </is>
      </c>
      <c r="M390" s="4" t="inlineStr">
        <is>
          <t>[{"ingredient_id": "turkey_breast", "name": "Turkey breast, skinless", "grams": 600.0, "note": ""}, {"ingredient_id": "sage", "name": "Fresh sage", "grams": 4.0, "note": ""}, {"ingredient_id": "lemon", "name": "Lemon (with juice &amp; zest)", "grams": 50.0, "note": ""}, {"ingredient_id": "olive_oil", "name": "Extra-virgin olive oil", "grams": 18.0, "note": ""}, {"ingredient_id": "butter", "name": "Butter", "grams": 10.0, "note": ""}, {"ingredient_id": "chicken_broth", "name": "Chicken broth, low sodium", "grams": 100.0, "note": ""}, {"ingredient_id": "garlic", "name": "Garlic", "grams": 5.0, "note": ""}, {"ingredient_id": "spinach", "name": "Spinach", "grams": 300.0, "note": ""}, {"ingredient_id": "salt", "name": "Salt", "grams": 3.0, "note": ""}]</t>
        </is>
      </c>
      <c r="N390" s="2" t="n">
        <v>250</v>
      </c>
      <c r="O390" s="5" t="n">
        <v>38.8</v>
      </c>
      <c r="P390" s="5" t="n">
        <v>8.5</v>
      </c>
      <c r="Q390" s="5" t="n">
        <v>5</v>
      </c>
      <c r="R390" s="5" t="n">
        <v>2.4</v>
      </c>
      <c r="S390" s="5" t="n">
        <v>2.6</v>
      </c>
      <c r="T390" s="2" t="n">
        <v>18</v>
      </c>
      <c r="U390" s="2" t="inlineStr">
        <is>
          <t>low</t>
        </is>
      </c>
      <c r="V390" s="5" t="n">
        <v>0.5</v>
      </c>
      <c r="W390" s="2" t="inlineStr">
        <is>
          <t>low</t>
        </is>
      </c>
      <c r="X390" s="3" t="inlineStr">
        <is>
          <t>Negligible carbohydrate (&lt;5 g net/serving): GI has little practical meaning, glycemic load is what matters.</t>
        </is>
      </c>
      <c r="Y390" s="3" t="inlineStr">
        <is>
          <t>0% of this dish's available carbohydrate comes from ingredients with a published, measured GI; the rest uses conventional placeholders (see Ingredients sheet)</t>
        </is>
      </c>
      <c r="Z390" s="2" t="n">
        <v>0</v>
      </c>
      <c r="AA390" s="3" t="inlineStr">
        <is>
          <t>gluten-free, nut-free, low-carb, high-protein, quick</t>
        </is>
      </c>
      <c r="AB390" s="3" t="inlineStr">
        <is>
          <t>1. Pound turkey cutlets thin; season; sear in oil 3 minutes per side.
2. Add butter, sage, garlic, broth, lemon juice; simmer 2 minutes.
3. Serve over sautéed spinach.</t>
        </is>
      </c>
      <c r="AC390" s="4" t="inlineStr">
        <is>
          <t>["Pound turkey cutlets thin; season; sear in oil 3 minutes per side.", "Add butter, sage, garlic, broth, lemon juice; simmer 2 minutes.", "Serve over sautéed spinach."]</t>
        </is>
      </c>
    </row>
    <row r="391" ht="96" customHeight="1">
      <c r="A391" s="2" t="inlineStr">
        <is>
          <t>DB-0390</t>
        </is>
      </c>
      <c r="B391" s="3" t="inlineStr">
        <is>
          <t>Chicken Cauliflower Curry Bowl</t>
        </is>
      </c>
      <c r="C391" s="4" t="inlineStr">
        <is>
          <t>Poultry</t>
        </is>
      </c>
      <c r="D391" s="4" t="inlineStr">
        <is>
          <t>Indian</t>
        </is>
      </c>
      <c r="E391" s="2" t="n">
        <v>4</v>
      </c>
      <c r="F391" s="2" t="n">
        <v>10</v>
      </c>
      <c r="G391" s="2" t="n">
        <v>30</v>
      </c>
      <c r="H391" s="2" t="n">
        <v>40</v>
      </c>
      <c r="I391" s="4" t="inlineStr">
        <is>
          <t>chicken-cauliflower-curry-bowl.jpg</t>
        </is>
      </c>
      <c r="J391" s="3" t="inlineStr">
        <is>
          <t>Chicken Cauliflower Curry Bowl, healthy food photography, plated, natural light</t>
        </is>
      </c>
      <c r="K391" s="4" t="inlineStr"/>
      <c r="L391" s="3" t="inlineStr">
        <is>
          <t>Chicken breast, skinless — 550 g (19.4 oz)
Cauliflower — 500 g (17.6 oz)
Chickpeas, cooked — 250 g (8.8 oz)
Yellow onion — 120 g (4.2 oz)
Garlic — 8 g (0.3 oz)
Fresh ginger — 8 g (0.3 oz)
Curry powder — 10 g (0.4 oz)
Diced tomatoes, canned — 400 g (14.1 oz)
Coconut milk, canned light — 250 g (8.8 oz)
Spinach — 150 g (5.3 oz)
Extra-virgin olive oil — 15 g (0.5 oz)
Fresh cilantro — 8 g (0.3 oz)
Salt — 3 g (0.1 oz)</t>
        </is>
      </c>
      <c r="M391" s="4" t="inlineStr">
        <is>
          <t>[{"ingredient_id": "chicken_breast", "name": "Chicken breast, skinless", "grams": 550.0, "note": ""}, {"ingredient_id": "cauliflower", "name": "Cauliflower", "grams": 500.0, "note": ""}, {"ingredient_id": "chickpeas", "name": "Chickpeas, cooked", "grams": 250.0, "note": ""}, {"ingredient_id": "onion", "name": "Yellow onion", "grams": 120.0, "note": ""}, {"ingredient_id": "garlic", "name": "Garlic", "grams": 8.0, "note": ""}, {"ingredient_id": "ginger", "name": "Fresh ginger", "grams": 8.0, "note": ""}, {"ingredient_id": "curry_powder", "name": "Curry powder", "grams": 10.0, "note": ""}, {"ingredient_id": "diced_tomatoes", "name": "Diced tomatoes, canned", "grams": 400.0, "note": ""}, {"ingredient_id": "coconut_milk_light", "name": "Coconut milk, canned light", "grams": 250.0, "note": ""}, {"ingredient_id": "spinach", "name": "Spinach", "grams": 150.0, "note": ""}, {"ingredient_id": "olive_oil", "name": "Extra-virgin olive oil", "grams": 15.0, "note": ""}, {"ingredient_id": "cilantro", "name": "Fresh cilantro", "grams": 8.0, "note": ""}, {"ingredient_id": "salt", "name": "Salt", "grams": 3.0, "note": ""}]</t>
        </is>
      </c>
      <c r="N391" s="2" t="n">
        <v>432</v>
      </c>
      <c r="O391" s="5" t="n">
        <v>42.5</v>
      </c>
      <c r="P391" s="5" t="n">
        <v>13.8</v>
      </c>
      <c r="Q391" s="5" t="n">
        <v>36.4</v>
      </c>
      <c r="R391" s="5" t="n">
        <v>11.5</v>
      </c>
      <c r="S391" s="5" t="n">
        <v>24.8</v>
      </c>
      <c r="T391" s="2" t="n">
        <v>31</v>
      </c>
      <c r="U391" s="2" t="inlineStr">
        <is>
          <t>low</t>
        </is>
      </c>
      <c r="V391" s="5" t="n">
        <v>7.7</v>
      </c>
      <c r="W391" s="2" t="inlineStr">
        <is>
          <t>low</t>
        </is>
      </c>
      <c r="X391" s="3" t="inlineStr"/>
      <c r="Y391" s="3" t="inlineStr">
        <is>
          <t>49% of this dish's available carbohydrate comes from ingredients with a published, measured GI; the rest uses conventional placeholders (see Ingredients sheet)</t>
        </is>
      </c>
      <c r="Z391" s="2" t="n">
        <v>49</v>
      </c>
      <c r="AA391" s="3" t="inlineStr">
        <is>
          <t>gluten-free, dairy-free, nut-free, high-protein, high-fiber</t>
        </is>
      </c>
      <c r="AB391" s="3" t="inlineStr">
        <is>
          <t>1. Sauté onion, garlic, ginger and curry powder in oil.
2. Add chicken, cauliflower, chickpeas, tomatoes, coconut milk; simmer 20 minutes.
3. Stir in spinach; garnish cilantro.</t>
        </is>
      </c>
      <c r="AC391" s="4" t="inlineStr">
        <is>
          <t>["Sauté onion, garlic, ginger and curry powder in oil.", "Add chicken, cauliflower, chickpeas, tomatoes, coconut milk; simmer 20 minutes.", "Stir in spinach; garnish cilantro."]</t>
        </is>
      </c>
    </row>
    <row r="392" ht="96" customHeight="1">
      <c r="A392" s="2" t="inlineStr">
        <is>
          <t>DB-0391</t>
        </is>
      </c>
      <c r="B392" s="3" t="inlineStr">
        <is>
          <t>Turkey Sausage &amp; Peppers Skillet</t>
        </is>
      </c>
      <c r="C392" s="4" t="inlineStr">
        <is>
          <t>Poultry</t>
        </is>
      </c>
      <c r="D392" s="4" t="inlineStr">
        <is>
          <t>Italian-American</t>
        </is>
      </c>
      <c r="E392" s="2" t="n">
        <v>4</v>
      </c>
      <c r="F392" s="2" t="n">
        <v>10</v>
      </c>
      <c r="G392" s="2" t="n">
        <v>20</v>
      </c>
      <c r="H392" s="2" t="n">
        <v>30</v>
      </c>
      <c r="I392" s="4" t="inlineStr">
        <is>
          <t>turkey-sausage-and-peppers-skillet.jpg</t>
        </is>
      </c>
      <c r="J392" s="3" t="inlineStr">
        <is>
          <t>Turkey Sausage &amp; Peppers Skillet, healthy food photography, plated, natural light</t>
        </is>
      </c>
      <c r="K392" s="4" t="inlineStr"/>
      <c r="L392" s="3" t="inlineStr">
        <is>
          <t>Turkey sausage — 600 g (21.2 oz)
Bell pepper — 400 g (14.1 oz)
Yellow onion — 150 g (5.3 oz)
Garlic — 8 g (0.3 oz)
Diced tomatoes, canned — 300 g (10.6 oz)
Italian seasoning — 3 g (0.1 oz)
Extra-virgin olive oil — 12 g (0.4 oz)
Parmesan, grated — 30 g (1.1 oz)
Fresh basil — 6 g (0.2 oz)</t>
        </is>
      </c>
      <c r="M392" s="4" t="inlineStr">
        <is>
          <t>[{"ingredient_id": "turkey_sausage", "name": "Turkey sausage", "grams": 600.0, "note": ""}, {"ingredient_id": "bell_pepper", "name": "Bell pepper", "grams": 400.0, "note": ""}, {"ingredient_id": "onion", "name": "Yellow onion", "grams": 150.0, "note": ""}, {"ingredient_id": "garlic", "name": "Garlic", "grams": 8.0, "note": ""}, {"ingredient_id": "diced_tomatoes", "name": "Diced tomatoes, canned", "grams": 300.0, "note": ""}, {"ingredient_id": "italian_seasoning", "name": "Italian seasoning", "grams": 3.0, "note": ""}, {"ingredient_id": "olive_oil", "name": "Extra-virgin olive oil", "grams": 12.0, "note": ""}, {"ingredient_id": "parmesan", "name": "Parmesan, grated", "grams": 30.0, "note": ""}, {"ingredient_id": "basil", "name": "Fresh basil", "grams": 6.0, "note": ""}]</t>
        </is>
      </c>
      <c r="N392" s="2" t="n">
        <v>361</v>
      </c>
      <c r="O392" s="5" t="n">
        <v>27.9</v>
      </c>
      <c r="P392" s="5" t="n">
        <v>20.7</v>
      </c>
      <c r="Q392" s="5" t="n">
        <v>17.8</v>
      </c>
      <c r="R392" s="5" t="n">
        <v>4.2</v>
      </c>
      <c r="S392" s="5" t="n">
        <v>13.5</v>
      </c>
      <c r="T392" s="2" t="n">
        <v>16</v>
      </c>
      <c r="U392" s="2" t="inlineStr">
        <is>
          <t>low</t>
        </is>
      </c>
      <c r="V392" s="5" t="n">
        <v>2.2</v>
      </c>
      <c r="W392" s="2" t="inlineStr">
        <is>
          <t>low</t>
        </is>
      </c>
      <c r="X392" s="3" t="inlineStr"/>
      <c r="Y392" s="3" t="inlineStr">
        <is>
          <t>0% of this dish's available carbohydrate comes from ingredients with a published, measured GI; the rest uses conventional placeholders (see Ingredients sheet)</t>
        </is>
      </c>
      <c r="Z392" s="2" t="n">
        <v>0</v>
      </c>
      <c r="AA392" s="3" t="inlineStr">
        <is>
          <t>gluten-free, nut-free, low-carb, high-protein, one-pan</t>
        </is>
      </c>
      <c r="AB392" s="3" t="inlineStr">
        <is>
          <t>1. Brown sausage in oil; remove.
2. Sauté peppers, onion, garlic 8 minutes; add tomatoes and seasoning.
3. Return sausage; simmer 5 minutes; top with parmesan and basil.</t>
        </is>
      </c>
      <c r="AC392" s="4" t="inlineStr">
        <is>
          <t>["Brown sausage in oil; remove.", "Sauté peppers, onion, garlic 8 minutes; add tomatoes and seasoning.", "Return sausage; simmer 5 minutes; top with parmesan and basil."]</t>
        </is>
      </c>
    </row>
    <row r="393" ht="96" customHeight="1">
      <c r="A393" s="2" t="inlineStr">
        <is>
          <t>DB-0392</t>
        </is>
      </c>
      <c r="B393" s="3" t="inlineStr">
        <is>
          <t>Chicken Cacciatore Stuffed Spaghetti Squash</t>
        </is>
      </c>
      <c r="C393" s="4" t="inlineStr">
        <is>
          <t>Poultry</t>
        </is>
      </c>
      <c r="D393" s="4" t="inlineStr">
        <is>
          <t>Italian</t>
        </is>
      </c>
      <c r="E393" s="2" t="n">
        <v>4</v>
      </c>
      <c r="F393" s="2" t="n">
        <v>15</v>
      </c>
      <c r="G393" s="2" t="n">
        <v>50</v>
      </c>
      <c r="H393" s="2" t="n">
        <v>65</v>
      </c>
      <c r="I393" s="4" t="inlineStr">
        <is>
          <t>chicken-cacciatore-stuffed-spaghetti-squash.jpg</t>
        </is>
      </c>
      <c r="J393" s="3" t="inlineStr">
        <is>
          <t>Chicken Cacciatore Stuffed Spaghetti Squash, healthy food photography, plated, natural light</t>
        </is>
      </c>
      <c r="K393" s="4" t="inlineStr"/>
      <c r="L393" s="3" t="inlineStr">
        <is>
          <t>Spaghetti squash, cooked — 1000 g (35.3 oz)
Chicken thigh, skinless boneless — 500 g (17.6 oz)
Marinara sauce, no sugar added — 300 g (10.6 oz)
Bell pepper — 150 g (5.3 oz)
Mushrooms (cremini/white) — 150 g (5.3 oz)
Yellow onion — 80 g (2.8 oz)
Garlic — 6 g (0.2 oz)
Mozzarella, part-skim — 80 g (2.8 oz)
Extra-virgin olive oil — 12 g (0.4 oz)
Dried oregano — 2 g (0.1 oz)</t>
        </is>
      </c>
      <c r="M393" s="4" t="inlineStr">
        <is>
          <t>[{"ingredient_id": "spaghetti_squash", "name": "Spaghetti squash, cooked", "grams": 1000.0, "note": ""}, {"ingredient_id": "chicken_thigh", "name": "Chicken thigh, skinless boneless", "grams": 500.0, "note": ""}, {"ingredient_id": "marinara", "name": "Marinara sauce, no sugar added", "grams": 300.0, "note": ""}, {"ingredient_id": "bell_pepper", "name": "Bell pepper", "grams": 150.0, "note": ""}, {"ingredient_id": "mushrooms", "name": "Mushrooms (cremini/white)", "grams": 150.0, "note": ""}, {"ingredient_id": "onion", "name": "Yellow onion", "grams": 80.0, "note": ""}, {"ingredient_id": "garlic", "name": "Garlic", "grams": 6.0, "note": ""}, {"ingredient_id": "mozzarella", "name": "Mozzarella, part-skim", "grams": 80.0, "note": ""}, {"ingredient_id": "olive_oil", "name": "Extra-virgin olive oil", "grams": 12.0, "note": ""}, {"ingredient_id": "oregano", "name": "Dried oregano", "grams": 2.0, "note": ""}]</t>
        </is>
      </c>
      <c r="N393" s="2" t="n">
        <v>371</v>
      </c>
      <c r="O393" s="5" t="n">
        <v>33.9</v>
      </c>
      <c r="P393" s="5" t="n">
        <v>15</v>
      </c>
      <c r="Q393" s="5" t="n">
        <v>28</v>
      </c>
      <c r="R393" s="5" t="n">
        <v>6.6</v>
      </c>
      <c r="S393" s="5" t="n">
        <v>21.4</v>
      </c>
      <c r="T393" s="2" t="n">
        <v>21</v>
      </c>
      <c r="U393" s="2" t="inlineStr">
        <is>
          <t>low</t>
        </is>
      </c>
      <c r="V393" s="5" t="n">
        <v>4.5</v>
      </c>
      <c r="W393" s="2" t="inlineStr">
        <is>
          <t>low</t>
        </is>
      </c>
      <c r="X393" s="3" t="inlineStr"/>
      <c r="Y393" s="3" t="inlineStr">
        <is>
          <t>12% of this dish's available carbohydrate comes from ingredients with a published, measured GI; the rest uses conventional placeholders (see Ingredients sheet)</t>
        </is>
      </c>
      <c r="Z393" s="2" t="n">
        <v>12</v>
      </c>
      <c r="AA393" s="3" t="inlineStr">
        <is>
          <t>gluten-free, nut-free, high-protein</t>
        </is>
      </c>
      <c r="AB393" s="3" t="inlineStr">
        <is>
          <t>1. Roast halved squash at 400°F 40 minutes; scrape strands.
2. Brown chicken with pepper, mushrooms, onion, garlic and oregano; add marinara.
3. Toss with squash strands, return to shells, top with mozzarella; broil 3 minutes.</t>
        </is>
      </c>
      <c r="AC393" s="4" t="inlineStr">
        <is>
          <t>["Roast halved squash at 400°F 40 minutes; scrape strands.", "Brown chicken with pepper, mushrooms, onion, garlic and oregano; add marinara.", "Toss with squash strands, return to shells, top with mozzarella; broil 3 minutes."]</t>
        </is>
      </c>
    </row>
    <row r="394" ht="96" customHeight="1">
      <c r="A394" s="2" t="inlineStr">
        <is>
          <t>DB-0393</t>
        </is>
      </c>
      <c r="B394" s="3" t="inlineStr">
        <is>
          <t>Chicken Larb Bowls with Cauliflower Rice</t>
        </is>
      </c>
      <c r="C394" s="4" t="inlineStr">
        <is>
          <t>Poultry</t>
        </is>
      </c>
      <c r="D394" s="4" t="inlineStr">
        <is>
          <t>Thai</t>
        </is>
      </c>
      <c r="E394" s="2" t="n">
        <v>4</v>
      </c>
      <c r="F394" s="2" t="n">
        <v>10</v>
      </c>
      <c r="G394" s="2" t="n">
        <v>12</v>
      </c>
      <c r="H394" s="2" t="n">
        <v>22</v>
      </c>
      <c r="I394" s="4" t="inlineStr">
        <is>
          <t>chicken-larb-bowls-with-cauliflower-rice.jpg</t>
        </is>
      </c>
      <c r="J394" s="3" t="inlineStr">
        <is>
          <t>Chicken Larb Bowls with Cauliflower Rice, healthy food photography, plated, natural light</t>
        </is>
      </c>
      <c r="K394" s="4" t="inlineStr"/>
      <c r="L394" s="3" t="inlineStr">
        <is>
          <t>Ground chicken — 600 g (21.2 oz)
Cauliflower rice — 500 g (17.6 oz)
Shallot — 50 g (1.8 oz)
Lime juice — 40 g (1.4 oz)
Fish sauce — 20 g (0.7 oz)
Fresh mint — 12 g (0.4 oz)
Fresh cilantro — 12 g (0.4 oz)
Red pepper flakes — 2 g (0.1 oz)
Cucumber — 200 g (7.1 oz)
Avocado oil — 10 g (0.4 oz)</t>
        </is>
      </c>
      <c r="M394" s="4" t="inlineStr">
        <is>
          <t>[{"ingredient_id": "ground_chicken", "name": "Ground chicken", "grams": 600.0, "note": ""}, {"ingredient_id": "cauliflower_rice", "name": "Cauliflower rice", "grams": 500.0, "note": ""}, {"ingredient_id": "shallot", "name": "Shallot", "grams": 50.0, "note": ""}, {"ingredient_id": "lime_juice", "name": "Lime juice", "grams": 40.0, "note": ""}, {"ingredient_id": "fish_sauce", "name": "Fish sauce", "grams": 20.0, "note": ""}, {"ingredient_id": "mint", "name": "Fresh mint", "grams": 12.0, "note": ""}, {"ingredient_id": "cilantro", "name": "Fresh cilantro", "grams": 12.0, "note": ""}, {"ingredient_id": "red_pepper_flakes", "name": "Red pepper flakes", "grams": 2.0, "note": ""}, {"ingredient_id": "cucumber", "name": "Cucumber", "grams": 200.0, "note": ""}, {"ingredient_id": "avocado_oil", "name": "Avocado oil", "grams": 10.0, "note": ""}]</t>
        </is>
      </c>
      <c r="N394" s="2" t="n">
        <v>292</v>
      </c>
      <c r="O394" s="5" t="n">
        <v>29</v>
      </c>
      <c r="P394" s="5" t="n">
        <v>15.1</v>
      </c>
      <c r="Q394" s="5" t="n">
        <v>11.9</v>
      </c>
      <c r="R394" s="5" t="n">
        <v>3.6</v>
      </c>
      <c r="S394" s="5" t="n">
        <v>8.199999999999999</v>
      </c>
      <c r="T394" s="2" t="n">
        <v>15</v>
      </c>
      <c r="U394" s="2" t="inlineStr">
        <is>
          <t>low</t>
        </is>
      </c>
      <c r="V394" s="5" t="n">
        <v>1.2</v>
      </c>
      <c r="W394" s="2" t="inlineStr">
        <is>
          <t>low</t>
        </is>
      </c>
      <c r="X394" s="3" t="inlineStr"/>
      <c r="Y394" s="3" t="inlineStr">
        <is>
          <t>0% of this dish's available carbohydrate comes from ingredients with a published, measured GI; the rest uses conventional placeholders (see Ingredients sheet)</t>
        </is>
      </c>
      <c r="Z394" s="2" t="n">
        <v>0</v>
      </c>
      <c r="AA394" s="3" t="inlineStr">
        <is>
          <t>gluten-free, dairy-free, nut-free, low-carb, high-protein, quick</t>
        </is>
      </c>
      <c r="AB394" s="3" t="inlineStr">
        <is>
          <t>1. Brown chicken in oil; toss off heat with shallot, lime, fish sauce, herbs and pepper flakes.
2. Sauté cauliflower rice 4 minutes.
3. Serve larb over cauliflower rice with cucumber.</t>
        </is>
      </c>
      <c r="AC394" s="4" t="inlineStr">
        <is>
          <t>["Brown chicken in oil; toss off heat with shallot, lime, fish sauce, herbs and pepper flakes.", "Sauté cauliflower rice 4 minutes.", "Serve larb over cauliflower rice with cucumber."]</t>
        </is>
      </c>
    </row>
    <row r="395" ht="96" customHeight="1">
      <c r="A395" s="2" t="inlineStr">
        <is>
          <t>DB-0394</t>
        </is>
      </c>
      <c r="B395" s="3" t="inlineStr">
        <is>
          <t>Chicken Kiev-Style Baked Breasts</t>
        </is>
      </c>
      <c r="C395" s="4" t="inlineStr">
        <is>
          <t>Poultry</t>
        </is>
      </c>
      <c r="D395" s="4" t="inlineStr">
        <is>
          <t>Eastern European</t>
        </is>
      </c>
      <c r="E395" s="2" t="n">
        <v>4</v>
      </c>
      <c r="F395" s="2" t="n">
        <v>15</v>
      </c>
      <c r="G395" s="2" t="n">
        <v>30</v>
      </c>
      <c r="H395" s="2" t="n">
        <v>45</v>
      </c>
      <c r="I395" s="4" t="inlineStr">
        <is>
          <t>chicken-kiev-style-baked-breasts.jpg</t>
        </is>
      </c>
      <c r="J395" s="3" t="inlineStr">
        <is>
          <t>Chicken Kiev-Style Baked Breasts, healthy food photography, plated, natural light</t>
        </is>
      </c>
      <c r="K395" s="4" t="inlineStr"/>
      <c r="L395" s="3" t="inlineStr">
        <is>
          <t>Chicken breast, skinless — 700 g (24.7 oz)
Butter — 30 g (1.1 oz)
Garlic — 8 g (0.3 oz)
Fresh parsley — 10 g (0.4 oz)
Fresh dill — 5 g (0.2 oz)
Almond flour — 40 g (1.4 oz)
Egg, large (50 g each) — 50 g (1.8 oz)
Extra-virgin olive oil — 10 g (0.4 oz)
Green beans — 400 g (14.1 oz)
Lemon (with juice &amp; zest) — 30 g (1.1 oz)
Salt — 3 g (0.1 oz)</t>
        </is>
      </c>
      <c r="M395" s="4" t="inlineStr">
        <is>
          <t>[{"ingredient_id": "chicken_breast", "name": "Chicken breast, skinless", "grams": 700.0, "note": ""}, {"ingredient_id": "butter", "name": "Butter", "grams": 30.0, "note": ""}, {"ingredient_id": "garlic", "name": "Garlic", "grams": 8.0, "note": ""}, {"ingredient_id": "parsley", "name": "Fresh parsley", "grams": 10.0, "note": ""}, {"ingredient_id": "dill", "name": "Fresh dill", "grams": 5.0, "note": ""}, {"ingredient_id": "almond_flour", "name": "Almond flour", "grams": 40.0, "note": ""}, {"ingredient_id": "egg", "name": "Egg, large (50 g each)", "grams": 50.0, "note": ""}, {"ingredient_id": "olive_oil", "name": "Extra-virgin olive oil", "grams": 10.0, "note": ""}, {"ingredient_id": "green_beans", "name": "Green beans", "grams": 400.0, "note": ""}, {"ingredient_id": "lemon", "name": "Lemon (with juice &amp; zest)", "grams": 30.0, "note": ""}, {"ingredient_id": "salt", "name": "Salt", "grams": 3.0, "note": ""}]</t>
        </is>
      </c>
      <c r="N395" s="2" t="n">
        <v>400</v>
      </c>
      <c r="O395" s="5" t="n">
        <v>45.2</v>
      </c>
      <c r="P395" s="5" t="n">
        <v>19.6</v>
      </c>
      <c r="Q395" s="5" t="n">
        <v>10.8</v>
      </c>
      <c r="R395" s="5" t="n">
        <v>4.3</v>
      </c>
      <c r="S395" s="5" t="n">
        <v>6.5</v>
      </c>
      <c r="T395" s="2" t="n">
        <v>17</v>
      </c>
      <c r="U395" s="2" t="inlineStr">
        <is>
          <t>low</t>
        </is>
      </c>
      <c r="V395" s="5" t="n">
        <v>1.1</v>
      </c>
      <c r="W395" s="2" t="inlineStr">
        <is>
          <t>low</t>
        </is>
      </c>
      <c r="X395" s="3" t="inlineStr"/>
      <c r="Y395" s="3" t="inlineStr">
        <is>
          <t>0% of this dish's available carbohydrate comes from ingredients with a published, measured GI; the rest uses conventional placeholders (see Ingredients sheet)</t>
        </is>
      </c>
      <c r="Z395" s="2" t="n">
        <v>0</v>
      </c>
      <c r="AA395" s="3" t="inlineStr">
        <is>
          <t>gluten-free, low-carb, high-protein</t>
        </is>
      </c>
      <c r="AB395" s="3" t="inlineStr">
        <is>
          <t>1. Mix butter with garlic, parsley, dill; chill. Cut pockets in chicken and stuff with herb butter.
2. Dip in egg, coat with almond flour; bake at 400°F 25 minutes.
3. Serve with green beans and lemon.</t>
        </is>
      </c>
      <c r="AC395" s="4" t="inlineStr">
        <is>
          <t>["Mix butter with garlic, parsley, dill; chill. Cut pockets in chicken and stuff with herb butter.", "Dip in egg, coat with almond flour; bake at 400°F 25 minutes.", "Serve with green beans and lemon."]</t>
        </is>
      </c>
    </row>
    <row r="396" ht="96" customHeight="1">
      <c r="A396" s="2" t="inlineStr">
        <is>
          <t>DB-0395</t>
        </is>
      </c>
      <c r="B396" s="3" t="inlineStr">
        <is>
          <t>Turkey Kofta with Tahini Sauce</t>
        </is>
      </c>
      <c r="C396" s="4" t="inlineStr">
        <is>
          <t>Poultry</t>
        </is>
      </c>
      <c r="D396" s="4" t="inlineStr">
        <is>
          <t>Middle Eastern</t>
        </is>
      </c>
      <c r="E396" s="2" t="n">
        <v>4</v>
      </c>
      <c r="F396" s="2" t="n">
        <v>15</v>
      </c>
      <c r="G396" s="2" t="n">
        <v>15</v>
      </c>
      <c r="H396" s="2" t="n">
        <v>30</v>
      </c>
      <c r="I396" s="4" t="inlineStr">
        <is>
          <t>turkey-kofta-with-tahini-sauce.jpg</t>
        </is>
      </c>
      <c r="J396" s="3" t="inlineStr">
        <is>
          <t>Turkey Kofta with Tahini Sauce, healthy food photography, plated, natural light</t>
        </is>
      </c>
      <c r="K396" s="4" t="inlineStr"/>
      <c r="L396" s="3" t="inlineStr">
        <is>
          <t>Ground turkey 93% lean — 600 g (21.2 oz)
Yellow onion — 60 g (2.1 oz)
Fresh parsley — 15 g (0.5 oz)
Garlic — 8 g (0.3 oz)
Ground cumin — 4 g (0.1 oz)
Ground coriander — 3 g (0.1 oz)
Ground cinnamon — 1 g (0.0 oz)
Egg, large (50 g each) — 50 g (1.8 oz)
Tahini — 40 g (1.4 oz)
Lemon juice — 25 g (0.9 oz)
Greek yogurt, plain 2% — 80 g (2.8 oz)
Cucumber — 200 g (7.1 oz)
Tomato — 200 g (7.1 oz)
Extra-virgin olive oil — 10 g (0.4 oz)
Salt — 3 g (0.1 oz)</t>
        </is>
      </c>
      <c r="M396" s="4" t="inlineStr">
        <is>
          <t>[{"ingredient_id": "ground_turkey", "name": "Ground turkey 93% lean", "grams": 600.0, "note": ""}, {"ingredient_id": "onion", "name": "Yellow onion", "grams": 60.0, "note": ""}, {"ingredient_id": "parsley", "name": "Fresh parsley", "grams": 15.0, "note": ""}, {"ingredient_id": "garlic", "name": "Garlic", "grams": 8.0, "note": ""}, {"ingredient_id": "cumin", "name": "Ground cumin", "grams": 4.0, "note": ""}, {"ingredient_id": "coriander", "name": "Ground coriander", "grams": 3.0, "note": ""}, {"ingredient_id": "cinnamon", "name": "Ground cinnamon", "grams": 1.0, "note": ""}, {"ingredient_id": "egg", "name": "Egg, large (50 g each)", "grams": 50.0, "note": ""}, {"ingredient_id": "tahini", "name": "Tahini", "grams": 40.0, "note": ""}, {"ingredient_id": "lemon_juice", "name": "Lemon juice", "grams": 25.0, "note": ""}, {"ingredient_id": "greek_yogurt", "name": "Greek yogurt, plain 2%", "grams": 80.0, "note": ""}, {"ingredient_id": "cucumber", "name": "Cucumber", "grams": 200.0, "note": ""}, {"ingredient_id": "tomato", "name": "Tomato", "grams": 200.0, "note": ""}, {"ingredient_id": "olive_oil", "name": "Extra-virgin olive oil", "grams": 10.0, "note": ""}, {"ingredient_id": "salt", "name": "Salt", "grams": 3.0, "note": ""}]</t>
        </is>
      </c>
      <c r="N396" s="2" t="n">
        <v>374</v>
      </c>
      <c r="O396" s="5" t="n">
        <v>34.8</v>
      </c>
      <c r="P396" s="5" t="n">
        <v>22.1</v>
      </c>
      <c r="Q396" s="5" t="n">
        <v>10.5</v>
      </c>
      <c r="R396" s="5" t="n">
        <v>2.7</v>
      </c>
      <c r="S396" s="5" t="n">
        <v>7.8</v>
      </c>
      <c r="T396" s="2" t="n">
        <v>20</v>
      </c>
      <c r="U396" s="2" t="inlineStr">
        <is>
          <t>low</t>
        </is>
      </c>
      <c r="V396" s="5" t="n">
        <v>1.6</v>
      </c>
      <c r="W396" s="2" t="inlineStr">
        <is>
          <t>low</t>
        </is>
      </c>
      <c r="X396" s="3" t="inlineStr"/>
      <c r="Y396" s="3" t="inlineStr">
        <is>
          <t>10% of this dish's available carbohydrate comes from ingredients with a published, measured GI; the rest uses conventional placeholders (see Ingredients sheet)</t>
        </is>
      </c>
      <c r="Z396" s="2" t="n">
        <v>10</v>
      </c>
      <c r="AA396" s="3" t="inlineStr">
        <is>
          <t>gluten-free, nut-free, low-carb, high-protein</t>
        </is>
      </c>
      <c r="AB396" s="3" t="inlineStr">
        <is>
          <t>1. Mix turkey, grated onion, parsley, garlic, spices, egg and salt; form logs on skewers.
2. Grill or broil 12 minutes, turning.
3. Whisk tahini, lemon, yogurt and water; serve with cucumber and tomato.</t>
        </is>
      </c>
      <c r="AC396" s="4" t="inlineStr">
        <is>
          <t>["Mix turkey, grated onion, parsley, garlic, spices, egg and salt; form logs on skewers.", "Grill or broil 12 minutes, turning.", "Whisk tahini, lemon, yogurt and water; serve with cucumber and tomato."]</t>
        </is>
      </c>
    </row>
    <row r="397" ht="96" customHeight="1">
      <c r="A397" s="2" t="inlineStr">
        <is>
          <t>DB-0396</t>
        </is>
      </c>
      <c r="B397" s="3" t="inlineStr">
        <is>
          <t>Chicken Zucchini Enchilada Skillet</t>
        </is>
      </c>
      <c r="C397" s="4" t="inlineStr">
        <is>
          <t>Poultry</t>
        </is>
      </c>
      <c r="D397" s="4" t="inlineStr">
        <is>
          <t>Mexican</t>
        </is>
      </c>
      <c r="E397" s="2" t="n">
        <v>4</v>
      </c>
      <c r="F397" s="2" t="n">
        <v>10</v>
      </c>
      <c r="G397" s="2" t="n">
        <v>20</v>
      </c>
      <c r="H397" s="2" t="n">
        <v>30</v>
      </c>
      <c r="I397" s="4" t="inlineStr">
        <is>
          <t>chicken-zucchini-enchilada-skillet.jpg</t>
        </is>
      </c>
      <c r="J397" s="3" t="inlineStr">
        <is>
          <t>Chicken Zucchini Enchilada Skillet, healthy food photography, plated, natural light</t>
        </is>
      </c>
      <c r="K397" s="4" t="inlineStr"/>
      <c r="L397" s="3" t="inlineStr">
        <is>
          <t>Chicken breast, skinless — 550 g (19.4 oz)
Zucchini — 400 g (14.1 oz)
Red enchilada sauce, no sugar added — 300 g (10.6 oz)
Black beans, cooked — 200 g (7.1 oz)
Yellow onion — 80 g (2.8 oz)
Cheddar cheese — 100 g (3.5 oz)
Extra-virgin olive oil — 10 g (0.4 oz)
Ground cumin — 2 g (0.1 oz)
Fresh cilantro — 6 g (0.2 oz)
Greek yogurt, plain 2% — 60 g (2.1 oz)</t>
        </is>
      </c>
      <c r="M397" s="4" t="inlineStr">
        <is>
          <t>[{"ingredient_id": "chicken_breast", "name": "Chicken breast, skinless", "grams": 550.0, "note": ""}, {"ingredient_id": "zucchini", "name": "Zucchini", "grams": 400.0, "note": ""}, {"ingredient_id": "enchilada_sauce", "name": "Red enchilada sauce, no sugar added", "grams": 300.0, "note": ""}, {"ingredient_id": "black_beans", "name": "Black beans, cooked", "grams": 200.0, "note": ""}, {"ingredient_id": "onion", "name": "Yellow onion", "grams": 80.0, "note": ""}, {"ingredient_id": "cheddar", "name": "Cheddar cheese", "grams": 100.0, "note": ""}, {"ingredient_id": "olive_oil", "name": "Extra-virgin olive oil", "grams": 10.0, "note": ""}, {"ingredient_id": "cumin", "name": "Ground cumin", "grams": 2.0, "note": ""}, {"ingredient_id": "cilantro", "name": "Fresh cilantro", "grams": 6.0, "note": ""}, {"ingredient_id": "greek_yogurt", "name": "Greek yogurt, plain 2%", "grams": 60.0, "note": ""}]</t>
        </is>
      </c>
      <c r="N397" s="2" t="n">
        <v>422</v>
      </c>
      <c r="O397" s="5" t="n">
        <v>44.9</v>
      </c>
      <c r="P397" s="5" t="n">
        <v>16.8</v>
      </c>
      <c r="Q397" s="5" t="n">
        <v>21.8</v>
      </c>
      <c r="R397" s="5" t="n">
        <v>6.5</v>
      </c>
      <c r="S397" s="5" t="n">
        <v>15.2</v>
      </c>
      <c r="T397" s="2" t="n">
        <v>25</v>
      </c>
      <c r="U397" s="2" t="inlineStr">
        <is>
          <t>low</t>
        </is>
      </c>
      <c r="V397" s="5" t="n">
        <v>3.8</v>
      </c>
      <c r="W397" s="2" t="inlineStr">
        <is>
          <t>low</t>
        </is>
      </c>
      <c r="X397" s="3" t="inlineStr"/>
      <c r="Y397" s="3" t="inlineStr">
        <is>
          <t>53% of this dish's available carbohydrate comes from ingredients with a published, measured GI; the rest uses conventional placeholders (see Ingredients sheet)</t>
        </is>
      </c>
      <c r="Z397" s="2" t="n">
        <v>53</v>
      </c>
      <c r="AA397" s="3" t="inlineStr">
        <is>
          <t>gluten-free, nut-free, high-protein, one-pan</t>
        </is>
      </c>
      <c r="AB397" s="3" t="inlineStr">
        <is>
          <t>1. Sauté chicken pieces with onion and cumin in oil.
2. Add zucchini, beans and sauce; simmer 8 minutes.
3. Top with cheddar; cover to melt; serve with cilantro and yogurt.</t>
        </is>
      </c>
      <c r="AC397" s="4" t="inlineStr">
        <is>
          <t>["Sauté chicken pieces with onion and cumin in oil.", "Add zucchini, beans and sauce; simmer 8 minutes.", "Top with cheddar; cover to melt; serve with cilantro and yogurt."]</t>
        </is>
      </c>
    </row>
    <row r="398" ht="96" customHeight="1">
      <c r="A398" s="2" t="inlineStr">
        <is>
          <t>DB-0397</t>
        </is>
      </c>
      <c r="B398" s="3" t="inlineStr">
        <is>
          <t>Chicken Cauliflower Mac &amp; Cheese Bake</t>
        </is>
      </c>
      <c r="C398" s="4" t="inlineStr">
        <is>
          <t>Poultry</t>
        </is>
      </c>
      <c r="D398" s="4" t="inlineStr">
        <is>
          <t>American</t>
        </is>
      </c>
      <c r="E398" s="2" t="n">
        <v>5</v>
      </c>
      <c r="F398" s="2" t="n">
        <v>15</v>
      </c>
      <c r="G398" s="2" t="n">
        <v>30</v>
      </c>
      <c r="H398" s="2" t="n">
        <v>45</v>
      </c>
      <c r="I398" s="4" t="inlineStr">
        <is>
          <t>chicken-cauliflower-mac-and-cheese-bake.jpg</t>
        </is>
      </c>
      <c r="J398" s="3" t="inlineStr">
        <is>
          <t>Chicken Cauliflower Mac &amp; Cheese Bake, healthy food photography, plated, natural light</t>
        </is>
      </c>
      <c r="K398" s="4" t="inlineStr"/>
      <c r="L398" s="3" t="inlineStr">
        <is>
          <t>Chicken breast, skinless — 500 g (17.6 oz)
Cauliflower — 800 g (28.2 oz)
Cheddar cheese — 120 g (4.2 oz)
Milk, 2% — 150 g (5.3 oz)
Cream cheese — 60 g (2.1 oz)
Dijon mustard — 8 g (0.3 oz)
Garlic powder — 2 g (0.1 oz)
Chickpea pasta, cooked — 200 g (7.1 oz)
Extra-virgin olive oil — 10 g (0.4 oz)
Salt — 3 g (0.1 oz)</t>
        </is>
      </c>
      <c r="M398" s="4" t="inlineStr">
        <is>
          <t>[{"ingredient_id": "chicken_breast", "name": "Chicken breast, skinless", "grams": 500.0, "note": ""}, {"ingredient_id": "cauliflower", "name": "Cauliflower", "grams": 800.0, "note": ""}, {"ingredient_id": "cheddar", "name": "Cheddar cheese", "grams": 120.0, "note": ""}, {"ingredient_id": "milk", "name": "Milk, 2%", "grams": 150.0, "note": ""}, {"ingredient_id": "cream_cheese", "name": "Cream cheese", "grams": 60.0, "note": ""}, {"ingredient_id": "dijon", "name": "Dijon mustard", "grams": 8.0, "note": ""}, {"ingredient_id": "garlic_powder", "name": "Garlic powder", "grams": 2.0, "note": ""}, {"ingredient_id": "chickpea_pasta", "name": "Chickpea pasta, cooked", "grams": 200.0, "note": ""}, {"ingredient_id": "olive_oil", "name": "Extra-virgin olive oil", "grams": 10.0, "note": ""}, {"ingredient_id": "salt", "name": "Salt", "grams": 3.0, "note": ""}]</t>
        </is>
      </c>
      <c r="N398" s="2" t="n">
        <v>399</v>
      </c>
      <c r="O398" s="5" t="n">
        <v>37.7</v>
      </c>
      <c r="P398" s="5" t="n">
        <v>18.9</v>
      </c>
      <c r="Q398" s="5" t="n">
        <v>21.4</v>
      </c>
      <c r="R398" s="5" t="n">
        <v>5.7</v>
      </c>
      <c r="S398" s="5" t="n">
        <v>15.7</v>
      </c>
      <c r="T398" s="2" t="n">
        <v>23</v>
      </c>
      <c r="U398" s="2" t="inlineStr">
        <is>
          <t>low</t>
        </is>
      </c>
      <c r="V398" s="5" t="n">
        <v>3.6</v>
      </c>
      <c r="W398" s="2" t="inlineStr">
        <is>
          <t>low</t>
        </is>
      </c>
      <c r="X398" s="3" t="inlineStr"/>
      <c r="Y398" s="3" t="inlineStr">
        <is>
          <t>9% of this dish's available carbohydrate comes from ingredients with a published, measured GI; the rest uses conventional placeholders (see Ingredients sheet)</t>
        </is>
      </c>
      <c r="Z398" s="2" t="n">
        <v>9</v>
      </c>
      <c r="AA398" s="3" t="inlineStr">
        <is>
          <t>gluten-free, nut-free, high-protein</t>
        </is>
      </c>
      <c r="AB398" s="3" t="inlineStr">
        <is>
          <t>1. Steam cauliflower; cook pasta al dente; sear diced chicken in oil.
2. Warm milk, cream cheese, cheddar, Dijon, garlic powder into a sauce.
3. Combine everything in a dish; bake at 375°F 15 minutes.</t>
        </is>
      </c>
      <c r="AC398" s="4" t="inlineStr">
        <is>
          <t>["Steam cauliflower; cook pasta al dente; sear diced chicken in oil.", "Warm milk, cream cheese, cheddar, Dijon, garlic powder into a sauce.", "Combine everything in a dish; bake at 375°F 15 minutes."]</t>
        </is>
      </c>
    </row>
    <row r="399" ht="96" customHeight="1">
      <c r="A399" s="2" t="inlineStr">
        <is>
          <t>DB-0398</t>
        </is>
      </c>
      <c r="B399" s="3" t="inlineStr">
        <is>
          <t>Duck Breast with Cherry-Balsamic &amp; Greens</t>
        </is>
      </c>
      <c r="C399" s="4" t="inlineStr">
        <is>
          <t>Poultry</t>
        </is>
      </c>
      <c r="D399" s="4" t="inlineStr">
        <is>
          <t>French</t>
        </is>
      </c>
      <c r="E399" s="2" t="n">
        <v>2</v>
      </c>
      <c r="F399" s="2" t="n">
        <v>10</v>
      </c>
      <c r="G399" s="2" t="n">
        <v>20</v>
      </c>
      <c r="H399" s="2" t="n">
        <v>30</v>
      </c>
      <c r="I399" s="4" t="inlineStr">
        <is>
          <t>duck-breast-with-cherry-balsamic-and-greens.jpg</t>
        </is>
      </c>
      <c r="J399" s="3" t="inlineStr">
        <is>
          <t>Duck Breast with Cherry-Balsamic &amp; Greens, healthy food photography, plated, natural light</t>
        </is>
      </c>
      <c r="K399" s="4" t="inlineStr"/>
      <c r="L399" s="3" t="inlineStr">
        <is>
          <t>Duck breast, skinless — 350 g (12.3 oz)
Cherries, pitted — 80 g (2.8 oz)
Balsamic vinegar — 15 g (0.5 oz)
Shallot — 30 g (1.1 oz)
Chicken broth, low sodium — 100 g (3.5 oz)
Fresh thyme — 2 g (0.1 oz)
Arugula — 100 g (3.5 oz)
Extra-virgin olive oil — 8 g (0.3 oz)
Salt — 2 g (0.1 oz)</t>
        </is>
      </c>
      <c r="M399" s="4" t="inlineStr">
        <is>
          <t>[{"ingredient_id": "duck_breast", "name": "Duck breast, skinless", "grams": 350.0, "note": ""}, {"ingredient_id": "cherries", "name": "Cherries, pitted", "grams": 80.0, "note": ""}, {"ingredient_id": "balsamic_vinegar", "name": "Balsamic vinegar", "grams": 15.0, "note": ""}, {"ingredient_id": "shallot", "name": "Shallot", "grams": 30.0, "note": ""}, {"ingredient_id": "chicken_broth", "name": "Chicken broth, low sodium", "grams": 100.0, "note": ""}, {"ingredient_id": "thyme", "name": "Fresh thyme", "grams": 2.0, "note": ""}, {"ingredient_id": "arugula", "name": "Arugula", "grams": 100.0, "note": ""}, {"ingredient_id": "olive_oil", "name": "Extra-virgin olive oil", "grams": 8.0, "note": ""}, {"ingredient_id": "salt", "name": "Salt", "grams": 2.0, "note": ""}]</t>
        </is>
      </c>
      <c r="N399" s="2" t="n">
        <v>331</v>
      </c>
      <c r="O399" s="5" t="n">
        <v>37.7</v>
      </c>
      <c r="P399" s="5" t="n">
        <v>13.3</v>
      </c>
      <c r="Q399" s="5" t="n">
        <v>12.6</v>
      </c>
      <c r="R399" s="5" t="n">
        <v>2.3</v>
      </c>
      <c r="S399" s="5" t="n">
        <v>10.3</v>
      </c>
      <c r="T399" s="2" t="n">
        <v>25</v>
      </c>
      <c r="U399" s="2" t="inlineStr">
        <is>
          <t>low</t>
        </is>
      </c>
      <c r="V399" s="5" t="n">
        <v>2.6</v>
      </c>
      <c r="W399" s="2" t="inlineStr">
        <is>
          <t>low</t>
        </is>
      </c>
      <c r="X399" s="3" t="inlineStr"/>
      <c r="Y399" s="3" t="inlineStr">
        <is>
          <t>54% of this dish's available carbohydrate comes from ingredients with a published, measured GI; the rest uses conventional placeholders (see Ingredients sheet)</t>
        </is>
      </c>
      <c r="Z399" s="2" t="n">
        <v>54</v>
      </c>
      <c r="AA399" s="3" t="inlineStr">
        <is>
          <t>gluten-free, dairy-free, nut-free, low-carb, high-protein</t>
        </is>
      </c>
      <c r="AB399" s="3" t="inlineStr">
        <is>
          <t>1. Score and season duck; sear skin-side down 8 minutes, flip 4 minutes; rest and slice, discarding excess skin.
2. Sauté shallot in drippings; add cherries, balsamic, broth, thyme; reduce.
3. Serve duck over arugula with sauce.</t>
        </is>
      </c>
      <c r="AC399" s="4" t="inlineStr">
        <is>
          <t>["Score and season duck; sear skin-side down 8 minutes, flip 4 minutes; rest and slice, discarding excess skin.", "Sauté shallot in drippings; add cherries, balsamic, broth, thyme; reduce.", "Serve duck over arugula with sauce."]</t>
        </is>
      </c>
    </row>
    <row r="400" ht="96" customHeight="1">
      <c r="A400" s="2" t="inlineStr">
        <is>
          <t>DB-0399</t>
        </is>
      </c>
      <c r="B400" s="3" t="inlineStr">
        <is>
          <t>Chicken Broccoli Cheddar Stuffed Sweet Potato</t>
        </is>
      </c>
      <c r="C400" s="4" t="inlineStr">
        <is>
          <t>Poultry</t>
        </is>
      </c>
      <c r="D400" s="4" t="inlineStr">
        <is>
          <t>American</t>
        </is>
      </c>
      <c r="E400" s="2" t="n">
        <v>4</v>
      </c>
      <c r="F400" s="2" t="n">
        <v>10</v>
      </c>
      <c r="G400" s="2" t="n">
        <v>50</v>
      </c>
      <c r="H400" s="2" t="n">
        <v>60</v>
      </c>
      <c r="I400" s="4" t="inlineStr">
        <is>
          <t>chicken-broccoli-cheddar-stuffed-sweet-potato.jpg</t>
        </is>
      </c>
      <c r="J400" s="3" t="inlineStr">
        <is>
          <t>Chicken Broccoli Cheddar Stuffed Sweet Potato, healthy food photography, plated, natural light</t>
        </is>
      </c>
      <c r="K400" s="4" t="inlineStr"/>
      <c r="L400" s="3" t="inlineStr">
        <is>
          <t>Sweet potato, boiled/simmered — 400 g (14.1 oz) [4 small (100 g each)]
Rotisserie chicken, skin removed — 400 g (14.1 oz)
Broccoli — 300 g (10.6 oz)
Cheddar cheese — 80 g (2.8 oz)
Greek yogurt, plain 2% — 100 g (3.5 oz)
Green onions (scallions) — 15 g (0.5 oz)
Garlic powder — 2 g (0.1 oz)</t>
        </is>
      </c>
      <c r="M400" s="4" t="inlineStr">
        <is>
          <t>[{"ingredient_id": "sweet_potato", "name": "Sweet potato, boiled/simmered", "grams": 400.0, "note": "4 small (100 g each)"}, {"ingredient_id": "rotisserie_chicken", "name": "Rotisserie chicken, skin removed", "grams": 400.0, "note": ""}, {"ingredient_id": "broccoli", "name": "Broccoli", "grams": 300.0, "note": ""}, {"ingredient_id": "cheddar", "name": "Cheddar cheese", "grams": 80.0, "note": ""}, {"ingredient_id": "greek_yogurt", "name": "Greek yogurt, plain 2%", "grams": 100.0, "note": ""}, {"ingredient_id": "green_onion", "name": "Green onions (scallions)", "grams": 15.0, "note": ""}, {"ingredient_id": "garlic_powder", "name": "Garlic powder", "grams": 2.0, "note": ""}]</t>
        </is>
      </c>
      <c r="N400" s="2" t="n">
        <v>373</v>
      </c>
      <c r="O400" s="5" t="n">
        <v>34</v>
      </c>
      <c r="P400" s="5" t="n">
        <v>14.5</v>
      </c>
      <c r="Q400" s="5" t="n">
        <v>26.8</v>
      </c>
      <c r="R400" s="5" t="n">
        <v>5.1</v>
      </c>
      <c r="S400" s="5" t="n">
        <v>21.8</v>
      </c>
      <c r="T400" s="2" t="n">
        <v>39</v>
      </c>
      <c r="U400" s="2" t="inlineStr">
        <is>
          <t>low</t>
        </is>
      </c>
      <c r="V400" s="5" t="n">
        <v>8.5</v>
      </c>
      <c r="W400" s="2" t="inlineStr">
        <is>
          <t>low</t>
        </is>
      </c>
      <c r="X400" s="3" t="inlineStr"/>
      <c r="Y400" s="3" t="inlineStr">
        <is>
          <t>83% of this dish's available carbohydrate comes from ingredients with a published, measured GI; the rest uses conventional placeholders (see Ingredients sheet)</t>
        </is>
      </c>
      <c r="Z400" s="2" t="n">
        <v>83</v>
      </c>
      <c r="AA400" s="3" t="inlineStr">
        <is>
          <t>gluten-free, nut-free, high-protein</t>
        </is>
      </c>
      <c r="AB400" s="3" t="inlineStr">
        <is>
          <t>1. Boil whole sweet potatoes 20–25 minutes until tender (boiling keeps the GI far lower than baking); steam broccoli.
2. Mix chicken, broccoli, half the cheddar, yogurt and garlic powder.
3. Split potatoes, fill, top with remaining cheddar; broil 3 minutes; add green onion.</t>
        </is>
      </c>
      <c r="AC400" s="4" t="inlineStr">
        <is>
          <t>["Boil whole sweet potatoes 20–25 minutes until tender (boiling keeps the GI far lower than baking); steam broccoli.", "Mix chicken, broccoli, half the cheddar, yogurt and garlic powder.", "Split potatoes, fill, top with remaining cheddar; broil 3 minutes; add green onion."]</t>
        </is>
      </c>
    </row>
    <row r="401" ht="96" customHeight="1">
      <c r="A401" s="2" t="inlineStr">
        <is>
          <t>DB-0400</t>
        </is>
      </c>
      <c r="B401" s="3" t="inlineStr">
        <is>
          <t>Chicken Vesuvio (Lightened)</t>
        </is>
      </c>
      <c r="C401" s="4" t="inlineStr">
        <is>
          <t>Poultry</t>
        </is>
      </c>
      <c r="D401" s="4" t="inlineStr">
        <is>
          <t>Italian-American</t>
        </is>
      </c>
      <c r="E401" s="2" t="n">
        <v>4</v>
      </c>
      <c r="F401" s="2" t="n">
        <v>10</v>
      </c>
      <c r="G401" s="2" t="n">
        <v>40</v>
      </c>
      <c r="H401" s="2" t="n">
        <v>50</v>
      </c>
      <c r="I401" s="4" t="inlineStr">
        <is>
          <t>chicken-vesuvio-lightened.jpg</t>
        </is>
      </c>
      <c r="J401" s="3" t="inlineStr">
        <is>
          <t>Chicken Vesuvio (Lightened), healthy food photography, plated, natural light</t>
        </is>
      </c>
      <c r="K401" s="4" t="inlineStr"/>
      <c r="L401" s="3" t="inlineStr">
        <is>
          <t>Chicken thigh, skinless boneless — 700 g (24.7 oz)
New potatoes, boiled — 300 g (10.6 oz)
Green peas — 150 g (5.3 oz)
Garlic — 15 g (0.5 oz)
Dry white wine (cooking) — 100 g (3.5 oz)
Chicken broth, low sodium — 200 g (7.1 oz)
Dried oregano — 3 g (0.1 oz)
Extra-virgin olive oil — 20 g (0.7 oz)
Lemon (with juice &amp; zest) — 30 g (1.1 oz)
Fresh parsley — 6 g (0.2 oz)
Salt — 3 g (0.1 oz)</t>
        </is>
      </c>
      <c r="M401" s="4" t="inlineStr">
        <is>
          <t>[{"ingredient_id": "chicken_thigh", "name": "Chicken thigh, skinless boneless", "grams": 700.0, "note": ""}, {"ingredient_id": "new_potato", "name": "New potatoes, boiled", "grams": 300.0, "note": ""}, {"ingredient_id": "green_peas", "name": "Green peas", "grams": 150.0, "note": ""}, {"ingredient_id": "garlic", "name": "Garlic", "grams": 15.0, "note": ""}, {"ingredient_id": "white_wine", "name": "Dry white wine (cooking)", "grams": 100.0, "note": ""}, {"ingredient_id": "chicken_broth", "name": "Chicken broth, low sodium", "grams": 200.0, "note": ""}, {"ingredient_id": "oregano", "name": "Dried oregano", "grams": 3.0, "note": ""}, {"ingredient_id": "olive_oil", "name": "Extra-virgin olive oil", "grams": 20.0, "note": ""}, {"ingredient_id": "lemon", "name": "Lemon (with juice &amp; zest)", "grams": 30.0, "note": ""}, {"ingredient_id": "parsley", "name": "Fresh parsley", "grams": 6.0, "note": ""}, {"ingredient_id": "salt", "name": "Salt", "grams": 3.0, "note": ""}]</t>
        </is>
      </c>
      <c r="N401" s="2" t="n">
        <v>386</v>
      </c>
      <c r="O401" s="5" t="n">
        <v>38.9</v>
      </c>
      <c r="P401" s="5" t="n">
        <v>12.6</v>
      </c>
      <c r="Q401" s="5" t="n">
        <v>23.7</v>
      </c>
      <c r="R401" s="5" t="n">
        <v>4.1</v>
      </c>
      <c r="S401" s="5" t="n">
        <v>19.6</v>
      </c>
      <c r="T401" s="2" t="n">
        <v>58</v>
      </c>
      <c r="U401" s="2" t="inlineStr">
        <is>
          <t>medium</t>
        </is>
      </c>
      <c r="V401" s="5" t="n">
        <v>11.3</v>
      </c>
      <c r="W401" s="2" t="inlineStr">
        <is>
          <t>medium</t>
        </is>
      </c>
      <c r="X401" s="3" t="inlineStr">
        <is>
          <t>Medium-GI dish: keep to the stated portion and pair with the protein/fat in the recipe; GL per serving is the better guide.</t>
        </is>
      </c>
      <c r="Y401" s="3" t="inlineStr">
        <is>
          <t>86% of this dish's available carbohydrate comes from ingredients with a published, measured GI; the rest uses conventional placeholders (see Ingredients sheet)</t>
        </is>
      </c>
      <c r="Z401" s="2" t="n">
        <v>86</v>
      </c>
      <c r="AA401" s="3" t="inlineStr">
        <is>
          <t>gluten-free, dairy-free, nut-free, high-protein, one-pan</t>
        </is>
      </c>
      <c r="AB401" s="3" t="inlineStr">
        <is>
          <t>1. Brown chicken and halved potatoes in oil; add garlic and oregano.
2. Add wine and broth; roast at 400°F 25 minutes.
3. Add peas for the last 5 minutes; finish with lemon and parsley.</t>
        </is>
      </c>
      <c r="AC401" s="4" t="inlineStr">
        <is>
          <t>["Brown chicken and halved potatoes in oil; add garlic and oregano.", "Add wine and broth; roast at 400°F 25 minutes.", "Add peas for the last 5 minutes; finish with lemon and parsley."]</t>
        </is>
      </c>
    </row>
    <row r="402" ht="96" customHeight="1">
      <c r="A402" s="2" t="inlineStr">
        <is>
          <t>DB-0401</t>
        </is>
      </c>
      <c r="B402" s="3" t="inlineStr">
        <is>
          <t>Nashville-Style Hot Chicken (Baked)</t>
        </is>
      </c>
      <c r="C402" s="4" t="inlineStr">
        <is>
          <t>Poultry</t>
        </is>
      </c>
      <c r="D402" s="4" t="inlineStr">
        <is>
          <t>Southern</t>
        </is>
      </c>
      <c r="E402" s="2" t="n">
        <v>4</v>
      </c>
      <c r="F402" s="2" t="n">
        <v>15</v>
      </c>
      <c r="G402" s="2" t="n">
        <v>25</v>
      </c>
      <c r="H402" s="2" t="n">
        <v>40</v>
      </c>
      <c r="I402" s="4" t="inlineStr">
        <is>
          <t>nashville-style-hot-chicken-baked.jpg</t>
        </is>
      </c>
      <c r="J402" s="3" t="inlineStr">
        <is>
          <t>Nashville-Style Hot Chicken (Baked), healthy food photography, plated, natural light</t>
        </is>
      </c>
      <c r="K402" s="4" t="inlineStr"/>
      <c r="L402" s="3" t="inlineStr">
        <is>
          <t>Chicken breast, skinless — 600 g (21.2 oz)
Greek yogurt, plain 2% — 100 g (3.5 oz)
Hot sauce (Tabasco/Frank's) — 30 g (1.1 oz)
Almond flour — 70 g (2.5 oz)
Cayenne pepper — 4 g (0.1 oz)
Smoked paprika — 4 g (0.1 oz)
Garlic powder — 3 g (0.1 oz)
Extra-virgin olive oil — 20 g (0.7 oz)
Coleslaw mix (cabbage &amp; carrot) — 300 g (10.6 oz)
Dill pickles — 60 g (2.1 oz)
Apple cider vinegar — 10 g (0.4 oz)
Salt — 3 g (0.1 oz)</t>
        </is>
      </c>
      <c r="M402" s="4" t="inlineStr">
        <is>
          <t>[{"ingredient_id": "chicken_breast", "name": "Chicken breast, skinless", "grams": 600.0, "note": ""}, {"ingredient_id": "greek_yogurt", "name": "Greek yogurt, plain 2%", "grams": 100.0, "note": ""}, {"ingredient_id": "hot_sauce", "name": "Hot sauce (Tabasco/Frank's)", "grams": 30.0, "note": ""}, {"ingredient_id": "almond_flour", "name": "Almond flour", "grams": 70.0, "note": ""}, {"ingredient_id": "cayenne", "name": "Cayenne pepper", "grams": 4.0, "note": ""}, {"ingredient_id": "smoked_paprika", "name": "Smoked paprika", "grams": 4.0, "note": ""}, {"ingredient_id": "garlic_powder", "name": "Garlic powder", "grams": 3.0, "note": ""}, {"ingredient_id": "olive_oil", "name": "Extra-virgin olive oil", "grams": 20.0, "note": ""}, {"ingredient_id": "coleslaw_mix", "name": "Coleslaw mix (cabbage &amp; carrot)", "grams": 300.0, "note": ""}, {"ingredient_id": "dill_pickle", "name": "Dill pickles", "grams": 60.0, "note": ""}, {"ingredient_id": "apple_cider_vinegar", "name": "Apple cider vinegar", "grams": 10.0, "note": ""}, {"ingredient_id": "salt", "name": "Salt", "grams": 3.0, "note": ""}]</t>
        </is>
      </c>
      <c r="N402" s="2" t="n">
        <v>378</v>
      </c>
      <c r="O402" s="5" t="n">
        <v>41.4</v>
      </c>
      <c r="P402" s="5" t="n">
        <v>18.6</v>
      </c>
      <c r="Q402" s="5" t="n">
        <v>11.3</v>
      </c>
      <c r="R402" s="5" t="n">
        <v>4.8</v>
      </c>
      <c r="S402" s="5" t="n">
        <v>6.6</v>
      </c>
      <c r="T402" s="2" t="n">
        <v>14</v>
      </c>
      <c r="U402" s="2" t="inlineStr">
        <is>
          <t>low</t>
        </is>
      </c>
      <c r="V402" s="5" t="n">
        <v>0.9</v>
      </c>
      <c r="W402" s="2" t="inlineStr">
        <is>
          <t>low</t>
        </is>
      </c>
      <c r="X402" s="3" t="inlineStr"/>
      <c r="Y402" s="3" t="inlineStr">
        <is>
          <t>15% of this dish's available carbohydrate comes from ingredients with a published, measured GI; the rest uses conventional placeholders (see Ingredients sheet)</t>
        </is>
      </c>
      <c r="Z402" s="2" t="n">
        <v>15</v>
      </c>
      <c r="AA402" s="3" t="inlineStr">
        <is>
          <t>gluten-free, low-carb, high-protein</t>
        </is>
      </c>
      <c r="AB402" s="3" t="inlineStr">
        <is>
          <t>1. Marinate chicken in yogurt and half the hot sauce 15 minutes; coat in almond flour with cayenne, paprika, garlic powder.
2. Bake at 425°F 22 minutes; brush with remaining hot sauce mixed with oil.
3. Serve with vinegar slaw and pickles.</t>
        </is>
      </c>
      <c r="AC402" s="4" t="inlineStr">
        <is>
          <t>["Marinate chicken in yogurt and half the hot sauce 15 minutes; coat in almond flour with cayenne, paprika, garlic powder.", "Bake at 425°F 22 minutes; brush with remaining hot sauce mixed with oil.", "Serve with vinegar slaw and pickles."]</t>
        </is>
      </c>
    </row>
    <row r="403" ht="96" customHeight="1">
      <c r="A403" s="2" t="inlineStr">
        <is>
          <t>DB-0402</t>
        </is>
      </c>
      <c r="B403" s="3" t="inlineStr">
        <is>
          <t>Chicken &amp; Mushroom Stroganoff (Yogurt)</t>
        </is>
      </c>
      <c r="C403" s="4" t="inlineStr">
        <is>
          <t>Poultry</t>
        </is>
      </c>
      <c r="D403" s="4" t="inlineStr">
        <is>
          <t>Russian</t>
        </is>
      </c>
      <c r="E403" s="2" t="n">
        <v>4</v>
      </c>
      <c r="F403" s="2" t="n">
        <v>10</v>
      </c>
      <c r="G403" s="2" t="n">
        <v>25</v>
      </c>
      <c r="H403" s="2" t="n">
        <v>35</v>
      </c>
      <c r="I403" s="4" t="inlineStr">
        <is>
          <t>chicken-and-mushroom-stroganoff-yogurt.jpg</t>
        </is>
      </c>
      <c r="J403" s="3" t="inlineStr">
        <is>
          <t>Chicken &amp; Mushroom Stroganoff (Yogurt), healthy food photography, plated, natural light</t>
        </is>
      </c>
      <c r="K403" s="4" t="inlineStr"/>
      <c r="L403" s="3" t="inlineStr">
        <is>
          <t>Chicken breast, skinless — 600 g (21.2 oz)
Mushrooms (cremini/white) — 400 g (14.1 oz)
Yellow onion — 100 g (3.5 oz)
Garlic — 6 g (0.2 oz)
Chicken broth, low sodium — 200 g (7.1 oz)
Greek yogurt, plain 2% — 150 g (5.3 oz)
Dijon mustard — 10 g (0.4 oz)
Paprika — 3 g (0.1 oz)
Extra-virgin olive oil — 15 g (0.5 oz)
Zucchini noodles (zoodles) — 500 g (17.6 oz)
Fresh parsley — 6 g (0.2 oz)
Salt — 3 g (0.1 oz)</t>
        </is>
      </c>
      <c r="M403" s="4" t="inlineStr">
        <is>
          <t>[{"ingredient_id": "chicken_breast", "name": "Chicken breast, skinless", "grams": 600.0, "note": ""}, {"ingredient_id": "mushrooms", "name": "Mushrooms (cremini/white)", "grams": 400.0, "note": ""}, {"ingredient_id": "onion", "name": "Yellow onion", "grams": 100.0, "note": ""}, {"ingredient_id": "garlic", "name": "Garlic", "grams": 6.0, "note": ""}, {"ingredient_id": "chicken_broth", "name": "Chicken broth, low sodium", "grams": 200.0, "note": ""}, {"ingredient_id": "greek_yogurt", "name": "Greek yogurt, plain 2%", "grams": 150.0, "note": ""}, {"ingredient_id": "dijon", "name": "Dijon mustard", "grams": 10.0, "note": ""}, {"ingredient_id": "paprika", "name": "Paprika", "grams": 3.0, "note": ""}, {"ingredient_id": "olive_oil", "name": "Extra-virgin olive oil", "grams": 15.0, "note": ""}, {"ingredient_id": "zucchini_noodles", "name": "Zucchini noodles (zoodles)", "grams": 500.0, "note": ""}, {"ingredient_id": "parsley", "name": "Fresh parsley", "grams": 6.0, "note": ""}, {"ingredient_id": "salt", "name": "Salt", "grams": 3.0, "note": ""}]</t>
        </is>
      </c>
      <c r="N403" s="2" t="n">
        <v>304</v>
      </c>
      <c r="O403" s="5" t="n">
        <v>43.2</v>
      </c>
      <c r="P403" s="5" t="n">
        <v>9.4</v>
      </c>
      <c r="Q403" s="5" t="n">
        <v>12.4</v>
      </c>
      <c r="R403" s="5" t="n">
        <v>3.1</v>
      </c>
      <c r="S403" s="5" t="n">
        <v>9.300000000000001</v>
      </c>
      <c r="T403" s="2" t="n">
        <v>15</v>
      </c>
      <c r="U403" s="2" t="inlineStr">
        <is>
          <t>low</t>
        </is>
      </c>
      <c r="V403" s="5" t="n">
        <v>1.4</v>
      </c>
      <c r="W403" s="2" t="inlineStr">
        <is>
          <t>low</t>
        </is>
      </c>
      <c r="X403" s="3" t="inlineStr"/>
      <c r="Y403" s="3" t="inlineStr">
        <is>
          <t>16% of this dish's available carbohydrate comes from ingredients with a published, measured GI; the rest uses conventional placeholders (see Ingredients sheet)</t>
        </is>
      </c>
      <c r="Z403" s="2" t="n">
        <v>16</v>
      </c>
      <c r="AA403" s="3" t="inlineStr">
        <is>
          <t>gluten-free, nut-free, low-carb, high-protein</t>
        </is>
      </c>
      <c r="AB403" s="3" t="inlineStr">
        <is>
          <t>1. Sear chicken strips in oil; remove. Sauté mushrooms, onion, garlic 8 minutes.
2. Add broth, paprika, Dijon; reduce; stir in yogurt off heat; return chicken.
3. Serve over sautéed zoodles with parsley.</t>
        </is>
      </c>
      <c r="AC403" s="4" t="inlineStr">
        <is>
          <t>["Sear chicken strips in oil; remove. Sauté mushrooms, onion, garlic 8 minutes.", "Add broth, paprika, Dijon; reduce; stir in yogurt off heat; return chicken.", "Serve over sautéed zoodles with parsley."]</t>
        </is>
      </c>
    </row>
    <row r="404" ht="96" customHeight="1">
      <c r="A404" s="2" t="inlineStr">
        <is>
          <t>DB-0403</t>
        </is>
      </c>
      <c r="B404" s="3" t="inlineStr">
        <is>
          <t>Chicken Poblano Casserole</t>
        </is>
      </c>
      <c r="C404" s="4" t="inlineStr">
        <is>
          <t>Poultry</t>
        </is>
      </c>
      <c r="D404" s="4" t="inlineStr">
        <is>
          <t>Mexican</t>
        </is>
      </c>
      <c r="E404" s="2" t="n">
        <v>6</v>
      </c>
      <c r="F404" s="2" t="n">
        <v>15</v>
      </c>
      <c r="G404" s="2" t="n">
        <v>35</v>
      </c>
      <c r="H404" s="2" t="n">
        <v>50</v>
      </c>
      <c r="I404" s="4" t="inlineStr">
        <is>
          <t>chicken-poblano-casserole.jpg</t>
        </is>
      </c>
      <c r="J404" s="3" t="inlineStr">
        <is>
          <t>Chicken Poblano Casserole, healthy food photography, plated, natural light</t>
        </is>
      </c>
      <c r="K404" s="4" t="inlineStr"/>
      <c r="L404" s="3" t="inlineStr">
        <is>
          <t>Chicken breast, skinless — 700 g (24.7 oz)
Poblano pepper — 300 g (10.6 oz)
Cauliflower rice — 400 g (14.1 oz)
Black beans, cooked — 250 g (8.8 oz)
Salsa verde — 250 g (8.8 oz)
Pepper jack cheese — 120 g (4.2 oz)
Greek yogurt, plain 2% — 120 g (4.2 oz)
Ground cumin — 3 g (0.1 oz)
Yellow onion — 80 g (2.8 oz)
Extra-virgin olive oil — 10 g (0.4 oz)
Fresh cilantro — 8 g (0.3 oz)</t>
        </is>
      </c>
      <c r="M404" s="4" t="inlineStr">
        <is>
          <t>[{"ingredient_id": "chicken_breast", "name": "Chicken breast, skinless", "grams": 700.0, "note": ""}, {"ingredient_id": "poblano", "name": "Poblano pepper", "grams": 300.0, "note": ""}, {"ingredient_id": "cauliflower_rice", "name": "Cauliflower rice", "grams": 400.0, "note": ""}, {"ingredient_id": "black_beans", "name": "Black beans, cooked", "grams": 250.0, "note": ""}, {"ingredient_id": "salsa_verde", "name": "Salsa verde", "grams": 250.0, "note": ""}, {"ingredient_id": "pepper_jack", "name": "Pepper jack cheese", "grams": 120.0, "note": ""}, {"ingredient_id": "greek_yogurt", "name": "Greek yogurt, plain 2%", "grams": 120.0, "note": ""}, {"ingredient_id": "cumin", "name": "Ground cumin", "grams": 3.0, "note": ""}, {"ingredient_id": "onion", "name": "Yellow onion", "grams": 80.0, "note": ""}, {"ingredient_id": "olive_oil", "name": "Extra-virgin olive oil", "grams": 10.0, "note": ""}, {"ingredient_id": "cilantro", "name": "Fresh cilantro", "grams": 8.0, "note": ""}]</t>
        </is>
      </c>
      <c r="N404" s="2" t="n">
        <v>347</v>
      </c>
      <c r="O404" s="5" t="n">
        <v>39.2</v>
      </c>
      <c r="P404" s="5" t="n">
        <v>11.9</v>
      </c>
      <c r="Q404" s="5" t="n">
        <v>20.6</v>
      </c>
      <c r="R404" s="5" t="n">
        <v>6.7</v>
      </c>
      <c r="S404" s="5" t="n">
        <v>13.9</v>
      </c>
      <c r="T404" s="2" t="n">
        <v>23</v>
      </c>
      <c r="U404" s="2" t="inlineStr">
        <is>
          <t>low</t>
        </is>
      </c>
      <c r="V404" s="5" t="n">
        <v>3.2</v>
      </c>
      <c r="W404" s="2" t="inlineStr">
        <is>
          <t>low</t>
        </is>
      </c>
      <c r="X404" s="3" t="inlineStr"/>
      <c r="Y404" s="3" t="inlineStr">
        <is>
          <t>51% of this dish's available carbohydrate comes from ingredients with a published, measured GI; the rest uses conventional placeholders (see Ingredients sheet)</t>
        </is>
      </c>
      <c r="Z404" s="2" t="n">
        <v>51</v>
      </c>
      <c r="AA404" s="3" t="inlineStr">
        <is>
          <t>gluten-free, nut-free, low-carb, high-protein, make-ahead</t>
        </is>
      </c>
      <c r="AB404" s="3" t="inlineStr">
        <is>
          <t>1. Char poblanos; peel and chop. Sear diced chicken with onion and cumin in oil.
2. Mix chicken, poblano, cauliflower rice, beans, salsa verde, yogurt and half the cheese in a dish.
3. Top with remaining cheese; bake at 375°F 25 minutes; garnish cilantro.</t>
        </is>
      </c>
      <c r="AC404" s="4" t="inlineStr">
        <is>
          <t>["Char poblanos; peel and chop. Sear diced chicken with onion and cumin in oil.", "Mix chicken, poblano, cauliflower rice, beans, salsa verde, yogurt and half the cheese in a dish.", "Top with remaining cheese; bake at 375°F 25 minutes; garnish cilantro."]</t>
        </is>
      </c>
    </row>
    <row r="405" ht="96" customHeight="1">
      <c r="A405" s="2" t="inlineStr">
        <is>
          <t>DB-0404</t>
        </is>
      </c>
      <c r="B405" s="3" t="inlineStr">
        <is>
          <t>Chicken Thighs with Roasted Fennel &amp; Olives</t>
        </is>
      </c>
      <c r="C405" s="4" t="inlineStr">
        <is>
          <t>Poultry</t>
        </is>
      </c>
      <c r="D405" s="4" t="inlineStr">
        <is>
          <t>Mediterranean</t>
        </is>
      </c>
      <c r="E405" s="2" t="n">
        <v>4</v>
      </c>
      <c r="F405" s="2" t="n">
        <v>10</v>
      </c>
      <c r="G405" s="2" t="n">
        <v>35</v>
      </c>
      <c r="H405" s="2" t="n">
        <v>45</v>
      </c>
      <c r="I405" s="4" t="inlineStr">
        <is>
          <t>chicken-thighs-with-roasted-fennel-and-olives.jpg</t>
        </is>
      </c>
      <c r="J405" s="3" t="inlineStr">
        <is>
          <t>Chicken Thighs with Roasted Fennel &amp; Olives, healthy food photography, plated, natural light</t>
        </is>
      </c>
      <c r="K405" s="4" t="inlineStr"/>
      <c r="L405" s="3" t="inlineStr">
        <is>
          <t>Chicken thigh, skinless boneless — 700 g (24.7 oz)
Fennel bulb — 400 g (14.1 oz)
Olives (kalamata/green) — 50 g (1.8 oz)
Lemon (with juice &amp; zest) — 50 g (1.8 oz)
Garlic — 8 g (0.3 oz)
Fresh rosemary — 3 g (0.1 oz)
Extra-virgin olive oil — 15 g (0.5 oz)
Salt — 3 g (0.1 oz)</t>
        </is>
      </c>
      <c r="M405" s="4" t="inlineStr">
        <is>
          <t>[{"ingredient_id": "chicken_thigh", "name": "Chicken thigh, skinless boneless", "grams": 700.0, "note": ""}, {"ingredient_id": "fennel", "name": "Fennel bulb", "grams": 400.0, "note": ""}, {"ingredient_id": "olives", "name": "Olives (kalamata/green)", "grams": 50.0, "note": ""}, {"ingredient_id": "lemon", "name": "Lemon (with juice &amp; zest)", "grams": 50.0, "note": ""}, {"ingredient_id": "garlic", "name": "Garlic", "grams": 8.0, "note": ""}, {"ingredient_id": "rosemary", "name": "Fresh rosemary", "grams": 3.0, "note": ""}, {"ingredient_id": "olive_oil", "name": "Extra-virgin olive oil", "grams": 15.0, "note": ""}, {"ingredient_id": "salt", "name": "Salt", "grams": 3.0, "note": ""}]</t>
        </is>
      </c>
      <c r="N405" s="2" t="n">
        <v>298</v>
      </c>
      <c r="O405" s="5" t="n">
        <v>36.1</v>
      </c>
      <c r="P405" s="5" t="n">
        <v>12.6</v>
      </c>
      <c r="Q405" s="5" t="n">
        <v>10</v>
      </c>
      <c r="R405" s="5" t="n">
        <v>4</v>
      </c>
      <c r="S405" s="5" t="n">
        <v>6</v>
      </c>
      <c r="T405" s="2" t="n">
        <v>17</v>
      </c>
      <c r="U405" s="2" t="inlineStr">
        <is>
          <t>low</t>
        </is>
      </c>
      <c r="V405" s="5" t="n">
        <v>1</v>
      </c>
      <c r="W405" s="2" t="inlineStr">
        <is>
          <t>low</t>
        </is>
      </c>
      <c r="X405" s="3" t="inlineStr"/>
      <c r="Y405" s="3" t="inlineStr">
        <is>
          <t>0% of this dish's available carbohydrate comes from ingredients with a published, measured GI; the rest uses conventional placeholders (see Ingredients sheet)</t>
        </is>
      </c>
      <c r="Z405" s="2" t="n">
        <v>0</v>
      </c>
      <c r="AA405" s="3" t="inlineStr">
        <is>
          <t>gluten-free, dairy-free, nut-free, low-carb, high-protein, one-pan</t>
        </is>
      </c>
      <c r="AB405" s="3" t="inlineStr">
        <is>
          <t>1. Toss fennel wedges, olives, garlic with oil; nestle chicken on top with lemon slices and rosemary.
2. Roast at 425°F 30–35 minutes.
3. Spoon pan juices over.</t>
        </is>
      </c>
      <c r="AC405" s="4" t="inlineStr">
        <is>
          <t>["Toss fennel wedges, olives, garlic with oil; nestle chicken on top with lemon slices and rosemary.", "Roast at 425°F 30–35 minutes.", "Spoon pan juices over."]</t>
        </is>
      </c>
    </row>
    <row r="406" ht="96" customHeight="1">
      <c r="A406" s="2" t="inlineStr">
        <is>
          <t>DB-0405</t>
        </is>
      </c>
      <c r="B406" s="3" t="inlineStr">
        <is>
          <t>Chicken &amp; Roasted Cauliflower Pesto Skillet</t>
        </is>
      </c>
      <c r="C406" s="4" t="inlineStr">
        <is>
          <t>Poultry</t>
        </is>
      </c>
      <c r="D406" s="4" t="inlineStr">
        <is>
          <t>Italian</t>
        </is>
      </c>
      <c r="E406" s="2" t="n">
        <v>4</v>
      </c>
      <c r="F406" s="2" t="n">
        <v>10</v>
      </c>
      <c r="G406" s="2" t="n">
        <v>20</v>
      </c>
      <c r="H406" s="2" t="n">
        <v>30</v>
      </c>
      <c r="I406" s="4" t="inlineStr">
        <is>
          <t>chicken-and-roasted-cauliflower-pesto-skillet.jpg</t>
        </is>
      </c>
      <c r="J406" s="3" t="inlineStr">
        <is>
          <t>Chicken &amp; Roasted Cauliflower Pesto Skillet, healthy food photography, plated, natural light</t>
        </is>
      </c>
      <c r="K406" s="4" t="inlineStr"/>
      <c r="L406" s="3" t="inlineStr">
        <is>
          <t>Chicken breast, skinless — 550 g (19.4 oz)
Cauliflower — 600 g (21.2 oz)
Basil pesto — 60 g (2.1 oz)
Cherry tomatoes — 200 g (7.1 oz)
Spinach — 100 g (3.5 oz)
Parmesan, grated — 30 g (1.1 oz)
Extra-virgin olive oil — 12 g (0.4 oz)
Salt — 2 g (0.1 oz)</t>
        </is>
      </c>
      <c r="M406" s="4" t="inlineStr">
        <is>
          <t>[{"ingredient_id": "chicken_breast", "name": "Chicken breast, skinless", "grams": 550.0, "note": ""}, {"ingredient_id": "cauliflower", "name": "Cauliflower", "grams": 600.0, "note": ""}, {"ingredient_id": "pesto", "name": "Basil pesto", "grams": 60.0, "note": ""}, {"ingredient_id": "cherry_tomato", "name": "Cherry tomatoes", "grams": 200.0, "note": ""}, {"ingredient_id": "spinach", "name": "Spinach", "grams": 100.0, "note": ""}, {"ingredient_id": "parmesan", "name": "Parmesan, grated", "grams": 30.0, "note": ""}, {"ingredient_id": "olive_oil", "name": "Extra-virgin olive oil", "grams": 12.0, "note": ""}, {"ingredient_id": "salt", "name": "Salt", "grams": 2.0, "note": ""}]</t>
        </is>
      </c>
      <c r="N406" s="2" t="n">
        <v>336</v>
      </c>
      <c r="O406" s="5" t="n">
        <v>38.6</v>
      </c>
      <c r="P406" s="5" t="n">
        <v>15.4</v>
      </c>
      <c r="Q406" s="5" t="n">
        <v>11.6</v>
      </c>
      <c r="R406" s="5" t="n">
        <v>4.5</v>
      </c>
      <c r="S406" s="5" t="n">
        <v>7.1</v>
      </c>
      <c r="T406" s="2" t="n">
        <v>14</v>
      </c>
      <c r="U406" s="2" t="inlineStr">
        <is>
          <t>low</t>
        </is>
      </c>
      <c r="V406" s="5" t="n">
        <v>1</v>
      </c>
      <c r="W406" s="2" t="inlineStr">
        <is>
          <t>low</t>
        </is>
      </c>
      <c r="X406" s="3" t="inlineStr"/>
      <c r="Y406" s="3" t="inlineStr">
        <is>
          <t>0% of this dish's available carbohydrate comes from ingredients with a published, measured GI; the rest uses conventional placeholders (see Ingredients sheet)</t>
        </is>
      </c>
      <c r="Z406" s="2" t="n">
        <v>0</v>
      </c>
      <c r="AA406" s="3" t="inlineStr">
        <is>
          <t>gluten-free, low-carb, high-protein</t>
        </is>
      </c>
      <c r="AB406" s="3" t="inlineStr">
        <is>
          <t>1. Roast cauliflower florets with oil at 425°F 20 minutes.
2. Sear chicken pieces; add tomatoes and spinach.
3. Toss chicken, cauliflower and pesto; top with parmesan.</t>
        </is>
      </c>
      <c r="AC406" s="4" t="inlineStr">
        <is>
          <t>["Roast cauliflower florets with oil at 425°F 20 minutes.", "Sear chicken pieces; add tomatoes and spinach.", "Toss chicken, cauliflower and pesto; top with parmesan."]</t>
        </is>
      </c>
    </row>
    <row r="407" ht="96" customHeight="1">
      <c r="A407" s="2" t="inlineStr">
        <is>
          <t>DB-0406</t>
        </is>
      </c>
      <c r="B407" s="3" t="inlineStr">
        <is>
          <t>Chicken &amp; Veggie Kabobs with Chimichurri</t>
        </is>
      </c>
      <c r="C407" s="4" t="inlineStr">
        <is>
          <t>Poultry</t>
        </is>
      </c>
      <c r="D407" s="4" t="inlineStr">
        <is>
          <t>Argentinian</t>
        </is>
      </c>
      <c r="E407" s="2" t="n">
        <v>4</v>
      </c>
      <c r="F407" s="2" t="n">
        <v>20</v>
      </c>
      <c r="G407" s="2" t="n">
        <v>12</v>
      </c>
      <c r="H407" s="2" t="n">
        <v>32</v>
      </c>
      <c r="I407" s="4" t="inlineStr">
        <is>
          <t>chicken-and-veggie-kabobs-with-chimichurri.jpg</t>
        </is>
      </c>
      <c r="J407" s="3" t="inlineStr">
        <is>
          <t>Chicken &amp; Veggie Kabobs with Chimichurri, healthy food photography, plated, natural light</t>
        </is>
      </c>
      <c r="K407" s="4" t="inlineStr"/>
      <c r="L407" s="3" t="inlineStr">
        <is>
          <t>Chicken breast, skinless — 600 g (21.2 oz)
Zucchini — 250 g (8.8 oz)
Bell pepper — 200 g (7.1 oz)
Red onion — 100 g (3.5 oz)
Mushrooms (cremini/white) — 150 g (5.3 oz)
Fresh parsley — 30 g (1.1 oz)
Fresh cilantro — 10 g (0.4 oz)
Garlic — 8 g (0.3 oz)
Red wine vinegar — 15 g (0.5 oz)
Extra-virgin olive oil — 35 g (1.2 oz)
Dried oregano — 2 g (0.1 oz)
Red pepper flakes — 1 g (0.0 oz)
Salt — 3 g (0.1 oz)</t>
        </is>
      </c>
      <c r="M407" s="4" t="inlineStr">
        <is>
          <t>[{"ingredient_id": "chicken_breast", "name": "Chicken breast, skinless", "grams": 600.0, "note": ""}, {"ingredient_id": "zucchini", "name": "Zucchini", "grams": 250.0, "note": ""}, {"ingredient_id": "bell_pepper", "name": "Bell pepper", "grams": 200.0, "note": ""}, {"ingredient_id": "red_onion", "name": "Red onion", "grams": 100.0, "note": ""}, {"ingredient_id": "mushrooms", "name": "Mushrooms (cremini/white)", "grams": 150.0,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35.0, "note": ""}, {"ingredient_id": "oregano", "name": "Dried oregano", "grams": 2.0, "note": ""}, {"ingredient_id": "red_pepper_flakes", "name": "Red pepper flakes", "grams": 1.0, "note": ""}, {"ingredient_id": "salt", "name": "Salt", "grams": 3.0, "note": ""}]</t>
        </is>
      </c>
      <c r="N407" s="2" t="n">
        <v>311</v>
      </c>
      <c r="O407" s="5" t="n">
        <v>36.9</v>
      </c>
      <c r="P407" s="5" t="n">
        <v>13.3</v>
      </c>
      <c r="Q407" s="5" t="n">
        <v>10.2</v>
      </c>
      <c r="R407" s="5" t="n">
        <v>3.1</v>
      </c>
      <c r="S407" s="5" t="n">
        <v>7.1</v>
      </c>
      <c r="T407" s="2" t="n">
        <v>16</v>
      </c>
      <c r="U407" s="2" t="inlineStr">
        <is>
          <t>low</t>
        </is>
      </c>
      <c r="V407" s="5" t="n">
        <v>1.1</v>
      </c>
      <c r="W407" s="2" t="inlineStr">
        <is>
          <t>low</t>
        </is>
      </c>
      <c r="X407" s="3" t="inlineStr"/>
      <c r="Y407" s="3" t="inlineStr">
        <is>
          <t>0% of this dish's available carbohydrate comes from ingredients with a published, measured GI; the rest uses conventional placeholders (see Ingredients sheet)</t>
        </is>
      </c>
      <c r="Z407" s="2" t="n">
        <v>0</v>
      </c>
      <c r="AA407" s="3" t="inlineStr">
        <is>
          <t>gluten-free, dairy-free, nut-free, low-carb, high-protein</t>
        </is>
      </c>
      <c r="AB407" s="3" t="inlineStr">
        <is>
          <t>1. Thread chicken and vegetables onto skewers; brush with a third of the oil; season.
2. Grill 10–12 minutes, turning.
3. Blend remaining oil, herbs, garlic, vinegar, oregano, pepper flakes; spoon over.</t>
        </is>
      </c>
      <c r="AC407" s="4" t="inlineStr">
        <is>
          <t>["Thread chicken and vegetables onto skewers; brush with a third of the oil; season.", "Grill 10–12 minutes, turning.", "Blend remaining oil, herbs, garlic, vinegar, oregano, pepper flakes; spoon over."]</t>
        </is>
      </c>
    </row>
    <row r="408" ht="96" customHeight="1">
      <c r="A408" s="2" t="inlineStr">
        <is>
          <t>DB-0407</t>
        </is>
      </c>
      <c r="B408" s="3" t="inlineStr">
        <is>
          <t>Turkey Meatball Zucchini Skillet with Feta</t>
        </is>
      </c>
      <c r="C408" s="4" t="inlineStr">
        <is>
          <t>Poultry</t>
        </is>
      </c>
      <c r="D408" s="4" t="inlineStr">
        <is>
          <t>Greek</t>
        </is>
      </c>
      <c r="E408" s="2" t="n">
        <v>4</v>
      </c>
      <c r="F408" s="2" t="n">
        <v>15</v>
      </c>
      <c r="G408" s="2" t="n">
        <v>25</v>
      </c>
      <c r="H408" s="2" t="n">
        <v>40</v>
      </c>
      <c r="I408" s="4" t="inlineStr">
        <is>
          <t>turkey-meatball-zucchini-skillet-with-feta.jpg</t>
        </is>
      </c>
      <c r="J408" s="3" t="inlineStr">
        <is>
          <t>Turkey Meatball Zucchini Skillet with Feta, healthy food photography, plated, natural light</t>
        </is>
      </c>
      <c r="K408" s="4" t="inlineStr"/>
      <c r="L408" s="3" t="inlineStr">
        <is>
          <t>Ground turkey 93% lean — 600 g (21.2 oz)
Egg, large (50 g each) — 50 g (1.8 oz)
Almond flour — 30 g (1.1 oz)
Dried oregano — 3 g (0.1 oz)
Garlic — 6 g (0.2 oz)
Zucchini — 400 g (14.1 oz)
Cherry tomatoes — 250 g (8.8 oz)
Feta cheese — 60 g (2.1 oz)
Extra-virgin olive oil — 15 g (0.5 oz)
Lemon (with juice &amp; zest) — 30 g (1.1 oz)
Salt — 3 g (0.1 oz)</t>
        </is>
      </c>
      <c r="M408" s="4" t="inlineStr">
        <is>
          <t>[{"ingredient_id": "ground_turkey", "name": "Ground turkey 93% lean", "grams": 600.0, "note": ""}, {"ingredient_id": "egg", "name": "Egg, large (50 g each)", "grams": 50.0, "note": ""}, {"ingredient_id": "almond_flour", "name": "Almond flour", "grams": 30.0, "note": ""}, {"ingredient_id": "oregano", "name": "Dried oregano", "grams": 3.0, "note": ""}, {"ingredient_id": "garlic", "name": "Garlic", "grams": 6.0, "note": ""}, {"ingredient_id": "zucchini", "name": "Zucchini", "grams": 400.0, "note": ""}, {"ingredient_id": "cherry_tomato", "name": "Cherry tomatoes", "grams": 250.0, "note": ""}, {"ingredient_id": "feta", "name": "Feta cheese", "grams": 60.0, "note": ""}, {"ingredient_id": "olive_oil", "name": "Extra-virgin olive oil", "grams": 15.0, "note": ""}, {"ingredient_id": "lemon", "name": "Lemon (with juice &amp; zest)", "grams": 30.0, "note": ""}, {"ingredient_id": "salt", "name": "Salt", "grams": 3.0, "note": ""}]</t>
        </is>
      </c>
      <c r="N408" s="2" t="n">
        <v>395</v>
      </c>
      <c r="O408" s="5" t="n">
        <v>35.3</v>
      </c>
      <c r="P408" s="5" t="n">
        <v>24.3</v>
      </c>
      <c r="Q408" s="5" t="n">
        <v>9.5</v>
      </c>
      <c r="R408" s="5" t="n">
        <v>3.2</v>
      </c>
      <c r="S408" s="5" t="n">
        <v>6.3</v>
      </c>
      <c r="T408" s="2" t="n">
        <v>15</v>
      </c>
      <c r="U408" s="2" t="inlineStr">
        <is>
          <t>low</t>
        </is>
      </c>
      <c r="V408" s="5" t="n">
        <v>0.9</v>
      </c>
      <c r="W408" s="2" t="inlineStr">
        <is>
          <t>low</t>
        </is>
      </c>
      <c r="X408" s="3" t="inlineStr"/>
      <c r="Y408" s="3" t="inlineStr">
        <is>
          <t>0% of this dish's available carbohydrate comes from ingredients with a published, measured GI; the rest uses conventional placeholders (see Ingredients sheet)</t>
        </is>
      </c>
      <c r="Z408" s="2" t="n">
        <v>0</v>
      </c>
      <c r="AA408" s="3" t="inlineStr">
        <is>
          <t>gluten-free, low-carb, high-protein, one-pan</t>
        </is>
      </c>
      <c r="AB408" s="3" t="inlineStr">
        <is>
          <t>1. Mix turkey, egg, almond flour, oregano, garlic, salt; form meatballs; brown in oil.
2. Add zucchini and tomatoes; cover and cook 10 minutes.
3. Top with feta and lemon.</t>
        </is>
      </c>
      <c r="AC408" s="4" t="inlineStr">
        <is>
          <t>["Mix turkey, egg, almond flour, oregano, garlic, salt; form meatballs; brown in oil.", "Add zucchini and tomatoes; cover and cook 10 minutes.", "Top with feta and lemon."]</t>
        </is>
      </c>
    </row>
    <row r="409" ht="96" customHeight="1">
      <c r="A409" s="2" t="inlineStr">
        <is>
          <t>DB-0408</t>
        </is>
      </c>
      <c r="B409" s="3" t="inlineStr">
        <is>
          <t>Chicken Chow Mein (Shirataki)</t>
        </is>
      </c>
      <c r="C409" s="4" t="inlineStr">
        <is>
          <t>Poultry</t>
        </is>
      </c>
      <c r="D409" s="4" t="inlineStr">
        <is>
          <t>Chinese-American</t>
        </is>
      </c>
      <c r="E409" s="2" t="n">
        <v>3</v>
      </c>
      <c r="F409" s="2" t="n">
        <v>10</v>
      </c>
      <c r="G409" s="2" t="n">
        <v>15</v>
      </c>
      <c r="H409" s="2" t="n">
        <v>25</v>
      </c>
      <c r="I409" s="4" t="inlineStr">
        <is>
          <t>chicken-chow-mein-shirataki.jpg</t>
        </is>
      </c>
      <c r="J409" s="3" t="inlineStr">
        <is>
          <t>Chicken Chow Mein (Shirataki), healthy food photography, plated, natural light</t>
        </is>
      </c>
      <c r="K409" s="4" t="inlineStr"/>
      <c r="L409" s="3" t="inlineStr">
        <is>
          <t>Chicken breast, skinless — 450 g (15.9 oz)
Shirataki noodles — 400 g (14.1 oz)
Green cabbage — 200 g (7.1 oz)
Carrot — 80 g (2.8 oz)
Celery — 80 g (2.8 oz)
Mung bean sprouts — 100 g (3.5 oz)
Garlic — 6 g (0.2 oz)
Fresh ginger — 6 g (0.2 oz)
Tamari (gluten-free soy sauce) — 30 g (1.1 oz)
Toasted sesame oil — 8 g (0.3 oz)
Avocado oil — 12 g (0.4 oz)
Green onions (scallions) — 20 g (0.7 oz)</t>
        </is>
      </c>
      <c r="M409" s="4" t="inlineStr">
        <is>
          <t>[{"ingredient_id": "chicken_breast", "name": "Chicken breast, skinless", "grams": 450.0, "note": ""}, {"ingredient_id": "shirataki", "name": "Shirataki noodles", "grams": 400.0, "note": ""}, {"ingredient_id": "cabbage", "name": "Green cabbage", "grams": 200.0, "note": ""}, {"ingredient_id": "carrot", "name": "Carrot", "grams": 80.0, "note": ""}, {"ingredient_id": "celery", "name": "Celery", "grams": 80.0, "note": ""}, {"ingredient_id": "bean_sprouts", "name": "Mung bean sprouts", "grams": 100.0, "note": ""}, {"ingredient_id": "garlic", "name": "Garlic", "grams": 6.0, "note": ""}, {"ingredient_id": "ginger", "name": "Fresh ginger", "grams": 6.0, "note": ""}, {"ingredient_id": "tamari", "name": "Tamari (gluten-free soy sauce)", "grams": 30.0, "note": ""}, {"ingredient_id": "sesame_oil", "name": "Toasted sesame oil", "grams": 8.0, "note": ""}, {"ingredient_id": "avocado_oil", "name": "Avocado oil", "grams": 12.0, "note": ""}, {"ingredient_id": "green_onion", "name": "Green onions (scallions)", "grams": 20.0, "note": ""}]</t>
        </is>
      </c>
      <c r="N409" s="2" t="n">
        <v>307</v>
      </c>
      <c r="O409" s="5" t="n">
        <v>37.3</v>
      </c>
      <c r="P409" s="5" t="n">
        <v>10.8</v>
      </c>
      <c r="Q409" s="5" t="n">
        <v>15.2</v>
      </c>
      <c r="R409" s="5" t="n">
        <v>7.8</v>
      </c>
      <c r="S409" s="5" t="n">
        <v>7.5</v>
      </c>
      <c r="T409" s="2" t="n">
        <v>22</v>
      </c>
      <c r="U409" s="2" t="inlineStr">
        <is>
          <t>low</t>
        </is>
      </c>
      <c r="V409" s="5" t="n">
        <v>1.6</v>
      </c>
      <c r="W409" s="2" t="inlineStr">
        <is>
          <t>low</t>
        </is>
      </c>
      <c r="X409" s="3" t="inlineStr"/>
      <c r="Y409" s="3" t="inlineStr">
        <is>
          <t>24% of this dish's available carbohydrate comes from ingredients with a published, measured GI; the rest uses conventional placeholders (see Ingredients sheet)</t>
        </is>
      </c>
      <c r="Z409" s="2" t="n">
        <v>24</v>
      </c>
      <c r="AA409" s="3" t="inlineStr">
        <is>
          <t>gluten-free, dairy-free, nut-free, low-carb, high-protein, high-fiber</t>
        </is>
      </c>
      <c r="AB409" s="3" t="inlineStr">
        <is>
          <t>1. Rinse and dry-fry shirataki 3 minutes; set aside.
2. Stir-fry chicken in oil; add garlic, ginger, cabbage, carrot, celery 4 minutes.
3. Add noodles, sprouts, tamari, sesame oil; toss; top green onion.</t>
        </is>
      </c>
      <c r="AC409" s="4" t="inlineStr">
        <is>
          <t>["Rinse and dry-fry shirataki 3 minutes; set aside.", "Stir-fry chicken in oil; add garlic, ginger, cabbage, carrot, celery 4 minutes.", "Add noodles, sprouts, tamari, sesame oil; toss; top green onion."]</t>
        </is>
      </c>
    </row>
    <row r="410" ht="96" customHeight="1">
      <c r="A410" s="2" t="inlineStr">
        <is>
          <t>DB-0409</t>
        </is>
      </c>
      <c r="B410" s="3" t="inlineStr">
        <is>
          <t>Chicken Spinach Artichoke Casserole</t>
        </is>
      </c>
      <c r="C410" s="4" t="inlineStr">
        <is>
          <t>Poultry</t>
        </is>
      </c>
      <c r="D410" s="4" t="inlineStr">
        <is>
          <t>American</t>
        </is>
      </c>
      <c r="E410" s="2" t="n">
        <v>6</v>
      </c>
      <c r="F410" s="2" t="n">
        <v>15</v>
      </c>
      <c r="G410" s="2" t="n">
        <v>30</v>
      </c>
      <c r="H410" s="2" t="n">
        <v>45</v>
      </c>
      <c r="I410" s="4" t="inlineStr">
        <is>
          <t>chicken-spinach-artichoke-casserole.jpg</t>
        </is>
      </c>
      <c r="J410" s="3" t="inlineStr">
        <is>
          <t>Chicken Spinach Artichoke Casserole, healthy food photography, plated, natural light</t>
        </is>
      </c>
      <c r="K410" s="4" t="inlineStr"/>
      <c r="L410" s="3" t="inlineStr">
        <is>
          <t>Chicken breast, skinless — 700 g (24.7 oz)
Spinach — 300 g (10.6 oz)
Artichoke hearts, canned in water — 300 g (10.6 oz)
Cream cheese — 80 g (2.8 oz)
Greek yogurt, plain 2% — 150 g (5.3 oz)
Mozzarella, part-skim — 120 g (4.2 oz)
Parmesan, grated — 40 g (1.4 oz)
Garlic — 8 g (0.3 oz)
Extra-virgin olive oil — 10 g (0.4 oz)
Salt — 3 g (0.1 oz)</t>
        </is>
      </c>
      <c r="M410" s="4" t="inlineStr">
        <is>
          <t>[{"ingredient_id": "chicken_breast", "name": "Chicken breast, skinless", "grams": 700.0, "note": ""}, {"ingredient_id": "spinach", "name": "Spinach", "grams": 300.0, "note": ""}, {"ingredient_id": "artichoke_hearts", "name": "Artichoke hearts, canned in water", "grams": 300.0, "note": ""}, {"ingredient_id": "cream_cheese", "name": "Cream cheese", "grams": 80.0, "note": ""}, {"ingredient_id": "greek_yogurt", "name": "Greek yogurt, plain 2%", "grams": 150.0, "note": ""}, {"ingredient_id": "mozzarella", "name": "Mozzarella, part-skim", "grams": 120.0, "note": ""}, {"ingredient_id": "parmesan", "name": "Parmesan, grated", "grams": 40.0, "note": ""}, {"ingredient_id": "garlic", "name": "Garlic", "grams": 8.0, "note": ""}, {"ingredient_id": "olive_oil", "name": "Extra-virgin olive oil", "grams": 10.0, "note": ""}, {"ingredient_id": "salt", "name": "Salt", "grams": 3.0, "note": ""}]</t>
        </is>
      </c>
      <c r="N410" s="2" t="n">
        <v>335</v>
      </c>
      <c r="O410" s="5" t="n">
        <v>40.1</v>
      </c>
      <c r="P410" s="5" t="n">
        <v>15.2</v>
      </c>
      <c r="Q410" s="5" t="n">
        <v>9.9</v>
      </c>
      <c r="R410" s="5" t="n">
        <v>3.8</v>
      </c>
      <c r="S410" s="5" t="n">
        <v>6.1</v>
      </c>
      <c r="T410" s="2" t="n">
        <v>12</v>
      </c>
      <c r="U410" s="2" t="inlineStr">
        <is>
          <t>low</t>
        </is>
      </c>
      <c r="V410" s="5" t="n">
        <v>0.7</v>
      </c>
      <c r="W410" s="2" t="inlineStr">
        <is>
          <t>low</t>
        </is>
      </c>
      <c r="X410" s="3" t="inlineStr"/>
      <c r="Y410" s="3" t="inlineStr">
        <is>
          <t>16% of this dish's available carbohydrate comes from ingredients with a published, measured GI; the rest uses conventional placeholders (see Ingredients sheet)</t>
        </is>
      </c>
      <c r="Z410" s="2" t="n">
        <v>16</v>
      </c>
      <c r="AA410" s="3" t="inlineStr">
        <is>
          <t>gluten-free, nut-free, low-carb, high-protein, make-ahead</t>
        </is>
      </c>
      <c r="AB410" s="3" t="inlineStr">
        <is>
          <t>1. Cook and dice chicken; wilt spinach with garlic.
2. Mix cream cheese, yogurt, parmesan; fold in chicken, spinach, artichokes.
3. Top with mozzarella; bake at 375°F 20 minutes.</t>
        </is>
      </c>
      <c r="AC410" s="4" t="inlineStr">
        <is>
          <t>["Cook and dice chicken; wilt spinach with garlic.", "Mix cream cheese, yogurt, parmesan; fold in chicken, spinach, artichokes.", "Top with mozzarella; bake at 375°F 20 minutes."]</t>
        </is>
      </c>
    </row>
    <row r="411" ht="96" customHeight="1">
      <c r="A411" s="2" t="inlineStr">
        <is>
          <t>DB-0410</t>
        </is>
      </c>
      <c r="B411" s="3" t="inlineStr">
        <is>
          <t>Whole Roasted Turkey Breast with Herb Rub</t>
        </is>
      </c>
      <c r="C411" s="4" t="inlineStr">
        <is>
          <t>Poultry</t>
        </is>
      </c>
      <c r="D411" s="4" t="inlineStr">
        <is>
          <t>American</t>
        </is>
      </c>
      <c r="E411" s="2" t="n">
        <v>8</v>
      </c>
      <c r="F411" s="2" t="n">
        <v>15</v>
      </c>
      <c r="G411" s="2" t="n">
        <v>90</v>
      </c>
      <c r="H411" s="2" t="n">
        <v>105</v>
      </c>
      <c r="I411" s="4" t="inlineStr">
        <is>
          <t>whole-roasted-turkey-breast-with-herb-rub.jpg</t>
        </is>
      </c>
      <c r="J411" s="3" t="inlineStr">
        <is>
          <t>Whole Roasted Turkey Breast with Herb Rub, healthy food photography, plated, natural light</t>
        </is>
      </c>
      <c r="K411" s="4" t="inlineStr"/>
      <c r="L411" s="3" t="inlineStr">
        <is>
          <t>Turkey breast, skinless — 1600 g (56.4 oz)
Extra-virgin olive oil — 30 g (1.1 oz)
Garlic — 12 g (0.4 oz)
Fresh rosemary — 4 g (0.1 oz)
Fresh thyme — 4 g (0.1 oz)
Fresh sage — 3 g (0.1 oz)
Lemon (with juice &amp; zest) — 60 g (2.1 oz)
Chicken broth, low sodium — 200 g (7.1 oz)
Green beans — 600 g (21.2 oz)
Salt — 6 g (0.2 oz)</t>
        </is>
      </c>
      <c r="M411" s="4" t="inlineStr">
        <is>
          <t>[{"ingredient_id": "turkey_breast", "name": "Turkey breast, skinless", "grams": 1600.0, "note": ""}, {"ingredient_id": "olive_oil", "name": "Extra-virgin olive oil", "grams": 30.0, "note": ""}, {"ingredient_id": "garlic", "name": "Garlic", "grams": 12.0, "note": ""}, {"ingredient_id": "rosemary", "name": "Fresh rosemary", "grams": 4.0, "note": ""}, {"ingredient_id": "thyme", "name": "Fresh thyme", "grams": 4.0, "note": ""}, {"ingredient_id": "sage", "name": "Fresh sage", "grams": 3.0, "note": ""}, {"ingredient_id": "lemon", "name": "Lemon (with juice &amp; zest)", "grams": 60.0, "note": ""}, {"ingredient_id": "chicken_broth", "name": "Chicken broth, low sodium", "grams": 200.0, "note": ""}, {"ingredient_id": "green_beans", "name": "Green beans", "grams": 600.0, "note": ""}, {"ingredient_id": "salt", "name": "Salt", "grams": 6.0, "note": ""}]</t>
        </is>
      </c>
      <c r="N411" s="2" t="n">
        <v>285</v>
      </c>
      <c r="O411" s="5" t="n">
        <v>49.9</v>
      </c>
      <c r="P411" s="5" t="n">
        <v>6.1</v>
      </c>
      <c r="Q411" s="5" t="n">
        <v>7</v>
      </c>
      <c r="R411" s="5" t="n">
        <v>2.6</v>
      </c>
      <c r="S411" s="5" t="n">
        <v>4.5</v>
      </c>
      <c r="T411" s="2" t="n">
        <v>17</v>
      </c>
      <c r="U411" s="2" t="inlineStr">
        <is>
          <t>low</t>
        </is>
      </c>
      <c r="V411" s="5" t="n">
        <v>0.8</v>
      </c>
      <c r="W411" s="2" t="inlineStr">
        <is>
          <t>low</t>
        </is>
      </c>
      <c r="X411" s="3" t="inlineStr">
        <is>
          <t>Negligible carbohydrate (&lt;5 g net/serving): GI has little practical meaning, glycemic load is what matters.</t>
        </is>
      </c>
      <c r="Y411" s="3" t="inlineStr">
        <is>
          <t>0% of this dish's available carbohydrate comes from ingredients with a published, measured GI; the rest uses conventional placeholders (see Ingredients sheet)</t>
        </is>
      </c>
      <c r="Z411" s="2" t="n">
        <v>0</v>
      </c>
      <c r="AA411" s="3" t="inlineStr">
        <is>
          <t>gluten-free, dairy-free, nut-free, low-carb, high-protein, meal-prep</t>
        </is>
      </c>
      <c r="AB411" s="3" t="inlineStr">
        <is>
          <t>1. Rub turkey with oil, garlic, herbs, lemon zest and salt.
2. Roast at 350°F with broth in the pan 80–90 minutes to 165°F, basting.
3. Rest 15 minutes; slice; serve with green beans.</t>
        </is>
      </c>
      <c r="AC411" s="4" t="inlineStr">
        <is>
          <t>["Rub turkey with oil, garlic, herbs, lemon zest and salt.", "Roast at 350°F with broth in the pan 80–90 minutes to 165°F, basting.", "Rest 15 minutes; slice; serve with green beans."]</t>
        </is>
      </c>
    </row>
    <row r="412" ht="96" customHeight="1">
      <c r="A412" s="2" t="inlineStr">
        <is>
          <t>DB-0411</t>
        </is>
      </c>
      <c r="B412" s="3" t="inlineStr">
        <is>
          <t>Chicken Pesto Stuffed Zucchini</t>
        </is>
      </c>
      <c r="C412" s="4" t="inlineStr">
        <is>
          <t>Poultry</t>
        </is>
      </c>
      <c r="D412" s="4" t="inlineStr">
        <is>
          <t>Italian</t>
        </is>
      </c>
      <c r="E412" s="2" t="n">
        <v>4</v>
      </c>
      <c r="F412" s="2" t="n">
        <v>15</v>
      </c>
      <c r="G412" s="2" t="n">
        <v>30</v>
      </c>
      <c r="H412" s="2" t="n">
        <v>45</v>
      </c>
      <c r="I412" s="4" t="inlineStr">
        <is>
          <t>chicken-pesto-stuffed-zucchini.jpg</t>
        </is>
      </c>
      <c r="J412" s="3" t="inlineStr">
        <is>
          <t>Chicken Pesto Stuffed Zucchini, healthy food photography, plated, natural light</t>
        </is>
      </c>
      <c r="K412" s="4" t="inlineStr"/>
      <c r="L412" s="3" t="inlineStr">
        <is>
          <t>Zucchini — 800 g (28.2 oz) [4 medium]
Rotisserie chicken, skin removed — 400 g (14.1 oz)
Basil pesto — 50 g (1.8 oz)
Ricotta, part-skim — 120 g (4.2 oz)
Cherry tomatoes — 150 g (5.3 oz)
Mozzarella, part-skim — 80 g (2.8 oz)
Parmesan, grated — 20 g (0.7 oz)</t>
        </is>
      </c>
      <c r="M412" s="4" t="inlineStr">
        <is>
          <t>[{"ingredient_id": "zucchini", "name": "Zucchini", "grams": 800.0, "note": "4 medium"}, {"ingredient_id": "rotisserie_chicken", "name": "Rotisserie chicken, skin removed", "grams": 400.0, "note": ""}, {"ingredient_id": "pesto", "name": "Basil pesto", "grams": 50.0, "note": ""}, {"ingredient_id": "ricotta", "name": "Ricotta, part-skim", "grams": 120.0, "note": ""}, {"ingredient_id": "cherry_tomato", "name": "Cherry tomatoes", "grams": 150.0, "note": ""}, {"ingredient_id": "mozzarella", "name": "Mozzarella, part-skim", "grams": 80.0, "note": ""}, {"ingredient_id": "parmesan", "name": "Parmesan, grated", "grams": 20.0, "note": ""}]</t>
        </is>
      </c>
      <c r="N412" s="2" t="n">
        <v>364</v>
      </c>
      <c r="O412" s="5" t="n">
        <v>36.4</v>
      </c>
      <c r="P412" s="5" t="n">
        <v>19.7</v>
      </c>
      <c r="Q412" s="5" t="n">
        <v>10.7</v>
      </c>
      <c r="R412" s="5" t="n">
        <v>2.7</v>
      </c>
      <c r="S412" s="5" t="n">
        <v>8</v>
      </c>
      <c r="T412" s="2" t="n">
        <v>14</v>
      </c>
      <c r="U412" s="2" t="inlineStr">
        <is>
          <t>low</t>
        </is>
      </c>
      <c r="V412" s="5" t="n">
        <v>1.1</v>
      </c>
      <c r="W412" s="2" t="inlineStr">
        <is>
          <t>low</t>
        </is>
      </c>
      <c r="X412" s="3" t="inlineStr"/>
      <c r="Y412" s="3" t="inlineStr">
        <is>
          <t>0% of this dish's available carbohydrate comes from ingredients with a published, measured GI; the rest uses conventional placeholders (see Ingredients sheet)</t>
        </is>
      </c>
      <c r="Z412" s="2" t="n">
        <v>0</v>
      </c>
      <c r="AA412" s="3" t="inlineStr">
        <is>
          <t>gluten-free, low-carb, high-protein</t>
        </is>
      </c>
      <c r="AB412" s="3" t="inlineStr">
        <is>
          <t>1. Halve zucchini and scoop centers.
2. Mix chicken, pesto, ricotta and chopped tomato; fill boats.
3. Top with cheeses; bake at 400°F 25 minutes.</t>
        </is>
      </c>
      <c r="AC412" s="4" t="inlineStr">
        <is>
          <t>["Halve zucchini and scoop centers.", "Mix chicken, pesto, ricotta and chopped tomato; fill boats.", "Top with cheeses; bake at 400°F 25 minutes."]</t>
        </is>
      </c>
    </row>
    <row r="413" ht="96" customHeight="1">
      <c r="A413" s="2" t="inlineStr">
        <is>
          <t>DB-0412</t>
        </is>
      </c>
      <c r="B413" s="3" t="inlineStr">
        <is>
          <t>Coq au Vin (Lightened)</t>
        </is>
      </c>
      <c r="C413" s="4" t="inlineStr">
        <is>
          <t>Poultry</t>
        </is>
      </c>
      <c r="D413" s="4" t="inlineStr">
        <is>
          <t>French</t>
        </is>
      </c>
      <c r="E413" s="2" t="n">
        <v>4</v>
      </c>
      <c r="F413" s="2" t="n">
        <v>15</v>
      </c>
      <c r="G413" s="2" t="n">
        <v>60</v>
      </c>
      <c r="H413" s="2" t="n">
        <v>75</v>
      </c>
      <c r="I413" s="4" t="inlineStr">
        <is>
          <t>coq-au-vin-lightened.jpg</t>
        </is>
      </c>
      <c r="J413" s="3" t="inlineStr">
        <is>
          <t>Coq au Vin (Lightened), healthy food photography, plated, natural light</t>
        </is>
      </c>
      <c r="K413" s="4" t="inlineStr"/>
      <c r="L413" s="3" t="inlineStr">
        <is>
          <t>Chicken thigh, skinless boneless — 800 g (28.2 oz)
Dry red wine (cooking) — 250 g (8.8 oz)
Chicken broth, low sodium — 250 g (8.8 oz)
Mushrooms (cremini/white) — 300 g (10.6 oz)
Yellow onion — 150 g (5.3 oz)
Carrot — 150 g (5.3 oz)
Garlic — 8 g (0.3 oz)
Turkey bacon — 60 g (2.1 oz)
Tomato paste — 20 g (0.7 oz)
Fresh thyme — 3 g (0.1 oz)
Bay leaves — 1 g (0.0 oz)
Extra-virgin olive oil — 15 g (0.5 oz)
Salt — 3 g (0.1 oz)</t>
        </is>
      </c>
      <c r="M413" s="4" t="inlineStr">
        <is>
          <t>[{"ingredient_id": "chicken_thigh", "name": "Chicken thigh, skinless boneless", "grams": 800.0, "note": ""}, {"ingredient_id": "red_wine", "name": "Dry red wine (cooking)", "grams": 250.0, "note": ""}, {"ingredient_id": "chicken_broth", "name": "Chicken broth, low sodium", "grams": 250.0, "note": ""}, {"ingredient_id": "mushrooms", "name": "Mushrooms (cremini/white)", "grams": 300.0, "note": ""}, {"ingredient_id": "onion", "name": "Yellow onion", "grams": 150.0, "note": ""}, {"ingredient_id": "carrot", "name": "Carrot", "grams": 150.0, "note": ""}, {"ingredient_id": "garlic", "name": "Garlic", "grams": 8.0, "note": ""}, {"ingredient_id": "turkey_bacon", "name": "Turkey bacon", "grams": 60.0, "note": ""}, {"ingredient_id": "tomato_paste", "name": "Tomato paste", "grams": 20.0, "note": ""}, {"ingredient_id": "thyme", "name": "Fresh thyme", "grams": 3.0, "note": ""}, {"ingredient_id": "bay_leaf", "name": "Bay leaves", "grams": 1.0, "note": ""}, {"ingredient_id": "olive_oil", "name": "Extra-virgin olive oil", "grams": 15.0, "note": ""}, {"ingredient_id": "salt", "name": "Salt", "grams": 3.0, "note": ""}]</t>
        </is>
      </c>
      <c r="N413" s="2" t="n">
        <v>421</v>
      </c>
      <c r="O413" s="5" t="n">
        <v>46.2</v>
      </c>
      <c r="P413" s="5" t="n">
        <v>14.7</v>
      </c>
      <c r="Q413" s="5" t="n">
        <v>13.8</v>
      </c>
      <c r="R413" s="5" t="n">
        <v>2.8</v>
      </c>
      <c r="S413" s="5" t="n">
        <v>10.9</v>
      </c>
      <c r="T413" s="2" t="n">
        <v>20</v>
      </c>
      <c r="U413" s="2" t="inlineStr">
        <is>
          <t>low</t>
        </is>
      </c>
      <c r="V413" s="5" t="n">
        <v>2.2</v>
      </c>
      <c r="W413" s="2" t="inlineStr">
        <is>
          <t>low</t>
        </is>
      </c>
      <c r="X413" s="3" t="inlineStr"/>
      <c r="Y413" s="3" t="inlineStr">
        <is>
          <t>23% of this dish's available carbohydrate comes from ingredients with a published, measured GI; the rest uses conventional placeholders (see Ingredients sheet)</t>
        </is>
      </c>
      <c r="Z413" s="2" t="n">
        <v>23</v>
      </c>
      <c r="AA413" s="3" t="inlineStr">
        <is>
          <t>gluten-free, dairy-free, nut-free, low-carb, high-protein, make-ahead</t>
        </is>
      </c>
      <c r="AB413" s="3" t="inlineStr">
        <is>
          <t>1. Brown chicken and bacon in oil; remove. Sauté onion, carrot, mushrooms, garlic; add tomato paste.
2. Add wine, broth, thyme, bay; return chicken; simmer covered 45 minutes.
3. Uncover last 10 minutes to reduce; serve with cauliflower mash.</t>
        </is>
      </c>
      <c r="AC413" s="4" t="inlineStr">
        <is>
          <t>["Brown chicken and bacon in oil; remove. Sauté onion, carrot, mushrooms, garlic; add tomato paste.", "Add wine, broth, thyme, bay; return chicken; simmer covered 45 minutes.", "Uncover last 10 minutes to reduce; serve with cauliflower mash."]</t>
        </is>
      </c>
    </row>
    <row r="414" ht="96" customHeight="1">
      <c r="A414" s="2" t="inlineStr">
        <is>
          <t>DB-0413</t>
        </is>
      </c>
      <c r="B414" s="3" t="inlineStr">
        <is>
          <t>Sesame Chicken (No-Sugar Glaze)</t>
        </is>
      </c>
      <c r="C414" s="4" t="inlineStr">
        <is>
          <t>Poultry</t>
        </is>
      </c>
      <c r="D414" s="4" t="inlineStr">
        <is>
          <t>Chinese-American</t>
        </is>
      </c>
      <c r="E414" s="2" t="n">
        <v>4</v>
      </c>
      <c r="F414" s="2" t="n">
        <v>10</v>
      </c>
      <c r="G414" s="2" t="n">
        <v>15</v>
      </c>
      <c r="H414" s="2" t="n">
        <v>25</v>
      </c>
      <c r="I414" s="4" t="inlineStr">
        <is>
          <t>sesame-chicken-no-sugar-glaze.jpg</t>
        </is>
      </c>
      <c r="J414" s="3" t="inlineStr">
        <is>
          <t>Sesame Chicken (No-Sugar Glaze), healthy food photography, plated, natural light</t>
        </is>
      </c>
      <c r="K414" s="4" t="inlineStr"/>
      <c r="L414" s="3" t="inlineStr">
        <is>
          <t>Chicken thigh, skinless boneless — 650 g (22.9 oz)
Tamari (gluten-free soy sauce) — 35 g (1.2 oz)
Rice vinegar, unseasoned — 20 g (0.7 oz)
Garlic — 8 g (0.3 oz)
Fresh ginger — 8 g (0.3 oz)
Monk fruit/erythritol sweetener — 10 g (0.4 oz)
Toasted sesame oil — 8 g (0.3 oz)
Arrowroot starch — 5 g (0.2 oz)
Sesame seeds — 10 g (0.4 oz)
Broccoli — 500 g (17.6 oz)
Avocado oil — 12 g (0.4 oz)
Green onions (scallions) — 15 g (0.5 oz)</t>
        </is>
      </c>
      <c r="M414" s="4" t="inlineStr">
        <is>
          <t>[{"ingredient_id": "chicken_thigh", "name": "Chicken thigh, skinless boneless", "grams": 650.0, "note": ""}, {"ingredient_id": "tamari", "name": "Tamari (gluten-free soy sauce)", "grams": 35.0, "note": ""}, {"ingredient_id": "rice_vinegar", "name": "Rice vinegar, unseasoned", "grams": 20.0, "note": ""}, {"ingredient_id": "garlic", "name": "Garlic", "grams": 8.0, "note": ""}, {"ingredient_id": "ginger", "name": "Fresh ginger", "grams": 8.0, "note": ""}, {"ingredient_id": "monk_fruit_sweetener", "name": "Monk fruit/erythritol sweetener", "grams": 10.0, "note": ""}, {"ingredient_id": "sesame_oil", "name": "Toasted sesame oil", "grams": 8.0, "note": ""}, {"ingredient_id": "arrowroot", "name": "Arrowroot starch", "grams": 5.0, "note": ""}, {"ingredient_id": "sesame_seeds", "name": "Sesame seeds", "grams": 10.0, "note": ""}, {"ingredient_id": "broccoli", "name": "Broccoli", "grams": 500.0, "note": ""}, {"ingredient_id": "avocado_oil", "name": "Avocado oil", "grams": 12.0, "note": ""}, {"ingredient_id": "green_onion", "name": "Green onions (scallions)", "grams": 15.0, "note": ""}]</t>
        </is>
      </c>
      <c r="N414" s="2" t="n">
        <v>314</v>
      </c>
      <c r="O414" s="5" t="n">
        <v>37.1</v>
      </c>
      <c r="P414" s="5" t="n">
        <v>13.4</v>
      </c>
      <c r="Q414" s="5" t="n">
        <v>11.7</v>
      </c>
      <c r="R414" s="5" t="n">
        <v>3.8</v>
      </c>
      <c r="S414" s="5" t="n">
        <v>7.8</v>
      </c>
      <c r="T414" s="2" t="n">
        <v>24</v>
      </c>
      <c r="U414" s="2" t="inlineStr">
        <is>
          <t>low</t>
        </is>
      </c>
      <c r="V414" s="5" t="n">
        <v>1.9</v>
      </c>
      <c r="W414" s="2" t="inlineStr">
        <is>
          <t>low</t>
        </is>
      </c>
      <c r="X414" s="3" t="inlineStr"/>
      <c r="Y414" s="3" t="inlineStr">
        <is>
          <t>13% of this dish's available carbohydrate comes from ingredients with a published, measured GI; the rest uses conventional placeholders (see Ingredients sheet)</t>
        </is>
      </c>
      <c r="Z414" s="2" t="n">
        <v>13</v>
      </c>
      <c r="AA414" s="3" t="inlineStr">
        <is>
          <t>gluten-free, dairy-free, nut-free, low-carb, high-protein</t>
        </is>
      </c>
      <c r="AB414" s="3" t="inlineStr">
        <is>
          <t>1. Sear chicken pieces in avocado oil until golden.
2. Add tamari, vinegar, garlic, ginger, sweetener and arrowroot slurry; simmer until glossy; add sesame oil.
3. Top with sesame seeds and green onion; serve with steamed broccoli.</t>
        </is>
      </c>
      <c r="AC414" s="4" t="inlineStr">
        <is>
          <t>["Sear chicken pieces in avocado oil until golden.", "Add tamari, vinegar, garlic, ginger, sweetener and arrowroot slurry; simmer until glossy; add sesame oil.", "Top with sesame seeds and green onion; serve with steamed broccoli."]</t>
        </is>
      </c>
    </row>
    <row r="415" ht="96" customHeight="1">
      <c r="A415" s="2" t="inlineStr">
        <is>
          <t>DB-0414</t>
        </is>
      </c>
      <c r="B415" s="3" t="inlineStr">
        <is>
          <t>Crustless Chicken Pot Pie Skillet</t>
        </is>
      </c>
      <c r="C415" s="4" t="inlineStr">
        <is>
          <t>Poultry</t>
        </is>
      </c>
      <c r="D415" s="4" t="inlineStr">
        <is>
          <t>American</t>
        </is>
      </c>
      <c r="E415" s="2" t="n">
        <v>5</v>
      </c>
      <c r="F415" s="2" t="n">
        <v>15</v>
      </c>
      <c r="G415" s="2" t="n">
        <v>30</v>
      </c>
      <c r="H415" s="2" t="n">
        <v>45</v>
      </c>
      <c r="I415" s="4" t="inlineStr">
        <is>
          <t>crustless-chicken-pot-pie-skillet.jpg</t>
        </is>
      </c>
      <c r="J415" s="3" t="inlineStr">
        <is>
          <t>Crustless Chicken Pot Pie Skillet, healthy food photography, plated, natural light</t>
        </is>
      </c>
      <c r="K415" s="4" t="inlineStr"/>
      <c r="L415" s="3" t="inlineStr">
        <is>
          <t>Chicken breast, skinless — 600 g (21.2 oz)
Carrot — 150 g (5.3 oz)
Celery — 120 g (4.2 oz)
Yellow onion — 100 g (3.5 oz)
Green peas — 120 g (4.2 oz)
Mushrooms (cremini/white) — 150 g (5.3 oz)
Cauliflower — 300 g (10.6 oz)
Chicken broth, low sodium — 500 g (17.6 oz)
Milk, 2% — 150 g (5.3 oz)
Fresh thyme — 3 g (0.1 oz)
Extra-virgin olive oil — 15 g (0.5 oz)
Almond flour — 20 g (0.7 oz)
Parmesan, grated — 30 g (1.1 oz)
Salt — 3 g (0.1 oz)</t>
        </is>
      </c>
      <c r="M415" s="4" t="inlineStr">
        <is>
          <t>[{"ingredient_id": "chicken_breast", "name": "Chicken breast, skinless", "grams": 600.0, "note": ""}, {"ingredient_id": "carrot", "name": "Carrot", "grams": 150.0, "note": ""}, {"ingredient_id": "celery", "name": "Celery", "grams": 120.0, "note": ""}, {"ingredient_id": "onion", "name": "Yellow onion", "grams": 100.0, "note": ""}, {"ingredient_id": "green_peas", "name": "Green peas", "grams": 120.0, "note": ""}, {"ingredient_id": "mushrooms", "name": "Mushrooms (cremini/white)", "grams": 150.0, "note": ""}, {"ingredient_id": "cauliflower", "name": "Cauliflower", "grams": 300.0, "note": ""}, {"ingredient_id": "chicken_broth", "name": "Chicken broth, low sodium", "grams": 500.0, "note": ""}, {"ingredient_id": "milk", "name": "Milk, 2%", "grams": 150.0, "note": ""}, {"ingredient_id": "thyme", "name": "Fresh thyme", "grams": 3.0, "note": ""}, {"ingredient_id": "olive_oil", "name": "Extra-virgin olive oil", "grams": 15.0, "note": ""}, {"ingredient_id": "almond_flour", "name": "Almond flour", "grams": 20.0, "note": ""}, {"ingredient_id": "parmesan", "name": "Parmesan, grated", "grams": 30.0, "note": ""}, {"ingredient_id": "salt", "name": "Salt", "grams": 3.0, "note": ""}]</t>
        </is>
      </c>
      <c r="N415" s="2" t="n">
        <v>308</v>
      </c>
      <c r="O415" s="5" t="n">
        <v>36.2</v>
      </c>
      <c r="P415" s="5" t="n">
        <v>11.2</v>
      </c>
      <c r="Q415" s="5" t="n">
        <v>16</v>
      </c>
      <c r="R415" s="5" t="n">
        <v>5</v>
      </c>
      <c r="S415" s="5" t="n">
        <v>11</v>
      </c>
      <c r="T415" s="2" t="n">
        <v>24</v>
      </c>
      <c r="U415" s="2" t="inlineStr">
        <is>
          <t>low</t>
        </is>
      </c>
      <c r="V415" s="5" t="n">
        <v>2.6</v>
      </c>
      <c r="W415" s="2" t="inlineStr">
        <is>
          <t>low</t>
        </is>
      </c>
      <c r="X415" s="3" t="inlineStr"/>
      <c r="Y415" s="3" t="inlineStr">
        <is>
          <t>50% of this dish's available carbohydrate comes from ingredients with a published, measured GI; the rest uses conventional placeholders (see Ingredients sheet)</t>
        </is>
      </c>
      <c r="Z415" s="2" t="n">
        <v>50</v>
      </c>
      <c r="AA415" s="3" t="inlineStr">
        <is>
          <t>gluten-free, low-carb, high-protein</t>
        </is>
      </c>
      <c r="AB415" s="3" t="inlineStr">
        <is>
          <t>1. Sauté onion, carrot, celery, mushrooms in oil; add diced chicken and thyme.
2. Blend steamed cauliflower with milk; add to skillet with broth; simmer 12 minutes.
3. Add peas; top with almond flour-parmesan crumble and broil 3 minutes.</t>
        </is>
      </c>
      <c r="AC415" s="4" t="inlineStr">
        <is>
          <t>["Sauté onion, carrot, celery, mushrooms in oil; add diced chicken and thyme.", "Blend steamed cauliflower with milk; add to skillet with broth; simmer 12 minutes.", "Add peas; top with almond flour-parmesan crumble and broil 3 minutes."]</t>
        </is>
      </c>
    </row>
    <row r="416" ht="96" customHeight="1">
      <c r="A416" s="2" t="inlineStr">
        <is>
          <t>DB-0415</t>
        </is>
      </c>
      <c r="B416" s="3" t="inlineStr">
        <is>
          <t>Chicken Bruschetta Bake</t>
        </is>
      </c>
      <c r="C416" s="4" t="inlineStr">
        <is>
          <t>Poultry</t>
        </is>
      </c>
      <c r="D416" s="4" t="inlineStr">
        <is>
          <t>Italian</t>
        </is>
      </c>
      <c r="E416" s="2" t="n">
        <v>4</v>
      </c>
      <c r="F416" s="2" t="n">
        <v>10</v>
      </c>
      <c r="G416" s="2" t="n">
        <v>25</v>
      </c>
      <c r="H416" s="2" t="n">
        <v>35</v>
      </c>
      <c r="I416" s="4" t="inlineStr">
        <is>
          <t>chicken-bruschetta-bake.jpg</t>
        </is>
      </c>
      <c r="J416" s="3" t="inlineStr">
        <is>
          <t>Chicken Bruschetta Bake, healthy food photography, plated, natural light</t>
        </is>
      </c>
      <c r="K416" s="4" t="inlineStr"/>
      <c r="L416" s="3" t="inlineStr">
        <is>
          <t>Chicken breast, skinless — 600 g (21.2 oz)
Tomato — 300 g (10.6 oz)
Fresh basil — 12 g (0.4 oz)
Garlic — 6 g (0.2 oz)
Balsamic vinegar — 15 g (0.5 oz)
Mozzarella, part-skim — 100 g (3.5 oz)
Extra-virgin olive oil — 12 g (0.4 oz)
Zucchini noodles (zoodles) — 400 g (14.1 oz)
Salt — 3 g (0.1 oz)</t>
        </is>
      </c>
      <c r="M416" s="4" t="inlineStr">
        <is>
          <t>[{"ingredient_id": "chicken_breast", "name": "Chicken breast, skinless", "grams": 600.0, "note": ""}, {"ingredient_id": "tomato", "name": "Tomato", "grams": 300.0, "note": ""}, {"ingredient_id": "basil", "name": "Fresh basil", "grams": 12.0, "note": ""}, {"ingredient_id": "garlic", "name": "Garlic", "grams": 6.0, "note": ""}, {"ingredient_id": "balsamic_vinegar", "name": "Balsamic vinegar", "grams": 15.0, "note": ""}, {"ingredient_id": "mozzarella", "name": "Mozzarella, part-skim", "grams": 100.0, "note": ""}, {"ingredient_id": "olive_oil", "name": "Extra-virgin olive oil", "grams": 12.0, "note": ""}, {"ingredient_id": "zucchini_noodles", "name": "Zucchini noodles (zoodles)", "grams": 400.0, "note": ""}, {"ingredient_id": "salt", "name": "Salt", "grams": 3.0, "note": ""}]</t>
        </is>
      </c>
      <c r="N416" s="2" t="n">
        <v>307</v>
      </c>
      <c r="O416" s="5" t="n">
        <v>41.8</v>
      </c>
      <c r="P416" s="5" t="n">
        <v>11.4</v>
      </c>
      <c r="Q416" s="5" t="n">
        <v>8</v>
      </c>
      <c r="R416" s="5" t="n">
        <v>2</v>
      </c>
      <c r="S416" s="5" t="n">
        <v>6</v>
      </c>
      <c r="T416" s="2" t="n">
        <v>16</v>
      </c>
      <c r="U416" s="2" t="inlineStr">
        <is>
          <t>low</t>
        </is>
      </c>
      <c r="V416" s="5" t="n">
        <v>1</v>
      </c>
      <c r="W416" s="2" t="inlineStr">
        <is>
          <t>low</t>
        </is>
      </c>
      <c r="X416" s="3" t="inlineStr"/>
      <c r="Y416" s="3" t="inlineStr">
        <is>
          <t>0% of this dish's available carbohydrate comes from ingredients with a published, measured GI; the rest uses conventional placeholders (see Ingredients sheet)</t>
        </is>
      </c>
      <c r="Z416" s="2" t="n">
        <v>0</v>
      </c>
      <c r="AA416" s="3" t="inlineStr">
        <is>
          <t>gluten-free, nut-free, low-carb, high-protein</t>
        </is>
      </c>
      <c r="AB416" s="3" t="inlineStr">
        <is>
          <t>1. Season chicken, sear 3 minutes per side, transfer to a dish.
2. Top with diced tomato, basil, garlic, balsamic and mozzarella.
3. Bake at 400°F 15 minutes; serve on zoodles.</t>
        </is>
      </c>
      <c r="AC416" s="4" t="inlineStr">
        <is>
          <t>["Season chicken, sear 3 minutes per side, transfer to a dish.", "Top with diced tomato, basil, garlic, balsamic and mozzarella.", "Bake at 400°F 15 minutes; serve on zoodles."]</t>
        </is>
      </c>
    </row>
    <row r="417" ht="96" customHeight="1">
      <c r="A417" s="2" t="inlineStr">
        <is>
          <t>DB-0416</t>
        </is>
      </c>
      <c r="B417" s="3" t="inlineStr">
        <is>
          <t>Chili Lime Chicken Wings (Baked)</t>
        </is>
      </c>
      <c r="C417" s="4" t="inlineStr">
        <is>
          <t>Poultry</t>
        </is>
      </c>
      <c r="D417" s="4" t="inlineStr">
        <is>
          <t>American</t>
        </is>
      </c>
      <c r="E417" s="2" t="n">
        <v>4</v>
      </c>
      <c r="F417" s="2" t="n">
        <v>10</v>
      </c>
      <c r="G417" s="2" t="n">
        <v>45</v>
      </c>
      <c r="H417" s="2" t="n">
        <v>55</v>
      </c>
      <c r="I417" s="4" t="inlineStr">
        <is>
          <t>chili-lime-chicken-wings-baked.jpg</t>
        </is>
      </c>
      <c r="J417" s="3" t="inlineStr">
        <is>
          <t>Chili Lime Chicken Wings (Baked), healthy food photography, plated, natural light</t>
        </is>
      </c>
      <c r="K417" s="4" t="inlineStr"/>
      <c r="L417" s="3" t="inlineStr">
        <is>
          <t>Chicken thigh, skinless boneless — 800 g (28.2 oz) [wings, skin on]
Lime — 60 g (2.1 oz)
Garlic — 8 g (0.3 oz)
Chili powder — 6 g (0.2 oz)
Ground cumin — 3 g (0.1 oz)
Extra-virgin olive oil — 10 g (0.4 oz)
Fresh cilantro — 8 g (0.3 oz)
Celery — 200 g (7.1 oz)
Greek yogurt, plain 2% — 80 g (2.8 oz)
Salt — 3 g (0.1 oz)</t>
        </is>
      </c>
      <c r="M417" s="4" t="inlineStr">
        <is>
          <t>[{"ingredient_id": "chicken_thigh", "name": "Chicken thigh, skinless boneless", "grams": 800.0, "note": "wings, skin on"}, {"ingredient_id": "lime", "name": "Lime", "grams": 60.0, "note": ""}, {"ingredient_id": "garlic", "name": "Garlic", "grams": 8.0, "note": ""}, {"ingredient_id": "chili_powder", "name": "Chili powder", "grams": 6.0, "note": ""}, {"ingredient_id": "cumin", "name": "Ground cumin", "grams": 3.0, "note": ""}, {"ingredient_id": "olive_oil", "name": "Extra-virgin olive oil", "grams": 10.0, "note": ""}, {"ingredient_id": "cilantro", "name": "Fresh cilantro", "grams": 8.0, "note": ""}, {"ingredient_id": "celery", "name": "Celery", "grams": 200.0, "note": ""}, {"ingredient_id": "greek_yogurt", "name": "Greek yogurt, plain 2%", "grams": 80.0, "note": ""}, {"ingredient_id": "salt", "name": "Salt", "grams": 3.0, "note": ""}]</t>
        </is>
      </c>
      <c r="N417" s="2" t="n">
        <v>302</v>
      </c>
      <c r="O417" s="5" t="n">
        <v>42.4</v>
      </c>
      <c r="P417" s="5" t="n">
        <v>11.6</v>
      </c>
      <c r="Q417" s="5" t="n">
        <v>5.7</v>
      </c>
      <c r="R417" s="5" t="n">
        <v>1.9</v>
      </c>
      <c r="S417" s="5" t="n">
        <v>3.8</v>
      </c>
      <c r="T417" s="2" t="n">
        <v>18</v>
      </c>
      <c r="U417" s="2" t="inlineStr">
        <is>
          <t>low</t>
        </is>
      </c>
      <c r="V417" s="5" t="n">
        <v>0.7</v>
      </c>
      <c r="W417" s="2" t="inlineStr">
        <is>
          <t>low</t>
        </is>
      </c>
      <c r="X417" s="3" t="inlineStr">
        <is>
          <t>Negligible carbohydrate (&lt;5 g net/serving): GI has little practical meaning, glycemic load is what matters.</t>
        </is>
      </c>
      <c r="Y417" s="3" t="inlineStr">
        <is>
          <t>21% of this dish's available carbohydrate comes from ingredients with a published, measured GI; the rest uses conventional placeholders (see Ingredients sheet)</t>
        </is>
      </c>
      <c r="Z417" s="2" t="n">
        <v>21</v>
      </c>
      <c r="AA417" s="3" t="inlineStr">
        <is>
          <t>gluten-free, nut-free, low-carb, high-protein</t>
        </is>
      </c>
      <c r="AB417" s="3" t="inlineStr">
        <is>
          <t>1. Toss wings with oil, lime zest, garlic, chili powder, cumin, salt.
2. Bake on a rack at 425°F 40–45 minutes until crisp.
3. Squeeze lime, add cilantro; serve with celery and yogurt dip.</t>
        </is>
      </c>
      <c r="AC417" s="4" t="inlineStr">
        <is>
          <t>["Toss wings with oil, lime zest, garlic, chili powder, cumin, salt.", "Bake on a rack at 425°F 40–45 minutes until crisp.", "Squeeze lime, add cilantro; serve with celery and yogurt dip."]</t>
        </is>
      </c>
    </row>
    <row r="418" ht="96" customHeight="1">
      <c r="A418" s="2" t="inlineStr">
        <is>
          <t>DB-0417</t>
        </is>
      </c>
      <c r="B418" s="3" t="inlineStr">
        <is>
          <t>Chicken Kale Caesar Wrap</t>
        </is>
      </c>
      <c r="C418" s="4" t="inlineStr">
        <is>
          <t>Poultry</t>
        </is>
      </c>
      <c r="D418" s="4" t="inlineStr">
        <is>
          <t>American</t>
        </is>
      </c>
      <c r="E418" s="2" t="n">
        <v>2</v>
      </c>
      <c r="F418" s="2" t="n">
        <v>10</v>
      </c>
      <c r="G418" s="2" t="n">
        <v>0</v>
      </c>
      <c r="H418" s="2" t="n">
        <v>10</v>
      </c>
      <c r="I418" s="4" t="inlineStr">
        <is>
          <t>chicken-kale-caesar-wrap.jpg</t>
        </is>
      </c>
      <c r="J418" s="3" t="inlineStr">
        <is>
          <t>Chicken Kale Caesar Wrap, healthy food photography, plated, natural light</t>
        </is>
      </c>
      <c r="K418" s="4" t="inlineStr"/>
      <c r="L418" s="3" t="inlineStr">
        <is>
          <t>Rotisserie chicken, skin removed — 250 g (8.8 oz)
Kale — 100 g (3.5 oz)
Parmesan, grated — 20 g (0.7 oz)
Greek yogurt, plain 2% — 50 g (1.8 oz)
Lemon juice — 10 g (0.4 oz)
Dijon mustard — 5 g (0.2 oz)
Anchovies, canned — 5 g (0.2 oz)
Low-carb high-fiber tortilla — 84 g (3.0 oz) [2 tortillas]</t>
        </is>
      </c>
      <c r="M418" s="4" t="inlineStr">
        <is>
          <t>[{"ingredient_id": "rotisserie_chicken", "name": "Rotisserie chicken, skin removed", "grams": 250.0, "note": ""}, {"ingredient_id": "kale", "name": "Kale", "grams": 100.0, "note": ""}, {"ingredient_id": "parmesan", "name": "Parmesan, grated", "grams": 20.0, "note": ""}, {"ingredient_id": "greek_yogurt", "name": "Greek yogurt, plain 2%", "grams": 50.0, "note": ""}, {"ingredient_id": "lemon_juice", "name": "Lemon juice", "grams": 10.0, "note": ""}, {"ingredient_id": "dijon", "name": "Dijon mustard", "grams": 5.0, "note": ""}, {"ingredient_id": "anchovies", "name": "Anchovies, canned", "grams": 5.0, "note": ""}, {"ingredient_id": "low_carb_tortilla", "name": "Low-carb high-fiber tortilla", "grams": 84.0, "note": "2 tortillas"}]</t>
        </is>
      </c>
      <c r="N418" s="2" t="n">
        <v>399</v>
      </c>
      <c r="O418" s="5" t="n">
        <v>43.1</v>
      </c>
      <c r="P418" s="5" t="n">
        <v>16.3</v>
      </c>
      <c r="Q418" s="5" t="n">
        <v>23.1</v>
      </c>
      <c r="R418" s="5" t="n">
        <v>12.4</v>
      </c>
      <c r="S418" s="5" t="n">
        <v>10.7</v>
      </c>
      <c r="T418" s="2" t="n">
        <v>23</v>
      </c>
      <c r="U418" s="2" t="inlineStr">
        <is>
          <t>low</t>
        </is>
      </c>
      <c r="V418" s="5" t="n">
        <v>2.5</v>
      </c>
      <c r="W418" s="2" t="inlineStr">
        <is>
          <t>low</t>
        </is>
      </c>
      <c r="X418" s="3" t="inlineStr"/>
      <c r="Y418" s="3" t="inlineStr">
        <is>
          <t>9% of this dish's available carbohydrate comes from ingredients with a published, measured GI; the rest uses conventional placeholders (see Ingredients sheet)</t>
        </is>
      </c>
      <c r="Z418" s="2" t="n">
        <v>9</v>
      </c>
      <c r="AA418" s="3" t="inlineStr">
        <is>
          <t>nut-free, low-carb, high-protein, high-fiber, no-cook, quick</t>
        </is>
      </c>
      <c r="AB418" s="3" t="inlineStr">
        <is>
          <t>1. Whisk yogurt, lemon, Dijon, mashed anchovy.
2. Toss chopped kale, chicken and parmesan with dressing.
3. Roll in tortillas.</t>
        </is>
      </c>
      <c r="AC418" s="4" t="inlineStr">
        <is>
          <t>["Whisk yogurt, lemon, Dijon, mashed anchovy.", "Toss chopped kale, chicken and parmesan with dressing.", "Roll in tortillas."]</t>
        </is>
      </c>
    </row>
    <row r="419" ht="96" customHeight="1">
      <c r="A419" s="2" t="inlineStr">
        <is>
          <t>DB-0418</t>
        </is>
      </c>
      <c r="B419" s="3" t="inlineStr">
        <is>
          <t>Turkey Chili Stuffed Peppers</t>
        </is>
      </c>
      <c r="C419" s="4" t="inlineStr">
        <is>
          <t>Poultry</t>
        </is>
      </c>
      <c r="D419" s="4" t="inlineStr">
        <is>
          <t>Tex-Mex</t>
        </is>
      </c>
      <c r="E419" s="2" t="n">
        <v>4</v>
      </c>
      <c r="F419" s="2" t="n">
        <v>15</v>
      </c>
      <c r="G419" s="2" t="n">
        <v>35</v>
      </c>
      <c r="H419" s="2" t="n">
        <v>50</v>
      </c>
      <c r="I419" s="4" t="inlineStr">
        <is>
          <t>turkey-chili-stuffed-peppers.jpg</t>
        </is>
      </c>
      <c r="J419" s="3" t="inlineStr">
        <is>
          <t>Turkey Chili Stuffed Peppers, healthy food photography, plated, natural light</t>
        </is>
      </c>
      <c r="K419" s="4" t="inlineStr"/>
      <c r="L419" s="3" t="inlineStr">
        <is>
          <t>Bell pepper — 600 g (21.2 oz)
Ground turkey 93% lean — 500 g (17.6 oz)
Kidney beans, cooked — 200 g (7.1 oz)
Diced tomatoes, canned — 300 g (10.6 oz)
Yellow onion — 80 g (2.8 oz)
Chili powder — 8 g (0.3 oz)
Ground cumin — 3 g (0.1 oz)
Cheddar cheese — 80 g (2.8 oz)
Extra-virgin olive oil — 10 g (0.4 oz)
Green onions (scallions) — 15 g (0.5 oz)</t>
        </is>
      </c>
      <c r="M419" s="4" t="inlineStr">
        <is>
          <t>[{"ingredient_id": "bell_pepper", "name": "Bell pepper", "grams": 600.0, "note": ""}, {"ingredient_id": "ground_turkey", "name": "Ground turkey 93% lean", "grams": 500.0, "note": ""}, {"ingredient_id": "kidney_beans", "name": "Kidney beans, cooked", "grams": 200.0, "note": ""}, {"ingredient_id": "diced_tomatoes", "name": "Diced tomatoes, canned", "grams": 300.0, "note": ""}, {"ingredient_id": "onion", "name": "Yellow onion", "grams": 80.0, "note": ""}, {"ingredient_id": "chili_powder", "name": "Chili powder", "grams": 8.0, "note": ""}, {"ingredient_id": "cumin", "name": "Ground cumin", "grams": 3.0, "note": ""}, {"ingredient_id": "cheddar", "name": "Cheddar cheese", "grams": 80.0, "note": ""}, {"ingredient_id": "olive_oil", "name": "Extra-virgin olive oil", "grams": 10.0, "note": ""}, {"ingredient_id": "green_onion", "name": "Green onions (scallions)", "grams": 15.0, "note": ""}]</t>
        </is>
      </c>
      <c r="N419" s="2" t="n">
        <v>436</v>
      </c>
      <c r="O419" s="5" t="n">
        <v>35.4</v>
      </c>
      <c r="P419" s="5" t="n">
        <v>20.4</v>
      </c>
      <c r="Q419" s="5" t="n">
        <v>27.9</v>
      </c>
      <c r="R419" s="5" t="n">
        <v>8.699999999999999</v>
      </c>
      <c r="S419" s="5" t="n">
        <v>19.2</v>
      </c>
      <c r="T419" s="2" t="n">
        <v>26</v>
      </c>
      <c r="U419" s="2" t="inlineStr">
        <is>
          <t>low</t>
        </is>
      </c>
      <c r="V419" s="5" t="n">
        <v>5</v>
      </c>
      <c r="W419" s="2" t="inlineStr">
        <is>
          <t>low</t>
        </is>
      </c>
      <c r="X419" s="3" t="inlineStr"/>
      <c r="Y419" s="3" t="inlineStr">
        <is>
          <t>43% of this dish's available carbohydrate comes from ingredients with a published, measured GI; the rest uses conventional placeholders (see Ingredients sheet)</t>
        </is>
      </c>
      <c r="Z419" s="2" t="n">
        <v>43</v>
      </c>
      <c r="AA419" s="3" t="inlineStr">
        <is>
          <t>gluten-free, nut-free, high-protein, high-fiber</t>
        </is>
      </c>
      <c r="AB419" s="3" t="inlineStr">
        <is>
          <t>1. Halve peppers; roast 10 minutes.
2. Brown turkey with onion and spices; add beans and tomatoes; simmer 8 minutes.
3. Fill peppers, top with cheddar; bake at 400°F 18 minutes; add green onion.</t>
        </is>
      </c>
      <c r="AC419" s="4" t="inlineStr">
        <is>
          <t>["Halve peppers; roast 10 minutes.", "Brown turkey with onion and spices; add beans and tomatoes; simmer 8 minutes.", "Fill peppers, top with cheddar; bake at 400°F 18 minutes; add green onion."]</t>
        </is>
      </c>
    </row>
    <row r="420" ht="96" customHeight="1">
      <c r="A420" s="2" t="inlineStr">
        <is>
          <t>DB-0419</t>
        </is>
      </c>
      <c r="B420" s="3" t="inlineStr">
        <is>
          <t>Lemon Dill Chicken Salad Cucumber Boats</t>
        </is>
      </c>
      <c r="C420" s="4" t="inlineStr">
        <is>
          <t>Poultry</t>
        </is>
      </c>
      <c r="D420" s="4" t="inlineStr">
        <is>
          <t>American</t>
        </is>
      </c>
      <c r="E420" s="2" t="n">
        <v>3</v>
      </c>
      <c r="F420" s="2" t="n">
        <v>10</v>
      </c>
      <c r="G420" s="2" t="n">
        <v>0</v>
      </c>
      <c r="H420" s="2" t="n">
        <v>10</v>
      </c>
      <c r="I420" s="4" t="inlineStr">
        <is>
          <t>lemon-dill-chicken-salad-cucumber-boats.jpg</t>
        </is>
      </c>
      <c r="J420" s="3" t="inlineStr">
        <is>
          <t>Lemon Dill Chicken Salad Cucumber Boats, healthy food photography, plated, natural light</t>
        </is>
      </c>
      <c r="K420" s="4" t="inlineStr"/>
      <c r="L420" s="3" t="inlineStr">
        <is>
          <t>Rotisserie chicken, skin removed — 350 g (12.3 oz)
Greek yogurt, plain 2% — 100 g (3.5 oz)
Fresh dill — 8 g (0.3 oz)
Lemon juice — 15 g (0.5 oz)
Celery — 60 g (2.1 oz)
Red onion — 30 g (1.1 oz)
Cucumber — 450 g (15.9 oz) [3 large, halved]
Salt — 2 g (0.1 oz)</t>
        </is>
      </c>
      <c r="M420" s="4" t="inlineStr">
        <is>
          <t>[{"ingredient_id": "rotisserie_chicken", "name": "Rotisserie chicken, skin removed", "grams": 350.0, "note": ""}, {"ingredient_id": "greek_yogurt", "name": "Greek yogurt, plain 2%", "grams": 100.0, "note": ""}, {"ingredient_id": "dill", "name": "Fresh dill", "grams": 8.0, "note": ""}, {"ingredient_id": "lemon_juice", "name": "Lemon juice", "grams": 15.0, "note": ""}, {"ingredient_id": "celery", "name": "Celery", "grams": 60.0, "note": ""}, {"ingredient_id": "red_onion", "name": "Red onion", "grams": 30.0, "note": ""}, {"ingredient_id": "cucumber", "name": "Cucumber", "grams": 450.0, "note": "3 large, halved"}, {"ingredient_id": "salt", "name": "Salt", "grams": 2.0, "note": ""}]</t>
        </is>
      </c>
      <c r="N420" s="2" t="n">
        <v>243</v>
      </c>
      <c r="O420" s="5" t="n">
        <v>31.6</v>
      </c>
      <c r="P420" s="5" t="n">
        <v>9.1</v>
      </c>
      <c r="Q420" s="5" t="n">
        <v>8.800000000000001</v>
      </c>
      <c r="R420" s="5" t="n">
        <v>1.3</v>
      </c>
      <c r="S420" s="5" t="n">
        <v>7.5</v>
      </c>
      <c r="T420" s="2" t="n">
        <v>15</v>
      </c>
      <c r="U420" s="2" t="inlineStr">
        <is>
          <t>low</t>
        </is>
      </c>
      <c r="V420" s="5" t="n">
        <v>1.1</v>
      </c>
      <c r="W420" s="2" t="inlineStr">
        <is>
          <t>low</t>
        </is>
      </c>
      <c r="X420" s="3" t="inlineStr"/>
      <c r="Y420" s="3" t="inlineStr">
        <is>
          <t>18% of this dish's available carbohydrate comes from ingredients with a published, measured GI; the rest uses conventional placeholders (see Ingredients sheet)</t>
        </is>
      </c>
      <c r="Z420" s="2" t="n">
        <v>18</v>
      </c>
      <c r="AA420" s="3" t="inlineStr">
        <is>
          <t>gluten-free, nut-free, low-carb, high-protein, no-cook</t>
        </is>
      </c>
      <c r="AB420" s="3" t="inlineStr">
        <is>
          <t>1. Mix chicken, yogurt, dill, lemon, celery, onion, salt.
2. Halve cucumbers lengthwise and scoop seeds.
3. Fill with chicken salad.</t>
        </is>
      </c>
      <c r="AC420" s="4" t="inlineStr">
        <is>
          <t>["Mix chicken, yogurt, dill, lemon, celery, onion, salt.", "Halve cucumbers lengthwise and scoop seeds.", "Fill with chicken salad."]</t>
        </is>
      </c>
    </row>
    <row r="421" ht="96" customHeight="1">
      <c r="A421" s="2" t="inlineStr">
        <is>
          <t>DB-0420</t>
        </is>
      </c>
      <c r="B421" s="3" t="inlineStr">
        <is>
          <t>Chicken Mole (Simplified)</t>
        </is>
      </c>
      <c r="C421" s="4" t="inlineStr">
        <is>
          <t>Poultry</t>
        </is>
      </c>
      <c r="D421" s="4" t="inlineStr">
        <is>
          <t>Mexican</t>
        </is>
      </c>
      <c r="E421" s="2" t="n">
        <v>4</v>
      </c>
      <c r="F421" s="2" t="n">
        <v>15</v>
      </c>
      <c r="G421" s="2" t="n">
        <v>45</v>
      </c>
      <c r="H421" s="2" t="n">
        <v>60</v>
      </c>
      <c r="I421" s="4" t="inlineStr">
        <is>
          <t>chicken-mole-simplified.jpg</t>
        </is>
      </c>
      <c r="J421" s="3" t="inlineStr">
        <is>
          <t>Chicken Mole (Simplified), healthy food photography, plated, natural light</t>
        </is>
      </c>
      <c r="K421" s="4" t="inlineStr"/>
      <c r="L421" s="3" t="inlineStr">
        <is>
          <t>Chicken thigh, skinless boneless — 700 g (24.7 oz)
Chipotle peppers in adobo — 25 g (0.9 oz)
Crushed tomatoes, canned — 300 g (10.6 oz)
Yellow onion — 100 g (3.5 oz)
Garlic — 8 g (0.3 oz)
Cocoa powder, unsweetened — 10 g (0.4 oz)
Almond butter — 25 g (0.9 oz)
Ground cumin — 3 g (0.1 oz)
Ground cinnamon — 1 g (0.0 oz)
Chicken broth, low sodium — 300 g (10.6 oz)
Extra-virgin olive oil — 12 g (0.4 oz)
Sesame seeds — 6 g (0.2 oz)
Cauliflower rice — 500 g (17.6 oz)
Salt — 3 g (0.1 oz)</t>
        </is>
      </c>
      <c r="M421" s="4" t="inlineStr">
        <is>
          <t>[{"ingredient_id": "chicken_thigh", "name": "Chicken thigh, skinless boneless", "grams": 700.0, "note": ""}, {"ingredient_id": "chipotle_adobo", "name": "Chipotle peppers in adobo", "grams": 25.0, "note": ""}, {"ingredient_id": "crushed_tomatoes", "name": "Crushed tomatoes, canned", "grams": 300.0, "note": ""}, {"ingredient_id": "onion", "name": "Yellow onion", "grams": 100.0, "note": ""}, {"ingredient_id": "garlic", "name": "Garlic", "grams": 8.0, "note": ""}, {"ingredient_id": "cocoa_powder", "name": "Cocoa powder, unsweetened", "grams": 10.0, "note": ""}, {"ingredient_id": "almond_butter", "name": "Almond butter", "grams": 25.0, "note": ""}, {"ingredient_id": "cumin", "name": "Ground cumin", "grams": 3.0, "note": ""}, {"ingredient_id": "cinnamon", "name": "Ground cinnamon", "grams": 1.0, "note": ""}, {"ingredient_id": "chicken_broth", "name": "Chicken broth, low sodium", "grams": 300.0, "note": ""}, {"ingredient_id": "olive_oil", "name": "Extra-virgin olive oil", "grams": 12.0, "note": ""}, {"ingredient_id": "sesame_seeds", "name": "Sesame seeds", "grams": 6.0, "note": ""}, {"ingredient_id": "cauliflower_rice", "name": "Cauliflower rice", "grams": 500.0, "note": ""}, {"ingredient_id": "salt", "name": "Salt", "grams": 3.0, "note": ""}]</t>
        </is>
      </c>
      <c r="N421" s="2" t="n">
        <v>372</v>
      </c>
      <c r="O421" s="5" t="n">
        <v>41.6</v>
      </c>
      <c r="P421" s="5" t="n">
        <v>15.8</v>
      </c>
      <c r="Q421" s="5" t="n">
        <v>19.2</v>
      </c>
      <c r="R421" s="5" t="n">
        <v>6.5</v>
      </c>
      <c r="S421" s="5" t="n">
        <v>12.8</v>
      </c>
      <c r="T421" s="2" t="n">
        <v>22</v>
      </c>
      <c r="U421" s="2" t="inlineStr">
        <is>
          <t>low</t>
        </is>
      </c>
      <c r="V421" s="5" t="n">
        <v>2.8</v>
      </c>
      <c r="W421" s="2" t="inlineStr">
        <is>
          <t>low</t>
        </is>
      </c>
      <c r="X421" s="3" t="inlineStr"/>
      <c r="Y421" s="3" t="inlineStr">
        <is>
          <t>0% of this dish's available carbohydrate comes from ingredients with a published, measured GI; the rest uses conventional placeholders (see Ingredients sheet)</t>
        </is>
      </c>
      <c r="Z421" s="2" t="n">
        <v>0</v>
      </c>
      <c r="AA421" s="3" t="inlineStr">
        <is>
          <t>gluten-free, dairy-free, low-carb, high-protein</t>
        </is>
      </c>
      <c r="AB421" s="3" t="inlineStr">
        <is>
          <t>1. Sauté onion and garlic; blend with chipotle, tomatoes, cocoa, almond butter, spices, broth.
2. Brown chicken in oil; pour sauce over; simmer covered 30 minutes.
3. Top with sesame seeds; serve with cauliflower rice.</t>
        </is>
      </c>
      <c r="AC421" s="4" t="inlineStr">
        <is>
          <t>["Sauté onion and garlic; blend with chipotle, tomatoes, cocoa, almond butter, spices, broth.", "Brown chicken in oil; pour sauce over; simmer covered 30 minutes.", "Top with sesame seeds; serve with cauliflower rice."]</t>
        </is>
      </c>
    </row>
    <row r="422" ht="96" customHeight="1">
      <c r="A422" s="2" t="inlineStr">
        <is>
          <t>DB-0421</t>
        </is>
      </c>
      <c r="B422" s="3" t="inlineStr">
        <is>
          <t>Chicken Alfredo Spaghetti Squash Boats</t>
        </is>
      </c>
      <c r="C422" s="4" t="inlineStr">
        <is>
          <t>Poultry</t>
        </is>
      </c>
      <c r="D422" s="4" t="inlineStr">
        <is>
          <t>Italian</t>
        </is>
      </c>
      <c r="E422" s="2" t="n">
        <v>4</v>
      </c>
      <c r="F422" s="2" t="n">
        <v>15</v>
      </c>
      <c r="G422" s="2" t="n">
        <v>50</v>
      </c>
      <c r="H422" s="2" t="n">
        <v>65</v>
      </c>
      <c r="I422" s="4" t="inlineStr">
        <is>
          <t>chicken-alfredo-spaghetti-squash-boats.jpg</t>
        </is>
      </c>
      <c r="J422" s="3" t="inlineStr">
        <is>
          <t>Chicken Alfredo Spaghetti Squash Boats, healthy food photography, plated, natural light</t>
        </is>
      </c>
      <c r="K422" s="4" t="inlineStr"/>
      <c r="L422" s="3" t="inlineStr">
        <is>
          <t>Spaghetti squash, cooked — 1000 g (35.3 oz)
Chicken breast, skinless — 500 g (17.6 oz)
Cauliflower — 300 g (10.6 oz)
Milk, 2% — 120 g (4.2 oz)
Parmesan, grated — 60 g (2.1 oz)
Garlic — 8 g (0.3 oz)
Cream cheese — 40 g (1.4 oz)
Mozzarella, part-skim — 80 g (2.8 oz)
Spinach — 100 g (3.5 oz)
Extra-virgin olive oil — 10 g (0.4 oz)
Salt — 3 g (0.1 oz)</t>
        </is>
      </c>
      <c r="M422" s="4" t="inlineStr">
        <is>
          <t>[{"ingredient_id": "spaghetti_squash", "name": "Spaghetti squash, cooked", "grams": 1000.0, "note": ""}, {"ingredient_id": "chicken_breast", "name": "Chicken breast, skinless", "grams": 500.0, "note": ""}, {"ingredient_id": "cauliflower", "name": "Cauliflower", "grams": 300.0, "note": ""}, {"ingredient_id": "milk", "name": "Milk, 2%", "grams": 120.0, "note": ""}, {"ingredient_id": "parmesan", "name": "Parmesan, grated", "grams": 60.0, "note": ""}, {"ingredient_id": "garlic", "name": "Garlic", "grams": 8.0, "note": ""}, {"ingredient_id": "cream_cheese", "name": "Cream cheese", "grams": 40.0, "note": ""}, {"ingredient_id": "mozzarella", "name": "Mozzarella, part-skim", "grams": 80.0, "note": ""}, {"ingredient_id": "spinach", "name": "Spinach", "grams": 100.0, "note": ""}, {"ingredient_id": "olive_oil", "name": "Extra-virgin olive oil", "grams": 10.0, "note": ""}, {"ingredient_id": "salt", "name": "Salt", "grams": 3.0, "note": ""}]</t>
        </is>
      </c>
      <c r="N422" s="2" t="n">
        <v>442</v>
      </c>
      <c r="O422" s="5" t="n">
        <v>44</v>
      </c>
      <c r="P422" s="5" t="n">
        <v>19.1</v>
      </c>
      <c r="Q422" s="5" t="n">
        <v>25.9</v>
      </c>
      <c r="R422" s="5" t="n">
        <v>5.8</v>
      </c>
      <c r="S422" s="5" t="n">
        <v>20</v>
      </c>
      <c r="T422" s="2" t="n">
        <v>19</v>
      </c>
      <c r="U422" s="2" t="inlineStr">
        <is>
          <t>low</t>
        </is>
      </c>
      <c r="V422" s="5" t="n">
        <v>3.8</v>
      </c>
      <c r="W422" s="2" t="inlineStr">
        <is>
          <t>low</t>
        </is>
      </c>
      <c r="X422" s="3" t="inlineStr"/>
      <c r="Y422" s="3" t="inlineStr">
        <is>
          <t>7% of this dish's available carbohydrate comes from ingredients with a published, measured GI; the rest uses conventional placeholders (see Ingredients sheet)</t>
        </is>
      </c>
      <c r="Z422" s="2" t="n">
        <v>7</v>
      </c>
      <c r="AA422" s="3" t="inlineStr">
        <is>
          <t>gluten-free, nut-free, high-protein</t>
        </is>
      </c>
      <c r="AB422" s="3" t="inlineStr">
        <is>
          <t>1. Roast halved squash 40 minutes.
2. Simmer cauliflower and garlic in milk; blend with parmesan and cream cheese.
3. Toss squash strands with sauce, cooked chicken and spinach; top with mozzarella; broil 3 minutes.</t>
        </is>
      </c>
      <c r="AC422" s="4" t="inlineStr">
        <is>
          <t>["Roast halved squash 40 minutes.", "Simmer cauliflower and garlic in milk; blend with parmesan and cream cheese.", "Toss squash strands with sauce, cooked chicken and spinach; top with mozzarella; broil 3 minutes."]</t>
        </is>
      </c>
    </row>
    <row r="423" ht="96" customHeight="1">
      <c r="A423" s="2" t="inlineStr">
        <is>
          <t>DB-0422</t>
        </is>
      </c>
      <c r="B423" s="3" t="inlineStr">
        <is>
          <t>Chicken Tortilla-Crusted Casserole (Low-Carb)</t>
        </is>
      </c>
      <c r="C423" s="4" t="inlineStr">
        <is>
          <t>Poultry</t>
        </is>
      </c>
      <c r="D423" s="4" t="inlineStr">
        <is>
          <t>Tex-Mex</t>
        </is>
      </c>
      <c r="E423" s="2" t="n">
        <v>6</v>
      </c>
      <c r="F423" s="2" t="n">
        <v>15</v>
      </c>
      <c r="G423" s="2" t="n">
        <v>35</v>
      </c>
      <c r="H423" s="2" t="n">
        <v>50</v>
      </c>
      <c r="I423" s="4" t="inlineStr">
        <is>
          <t>chicken-tortilla-crusted-casserole-low-carb.jpg</t>
        </is>
      </c>
      <c r="J423" s="3" t="inlineStr">
        <is>
          <t>Chicken Tortilla-Crusted Casserole (Low-Carb), healthy food photography, plated, natural light</t>
        </is>
      </c>
      <c r="K423" s="4" t="inlineStr"/>
      <c r="L423" s="3" t="inlineStr">
        <is>
          <t>Chicken breast, skinless — 700 g (24.7 oz)
Low-carb high-fiber tortilla — 168 g (5.9 oz) [4 tortillas, torn]
Red enchilada sauce, no sugar added — 300 g (10.6 oz)
Black beans, cooked — 250 g (8.8 oz)
Sweet corn kernels — 80 g (2.8 oz)
Cheddar cheese — 120 g (4.2 oz)
Diced green chiles, canned — 100 g (3.5 oz)
Yellow onion — 80 g (2.8 oz)
Greek yogurt, plain 2% — 100 g (3.5 oz)
Extra-virgin olive oil — 10 g (0.4 oz)</t>
        </is>
      </c>
      <c r="M423" s="4" t="inlineStr">
        <is>
          <t>[{"ingredient_id": "chicken_breast", "name": "Chicken breast, skinless", "grams": 700.0, "note": ""}, {"ingredient_id": "low_carb_tortilla", "name": "Low-carb high-fiber tortilla", "grams": 168.0, "note": "4 tortillas, torn"}, {"ingredient_id": "enchilada_sauce", "name": "Red enchilada sauce, no sugar added", "grams": 300.0, "note": ""}, {"ingredient_id": "black_beans", "name": "Black beans, cooked", "grams": 250.0, "note": ""}, {"ingredient_id": "corn", "name": "Sweet corn kernels", "grams": 80.0, "note": ""}, {"ingredient_id": "cheddar", "name": "Cheddar cheese", "grams": 120.0, "note": ""}, {"ingredient_id": "green_chiles", "name": "Diced green chiles, canned", "grams": 100.0, "note": ""}, {"ingredient_id": "onion", "name": "Yellow onion", "grams": 80.0, "note": ""}, {"ingredient_id": "greek_yogurt", "name": "Greek yogurt, plain 2%", "grams": 100.0, "note": ""}, {"ingredient_id": "olive_oil", "name": "Extra-virgin olive oil", "grams": 10.0, "note": ""}]</t>
        </is>
      </c>
      <c r="N423" s="2" t="n">
        <v>413</v>
      </c>
      <c r="O423" s="5" t="n">
        <v>40.8</v>
      </c>
      <c r="P423" s="5" t="n">
        <v>15.3</v>
      </c>
      <c r="Q423" s="5" t="n">
        <v>29</v>
      </c>
      <c r="R423" s="5" t="n">
        <v>12</v>
      </c>
      <c r="S423" s="5" t="n">
        <v>17.1</v>
      </c>
      <c r="T423" s="2" t="n">
        <v>30</v>
      </c>
      <c r="U423" s="2" t="inlineStr">
        <is>
          <t>low</t>
        </is>
      </c>
      <c r="V423" s="5" t="n">
        <v>5.1</v>
      </c>
      <c r="W423" s="2" t="inlineStr">
        <is>
          <t>low</t>
        </is>
      </c>
      <c r="X423" s="3" t="inlineStr"/>
      <c r="Y423" s="3" t="inlineStr">
        <is>
          <t>53% of this dish's available carbohydrate comes from ingredients with a published, measured GI; the rest uses conventional placeholders (see Ingredients sheet)</t>
        </is>
      </c>
      <c r="Z423" s="2" t="n">
        <v>53</v>
      </c>
      <c r="AA423" s="3" t="inlineStr">
        <is>
          <t>nut-free, high-protein, high-fiber, make-ahead</t>
        </is>
      </c>
      <c r="AB423" s="3" t="inlineStr">
        <is>
          <t>1. Cook and shred chicken; sauté onion.
2. Layer torn tortillas, chicken, beans, corn, chiles, sauce and cheese in a dish.
3. Bake at 375°F 25 minutes; serve with yogurt.</t>
        </is>
      </c>
      <c r="AC423" s="4" t="inlineStr">
        <is>
          <t>["Cook and shred chicken; sauté onion.", "Layer torn tortillas, chicken, beans, corn, chiles, sauce and cheese in a dish.", "Bake at 375°F 25 minutes; serve with yogurt."]</t>
        </is>
      </c>
    </row>
    <row r="424" ht="96" customHeight="1">
      <c r="A424" s="2" t="inlineStr">
        <is>
          <t>DB-0423</t>
        </is>
      </c>
      <c r="B424" s="3" t="inlineStr">
        <is>
          <t>Za'atar Chicken with Cucumber Yogurt</t>
        </is>
      </c>
      <c r="C424" s="4" t="inlineStr">
        <is>
          <t>Poultry</t>
        </is>
      </c>
      <c r="D424" s="4" t="inlineStr">
        <is>
          <t>Middle Eastern</t>
        </is>
      </c>
      <c r="E424" s="2" t="n">
        <v>4</v>
      </c>
      <c r="F424" s="2" t="n">
        <v>10</v>
      </c>
      <c r="G424" s="2" t="n">
        <v>25</v>
      </c>
      <c r="H424" s="2" t="n">
        <v>35</v>
      </c>
      <c r="I424" s="4" t="inlineStr">
        <is>
          <t>za-atar-chicken-with-cucumber-yogurt.jpg</t>
        </is>
      </c>
      <c r="J424" s="3" t="inlineStr">
        <is>
          <t>Za'atar Chicken with Cucumber Yogurt, healthy food photography, plated, natural light</t>
        </is>
      </c>
      <c r="K424" s="4" t="inlineStr"/>
      <c r="L424" s="3" t="inlineStr">
        <is>
          <t>Chicken thigh, skinless boneless — 700 g (24.7 oz)
Za'atar — 12 g (0.4 oz)
Lemon (with juice &amp; zest) — 50 g (1.8 oz)
Extra-virgin olive oil — 18 g (0.6 oz)
Garlic — 8 g (0.3 oz)
Greek yogurt, plain 2% — 200 g (7.1 oz)
Cucumber — 200 g (7.1 oz)
Fresh mint — 6 g (0.2 oz)
Cauliflower — 400 g (14.1 oz)
Salt — 3 g (0.1 oz)</t>
        </is>
      </c>
      <c r="M424" s="4" t="inlineStr">
        <is>
          <t>[{"ingredient_id": "chicken_thigh", "name": "Chicken thigh, skinless boneless", "grams": 700.0, "note": ""}, {"ingredient_id": "zaatar", "name": "Za'atar", "grams": 12.0, "note": ""}, {"ingredient_id": "lemon", "name": "Lemon (with juice &amp; zest)", "grams": 50.0, "note": ""}, {"ingredient_id": "olive_oil", "name": "Extra-virgin olive oil", "grams": 18.0, "note": ""}, {"ingredient_id": "garlic", "name": "Garlic", "grams": 8.0, "note": ""}, {"ingredient_id": "greek_yogurt", "name": "Greek yogurt, plain 2%", "grams": 200.0, "note": ""}, {"ingredient_id": "cucumber", "name": "Cucumber", "grams": 200.0, "note": ""}, {"ingredient_id": "mint", "name": "Fresh mint", "grams": 6.0, "note": ""}, {"ingredient_id": "cauliflower", "name": "Cauliflower", "grams": 400.0, "note": ""}, {"ingredient_id": "salt", "name": "Salt", "grams": 3.0, "note": ""}]</t>
        </is>
      </c>
      <c r="N424" s="2" t="n">
        <v>337</v>
      </c>
      <c r="O424" s="5" t="n">
        <v>42.3</v>
      </c>
      <c r="P424" s="5" t="n">
        <v>13.3</v>
      </c>
      <c r="Q424" s="5" t="n">
        <v>12.4</v>
      </c>
      <c r="R424" s="5" t="n">
        <v>3.5</v>
      </c>
      <c r="S424" s="5" t="n">
        <v>8.9</v>
      </c>
      <c r="T424" s="2" t="n">
        <v>16</v>
      </c>
      <c r="U424" s="2" t="inlineStr">
        <is>
          <t>low</t>
        </is>
      </c>
      <c r="V424" s="5" t="n">
        <v>1.4</v>
      </c>
      <c r="W424" s="2" t="inlineStr">
        <is>
          <t>low</t>
        </is>
      </c>
      <c r="X424" s="3" t="inlineStr"/>
      <c r="Y424" s="3" t="inlineStr">
        <is>
          <t>22% of this dish's available carbohydrate comes from ingredients with a published, measured GI; the rest uses conventional placeholders (see Ingredients sheet)</t>
        </is>
      </c>
      <c r="Z424" s="2" t="n">
        <v>22</v>
      </c>
      <c r="AA424" s="3" t="inlineStr">
        <is>
          <t>gluten-free, nut-free, low-carb, high-protein</t>
        </is>
      </c>
      <c r="AB424" s="3" t="inlineStr">
        <is>
          <t>1. Rub chicken with za'atar, lemon, oil, garlic, salt; roast with cauliflower at 425°F 25 minutes.
2. Mix yogurt with cucumber and mint.
3. Serve chicken with yogurt sauce.</t>
        </is>
      </c>
      <c r="AC424" s="4" t="inlineStr">
        <is>
          <t>["Rub chicken with za'atar, lemon, oil, garlic, salt; roast with cauliflower at 425°F 25 minutes.", "Mix yogurt with cucumber and mint.", "Serve chicken with yogurt sauce."]</t>
        </is>
      </c>
    </row>
    <row r="425" ht="96" customHeight="1">
      <c r="A425" s="2" t="inlineStr">
        <is>
          <t>DB-0424</t>
        </is>
      </c>
      <c r="B425" s="3" t="inlineStr">
        <is>
          <t>Chicken Marbella (No Prunes)</t>
        </is>
      </c>
      <c r="C425" s="4" t="inlineStr">
        <is>
          <t>Poultry</t>
        </is>
      </c>
      <c r="D425" s="4" t="inlineStr">
        <is>
          <t>Mediterranean</t>
        </is>
      </c>
      <c r="E425" s="2" t="n">
        <v>4</v>
      </c>
      <c r="F425" s="2" t="n">
        <v>15</v>
      </c>
      <c r="G425" s="2" t="n">
        <v>40</v>
      </c>
      <c r="H425" s="2" t="n">
        <v>55</v>
      </c>
      <c r="I425" s="4" t="inlineStr">
        <is>
          <t>chicken-marbella-no-prunes.jpg</t>
        </is>
      </c>
      <c r="J425" s="3" t="inlineStr">
        <is>
          <t>Chicken Marbella (No Prunes), healthy food photography, plated, natural light</t>
        </is>
      </c>
      <c r="K425" s="4" t="inlineStr"/>
      <c r="L425" s="3" t="inlineStr">
        <is>
          <t>Chicken thigh, skinless boneless — 700 g (24.7 oz)
Olives (kalamata/green) — 60 g (2.1 oz)
Capers — 20 g (0.7 oz)
Garlic — 10 g (0.4 oz)
Dried oregano — 3 g (0.1 oz)
Red wine vinegar — 30 g (1.1 oz)
Extra-virgin olive oil — 20 g (0.7 oz)
Dry white wine (cooking) — 80 g (2.8 oz)
Bay leaves — 1 g (0.0 oz)
Fresh parsley — 6 g (0.2 oz)
Green beans — 400 g (14.1 oz)
Salt — 3 g (0.1 oz)</t>
        </is>
      </c>
      <c r="M425" s="4" t="inlineStr">
        <is>
          <t>[{"ingredient_id": "chicken_thigh", "name": "Chicken thigh, skinless boneless", "grams": 700.0, "note": ""}, {"ingredient_id": "olives", "name": "Olives (kalamata/green)", "grams": 60.0, "note": ""}, {"ingredient_id": "capers", "name": "Capers", "grams": 20.0, "note": ""}, {"ingredient_id": "garlic", "name": "Garlic", "grams": 10.0, "note": ""}, {"ingredient_id": "oregano", "name": "Dried oregano", "grams": 3.0, "note": ""}, {"ingredient_id": "red_wine_vinegar", "name": "Red wine vinegar", "grams": 30.0, "note": ""}, {"ingredient_id": "olive_oil", "name": "Extra-virgin olive oil", "grams": 20.0, "note": ""}, {"ingredient_id": "white_wine", "name": "Dry white wine (cooking)", "grams": 80.0, "note": ""}, {"ingredient_id": "bay_leaf", "name": "Bay leaves", "grams": 1.0, "note": ""}, {"ingredient_id": "parsley", "name": "Fresh parsley", "grams": 6.0, "note": ""}, {"ingredient_id": "green_beans", "name": "Green beans", "grams": 400.0, "note": ""}, {"ingredient_id": "salt", "name": "Salt", "grams": 3.0, "note": ""}]</t>
        </is>
      </c>
      <c r="N425" s="2" t="n">
        <v>330</v>
      </c>
      <c r="O425" s="5" t="n">
        <v>36.8</v>
      </c>
      <c r="P425" s="5" t="n">
        <v>14.1</v>
      </c>
      <c r="Q425" s="5" t="n">
        <v>10.3</v>
      </c>
      <c r="R425" s="5" t="n">
        <v>3.8</v>
      </c>
      <c r="S425" s="5" t="n">
        <v>6.5</v>
      </c>
      <c r="T425" s="2" t="n">
        <v>16</v>
      </c>
      <c r="U425" s="2" t="inlineStr">
        <is>
          <t>low</t>
        </is>
      </c>
      <c r="V425" s="5" t="n">
        <v>1</v>
      </c>
      <c r="W425" s="2" t="inlineStr">
        <is>
          <t>low</t>
        </is>
      </c>
      <c r="X425" s="3" t="inlineStr"/>
      <c r="Y425" s="3" t="inlineStr">
        <is>
          <t>0% of this dish's available carbohydrate comes from ingredients with a published, measured GI; the rest uses conventional placeholders (see Ingredients sheet)</t>
        </is>
      </c>
      <c r="Z425" s="2" t="n">
        <v>0</v>
      </c>
      <c r="AA425" s="3" t="inlineStr">
        <is>
          <t>gluten-free, dairy-free, nut-free, low-carb, high-protein</t>
        </is>
      </c>
      <c r="AB425" s="3" t="inlineStr">
        <is>
          <t>1. Marinate chicken with olives, capers, garlic, oregano, vinegar, oil, bay 20 minutes.
2. Roast at 400°F with wine poured around 35 minutes.
3. Top with parsley; serve with green beans.</t>
        </is>
      </c>
      <c r="AC425" s="4" t="inlineStr">
        <is>
          <t>["Marinate chicken with olives, capers, garlic, oregano, vinegar, oil, bay 20 minutes.", "Roast at 400°F with wine poured around 35 minutes.", "Top with parsley; serve with green beans."]</t>
        </is>
      </c>
    </row>
    <row r="426" ht="96" customHeight="1">
      <c r="A426" s="2" t="inlineStr">
        <is>
          <t>DB-0425</t>
        </is>
      </c>
      <c r="B426" s="3" t="inlineStr">
        <is>
          <t>Turkey Meatballs with Zucchini &amp; Tzatziki Pita</t>
        </is>
      </c>
      <c r="C426" s="4" t="inlineStr">
        <is>
          <t>Poultry</t>
        </is>
      </c>
      <c r="D426" s="4" t="inlineStr">
        <is>
          <t>Greek</t>
        </is>
      </c>
      <c r="E426" s="2" t="n">
        <v>4</v>
      </c>
      <c r="F426" s="2" t="n">
        <v>15</v>
      </c>
      <c r="G426" s="2" t="n">
        <v>20</v>
      </c>
      <c r="H426" s="2" t="n">
        <v>35</v>
      </c>
      <c r="I426" s="4" t="inlineStr">
        <is>
          <t>turkey-meatballs-with-zucchini-and-tzatziki-pita.jpg</t>
        </is>
      </c>
      <c r="J426" s="3" t="inlineStr">
        <is>
          <t>Turkey Meatballs with Zucchini &amp; Tzatziki Pita, healthy food photography, plated, natural light</t>
        </is>
      </c>
      <c r="K426" s="4" t="inlineStr"/>
      <c r="L426" s="3" t="inlineStr">
        <is>
          <t>Ground turkey 93% lean — 600 g (21.2 oz)
Zucchini — 150 g (5.3 oz)
Garlic — 6 g (0.2 oz)
Dried oregano — 3 g (0.1 oz)
Egg, large (50 g each) — 50 g (1.8 oz)
Almond flour — 30 g (1.1 oz)
Greek yogurt, plain 2% — 150 g (5.3 oz)
Cucumber — 120 g (4.2 oz)
Fresh dill — 5 g (0.2 oz)
Whole wheat pita — 120 g (4.2 oz) [2 pitas]
Tomato — 150 g (5.3 oz)
Extra-virgin olive oil — 10 g (0.4 oz)
Salt — 3 g (0.1 oz)</t>
        </is>
      </c>
      <c r="M426" s="4" t="inlineStr">
        <is>
          <t>[{"ingredient_id": "ground_turkey", "name": "Ground turkey 93% lean", "grams": 600.0, "note": ""}, {"ingredient_id": "zucchini", "name": "Zucchini", "grams": 150.0, "note": ""}, {"ingredient_id": "garlic", "name": "Garlic", "grams": 6.0, "note": ""}, {"ingredient_id": "oregano", "name": "Dried oregano", "grams": 3.0, "note": ""}, {"ingredient_id": "egg", "name": "Egg, large (50 g each)", "grams": 50.0, "note": ""}, {"ingredient_id": "almond_flour", "name": "Almond flour", "grams": 30.0, "note": ""}, {"ingredient_id": "greek_yogurt", "name": "Greek yogurt, plain 2%", "grams": 150.0, "note": ""}, {"ingredient_id": "cucumber", "name": "Cucumber", "grams": 120.0, "note": ""}, {"ingredient_id": "dill", "name": "Fresh dill", "grams": 5.0, "note": ""}, {"ingredient_id": "whole_wheat_pita", "name": "Whole wheat pita", "grams": 120.0, "note": "2 pitas"}, {"ingredient_id": "tomato", "name": "Tomato", "grams": 150.0, "note": ""}, {"ingredient_id": "olive_oil", "name": "Extra-virgin olive oil", "grams": 10.0, "note": ""}, {"ingredient_id": "salt", "name": "Salt", "grams": 3.0, "note": ""}]</t>
        </is>
      </c>
      <c r="N426" s="2" t="n">
        <v>439</v>
      </c>
      <c r="O426" s="5" t="n">
        <v>39.2</v>
      </c>
      <c r="P426" s="5" t="n">
        <v>21.2</v>
      </c>
      <c r="Q426" s="5" t="n">
        <v>24.5</v>
      </c>
      <c r="R426" s="5" t="n">
        <v>4.5</v>
      </c>
      <c r="S426" s="5" t="n">
        <v>20</v>
      </c>
      <c r="T426" s="2" t="n">
        <v>45</v>
      </c>
      <c r="U426" s="2" t="inlineStr">
        <is>
          <t>low</t>
        </is>
      </c>
      <c r="V426" s="5" t="n">
        <v>9</v>
      </c>
      <c r="W426" s="2" t="inlineStr">
        <is>
          <t>low</t>
        </is>
      </c>
      <c r="X426" s="3" t="inlineStr"/>
      <c r="Y426" s="3" t="inlineStr">
        <is>
          <t>79% of this dish's available carbohydrate comes from ingredients with a published, measured GI; the rest uses conventional placeholders (see Ingredients sheet)</t>
        </is>
      </c>
      <c r="Z426" s="2" t="n">
        <v>79</v>
      </c>
      <c r="AA426" s="3" t="inlineStr">
        <is>
          <t>high-protein</t>
        </is>
      </c>
      <c r="AB426" s="3" t="inlineStr">
        <is>
          <t>1. Mix turkey with grated squeezed zucchini, garlic, oregano, egg, almond flour, salt; form meatballs; bake at 400°F 18 minutes.
2. Mix yogurt, grated cucumber, dill.
3. Serve in pita halves with tomato and tzatziki.</t>
        </is>
      </c>
      <c r="AC426" s="4" t="inlineStr">
        <is>
          <t>["Mix turkey with grated squeezed zucchini, garlic, oregano, egg, almond flour, salt; form meatballs; bake at 400°F 18 minutes.", "Mix yogurt, grated cucumber, dill.", "Serve in pita halves with tomato and tzatziki."]</t>
        </is>
      </c>
    </row>
    <row r="427" ht="96" customHeight="1">
      <c r="A427" s="2" t="inlineStr">
        <is>
          <t>DB-0426</t>
        </is>
      </c>
      <c r="B427" s="3" t="inlineStr">
        <is>
          <t>Classic Beef Chili (Bean-Heavy)</t>
        </is>
      </c>
      <c r="C427" s="4" t="inlineStr">
        <is>
          <t>Beef, Pork &amp; Lamb</t>
        </is>
      </c>
      <c r="D427" s="4" t="inlineStr">
        <is>
          <t>American</t>
        </is>
      </c>
      <c r="E427" s="2" t="n">
        <v>6</v>
      </c>
      <c r="F427" s="2" t="n">
        <v>15</v>
      </c>
      <c r="G427" s="2" t="n">
        <v>60</v>
      </c>
      <c r="H427" s="2" t="n">
        <v>75</v>
      </c>
      <c r="I427" s="4" t="inlineStr">
        <is>
          <t>classic-beef-chili-bean-heavy.jpg</t>
        </is>
      </c>
      <c r="J427" s="3" t="inlineStr">
        <is>
          <t>Classic Beef Chili (Bean-Heavy), healthy food photography, plated, natural light</t>
        </is>
      </c>
      <c r="K427" s="4" t="inlineStr"/>
      <c r="L427" s="3" t="inlineStr">
        <is>
          <t>Ground beef 90% lean — 600 g (21.2 oz)
Kidney beans, cooked — 400 g (14.1 oz)
Pinto beans, cooked — 300 g (10.6 oz)
Crushed tomatoes, canned — 800 g (28.2 oz)
Yellow onion — 150 g (5.3 oz)
Bell pepper — 150 g (5.3 oz)
Garlic — 10 g (0.4 oz)
Chili powder — 18 g (0.6 oz)
Ground cumin — 6 g (0.2 oz)
Dried oregano — 2 g (0.1 oz)
Smoked paprika — 3 g (0.1 oz)
Beef broth, low sodium — 300 g (10.6 oz)
Extra-virgin olive oil — 12 g (0.4 oz)
Salt — 4 g (0.1 oz)</t>
        </is>
      </c>
      <c r="M427" s="4" t="inlineStr">
        <is>
          <t>[{"ingredient_id": "ground_beef", "name": "Ground beef 90% lean", "grams": 600.0, "note": ""}, {"ingredient_id": "kidney_beans", "name": "Kidney beans, cooked", "grams": 400.0, "note": ""}, {"ingredient_id": "pinto_beans", "name": "Pinto beans, cooked", "grams": 300.0, "note": ""}, {"ingredient_id": "crushed_tomatoes", "name": "Crushed tomatoes, canned", "grams": 800.0, "note": ""}, {"ingredient_id": "onion", "name": "Yellow onion", "grams": 150.0, "note": ""}, {"ingredient_id": "bell_pepper", "name": "Bell pepper", "grams": 150.0, "note": ""}, {"ingredient_id": "garlic", "name": "Garlic", "grams": 10.0, "note": ""}, {"ingredient_id": "chili_powder", "name": "Chili powder", "grams": 18.0, "note": ""}, {"ingredient_id": "cumin", "name": "Ground cumin", "grams": 6.0, "note": ""}, {"ingredient_id": "oregano", "name": "Dried oregano", "grams": 2.0, "note": ""}, {"ingredient_id": "smoked_paprika", "name": "Smoked paprika", "grams": 3.0, "note": ""}, {"ingredient_id": "beef_broth", "name": "Beef broth, low sodium", "grams": 300.0, "note": ""}, {"ingredient_id": "olive_oil", "name": "Extra-virgin olive oil", "grams": 12.0, "note": ""}, {"ingredient_id": "salt", "name": "Salt", "grams": 4.0, "note": ""}]</t>
        </is>
      </c>
      <c r="N427" s="2" t="n">
        <v>431</v>
      </c>
      <c r="O427" s="5" t="n">
        <v>34.4</v>
      </c>
      <c r="P427" s="5" t="n">
        <v>14</v>
      </c>
      <c r="Q427" s="5" t="n">
        <v>44.5</v>
      </c>
      <c r="R427" s="5" t="n">
        <v>13.8</v>
      </c>
      <c r="S427" s="5" t="n">
        <v>30.8</v>
      </c>
      <c r="T427" s="2" t="n">
        <v>31</v>
      </c>
      <c r="U427" s="2" t="inlineStr">
        <is>
          <t>low</t>
        </is>
      </c>
      <c r="V427" s="5" t="n">
        <v>9.5</v>
      </c>
      <c r="W427" s="2" t="inlineStr">
        <is>
          <t>low</t>
        </is>
      </c>
      <c r="X427" s="3" t="inlineStr"/>
      <c r="Y427" s="3" t="inlineStr">
        <is>
          <t>63% of this dish's available carbohydrate comes from ingredients with a published, measured GI; the rest uses conventional placeholders (see Ingredients sheet)</t>
        </is>
      </c>
      <c r="Z427" s="2" t="n">
        <v>63</v>
      </c>
      <c r="AA427" s="3" t="inlineStr">
        <is>
          <t>gluten-free, dairy-free, nut-free, high-protein, high-fiber, make-ahead, freezer</t>
        </is>
      </c>
      <c r="AB427" s="3" t="inlineStr">
        <is>
          <t>1. Brown beef with onion and pepper in oil; drain fat; add garlic and spices.
2. Add tomatoes, beans, broth; simmer 45 minutes.
3. Serve with yogurt, cheddar and jalapeño.</t>
        </is>
      </c>
      <c r="AC427" s="4" t="inlineStr">
        <is>
          <t>["Brown beef with onion and pepper in oil; drain fat; add garlic and spices.", "Add tomatoes, beans, broth; simmer 45 minutes.", "Serve with yogurt, cheddar and jalapeño."]</t>
        </is>
      </c>
    </row>
    <row r="428" ht="96" customHeight="1">
      <c r="A428" s="2" t="inlineStr">
        <is>
          <t>DB-0427</t>
        </is>
      </c>
      <c r="B428" s="3" t="inlineStr">
        <is>
          <t>Steak with Chimichurri &amp; Roasted Broccoli</t>
        </is>
      </c>
      <c r="C428" s="4" t="inlineStr">
        <is>
          <t>Beef, Pork &amp; Lamb</t>
        </is>
      </c>
      <c r="D428" s="4" t="inlineStr">
        <is>
          <t>Argentinian</t>
        </is>
      </c>
      <c r="E428" s="2" t="n">
        <v>4</v>
      </c>
      <c r="F428" s="2" t="n">
        <v>10</v>
      </c>
      <c r="G428" s="2" t="n">
        <v>20</v>
      </c>
      <c r="H428" s="2" t="n">
        <v>30</v>
      </c>
      <c r="I428" s="4" t="inlineStr">
        <is>
          <t>steak-with-chimichurri-and-roasted-broccoli.jpg</t>
        </is>
      </c>
      <c r="J428" s="3" t="inlineStr">
        <is>
          <t>Steak with Chimichurri &amp; Roasted Broccoli, healthy food photography, plated, natural light</t>
        </is>
      </c>
      <c r="K428" s="4" t="inlineStr"/>
      <c r="L428" s="3" t="inlineStr">
        <is>
          <t>Flank steak — 600 g (21.2 oz)
Broccoli — 500 g (17.6 oz)
Fresh parsley — 30 g (1.1 oz)
Fresh cilantro — 10 g (0.4 oz)
Garlic — 8 g (0.3 oz)
Red wine vinegar — 15 g (0.5 oz)
Extra-virgin olive oil — 40 g (1.4 oz)
Dried oregano — 2 g (0.1 oz)
Red pepper flakes — 1 g (0.0 oz)
Salt — 3 g (0.1 oz)</t>
        </is>
      </c>
      <c r="M428" s="4" t="inlineStr">
        <is>
          <t>[{"ingredient_id": "flank_steak", "name": "Flank steak", "grams": 600.0, "note": ""}, {"ingredient_id": "broccoli", "name": "Broccoli", "grams": 500.0,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40.0, "note": ""}, {"ingredient_id": "oregano", "name": "Dried oregano", "grams": 2.0, "note": ""}, {"ingredient_id": "red_pepper_flakes", "name": "Red pepper flakes", "grams": 1.0, "note": ""}, {"ingredient_id": "salt", "name": "Salt", "grams": 3.0, "note": ""}]</t>
        </is>
      </c>
      <c r="N428" s="2" t="n">
        <v>365</v>
      </c>
      <c r="O428" s="5" t="n">
        <v>35.5</v>
      </c>
      <c r="P428" s="5" t="n">
        <v>21.1</v>
      </c>
      <c r="Q428" s="5" t="n">
        <v>10</v>
      </c>
      <c r="R428" s="5" t="n">
        <v>3.9</v>
      </c>
      <c r="S428" s="5" t="n">
        <v>6.1</v>
      </c>
      <c r="T428" s="2" t="n">
        <v>16</v>
      </c>
      <c r="U428" s="2" t="inlineStr">
        <is>
          <t>low</t>
        </is>
      </c>
      <c r="V428" s="5" t="n">
        <v>1</v>
      </c>
      <c r="W428" s="2" t="inlineStr">
        <is>
          <t>low</t>
        </is>
      </c>
      <c r="X428" s="3" t="inlineStr"/>
      <c r="Y428" s="3" t="inlineStr">
        <is>
          <t>0% of this dish's available carbohydrate comes from ingredients with a published, measured GI; the rest uses conventional placeholders (see Ingredients sheet)</t>
        </is>
      </c>
      <c r="Z428" s="2" t="n">
        <v>0</v>
      </c>
      <c r="AA428" s="3" t="inlineStr">
        <is>
          <t>gluten-free, dairy-free, nut-free, low-carb, high-protein</t>
        </is>
      </c>
      <c r="AB428" s="3" t="inlineStr">
        <is>
          <t>1. Roast broccoli with a third of the oil at 425°F 18 minutes.
2. Season steak; grill 4–5 minutes per side; rest 5 minutes and slice against the grain.
3. Blend remaining oil, herbs, garlic, vinegar, oregano, pepper flakes; spoon over steak.</t>
        </is>
      </c>
      <c r="AC428" s="4" t="inlineStr">
        <is>
          <t>["Roast broccoli with a third of the oil at 425°F 18 minutes.", "Season steak; grill 4–5 minutes per side; rest 5 minutes and slice against the grain.", "Blend remaining oil, herbs, garlic, vinegar, oregano, pepper flakes; spoon over steak."]</t>
        </is>
      </c>
    </row>
    <row r="429" ht="96" customHeight="1">
      <c r="A429" s="2" t="inlineStr">
        <is>
          <t>DB-0428</t>
        </is>
      </c>
      <c r="B429" s="3" t="inlineStr">
        <is>
          <t>Beef &amp; Broccoli Stir-Fry</t>
        </is>
      </c>
      <c r="C429" s="4" t="inlineStr">
        <is>
          <t>Beef, Pork &amp; Lamb</t>
        </is>
      </c>
      <c r="D429" s="4" t="inlineStr">
        <is>
          <t>Chinese-American</t>
        </is>
      </c>
      <c r="E429" s="2" t="n">
        <v>4</v>
      </c>
      <c r="F429" s="2" t="n">
        <v>15</v>
      </c>
      <c r="G429" s="2" t="n">
        <v>12</v>
      </c>
      <c r="H429" s="2" t="n">
        <v>27</v>
      </c>
      <c r="I429" s="4" t="inlineStr">
        <is>
          <t>beef-and-broccoli-stir-fry.jpg</t>
        </is>
      </c>
      <c r="J429" s="3" t="inlineStr">
        <is>
          <t>Beef &amp; Broccoli Stir-Fry, healthy food photography, plated, natural light</t>
        </is>
      </c>
      <c r="K429" s="4" t="inlineStr"/>
      <c r="L429" s="3" t="inlineStr">
        <is>
          <t>Flank steak — 550 g (19.4 oz)
Broccoli — 500 g (17.6 oz)
Tamari (gluten-free soy sauce) — 35 g (1.2 oz)
Garlic — 8 g (0.3 oz)
Fresh ginger — 8 g (0.3 oz)
Toasted sesame oil — 8 g (0.3 oz)
Rice vinegar, unseasoned — 10 g (0.4 oz)
Arrowroot starch — 5 g (0.2 oz)
Beef broth, low sodium — 80 g (2.8 oz)
Avocado oil — 12 g (0.4 oz)
Green onions (scallions) — 15 g (0.5 oz)
Cauliflower rice — 500 g (17.6 oz)</t>
        </is>
      </c>
      <c r="M429" s="4" t="inlineStr">
        <is>
          <t>[{"ingredient_id": "flank_steak", "name": "Flank steak", "grams": 550.0, "note": ""}, {"ingredient_id": "broccoli", "name": "Broccoli", "grams": 500.0, "note": ""}, {"ingredient_id": "tamari", "name": "Tamari (gluten-free soy sauce)", "grams": 35.0, "note": ""}, {"ingredient_id": "garlic", "name": "Garlic", "grams": 8.0, "note": ""}, {"ingredient_id": "ginger", "name": "Fresh ginger", "grams": 8.0, "note": ""}, {"ingredient_id": "sesame_oil", "name": "Toasted sesame oil", "grams": 8.0, "note": ""}, {"ingredient_id": "rice_vinegar", "name": "Rice vinegar, unseasoned", "grams": 10.0, "note": ""}, {"ingredient_id": "arrowroot", "name": "Arrowroot starch", "grams": 5.0, "note": ""}, {"ingredient_id": "beef_broth", "name": "Beef broth, low sodium", "grams": 80.0, "note": ""}, {"ingredient_id": "avocado_oil", "name": "Avocado oil", "grams": 12.0, "note": ""}, {"ingredient_id": "green_onion", "name": "Green onions (scallions)", "grams": 15.0, "note": ""}, {"ingredient_id": "cauliflower_rice", "name": "Cauliflower rice", "grams": 500.0, "note": ""}]</t>
        </is>
      </c>
      <c r="N429" s="2" t="n">
        <v>342</v>
      </c>
      <c r="O429" s="5" t="n">
        <v>36.1</v>
      </c>
      <c r="P429" s="5" t="n">
        <v>15.6</v>
      </c>
      <c r="Q429" s="5" t="n">
        <v>17.4</v>
      </c>
      <c r="R429" s="5" t="n">
        <v>6</v>
      </c>
      <c r="S429" s="5" t="n">
        <v>11.4</v>
      </c>
      <c r="T429" s="2" t="n">
        <v>20</v>
      </c>
      <c r="U429" s="2" t="inlineStr">
        <is>
          <t>low</t>
        </is>
      </c>
      <c r="V429" s="5" t="n">
        <v>2.3</v>
      </c>
      <c r="W429" s="2" t="inlineStr">
        <is>
          <t>low</t>
        </is>
      </c>
      <c r="X429" s="3" t="inlineStr"/>
      <c r="Y429" s="3" t="inlineStr">
        <is>
          <t>9% of this dish's available carbohydrate comes from ingredients with a published, measured GI; the rest uses conventional placeholders (see Ingredients sheet)</t>
        </is>
      </c>
      <c r="Z429" s="2" t="n">
        <v>9</v>
      </c>
      <c r="AA429" s="3" t="inlineStr">
        <is>
          <t>gluten-free, dairy-free, nut-free, low-carb, high-protein, quick</t>
        </is>
      </c>
      <c r="AB429" s="3" t="inlineStr">
        <is>
          <t>1. Toss sliced beef with arrowroot and half the tamari; sear in avocado oil; remove.
2. Stir-fry broccoli, garlic, ginger 4 minutes; add broth, remaining tamari, vinegar; cover 2 minutes.
3. Return beef with sesame oil; serve over cauliflower rice with green onion.</t>
        </is>
      </c>
      <c r="AC429" s="4" t="inlineStr">
        <is>
          <t>["Toss sliced beef with arrowroot and half the tamari; sear in avocado oil; remove.", "Stir-fry broccoli, garlic, ginger 4 minutes; add broth, remaining tamari, vinegar; cover 2 minutes.", "Return beef with sesame oil; serve over cauliflower rice with green onion."]</t>
        </is>
      </c>
    </row>
    <row r="430" ht="96" customHeight="1">
      <c r="A430" s="2" t="inlineStr">
        <is>
          <t>DB-0429</t>
        </is>
      </c>
      <c r="B430" s="3" t="inlineStr">
        <is>
          <t>Pork Tenderloin with Apple &amp; Sage</t>
        </is>
      </c>
      <c r="C430" s="4" t="inlineStr">
        <is>
          <t>Beef, Pork &amp; Lamb</t>
        </is>
      </c>
      <c r="D430" s="4" t="inlineStr">
        <is>
          <t>American</t>
        </is>
      </c>
      <c r="E430" s="2" t="n">
        <v>4</v>
      </c>
      <c r="F430" s="2" t="n">
        <v>10</v>
      </c>
      <c r="G430" s="2" t="n">
        <v>25</v>
      </c>
      <c r="H430" s="2" t="n">
        <v>35</v>
      </c>
      <c r="I430" s="4" t="inlineStr">
        <is>
          <t>pork-tenderloin-with-apple-and-sage.jpg</t>
        </is>
      </c>
      <c r="J430" s="3" t="inlineStr">
        <is>
          <t>Pork Tenderloin with Apple &amp; Sage, healthy food photography, plated, natural light</t>
        </is>
      </c>
      <c r="K430" s="4" t="inlineStr"/>
      <c r="L430" s="3" t="inlineStr">
        <is>
          <t>Pork tenderloin — 600 g (21.2 oz)
Apple — 200 g (7.1 oz)
Yellow onion — 100 g (3.5 oz)
Fresh sage — 4 g (0.1 oz)
Dijon mustard — 15 g (0.5 oz)
Apple cider vinegar — 15 g (0.5 oz)
Chicken broth, low sodium — 100 g (3.5 oz)
Extra-virgin olive oil — 15 g (0.5 oz)
Brussels sprouts — 400 g (14.1 oz)
Salt — 3 g (0.1 oz)</t>
        </is>
      </c>
      <c r="M430" s="4" t="inlineStr">
        <is>
          <t>[{"ingredient_id": "pork_tenderloin", "name": "Pork tenderloin", "grams": 600.0, "note": ""}, {"ingredient_id": "apple", "name": "Apple", "grams": 200.0, "note": ""}, {"ingredient_id": "onion", "name": "Yellow onion", "grams": 100.0, "note": ""}, {"ingredient_id": "sage", "name": "Fresh sage", "grams": 4.0, "note": ""}, {"ingredient_id": "dijon", "name": "Dijon mustard", "grams": 15.0, "note": ""}, {"ingredient_id": "apple_cider_vinegar", "name": "Apple cider vinegar", "grams": 15.0, "note": ""}, {"ingredient_id": "chicken_broth", "name": "Chicken broth, low sodium", "grams": 100.0, "note": ""}, {"ingredient_id": "olive_oil", "name": "Extra-virgin olive oil", "grams": 15.0, "note": ""}, {"ingredient_id": "brussels_sprouts", "name": "Brussels sprouts", "grams": 400.0, "note": ""}, {"ingredient_id": "salt", "name": "Salt", "grams": 3.0, "note": ""}]</t>
        </is>
      </c>
      <c r="N430" s="2" t="n">
        <v>300</v>
      </c>
      <c r="O430" s="5" t="n">
        <v>35.8</v>
      </c>
      <c r="P430" s="5" t="n">
        <v>9.699999999999999</v>
      </c>
      <c r="Q430" s="5" t="n">
        <v>19.3</v>
      </c>
      <c r="R430" s="5" t="n">
        <v>5.9</v>
      </c>
      <c r="S430" s="5" t="n">
        <v>13.3</v>
      </c>
      <c r="T430" s="2" t="n">
        <v>24</v>
      </c>
      <c r="U430" s="2" t="inlineStr">
        <is>
          <t>low</t>
        </is>
      </c>
      <c r="V430" s="5" t="n">
        <v>3.2</v>
      </c>
      <c r="W430" s="2" t="inlineStr">
        <is>
          <t>low</t>
        </is>
      </c>
      <c r="X430" s="3" t="inlineStr"/>
      <c r="Y430" s="3" t="inlineStr">
        <is>
          <t>43% of this dish's available carbohydrate comes from ingredients with a published, measured GI; the rest uses conventional placeholders (see Ingredients sheet)</t>
        </is>
      </c>
      <c r="Z430" s="2" t="n">
        <v>43</v>
      </c>
      <c r="AA430" s="3" t="inlineStr">
        <is>
          <t>gluten-free, dairy-free, nut-free, low-carb, high-protein</t>
        </is>
      </c>
      <c r="AB430" s="3" t="inlineStr">
        <is>
          <t>1. Season pork; sear in oil; roast at 425°F 15 minutes; rest.
2. Sauté onion and apple slices with sage; add Dijon, vinegar, broth; reduce.
3. Slice pork; serve with apple-sage pan sauce and roasted sprouts.</t>
        </is>
      </c>
      <c r="AC430" s="4" t="inlineStr">
        <is>
          <t>["Season pork; sear in oil; roast at 425°F 15 minutes; rest.", "Sauté onion and apple slices with sage; add Dijon, vinegar, broth; reduce.", "Slice pork; serve with apple-sage pan sauce and roasted sprouts."]</t>
        </is>
      </c>
    </row>
    <row r="431" ht="96" customHeight="1">
      <c r="A431" s="2" t="inlineStr">
        <is>
          <t>DB-0430</t>
        </is>
      </c>
      <c r="B431" s="3" t="inlineStr">
        <is>
          <t>Beef Lettuce Wrap Tacos</t>
        </is>
      </c>
      <c r="C431" s="4" t="inlineStr">
        <is>
          <t>Beef, Pork &amp; Lamb</t>
        </is>
      </c>
      <c r="D431" s="4" t="inlineStr">
        <is>
          <t>Tex-Mex</t>
        </is>
      </c>
      <c r="E431" s="2" t="n">
        <v>4</v>
      </c>
      <c r="F431" s="2" t="n">
        <v>10</v>
      </c>
      <c r="G431" s="2" t="n">
        <v>12</v>
      </c>
      <c r="H431" s="2" t="n">
        <v>22</v>
      </c>
      <c r="I431" s="4" t="inlineStr">
        <is>
          <t>beef-lettuce-wrap-tacos.jpg</t>
        </is>
      </c>
      <c r="J431" s="3" t="inlineStr">
        <is>
          <t>Beef Lettuce Wrap Tacos, healthy food photography, plated, natural light</t>
        </is>
      </c>
      <c r="K431" s="4" t="inlineStr"/>
      <c r="L431" s="3" t="inlineStr">
        <is>
          <t>Ground beef 90% lean — 600 g (21.2 oz)
Taco seasoning, low sodium — 12 g (0.4 oz)
Butter lettuce — 200 g (7.1 oz)
Pico de gallo — 200 g (7.1 oz)
Avocado — 120 g (4.2 oz)
Cheddar cheese — 60 g (2.1 oz)
Greek yogurt, plain 2% — 60 g (2.1 oz)
Jalapeño — 15 g (0.5 oz)
Lime — 30 g (1.1 oz)</t>
        </is>
      </c>
      <c r="M431" s="4" t="inlineStr">
        <is>
          <t>[{"ingredient_id": "ground_beef", "name": "Ground beef 90% lean", "grams": 600.0, "note": ""}, {"ingredient_id": "taco_seasoning", "name": "Taco seasoning, low sodium", "grams": 12.0, "note": ""}, {"ingredient_id": "butter_lettuce", "name": "Butter lettuce", "grams": 200.0, "note": ""}, {"ingredient_id": "pico_de_gallo", "name": "Pico de gallo", "grams": 200.0, "note": ""}, {"ingredient_id": "avocado", "name": "Avocado", "grams": 120.0, "note": ""}, {"ingredient_id": "cheddar", "name": "Cheddar cheese", "grams": 60.0, "note": ""}, {"ingredient_id": "greek_yogurt", "name": "Greek yogurt, plain 2%", "grams": 60.0, "note": ""}, {"ingredient_id": "jalapeno", "name": "Jalapeño", "grams": 15.0, "note": ""}, {"ingredient_id": "lime", "name": "Lime", "grams": 30.0, "note": ""}]</t>
        </is>
      </c>
      <c r="N431" s="2" t="n">
        <v>412</v>
      </c>
      <c r="O431" s="5" t="n">
        <v>37.1</v>
      </c>
      <c r="P431" s="5" t="n">
        <v>25.2</v>
      </c>
      <c r="Q431" s="5" t="n">
        <v>9.4</v>
      </c>
      <c r="R431" s="5" t="n">
        <v>4.2</v>
      </c>
      <c r="S431" s="5" t="n">
        <v>5.2</v>
      </c>
      <c r="T431" s="2" t="n">
        <v>15</v>
      </c>
      <c r="U431" s="2" t="inlineStr">
        <is>
          <t>low</t>
        </is>
      </c>
      <c r="V431" s="5" t="n">
        <v>0.8</v>
      </c>
      <c r="W431" s="2" t="inlineStr">
        <is>
          <t>low</t>
        </is>
      </c>
      <c r="X431" s="3" t="inlineStr"/>
      <c r="Y431" s="3" t="inlineStr">
        <is>
          <t>12% of this dish's available carbohydrate comes from ingredients with a published, measured GI; the rest uses conventional placeholders (see Ingredients sheet)</t>
        </is>
      </c>
      <c r="Z431" s="2" t="n">
        <v>12</v>
      </c>
      <c r="AA431" s="3" t="inlineStr">
        <is>
          <t>gluten-free, nut-free, low-carb, high-protein, quick</t>
        </is>
      </c>
      <c r="AB431" s="3" t="inlineStr">
        <is>
          <t>1. Brown beef with taco seasoning; drain.
2. Spoon into lettuce leaves.
3. Top with pico, avocado, cheddar, yogurt, jalapeño and lime.</t>
        </is>
      </c>
      <c r="AC431" s="4" t="inlineStr">
        <is>
          <t>["Brown beef with taco seasoning; drain.", "Spoon into lettuce leaves.", "Top with pico, avocado, cheddar, yogurt, jalapeño and lime."]</t>
        </is>
      </c>
    </row>
    <row r="432" ht="96" customHeight="1">
      <c r="A432" s="2" t="inlineStr">
        <is>
          <t>DB-0431</t>
        </is>
      </c>
      <c r="B432" s="3" t="inlineStr">
        <is>
          <t>Pork Chops with Sautéed Cabbage &amp; Mustard</t>
        </is>
      </c>
      <c r="C432" s="4" t="inlineStr">
        <is>
          <t>Beef, Pork &amp; Lamb</t>
        </is>
      </c>
      <c r="D432" s="4" t="inlineStr">
        <is>
          <t>German</t>
        </is>
      </c>
      <c r="E432" s="2" t="n">
        <v>4</v>
      </c>
      <c r="F432" s="2" t="n">
        <v>10</v>
      </c>
      <c r="G432" s="2" t="n">
        <v>25</v>
      </c>
      <c r="H432" s="2" t="n">
        <v>35</v>
      </c>
      <c r="I432" s="4" t="inlineStr">
        <is>
          <t>pork-chops-with-saut-ed-cabbage-and-mustard.jpg</t>
        </is>
      </c>
      <c r="J432" s="3" t="inlineStr">
        <is>
          <t>Pork Chops with Sautéed Cabbage &amp; Mustard, healthy food photography, plated, natural light</t>
        </is>
      </c>
      <c r="K432" s="4" t="inlineStr"/>
      <c r="L432" s="3" t="inlineStr">
        <is>
          <t>Pork loin chop, trimmed — 700 g (24.7 oz)
Green cabbage — 600 g (21.2 oz)
Yellow onion — 100 g (3.5 oz)
Apple cider vinegar — 20 g (0.7 oz)
Dijon mustard — 20 g (0.7 oz)
Extra-virgin olive oil — 18 g (0.6 oz)
Chicken broth, low sodium — 100 g (3.5 oz)
Salt — 3 g (0.1 oz)</t>
        </is>
      </c>
      <c r="M432" s="4" t="inlineStr">
        <is>
          <t>[{"ingredient_id": "pork_chop", "name": "Pork loin chop, trimmed", "grams": 700.0, "note": ""}, {"ingredient_id": "cabbage", "name": "Green cabbage", "grams": 600.0, "note": ""}, {"ingredient_id": "onion", "name": "Yellow onion", "grams": 100.0, "note": ""}, {"ingredient_id": "apple_cider_vinegar", "name": "Apple cider vinegar", "grams": 20.0, "note": ""}, {"ingredient_id": "dijon", "name": "Dijon mustard", "grams": 20.0, "note": ""}, {"ingredient_id": "olive_oil", "name": "Extra-virgin olive oil", "grams": 18.0, "note": ""}, {"ingredient_id": "chicken_broth", "name": "Chicken broth, low sodium", "grams": 100.0, "note": ""}, {"ingredient_id": "salt", "name": "Salt", "grams": 3.0, "note": ""}]</t>
        </is>
      </c>
      <c r="N432" s="2" t="n">
        <v>356</v>
      </c>
      <c r="O432" s="5" t="n">
        <v>41.2</v>
      </c>
      <c r="P432" s="5" t="n">
        <v>16.3</v>
      </c>
      <c r="Q432" s="5" t="n">
        <v>11.4</v>
      </c>
      <c r="R432" s="5" t="n">
        <v>4.3</v>
      </c>
      <c r="S432" s="5" t="n">
        <v>7.1</v>
      </c>
      <c r="T432" s="2" t="n">
        <v>15</v>
      </c>
      <c r="U432" s="2" t="inlineStr">
        <is>
          <t>low</t>
        </is>
      </c>
      <c r="V432" s="5" t="n">
        <v>1.1</v>
      </c>
      <c r="W432" s="2" t="inlineStr">
        <is>
          <t>low</t>
        </is>
      </c>
      <c r="X432" s="3" t="inlineStr"/>
      <c r="Y432" s="3" t="inlineStr">
        <is>
          <t>0% of this dish's available carbohydrate comes from ingredients with a published, measured GI; the rest uses conventional placeholders (see Ingredients sheet)</t>
        </is>
      </c>
      <c r="Z432" s="2" t="n">
        <v>0</v>
      </c>
      <c r="AA432" s="3" t="inlineStr">
        <is>
          <t>gluten-free, dairy-free, nut-free, low-carb, high-protein, one-pan</t>
        </is>
      </c>
      <c r="AB432" s="3" t="inlineStr">
        <is>
          <t>1. Season chops; sear in oil 4 minutes per side; rest.
2. Sauté onion and cabbage in the pan 8 minutes; add vinegar, broth and Dijon.
3. Serve chops over the cabbage.</t>
        </is>
      </c>
      <c r="AC432" s="4" t="inlineStr">
        <is>
          <t>["Season chops; sear in oil 4 minutes per side; rest.", "Sauté onion and cabbage in the pan 8 minutes; add vinegar, broth and Dijon.", "Serve chops over the cabbage."]</t>
        </is>
      </c>
    </row>
    <row r="433" ht="96" customHeight="1">
      <c r="A433" s="2" t="inlineStr">
        <is>
          <t>DB-0432</t>
        </is>
      </c>
      <c r="B433" s="3" t="inlineStr">
        <is>
          <t>Beef &amp; Vegetable Kabobs</t>
        </is>
      </c>
      <c r="C433" s="4" t="inlineStr">
        <is>
          <t>Beef, Pork &amp; Lamb</t>
        </is>
      </c>
      <c r="D433" s="4" t="inlineStr">
        <is>
          <t>Mediterranean</t>
        </is>
      </c>
      <c r="E433" s="2" t="n">
        <v>4</v>
      </c>
      <c r="F433" s="2" t="n">
        <v>20</v>
      </c>
      <c r="G433" s="2" t="n">
        <v>12</v>
      </c>
      <c r="H433" s="2" t="n">
        <v>32</v>
      </c>
      <c r="I433" s="4" t="inlineStr">
        <is>
          <t>beef-and-vegetable-kabobs.jpg</t>
        </is>
      </c>
      <c r="J433" s="3" t="inlineStr">
        <is>
          <t>Beef &amp; Vegetable Kabobs, healthy food photography, plated, natural light</t>
        </is>
      </c>
      <c r="K433" s="4" t="inlineStr"/>
      <c r="L433" s="3" t="inlineStr">
        <is>
          <t>Beef sirloin, trimmed — 600 g (21.2 oz)
Bell pepper — 200 g (7.1 oz)
Zucchini — 200 g (7.1 oz)
Red onion — 100 g (3.5 oz)
Cherry tomatoes — 150 g (5.3 oz)
Extra-virgin olive oil — 25 g (0.9 oz)
Lemon juice — 20 g (0.7 oz)
Garlic — 8 g (0.3 oz)
Dried oregano — 3 g (0.1 oz)
Ground cumin — 2 g (0.1 oz)
Greek yogurt, plain 2% — 120 g (4.2 oz)
Fresh mint — 5 g (0.2 oz)
Salt — 3 g (0.1 oz)</t>
        </is>
      </c>
      <c r="M433" s="4" t="inlineStr">
        <is>
          <t>[{"ingredient_id": "beef_sirloin", "name": "Beef sirloin, trimmed", "grams": 600.0, "note": ""}, {"ingredient_id": "bell_pepper", "name": "Bell pepper", "grams": 200.0, "note": ""}, {"ingredient_id": "zucchini", "name": "Zucchini", "grams": 200.0, "note": ""}, {"ingredient_id": "red_onion", "name": "Red onion", "grams": 100.0, "note": ""}, {"ingredient_id": "cherry_tomato", "name": "Cherry tomatoes", "grams": 150.0, "note": ""}, {"ingredient_id": "olive_oil", "name": "Extra-virgin olive oil", "grams": 25.0, "note": ""}, {"ingredient_id": "lemon_juice", "name": "Lemon juice", "grams": 20.0, "note": ""}, {"ingredient_id": "garlic", "name": "Garlic", "grams": 8.0, "note": ""}, {"ingredient_id": "oregano", "name": "Dried oregano", "grams": 3.0, "note": ""}, {"ingredient_id": "cumin", "name": "Ground cumin", "grams": 2.0, "note": ""}, {"ingredient_id": "greek_yogurt", "name": "Greek yogurt, plain 2%", "grams": 120.0, "note": ""}, {"ingredient_id": "mint", "name": "Fresh mint", "grams": 5.0, "note": ""}, {"ingredient_id": "salt", "name": "Salt", "grams": 3.0, "note": ""}]</t>
        </is>
      </c>
      <c r="N433" s="2" t="n">
        <v>321</v>
      </c>
      <c r="O433" s="5" t="n">
        <v>38.1</v>
      </c>
      <c r="P433" s="5" t="n">
        <v>14.2</v>
      </c>
      <c r="Q433" s="5" t="n">
        <v>11.4</v>
      </c>
      <c r="R433" s="5" t="n">
        <v>2.9</v>
      </c>
      <c r="S433" s="5" t="n">
        <v>8.4</v>
      </c>
      <c r="T433" s="2" t="n">
        <v>16</v>
      </c>
      <c r="U433" s="2" t="inlineStr">
        <is>
          <t>low</t>
        </is>
      </c>
      <c r="V433" s="5" t="n">
        <v>1.4</v>
      </c>
      <c r="W433" s="2" t="inlineStr">
        <is>
          <t>low</t>
        </is>
      </c>
      <c r="X433" s="3" t="inlineStr"/>
      <c r="Y433" s="3" t="inlineStr">
        <is>
          <t>14% of this dish's available carbohydrate comes from ingredients with a published, measured GI; the rest uses conventional placeholders (see Ingredients sheet)</t>
        </is>
      </c>
      <c r="Z433" s="2" t="n">
        <v>14</v>
      </c>
      <c r="AA433" s="3" t="inlineStr">
        <is>
          <t>gluten-free, nut-free, low-carb, high-protein</t>
        </is>
      </c>
      <c r="AB433" s="3" t="inlineStr">
        <is>
          <t>1. Marinate beef cubes in oil, lemon, garlic, oregano, cumin 20 minutes.
2. Thread with vegetables; grill 10–12 minutes.
3. Serve with yogurt-mint sauce.</t>
        </is>
      </c>
      <c r="AC433" s="4" t="inlineStr">
        <is>
          <t>["Marinate beef cubes in oil, lemon, garlic, oregano, cumin 20 minutes.", "Thread with vegetables; grill 10–12 minutes.", "Serve with yogurt-mint sauce."]</t>
        </is>
      </c>
    </row>
    <row r="434" ht="96" customHeight="1">
      <c r="A434" s="2" t="inlineStr">
        <is>
          <t>DB-0433</t>
        </is>
      </c>
      <c r="B434" s="3" t="inlineStr">
        <is>
          <t>Meatloaf with Hidden Vegetables</t>
        </is>
      </c>
      <c r="C434" s="4" t="inlineStr">
        <is>
          <t>Beef, Pork &amp; Lamb</t>
        </is>
      </c>
      <c r="D434" s="4" t="inlineStr">
        <is>
          <t>American</t>
        </is>
      </c>
      <c r="E434" s="2" t="n">
        <v>6</v>
      </c>
      <c r="F434" s="2" t="n">
        <v>15</v>
      </c>
      <c r="G434" s="2" t="n">
        <v>60</v>
      </c>
      <c r="H434" s="2" t="n">
        <v>75</v>
      </c>
      <c r="I434" s="4" t="inlineStr">
        <is>
          <t>meatloaf-with-hidden-vegetables.jpg</t>
        </is>
      </c>
      <c r="J434" s="3" t="inlineStr">
        <is>
          <t>Meatloaf with Hidden Vegetables, healthy food photography, plated, natural light</t>
        </is>
      </c>
      <c r="K434" s="4" t="inlineStr"/>
      <c r="L434" s="3" t="inlineStr">
        <is>
          <t>Ground beef 90% lean — 800 g (28.2 oz)
Mushrooms (cremini/white) — 200 g (7.1 oz)
Carrot — 100 g (3.5 oz)
Yellow onion — 100 g (3.5 oz)
Egg, large (50 g each) — 100 g (3.5 oz)
Rolled oats, dry — 50 g (1.8 oz)
Garlic — 8 g (0.3 oz)
Dijon mustard — 15 g (0.5 oz)
Tomato paste — 50 g (1.8 oz)
Apple cider vinegar — 10 g (0.4 oz)
Fresh thyme — 2 g (0.1 oz)
Salt — 4 g (0.1 oz)</t>
        </is>
      </c>
      <c r="M434" s="4" t="inlineStr">
        <is>
          <t>[{"ingredient_id": "ground_beef", "name": "Ground beef 90% lean", "grams": 800.0, "note": ""}, {"ingredient_id": "mushrooms", "name": "Mushrooms (cremini/white)", "grams": 200.0, "note": ""}, {"ingredient_id": "carrot", "name": "Carrot", "grams": 100.0, "note": ""}, {"ingredient_id": "onion", "name": "Yellow onion", "grams": 100.0, "note": ""}, {"ingredient_id": "egg", "name": "Egg, large (50 g each)", "grams": 100.0, "note": ""}, {"ingredient_id": "rolled_oats", "name": "Rolled oats, dry", "grams": 50.0, "note": ""}, {"ingredient_id": "garlic", "name": "Garlic", "grams": 8.0, "note": ""}, {"ingredient_id": "dijon", "name": "Dijon mustard", "grams": 15.0, "note": ""}, {"ingredient_id": "tomato_paste", "name": "Tomato paste", "grams": 50.0, "note": ""}, {"ingredient_id": "apple_cider_vinegar", "name": "Apple cider vinegar", "grams": 10.0, "note": ""}, {"ingredient_id": "thyme", "name": "Fresh thyme", "grams": 2.0, "note": ""}, {"ingredient_id": "salt", "name": "Salt", "grams": 4.0, "note": ""}]</t>
        </is>
      </c>
      <c r="N434" s="2" t="n">
        <v>322</v>
      </c>
      <c r="O434" s="5" t="n">
        <v>31.8</v>
      </c>
      <c r="P434" s="5" t="n">
        <v>15.7</v>
      </c>
      <c r="Q434" s="5" t="n">
        <v>12.3</v>
      </c>
      <c r="R434" s="5" t="n">
        <v>2.4</v>
      </c>
      <c r="S434" s="5" t="n">
        <v>9.9</v>
      </c>
      <c r="T434" s="2" t="n">
        <v>41</v>
      </c>
      <c r="U434" s="2" t="inlineStr">
        <is>
          <t>low</t>
        </is>
      </c>
      <c r="V434" s="5" t="n">
        <v>4</v>
      </c>
      <c r="W434" s="2" t="inlineStr">
        <is>
          <t>low</t>
        </is>
      </c>
      <c r="X434" s="3" t="inlineStr"/>
      <c r="Y434" s="3" t="inlineStr">
        <is>
          <t>60% of this dish's available carbohydrate comes from ingredients with a published, measured GI; the rest uses conventional placeholders (see Ingredients sheet)</t>
        </is>
      </c>
      <c r="Z434" s="2" t="n">
        <v>60</v>
      </c>
      <c r="AA434" s="3" t="inlineStr">
        <is>
          <t>dairy-free, nut-free, low-carb, high-protein, make-ahead</t>
        </is>
      </c>
      <c r="AB434" s="3" t="inlineStr">
        <is>
          <t>1. Pulse mushrooms, carrot, onion finely; sauté 5 minutes; cool.
2. Mix with beef, eggs, oats, garlic, Dijon, thyme, salt; shape a loaf.
3. Glaze with tomato paste and vinegar; bake at 375°F 55–60 minutes.</t>
        </is>
      </c>
      <c r="AC434" s="4" t="inlineStr">
        <is>
          <t>["Pulse mushrooms, carrot, onion finely; sauté 5 minutes; cool.", "Mix with beef, eggs, oats, garlic, Dijon, thyme, salt; shape a loaf.", "Glaze with tomato paste and vinegar; bake at 375°F 55–60 minutes."]</t>
        </is>
      </c>
    </row>
    <row r="435" ht="96" customHeight="1">
      <c r="A435" s="2" t="inlineStr">
        <is>
          <t>DB-0434</t>
        </is>
      </c>
      <c r="B435" s="3" t="inlineStr">
        <is>
          <t>Bison Burgers with Portobello Buns</t>
        </is>
      </c>
      <c r="C435" s="4" t="inlineStr">
        <is>
          <t>Beef, Pork &amp; Lamb</t>
        </is>
      </c>
      <c r="D435" s="4" t="inlineStr">
        <is>
          <t>American</t>
        </is>
      </c>
      <c r="E435" s="2" t="n">
        <v>4</v>
      </c>
      <c r="F435" s="2" t="n">
        <v>10</v>
      </c>
      <c r="G435" s="2" t="n">
        <v>15</v>
      </c>
      <c r="H435" s="2" t="n">
        <v>25</v>
      </c>
      <c r="I435" s="4" t="inlineStr">
        <is>
          <t>bison-burgers-with-portobello-buns.jpg</t>
        </is>
      </c>
      <c r="J435" s="3" t="inlineStr">
        <is>
          <t>Bison Burgers with Portobello Buns, healthy food photography, plated, natural light</t>
        </is>
      </c>
      <c r="K435" s="4" t="inlineStr"/>
      <c r="L435" s="3" t="inlineStr">
        <is>
          <t>Ground bison — 600 g (21.2 oz)
Portobello mushrooms — 600 g (21.2 oz) [8 caps]
Cheddar cheese — 80 g (2.8 oz)
Tomato — 150 g (5.3 oz)
Red onion — 50 g (1.8 oz)
Arugula — 60 g (2.1 oz)
Dijon mustard — 15 g (0.5 oz)
Extra-virgin olive oil — 15 g (0.5 oz)
Salt — 3 g (0.1 oz)</t>
        </is>
      </c>
      <c r="M435" s="4" t="inlineStr">
        <is>
          <t>[{"ingredient_id": "bison", "name": "Ground bison", "grams": 600.0, "note": ""}, {"ingredient_id": "portobello", "name": "Portobello mushrooms", "grams": 600.0, "note": "8 caps"}, {"ingredient_id": "cheddar", "name": "Cheddar cheese", "grams": 80.0, "note": ""}, {"ingredient_id": "tomato", "name": "Tomato", "grams": 150.0, "note": ""}, {"ingredient_id": "red_onion", "name": "Red onion", "grams": 50.0, "note": ""}, {"ingredient_id": "arugula", "name": "Arugula", "grams": 60.0, "note": ""}, {"ingredient_id": "dijon", "name": "Dijon mustard", "grams": 15.0, "note": ""}, {"ingredient_id": "olive_oil", "name": "Extra-virgin olive oil", "grams": 15.0, "note": ""}, {"ingredient_id": "salt", "name": "Salt", "grams": 3.0, "note": ""}]</t>
        </is>
      </c>
      <c r="N435" s="2" t="n">
        <v>382</v>
      </c>
      <c r="O435" s="5" t="n">
        <v>38.8</v>
      </c>
      <c r="P435" s="5" t="n">
        <v>21.8</v>
      </c>
      <c r="Q435" s="5" t="n">
        <v>9.5</v>
      </c>
      <c r="R435" s="5" t="n">
        <v>3</v>
      </c>
      <c r="S435" s="5" t="n">
        <v>6.5</v>
      </c>
      <c r="T435" s="2" t="n">
        <v>14</v>
      </c>
      <c r="U435" s="2" t="inlineStr">
        <is>
          <t>low</t>
        </is>
      </c>
      <c r="V435" s="5" t="n">
        <v>0.9</v>
      </c>
      <c r="W435" s="2" t="inlineStr">
        <is>
          <t>low</t>
        </is>
      </c>
      <c r="X435" s="3" t="inlineStr"/>
      <c r="Y435" s="3" t="inlineStr">
        <is>
          <t>0% of this dish's available carbohydrate comes from ingredients with a published, measured GI; the rest uses conventional placeholders (see Ingredients sheet)</t>
        </is>
      </c>
      <c r="Z435" s="2" t="n">
        <v>0</v>
      </c>
      <c r="AA435" s="3" t="inlineStr">
        <is>
          <t>gluten-free, nut-free, low-carb, high-protein</t>
        </is>
      </c>
      <c r="AB435" s="3" t="inlineStr">
        <is>
          <t>1. Brush portobellos with oil; grill 4 minutes per side.
2. Form bison patties; grill 5 minutes per side; top with cheddar.
3. Assemble burgers between mushroom caps with tomato, onion, arugula, Dijon.</t>
        </is>
      </c>
      <c r="AC435" s="4" t="inlineStr">
        <is>
          <t>["Brush portobellos with oil; grill 4 minutes per side.", "Form bison patties; grill 5 minutes per side; top with cheddar.", "Assemble burgers between mushroom caps with tomato, onion, arugula, Dijon."]</t>
        </is>
      </c>
    </row>
    <row r="436" ht="96" customHeight="1">
      <c r="A436" s="2" t="inlineStr">
        <is>
          <t>DB-0435</t>
        </is>
      </c>
      <c r="B436" s="3" t="inlineStr">
        <is>
          <t>Pork Stir-Fry with Snap Peas &amp; Ginger</t>
        </is>
      </c>
      <c r="C436" s="4" t="inlineStr">
        <is>
          <t>Beef, Pork &amp; Lamb</t>
        </is>
      </c>
      <c r="D436" s="4" t="inlineStr">
        <is>
          <t>Chinese-American</t>
        </is>
      </c>
      <c r="E436" s="2" t="n">
        <v>4</v>
      </c>
      <c r="F436" s="2" t="n">
        <v>15</v>
      </c>
      <c r="G436" s="2" t="n">
        <v>12</v>
      </c>
      <c r="H436" s="2" t="n">
        <v>27</v>
      </c>
      <c r="I436" s="4" t="inlineStr">
        <is>
          <t>pork-stir-fry-with-snap-peas-and-ginger.jpg</t>
        </is>
      </c>
      <c r="J436" s="3" t="inlineStr">
        <is>
          <t>Pork Stir-Fry with Snap Peas &amp; Ginger, healthy food photography, plated, natural light</t>
        </is>
      </c>
      <c r="K436" s="4" t="inlineStr"/>
      <c r="L436" s="3" t="inlineStr">
        <is>
          <t>Pork tenderloin — 550 g (19.4 oz)
Sugar snap peas — 300 g (10.6 oz)
Bell pepper — 150 g (5.3 oz)
Fresh ginger — 12 g (0.4 oz)
Garlic — 8 g (0.3 oz)
Tamari (gluten-free soy sauce) — 30 g (1.1 oz)
Rice vinegar, unseasoned — 12 g (0.4 oz)
Toasted sesame oil — 8 g (0.3 oz)
Arrowroot starch — 5 g (0.2 oz)
Avocado oil — 12 g (0.4 oz)
Cauliflower rice — 500 g (17.6 oz)</t>
        </is>
      </c>
      <c r="M436" s="4" t="inlineStr">
        <is>
          <t>[{"ingredient_id": "pork_tenderloin", "name": "Pork tenderloin", "grams": 550.0, "note": ""}, {"ingredient_id": "snap_peas", "name": "Sugar snap peas", "grams": 300.0, "note": ""}, {"ingredient_id": "bell_pepper", "name": "Bell pepper", "grams": 150.0, "note": ""}, {"ingredient_id": "ginger", "name": "Fresh ginger", "grams": 12.0, "note": ""}, {"ingredient_id": "garlic", "name": "Garlic", "grams": 8.0, "note": ""}, {"ingredient_id": "tamari", "name": "Tamari (gluten-free soy sauce)", "grams": 30.0, "note": ""}, {"ingredient_id": "rice_vinegar", "name": "Rice vinegar, unseasoned", "grams": 12.0, "note": ""}, {"ingredient_id": "sesame_oil", "name": "Toasted sesame oil", "grams": 8.0, "note": ""}, {"ingredient_id": "arrowroot", "name": "Arrowroot starch", "grams": 5.0, "note": ""}, {"ingredient_id": "avocado_oil", "name": "Avocado oil", "grams": 12.0, "note": ""}, {"ingredient_id": "cauliflower_rice", "name": "Cauliflower rice", "grams": 500.0, "note": ""}]</t>
        </is>
      </c>
      <c r="N436" s="2" t="n">
        <v>298</v>
      </c>
      <c r="O436" s="5" t="n">
        <v>34.7</v>
      </c>
      <c r="P436" s="5" t="n">
        <v>10.5</v>
      </c>
      <c r="Q436" s="5" t="n">
        <v>16.8</v>
      </c>
      <c r="R436" s="5" t="n">
        <v>5.4</v>
      </c>
      <c r="S436" s="5" t="n">
        <v>11.4</v>
      </c>
      <c r="T436" s="2" t="n">
        <v>21</v>
      </c>
      <c r="U436" s="2" t="inlineStr">
        <is>
          <t>low</t>
        </is>
      </c>
      <c r="V436" s="5" t="n">
        <v>2.4</v>
      </c>
      <c r="W436" s="2" t="inlineStr">
        <is>
          <t>low</t>
        </is>
      </c>
      <c r="X436" s="3" t="inlineStr"/>
      <c r="Y436" s="3" t="inlineStr">
        <is>
          <t>9% of this dish's available carbohydrate comes from ingredients with a published, measured GI; the rest uses conventional placeholders (see Ingredients sheet)</t>
        </is>
      </c>
      <c r="Z436" s="2" t="n">
        <v>9</v>
      </c>
      <c r="AA436" s="3" t="inlineStr">
        <is>
          <t>gluten-free, dairy-free, nut-free, low-carb, high-protein, quick</t>
        </is>
      </c>
      <c r="AB436" s="3" t="inlineStr">
        <is>
          <t>1. Toss pork strips with arrowroot and half the tamari; stir-fry in oil; remove.
2. Stir-fry snap peas, pepper, ginger, garlic 3 minutes.
3. Return pork with remaining tamari, vinegar, sesame oil; serve over cauliflower rice.</t>
        </is>
      </c>
      <c r="AC436" s="4" t="inlineStr">
        <is>
          <t>["Toss pork strips with arrowroot and half the tamari; stir-fry in oil; remove.", "Stir-fry snap peas, pepper, ginger, garlic 3 minutes.", "Return pork with remaining tamari, vinegar, sesame oil; serve over cauliflower rice."]</t>
        </is>
      </c>
    </row>
    <row r="437" ht="96" customHeight="1">
      <c r="A437" s="2" t="inlineStr">
        <is>
          <t>DB-0436</t>
        </is>
      </c>
      <c r="B437" s="3" t="inlineStr">
        <is>
          <t>Slow Cooker Pot Roast with Root Vegetables</t>
        </is>
      </c>
      <c r="C437" s="4" t="inlineStr">
        <is>
          <t>Beef, Pork &amp; Lamb</t>
        </is>
      </c>
      <c r="D437" s="4" t="inlineStr">
        <is>
          <t>American</t>
        </is>
      </c>
      <c r="E437" s="2" t="n">
        <v>6</v>
      </c>
      <c r="F437" s="2" t="n">
        <v>15</v>
      </c>
      <c r="G437" s="2" t="n">
        <v>480</v>
      </c>
      <c r="H437" s="2" t="n">
        <v>495</v>
      </c>
      <c r="I437" s="4" t="inlineStr">
        <is>
          <t>slow-cooker-pot-roast-with-root-vegetables.jpg</t>
        </is>
      </c>
      <c r="J437" s="3" t="inlineStr">
        <is>
          <t>Slow Cooker Pot Roast with Root Vegetables, healthy food photography, plated, natural light</t>
        </is>
      </c>
      <c r="K437" s="4" t="inlineStr"/>
      <c r="L437" s="3" t="inlineStr">
        <is>
          <t>Beef chuck roast, trimmed — 1000 g (35.3 oz)
Carrot — 300 g (10.6 oz)
Turnip (GI of swede/rutabaga, closest tested) — 300 g (10.6 oz)
Yellow onion — 200 g (7.1 oz)
Celery — 100 g (3.5 oz)
Garlic — 10 g (0.4 oz)
Beef broth, low sodium — 400 g (14.1 oz)
Tomato paste — 30 g (1.1 oz)
Fresh thyme — 3 g (0.1 oz)
Fresh rosemary — 2 g (0.1 oz)
Bay leaves — 1 g (0.0 oz)
Extra-virgin olive oil — 15 g (0.5 oz)
Salt — 5 g (0.2 oz)</t>
        </is>
      </c>
      <c r="M437" s="4" t="inlineStr">
        <is>
          <t>[{"ingredient_id": "beef_chuck", "name": "Beef chuck roast, trimmed", "grams": 1000.0, "note": ""}, {"ingredient_id": "carrot", "name": "Carrot", "grams": 300.0, "note": ""}, {"ingredient_id": "turnip", "name": "Turnip (GI of swede/rutabaga, closest tested)", "grams": 300.0, "note": ""}, {"ingredient_id": "onion", "name": "Yellow onion", "grams": 200.0, "note": ""}, {"ingredient_id": "celery", "name": "Celery", "grams": 100.0, "note": ""}, {"ingredient_id": "garlic", "name": "Garlic", "grams": 10.0, "note": ""}, {"ingredient_id": "beef_broth", "name": "Beef broth, low sodium", "grams": 400.0, "note": ""}, {"ingredient_id": "tomato_paste", "name": "Tomato paste", "grams": 30.0, "note": ""}, {"ingredient_id": "thyme", "name": "Fresh thyme", "grams": 3.0, "note": ""}, {"ingredient_id": "rosemary", "name": "Fresh rosemary", "grams": 2.0, "note": ""}, {"ingredient_id": "bay_leaf", "name": "Bay leaves", "grams": 1.0, "note": ""}, {"ingredient_id": "olive_oil", "name": "Extra-virgin olive oil", "grams": 15.0, "note": ""}, {"ingredient_id": "salt", "name": "Salt", "grams": 5.0, "note": ""}]</t>
        </is>
      </c>
      <c r="N437" s="2" t="n">
        <v>385</v>
      </c>
      <c r="O437" s="5" t="n">
        <v>36</v>
      </c>
      <c r="P437" s="5" t="n">
        <v>21.3</v>
      </c>
      <c r="Q437" s="5" t="n">
        <v>13.7</v>
      </c>
      <c r="R437" s="5" t="n">
        <v>3.5</v>
      </c>
      <c r="S437" s="5" t="n">
        <v>10.2</v>
      </c>
      <c r="T437" s="2" t="n">
        <v>38</v>
      </c>
      <c r="U437" s="2" t="inlineStr">
        <is>
          <t>low</t>
        </is>
      </c>
      <c r="V437" s="5" t="n">
        <v>3.9</v>
      </c>
      <c r="W437" s="2" t="inlineStr">
        <is>
          <t>low</t>
        </is>
      </c>
      <c r="X437" s="3" t="inlineStr"/>
      <c r="Y437" s="3" t="inlineStr">
        <is>
          <t>56% of this dish's available carbohydrate comes from ingredients with a published, measured GI; the rest uses conventional placeholders (see Ingredients sheet)</t>
        </is>
      </c>
      <c r="Z437" s="2" t="n">
        <v>56</v>
      </c>
      <c r="AA437" s="3" t="inlineStr">
        <is>
          <t>gluten-free, dairy-free, nut-free, low-carb, high-protein, slow-cooker, make-ahead</t>
        </is>
      </c>
      <c r="AB437" s="3" t="inlineStr">
        <is>
          <t>1. Sear seasoned roast in oil on all sides.
2. Place in slow cooker with vegetables, garlic, broth, tomato paste, herbs.
3. Cook on low 8 hours; shred and serve with the vegetables and juices.</t>
        </is>
      </c>
      <c r="AC437" s="4" t="inlineStr">
        <is>
          <t>["Sear seasoned roast in oil on all sides.", "Place in slow cooker with vegetables, garlic, broth, tomato paste, herbs.", "Cook on low 8 hours; shred and serve with the vegetables and juices."]</t>
        </is>
      </c>
    </row>
    <row r="438" ht="96" customHeight="1">
      <c r="A438" s="2" t="inlineStr">
        <is>
          <t>DB-0437</t>
        </is>
      </c>
      <c r="B438" s="3" t="inlineStr">
        <is>
          <t>Lamb Chops with Mint Yogurt &amp; Roasted Cauliflower</t>
        </is>
      </c>
      <c r="C438" s="4" t="inlineStr">
        <is>
          <t>Beef, Pork &amp; Lamb</t>
        </is>
      </c>
      <c r="D438" s="4" t="inlineStr">
        <is>
          <t>Mediterranean</t>
        </is>
      </c>
      <c r="E438" s="2" t="n">
        <v>4</v>
      </c>
      <c r="F438" s="2" t="n">
        <v>10</v>
      </c>
      <c r="G438" s="2" t="n">
        <v>25</v>
      </c>
      <c r="H438" s="2" t="n">
        <v>35</v>
      </c>
      <c r="I438" s="4" t="inlineStr">
        <is>
          <t>lamb-chops-with-mint-yogurt-and-roasted-cauliflower.jpg</t>
        </is>
      </c>
      <c r="J438" s="3" t="inlineStr">
        <is>
          <t>Lamb Chops with Mint Yogurt &amp; Roasted Cauliflower, healthy food photography, plated, natural light</t>
        </is>
      </c>
      <c r="K438" s="4" t="inlineStr"/>
      <c r="L438" s="3" t="inlineStr">
        <is>
          <t>Lamb loin chop, trimmed — 700 g (24.7 oz)
Cauliflower — 600 g (21.2 oz)
Greek yogurt, plain 2% — 150 g (5.3 oz)
Fresh mint — 10 g (0.4 oz)
Garlic — 8 g (0.3 oz)
Lemon (with juice &amp; zest) — 40 g (1.4 oz)
Ground cumin — 3 g (0.1 oz)
Extra-virgin olive oil — 20 g (0.7 oz)
Salt — 3 g (0.1 oz)</t>
        </is>
      </c>
      <c r="M438" s="4" t="inlineStr">
        <is>
          <t>[{"ingredient_id": "lamb_chop", "name": "Lamb loin chop, trimmed", "grams": 700.0, "note": ""}, {"ingredient_id": "cauliflower", "name": "Cauliflower", "grams": 600.0, "note": ""}, {"ingredient_id": "greek_yogurt", "name": "Greek yogurt, plain 2%", "grams": 150.0, "note": ""}, {"ingredient_id": "mint", "name": "Fresh mint", "grams": 10.0, "note": ""}, {"ingredient_id": "garlic", "name": "Garlic", "grams": 8.0, "note": ""}, {"ingredient_id": "lemon", "name": "Lemon (with juice &amp; zest)", "grams": 40.0, "note": ""}, {"ingredient_id": "cumin", "name": "Ground cumin", "grams": 3.0, "note": ""}, {"ingredient_id": "olive_oil", "name": "Extra-virgin olive oil", "grams": 20.0, "note": ""}, {"ingredient_id": "salt", "name": "Salt", "grams": 3.0, "note": ""}]</t>
        </is>
      </c>
      <c r="N438" s="2" t="n">
        <v>416</v>
      </c>
      <c r="O438" s="5" t="n">
        <v>43.8</v>
      </c>
      <c r="P438" s="5" t="n">
        <v>23</v>
      </c>
      <c r="Q438" s="5" t="n">
        <v>11.1</v>
      </c>
      <c r="R438" s="5" t="n">
        <v>3.6</v>
      </c>
      <c r="S438" s="5" t="n">
        <v>7.6</v>
      </c>
      <c r="T438" s="2" t="n">
        <v>16</v>
      </c>
      <c r="U438" s="2" t="inlineStr">
        <is>
          <t>low</t>
        </is>
      </c>
      <c r="V438" s="5" t="n">
        <v>1.2</v>
      </c>
      <c r="W438" s="2" t="inlineStr">
        <is>
          <t>low</t>
        </is>
      </c>
      <c r="X438" s="3" t="inlineStr"/>
      <c r="Y438" s="3" t="inlineStr">
        <is>
          <t>20% of this dish's available carbohydrate comes from ingredients with a published, measured GI; the rest uses conventional placeholders (see Ingredients sheet)</t>
        </is>
      </c>
      <c r="Z438" s="2" t="n">
        <v>20</v>
      </c>
      <c r="AA438" s="3" t="inlineStr">
        <is>
          <t>gluten-free, nut-free, low-carb, high-protein</t>
        </is>
      </c>
      <c r="AB438" s="3" t="inlineStr">
        <is>
          <t>1. Roast cauliflower with half the oil and cumin at 425°F 22 minutes.
2. Season chops with garlic, lemon zest, salt; sear 3–4 minutes per side.
3. Mix yogurt, mint, lemon juice; serve alongside.</t>
        </is>
      </c>
      <c r="AC438" s="4" t="inlineStr">
        <is>
          <t>["Roast cauliflower with half the oil and cumin at 425°F 22 minutes.", "Season chops with garlic, lemon zest, salt; sear 3–4 minutes per side.", "Mix yogurt, mint, lemon juice; serve alongside."]</t>
        </is>
      </c>
    </row>
    <row r="439" ht="96" customHeight="1">
      <c r="A439" s="2" t="inlineStr">
        <is>
          <t>DB-0438</t>
        </is>
      </c>
      <c r="B439" s="3" t="inlineStr">
        <is>
          <t>Beef Stuffed Cabbage Rolls (Cauliflower Rice)</t>
        </is>
      </c>
      <c r="C439" s="4" t="inlineStr">
        <is>
          <t>Beef, Pork &amp; Lamb</t>
        </is>
      </c>
      <c r="D439" s="4" t="inlineStr">
        <is>
          <t>Eastern European</t>
        </is>
      </c>
      <c r="E439" s="2" t="n">
        <v>5</v>
      </c>
      <c r="F439" s="2" t="n">
        <v>30</v>
      </c>
      <c r="G439" s="2" t="n">
        <v>75</v>
      </c>
      <c r="H439" s="2" t="n">
        <v>105</v>
      </c>
      <c r="I439" s="4" t="inlineStr">
        <is>
          <t>beef-stuffed-cabbage-rolls-cauliflower-rice.jpg</t>
        </is>
      </c>
      <c r="J439" s="3" t="inlineStr">
        <is>
          <t>Beef Stuffed Cabbage Rolls (Cauliflower Rice), healthy food photography, plated, natural light</t>
        </is>
      </c>
      <c r="K439" s="4" t="inlineStr"/>
      <c r="L439" s="3" t="inlineStr">
        <is>
          <t>Green cabbage — 1000 g (35.3 oz) [1 head]
Ground beef 90% lean — 600 g (21.2 oz)
Cauliflower rice — 300 g (10.6 oz)
Yellow onion — 100 g (3.5 oz)
Egg, large (50 g each) — 50 g (1.8 oz)
Garlic — 6 g (0.2 oz)
Paprika — 3 g (0.1 oz)
Tomato sauce, canned, no sugar added — 600 g (21.2 oz)
Diced tomatoes, canned — 300 g (10.6 oz)
Fresh dill — 6 g (0.2 oz)
Extra-virgin olive oil — 10 g (0.4 oz)
Salt — 4 g (0.1 oz)</t>
        </is>
      </c>
      <c r="M439" s="4" t="inlineStr">
        <is>
          <t>[{"ingredient_id": "cabbage", "name": "Green cabbage", "grams": 1000.0, "note": "1 head"}, {"ingredient_id": "ground_beef", "name": "Ground beef 90% lean", "grams": 600.0, "note": ""}, {"ingredient_id": "cauliflower_rice", "name": "Cauliflower rice", "grams": 300.0, "note": ""}, {"ingredient_id": "onion", "name": "Yellow onion", "grams": 100.0, "note": ""}, {"ingredient_id": "egg", "name": "Egg, large (50 g each)", "grams": 50.0, "note": ""}, {"ingredient_id": "garlic", "name": "Garlic", "grams": 6.0, "note": ""}, {"ingredient_id": "paprika", "name": "Paprika", "grams": 3.0, "note": ""}, {"ingredient_id": "tomato_sauce", "name": "Tomato sauce, canned, no sugar added", "grams": 600.0, "note": ""}, {"ingredient_id": "diced_tomatoes", "name": "Diced tomatoes, canned", "grams": 300.0, "note": ""}, {"ingredient_id": "dill", "name": "Fresh dill", "grams": 6.0, "note": ""}, {"ingredient_id": "olive_oil", "name": "Extra-virgin olive oil", "grams": 10.0, "note": ""}, {"ingredient_id": "salt", "name": "Salt", "grams": 4.0, "note": ""}]</t>
        </is>
      </c>
      <c r="N439" s="2" t="n">
        <v>363</v>
      </c>
      <c r="O439" s="5" t="n">
        <v>31.7</v>
      </c>
      <c r="P439" s="5" t="n">
        <v>15.8</v>
      </c>
      <c r="Q439" s="5" t="n">
        <v>26.7</v>
      </c>
      <c r="R439" s="5" t="n">
        <v>9.5</v>
      </c>
      <c r="S439" s="5" t="n">
        <v>17.2</v>
      </c>
      <c r="T439" s="2" t="n">
        <v>23</v>
      </c>
      <c r="U439" s="2" t="inlineStr">
        <is>
          <t>low</t>
        </is>
      </c>
      <c r="V439" s="5" t="n">
        <v>4</v>
      </c>
      <c r="W439" s="2" t="inlineStr">
        <is>
          <t>low</t>
        </is>
      </c>
      <c r="X439" s="3" t="inlineStr"/>
      <c r="Y439" s="3" t="inlineStr">
        <is>
          <t>0% of this dish's available carbohydrate comes from ingredients with a published, measured GI; the rest uses conventional placeholders (see Ingredients sheet)</t>
        </is>
      </c>
      <c r="Z439" s="2" t="n">
        <v>0</v>
      </c>
      <c r="AA439" s="3" t="inlineStr">
        <is>
          <t>gluten-free, dairy-free, nut-free, high-protein, high-fiber, make-ahead</t>
        </is>
      </c>
      <c r="AB439" s="3" t="inlineStr">
        <is>
          <t>1. Blanch cabbage leaves 3 minutes. Mix beef, cauliflower rice, sautéed onion, egg, garlic, paprika, salt.
2. Roll filling in leaves; place seam-down in a dish; pour over tomato sauce and tomatoes.
3. Cover and bake at 350°F 70 minutes; garnish dill.</t>
        </is>
      </c>
      <c r="AC439" s="4" t="inlineStr">
        <is>
          <t>["Blanch cabbage leaves 3 minutes. Mix beef, cauliflower rice, sautéed onion, egg, garlic, paprika, salt.", "Roll filling in leaves; place seam-down in a dish; pour over tomato sauce and tomatoes.", "Cover and bake at 350°F 70 minutes; garnish dill."]</t>
        </is>
      </c>
    </row>
    <row r="440" ht="96" customHeight="1">
      <c r="A440" s="2" t="inlineStr">
        <is>
          <t>DB-0439</t>
        </is>
      </c>
      <c r="B440" s="3" t="inlineStr">
        <is>
          <t>Pork Carnitas Bowls</t>
        </is>
      </c>
      <c r="C440" s="4" t="inlineStr">
        <is>
          <t>Beef, Pork &amp; Lamb</t>
        </is>
      </c>
      <c r="D440" s="4" t="inlineStr">
        <is>
          <t>Mexican</t>
        </is>
      </c>
      <c r="E440" s="2" t="n">
        <v>6</v>
      </c>
      <c r="F440" s="2" t="n">
        <v>15</v>
      </c>
      <c r="G440" s="2" t="n">
        <v>240</v>
      </c>
      <c r="H440" s="2" t="n">
        <v>255</v>
      </c>
      <c r="I440" s="4" t="inlineStr">
        <is>
          <t>pork-carnitas-bowls.jpg</t>
        </is>
      </c>
      <c r="J440" s="3" t="inlineStr">
        <is>
          <t>Pork Carnitas Bowls, healthy food photography, plated, natural light</t>
        </is>
      </c>
      <c r="K440" s="4" t="inlineStr"/>
      <c r="L440" s="3" t="inlineStr">
        <is>
          <t>Pork shoulder, trimmed — 1000 g (35.3 oz)
Orange — 100 g (3.5 oz) [juice]
Lime — 40 g (1.4 oz)
Garlic — 10 g (0.4 oz)
Ground cumin — 5 g (0.2 oz)
Dried oregano — 3 g (0.1 oz)
Yellow onion — 100 g (3.5 oz)
Chicken broth, low sodium — 200 g (7.1 oz)
Cauliflower rice — 600 g (21.2 oz)
Black beans, cooked — 300 g (10.6 oz)
Pico de gallo — 250 g (8.8 oz)
Avocado — 120 g (4.2 oz)
Fresh cilantro — 8 g (0.3 oz)
Salt — 5 g (0.2 oz)</t>
        </is>
      </c>
      <c r="M440" s="4" t="inlineStr">
        <is>
          <t>[{"ingredient_id": "pork_shoulder", "name": "Pork shoulder, trimmed", "grams": 1000.0, "note": ""}, {"ingredient_id": "orange", "name": "Orange", "grams": 100.0, "note": "juice"}, {"ingredient_id": "lime", "name": "Lime", "grams": 40.0, "note": ""}, {"ingredient_id": "garlic", "name": "Garlic", "grams": 10.0, "note": ""}, {"ingredient_id": "cumin", "name": "Ground cumin", "grams": 5.0, "note": ""}, {"ingredient_id": "oregano", "name": "Dried oregano", "grams": 3.0, "note": ""}, {"ingredient_id": "onion", "name": "Yellow onion", "grams": 100.0, "note": ""}, {"ingredient_id": "chicken_broth", "name": "Chicken broth, low sodium", "grams": 200.0, "note": ""}, {"ingredient_id": "cauliflower_rice", "name": "Cauliflower rice", "grams": 600.0, "note": ""}, {"ingredient_id": "black_beans", "name": "Black beans, cooked", "grams": 300.0, "note": ""}, {"ingredient_id": "pico_de_gallo", "name": "Pico de gallo", "grams": 250.0, "note": ""}, {"ingredient_id": "avocado", "name": "Avocado", "grams": 120.0, "note": ""}, {"ingredient_id": "cilantro", "name": "Fresh cilantro", "grams": 8.0, "note": ""}, {"ingredient_id": "salt", "name": "Salt", "grams": 5.0, "note": ""}]</t>
        </is>
      </c>
      <c r="N440" s="2" t="n">
        <v>491</v>
      </c>
      <c r="O440" s="5" t="n">
        <v>39.8</v>
      </c>
      <c r="P440" s="5" t="n">
        <v>27.3</v>
      </c>
      <c r="Q440" s="5" t="n">
        <v>26.2</v>
      </c>
      <c r="R440" s="5" t="n">
        <v>9.4</v>
      </c>
      <c r="S440" s="5" t="n">
        <v>16.7</v>
      </c>
      <c r="T440" s="2" t="n">
        <v>25</v>
      </c>
      <c r="U440" s="2" t="inlineStr">
        <is>
          <t>low</t>
        </is>
      </c>
      <c r="V440" s="5" t="n">
        <v>4.2</v>
      </c>
      <c r="W440" s="2" t="inlineStr">
        <is>
          <t>low</t>
        </is>
      </c>
      <c r="X440" s="3" t="inlineStr"/>
      <c r="Y440" s="3" t="inlineStr">
        <is>
          <t>54% of this dish's available carbohydrate comes from ingredients with a published, measured GI; the rest uses conventional placeholders (see Ingredients sheet)</t>
        </is>
      </c>
      <c r="Z440" s="2" t="n">
        <v>54</v>
      </c>
      <c r="AA440" s="3" t="inlineStr">
        <is>
          <t>gluten-free, dairy-free, nut-free, high-protein, high-fiber, slow-cooker, meal-prep</t>
        </is>
      </c>
      <c r="AB440" s="3" t="inlineStr">
        <is>
          <t>1. Slow-cook pork with orange, lime, garlic, cumin, oregano, onion, broth, salt on low 4 hours.
2. Shred; crisp under the broiler 5 minutes.
3. Bowl with cauliflower rice, beans, pico, avocado, cilantro.</t>
        </is>
      </c>
      <c r="AC440" s="4" t="inlineStr">
        <is>
          <t>["Slow-cook pork with orange, lime, garlic, cumin, oregano, onion, broth, salt on low 4 hours.", "Shred; crisp under the broiler 5 minutes.", "Bowl with cauliflower rice, beans, pico, avocado, cilantro."]</t>
        </is>
      </c>
    </row>
    <row r="441" ht="96" customHeight="1">
      <c r="A441" s="2" t="inlineStr">
        <is>
          <t>DB-0440</t>
        </is>
      </c>
      <c r="B441" s="3" t="inlineStr">
        <is>
          <t>Beef Bulgogi Lettuce Wraps</t>
        </is>
      </c>
      <c r="C441" s="4" t="inlineStr">
        <is>
          <t>Beef, Pork &amp; Lamb</t>
        </is>
      </c>
      <c r="D441" s="4" t="inlineStr">
        <is>
          <t>Korean</t>
        </is>
      </c>
      <c r="E441" s="2" t="n">
        <v>4</v>
      </c>
      <c r="F441" s="2" t="n">
        <v>20</v>
      </c>
      <c r="G441" s="2" t="n">
        <v>8</v>
      </c>
      <c r="H441" s="2" t="n">
        <v>28</v>
      </c>
      <c r="I441" s="4" t="inlineStr">
        <is>
          <t>beef-bulgogi-lettuce-wraps.jpg</t>
        </is>
      </c>
      <c r="J441" s="3" t="inlineStr">
        <is>
          <t>Beef Bulgogi Lettuce Wraps, healthy food photography, plated, natural light</t>
        </is>
      </c>
      <c r="K441" s="4" t="inlineStr"/>
      <c r="L441" s="3" t="inlineStr">
        <is>
          <t>Beef sirloin, trimmed — 600 g (21.2 oz)
Tamari (gluten-free soy sauce) — 35 g (1.2 oz)
Pear — 60 g (2.1 oz) [grated]
Garlic — 8 g (0.3 oz)
Fresh ginger — 6 g (0.2 oz)
Toasted sesame oil — 10 g (0.4 oz)
Green onions (scallions) — 25 g (0.9 oz)
Monk fruit/erythritol sweetener — 6 g (0.2 oz)
Butter lettuce — 200 g (7.1 oz)
Kimchi — 100 g (3.5 oz)
Sesame seeds — 6 g (0.2 oz)
Avocado oil — 10 g (0.4 oz)</t>
        </is>
      </c>
      <c r="M441" s="4" t="inlineStr">
        <is>
          <t>[{"ingredient_id": "beef_sirloin", "name": "Beef sirloin, trimmed", "grams": 600.0, "note": ""}, {"ingredient_id": "tamari", "name": "Tamari (gluten-free soy sauce)", "grams": 35.0, "note": ""}, {"ingredient_id": "pear", "name": "Pear", "grams": 60.0, "note": "grated"}, {"ingredient_id": "garlic", "name": "Garlic", "grams": 8.0, "note": ""}, {"ingredient_id": "ginger", "name": "Fresh ginger", "grams": 6.0, "note": ""}, {"ingredient_id": "sesame_oil", "name": "Toasted sesame oil", "grams": 10.0, "note": ""}, {"ingredient_id": "green_onion", "name": "Green onions (scallions)", "grams": 25.0, "note": ""}, {"ingredient_id": "monk_fruit_sweetener", "name": "Monk fruit/erythritol sweetener", "grams": 6.0, "note": ""}, {"ingredient_id": "butter_lettuce", "name": "Butter lettuce", "grams": 200.0, "note": ""}, {"ingredient_id": "kimchi", "name": "Kimchi", "grams": 100.0, "note": ""}, {"ingredient_id": "sesame_seeds", "name": "Sesame seeds", "grams": 6.0, "note": ""}, {"ingredient_id": "avocado_oil", "name": "Avocado oil", "grams": 10.0, "note": ""}]</t>
        </is>
      </c>
      <c r="N441" s="2" t="n">
        <v>278</v>
      </c>
      <c r="O441" s="5" t="n">
        <v>35.4</v>
      </c>
      <c r="P441" s="5" t="n">
        <v>12.8</v>
      </c>
      <c r="Q441" s="5" t="n">
        <v>6.1</v>
      </c>
      <c r="R441" s="5" t="n">
        <v>1.9</v>
      </c>
      <c r="S441" s="5" t="n">
        <v>4.2</v>
      </c>
      <c r="T441" s="2" t="n">
        <v>24</v>
      </c>
      <c r="U441" s="2" t="inlineStr">
        <is>
          <t>low</t>
        </is>
      </c>
      <c r="V441" s="5" t="n">
        <v>1</v>
      </c>
      <c r="W441" s="2" t="inlineStr">
        <is>
          <t>low</t>
        </is>
      </c>
      <c r="X441" s="3" t="inlineStr">
        <is>
          <t>Negligible carbohydrate (&lt;5 g net/serving): GI has little practical meaning, glycemic load is what matters.</t>
        </is>
      </c>
      <c r="Y441" s="3" t="inlineStr">
        <is>
          <t>42% of this dish's available carbohydrate comes from ingredients with a published, measured GI; the rest uses conventional placeholders (see Ingredients sheet)</t>
        </is>
      </c>
      <c r="Z441" s="2" t="n">
        <v>42</v>
      </c>
      <c r="AA441" s="3" t="inlineStr">
        <is>
          <t>gluten-free, dairy-free, nut-free, low-carb, high-protein</t>
        </is>
      </c>
      <c r="AB441" s="3" t="inlineStr">
        <is>
          <t>1. Marinate thinly sliced beef in tamari, grated pear, garlic, ginger, sesame oil, sweetener 20 minutes.
2. Sear in a hot pan with avocado oil 2 minutes per batch.
3. Serve in lettuce with kimchi, green onion, sesame.</t>
        </is>
      </c>
      <c r="AC441" s="4" t="inlineStr">
        <is>
          <t>["Marinate thinly sliced beef in tamari, grated pear, garlic, ginger, sesame oil, sweetener 20 minutes.", "Sear in a hot pan with avocado oil 2 minutes per batch.", "Serve in lettuce with kimchi, green onion, sesame."]</t>
        </is>
      </c>
    </row>
    <row r="442" ht="96" customHeight="1">
      <c r="A442" s="2" t="inlineStr">
        <is>
          <t>DB-0441</t>
        </is>
      </c>
      <c r="B442" s="3" t="inlineStr">
        <is>
          <t>Italian Sausage &amp; Pepper Zoodles</t>
        </is>
      </c>
      <c r="C442" s="4" t="inlineStr">
        <is>
          <t>Beef, Pork &amp; Lamb</t>
        </is>
      </c>
      <c r="D442" s="4" t="inlineStr">
        <is>
          <t>Italian</t>
        </is>
      </c>
      <c r="E442" s="2" t="n">
        <v>4</v>
      </c>
      <c r="F442" s="2" t="n">
        <v>10</v>
      </c>
      <c r="G442" s="2" t="n">
        <v>20</v>
      </c>
      <c r="H442" s="2" t="n">
        <v>30</v>
      </c>
      <c r="I442" s="4" t="inlineStr">
        <is>
          <t>italian-sausage-and-pepper-zoodles.jpg</t>
        </is>
      </c>
      <c r="J442" s="3" t="inlineStr">
        <is>
          <t>Italian Sausage &amp; Pepper Zoodles, healthy food photography, plated, natural light</t>
        </is>
      </c>
      <c r="K442" s="4" t="inlineStr"/>
      <c r="L442" s="3" t="inlineStr">
        <is>
          <t>Ground pork, lean — 500 g (17.6 oz)
Dried spices/herbs (generic) — 3 g (0.1 oz) [fennel seeds]
Italian seasoning — 4 g (0.1 oz)
Bell pepper — 300 g (10.6 oz)
Yellow onion — 100 g (3.5 oz)
Garlic — 8 g (0.3 oz)
Marinara sauce, no sugar added — 300 g (10.6 oz)
Zucchini noodles (zoodles) — 600 g (21.2 oz)
Parmesan, grated — 30 g (1.1 oz)
Extra-virgin olive oil — 12 g (0.4 oz)
Red pepper flakes — 1 g (0.0 oz)</t>
        </is>
      </c>
      <c r="M442" s="4" t="inlineStr">
        <is>
          <t>[{"ingredient_id": "ground_pork", "name": "Ground pork, lean", "grams": 500.0, "note": ""}, {"ingredient_id": "spice", "name": "Dried spices/herbs (generic)", "grams": 3.0, "note": "fennel seeds"}, {"ingredient_id": "italian_seasoning", "name": "Italian seasoning", "grams": 4.0, "note": ""}, {"ingredient_id": "bell_pepper", "name": "Bell pepper", "grams": 300.0, "note": ""}, {"ingredient_id": "onion", "name": "Yellow onion", "grams": 100.0, "note": ""}, {"ingredient_id": "garlic", "name": "Garlic", "grams": 8.0, "note": ""}, {"ingredient_id": "marinara", "name": "Marinara sauce, no sugar added", "grams": 300.0, "note": ""}, {"ingredient_id": "zucchini_noodles", "name": "Zucchini noodles (zoodles)", "grams": 600.0, "note": ""}, {"ingredient_id": "parmesan", "name": "Parmesan, grated", "grams": 30.0, "note": ""}, {"ingredient_id": "olive_oil", "name": "Extra-virgin olive oil", "grams": 12.0, "note": ""}, {"ingredient_id": "red_pepper_flakes", "name": "Red pepper flakes", "grams": 1.0, "note": ""}]</t>
        </is>
      </c>
      <c r="N442" s="2" t="n">
        <v>391</v>
      </c>
      <c r="O442" s="5" t="n">
        <v>30.9</v>
      </c>
      <c r="P442" s="5" t="n">
        <v>22.9</v>
      </c>
      <c r="Q442" s="5" t="n">
        <v>17.4</v>
      </c>
      <c r="R442" s="5" t="n">
        <v>5.3</v>
      </c>
      <c r="S442" s="5" t="n">
        <v>12.1</v>
      </c>
      <c r="T442" s="2" t="n">
        <v>20</v>
      </c>
      <c r="U442" s="2" t="inlineStr">
        <is>
          <t>low</t>
        </is>
      </c>
      <c r="V442" s="5" t="n">
        <v>2.4</v>
      </c>
      <c r="W442" s="2" t="inlineStr">
        <is>
          <t>low</t>
        </is>
      </c>
      <c r="X442" s="3" t="inlineStr"/>
      <c r="Y442" s="3" t="inlineStr">
        <is>
          <t>22% of this dish's available carbohydrate comes from ingredients with a published, measured GI; the rest uses conventional placeholders (see Ingredients sheet)</t>
        </is>
      </c>
      <c r="Z442" s="2" t="n">
        <v>22</v>
      </c>
      <c r="AA442" s="3" t="inlineStr">
        <is>
          <t>gluten-free, nut-free, low-carb, high-protein</t>
        </is>
      </c>
      <c r="AB442" s="3" t="inlineStr">
        <is>
          <t>1. Brown pork with fennel seeds, seasoning and pepper flakes (homemade sausage).
2. Add peppers, onion, garlic; cook 6 minutes; add marinara.
3. Serve over sautéed zoodles with parmesan.</t>
        </is>
      </c>
      <c r="AC442" s="4" t="inlineStr">
        <is>
          <t>["Brown pork with fennel seeds, seasoning and pepper flakes (homemade sausage).", "Add peppers, onion, garlic; cook 6 minutes; add marinara.", "Serve over sautéed zoodles with parmesan."]</t>
        </is>
      </c>
    </row>
    <row r="443" ht="96" customHeight="1">
      <c r="A443" s="2" t="inlineStr">
        <is>
          <t>DB-0442</t>
        </is>
      </c>
      <c r="B443" s="3" t="inlineStr">
        <is>
          <t>Beef Taco Stuffed Zucchini</t>
        </is>
      </c>
      <c r="C443" s="4" t="inlineStr">
        <is>
          <t>Beef, Pork &amp; Lamb</t>
        </is>
      </c>
      <c r="D443" s="4" t="inlineStr">
        <is>
          <t>Tex-Mex</t>
        </is>
      </c>
      <c r="E443" s="2" t="n">
        <v>4</v>
      </c>
      <c r="F443" s="2" t="n">
        <v>15</v>
      </c>
      <c r="G443" s="2" t="n">
        <v>30</v>
      </c>
      <c r="H443" s="2" t="n">
        <v>45</v>
      </c>
      <c r="I443" s="4" t="inlineStr">
        <is>
          <t>beef-taco-stuffed-zucchini.jpg</t>
        </is>
      </c>
      <c r="J443" s="3" t="inlineStr">
        <is>
          <t>Beef Taco Stuffed Zucchini, healthy food photography, plated, natural light</t>
        </is>
      </c>
      <c r="K443" s="4" t="inlineStr"/>
      <c r="L443" s="3" t="inlineStr">
        <is>
          <t>Zucchini — 800 g (28.2 oz)
Ground beef 90% lean — 500 g (17.6 oz)
Taco seasoning, low sodium — 10 g (0.4 oz)
Yellow onion — 80 g (2.8 oz)
Salsa, no sugar added — 150 g (5.3 oz)
Cheddar cheese — 100 g (3.5 oz)
Black beans, cooked — 150 g (5.3 oz)
Greek yogurt, plain 2% — 60 g (2.1 oz)
Fresh cilantro — 6 g (0.2 oz)</t>
        </is>
      </c>
      <c r="M443" s="4" t="inlineStr">
        <is>
          <t>[{"ingredient_id": "zucchini", "name": "Zucchini", "grams": 800.0, "note": ""}, {"ingredient_id": "ground_beef", "name": "Ground beef 90% lean", "grams": 500.0, "note": ""}, {"ingredient_id": "taco_seasoning", "name": "Taco seasoning, low sodium", "grams": 10.0, "note": ""}, {"ingredient_id": "onion", "name": "Yellow onion", "grams": 80.0, "note": ""}, {"ingredient_id": "salsa", "name": "Salsa, no sugar added", "grams": 150.0, "note": ""}, {"ingredient_id": "cheddar", "name": "Cheddar cheese", "grams": 100.0, "note": ""}, {"ingredient_id": "black_beans", "name": "Black beans, cooked", "grams": 150.0, "note": ""}, {"ingredient_id": "greek_yogurt", "name": "Greek yogurt, plain 2%", "grams": 60.0, "note": ""}, {"ingredient_id": "cilantro", "name": "Fresh cilantro", "grams": 6.0, "note": ""}]</t>
        </is>
      </c>
      <c r="N443" s="2" t="n">
        <v>445</v>
      </c>
      <c r="O443" s="5" t="n">
        <v>39.1</v>
      </c>
      <c r="P443" s="5" t="n">
        <v>22.1</v>
      </c>
      <c r="Q443" s="5" t="n">
        <v>21.9</v>
      </c>
      <c r="R443" s="5" t="n">
        <v>6.8</v>
      </c>
      <c r="S443" s="5" t="n">
        <v>15.1</v>
      </c>
      <c r="T443" s="2" t="n">
        <v>22</v>
      </c>
      <c r="U443" s="2" t="inlineStr">
        <is>
          <t>low</t>
        </is>
      </c>
      <c r="V443" s="5" t="n">
        <v>3.3</v>
      </c>
      <c r="W443" s="2" t="inlineStr">
        <is>
          <t>low</t>
        </is>
      </c>
      <c r="X443" s="3" t="inlineStr"/>
      <c r="Y443" s="3" t="inlineStr">
        <is>
          <t>41% of this dish's available carbohydrate comes from ingredients with a published, measured GI; the rest uses conventional placeholders (see Ingredients sheet)</t>
        </is>
      </c>
      <c r="Z443" s="2" t="n">
        <v>41</v>
      </c>
      <c r="AA443" s="3" t="inlineStr">
        <is>
          <t>gluten-free, nut-free, high-protein</t>
        </is>
      </c>
      <c r="AB443" s="3" t="inlineStr">
        <is>
          <t>1. Halve zucchini; scoop centers and chop.
2. Brown beef with onion, zucchini flesh, seasoning; add beans and salsa.
3. Fill boats, top with cheddar; bake at 400°F 20 minutes; serve with yogurt and cilantro.</t>
        </is>
      </c>
      <c r="AC443" s="4" t="inlineStr">
        <is>
          <t>["Halve zucchini; scoop centers and chop.", "Brown beef with onion, zucchini flesh, seasoning; add beans and salsa.", "Fill boats, top with cheddar; bake at 400°F 20 minutes; serve with yogurt and cilantro."]</t>
        </is>
      </c>
    </row>
    <row r="444" ht="96" customHeight="1">
      <c r="A444" s="2" t="inlineStr">
        <is>
          <t>DB-0443</t>
        </is>
      </c>
      <c r="B444" s="3" t="inlineStr">
        <is>
          <t>Pork Chops with Roasted Brussels &amp; Balsamic</t>
        </is>
      </c>
      <c r="C444" s="4" t="inlineStr">
        <is>
          <t>Beef, Pork &amp; Lamb</t>
        </is>
      </c>
      <c r="D444" s="4" t="inlineStr">
        <is>
          <t>American</t>
        </is>
      </c>
      <c r="E444" s="2" t="n">
        <v>4</v>
      </c>
      <c r="F444" s="2" t="n">
        <v>10</v>
      </c>
      <c r="G444" s="2" t="n">
        <v>25</v>
      </c>
      <c r="H444" s="2" t="n">
        <v>35</v>
      </c>
      <c r="I444" s="4" t="inlineStr">
        <is>
          <t>pork-chops-with-roasted-brussels-and-balsamic.jpg</t>
        </is>
      </c>
      <c r="J444" s="3" t="inlineStr">
        <is>
          <t>Pork Chops with Roasted Brussels &amp; Balsamic, healthy food photography, plated, natural light</t>
        </is>
      </c>
      <c r="K444" s="4" t="inlineStr"/>
      <c r="L444" s="3" t="inlineStr">
        <is>
          <t>Pork loin chop, trimmed — 700 g (24.7 oz)
Brussels sprouts — 500 g (17.6 oz)
Extra-virgin olive oil — 20 g (0.7 oz)
Balsamic vinegar — 20 g (0.7 oz)
Garlic — 6 g (0.2 oz)
Fresh rosemary — 2 g (0.1 oz)
Dijon mustard — 10 g (0.4 oz)
Salt — 3 g (0.1 oz)</t>
        </is>
      </c>
      <c r="M444" s="4" t="inlineStr">
        <is>
          <t>[{"ingredient_id": "pork_chop", "name": "Pork loin chop, trimmed", "grams": 700.0, "note": ""}, {"ingredient_id": "brussels_sprouts", "name": "Brussels sprouts", "grams": 500.0, "note": ""}, {"ingredient_id": "olive_oil", "name": "Extra-virgin olive oil", "grams": 20.0, "note": ""}, {"ingredient_id": "balsamic_vinegar", "name": "Balsamic vinegar", "grams": 20.0, "note": ""}, {"ingredient_id": "garlic", "name": "Garlic", "grams": 6.0, "note": ""}, {"ingredient_id": "rosemary", "name": "Fresh rosemary", "grams": 2.0, "note": ""}, {"ingredient_id": "dijon", "name": "Dijon mustard", "grams": 10.0, "note": ""}, {"ingredient_id": "salt", "name": "Salt", "grams": 3.0, "note": ""}]</t>
        </is>
      </c>
      <c r="N444" s="2" t="n">
        <v>369</v>
      </c>
      <c r="O444" s="5" t="n">
        <v>43</v>
      </c>
      <c r="P444" s="5" t="n">
        <v>16.9</v>
      </c>
      <c r="Q444" s="5" t="n">
        <v>12.8</v>
      </c>
      <c r="R444" s="5" t="n">
        <v>4.9</v>
      </c>
      <c r="S444" s="5" t="n">
        <v>7.9</v>
      </c>
      <c r="T444" s="2" t="n">
        <v>18</v>
      </c>
      <c r="U444" s="2" t="inlineStr">
        <is>
          <t>low</t>
        </is>
      </c>
      <c r="V444" s="5" t="n">
        <v>1.4</v>
      </c>
      <c r="W444" s="2" t="inlineStr">
        <is>
          <t>low</t>
        </is>
      </c>
      <c r="X444" s="3" t="inlineStr"/>
      <c r="Y444" s="3" t="inlineStr">
        <is>
          <t>0% of this dish's available carbohydrate comes from ingredients with a published, measured GI; the rest uses conventional placeholders (see Ingredients sheet)</t>
        </is>
      </c>
      <c r="Z444" s="2" t="n">
        <v>0</v>
      </c>
      <c r="AA444" s="3" t="inlineStr">
        <is>
          <t>gluten-free, dairy-free, nut-free, low-carb, high-protein</t>
        </is>
      </c>
      <c r="AB444" s="3" t="inlineStr">
        <is>
          <t>1. Roast halved sprouts with half the oil at 425°F 20 minutes.
2. Season chops with rosemary and garlic; sear 4–5 minutes per side.
3. Toss sprouts with balsamic and Dijon; serve with chops.</t>
        </is>
      </c>
      <c r="AC444" s="4" t="inlineStr">
        <is>
          <t>["Roast halved sprouts with half the oil at 425°F 20 minutes.", "Season chops with rosemary and garlic; sear 4–5 minutes per side.", "Toss sprouts with balsamic and Dijon; serve with chops."]</t>
        </is>
      </c>
    </row>
    <row r="445" ht="96" customHeight="1">
      <c r="A445" s="2" t="inlineStr">
        <is>
          <t>DB-0444</t>
        </is>
      </c>
      <c r="B445" s="3" t="inlineStr">
        <is>
          <t>Shepherd's Pie with Cauliflower Mash</t>
        </is>
      </c>
      <c r="C445" s="4" t="inlineStr">
        <is>
          <t>Beef, Pork &amp; Lamb</t>
        </is>
      </c>
      <c r="D445" s="4" t="inlineStr">
        <is>
          <t>British</t>
        </is>
      </c>
      <c r="E445" s="2" t="n">
        <v>6</v>
      </c>
      <c r="F445" s="2" t="n">
        <v>20</v>
      </c>
      <c r="G445" s="2" t="n">
        <v>45</v>
      </c>
      <c r="H445" s="2" t="n">
        <v>65</v>
      </c>
      <c r="I445" s="4" t="inlineStr">
        <is>
          <t>shepherd-s-pie-with-cauliflower-mash.jpg</t>
        </is>
      </c>
      <c r="J445" s="3" t="inlineStr">
        <is>
          <t>Shepherd's Pie with Cauliflower Mash, healthy food photography, plated, natural light</t>
        </is>
      </c>
      <c r="K445" s="4" t="inlineStr"/>
      <c r="L445" s="3" t="inlineStr">
        <is>
          <t>Ground lamb — 600 g (21.2 oz)
Yellow onion — 120 g (4.2 oz)
Carrot — 150 g (5.3 oz)
Green peas — 120 g (4.2 oz)
Mushrooms (cremini/white) — 150 g (5.3 oz)
Garlic — 8 g (0.3 oz)
Tomato paste — 30 g (1.1 oz)
Beef broth, low sodium — 200 g (7.1 oz)
Fresh thyme — 3 g (0.1 oz)
Cauliflower — 900 g (31.7 oz)
Butter — 15 g (0.5 oz)
Parmesan, grated — 40 g (1.4 oz)
Milk, 2% — 50 g (1.8 oz)
Extra-virgin olive oil — 10 g (0.4 oz)
Salt — 4 g (0.1 oz)</t>
        </is>
      </c>
      <c r="M445" s="4" t="inlineStr">
        <is>
          <t>[{"ingredient_id": "ground_lamb", "name": "Ground lamb", "grams": 600.0, "note": ""}, {"ingredient_id": "onion", "name": "Yellow onion", "grams": 120.0, "note": ""}, {"ingredient_id": "carrot", "name": "Carrot", "grams": 150.0, "note": ""}, {"ingredient_id": "green_peas", "name": "Green peas", "grams": 120.0, "note": ""}, {"ingredient_id": "mushrooms", "name": "Mushrooms (cremini/white)", "grams": 150.0, "note": ""}, {"ingredient_id": "garlic", "name": "Garlic", "grams": 8.0, "note": ""}, {"ingredient_id": "tomato_paste", "name": "Tomato paste", "grams": 30.0, "note": ""}, {"ingredient_id": "beef_broth", "name": "Beef broth, low sodium", "grams": 200.0, "note": ""}, {"ingredient_id": "thyme", "name": "Fresh thyme", "grams": 3.0, "note": ""}, {"ingredient_id": "cauliflower", "name": "Cauliflower", "grams": 900.0, "note": ""}, {"ingredient_id": "butter", "name": "Butter", "grams": 15.0, "note": ""}, {"ingredient_id": "parmesan", "name": "Parmesan, grated", "grams": 40.0, "note": ""}, {"ingredient_id": "milk", "name": "Milk, 2%", "grams": 50.0, "note": ""}, {"ingredient_id": "olive_oil", "name": "Extra-virgin olive oil", "grams": 10.0, "note": ""}, {"ingredient_id": "salt", "name": "Salt", "grams": 4.0, "note": ""}]</t>
        </is>
      </c>
      <c r="N445" s="2" t="n">
        <v>434</v>
      </c>
      <c r="O445" s="5" t="n">
        <v>25.7</v>
      </c>
      <c r="P445" s="5" t="n">
        <v>29.6</v>
      </c>
      <c r="Q445" s="5" t="n">
        <v>17.7</v>
      </c>
      <c r="R445" s="5" t="n">
        <v>5.7</v>
      </c>
      <c r="S445" s="5" t="n">
        <v>12</v>
      </c>
      <c r="T445" s="2" t="n">
        <v>23</v>
      </c>
      <c r="U445" s="2" t="inlineStr">
        <is>
          <t>low</t>
        </is>
      </c>
      <c r="V445" s="5" t="n">
        <v>2.8</v>
      </c>
      <c r="W445" s="2" t="inlineStr">
        <is>
          <t>low</t>
        </is>
      </c>
      <c r="X445" s="3" t="inlineStr"/>
      <c r="Y445" s="3" t="inlineStr">
        <is>
          <t>31% of this dish's available carbohydrate comes from ingredients with a published, measured GI; the rest uses conventional placeholders (see Ingredients sheet)</t>
        </is>
      </c>
      <c r="Z445" s="2" t="n">
        <v>31</v>
      </c>
      <c r="AA445" s="3" t="inlineStr">
        <is>
          <t>gluten-free, nut-free, low-carb, high-protein, make-ahead</t>
        </is>
      </c>
      <c r="AB445" s="3" t="inlineStr">
        <is>
          <t>1. Brown lamb with onion, carrot, mushrooms, garlic; add tomato paste, broth, thyme, peas; simmer 10 minutes.
2. Steam cauliflower; mash with butter, milk, parmesan, salt.
3. Spread mash over filling; bake at 400°F 25 minutes.</t>
        </is>
      </c>
      <c r="AC445" s="4" t="inlineStr">
        <is>
          <t>["Brown lamb with onion, carrot, mushrooms, garlic; add tomato paste, broth, thyme, peas; simmer 10 minutes.", "Steam cauliflower; mash with butter, milk, parmesan, salt.", "Spread mash over filling; bake at 400°F 25 minutes."]</t>
        </is>
      </c>
    </row>
    <row r="446" ht="96" customHeight="1">
      <c r="A446" s="2" t="inlineStr">
        <is>
          <t>DB-0445</t>
        </is>
      </c>
      <c r="B446" s="3" t="inlineStr">
        <is>
          <t>Beef &amp; Mushroom Stroganoff (Yogurt)</t>
        </is>
      </c>
      <c r="C446" s="4" t="inlineStr">
        <is>
          <t>Beef, Pork &amp; Lamb</t>
        </is>
      </c>
      <c r="D446" s="4" t="inlineStr">
        <is>
          <t>Russian</t>
        </is>
      </c>
      <c r="E446" s="2" t="n">
        <v>4</v>
      </c>
      <c r="F446" s="2" t="n">
        <v>10</v>
      </c>
      <c r="G446" s="2" t="n">
        <v>25</v>
      </c>
      <c r="H446" s="2" t="n">
        <v>35</v>
      </c>
      <c r="I446" s="4" t="inlineStr">
        <is>
          <t>beef-and-mushroom-stroganoff-yogurt.jpg</t>
        </is>
      </c>
      <c r="J446" s="3" t="inlineStr">
        <is>
          <t>Beef &amp; Mushroom Stroganoff (Yogurt), healthy food photography, plated, natural light</t>
        </is>
      </c>
      <c r="K446" s="4" t="inlineStr"/>
      <c r="L446" s="3" t="inlineStr">
        <is>
          <t>Beef sirloin, trimmed — 600 g (21.2 oz)
Mushrooms (cremini/white) — 400 g (14.1 oz)
Yellow onion — 100 g (3.5 oz)
Garlic — 6 g (0.2 oz)
Beef broth, low sodium — 200 g (7.1 oz)
Greek yogurt, plain 2% — 150 g (5.3 oz)
Dijon mustard — 10 g (0.4 oz)
Paprika — 3 g (0.1 oz)
Extra-virgin olive oil — 15 g (0.5 oz)
Whole wheat pasta, cooked al dente — 300 g (10.6 oz)
Fresh parsley — 6 g (0.2 oz)
Salt — 3 g (0.1 oz)</t>
        </is>
      </c>
      <c r="M446" s="4" t="inlineStr">
        <is>
          <t>[{"ingredient_id": "beef_sirloin", "name": "Beef sirloin, trimmed", "grams": 600.0, "note": ""}, {"ingredient_id": "mushrooms", "name": "Mushrooms (cremini/white)", "grams": 400.0, "note": ""}, {"ingredient_id": "onion", "name": "Yellow onion", "grams": 100.0, "note": ""}, {"ingredient_id": "garlic", "name": "Garlic", "grams": 6.0, "note": ""}, {"ingredient_id": "beef_broth", "name": "Beef broth, low sodium", "grams": 200.0, "note": ""}, {"ingredient_id": "greek_yogurt", "name": "Greek yogurt, plain 2%", "grams": 150.0, "note": ""}, {"ingredient_id": "dijon", "name": "Dijon mustard", "grams": 10.0, "note": ""}, {"ingredient_id": "paprika", "name": "Paprika", "grams": 3.0, "note": ""}, {"ingredient_id": "olive_oil", "name": "Extra-virgin olive oil", "grams": 15.0, "note": ""}, {"ingredient_id": "whole_wheat_pasta", "name": "Whole wheat pasta, cooked al dente", "grams": 300.0, "note": ""}, {"ingredient_id": "parsley", "name": "Fresh parsley", "grams": 6.0, "note": ""}, {"ingredient_id": "salt", "name": "Salt", "grams": 3.0, "note": ""}]</t>
        </is>
      </c>
      <c r="N446" s="2" t="n">
        <v>391</v>
      </c>
      <c r="O446" s="5" t="n">
        <v>45.1</v>
      </c>
      <c r="P446" s="5" t="n">
        <v>12.2</v>
      </c>
      <c r="Q446" s="5" t="n">
        <v>28.3</v>
      </c>
      <c r="R446" s="5" t="n">
        <v>4.8</v>
      </c>
      <c r="S446" s="5" t="n">
        <v>23.6</v>
      </c>
      <c r="T446" s="2" t="n">
        <v>43</v>
      </c>
      <c r="U446" s="2" t="inlineStr">
        <is>
          <t>low</t>
        </is>
      </c>
      <c r="V446" s="5" t="n">
        <v>10.1</v>
      </c>
      <c r="W446" s="2" t="inlineStr">
        <is>
          <t>medium</t>
        </is>
      </c>
      <c r="X446" s="3" t="inlineStr"/>
      <c r="Y446" s="3" t="inlineStr">
        <is>
          <t>78% of this dish's available carbohydrate comes from ingredients with a published, measured GI; the rest uses conventional placeholders (see Ingredients sheet)</t>
        </is>
      </c>
      <c r="Z446" s="2" t="n">
        <v>78</v>
      </c>
      <c r="AA446" s="3" t="inlineStr">
        <is>
          <t>nut-free, high-protein</t>
        </is>
      </c>
      <c r="AB446" s="3" t="inlineStr">
        <is>
          <t>1. Sear beef strips in oil; remove. Sauté mushrooms, onion, garlic 8 minutes; add paprika, broth, Dijon.
2. Stir in yogurt off the heat; return beef.
3. Serve over al dente whole wheat pasta with parsley.</t>
        </is>
      </c>
      <c r="AC446" s="4" t="inlineStr">
        <is>
          <t>["Sear beef strips in oil; remove. Sauté mushrooms, onion, garlic 8 minutes; add paprika, broth, Dijon.", "Stir in yogurt off the heat; return beef.", "Serve over al dente whole wheat pasta with parsley."]</t>
        </is>
      </c>
    </row>
    <row r="447" ht="96" customHeight="1">
      <c r="A447" s="2" t="inlineStr">
        <is>
          <t>DB-0446</t>
        </is>
      </c>
      <c r="B447" s="3" t="inlineStr">
        <is>
          <t>Pork Tenderloin Medallions with Mushroom Sauce</t>
        </is>
      </c>
      <c r="C447" s="4" t="inlineStr">
        <is>
          <t>Beef, Pork &amp; Lamb</t>
        </is>
      </c>
      <c r="D447" s="4" t="inlineStr">
        <is>
          <t>French</t>
        </is>
      </c>
      <c r="E447" s="2" t="n">
        <v>4</v>
      </c>
      <c r="F447" s="2" t="n">
        <v>10</v>
      </c>
      <c r="G447" s="2" t="n">
        <v>20</v>
      </c>
      <c r="H447" s="2" t="n">
        <v>30</v>
      </c>
      <c r="I447" s="4" t="inlineStr">
        <is>
          <t>pork-tenderloin-medallions-with-mushroom-sauce.jpg</t>
        </is>
      </c>
      <c r="J447" s="3" t="inlineStr">
        <is>
          <t>Pork Tenderloin Medallions with Mushroom Sauce, healthy food photography, plated, natural light</t>
        </is>
      </c>
      <c r="K447" s="4" t="inlineStr"/>
      <c r="L447" s="3" t="inlineStr">
        <is>
          <t>Pork tenderloin — 600 g (21.2 oz)
Mushrooms (cremini/white) — 300 g (10.6 oz)
Shallot — 40 g (1.4 oz)
Garlic — 6 g (0.2 oz)
Dry white wine (cooking) — 80 g (2.8 oz)
Chicken broth, low sodium — 120 g (4.2 oz)
Greek yogurt, plain 2% — 80 g (2.8 oz)
Fresh thyme — 2 g (0.1 oz)
Extra-virgin olive oil — 15 g (0.5 oz)
Green beans — 400 g (14.1 oz)
Salt — 3 g (0.1 oz)</t>
        </is>
      </c>
      <c r="M447" s="4" t="inlineStr">
        <is>
          <t>[{"ingredient_id": "pork_tenderloin", "name": "Pork tenderloin", "grams": 600.0, "note": ""}, {"ingredient_id": "mushrooms", "name": "Mushrooms (cremini/white)", "grams": 300.0, "note": ""}, {"ingredient_id": "shallot", "name": "Shallot", "grams": 40.0, "note": ""}, {"ingredient_id": "garlic", "name": "Garlic", "grams": 6.0, "note": ""}, {"ingredient_id": "white_wine", "name": "Dry white wine (cooking)", "grams": 80.0, "note": ""}, {"ingredient_id": "chicken_broth", "name": "Chicken broth, low sodium", "grams": 120.0, "note": ""}, {"ingredient_id": "greek_yogurt", "name": "Greek yogurt, plain 2%", "grams": 80.0, "note": ""}, {"ingredient_id": "thyme", "name": "Fresh thyme", "grams": 2.0, "note": ""}, {"ingredient_id": "olive_oil", "name": "Extra-virgin olive oil", "grams": 15.0, "note": ""}, {"ingredient_id": "green_beans", "name": "Green beans", "grams": 400.0, "note": ""}, {"ingredient_id": "salt", "name": "Salt", "grams": 3.0, "note": ""}]</t>
        </is>
      </c>
      <c r="N447" s="2" t="n">
        <v>304</v>
      </c>
      <c r="O447" s="5" t="n">
        <v>38.3</v>
      </c>
      <c r="P447" s="5" t="n">
        <v>9.9</v>
      </c>
      <c r="Q447" s="5" t="n">
        <v>13.3</v>
      </c>
      <c r="R447" s="5" t="n">
        <v>3.9</v>
      </c>
      <c r="S447" s="5" t="n">
        <v>9.4</v>
      </c>
      <c r="T447" s="2" t="n">
        <v>14</v>
      </c>
      <c r="U447" s="2" t="inlineStr">
        <is>
          <t>low</t>
        </is>
      </c>
      <c r="V447" s="5" t="n">
        <v>1.3</v>
      </c>
      <c r="W447" s="2" t="inlineStr">
        <is>
          <t>low</t>
        </is>
      </c>
      <c r="X447" s="3" t="inlineStr"/>
      <c r="Y447" s="3" t="inlineStr">
        <is>
          <t>9% of this dish's available carbohydrate comes from ingredients with a published, measured GI; the rest uses conventional placeholders (see Ingredients sheet)</t>
        </is>
      </c>
      <c r="Z447" s="2" t="n">
        <v>9</v>
      </c>
      <c r="AA447" s="3" t="inlineStr">
        <is>
          <t>gluten-free, nut-free, low-carb, high-protein</t>
        </is>
      </c>
      <c r="AB447" s="3" t="inlineStr">
        <is>
          <t>1. Slice pork into medallions; season; sear 3 minutes per side; remove.
2. Sauté mushrooms, shallot, garlic, thyme; add wine and broth; reduce; stir in yogurt off heat.
3. Return pork; serve with green beans.</t>
        </is>
      </c>
      <c r="AC447" s="4" t="inlineStr">
        <is>
          <t>["Slice pork into medallions; season; sear 3 minutes per side; remove.", "Sauté mushrooms, shallot, garlic, thyme; add wine and broth; reduce; stir in yogurt off heat.", "Return pork; serve with green beans."]</t>
        </is>
      </c>
    </row>
    <row r="448" ht="96" customHeight="1">
      <c r="A448" s="2" t="inlineStr">
        <is>
          <t>DB-0447</t>
        </is>
      </c>
      <c r="B448" s="3" t="inlineStr">
        <is>
          <t>Beef Fajita Bowls</t>
        </is>
      </c>
      <c r="C448" s="4" t="inlineStr">
        <is>
          <t>Beef, Pork &amp; Lamb</t>
        </is>
      </c>
      <c r="D448" s="4" t="inlineStr">
        <is>
          <t>Tex-Mex</t>
        </is>
      </c>
      <c r="E448" s="2" t="n">
        <v>4</v>
      </c>
      <c r="F448" s="2" t="n">
        <v>15</v>
      </c>
      <c r="G448" s="2" t="n">
        <v>15</v>
      </c>
      <c r="H448" s="2" t="n">
        <v>30</v>
      </c>
      <c r="I448" s="4" t="inlineStr">
        <is>
          <t>beef-fajita-bowls.jpg</t>
        </is>
      </c>
      <c r="J448" s="3" t="inlineStr">
        <is>
          <t>Beef Fajita Bowls, healthy food photography, plated, natural light</t>
        </is>
      </c>
      <c r="K448" s="4" t="inlineStr"/>
      <c r="L448" s="3" t="inlineStr">
        <is>
          <t>Flank steak — 600 g (21.2 oz)
Bell pepper — 300 g (10.6 oz)
Yellow onion — 150 g (5.3 oz)
Chili powder — 6 g (0.2 oz)
Ground cumin — 4 g (0.1 oz)
Lime — 40 g (1.4 oz)
Extra-virgin olive oil — 15 g (0.5 oz)
Cauliflower rice — 500 g (17.6 oz)
Black beans, cooked — 250 g (8.8 oz)
Avocado — 120 g (4.2 oz)
Salsa, no sugar added — 150 g (5.3 oz)
Greek yogurt, plain 2% — 60 g (2.1 oz)
Fresh cilantro — 6 g (0.2 oz)</t>
        </is>
      </c>
      <c r="M448" s="4" t="inlineStr">
        <is>
          <t>[{"ingredient_id": "flank_steak", "name": "Flank steak", "grams": 600.0, "note": ""}, {"ingredient_id": "bell_pepper", "name": "Bell pepper", "grams": 300.0, "note": ""}, {"ingredient_id": "onion", "name": "Yellow onion", "grams": 150.0, "note": ""}, {"ingredient_id": "chili_powder", "name": "Chili powder", "grams": 6.0, "note": ""}, {"ingredient_id": "cumin", "name": "Ground cumin", "grams": 4.0, "note": ""}, {"ingredient_id": "lime", "name": "Lime", "grams": 40.0, "note": ""}, {"ingredient_id": "olive_oil", "name": "Extra-virgin olive oil", "grams": 15.0, "note": ""}, {"ingredient_id": "cauliflower_rice", "name": "Cauliflower rice", "grams": 500.0, "note": ""}, {"ingredient_id": "black_beans", "name": "Black beans, cooked", "grams": 250.0, "note": ""}, {"ingredient_id": "avocado", "name": "Avocado", "grams": 120.0, "note": ""}, {"ingredient_id": "salsa", "name": "Salsa, no sugar added", "grams": 150.0, "note": ""}, {"ingredient_id": "greek_yogurt", "name": "Greek yogurt, plain 2%", "grams": 60.0, "note": ""}, {"ingredient_id": "cilantro", "name": "Fresh cilantro", "grams": 6.0, "note": ""}]</t>
        </is>
      </c>
      <c r="N448" s="2" t="n">
        <v>494</v>
      </c>
      <c r="O448" s="5" t="n">
        <v>43.7</v>
      </c>
      <c r="P448" s="5" t="n">
        <v>20.5</v>
      </c>
      <c r="Q448" s="5" t="n">
        <v>37.1</v>
      </c>
      <c r="R448" s="5" t="n">
        <v>13.7</v>
      </c>
      <c r="S448" s="5" t="n">
        <v>23.4</v>
      </c>
      <c r="T448" s="2" t="n">
        <v>22</v>
      </c>
      <c r="U448" s="2" t="inlineStr">
        <is>
          <t>low</t>
        </is>
      </c>
      <c r="V448" s="5" t="n">
        <v>5.2</v>
      </c>
      <c r="W448" s="2" t="inlineStr">
        <is>
          <t>low</t>
        </is>
      </c>
      <c r="X448" s="3" t="inlineStr"/>
      <c r="Y448" s="3" t="inlineStr">
        <is>
          <t>43% of this dish's available carbohydrate comes from ingredients with a published, measured GI; the rest uses conventional placeholders (see Ingredients sheet)</t>
        </is>
      </c>
      <c r="Z448" s="2" t="n">
        <v>43</v>
      </c>
      <c r="AA448" s="3" t="inlineStr">
        <is>
          <t>gluten-free, nut-free, high-protein, high-fiber</t>
        </is>
      </c>
      <c r="AB448" s="3" t="inlineStr">
        <is>
          <t>1. Season steak with chili powder, cumin, lime; grill and slice.
2. Sauté peppers and onion in oil until charred.
3. Bowl cauliflower rice, beans, steak, peppers, avocado, salsa, yogurt, cilantro.</t>
        </is>
      </c>
      <c r="AC448" s="4" t="inlineStr">
        <is>
          <t>["Season steak with chili powder, cumin, lime; grill and slice.", "Sauté peppers and onion in oil until charred.", "Bowl cauliflower rice, beans, steak, peppers, avocado, salsa, yogurt, cilantro."]</t>
        </is>
      </c>
    </row>
    <row r="449" ht="96" customHeight="1">
      <c r="A449" s="2" t="inlineStr">
        <is>
          <t>DB-0448</t>
        </is>
      </c>
      <c r="B449" s="3" t="inlineStr">
        <is>
          <t>Lamb Kofta with Cucumber Salad</t>
        </is>
      </c>
      <c r="C449" s="4" t="inlineStr">
        <is>
          <t>Beef, Pork &amp; Lamb</t>
        </is>
      </c>
      <c r="D449" s="4" t="inlineStr">
        <is>
          <t>Middle Eastern</t>
        </is>
      </c>
      <c r="E449" s="2" t="n">
        <v>4</v>
      </c>
      <c r="F449" s="2" t="n">
        <v>15</v>
      </c>
      <c r="G449" s="2" t="n">
        <v>15</v>
      </c>
      <c r="H449" s="2" t="n">
        <v>30</v>
      </c>
      <c r="I449" s="4" t="inlineStr">
        <is>
          <t>lamb-kofta-with-cucumber-salad.jpg</t>
        </is>
      </c>
      <c r="J449" s="3" t="inlineStr">
        <is>
          <t>Lamb Kofta with Cucumber Salad, healthy food photography, plated, natural light</t>
        </is>
      </c>
      <c r="K449" s="4" t="inlineStr"/>
      <c r="L449" s="3" t="inlineStr">
        <is>
          <t>Ground lamb — 600 g (21.2 oz)
Yellow onion — 60 g (2.1 oz)
Fresh parsley — 15 g (0.5 oz)
Fresh mint — 8 g (0.3 oz)
Garlic — 8 g (0.3 oz)
Ground cumin — 4 g (0.1 oz)
Ground coriander — 3 g (0.1 oz)
Ground cinnamon — 1 g (0.0 oz)
Cucumber — 300 g (10.6 oz)
Tomato — 200 g (7.1 oz)
Greek yogurt, plain 2% — 150 g (5.3 oz)
Lemon juice — 15 g (0.5 oz)
Extra-virgin olive oil — 10 g (0.4 oz)
Salt — 3 g (0.1 oz)</t>
        </is>
      </c>
      <c r="M449" s="4" t="inlineStr">
        <is>
          <t>[{"ingredient_id": "ground_lamb", "name": "Ground lamb", "grams": 600.0, "note": ""}, {"ingredient_id": "onion", "name": "Yellow onion", "grams": 60.0, "note": ""}, {"ingredient_id": "parsley", "name": "Fresh parsley", "grams": 15.0, "note": ""}, {"ingredient_id": "mint", "name": "Fresh mint", "grams": 8.0, "note": ""}, {"ingredient_id": "garlic", "name": "Garlic", "grams": 8.0, "note": ""}, {"ingredient_id": "cumin", "name": "Ground cumin", "grams": 4.0, "note": ""}, {"ingredient_id": "coriander", "name": "Ground coriander", "grams": 3.0, "note": ""}, {"ingredient_id": "cinnamon", "name": "Ground cinnamon", "grams": 1.0, "note": ""}, {"ingredient_id": "cucumber", "name": "Cucumber", "grams": 300.0, "note": ""}, {"ingredient_id": "tomato", "name": "Tomato", "grams": 200.0, "note": ""}, {"ingredient_id": "greek_yogurt", "name": "Greek yogurt, plain 2%", "grams": 150.0, "note": ""}, {"ingredient_id": "lemon_juice", "name": "Lemon juice", "grams": 15.0, "note": ""}, {"ingredient_id": "olive_oil", "name": "Extra-virgin olive oil", "grams": 10.0, "note": ""}, {"ingredient_id": "salt", "name": "Salt", "grams": 3.0, "note": ""}]</t>
        </is>
      </c>
      <c r="N449" s="2" t="n">
        <v>511</v>
      </c>
      <c r="O449" s="5" t="n">
        <v>31</v>
      </c>
      <c r="P449" s="5" t="n">
        <v>38.4</v>
      </c>
      <c r="Q449" s="5" t="n">
        <v>9.9</v>
      </c>
      <c r="R449" s="5" t="n">
        <v>2.1</v>
      </c>
      <c r="S449" s="5" t="n">
        <v>7.8</v>
      </c>
      <c r="T449" s="2" t="n">
        <v>15</v>
      </c>
      <c r="U449" s="2" t="inlineStr">
        <is>
          <t>low</t>
        </is>
      </c>
      <c r="V449" s="5" t="n">
        <v>1.2</v>
      </c>
      <c r="W449" s="2" t="inlineStr">
        <is>
          <t>low</t>
        </is>
      </c>
      <c r="X449" s="3" t="inlineStr"/>
      <c r="Y449" s="3" t="inlineStr">
        <is>
          <t>19% of this dish's available carbohydrate comes from ingredients with a published, measured GI; the rest uses conventional placeholders (see Ingredients sheet)</t>
        </is>
      </c>
      <c r="Z449" s="2" t="n">
        <v>19</v>
      </c>
      <c r="AA449" s="3" t="inlineStr">
        <is>
          <t>gluten-free, nut-free, low-carb, high-protein</t>
        </is>
      </c>
      <c r="AB449" s="3" t="inlineStr">
        <is>
          <t>1. Mix lamb, grated onion, herbs, garlic, spices, salt; shape onto skewers.
2. Grill 12 minutes, turning.
3. Serve with cucumber-tomato salad and lemon yogurt.</t>
        </is>
      </c>
      <c r="AC449" s="4" t="inlineStr">
        <is>
          <t>["Mix lamb, grated onion, herbs, garlic, spices, salt; shape onto skewers.", "Grill 12 minutes, turning.", "Serve with cucumber-tomato salad and lemon yogurt."]</t>
        </is>
      </c>
    </row>
    <row r="450" ht="96" customHeight="1">
      <c r="A450" s="2" t="inlineStr">
        <is>
          <t>DB-0449</t>
        </is>
      </c>
      <c r="B450" s="3" t="inlineStr">
        <is>
          <t>Cuban Ropa Vieja</t>
        </is>
      </c>
      <c r="C450" s="4" t="inlineStr">
        <is>
          <t>Beef, Pork &amp; Lamb</t>
        </is>
      </c>
      <c r="D450" s="4" t="inlineStr">
        <is>
          <t>Cuban</t>
        </is>
      </c>
      <c r="E450" s="2" t="n">
        <v>6</v>
      </c>
      <c r="F450" s="2" t="n">
        <v>15</v>
      </c>
      <c r="G450" s="2" t="n">
        <v>180</v>
      </c>
      <c r="H450" s="2" t="n">
        <v>195</v>
      </c>
      <c r="I450" s="4" t="inlineStr">
        <is>
          <t>cuban-ropa-vieja.jpg</t>
        </is>
      </c>
      <c r="J450" s="3" t="inlineStr">
        <is>
          <t>Cuban Ropa Vieja, healthy food photography, plated, natural light</t>
        </is>
      </c>
      <c r="K450" s="4" t="inlineStr"/>
      <c r="L450" s="3" t="inlineStr">
        <is>
          <t>Flank steak — 900 g (31.7 oz)
Bell pepper — 300 g (10.6 oz)
Yellow onion — 150 g (5.3 oz)
Garlic — 12 g (0.4 oz)
Crushed tomatoes, canned — 500 g (17.6 oz)
Beef broth, low sodium — 300 g (10.6 oz)
Ground cumin — 5 g (0.2 oz)
Dried oregano — 3 g (0.1 oz)
Bay leaves — 2 g (0.1 oz)
Olives (kalamata/green) — 50 g (1.8 oz)
Dry white wine (cooking) — 80 g (2.8 oz)
Extra-virgin olive oil — 15 g (0.5 oz)
Cauliflower rice — 600 g (21.2 oz)
Salt — 4 g (0.1 oz)</t>
        </is>
      </c>
      <c r="M450" s="4" t="inlineStr">
        <is>
          <t>[{"ingredient_id": "flank_steak", "name": "Flank steak", "grams": 900.0, "note": ""}, {"ingredient_id": "bell_pepper", "name": "Bell pepper", "grams": 300.0, "note": ""}, {"ingredient_id": "onion", "name": "Yellow onion", "grams": 150.0, "note": ""}, {"ingredient_id": "garlic", "name": "Garlic", "grams": 12.0, "note": ""}, {"ingredient_id": "crushed_tomatoes", "name": "Crushed tomatoes, canned", "grams": 500.0, "note": ""}, {"ingredient_id": "beef_broth", "name": "Beef broth, low sodium", "grams": 300.0, "note": ""}, {"ingredient_id": "cumin", "name": "Ground cumin", "grams": 5.0, "note": ""}, {"ingredient_id": "oregano", "name": "Dried oregano", "grams": 3.0, "note": ""}, {"ingredient_id": "bay_leaf", "name": "Bay leaves", "grams": 2.0, "note": ""}, {"ingredient_id": "olives", "name": "Olives (kalamata/green)", "grams": 50.0, "note": ""}, {"ingredient_id": "white_wine", "name": "Dry white wine (cooking)", "grams": 80.0, "note": ""}, {"ingredient_id": "olive_oil", "name": "Extra-virgin olive oil", "grams": 15.0, "note": ""}, {"ingredient_id": "cauliflower_rice", "name": "Cauliflower rice", "grams": 600.0, "note": ""}, {"ingredient_id": "salt", "name": "Salt", "grams": 4.0, "note": ""}]</t>
        </is>
      </c>
      <c r="N450" s="2" t="n">
        <v>357</v>
      </c>
      <c r="O450" s="5" t="n">
        <v>36.6</v>
      </c>
      <c r="P450" s="5" t="n">
        <v>15</v>
      </c>
      <c r="Q450" s="5" t="n">
        <v>18.8</v>
      </c>
      <c r="R450" s="5" t="n">
        <v>5.8</v>
      </c>
      <c r="S450" s="5" t="n">
        <v>13.1</v>
      </c>
      <c r="T450" s="2" t="n">
        <v>22</v>
      </c>
      <c r="U450" s="2" t="inlineStr">
        <is>
          <t>low</t>
        </is>
      </c>
      <c r="V450" s="5" t="n">
        <v>2.9</v>
      </c>
      <c r="W450" s="2" t="inlineStr">
        <is>
          <t>low</t>
        </is>
      </c>
      <c r="X450" s="3" t="inlineStr"/>
      <c r="Y450" s="3" t="inlineStr">
        <is>
          <t>0% of this dish's available carbohydrate comes from ingredients with a published, measured GI; the rest uses conventional placeholders (see Ingredients sheet)</t>
        </is>
      </c>
      <c r="Z450" s="2" t="n">
        <v>0</v>
      </c>
      <c r="AA450" s="3" t="inlineStr">
        <is>
          <t>gluten-free, dairy-free, nut-free, low-carb, high-protein, make-ahead</t>
        </is>
      </c>
      <c r="AB450" s="3" t="inlineStr">
        <is>
          <t>1. Sear steak in oil; remove. Sauté peppers, onion, garlic; add cumin, oregano, wine.
2. Add tomatoes, broth, bay, steak; simmer covered 2.5 hours until shreddable.
3. Shred, return to sauce with olives; serve over cauliflower rice.</t>
        </is>
      </c>
      <c r="AC450" s="4" t="inlineStr">
        <is>
          <t>["Sear steak in oil; remove. Sauté peppers, onion, garlic; add cumin, oregano, wine.", "Add tomatoes, broth, bay, steak; simmer covered 2.5 hours until shreddable.", "Shred, return to sauce with olives; serve over cauliflower rice."]</t>
        </is>
      </c>
    </row>
    <row r="451" ht="96" customHeight="1">
      <c r="A451" s="2" t="inlineStr">
        <is>
          <t>DB-0450</t>
        </is>
      </c>
      <c r="B451" s="3" t="inlineStr">
        <is>
          <t>Pork &amp; Green Bean Stir-Fry with Garlic</t>
        </is>
      </c>
      <c r="C451" s="4" t="inlineStr">
        <is>
          <t>Beef, Pork &amp; Lamb</t>
        </is>
      </c>
      <c r="D451" s="4" t="inlineStr">
        <is>
          <t>Chinese</t>
        </is>
      </c>
      <c r="E451" s="2" t="n">
        <v>4</v>
      </c>
      <c r="F451" s="2" t="n">
        <v>10</v>
      </c>
      <c r="G451" s="2" t="n">
        <v>12</v>
      </c>
      <c r="H451" s="2" t="n">
        <v>22</v>
      </c>
      <c r="I451" s="4" t="inlineStr">
        <is>
          <t>pork-and-green-bean-stir-fry-with-garlic.jpg</t>
        </is>
      </c>
      <c r="J451" s="3" t="inlineStr">
        <is>
          <t>Pork &amp; Green Bean Stir-Fry with Garlic, healthy food photography, plated, natural light</t>
        </is>
      </c>
      <c r="K451" s="4" t="inlineStr"/>
      <c r="L451" s="3" t="inlineStr">
        <is>
          <t>Ground pork, lean — 500 g (17.6 oz)
Green beans — 500 g (17.6 oz)
Garlic — 12 g (0.4 oz)
Fresh ginger — 8 g (0.3 oz)
Tamari (gluten-free soy sauce) — 30 g (1.1 oz)
Rice vinegar, unseasoned — 10 g (0.4 oz)
Chili crisp (small amount) — 10 g (0.4 oz)
Toasted sesame oil — 8 g (0.3 oz)
Avocado oil — 10 g (0.4 oz)
Green onions (scallions) — 15 g (0.5 oz)</t>
        </is>
      </c>
      <c r="M451" s="4" t="inlineStr">
        <is>
          <t>[{"ingredient_id": "ground_pork", "name": "Ground pork, lean", "grams": 500.0, "note": ""}, {"ingredient_id": "green_beans", "name": "Green beans", "grams": 500.0, "note": ""}, {"ingredient_id": "garlic", "name": "Garlic", "grams": 12.0, "note": ""}, {"ingredient_id": "ginger", "name": "Fresh ginger", "grams": 8.0, "note": ""}, {"ingredient_id": "tamari", "name": "Tamari (gluten-free soy sauce)", "grams": 30.0, "note": ""}, {"ingredient_id": "rice_vinegar", "name": "Rice vinegar, unseasoned", "grams": 10.0, "note": ""}, {"ingredient_id": "chili_crisp", "name": "Chili crisp (small amount)", "grams": 10.0, "note": ""}, {"ingredient_id": "sesame_oil", "name": "Toasted sesame oil", "grams": 8.0, "note": ""}, {"ingredient_id": "avocado_oil", "name": "Avocado oil", "grams": 10.0, "note": ""}, {"ingredient_id": "green_onion", "name": "Green onions (scallions)", "grams": 15.0, "note": ""}]</t>
        </is>
      </c>
      <c r="N451" s="2" t="n">
        <v>335</v>
      </c>
      <c r="O451" s="5" t="n">
        <v>27.2</v>
      </c>
      <c r="P451" s="5" t="n">
        <v>21</v>
      </c>
      <c r="Q451" s="5" t="n">
        <v>11</v>
      </c>
      <c r="R451" s="5" t="n">
        <v>3.7</v>
      </c>
      <c r="S451" s="5" t="n">
        <v>7.3</v>
      </c>
      <c r="T451" s="2" t="n">
        <v>17</v>
      </c>
      <c r="U451" s="2" t="inlineStr">
        <is>
          <t>low</t>
        </is>
      </c>
      <c r="V451" s="5" t="n">
        <v>1.2</v>
      </c>
      <c r="W451" s="2" t="inlineStr">
        <is>
          <t>low</t>
        </is>
      </c>
      <c r="X451" s="3" t="inlineStr"/>
      <c r="Y451" s="3" t="inlineStr">
        <is>
          <t>0% of this dish's available carbohydrate comes from ingredients with a published, measured GI; the rest uses conventional placeholders (see Ingredients sheet)</t>
        </is>
      </c>
      <c r="Z451" s="2" t="n">
        <v>0</v>
      </c>
      <c r="AA451" s="3" t="inlineStr">
        <is>
          <t>gluten-free, dairy-free, nut-free, low-carb, high-protein, quick</t>
        </is>
      </c>
      <c r="AB451" s="3" t="inlineStr">
        <is>
          <t>1. Blister green beans in avocado oil over high heat 5 minutes; remove.
2. Brown pork with garlic and ginger; add tamari, vinegar, chili crisp.
3. Return beans; toss with sesame oil and green onion.</t>
        </is>
      </c>
      <c r="AC451" s="4" t="inlineStr">
        <is>
          <t>["Blister green beans in avocado oil over high heat 5 minutes; remove.", "Brown pork with garlic and ginger; add tamari, vinegar, chili crisp.", "Return beans; toss with sesame oil and green onion."]</t>
        </is>
      </c>
    </row>
    <row r="452" ht="96" customHeight="1">
      <c r="A452" s="2" t="inlineStr">
        <is>
          <t>DB-0451</t>
        </is>
      </c>
      <c r="B452" s="3" t="inlineStr">
        <is>
          <t>Beef Kebab Bowls with Tabbouleh</t>
        </is>
      </c>
      <c r="C452" s="4" t="inlineStr">
        <is>
          <t>Beef, Pork &amp; Lamb</t>
        </is>
      </c>
      <c r="D452" s="4" t="inlineStr">
        <is>
          <t>Middle Eastern</t>
        </is>
      </c>
      <c r="E452" s="2" t="n">
        <v>4</v>
      </c>
      <c r="F452" s="2" t="n">
        <v>20</v>
      </c>
      <c r="G452" s="2" t="n">
        <v>12</v>
      </c>
      <c r="H452" s="2" t="n">
        <v>32</v>
      </c>
      <c r="I452" s="4" t="inlineStr">
        <is>
          <t>beef-kebab-bowls-with-tabbouleh.jpg</t>
        </is>
      </c>
      <c r="J452" s="3" t="inlineStr">
        <is>
          <t>Beef Kebab Bowls with Tabbouleh, healthy food photography, plated, natural light</t>
        </is>
      </c>
      <c r="K452" s="4" t="inlineStr"/>
      <c r="L452" s="3" t="inlineStr">
        <is>
          <t>Ground beef 90% lean — 600 g (21.2 oz)
Yellow onion — 60 g (2.1 oz)
Fresh parsley — 50 g (1.8 oz)
Garlic — 8 g (0.3 oz)
Ground cumin — 4 g (0.1 oz)
Paprika — 3 g (0.1 oz)
Bulgur, cooked — 300 g (10.6 oz)
Tomato — 200 g (7.1 oz)
Cucumber — 150 g (5.3 oz)
Fresh mint — 8 g (0.3 oz)
Lemon juice — 30 g (1.1 oz)
Extra-virgin olive oil — 20 g (0.7 oz)
Greek yogurt, plain 2% — 100 g (3.5 oz)
Salt — 3 g (0.1 oz)</t>
        </is>
      </c>
      <c r="M452" s="4" t="inlineStr">
        <is>
          <t>[{"ingredient_id": "ground_beef", "name": "Ground beef 90% lean", "grams": 600.0, "note": ""}, {"ingredient_id": "onion", "name": "Yellow onion", "grams": 60.0, "note": ""}, {"ingredient_id": "parsley", "name": "Fresh parsley", "grams": 50.0, "note": ""}, {"ingredient_id": "garlic", "name": "Garlic", "grams": 8.0, "note": ""}, {"ingredient_id": "cumin", "name": "Ground cumin", "grams": 4.0, "note": ""}, {"ingredient_id": "paprika", "name": "Paprika", "grams": 3.0, "note": ""}, {"ingredient_id": "bulgur", "name": "Bulgur, cooked", "grams": 300.0, "note": ""}, {"ingredient_id": "tomato", "name": "Tomato", "grams": 200.0, "note": ""}, {"ingredient_id": "cucumber", "name": "Cucumber", "grams": 150.0, "note": ""}, {"ingredient_id": "mint", "name": "Fresh mint", "grams": 8.0, "note": ""}, {"ingredient_id": "lemon_juice", "name": "Lemon juice", "grams": 30.0, "note": ""}, {"ingredient_id": "olive_oil", "name": "Extra-virgin olive oil", "grams": 20.0, "note": ""}, {"ingredient_id": "greek_yogurt", "name": "Greek yogurt, plain 2%", "grams": 100.0, "note": ""}, {"ingredient_id": "salt", "name": "Salt", "grams": 3.0, "note": ""}]</t>
        </is>
      </c>
      <c r="N452" s="2" t="n">
        <v>425</v>
      </c>
      <c r="O452" s="5" t="n">
        <v>36.6</v>
      </c>
      <c r="P452" s="5" t="n">
        <v>21.3</v>
      </c>
      <c r="Q452" s="5" t="n">
        <v>22.6</v>
      </c>
      <c r="R452" s="5" t="n">
        <v>5.4</v>
      </c>
      <c r="S452" s="5" t="n">
        <v>17.2</v>
      </c>
      <c r="T452" s="2" t="n">
        <v>34</v>
      </c>
      <c r="U452" s="2" t="inlineStr">
        <is>
          <t>low</t>
        </is>
      </c>
      <c r="V452" s="5" t="n">
        <v>5.9</v>
      </c>
      <c r="W452" s="2" t="inlineStr">
        <is>
          <t>low</t>
        </is>
      </c>
      <c r="X452" s="3" t="inlineStr"/>
      <c r="Y452" s="3" t="inlineStr">
        <is>
          <t>67% of this dish's available carbohydrate comes from ingredients with a published, measured GI; the rest uses conventional placeholders (see Ingredients sheet)</t>
        </is>
      </c>
      <c r="Z452" s="2" t="n">
        <v>67</v>
      </c>
      <c r="AA452" s="3" t="inlineStr">
        <is>
          <t>nut-free, high-protein</t>
        </is>
      </c>
      <c r="AB452" s="3" t="inlineStr">
        <is>
          <t>1. Mix beef with grated onion, a third of the parsley, garlic, cumin, paprika, salt; form kebabs; grill 10 minutes.
2. Toss bulgur with remaining parsley, tomato, cucumber, mint, lemon, oil.
3. Serve kebabs over tabbouleh with yogurt.</t>
        </is>
      </c>
      <c r="AC452" s="4" t="inlineStr">
        <is>
          <t>["Mix beef with grated onion, a third of the parsley, garlic, cumin, paprika, salt; form kebabs; grill 10 minutes.", "Toss bulgur with remaining parsley, tomato, cucumber, mint, lemon, oil.", "Serve kebabs over tabbouleh with yogurt."]</t>
        </is>
      </c>
    </row>
    <row r="453" ht="96" customHeight="1">
      <c r="A453" s="2" t="inlineStr">
        <is>
          <t>DB-0452</t>
        </is>
      </c>
      <c r="B453" s="3" t="inlineStr">
        <is>
          <t>Garlic Butter Steak Bites with Zucchini</t>
        </is>
      </c>
      <c r="C453" s="4" t="inlineStr">
        <is>
          <t>Beef, Pork &amp; Lamb</t>
        </is>
      </c>
      <c r="D453" s="4" t="inlineStr">
        <is>
          <t>American</t>
        </is>
      </c>
      <c r="E453" s="2" t="n">
        <v>4</v>
      </c>
      <c r="F453" s="2" t="n">
        <v>10</v>
      </c>
      <c r="G453" s="2" t="n">
        <v>12</v>
      </c>
      <c r="H453" s="2" t="n">
        <v>22</v>
      </c>
      <c r="I453" s="4" t="inlineStr">
        <is>
          <t>garlic-butter-steak-bites-with-zucchini.jpg</t>
        </is>
      </c>
      <c r="J453" s="3" t="inlineStr">
        <is>
          <t>Garlic Butter Steak Bites with Zucchini, healthy food photography, plated, natural light</t>
        </is>
      </c>
      <c r="K453" s="4" t="inlineStr"/>
      <c r="L453" s="3" t="inlineStr">
        <is>
          <t>Beef sirloin, trimmed — 600 g (21.2 oz)
Zucchini — 500 g (17.6 oz)
Butter — 20 g (0.7 oz)
Garlic — 10 g (0.4 oz)
Extra-virgin olive oil — 12 g (0.4 oz)
Fresh parsley — 6 g (0.2 oz)
Red pepper flakes — 1 g (0.0 oz)
Salt — 3 g (0.1 oz)</t>
        </is>
      </c>
      <c r="M453" s="4" t="inlineStr">
        <is>
          <t>[{"ingredient_id": "beef_sirloin", "name": "Beef sirloin, trimmed", "grams": 600.0, "note": ""}, {"ingredient_id": "zucchini", "name": "Zucchini", "grams": 500.0, "note": ""}, {"ingredient_id": "butter", "name": "Butter", "grams": 20.0, "note": ""}, {"ingredient_id": "garlic", "name": "Garlic", "grams": 10.0, "note": ""}, {"ingredient_id": "olive_oil", "name": "Extra-virgin olive oil", "grams": 12.0, "note": ""}, {"ingredient_id": "parsley", "name": "Fresh parsley", "grams": 6.0, "note": ""}, {"ingredient_id": "red_pepper_flakes", "name": "Red pepper flakes", "grams": 1.0, "note": ""}, {"ingredient_id": "salt", "name": "Salt", "grams": 3.0, "note": ""}]</t>
        </is>
      </c>
      <c r="N453" s="2" t="n">
        <v>284</v>
      </c>
      <c r="O453" s="5" t="n">
        <v>34.8</v>
      </c>
      <c r="P453" s="5" t="n">
        <v>14.2</v>
      </c>
      <c r="Q453" s="5" t="n">
        <v>4.9</v>
      </c>
      <c r="R453" s="5" t="n">
        <v>1.4</v>
      </c>
      <c r="S453" s="5" t="n">
        <v>3.5</v>
      </c>
      <c r="T453" s="2" t="n">
        <v>18</v>
      </c>
      <c r="U453" s="2" t="inlineStr">
        <is>
          <t>low</t>
        </is>
      </c>
      <c r="V453" s="5" t="n">
        <v>0.6</v>
      </c>
      <c r="W453" s="2" t="inlineStr">
        <is>
          <t>low</t>
        </is>
      </c>
      <c r="X453" s="3" t="inlineStr">
        <is>
          <t>Negligible carbohydrate (&lt;5 g net/serving): GI has little practical meaning, glycemic load is what matters.</t>
        </is>
      </c>
      <c r="Y453" s="3" t="inlineStr">
        <is>
          <t>0% of this dish's available carbohydrate comes from ingredients with a published, measured GI; the rest uses conventional placeholders (see Ingredients sheet)</t>
        </is>
      </c>
      <c r="Z453" s="2" t="n">
        <v>0</v>
      </c>
      <c r="AA453" s="3" t="inlineStr">
        <is>
          <t>gluten-free, nut-free, low-carb, high-protein, quick</t>
        </is>
      </c>
      <c r="AB453" s="3" t="inlineStr">
        <is>
          <t>1. Sear beef cubes in oil over high heat 2 minutes per side; remove.
2. Sauté zucchini 4 minutes; add butter and garlic 1 minute.
3. Return beef; toss with parsley and pepper flakes.</t>
        </is>
      </c>
      <c r="AC453" s="4" t="inlineStr">
        <is>
          <t>["Sear beef cubes in oil over high heat 2 minutes per side; remove.", "Sauté zucchini 4 minutes; add butter and garlic 1 minute.", "Return beef; toss with parsley and pepper flakes."]</t>
        </is>
      </c>
    </row>
    <row r="454" ht="96" customHeight="1">
      <c r="A454" s="2" t="inlineStr">
        <is>
          <t>DB-0453</t>
        </is>
      </c>
      <c r="B454" s="3" t="inlineStr">
        <is>
          <t>Pork Souvlaki with Greek Salad</t>
        </is>
      </c>
      <c r="C454" s="4" t="inlineStr">
        <is>
          <t>Beef, Pork &amp; Lamb</t>
        </is>
      </c>
      <c r="D454" s="4" t="inlineStr">
        <is>
          <t>Greek</t>
        </is>
      </c>
      <c r="E454" s="2" t="n">
        <v>4</v>
      </c>
      <c r="F454" s="2" t="n">
        <v>20</v>
      </c>
      <c r="G454" s="2" t="n">
        <v>12</v>
      </c>
      <c r="H454" s="2" t="n">
        <v>32</v>
      </c>
      <c r="I454" s="4" t="inlineStr">
        <is>
          <t>pork-souvlaki-with-greek-salad.jpg</t>
        </is>
      </c>
      <c r="J454" s="3" t="inlineStr">
        <is>
          <t>Pork Souvlaki with Greek Salad, healthy food photography, plated, natural light</t>
        </is>
      </c>
      <c r="K454" s="4" t="inlineStr"/>
      <c r="L454" s="3" t="inlineStr">
        <is>
          <t>Pork tenderloin — 600 g (21.2 oz)
Lemon juice — 30 g (1.1 oz)
Extra-virgin olive oil — 25 g (0.9 oz)
Garlic — 8 g (0.3 oz)
Dried oregano — 4 g (0.1 oz)
Tomato — 250 g (8.8 oz)
Cucumber — 200 g (7.1 oz)
Red onion — 50 g (1.8 oz)
Feta cheese — 60 g (2.1 oz)
Olives (kalamata/green) — 40 g (1.4 oz)
Greek yogurt, plain 2% — 120 g (4.2 oz)
Fresh dill — 4 g (0.1 oz)
Salt — 3 g (0.1 oz)</t>
        </is>
      </c>
      <c r="M454" s="4" t="inlineStr">
        <is>
          <t>[{"ingredient_id": "pork_tenderloin", "name": "Pork tenderloin", "grams": 600.0, "note": ""}, {"ingredient_id": "lemon_juice", "name": "Lemon juice", "grams": 30.0, "note": ""}, {"ingredient_id": "olive_oil", "name": "Extra-virgin olive oil", "grams": 25.0, "note": ""}, {"ingredient_id": "garlic", "name": "Garlic", "grams": 8.0, "note": ""}, {"ingredient_id": "oregano", "name": "Dried oregano", "grams": 4.0, "note": ""}, {"ingredient_id": "tomato", "name": "Tomato", "grams": 250.0, "note": ""}, {"ingredient_id": "cucumber", "name": "Cucumber", "grams": 200.0, "note": ""}, {"ingredient_id": "red_onion", "name": "Red onion", "grams": 50.0, "note": ""}, {"ingredient_id": "feta", "name": "Feta cheese", "grams": 60.0, "note": ""}, {"ingredient_id": "olives", "name": "Olives (kalamata/green)", "grams": 40.0, "note": ""}, {"ingredient_id": "greek_yogurt", "name": "Greek yogurt, plain 2%", "grams": 120.0, "note": ""}, {"ingredient_id": "dill", "name": "Fresh dill", "grams": 4.0, "note": ""}, {"ingredient_id": "salt", "name": "Salt", "grams": 3.0, "note": ""}]</t>
        </is>
      </c>
      <c r="N454" s="2" t="n">
        <v>340</v>
      </c>
      <c r="O454" s="5" t="n">
        <v>38</v>
      </c>
      <c r="P454" s="5" t="n">
        <v>16.6</v>
      </c>
      <c r="Q454" s="5" t="n">
        <v>9.699999999999999</v>
      </c>
      <c r="R454" s="5" t="n">
        <v>2</v>
      </c>
      <c r="S454" s="5" t="n">
        <v>7.7</v>
      </c>
      <c r="T454" s="2" t="n">
        <v>15</v>
      </c>
      <c r="U454" s="2" t="inlineStr">
        <is>
          <t>low</t>
        </is>
      </c>
      <c r="V454" s="5" t="n">
        <v>1.2</v>
      </c>
      <c r="W454" s="2" t="inlineStr">
        <is>
          <t>low</t>
        </is>
      </c>
      <c r="X454" s="3" t="inlineStr"/>
      <c r="Y454" s="3" t="inlineStr">
        <is>
          <t>16% of this dish's available carbohydrate comes from ingredients with a published, measured GI; the rest uses conventional placeholders (see Ingredients sheet)</t>
        </is>
      </c>
      <c r="Z454" s="2" t="n">
        <v>16</v>
      </c>
      <c r="AA454" s="3" t="inlineStr">
        <is>
          <t>gluten-free, nut-free, low-carb, high-protein</t>
        </is>
      </c>
      <c r="AB454" s="3" t="inlineStr">
        <is>
          <t>1. Marinate pork cubes in lemon, oil, garlic, oregano, salt 20 minutes; skewer; grill 10–12 minutes.
2. Toss tomato, cucumber, onion, olives, feta.
3. Serve with yogurt-dill sauce.</t>
        </is>
      </c>
      <c r="AC454" s="4" t="inlineStr">
        <is>
          <t>["Marinate pork cubes in lemon, oil, garlic, oregano, salt 20 minutes; skewer; grill 10–12 minutes.", "Toss tomato, cucumber, onion, olives, feta.", "Serve with yogurt-dill sauce."]</t>
        </is>
      </c>
    </row>
    <row r="455" ht="96" customHeight="1">
      <c r="A455" s="2" t="inlineStr">
        <is>
          <t>DB-0454</t>
        </is>
      </c>
      <c r="B455" s="3" t="inlineStr">
        <is>
          <t>Beef Ragu over Spaghetti Squash</t>
        </is>
      </c>
      <c r="C455" s="4" t="inlineStr">
        <is>
          <t>Beef, Pork &amp; Lamb</t>
        </is>
      </c>
      <c r="D455" s="4" t="inlineStr">
        <is>
          <t>Italian</t>
        </is>
      </c>
      <c r="E455" s="2" t="n">
        <v>5</v>
      </c>
      <c r="F455" s="2" t="n">
        <v>15</v>
      </c>
      <c r="G455" s="2" t="n">
        <v>90</v>
      </c>
      <c r="H455" s="2" t="n">
        <v>105</v>
      </c>
      <c r="I455" s="4" t="inlineStr">
        <is>
          <t>beef-ragu-over-spaghetti-squash.jpg</t>
        </is>
      </c>
      <c r="J455" s="3" t="inlineStr">
        <is>
          <t>Beef Ragu over Spaghetti Squash, healthy food photography, plated, natural light</t>
        </is>
      </c>
      <c r="K455" s="4" t="inlineStr"/>
      <c r="L455" s="3" t="inlineStr">
        <is>
          <t>Beef chuck roast, trimmed — 700 g (24.7 oz)
Crushed tomatoes, canned — 600 g (21.2 oz)
Yellow onion — 120 g (4.2 oz)
Carrot — 100 g (3.5 oz)
Celery — 80 g (2.8 oz)
Garlic — 8 g (0.3 oz)
Dry red wine (cooking) — 120 g (4.2 oz)
Beef broth, low sodium — 200 g (7.1 oz)
Fresh rosemary — 2 g (0.1 oz)
Extra-virgin olive oil — 15 g (0.5 oz)
Spaghetti squash, cooked — 1200 g (42.3 oz)
Parmesan, grated — 40 g (1.4 oz)
Salt — 4 g (0.1 oz)</t>
        </is>
      </c>
      <c r="M455" s="4" t="inlineStr">
        <is>
          <t>[{"ingredient_id": "beef_chuck", "name": "Beef chuck roast, trimmed", "grams": 700.0, "note": ""}, {"ingredient_id": "crushed_tomatoes", "name": "Crushed tomatoes, canned", "grams": 600.0, "note": ""}, {"ingredient_id": "onion", "name": "Yellow onion", "grams": 120.0, "note": ""}, {"ingredient_id": "carrot", "name": "Carrot", "grams": 100.0, "note": ""}, {"ingredient_id": "celery", "name": "Celery", "grams": 80.0, "note": ""}, {"ingredient_id": "garlic", "name": "Garlic", "grams": 8.0, "note": ""}, {"ingredient_id": "red_wine", "name": "Dry red wine (cooking)", "grams": 120.0, "note": ""}, {"ingredient_id": "beef_broth", "name": "Beef broth, low sodium", "grams": 200.0, "note": ""}, {"ingredient_id": "rosemary", "name": "Fresh rosemary", "grams": 2.0, "note": ""}, {"ingredient_id": "olive_oil", "name": "Extra-virgin olive oil", "grams": 15.0, "note": ""}, {"ingredient_id": "spaghetti_squash", "name": "Spaghetti squash, cooked", "grams": 1200.0, "note": ""}, {"ingredient_id": "parmesan", "name": "Parmesan, grated", "grams": 40.0, "note": ""}, {"ingredient_id": "salt", "name": "Salt", "grams": 4.0, "note": ""}]</t>
        </is>
      </c>
      <c r="N455" s="2" t="n">
        <v>472</v>
      </c>
      <c r="O455" s="5" t="n">
        <v>35.6</v>
      </c>
      <c r="P455" s="5" t="n">
        <v>22.7</v>
      </c>
      <c r="Q455" s="5" t="n">
        <v>31.5</v>
      </c>
      <c r="R455" s="5" t="n">
        <v>7.2</v>
      </c>
      <c r="S455" s="5" t="n">
        <v>24.4</v>
      </c>
      <c r="T455" s="2" t="n">
        <v>24</v>
      </c>
      <c r="U455" s="2" t="inlineStr">
        <is>
          <t>low</t>
        </is>
      </c>
      <c r="V455" s="5" t="n">
        <v>5.8</v>
      </c>
      <c r="W455" s="2" t="inlineStr">
        <is>
          <t>low</t>
        </is>
      </c>
      <c r="X455" s="3" t="inlineStr"/>
      <c r="Y455" s="3" t="inlineStr">
        <is>
          <t>6% of this dish's available carbohydrate comes from ingredients with a published, measured GI; the rest uses conventional placeholders (see Ingredients sheet)</t>
        </is>
      </c>
      <c r="Z455" s="2" t="n">
        <v>6</v>
      </c>
      <c r="AA455" s="3" t="inlineStr">
        <is>
          <t>gluten-free, nut-free, high-protein, high-fiber, make-ahead</t>
        </is>
      </c>
      <c r="AB455" s="3" t="inlineStr">
        <is>
          <t>1. Brown beef cubes in oil; sauté onion, carrot, celery, garlic; add wine, tomatoes, broth, rosemary.
2. Simmer covered 80 minutes; shred beef into sauce.
3. Roast squash; serve ragu over strands with parmesan.</t>
        </is>
      </c>
      <c r="AC455" s="4" t="inlineStr">
        <is>
          <t>["Brown beef cubes in oil; sauté onion, carrot, celery, garlic; add wine, tomatoes, broth, rosemary.", "Simmer covered 80 minutes; shred beef into sauce.", "Roast squash; serve ragu over strands with parmesan."]</t>
        </is>
      </c>
    </row>
    <row r="456" ht="96" customHeight="1">
      <c r="A456" s="2" t="inlineStr">
        <is>
          <t>DB-0455</t>
        </is>
      </c>
      <c r="B456" s="3" t="inlineStr">
        <is>
          <t>Pork Egg Roll in a Bowl</t>
        </is>
      </c>
      <c r="C456" s="4" t="inlineStr">
        <is>
          <t>Beef, Pork &amp; Lamb</t>
        </is>
      </c>
      <c r="D456" s="4" t="inlineStr">
        <is>
          <t>Chinese-American</t>
        </is>
      </c>
      <c r="E456" s="2" t="n">
        <v>4</v>
      </c>
      <c r="F456" s="2" t="n">
        <v>10</v>
      </c>
      <c r="G456" s="2" t="n">
        <v>15</v>
      </c>
      <c r="H456" s="2" t="n">
        <v>25</v>
      </c>
      <c r="I456" s="4" t="inlineStr">
        <is>
          <t>pork-egg-roll-in-a-bowl.jpg</t>
        </is>
      </c>
      <c r="J456" s="3" t="inlineStr">
        <is>
          <t>Pork Egg Roll in a Bowl, healthy food photography, plated, natural light</t>
        </is>
      </c>
      <c r="K456" s="4" t="inlineStr"/>
      <c r="L456" s="3" t="inlineStr">
        <is>
          <t>Ground pork, lean — 500 g (17.6 oz)
Coleslaw mix (cabbage &amp; carrot) — 500 g (17.6 oz)
Garlic — 8 g (0.3 oz)
Fresh ginger — 8 g (0.3 oz)
Tamari (gluten-free soy sauce) — 30 g (1.1 oz)
Rice vinegar, unseasoned — 12 g (0.4 oz)
Toasted sesame oil — 10 g (0.4 oz)
Green onions (scallions) — 25 g (0.9 oz)
Egg, large (50 g each) — 100 g (3.5 oz)
Sriracha — 8 g (0.3 oz)
Avocado oil — 10 g (0.4 oz)</t>
        </is>
      </c>
      <c r="M456" s="4" t="inlineStr">
        <is>
          <t>[{"ingredient_id": "ground_pork", "name": "Ground pork, lean", "grams": 500.0, "note": ""}, {"ingredient_id": "coleslaw_mix", "name": "Coleslaw mix (cabbage &amp; carrot)", "grams": 500.0,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10.0, "note": ""}, {"ingredient_id": "green_onion", "name": "Green onions (scallions)", "grams": 25.0, "note": ""}, {"ingredient_id": "egg", "name": "Egg, large (50 g each)", "grams": 100.0, "note": ""}, {"ingredient_id": "sriracha", "name": "Sriracha", "grams": 8.0, "note": ""}, {"ingredient_id": "avocado_oil", "name": "Avocado oil", "grams": 10.0, "note": ""}]</t>
        </is>
      </c>
      <c r="N456" s="2" t="n">
        <v>358</v>
      </c>
      <c r="O456" s="5" t="n">
        <v>29.6</v>
      </c>
      <c r="P456" s="5" t="n">
        <v>22.6</v>
      </c>
      <c r="Q456" s="5" t="n">
        <v>9.9</v>
      </c>
      <c r="R456" s="5" t="n">
        <v>3.3</v>
      </c>
      <c r="S456" s="5" t="n">
        <v>6.6</v>
      </c>
      <c r="T456" s="2" t="n">
        <v>17</v>
      </c>
      <c r="U456" s="2" t="inlineStr">
        <is>
          <t>low</t>
        </is>
      </c>
      <c r="V456" s="5" t="n">
        <v>1.1</v>
      </c>
      <c r="W456" s="2" t="inlineStr">
        <is>
          <t>low</t>
        </is>
      </c>
      <c r="X456" s="3" t="inlineStr"/>
      <c r="Y456" s="3" t="inlineStr">
        <is>
          <t>0% of this dish's available carbohydrate comes from ingredients with a published, measured GI; the rest uses conventional placeholders (see Ingredients sheet)</t>
        </is>
      </c>
      <c r="Z456" s="2" t="n">
        <v>0</v>
      </c>
      <c r="AA456" s="3" t="inlineStr">
        <is>
          <t>gluten-free, dairy-free, nut-free, low-carb, high-protein, quick, one-pan</t>
        </is>
      </c>
      <c r="AB456" s="3" t="inlineStr">
        <is>
          <t>1. Brown pork in oil with garlic and ginger.
2. Add slaw, tamari, vinegar; cook 5 minutes until wilted; push aside, scramble eggs.
3. Finish with sesame oil, green onion, sriracha.</t>
        </is>
      </c>
      <c r="AC456" s="4" t="inlineStr">
        <is>
          <t>["Brown pork in oil with garlic and ginger.", "Add slaw, tamari, vinegar; cook 5 minutes until wilted; push aside, scramble eggs.", "Finish with sesame oil, green onion, sriracha."]</t>
        </is>
      </c>
    </row>
    <row r="457" ht="96" customHeight="1">
      <c r="A457" s="2" t="inlineStr">
        <is>
          <t>DB-0456</t>
        </is>
      </c>
      <c r="B457" s="3" t="inlineStr">
        <is>
          <t>Beef &amp; Bean Enchilada Casserole (Low-Carb)</t>
        </is>
      </c>
      <c r="C457" s="4" t="inlineStr">
        <is>
          <t>Beef, Pork &amp; Lamb</t>
        </is>
      </c>
      <c r="D457" s="4" t="inlineStr">
        <is>
          <t>Tex-Mex</t>
        </is>
      </c>
      <c r="E457" s="2" t="n">
        <v>6</v>
      </c>
      <c r="F457" s="2" t="n">
        <v>15</v>
      </c>
      <c r="G457" s="2" t="n">
        <v>35</v>
      </c>
      <c r="H457" s="2" t="n">
        <v>50</v>
      </c>
      <c r="I457" s="4" t="inlineStr">
        <is>
          <t>beef-and-bean-enchilada-casserole-low-carb.jpg</t>
        </is>
      </c>
      <c r="J457" s="3" t="inlineStr">
        <is>
          <t>Beef &amp; Bean Enchilada Casserole (Low-Carb), healthy food photography, plated, natural light</t>
        </is>
      </c>
      <c r="K457" s="4" t="inlineStr"/>
      <c r="L457" s="3" t="inlineStr">
        <is>
          <t>Ground beef 90% lean — 600 g (21.2 oz)
Low-carb high-fiber tortilla — 210 g (7.4 oz) [5 tortillas]
Red enchilada sauce, no sugar added — 350 g (12.3 oz)
Pinto beans, cooked — 300 g (10.6 oz)
Yellow onion — 100 g (3.5 oz)
Cheddar cheese — 120 g (4.2 oz)
Diced green chiles, canned — 100 g (3.5 oz)
Ground cumin — 3 g (0.1 oz)
Greek yogurt, plain 2% — 100 g (3.5 oz)
Extra-virgin olive oil — 10 g (0.4 oz)
Fresh cilantro — 6 g (0.2 oz)</t>
        </is>
      </c>
      <c r="M457" s="4" t="inlineStr">
        <is>
          <t>[{"ingredient_id": "ground_beef", "name": "Ground beef 90% lean", "grams": 600.0, "note": ""}, {"ingredient_id": "low_carb_tortilla", "name": "Low-carb high-fiber tortilla", "grams": 210.0, "note": "5 tortillas"}, {"ingredient_id": "enchilada_sauce", "name": "Red enchilada sauce, no sugar added", "grams": 350.0, "note": ""}, {"ingredient_id": "pinto_beans", "name": "Pinto beans, cooked", "grams": 300.0, "note": ""}, {"ingredient_id": "onion", "name": "Yellow onion", "grams": 100.0, "note": ""}, {"ingredient_id": "cheddar", "name": "Cheddar cheese", "grams": 120.0, "note": ""}, {"ingredient_id": "green_chiles", "name": "Diced green chiles, canned", "grams": 100.0, "note": ""}, {"ingredient_id": "cumin", "name": "Ground cumin", "grams": 3.0, "note": ""}, {"ingredient_id": "greek_yogurt", "name": "Greek yogurt, plain 2%", "grams": 100.0, "note": ""}, {"ingredient_id": "olive_oil", "name": "Extra-virgin olive oil", "grams": 10.0, "note": ""}, {"ingredient_id": "cilantro", "name": "Fresh cilantro", "grams": 6.0, "note": ""}]</t>
        </is>
      </c>
      <c r="N457" s="2" t="n">
        <v>478</v>
      </c>
      <c r="O457" s="5" t="n">
        <v>36</v>
      </c>
      <c r="P457" s="5" t="n">
        <v>23</v>
      </c>
      <c r="Q457" s="5" t="n">
        <v>33.4</v>
      </c>
      <c r="R457" s="5" t="n">
        <v>14.4</v>
      </c>
      <c r="S457" s="5" t="n">
        <v>19</v>
      </c>
      <c r="T457" s="2" t="n">
        <v>29</v>
      </c>
      <c r="U457" s="2" t="inlineStr">
        <is>
          <t>low</t>
        </is>
      </c>
      <c r="V457" s="5" t="n">
        <v>5.5</v>
      </c>
      <c r="W457" s="2" t="inlineStr">
        <is>
          <t>low</t>
        </is>
      </c>
      <c r="X457" s="3" t="inlineStr"/>
      <c r="Y457" s="3" t="inlineStr">
        <is>
          <t>48% of this dish's available carbohydrate comes from ingredients with a published, measured GI; the rest uses conventional placeholders (see Ingredients sheet)</t>
        </is>
      </c>
      <c r="Z457" s="2" t="n">
        <v>48</v>
      </c>
      <c r="AA457" s="3" t="inlineStr">
        <is>
          <t>nut-free, high-protein, high-fiber, make-ahead</t>
        </is>
      </c>
      <c r="AB457" s="3" t="inlineStr">
        <is>
          <t>1. Brown beef with onion and cumin; stir in beans and chiles.
2. Layer tortillas, beef, sauce and cheese in a dish.
3. Bake at 375°F 25 minutes; serve with yogurt and cilantro.</t>
        </is>
      </c>
      <c r="AC457" s="4" t="inlineStr">
        <is>
          <t>["Brown beef with onion and cumin; stir in beans and chiles.", "Layer tortillas, beef, sauce and cheese in a dish.", "Bake at 375°F 25 minutes; serve with yogurt and cilantro."]</t>
        </is>
      </c>
    </row>
    <row r="458" ht="96" customHeight="1">
      <c r="A458" s="2" t="inlineStr">
        <is>
          <t>DB-0457</t>
        </is>
      </c>
      <c r="B458" s="3" t="inlineStr">
        <is>
          <t>Pork Loin with Mustard Herb Crust &amp; Green Beans</t>
        </is>
      </c>
      <c r="C458" s="4" t="inlineStr">
        <is>
          <t>Beef, Pork &amp; Lamb</t>
        </is>
      </c>
      <c r="D458" s="4" t="inlineStr">
        <is>
          <t>French</t>
        </is>
      </c>
      <c r="E458" s="2" t="n">
        <v>6</v>
      </c>
      <c r="F458" s="2" t="n">
        <v>10</v>
      </c>
      <c r="G458" s="2" t="n">
        <v>50</v>
      </c>
      <c r="H458" s="2" t="n">
        <v>60</v>
      </c>
      <c r="I458" s="4" t="inlineStr">
        <is>
          <t>pork-loin-with-mustard-herb-crust-and-green-beans.jpg</t>
        </is>
      </c>
      <c r="J458" s="3" t="inlineStr">
        <is>
          <t>Pork Loin with Mustard Herb Crust &amp; Green Beans, healthy food photography, plated, natural light</t>
        </is>
      </c>
      <c r="K458" s="4" t="inlineStr"/>
      <c r="L458" s="3" t="inlineStr">
        <is>
          <t>Pork tenderloin — 900 g (31.7 oz)
Dijon mustard — 40 g (1.4 oz)
Garlic — 10 g (0.4 oz)
Fresh rosemary — 3 g (0.1 oz)
Fresh thyme — 3 g (0.1 oz)
Almond flour — 30 g (1.1 oz)
Extra-virgin olive oil — 15 g (0.5 oz)
Green beans — 600 g (21.2 oz)
Salt — 4 g (0.1 oz)</t>
        </is>
      </c>
      <c r="M458" s="4" t="inlineStr">
        <is>
          <t>[{"ingredient_id": "pork_tenderloin", "name": "Pork tenderloin", "grams": 900.0, "note": ""}, {"ingredient_id": "dijon", "name": "Dijon mustard", "grams": 40.0, "note": ""}, {"ingredient_id": "garlic", "name": "Garlic", "grams": 10.0, "note": ""}, {"ingredient_id": "rosemary", "name": "Fresh rosemary", "grams": 3.0, "note": ""}, {"ingredient_id": "thyme", "name": "Fresh thyme", "grams": 3.0, "note": ""}, {"ingredient_id": "almond_flour", "name": "Almond flour", "grams": 30.0, "note": ""}, {"ingredient_id": "olive_oil", "name": "Extra-virgin olive oil", "grams": 15.0, "note": ""}, {"ingredient_id": "green_beans", "name": "Green beans", "grams": 600.0, "note": ""}, {"ingredient_id": "salt", "name": "Salt", "grams": 4.0, "note": ""}]</t>
        </is>
      </c>
      <c r="N458" s="2" t="n">
        <v>271</v>
      </c>
      <c r="O458" s="5" t="n">
        <v>34.8</v>
      </c>
      <c r="P458" s="5" t="n">
        <v>10.7</v>
      </c>
      <c r="Q458" s="5" t="n">
        <v>9.199999999999999</v>
      </c>
      <c r="R458" s="5" t="n">
        <v>3.7</v>
      </c>
      <c r="S458" s="5" t="n">
        <v>5.5</v>
      </c>
      <c r="T458" s="2" t="n">
        <v>16</v>
      </c>
      <c r="U458" s="2" t="inlineStr">
        <is>
          <t>low</t>
        </is>
      </c>
      <c r="V458" s="5" t="n">
        <v>0.9</v>
      </c>
      <c r="W458" s="2" t="inlineStr">
        <is>
          <t>low</t>
        </is>
      </c>
      <c r="X458" s="3" t="inlineStr"/>
      <c r="Y458" s="3" t="inlineStr">
        <is>
          <t>0% of this dish's available carbohydrate comes from ingredients with a published, measured GI; the rest uses conventional placeholders (see Ingredients sheet)</t>
        </is>
      </c>
      <c r="Z458" s="2" t="n">
        <v>0</v>
      </c>
      <c r="AA458" s="3" t="inlineStr">
        <is>
          <t>gluten-free, dairy-free, low-carb, high-protein</t>
        </is>
      </c>
      <c r="AB458" s="3" t="inlineStr">
        <is>
          <t>1. Rub pork with Dijon, garlic, herbs, salt; press on almond flour.
2. Roast at 400°F 20 minutes (tenderloin) to 145°F; rest.
3. Serve with green beans tossed in oil.</t>
        </is>
      </c>
      <c r="AC458" s="4" t="inlineStr">
        <is>
          <t>["Rub pork with Dijon, garlic, herbs, salt; press on almond flour.", "Roast at 400°F 20 minutes (tenderloin) to 145°F; rest.", "Serve with green beans tossed in oil."]</t>
        </is>
      </c>
    </row>
    <row r="459" ht="96" customHeight="1">
      <c r="A459" s="2" t="inlineStr">
        <is>
          <t>DB-0458</t>
        </is>
      </c>
      <c r="B459" s="3" t="inlineStr">
        <is>
          <t>Beef Barbacoa Lettuce Tacos</t>
        </is>
      </c>
      <c r="C459" s="4" t="inlineStr">
        <is>
          <t>Beef, Pork &amp; Lamb</t>
        </is>
      </c>
      <c r="D459" s="4" t="inlineStr">
        <is>
          <t>Mexican</t>
        </is>
      </c>
      <c r="E459" s="2" t="n">
        <v>6</v>
      </c>
      <c r="F459" s="2" t="n">
        <v>15</v>
      </c>
      <c r="G459" s="2" t="n">
        <v>300</v>
      </c>
      <c r="H459" s="2" t="n">
        <v>315</v>
      </c>
      <c r="I459" s="4" t="inlineStr">
        <is>
          <t>beef-barbacoa-lettuce-tacos.jpg</t>
        </is>
      </c>
      <c r="J459" s="3" t="inlineStr">
        <is>
          <t>Beef Barbacoa Lettuce Tacos, healthy food photography, plated, natural light</t>
        </is>
      </c>
      <c r="K459" s="4" t="inlineStr"/>
      <c r="L459" s="3" t="inlineStr">
        <is>
          <t>Beef chuck roast, trimmed — 1000 g (35.3 oz)
Chipotle peppers in adobo — 40 g (1.4 oz)
Garlic — 12 g (0.4 oz)
Ground cumin — 5 g (0.2 oz)
Dried oregano — 3 g (0.1 oz)
Lime juice — 40 g (1.4 oz)
Apple cider vinegar — 30 g (1.1 oz)
Beef broth, low sodium — 250 g (8.8 oz)
Bay leaves — 2 g (0.1 oz)
Butter lettuce — 300 g (10.6 oz)
Red onion — 80 g (2.8 oz)
Fresh cilantro — 12 g (0.4 oz)
Cotija cheese — 60 g (2.1 oz)
Salt — 5 g (0.2 oz)</t>
        </is>
      </c>
      <c r="M459" s="4" t="inlineStr">
        <is>
          <t>[{"ingredient_id": "beef_chuck", "name": "Beef chuck roast, trimmed", "grams": 1000.0, "note": ""}, {"ingredient_id": "chipotle_adobo", "name": "Chipotle peppers in adobo", "grams": 40.0, "note": ""}, {"ingredient_id": "garlic", "name": "Garlic", "grams": 12.0, "note": ""}, {"ingredient_id": "cumin", "name": "Ground cumin", "grams": 5.0, "note": ""}, {"ingredient_id": "oregano", "name": "Dried oregano", "grams": 3.0, "note": ""}, {"ingredient_id": "lime_juice", "name": "Lime juice", "grams": 40.0, "note": ""}, {"ingredient_id": "apple_cider_vinegar", "name": "Apple cider vinegar", "grams": 30.0, "note": ""}, {"ingredient_id": "beef_broth", "name": "Beef broth, low sodium", "grams": 250.0, "note": ""}, {"ingredient_id": "bay_leaf", "name": "Bay leaves", "grams": 2.0, "note": ""}, {"ingredient_id": "butter_lettuce", "name": "Butter lettuce", "grams": 300.0, "note": ""}, {"ingredient_id": "red_onion", "name": "Red onion", "grams": 80.0, "note": ""}, {"ingredient_id": "cilantro", "name": "Fresh cilantro", "grams": 12.0, "note": ""}, {"ingredient_id": "cotija", "name": "Cotija cheese", "grams": 60.0, "note": ""}, {"ingredient_id": "salt", "name": "Salt", "grams": 5.0, "note": ""}]</t>
        </is>
      </c>
      <c r="N459" s="2" t="n">
        <v>368</v>
      </c>
      <c r="O459" s="5" t="n">
        <v>37.3</v>
      </c>
      <c r="P459" s="5" t="n">
        <v>21.9</v>
      </c>
      <c r="Q459" s="5" t="n">
        <v>6.1</v>
      </c>
      <c r="R459" s="5" t="n">
        <v>1.6</v>
      </c>
      <c r="S459" s="5" t="n">
        <v>4.6</v>
      </c>
      <c r="T459" s="2" t="n">
        <v>18</v>
      </c>
      <c r="U459" s="2" t="inlineStr">
        <is>
          <t>low</t>
        </is>
      </c>
      <c r="V459" s="5" t="n">
        <v>0.8</v>
      </c>
      <c r="W459" s="2" t="inlineStr">
        <is>
          <t>low</t>
        </is>
      </c>
      <c r="X459" s="3" t="inlineStr">
        <is>
          <t>Negligible carbohydrate (&lt;5 g net/serving): GI has little practical meaning, glycemic load is what matters.</t>
        </is>
      </c>
      <c r="Y459" s="3" t="inlineStr">
        <is>
          <t>0% of this dish's available carbohydrate comes from ingredients with a published, measured GI; the rest uses conventional placeholders (see Ingredients sheet)</t>
        </is>
      </c>
      <c r="Z459" s="2" t="n">
        <v>0</v>
      </c>
      <c r="AA459" s="3" t="inlineStr">
        <is>
          <t>gluten-free, nut-free, low-carb, high-protein, slow-cooker</t>
        </is>
      </c>
      <c r="AB459" s="3" t="inlineStr">
        <is>
          <t>1. Blend chipotle, garlic, cumin, oregano, lime, vinegar, broth; pour over beef in slow cooker with bay leaves.
2. Cook on low 5 hours; shred.
3. Serve in lettuce with onion, cilantro, cotija.</t>
        </is>
      </c>
      <c r="AC459" s="4" t="inlineStr">
        <is>
          <t>["Blend chipotle, garlic, cumin, oregano, lime, vinegar, broth; pour over beef in slow cooker with bay leaves.", "Cook on low 5 hours; shred.", "Serve in lettuce with onion, cilantro, cotija."]</t>
        </is>
      </c>
    </row>
    <row r="460" ht="96" customHeight="1">
      <c r="A460" s="2" t="inlineStr">
        <is>
          <t>DB-0459</t>
        </is>
      </c>
      <c r="B460" s="3" t="inlineStr">
        <is>
          <t>Pork Chops with Peach Salsa</t>
        </is>
      </c>
      <c r="C460" s="4" t="inlineStr">
        <is>
          <t>Beef, Pork &amp; Lamb</t>
        </is>
      </c>
      <c r="D460" s="4" t="inlineStr">
        <is>
          <t>Southern</t>
        </is>
      </c>
      <c r="E460" s="2" t="n">
        <v>4</v>
      </c>
      <c r="F460" s="2" t="n">
        <v>10</v>
      </c>
      <c r="G460" s="2" t="n">
        <v>15</v>
      </c>
      <c r="H460" s="2" t="n">
        <v>25</v>
      </c>
      <c r="I460" s="4" t="inlineStr">
        <is>
          <t>pork-chops-with-peach-salsa.jpg</t>
        </is>
      </c>
      <c r="J460" s="3" t="inlineStr">
        <is>
          <t>Pork Chops with Peach Salsa, healthy food photography, plated, natural light</t>
        </is>
      </c>
      <c r="K460" s="4" t="inlineStr"/>
      <c r="L460" s="3" t="inlineStr">
        <is>
          <t>Pork loin chop, trimmed — 700 g (24.7 oz)
Peach — 200 g (7.1 oz)
Red onion — 40 g (1.4 oz)
Jalapeño — 10 g (0.4 oz)
Fresh cilantro — 8 g (0.3 oz)
Lime juice — 15 g (0.5 oz)
Smoked paprika — 3 g (0.1 oz)
Extra-virgin olive oil — 15 g (0.5 oz)
Arugula — 150 g (5.3 oz)
Salt — 3 g (0.1 oz)</t>
        </is>
      </c>
      <c r="M460" s="4" t="inlineStr">
        <is>
          <t>[{"ingredient_id": "pork_chop", "name": "Pork loin chop, trimmed", "grams": 700.0, "note": ""}, {"ingredient_id": "peach", "name": "Peach", "grams": 200.0, "note": ""}, {"ingredient_id": "red_onion", "name": "Red onion", "grams": 40.0, "note": ""}, {"ingredient_id": "jalapeno", "name": "Jalapeño", "grams": 10.0, "note": ""}, {"ingredient_id": "cilantro", "name": "Fresh cilantro", "grams": 8.0, "note": ""}, {"ingredient_id": "lime_juice", "name": "Lime juice", "grams": 15.0, "note": ""}, {"ingredient_id": "smoked_paprika", "name": "Smoked paprika", "grams": 3.0, "note": ""}, {"ingredient_id": "olive_oil", "name": "Extra-virgin olive oil", "grams": 15.0, "note": ""}, {"ingredient_id": "arugula", "name": "Arugula", "grams": 150.0, "note": ""}, {"ingredient_id": "salt", "name": "Salt", "grams": 3.0, "note": ""}]</t>
        </is>
      </c>
      <c r="N460" s="2" t="n">
        <v>333</v>
      </c>
      <c r="O460" s="5" t="n">
        <v>40.2</v>
      </c>
      <c r="P460" s="5" t="n">
        <v>15.7</v>
      </c>
      <c r="Q460" s="5" t="n">
        <v>8</v>
      </c>
      <c r="R460" s="5" t="n">
        <v>1.9</v>
      </c>
      <c r="S460" s="5" t="n">
        <v>6.1</v>
      </c>
      <c r="T460" s="2" t="n">
        <v>43</v>
      </c>
      <c r="U460" s="2" t="inlineStr">
        <is>
          <t>low</t>
        </is>
      </c>
      <c r="V460" s="5" t="n">
        <v>2.6</v>
      </c>
      <c r="W460" s="2" t="inlineStr">
        <is>
          <t>low</t>
        </is>
      </c>
      <c r="X460" s="3" t="inlineStr"/>
      <c r="Y460" s="3" t="inlineStr">
        <is>
          <t>66% of this dish's available carbohydrate comes from ingredients with a published, measured GI; the rest uses conventional placeholders (see Ingredients sheet)</t>
        </is>
      </c>
      <c r="Z460" s="2" t="n">
        <v>66</v>
      </c>
      <c r="AA460" s="3" t="inlineStr">
        <is>
          <t>gluten-free, dairy-free, nut-free, low-carb, high-protein</t>
        </is>
      </c>
      <c r="AB460" s="3" t="inlineStr">
        <is>
          <t>1. Rub chops with paprika and salt; grill 4–5 minutes per side.
2. Dice peach, onion, jalapeño; toss with cilantro and lime.
3. Serve chops with salsa over arugula.</t>
        </is>
      </c>
      <c r="AC460" s="4" t="inlineStr">
        <is>
          <t>["Rub chops with paprika and salt; grill 4–5 minutes per side.", "Dice peach, onion, jalapeño; toss with cilantro and lime.", "Serve chops with salsa over arugula."]</t>
        </is>
      </c>
    </row>
    <row r="461" ht="96" customHeight="1">
      <c r="A461" s="2" t="inlineStr">
        <is>
          <t>DB-0460</t>
        </is>
      </c>
      <c r="B461" s="3" t="inlineStr">
        <is>
          <t>Beef Zucchini Lasagna</t>
        </is>
      </c>
      <c r="C461" s="4" t="inlineStr">
        <is>
          <t>Beef, Pork &amp; Lamb</t>
        </is>
      </c>
      <c r="D461" s="4" t="inlineStr">
        <is>
          <t>Italian</t>
        </is>
      </c>
      <c r="E461" s="2" t="n">
        <v>6</v>
      </c>
      <c r="F461" s="2" t="n">
        <v>25</v>
      </c>
      <c r="G461" s="2" t="n">
        <v>50</v>
      </c>
      <c r="H461" s="2" t="n">
        <v>75</v>
      </c>
      <c r="I461" s="4" t="inlineStr">
        <is>
          <t>beef-zucchini-lasagna.jpg</t>
        </is>
      </c>
      <c r="J461" s="3" t="inlineStr">
        <is>
          <t>Beef Zucchini Lasagna, healthy food photography, plated, natural light</t>
        </is>
      </c>
      <c r="K461" s="4" t="inlineStr"/>
      <c r="L461" s="3" t="inlineStr">
        <is>
          <t>Zucchini — 1000 g (35.3 oz)
Ground beef 90% lean — 600 g (21.2 oz)
Marinara sauce, no sugar added — 400 g (14.1 oz)
Ricotta, part-skim — 300 g (10.6 oz)
Egg, large (50 g each) — 50 g (1.8 oz)
Mozzarella, part-skim — 150 g (5.3 oz)
Parmesan, grated — 40 g (1.4 oz)
Garlic — 6 g (0.2 oz)
Italian seasoning — 4 g (0.1 oz)
Spinach — 100 g (3.5 oz)
Salt — 3 g (0.1 oz)</t>
        </is>
      </c>
      <c r="M461" s="4" t="inlineStr">
        <is>
          <t>[{"ingredient_id": "zucchini", "name": "Zucchini", "grams": 1000.0, "note": ""}, {"ingredient_id": "ground_beef", "name": "Ground beef 90% lean", "grams": 600.0, "note": ""}, {"ingredient_id": "marinara", "name": "Marinara sauce, no sugar added", "grams": 400.0, "note": ""}, {"ingredient_id": "ricotta", "name": "Ricotta, part-skim", "grams": 300.0, "note": ""}, {"ingredient_id": "egg", "name": "Egg, large (50 g each)", "grams": 50.0, "note": ""}, {"ingredient_id": "mozzarella", "name": "Mozzarella, part-skim", "grams": 150.0, "note": ""}, {"ingredient_id": "parmesan", "name": "Parmesan, grated", "grams": 40.0, "note": ""}, {"ingredient_id": "garlic", "name": "Garlic", "grams": 6.0, "note": ""}, {"ingredient_id": "italian_seasoning", "name": "Italian seasoning", "grams": 4.0, "note": ""}, {"ingredient_id": "spinach", "name": "Spinach", "grams": 100.0, "note": ""}, {"ingredient_id": "salt", "name": "Salt", "grams": 3.0, "note": ""}]</t>
        </is>
      </c>
      <c r="N461" s="2" t="n">
        <v>415</v>
      </c>
      <c r="O461" s="5" t="n">
        <v>38.7</v>
      </c>
      <c r="P461" s="5" t="n">
        <v>23</v>
      </c>
      <c r="Q461" s="5" t="n">
        <v>13.5</v>
      </c>
      <c r="R461" s="5" t="n">
        <v>3.3</v>
      </c>
      <c r="S461" s="5" t="n">
        <v>10.1</v>
      </c>
      <c r="T461" s="2" t="n">
        <v>18</v>
      </c>
      <c r="U461" s="2" t="inlineStr">
        <is>
          <t>low</t>
        </is>
      </c>
      <c r="V461" s="5" t="n">
        <v>1.8</v>
      </c>
      <c r="W461" s="2" t="inlineStr">
        <is>
          <t>low</t>
        </is>
      </c>
      <c r="X461" s="3" t="inlineStr"/>
      <c r="Y461" s="3" t="inlineStr">
        <is>
          <t>23% of this dish's available carbohydrate comes from ingredients with a published, measured GI; the rest uses conventional placeholders (see Ingredients sheet)</t>
        </is>
      </c>
      <c r="Z461" s="2" t="n">
        <v>23</v>
      </c>
      <c r="AA461" s="3" t="inlineStr">
        <is>
          <t>gluten-free, nut-free, low-carb, high-protein, make-ahead</t>
        </is>
      </c>
      <c r="AB461" s="3" t="inlineStr">
        <is>
          <t>1. Slice zucchini into planks; salt, drain 15 minutes, blot; grill briefly.
2. Brown beef with garlic and seasoning; add marinara. Mix ricotta, egg, spinach.
3. Layer; top with mozzarella and parmesan; bake at 375°F 40 minutes; rest 10.</t>
        </is>
      </c>
      <c r="AC461" s="4" t="inlineStr">
        <is>
          <t>["Slice zucchini into planks; salt, drain 15 minutes, blot; grill briefly.", "Brown beef with garlic and seasoning; add marinara. Mix ricotta, egg, spinach.", "Layer; top with mozzarella and parmesan; bake at 375°F 40 minutes; rest 10."]</t>
        </is>
      </c>
    </row>
    <row r="462" ht="96" customHeight="1">
      <c r="A462" s="2" t="inlineStr">
        <is>
          <t>DB-0461</t>
        </is>
      </c>
      <c r="B462" s="3" t="inlineStr">
        <is>
          <t>Vietnamese Pork Meatball Bowls</t>
        </is>
      </c>
      <c r="C462" s="4" t="inlineStr">
        <is>
          <t>Beef, Pork &amp; Lamb</t>
        </is>
      </c>
      <c r="D462" s="4" t="inlineStr">
        <is>
          <t>Vietnamese</t>
        </is>
      </c>
      <c r="E462" s="2" t="n">
        <v>4</v>
      </c>
      <c r="F462" s="2" t="n">
        <v>15</v>
      </c>
      <c r="G462" s="2" t="n">
        <v>15</v>
      </c>
      <c r="H462" s="2" t="n">
        <v>30</v>
      </c>
      <c r="I462" s="4" t="inlineStr">
        <is>
          <t>vietnamese-pork-meatball-bowls.jpg</t>
        </is>
      </c>
      <c r="J462" s="3" t="inlineStr">
        <is>
          <t>Vietnamese Pork Meatball Bowls, healthy food photography, plated, natural light</t>
        </is>
      </c>
      <c r="K462" s="4" t="inlineStr"/>
      <c r="L462" s="3" t="inlineStr">
        <is>
          <t>Ground pork, lean — 550 g (19.4 oz)
Garlic — 8 g (0.3 oz)
Fish sauce — 20 g (0.7 oz)
Green onions (scallions) — 25 g (0.9 oz)
Fresh ginger — 6 g (0.2 oz)
Green cabbage — 200 g (7.1 oz)
Carrot — 80 g (2.8 oz)
Cucumber — 150 g (5.3 oz)
Fresh mint — 8 g (0.3 oz)
Fresh cilantro — 8 g (0.3 oz)
Lime juice — 25 g (0.9 oz)
Rice vinegar, unseasoned — 15 g (0.5 oz)
Cauliflower rice — 500 g (17.6 oz)
Peanuts, dry roasted — 20 g (0.7 oz)
Avocado oil — 10 g (0.4 oz)</t>
        </is>
      </c>
      <c r="M462" s="4" t="inlineStr">
        <is>
          <t>[{"ingredient_id": "ground_pork", "name": "Ground pork, lean", "grams": 550.0, "note": ""}, {"ingredient_id": "garlic", "name": "Garlic", "grams": 8.0, "note": ""}, {"ingredient_id": "fish_sauce", "name": "Fish sauce", "grams": 20.0, "note": ""}, {"ingredient_id": "green_onion", "name": "Green onions (scallions)", "grams": 25.0, "note": ""}, {"ingredient_id": "ginger", "name": "Fresh ginger", "grams": 6.0, "note": ""}, {"ingredient_id": "cabbage", "name": "Green cabbage", "grams": 200.0, "note": ""}, {"ingredient_id": "carrot", "name": "Carrot", "grams": 80.0, "note": ""}, {"ingredient_id": "cucumber", "name": "Cucumber", "grams": 150.0, "note": ""}, {"ingredient_id": "mint", "name": "Fresh mint", "grams": 8.0, "note": ""}, {"ingredient_id": "cilantro", "name": "Fresh cilantro", "grams": 8.0, "note": ""}, {"ingredient_id": "lime_juice", "name": "Lime juice", "grams": 25.0, "note": ""}, {"ingredient_id": "rice_vinegar", "name": "Rice vinegar, unseasoned", "grams": 15.0, "note": ""}, {"ingredient_id": "cauliflower_rice", "name": "Cauliflower rice", "grams": 500.0, "note": ""}, {"ingredient_id": "peanuts", "name": "Peanuts, dry roasted", "grams": 20.0, "note": ""}, {"ingredient_id": "avocado_oil", "name": "Avocado oil", "grams": 10.0, "note": ""}]</t>
        </is>
      </c>
      <c r="N462" s="2" t="n">
        <v>374</v>
      </c>
      <c r="O462" s="5" t="n">
        <v>31.5</v>
      </c>
      <c r="P462" s="5" t="n">
        <v>22</v>
      </c>
      <c r="Q462" s="5" t="n">
        <v>15.6</v>
      </c>
      <c r="R462" s="5" t="n">
        <v>5.4</v>
      </c>
      <c r="S462" s="5" t="n">
        <v>10.2</v>
      </c>
      <c r="T462" s="2" t="n">
        <v>19</v>
      </c>
      <c r="U462" s="2" t="inlineStr">
        <is>
          <t>low</t>
        </is>
      </c>
      <c r="V462" s="5" t="n">
        <v>1.9</v>
      </c>
      <c r="W462" s="2" t="inlineStr">
        <is>
          <t>low</t>
        </is>
      </c>
      <c r="X462" s="3" t="inlineStr"/>
      <c r="Y462" s="3" t="inlineStr">
        <is>
          <t>17% of this dish's available carbohydrate comes from ingredients with a published, measured GI; the rest uses conventional placeholders (see Ingredients sheet)</t>
        </is>
      </c>
      <c r="Z462" s="2" t="n">
        <v>17</v>
      </c>
      <c r="AA462" s="3" t="inlineStr">
        <is>
          <t>gluten-free, dairy-free, low-carb, high-protein</t>
        </is>
      </c>
      <c r="AB462" s="3" t="inlineStr">
        <is>
          <t>1. Mix pork, garlic, half the fish sauce, green onion, ginger; form meatballs; pan-fry in oil 10 minutes.
2. Toss cabbage, carrot, cucumber, herbs with lime, vinegar and remaining fish sauce.
3. Serve over cauliflower rice with peanuts.</t>
        </is>
      </c>
      <c r="AC462" s="4" t="inlineStr">
        <is>
          <t>["Mix pork, garlic, half the fish sauce, green onion, ginger; form meatballs; pan-fry in oil 10 minutes.", "Toss cabbage, carrot, cucumber, herbs with lime, vinegar and remaining fish sauce.", "Serve over cauliflower rice with peanuts."]</t>
        </is>
      </c>
    </row>
    <row r="463" ht="96" customHeight="1">
      <c r="A463" s="2" t="inlineStr">
        <is>
          <t>DB-0462</t>
        </is>
      </c>
      <c r="B463" s="3" t="inlineStr">
        <is>
          <t>Steak Fajita Lettuce Wraps</t>
        </is>
      </c>
      <c r="C463" s="4" t="inlineStr">
        <is>
          <t>Beef, Pork &amp; Lamb</t>
        </is>
      </c>
      <c r="D463" s="4" t="inlineStr">
        <is>
          <t>Tex-Mex</t>
        </is>
      </c>
      <c r="E463" s="2" t="n">
        <v>4</v>
      </c>
      <c r="F463" s="2" t="n">
        <v>10</v>
      </c>
      <c r="G463" s="2" t="n">
        <v>12</v>
      </c>
      <c r="H463" s="2" t="n">
        <v>22</v>
      </c>
      <c r="I463" s="4" t="inlineStr">
        <is>
          <t>steak-fajita-lettuce-wraps.jpg</t>
        </is>
      </c>
      <c r="J463" s="3" t="inlineStr">
        <is>
          <t>Steak Fajita Lettuce Wraps, healthy food photography, plated, natural light</t>
        </is>
      </c>
      <c r="K463" s="4" t="inlineStr"/>
      <c r="L463" s="3" t="inlineStr">
        <is>
          <t>Flank steak — 600 g (21.2 oz)
Bell pepper — 300 g (10.6 oz)
Yellow onion — 120 g (4.2 oz)
Chili powder — 6 g (0.2 oz)
Ground cumin — 3 g (0.1 oz)
Lime — 40 g (1.4 oz)
Extra-virgin olive oil — 15 g (0.5 oz)
Romaine lettuce — 200 g (7.1 oz)
Guacamole — 120 g (4.2 oz)
Salsa, no sugar added — 100 g (3.5 oz)</t>
        </is>
      </c>
      <c r="M463" s="4" t="inlineStr">
        <is>
          <t>[{"ingredient_id": "flank_steak", "name": "Flank steak", "grams": 600.0, "note": ""}, {"ingredient_id": "bell_pepper", "name": "Bell pepper", "grams": 300.0, "note": ""}, {"ingredient_id": "onion", "name": "Yellow onion", "grams": 120.0, "note": ""}, {"ingredient_id": "chili_powder", "name": "Chili powder", "grams": 6.0, "note": ""}, {"ingredient_id": "cumin", "name": "Ground cumin", "grams": 3.0, "note": ""}, {"ingredient_id": "lime", "name": "Lime", "grams": 40.0, "note": ""}, {"ingredient_id": "olive_oil", "name": "Extra-virgin olive oil", "grams": 15.0, "note": ""}, {"ingredient_id": "romaine", "name": "Romaine lettuce", "grams": 200.0, "note": ""}, {"ingredient_id": "guacamole", "name": "Guacamole", "grams": 120.0, "note": ""}, {"ingredient_id": "salsa", "name": "Salsa, no sugar added", "grams": 100.0, "note": ""}]</t>
        </is>
      </c>
      <c r="N463" s="2" t="n">
        <v>366</v>
      </c>
      <c r="O463" s="5" t="n">
        <v>34.6</v>
      </c>
      <c r="P463" s="5" t="n">
        <v>19</v>
      </c>
      <c r="Q463" s="5" t="n">
        <v>15.4</v>
      </c>
      <c r="R463" s="5" t="n">
        <v>6.2</v>
      </c>
      <c r="S463" s="5" t="n">
        <v>9.199999999999999</v>
      </c>
      <c r="T463" s="2" t="n">
        <v>18</v>
      </c>
      <c r="U463" s="2" t="inlineStr">
        <is>
          <t>low</t>
        </is>
      </c>
      <c r="V463" s="5" t="n">
        <v>1.7</v>
      </c>
      <c r="W463" s="2" t="inlineStr">
        <is>
          <t>low</t>
        </is>
      </c>
      <c r="X463" s="3" t="inlineStr"/>
      <c r="Y463" s="3" t="inlineStr">
        <is>
          <t>0% of this dish's available carbohydrate comes from ingredients with a published, measured GI; the rest uses conventional placeholders (see Ingredients sheet)</t>
        </is>
      </c>
      <c r="Z463" s="2" t="n">
        <v>0</v>
      </c>
      <c r="AA463" s="3" t="inlineStr">
        <is>
          <t>gluten-free, dairy-free, nut-free, low-carb, high-protein, quick</t>
        </is>
      </c>
      <c r="AB463" s="3" t="inlineStr">
        <is>
          <t>1. Season steak; sear 4 minutes per side; rest, slice.
2. Sauté peppers and onion in oil until charred.
3. Fill romaine leaves with steak, peppers, guacamole, salsa.</t>
        </is>
      </c>
      <c r="AC463" s="4" t="inlineStr">
        <is>
          <t>["Season steak; sear 4 minutes per side; rest, slice.", "Sauté peppers and onion in oil until charred.", "Fill romaine leaves with steak, peppers, guacamole, salsa."]</t>
        </is>
      </c>
    </row>
    <row r="464" ht="96" customHeight="1">
      <c r="A464" s="2" t="inlineStr">
        <is>
          <t>DB-0463</t>
        </is>
      </c>
      <c r="B464" s="3" t="inlineStr">
        <is>
          <t>Pork Tenderloin Stir-Fry with Bok Choy</t>
        </is>
      </c>
      <c r="C464" s="4" t="inlineStr">
        <is>
          <t>Beef, Pork &amp; Lamb</t>
        </is>
      </c>
      <c r="D464" s="4" t="inlineStr">
        <is>
          <t>Chinese</t>
        </is>
      </c>
      <c r="E464" s="2" t="n">
        <v>4</v>
      </c>
      <c r="F464" s="2" t="n">
        <v>10</v>
      </c>
      <c r="G464" s="2" t="n">
        <v>12</v>
      </c>
      <c r="H464" s="2" t="n">
        <v>22</v>
      </c>
      <c r="I464" s="4" t="inlineStr">
        <is>
          <t>pork-tenderloin-stir-fry-with-bok-choy.jpg</t>
        </is>
      </c>
      <c r="J464" s="3" t="inlineStr">
        <is>
          <t>Pork Tenderloin Stir-Fry with Bok Choy, healthy food photography, plated, natural light</t>
        </is>
      </c>
      <c r="K464" s="4" t="inlineStr"/>
      <c r="L464" s="3" t="inlineStr">
        <is>
          <t>Pork tenderloin — 550 g (19.4 oz)
Bok choy — 500 g (17.6 oz)
Shiitake mushrooms — 150 g (5.3 oz)
Garlic — 8 g (0.3 oz)
Fresh ginger — 8 g (0.3 oz)
Tamari (gluten-free soy sauce) — 30 g (1.1 oz)
Toasted sesame oil — 8 g (0.3 oz)
Rice vinegar, unseasoned — 10 g (0.4 oz)
Avocado oil — 12 g (0.4 oz)
Sesame seeds — 6 g (0.2 oz)</t>
        </is>
      </c>
      <c r="M464" s="4" t="inlineStr">
        <is>
          <t>[{"ingredient_id": "pork_tenderloin", "name": "Pork tenderloin", "grams": 550.0, "note": ""}, {"ingredient_id": "bok_choy", "name": "Bok choy", "grams": 500.0, "note": ""}, {"ingredient_id": "shiitake", "name": "Shiitake mushrooms", "grams": 150.0, "note": ""}, {"ingredient_id": "garlic", "name": "Garlic", "grams": 8.0, "note": ""}, {"ingredient_id": "ginger", "name": "Fresh ginger", "grams": 8.0, "note": ""}, {"ingredient_id": "tamari", "name": "Tamari (gluten-free soy sauce)", "grams": 30.0, "note": ""}, {"ingredient_id": "sesame_oil", "name": "Toasted sesame oil", "grams": 8.0, "note": ""}, {"ingredient_id": "rice_vinegar", "name": "Rice vinegar, unseasoned", "grams": 10.0, "note": ""}, {"ingredient_id": "avocado_oil", "name": "Avocado oil", "grams": 12.0, "note": ""}, {"ingredient_id": "sesame_seeds", "name": "Sesame seeds", "grams": 6.0, "note": ""}]</t>
        </is>
      </c>
      <c r="N464" s="2" t="n">
        <v>256</v>
      </c>
      <c r="O464" s="5" t="n">
        <v>32.8</v>
      </c>
      <c r="P464" s="5" t="n">
        <v>11</v>
      </c>
      <c r="Q464" s="5" t="n">
        <v>7.1</v>
      </c>
      <c r="R464" s="5" t="n">
        <v>2.5</v>
      </c>
      <c r="S464" s="5" t="n">
        <v>4.5</v>
      </c>
      <c r="T464" s="2" t="n">
        <v>18</v>
      </c>
      <c r="U464" s="2" t="inlineStr">
        <is>
          <t>low</t>
        </is>
      </c>
      <c r="V464" s="5" t="n">
        <v>0.8</v>
      </c>
      <c r="W464" s="2" t="inlineStr">
        <is>
          <t>low</t>
        </is>
      </c>
      <c r="X464" s="3" t="inlineStr">
        <is>
          <t>Negligible carbohydrate (&lt;5 g net/serving): GI has little practical meaning, glycemic load is what matters.</t>
        </is>
      </c>
      <c r="Y464" s="3" t="inlineStr">
        <is>
          <t>0% of this dish's available carbohydrate comes from ingredients with a published, measured GI; the rest uses conventional placeholders (see Ingredients sheet)</t>
        </is>
      </c>
      <c r="Z464" s="2" t="n">
        <v>0</v>
      </c>
      <c r="AA464" s="3" t="inlineStr">
        <is>
          <t>gluten-free, dairy-free, nut-free, low-carb, high-protein, quick</t>
        </is>
      </c>
      <c r="AB464" s="3" t="inlineStr">
        <is>
          <t>1. Stir-fry pork strips in oil; remove.
2. Stir-fry shiitake, garlic, ginger; add bok choy 3 minutes.
3. Return pork with tamari, vinegar, sesame oil; top sesame.</t>
        </is>
      </c>
      <c r="AC464" s="4" t="inlineStr">
        <is>
          <t>["Stir-fry pork strips in oil; remove.", "Stir-fry shiitake, garlic, ginger; add bok choy 3 minutes.", "Return pork with tamari, vinegar, sesame oil; top sesame."]</t>
        </is>
      </c>
    </row>
    <row r="465" ht="96" customHeight="1">
      <c r="A465" s="2" t="inlineStr">
        <is>
          <t>DB-0464</t>
        </is>
      </c>
      <c r="B465" s="3" t="inlineStr">
        <is>
          <t>Beef Picadillo</t>
        </is>
      </c>
      <c r="C465" s="4" t="inlineStr">
        <is>
          <t>Beef, Pork &amp; Lamb</t>
        </is>
      </c>
      <c r="D465" s="4" t="inlineStr">
        <is>
          <t>Cuban</t>
        </is>
      </c>
      <c r="E465" s="2" t="n">
        <v>5</v>
      </c>
      <c r="F465" s="2" t="n">
        <v>10</v>
      </c>
      <c r="G465" s="2" t="n">
        <v>30</v>
      </c>
      <c r="H465" s="2" t="n">
        <v>40</v>
      </c>
      <c r="I465" s="4" t="inlineStr">
        <is>
          <t>beef-picadillo.jpg</t>
        </is>
      </c>
      <c r="J465" s="3" t="inlineStr">
        <is>
          <t>Beef Picadillo, healthy food photography, plated, natural light</t>
        </is>
      </c>
      <c r="K465" s="4" t="inlineStr"/>
      <c r="L465" s="3" t="inlineStr">
        <is>
          <t>Ground beef 90% lean — 600 g (21.2 oz)
Yellow onion — 120 g (4.2 oz)
Bell pepper — 150 g (5.3 oz)
Garlic — 8 g (0.3 oz)
Diced tomatoes, canned — 400 g (14.1 oz)
Tomato paste — 20 g (0.7 oz)
Olives (kalamata/green) — 50 g (1.8 oz)
Capers — 15 g (0.5 oz)
Ground cumin — 4 g (0.1 oz)
Dried oregano — 2 g (0.1 oz)
Ground cinnamon — 1 g (0.0 oz)
Extra-virgin olive oil — 12 g (0.4 oz)
Cauliflower rice — 500 g (17.6 oz)
Salt — 3 g (0.1 oz)</t>
        </is>
      </c>
      <c r="M465" s="4" t="inlineStr">
        <is>
          <t>[{"ingredient_id": "ground_beef", "name": "Ground beef 90% lean", "grams": 600.0, "note": ""}, {"ingredient_id": "onion", "name": "Yellow onion", "grams": 120.0, "note": ""}, {"ingredient_id": "bell_pepper", "name": "Bell pepper", "grams": 150.0, "note": ""}, {"ingredient_id": "garlic", "name": "Garlic", "grams": 8.0, "note": ""}, {"ingredient_id": "diced_tomatoes", "name": "Diced tomatoes, canned", "grams": 400.0, "note": ""}, {"ingredient_id": "tomato_paste", "name": "Tomato paste", "grams": 20.0, "note": ""}, {"ingredient_id": "olives", "name": "Olives (kalamata/green)", "grams": 50.0, "note": ""}, {"ingredient_id": "capers", "name": "Capers", "grams": 15.0, "note": ""}, {"ingredient_id": "cumin", "name": "Ground cumin", "grams": 4.0, "note": ""}, {"ingredient_id": "oregano", "name": "Dried oregano", "grams": 2.0, "note": ""}, {"ingredient_id": "cinnamon", "name": "Ground cinnamon", "grams": 1.0, "note": ""}, {"ingredient_id": "olive_oil", "name": "Extra-virgin olive oil", "grams": 12.0, "note": ""}, {"ingredient_id": "cauliflower_rice", "name": "Cauliflower rice", "grams": 500.0, "note": ""}, {"ingredient_id": "salt", "name": "Salt", "grams": 3.0, "note": ""}]</t>
        </is>
      </c>
      <c r="N465" s="2" t="n">
        <v>318</v>
      </c>
      <c r="O465" s="5" t="n">
        <v>28</v>
      </c>
      <c r="P465" s="5" t="n">
        <v>16.3</v>
      </c>
      <c r="Q465" s="5" t="n">
        <v>15.9</v>
      </c>
      <c r="R465" s="5" t="n">
        <v>5.2</v>
      </c>
      <c r="S465" s="5" t="n">
        <v>10.6</v>
      </c>
      <c r="T465" s="2" t="n">
        <v>22</v>
      </c>
      <c r="U465" s="2" t="inlineStr">
        <is>
          <t>low</t>
        </is>
      </c>
      <c r="V465" s="5" t="n">
        <v>2.3</v>
      </c>
      <c r="W465" s="2" t="inlineStr">
        <is>
          <t>low</t>
        </is>
      </c>
      <c r="X465" s="3" t="inlineStr"/>
      <c r="Y465" s="3" t="inlineStr">
        <is>
          <t>0% of this dish's available carbohydrate comes from ingredients with a published, measured GI; the rest uses conventional placeholders (see Ingredients sheet)</t>
        </is>
      </c>
      <c r="Z465" s="2" t="n">
        <v>0</v>
      </c>
      <c r="AA465" s="3" t="inlineStr">
        <is>
          <t>gluten-free, dairy-free, nut-free, low-carb, high-protein, make-ahead</t>
        </is>
      </c>
      <c r="AB465" s="3" t="inlineStr">
        <is>
          <t>1. Brown beef with onion, pepper, garlic; add spices.
2. Add tomatoes, paste, olives, capers; simmer 20 minutes.
3. Serve over cauliflower rice.</t>
        </is>
      </c>
      <c r="AC465" s="4" t="inlineStr">
        <is>
          <t>["Brown beef with onion, pepper, garlic; add spices.", "Add tomatoes, paste, olives, capers; simmer 20 minutes.", "Serve over cauliflower rice."]</t>
        </is>
      </c>
    </row>
    <row r="466" ht="96" customHeight="1">
      <c r="A466" s="2" t="inlineStr">
        <is>
          <t>DB-0465</t>
        </is>
      </c>
      <c r="B466" s="3" t="inlineStr">
        <is>
          <t>Rosemary Lamb Leg with Roasted Vegetables</t>
        </is>
      </c>
      <c r="C466" s="4" t="inlineStr">
        <is>
          <t>Beef, Pork &amp; Lamb</t>
        </is>
      </c>
      <c r="D466" s="4" t="inlineStr">
        <is>
          <t>Mediterranean</t>
        </is>
      </c>
      <c r="E466" s="2" t="n">
        <v>8</v>
      </c>
      <c r="F466" s="2" t="n">
        <v>15</v>
      </c>
      <c r="G466" s="2" t="n">
        <v>90</v>
      </c>
      <c r="H466" s="2" t="n">
        <v>105</v>
      </c>
      <c r="I466" s="4" t="inlineStr">
        <is>
          <t>rosemary-lamb-leg-with-roasted-vegetables.jpg</t>
        </is>
      </c>
      <c r="J466" s="3" t="inlineStr">
        <is>
          <t>Rosemary Lamb Leg with Roasted Vegetables, healthy food photography, plated, natural light</t>
        </is>
      </c>
      <c r="K466" s="4" t="inlineStr"/>
      <c r="L466" s="3" t="inlineStr">
        <is>
          <t>Lamb leg, trimmed — 1500 g (52.9 oz)
Garlic — 20 g (0.7 oz)
Fresh rosemary — 6 g (0.2 oz)
Lemon (with juice &amp; zest) — 60 g (2.1 oz)
Extra-virgin olive oil — 30 g (1.1 oz)
Dijon mustard — 20 g (0.7 oz)
Carrot — 300 g (10.6 oz)
Yellow onion — 200 g (7.1 oz)
Brussels sprouts — 400 g (14.1 oz)
Salt — 6 g (0.2 oz)</t>
        </is>
      </c>
      <c r="M466" s="4" t="inlineStr">
        <is>
          <t>[{"ingredient_id": "lamb_leg", "name": "Lamb leg, trimmed", "grams": 1500.0, "note": ""}, {"ingredient_id": "garlic", "name": "Garlic", "grams": 20.0, "note": ""}, {"ingredient_id": "rosemary", "name": "Fresh rosemary", "grams": 6.0, "note": ""}, {"ingredient_id": "lemon", "name": "Lemon (with juice &amp; zest)", "grams": 60.0, "note": ""}, {"ingredient_id": "olive_oil", "name": "Extra-virgin olive oil", "grams": 30.0, "note": ""}, {"ingredient_id": "dijon", "name": "Dijon mustard", "grams": 20.0, "note": ""}, {"ingredient_id": "carrot", "name": "Carrot", "grams": 300.0, "note": ""}, {"ingredient_id": "onion", "name": "Yellow onion", "grams": 200.0, "note": ""}, {"ingredient_id": "brussels_sprouts", "name": "Brussels sprouts", "grams": 400.0, "note": ""}, {"ingredient_id": "salt", "name": "Salt", "grams": 6.0, "note": ""}]</t>
        </is>
      </c>
      <c r="N466" s="2" t="n">
        <v>389</v>
      </c>
      <c r="O466" s="5" t="n">
        <v>40.2</v>
      </c>
      <c r="P466" s="5" t="n">
        <v>21</v>
      </c>
      <c r="Q466" s="5" t="n">
        <v>12.2</v>
      </c>
      <c r="R466" s="5" t="n">
        <v>3.8</v>
      </c>
      <c r="S466" s="5" t="n">
        <v>8.4</v>
      </c>
      <c r="T466" s="2" t="n">
        <v>24</v>
      </c>
      <c r="U466" s="2" t="inlineStr">
        <is>
          <t>low</t>
        </is>
      </c>
      <c r="V466" s="5" t="n">
        <v>2</v>
      </c>
      <c r="W466" s="2" t="inlineStr">
        <is>
          <t>low</t>
        </is>
      </c>
      <c r="X466" s="3" t="inlineStr"/>
      <c r="Y466" s="3" t="inlineStr">
        <is>
          <t>30% of this dish's available carbohydrate comes from ingredients with a published, measured GI; the rest uses conventional placeholders (see Ingredients sheet)</t>
        </is>
      </c>
      <c r="Z466" s="2" t="n">
        <v>30</v>
      </c>
      <c r="AA466" s="3" t="inlineStr">
        <is>
          <t>gluten-free, dairy-free, nut-free, low-carb, high-protein, make-ahead</t>
        </is>
      </c>
      <c r="AB466" s="3" t="inlineStr">
        <is>
          <t>1. Rub lamb with garlic, rosemary, lemon zest, oil, Dijon, salt; rest 30 minutes.
2. Roast at 375°F 75–90 minutes to 135°F for medium-rare, adding vegetables around it after 30 minutes.
3. Rest 15 minutes; slice thin.</t>
        </is>
      </c>
      <c r="AC466" s="4" t="inlineStr">
        <is>
          <t>["Rub lamb with garlic, rosemary, lemon zest, oil, Dijon, salt; rest 30 minutes.", "Roast at 375°F 75–90 minutes to 135°F for medium-rare, adding vegetables around it after 30 minutes.", "Rest 15 minutes; slice thin."]</t>
        </is>
      </c>
    </row>
    <row r="467" ht="96" customHeight="1">
      <c r="A467" s="2" t="inlineStr">
        <is>
          <t>DB-0466</t>
        </is>
      </c>
      <c r="B467" s="3" t="inlineStr">
        <is>
          <t>Cheeseburger Salad</t>
        </is>
      </c>
      <c r="C467" s="4" t="inlineStr">
        <is>
          <t>Beef, Pork &amp; Lamb</t>
        </is>
      </c>
      <c r="D467" s="4" t="inlineStr">
        <is>
          <t>American</t>
        </is>
      </c>
      <c r="E467" s="2" t="n">
        <v>4</v>
      </c>
      <c r="F467" s="2" t="n">
        <v>10</v>
      </c>
      <c r="G467" s="2" t="n">
        <v>12</v>
      </c>
      <c r="H467" s="2" t="n">
        <v>22</v>
      </c>
      <c r="I467" s="4" t="inlineStr">
        <is>
          <t>cheeseburger-salad.jpg</t>
        </is>
      </c>
      <c r="J467" s="3" t="inlineStr">
        <is>
          <t>Cheeseburger Salad, healthy food photography, plated, natural light</t>
        </is>
      </c>
      <c r="K467" s="4" t="inlineStr"/>
      <c r="L467" s="3" t="inlineStr">
        <is>
          <t>Ground beef 90% lean — 600 g (21.2 oz)
Romaine lettuce — 300 g (10.6 oz)
Tomato — 200 g (7.1 oz)
Dill pickles — 60 g (2.1 oz)
Red onion — 50 g (1.8 oz)
Cheddar cheese — 80 g (2.8 oz)
Greek yogurt, plain 2% — 80 g (2.8 oz)
Mayonnaise (avocado oil) — 15 g (0.5 oz)
Yellow mustard — 10 g (0.4 oz)
Dill pickles — 20 g (0.7 oz) [juice/relish]
Extra-virgin olive oil — 5 g (0.2 oz)</t>
        </is>
      </c>
      <c r="M467" s="4" t="inlineStr">
        <is>
          <t>[{"ingredient_id": "ground_beef", "name": "Ground beef 90% lean", "grams": 600.0, "note": ""}, {"ingredient_id": "romaine", "name": "Romaine lettuce", "grams": 300.0, "note": ""}, {"ingredient_id": "tomato", "name": "Tomato", "grams": 200.0, "note": ""}, {"ingredient_id": "dill_pickle", "name": "Dill pickles", "grams": 60.0, "note": ""}, {"ingredient_id": "red_onion", "name": "Red onion", "grams": 50.0, "note": ""}, {"ingredient_id": "cheddar", "name": "Cheddar cheese", "grams": 80.0, "note": ""}, {"ingredient_id": "greek_yogurt", "name": "Greek yogurt, plain 2%", "grams": 80.0, "note": ""}, {"ingredient_id": "mayo", "name": "Mayonnaise (avocado oil)", "grams": 15.0, "note": ""}, {"ingredient_id": "yellow_mustard", "name": "Yellow mustard", "grams": 10.0, "note": ""}, {"ingredient_id": "dill_pickle", "name": "Dill pickles", "grams": 20.0, "note": "juice/relish"}, {"ingredient_id": "olive_oil", "name": "Extra-virgin olive oil", "grams": 5.0, "note": ""}]</t>
        </is>
      </c>
      <c r="N467" s="2" t="n">
        <v>427</v>
      </c>
      <c r="O467" s="5" t="n">
        <v>38.3</v>
      </c>
      <c r="P467" s="5" t="n">
        <v>26.6</v>
      </c>
      <c r="Q467" s="5" t="n">
        <v>7.3</v>
      </c>
      <c r="R467" s="5" t="n">
        <v>2.7</v>
      </c>
      <c r="S467" s="5" t="n">
        <v>4.5</v>
      </c>
      <c r="T467" s="2" t="n">
        <v>13</v>
      </c>
      <c r="U467" s="2" t="inlineStr">
        <is>
          <t>low</t>
        </is>
      </c>
      <c r="V467" s="5" t="n">
        <v>0.6</v>
      </c>
      <c r="W467" s="2" t="inlineStr">
        <is>
          <t>low</t>
        </is>
      </c>
      <c r="X467" s="3" t="inlineStr">
        <is>
          <t>Negligible carbohydrate (&lt;5 g net/serving): GI has little practical meaning, glycemic load is what matters.</t>
        </is>
      </c>
      <c r="Y467" s="3" t="inlineStr">
        <is>
          <t>18% of this dish's available carbohydrate comes from ingredients with a published, measured GI; the rest uses conventional placeholders (see Ingredients sheet)</t>
        </is>
      </c>
      <c r="Z467" s="2" t="n">
        <v>18</v>
      </c>
      <c r="AA467" s="3" t="inlineStr">
        <is>
          <t>gluten-free, nut-free, low-carb, high-protein, quick</t>
        </is>
      </c>
      <c r="AB467" s="3" t="inlineStr">
        <is>
          <t>1. Brown beef; season; drain.
2. Whisk yogurt, mayo, mustard and pickle juice into 'special sauce'.
3. Toss romaine, tomato, pickle, onion; top with beef, cheddar, sauce.</t>
        </is>
      </c>
      <c r="AC467" s="4" t="inlineStr">
        <is>
          <t>["Brown beef; season; drain.", "Whisk yogurt, mayo, mustard and pickle juice into 'special sauce'.", "Toss romaine, tomato, pickle, onion; top with beef, cheddar, sauce."]</t>
        </is>
      </c>
    </row>
    <row r="468" ht="96" customHeight="1">
      <c r="A468" s="2" t="inlineStr">
        <is>
          <t>DB-0467</t>
        </is>
      </c>
      <c r="B468" s="3" t="inlineStr">
        <is>
          <t>Pork &amp; Cabbage Dumpling-Filling Skillet</t>
        </is>
      </c>
      <c r="C468" s="4" t="inlineStr">
        <is>
          <t>Beef, Pork &amp; Lamb</t>
        </is>
      </c>
      <c r="D468" s="4" t="inlineStr">
        <is>
          <t>Chinese</t>
        </is>
      </c>
      <c r="E468" s="2" t="n">
        <v>4</v>
      </c>
      <c r="F468" s="2" t="n">
        <v>10</v>
      </c>
      <c r="G468" s="2" t="n">
        <v>15</v>
      </c>
      <c r="H468" s="2" t="n">
        <v>25</v>
      </c>
      <c r="I468" s="4" t="inlineStr">
        <is>
          <t>pork-and-cabbage-dumpling-filling-skillet.jpg</t>
        </is>
      </c>
      <c r="J468" s="3" t="inlineStr">
        <is>
          <t>Pork &amp; Cabbage Dumpling-Filling Skillet, healthy food photography, plated, natural light</t>
        </is>
      </c>
      <c r="K468" s="4" t="inlineStr"/>
      <c r="L468" s="3" t="inlineStr">
        <is>
          <t>Ground pork, lean — 500 g (17.6 oz)
Napa cabbage — 500 g (17.6 oz)
Green onions (scallions) — 30 g (1.1 oz)
Fresh ginger — 8 g (0.3 oz)
Garlic — 8 g (0.3 oz)
Tamari (gluten-free soy sauce) — 30 g (1.1 oz)
Toasted sesame oil — 10 g (0.4 oz)
Rice vinegar, unseasoned — 15 g (0.5 oz)
Chili crisp (small amount) — 8 g (0.3 oz)
Avocado oil — 10 g (0.4 oz)</t>
        </is>
      </c>
      <c r="M468" s="4" t="inlineStr">
        <is>
          <t>[{"ingredient_id": "ground_pork", "name": "Ground pork, lean", "grams": 500.0, "note": ""}, {"ingredient_id": "napa_cabbage", "name": "Napa cabbage", "grams": 500.0, "note": ""}, {"ingredient_id": "green_onion", "name": "Green onions (scallions)", "grams": 30.0, "note": ""}, {"ingredient_id": "ginger", "name": "Fresh ginger", "grams": 8.0, "note": ""}, {"ingredient_id": "garlic", "name": "Garlic", "grams": 8.0, "note": ""}, {"ingredient_id": "tamari", "name": "Tamari (gluten-free soy sauce)", "grams": 30.0, "note": ""}, {"ingredient_id": "sesame_oil", "name": "Toasted sesame oil", "grams": 10.0, "note": ""}, {"ingredient_id": "rice_vinegar", "name": "Rice vinegar, unseasoned", "grams": 15.0, "note": ""}, {"ingredient_id": "chili_crisp", "name": "Chili crisp (small amount)", "grams": 8.0, "note": ""}, {"ingredient_id": "avocado_oil", "name": "Avocado oil", "grams": 10.0, "note": ""}]</t>
        </is>
      </c>
      <c r="N468" s="2" t="n">
        <v>318</v>
      </c>
      <c r="O468" s="5" t="n">
        <v>26.4</v>
      </c>
      <c r="P468" s="5" t="n">
        <v>21.3</v>
      </c>
      <c r="Q468" s="5" t="n">
        <v>6.2</v>
      </c>
      <c r="R468" s="5" t="n">
        <v>1.9</v>
      </c>
      <c r="S468" s="5" t="n">
        <v>4.3</v>
      </c>
      <c r="T468" s="2" t="n">
        <v>17</v>
      </c>
      <c r="U468" s="2" t="inlineStr">
        <is>
          <t>low</t>
        </is>
      </c>
      <c r="V468" s="5" t="n">
        <v>0.7</v>
      </c>
      <c r="W468" s="2" t="inlineStr">
        <is>
          <t>low</t>
        </is>
      </c>
      <c r="X468" s="3" t="inlineStr">
        <is>
          <t>Negligible carbohydrate (&lt;5 g net/serving): GI has little practical meaning, glycemic load is what matters.</t>
        </is>
      </c>
      <c r="Y468" s="3" t="inlineStr">
        <is>
          <t>0% of this dish's available carbohydrate comes from ingredients with a published, measured GI; the rest uses conventional placeholders (see Ingredients sheet)</t>
        </is>
      </c>
      <c r="Z468" s="2" t="n">
        <v>0</v>
      </c>
      <c r="AA468" s="3" t="inlineStr">
        <is>
          <t>gluten-free, dairy-free, nut-free, low-carb, high-protein, quick</t>
        </is>
      </c>
      <c r="AB468" s="3" t="inlineStr">
        <is>
          <t>1. Brown pork with ginger and garlic in oil.
2. Add cabbage, tamari, vinegar; cook 5 minutes.
3. Finish with sesame oil, green onion, chili crisp.</t>
        </is>
      </c>
      <c r="AC468" s="4" t="inlineStr">
        <is>
          <t>["Brown pork with ginger and garlic in oil.", "Add cabbage, tamari, vinegar; cook 5 minutes.", "Finish with sesame oil, green onion, chili crisp."]</t>
        </is>
      </c>
    </row>
    <row r="469" ht="96" customHeight="1">
      <c r="A469" s="2" t="inlineStr">
        <is>
          <t>DB-0468</t>
        </is>
      </c>
      <c r="B469" s="3" t="inlineStr">
        <is>
          <t>Beef Stuffed Peppers with Cauliflower Rice</t>
        </is>
      </c>
      <c r="C469" s="4" t="inlineStr">
        <is>
          <t>Beef, Pork &amp; Lamb</t>
        </is>
      </c>
      <c r="D469" s="4" t="inlineStr">
        <is>
          <t>American</t>
        </is>
      </c>
      <c r="E469" s="2" t="n">
        <v>4</v>
      </c>
      <c r="F469" s="2" t="n">
        <v>15</v>
      </c>
      <c r="G469" s="2" t="n">
        <v>40</v>
      </c>
      <c r="H469" s="2" t="n">
        <v>55</v>
      </c>
      <c r="I469" s="4" t="inlineStr">
        <is>
          <t>beef-stuffed-peppers-with-cauliflower-rice.jpg</t>
        </is>
      </c>
      <c r="J469" s="3" t="inlineStr">
        <is>
          <t>Beef Stuffed Peppers with Cauliflower Rice, healthy food photography, plated, natural light</t>
        </is>
      </c>
      <c r="K469" s="4" t="inlineStr"/>
      <c r="L469" s="3" t="inlineStr">
        <is>
          <t>Bell pepper — 600 g (21.2 oz)
Ground beef 90% lean — 500 g (17.6 oz)
Cauliflower rice — 250 g (8.8 oz)
Diced tomatoes, canned — 300 g (10.6 oz)
Yellow onion — 80 g (2.8 oz)
Garlic — 6 g (0.2 oz)
Italian seasoning — 3 g (0.1 oz)
Mozzarella, part-skim — 80 g (2.8 oz)
Extra-virgin olive oil — 10 g (0.4 oz)
Salt — 3 g (0.1 oz)</t>
        </is>
      </c>
      <c r="M469" s="4" t="inlineStr">
        <is>
          <t>[{"ingredient_id": "bell_pepper", "name": "Bell pepper", "grams": 600.0, "note": ""}, {"ingredient_id": "ground_beef", "name": "Ground beef 90% lean", "grams": 500.0, "note": ""}, {"ingredient_id": "cauliflower_rice", "name": "Cauliflower rice", "grams": 250.0, "note": ""}, {"ingredient_id": "diced_tomatoes", "name": "Diced tomatoes, canned", "grams": 300.0, "note": ""}, {"ingredient_id": "onion", "name": "Yellow onion", "grams": 80.0, "note": ""}, {"ingredient_id": "garlic", "name": "Garlic", "grams": 6.0, "note": ""}, {"ingredient_id": "italian_seasoning", "name": "Italian seasoning", "grams": 3.0, "note": ""}, {"ingredient_id": "mozzarella", "name": "Mozzarella, part-skim", "grams": 80.0, "note": ""}, {"ingredient_id": "olive_oil", "name": "Extra-virgin olive oil", "grams": 10.0, "note": ""}, {"ingredient_id": "salt", "name": "Salt", "grams": 3.0, "note": ""}]</t>
        </is>
      </c>
      <c r="N469" s="2" t="n">
        <v>385</v>
      </c>
      <c r="O469" s="5" t="n">
        <v>33.8</v>
      </c>
      <c r="P469" s="5" t="n">
        <v>19</v>
      </c>
      <c r="Q469" s="5" t="n">
        <v>19.3</v>
      </c>
      <c r="R469" s="5" t="n">
        <v>6.2</v>
      </c>
      <c r="S469" s="5" t="n">
        <v>13.1</v>
      </c>
      <c r="T469" s="2" t="n">
        <v>19</v>
      </c>
      <c r="U469" s="2" t="inlineStr">
        <is>
          <t>low</t>
        </is>
      </c>
      <c r="V469" s="5" t="n">
        <v>2.5</v>
      </c>
      <c r="W469" s="2" t="inlineStr">
        <is>
          <t>low</t>
        </is>
      </c>
      <c r="X469" s="3" t="inlineStr"/>
      <c r="Y469" s="3" t="inlineStr">
        <is>
          <t>0% of this dish's available carbohydrate comes from ingredients with a published, measured GI; the rest uses conventional placeholders (see Ingredients sheet)</t>
        </is>
      </c>
      <c r="Z469" s="2" t="n">
        <v>0</v>
      </c>
      <c r="AA469" s="3" t="inlineStr">
        <is>
          <t>gluten-free, nut-free, low-carb, high-protein, meal-prep</t>
        </is>
      </c>
      <c r="AB469" s="3" t="inlineStr">
        <is>
          <t>1. Halve peppers; roast 10 minutes.
2. Brown beef with onion, garlic, seasoning; add cauliflower rice and tomatoes.
3. Fill peppers, top with mozzarella; bake at 400°F 20 minutes.</t>
        </is>
      </c>
      <c r="AC469" s="4" t="inlineStr">
        <is>
          <t>["Halve peppers; roast 10 minutes.", "Brown beef with onion, garlic, seasoning; add cauliflower rice and tomatoes.", "Fill peppers, top with mozzarella; bake at 400°F 20 minutes."]</t>
        </is>
      </c>
    </row>
    <row r="470" ht="96" customHeight="1">
      <c r="A470" s="2" t="inlineStr">
        <is>
          <t>DB-0469</t>
        </is>
      </c>
      <c r="B470" s="3" t="inlineStr">
        <is>
          <t>Pork Chile Verde</t>
        </is>
      </c>
      <c r="C470" s="4" t="inlineStr">
        <is>
          <t>Beef, Pork &amp; Lamb</t>
        </is>
      </c>
      <c r="D470" s="4" t="inlineStr">
        <is>
          <t>Mexican</t>
        </is>
      </c>
      <c r="E470" s="2" t="n">
        <v>6</v>
      </c>
      <c r="F470" s="2" t="n">
        <v>20</v>
      </c>
      <c r="G470" s="2" t="n">
        <v>120</v>
      </c>
      <c r="H470" s="2" t="n">
        <v>140</v>
      </c>
      <c r="I470" s="4" t="inlineStr">
        <is>
          <t>pork-chile-verde.jpg</t>
        </is>
      </c>
      <c r="J470" s="3" t="inlineStr">
        <is>
          <t>Pork Chile Verde, healthy food photography, plated, natural light</t>
        </is>
      </c>
      <c r="K470" s="4" t="inlineStr"/>
      <c r="L470" s="3" t="inlineStr">
        <is>
          <t>Pork shoulder, trimmed — 1000 g (35.3 oz)
Tomatillos — 600 g (21.2 oz)
Poblano pepper — 200 g (7.1 oz)
Jalapeño — 20 g (0.7 oz)
Yellow onion — 150 g (5.3 oz)
Garlic — 10 g (0.4 oz)
Fresh cilantro — 20 g (0.7 oz)
Ground cumin — 4 g (0.1 oz)
Chicken broth, low sodium — 400 g (14.1 oz)
Extra-virgin olive oil — 15 g (0.5 oz)
Lime — 30 g (1.1 oz)
Salt — 4 g (0.1 oz)</t>
        </is>
      </c>
      <c r="M470" s="4" t="inlineStr">
        <is>
          <t>[{"ingredient_id": "pork_shoulder", "name": "Pork shoulder, trimmed", "grams": 1000.0, "note": ""}, {"ingredient_id": "tomatillo", "name": "Tomatillos", "grams": 600.0, "note": ""}, {"ingredient_id": "poblano", "name": "Poblano pepper", "grams": 200.0, "note": ""}, {"ingredient_id": "jalapeno", "name": "Jalapeño", "grams": 20.0, "note": ""}, {"ingredient_id": "onion", "name": "Yellow onion", "grams": 150.0, "note": ""}, {"ingredient_id": "garlic", "name": "Garlic", "grams": 10.0, "note": ""}, {"ingredient_id": "cilantro", "name": "Fresh cilantro", "grams": 20.0, "note": ""}, {"ingredient_id": "cumin", "name": "Ground cumin", "grams": 4.0, "note": ""}, {"ingredient_id": "chicken_broth", "name": "Chicken broth, low sodium", "grams": 400.0, "note": ""}, {"ingredient_id": "olive_oil", "name": "Extra-virgin olive oil", "grams": 15.0, "note": ""}, {"ingredient_id": "lime", "name": "Lime", "grams": 30.0, "note": ""}, {"ingredient_id": "salt", "name": "Salt", "grams": 4.0, "note": ""}]</t>
        </is>
      </c>
      <c r="N470" s="2" t="n">
        <v>417</v>
      </c>
      <c r="O470" s="5" t="n">
        <v>34.3</v>
      </c>
      <c r="P470" s="5" t="n">
        <v>27.2</v>
      </c>
      <c r="Q470" s="5" t="n">
        <v>11.7</v>
      </c>
      <c r="R470" s="5" t="n">
        <v>3.3</v>
      </c>
      <c r="S470" s="5" t="n">
        <v>8.4</v>
      </c>
      <c r="T470" s="2" t="n">
        <v>16</v>
      </c>
      <c r="U470" s="2" t="inlineStr">
        <is>
          <t>low</t>
        </is>
      </c>
      <c r="V470" s="5" t="n">
        <v>1.3</v>
      </c>
      <c r="W470" s="2" t="inlineStr">
        <is>
          <t>low</t>
        </is>
      </c>
      <c r="X470" s="3" t="inlineStr"/>
      <c r="Y470" s="3" t="inlineStr">
        <is>
          <t>0% of this dish's available carbohydrate comes from ingredients with a published, measured GI; the rest uses conventional placeholders (see Ingredients sheet)</t>
        </is>
      </c>
      <c r="Z470" s="2" t="n">
        <v>0</v>
      </c>
      <c r="AA470" s="3" t="inlineStr">
        <is>
          <t>gluten-free, dairy-free, nut-free, low-carb, high-protein, make-ahead</t>
        </is>
      </c>
      <c r="AB470" s="3" t="inlineStr">
        <is>
          <t>1. Broil tomatillos, poblano, jalapeño, onion, garlic 10 minutes; blend with cilantro.
2. Brown pork cubes in oil; add sauce, cumin, broth; simmer covered 1.5–2 hours.
3. Finish with lime; serve with cauliflower rice.</t>
        </is>
      </c>
      <c r="AC470" s="4" t="inlineStr">
        <is>
          <t>["Broil tomatillos, poblano, jalapeño, onion, garlic 10 minutes; blend with cilantro.", "Brown pork cubes in oil; add sauce, cumin, broth; simmer covered 1.5–2 hours.", "Finish with lime; serve with cauliflower rice."]</t>
        </is>
      </c>
    </row>
    <row r="471" ht="96" customHeight="1">
      <c r="A471" s="2" t="inlineStr">
        <is>
          <t>DB-0470</t>
        </is>
      </c>
      <c r="B471" s="3" t="inlineStr">
        <is>
          <t>Steak &amp; Eggs Power Bowl with Kale</t>
        </is>
      </c>
      <c r="C471" s="4" t="inlineStr">
        <is>
          <t>Beef, Pork &amp; Lamb</t>
        </is>
      </c>
      <c r="D471" s="4" t="inlineStr">
        <is>
          <t>American</t>
        </is>
      </c>
      <c r="E471" s="2" t="n">
        <v>2</v>
      </c>
      <c r="F471" s="2" t="n">
        <v>10</v>
      </c>
      <c r="G471" s="2" t="n">
        <v>15</v>
      </c>
      <c r="H471" s="2" t="n">
        <v>25</v>
      </c>
      <c r="I471" s="4" t="inlineStr">
        <is>
          <t>steak-and-eggs-power-bowl-with-kale.jpg</t>
        </is>
      </c>
      <c r="J471" s="3" t="inlineStr">
        <is>
          <t>Steak &amp; Eggs Power Bowl with Kale, healthy food photography, plated, natural light</t>
        </is>
      </c>
      <c r="K471" s="4" t="inlineStr"/>
      <c r="L471" s="3" t="inlineStr">
        <is>
          <t>Beef sirloin, trimmed — 300 g (10.6 oz)
Egg, large (50 g each) — 100 g (3.5 oz)
Kale — 150 g (5.3 oz)
Sweet potato, baked/roasted — 150 g (5.3 oz)
Avocado — 70 g (2.5 oz)
Extra-virgin olive oil — 15 g (0.5 oz)
Garlic — 5 g (0.2 oz)
Hot sauce (Tabasco/Frank's) — 5 g (0.2 oz)
Salt — 2 g (0.1 oz)</t>
        </is>
      </c>
      <c r="M471" s="4" t="inlineStr">
        <is>
          <t>[{"ingredient_id": "beef_sirloin", "name": "Beef sirloin, trimmed", "grams": 300.0, "note": ""}, {"ingredient_id": "egg", "name": "Egg, large (50 g each)", "grams": 100.0, "note": ""}, {"ingredient_id": "kale", "name": "Kale", "grams": 150.0, "note": ""}, {"ingredient_id": "sweet_potato_roasted", "name": "Sweet potato, baked/roasted", "grams": 150.0, "note": ""}, {"ingredient_id": "avocado", "name": "Avocado", "grams": 70.0, "note": ""}, {"ingredient_id": "olive_oil", "name": "Extra-virgin olive oil", "grams": 15.0, "note": ""}, {"ingredient_id": "garlic", "name": "Garlic", "grams": 5.0, "note": ""}, {"ingredient_id": "hot_sauce", "name": "Hot sauce (Tabasco/Frank's)", "grams": 5.0, "note": ""}, {"ingredient_id": "salt", "name": "Salt", "grams": 2.0, "note": ""}]</t>
        </is>
      </c>
      <c r="N471" s="2" t="n">
        <v>494</v>
      </c>
      <c r="O471" s="5" t="n">
        <v>44.6</v>
      </c>
      <c r="P471" s="5" t="n">
        <v>25</v>
      </c>
      <c r="Q471" s="5" t="n">
        <v>25.8</v>
      </c>
      <c r="R471" s="5" t="n">
        <v>7.4</v>
      </c>
      <c r="S471" s="5" t="n">
        <v>18.4</v>
      </c>
      <c r="T471" s="2" t="n">
        <v>64</v>
      </c>
      <c r="U471" s="2" t="inlineStr">
        <is>
          <t>medium</t>
        </is>
      </c>
      <c r="V471" s="5" t="n">
        <v>11.8</v>
      </c>
      <c r="W471" s="2" t="inlineStr">
        <is>
          <t>medium</t>
        </is>
      </c>
      <c r="X471" s="3" t="inlineStr">
        <is>
          <t>Medium-GI dish: keep to the stated portion and pair with the protein/fat in the recipe; GL per serving is the better guide.</t>
        </is>
      </c>
      <c r="Y471" s="3" t="inlineStr">
        <is>
          <t>69% of this dish's available carbohydrate comes from ingredients with a published, measured GI; the rest uses conventional placeholders (see Ingredients sheet)</t>
        </is>
      </c>
      <c r="Z471" s="2" t="n">
        <v>69</v>
      </c>
      <c r="AA471" s="3" t="inlineStr">
        <is>
          <t>gluten-free, dairy-free, nut-free, high-protein, high-fiber</t>
        </is>
      </c>
      <c r="AB471" s="3" t="inlineStr">
        <is>
          <t>1. Roast diced sweet potato with half the oil at 425°F 18 minutes.
2. Sear steak 4 minutes per side; rest, slice. Sauté kale with garlic; fry eggs.
3. Bowl everything with avocado and hot sauce.</t>
        </is>
      </c>
      <c r="AC471" s="4" t="inlineStr">
        <is>
          <t>["Roast diced sweet potato with half the oil at 425°F 18 minutes.", "Sear steak 4 minutes per side; rest, slice. Sauté kale with garlic; fry eggs.", "Bowl everything with avocado and hot sauce."]</t>
        </is>
      </c>
    </row>
    <row r="472" ht="96" customHeight="1">
      <c r="A472" s="2" t="inlineStr">
        <is>
          <t>DB-0471</t>
        </is>
      </c>
      <c r="B472" s="3" t="inlineStr">
        <is>
          <t>Greek Beef Meatballs with Zucchini Salad</t>
        </is>
      </c>
      <c r="C472" s="4" t="inlineStr">
        <is>
          <t>Beef, Pork &amp; Lamb</t>
        </is>
      </c>
      <c r="D472" s="4" t="inlineStr">
        <is>
          <t>Greek</t>
        </is>
      </c>
      <c r="E472" s="2" t="n">
        <v>4</v>
      </c>
      <c r="F472" s="2" t="n">
        <v>15</v>
      </c>
      <c r="G472" s="2" t="n">
        <v>20</v>
      </c>
      <c r="H472" s="2" t="n">
        <v>35</v>
      </c>
      <c r="I472" s="4" t="inlineStr">
        <is>
          <t>greek-beef-meatballs-with-zucchini-salad.jpg</t>
        </is>
      </c>
      <c r="J472" s="3" t="inlineStr">
        <is>
          <t>Greek Beef Meatballs with Zucchini Salad, healthy food photography, plated, natural light</t>
        </is>
      </c>
      <c r="K472" s="4" t="inlineStr"/>
      <c r="L472" s="3" t="inlineStr">
        <is>
          <t>Ground beef 90% lean — 600 g (21.2 oz)
Feta cheese — 50 g (1.8 oz)
Red onion — 50 g (1.8 oz)
Garlic — 6 g (0.2 oz)
Dried oregano — 3 g (0.1 oz)
Fresh mint — 6 g (0.2 oz)
Egg, large (50 g each) — 50 g (1.8 oz)
Almond flour — 30 g (1.1 oz)
Zucchini — 300 g (10.6 oz)
Cherry tomatoes — 200 g (7.1 oz)
Lemon juice — 15 g (0.5 oz)
Extra-virgin olive oil — 15 g (0.5 oz)
Greek yogurt, plain 2% — 100 g (3.5 oz)
Salt — 3 g (0.1 oz)</t>
        </is>
      </c>
      <c r="M472" s="4" t="inlineStr">
        <is>
          <t>[{"ingredient_id": "ground_beef", "name": "Ground beef 90% lean", "grams": 600.0, "note": ""}, {"ingredient_id": "feta", "name": "Feta cheese", "grams": 50.0, "note": ""}, {"ingredient_id": "red_onion", "name": "Red onion", "grams": 50.0, "note": ""}, {"ingredient_id": "garlic", "name": "Garlic", "grams": 6.0, "note": ""}, {"ingredient_id": "oregano", "name": "Dried oregano", "grams": 3.0, "note": ""}, {"ingredient_id": "mint", "name": "Fresh mint", "grams": 6.0, "note": ""}, {"ingredient_id": "egg", "name": "Egg, large (50 g each)", "grams": 50.0, "note": ""}, {"ingredient_id": "almond_flour", "name": "Almond flour", "grams": 30.0, "note": ""}, {"ingredient_id": "zucchini", "name": "Zucchini", "grams": 300.0, "note": ""}, {"ingredient_id": "cherry_tomato", "name": "Cherry tomatoes", "grams": 200.0, "note": ""}, {"ingredient_id": "lemon_juice", "name": "Lemon juice", "grams": 15.0, "note": ""}, {"ingredient_id": "olive_oil", "name": "Extra-virgin olive oil", "grams": 15.0, "note": ""}, {"ingredient_id": "greek_yogurt", "name": "Greek yogurt, plain 2%", "grams": 100.0, "note": ""}, {"ingredient_id": "salt", "name": "Salt", "grams": 3.0, "note": ""}]</t>
        </is>
      </c>
      <c r="N472" s="2" t="n">
        <v>443</v>
      </c>
      <c r="O472" s="5" t="n">
        <v>39.1</v>
      </c>
      <c r="P472" s="5" t="n">
        <v>27.2</v>
      </c>
      <c r="Q472" s="5" t="n">
        <v>10</v>
      </c>
      <c r="R472" s="5" t="n">
        <v>2.9</v>
      </c>
      <c r="S472" s="5" t="n">
        <v>7.1</v>
      </c>
      <c r="T472" s="2" t="n">
        <v>14</v>
      </c>
      <c r="U472" s="2" t="inlineStr">
        <is>
          <t>low</t>
        </is>
      </c>
      <c r="V472" s="5" t="n">
        <v>1</v>
      </c>
      <c r="W472" s="2" t="inlineStr">
        <is>
          <t>low</t>
        </is>
      </c>
      <c r="X472" s="3" t="inlineStr"/>
      <c r="Y472" s="3" t="inlineStr">
        <is>
          <t>14% of this dish's available carbohydrate comes from ingredients with a published, measured GI; the rest uses conventional placeholders (see Ingredients sheet)</t>
        </is>
      </c>
      <c r="Z472" s="2" t="n">
        <v>14</v>
      </c>
      <c r="AA472" s="3" t="inlineStr">
        <is>
          <t>gluten-free, low-carb, high-protein</t>
        </is>
      </c>
      <c r="AB472" s="3" t="inlineStr">
        <is>
          <t>1. Mix beef, feta, onion, garlic, oregano, mint, egg, almond flour, salt; form meatballs; bake at 400°F 18 minutes.
2. Shave zucchini; toss with tomato, lemon, oil.
3. Serve with yogurt.</t>
        </is>
      </c>
      <c r="AC472" s="4" t="inlineStr">
        <is>
          <t>["Mix beef, feta, onion, garlic, oregano, mint, egg, almond flour, salt; form meatballs; bake at 400°F 18 minutes.", "Shave zucchini; toss with tomato, lemon, oil.", "Serve with yogurt."]</t>
        </is>
      </c>
    </row>
    <row r="473" ht="96" customHeight="1">
      <c r="A473" s="2" t="inlineStr">
        <is>
          <t>DB-0472</t>
        </is>
      </c>
      <c r="B473" s="3" t="inlineStr">
        <is>
          <t>Bacon-Wrapped Pork Tenderloin with Asparagus</t>
        </is>
      </c>
      <c r="C473" s="4" t="inlineStr">
        <is>
          <t>Beef, Pork &amp; Lamb</t>
        </is>
      </c>
      <c r="D473" s="4" t="inlineStr">
        <is>
          <t>American</t>
        </is>
      </c>
      <c r="E473" s="2" t="n">
        <v>4</v>
      </c>
      <c r="F473" s="2" t="n">
        <v>10</v>
      </c>
      <c r="G473" s="2" t="n">
        <v>30</v>
      </c>
      <c r="H473" s="2" t="n">
        <v>40</v>
      </c>
      <c r="I473" s="4" t="inlineStr">
        <is>
          <t>bacon-wrapped-pork-tenderloin-with-asparagus.jpg</t>
        </is>
      </c>
      <c r="J473" s="3" t="inlineStr">
        <is>
          <t>Bacon-Wrapped Pork Tenderloin with Asparagus, healthy food photography, plated, natural light</t>
        </is>
      </c>
      <c r="K473" s="4" t="inlineStr"/>
      <c r="L473" s="3" t="inlineStr">
        <is>
          <t>Pork tenderloin — 600 g (21.2 oz)
Bacon — 90 g (3.2 oz) [6 slices]
Dijon mustard — 15 g (0.5 oz)
Garlic — 6 g (0.2 oz)
Fresh thyme — 2 g (0.1 oz)
Asparagus — 500 g (17.6 oz)
Extra-virgin olive oil — 10 g (0.4 oz)
Salt — 2 g (0.1 oz)</t>
        </is>
      </c>
      <c r="M473" s="4" t="inlineStr">
        <is>
          <t>[{"ingredient_id": "pork_tenderloin", "name": "Pork tenderloin", "grams": 600.0, "note": ""}, {"ingredient_id": "bacon", "name": "Bacon", "grams": 90.0, "note": "6 slices"}, {"ingredient_id": "dijon", "name": "Dijon mustard", "grams": 15.0, "note": ""}, {"ingredient_id": "garlic", "name": "Garlic", "grams": 6.0, "note": ""}, {"ingredient_id": "thyme", "name": "Fresh thyme", "grams": 2.0, "note": ""}, {"ingredient_id": "asparagus", "name": "Asparagus", "grams": 500.0, "note": ""}, {"ingredient_id": "olive_oil", "name": "Extra-virgin olive oil", "grams": 10.0, "note": ""}, {"ingredient_id": "salt", "name": "Salt", "grams": 2.0, "note": ""}]</t>
        </is>
      </c>
      <c r="N473" s="2" t="n">
        <v>354</v>
      </c>
      <c r="O473" s="5" t="n">
        <v>42.8</v>
      </c>
      <c r="P473" s="5" t="n">
        <v>17.5</v>
      </c>
      <c r="Q473" s="5" t="n">
        <v>6</v>
      </c>
      <c r="R473" s="5" t="n">
        <v>2.8</v>
      </c>
      <c r="S473" s="5" t="n">
        <v>3.2</v>
      </c>
      <c r="T473" s="2" t="n">
        <v>16</v>
      </c>
      <c r="U473" s="2" t="inlineStr">
        <is>
          <t>low</t>
        </is>
      </c>
      <c r="V473" s="5" t="n">
        <v>0.5</v>
      </c>
      <c r="W473" s="2" t="inlineStr">
        <is>
          <t>low</t>
        </is>
      </c>
      <c r="X473" s="3" t="inlineStr">
        <is>
          <t>Negligible carbohydrate (&lt;5 g net/serving): GI has little practical meaning, glycemic load is what matters.</t>
        </is>
      </c>
      <c r="Y473" s="3" t="inlineStr">
        <is>
          <t>0% of this dish's available carbohydrate comes from ingredients with a published, measured GI; the rest uses conventional placeholders (see Ingredients sheet)</t>
        </is>
      </c>
      <c r="Z473" s="2" t="n">
        <v>0</v>
      </c>
      <c r="AA473" s="3" t="inlineStr">
        <is>
          <t>gluten-free, dairy-free, nut-free, low-carb, high-protein</t>
        </is>
      </c>
      <c r="AB473" s="3" t="inlineStr">
        <is>
          <t>1. Rub pork with Dijon, garlic, thyme; wrap in bacon.
2. Roast at 425°F 25 minutes to 145°F; broil 2 minutes to crisp.
3. Roast asparagus with oil alongside; slice pork.</t>
        </is>
      </c>
      <c r="AC473" s="4" t="inlineStr">
        <is>
          <t>["Rub pork with Dijon, garlic, thyme; wrap in bacon.", "Roast at 425°F 25 minutes to 145°F; broil 2 minutes to crisp.", "Roast asparagus with oil alongside; slice pork."]</t>
        </is>
      </c>
    </row>
    <row r="474" ht="96" customHeight="1">
      <c r="A474" s="2" t="inlineStr">
        <is>
          <t>DB-0473</t>
        </is>
      </c>
      <c r="B474" s="3" t="inlineStr">
        <is>
          <t>Beef Shawarma Plate</t>
        </is>
      </c>
      <c r="C474" s="4" t="inlineStr">
        <is>
          <t>Beef, Pork &amp; Lamb</t>
        </is>
      </c>
      <c r="D474" s="4" t="inlineStr">
        <is>
          <t>Middle Eastern</t>
        </is>
      </c>
      <c r="E474" s="2" t="n">
        <v>4</v>
      </c>
      <c r="F474" s="2" t="n">
        <v>15</v>
      </c>
      <c r="G474" s="2" t="n">
        <v>15</v>
      </c>
      <c r="H474" s="2" t="n">
        <v>30</v>
      </c>
      <c r="I474" s="4" t="inlineStr">
        <is>
          <t>beef-shawarma-plate.jpg</t>
        </is>
      </c>
      <c r="J474" s="3" t="inlineStr">
        <is>
          <t>Beef Shawarma Plate, healthy food photography, plated, natural light</t>
        </is>
      </c>
      <c r="K474" s="4" t="inlineStr"/>
      <c r="L474" s="3" t="inlineStr">
        <is>
          <t>Flank steak — 600 g (21.2 oz)
Ground cumin — 4 g (0.1 oz)
Ground coriander — 3 g (0.1 oz)
Paprika — 4 g (0.1 oz)
Ground turmeric — 2 g (0.1 oz)
Ground cinnamon — 1 g (0.0 oz)
Garlic — 8 g (0.3 oz)
Lemon juice — 25 g (0.9 oz)
Extra-virgin olive oil — 15 g (0.5 oz)
Hummus — 150 g (5.3 oz)
Tomato — 200 g (7.1 oz)
Cucumber — 150 g (5.3 oz)
Red onion — 50 g (1.8 oz)
Fresh parsley — 8 g (0.3 oz)
Tahini — 30 g (1.1 oz)
Salt — 3 g (0.1 oz)</t>
        </is>
      </c>
      <c r="M474" s="4" t="inlineStr">
        <is>
          <t>[{"ingredient_id": "flank_steak", "name": "Flank steak", "grams": 600.0, "note": ""}, {"ingredient_id": "cumin", "name": "Ground cumin", "grams": 4.0, "note": ""}, {"ingredient_id": "coriander", "name": "Ground coriander", "grams": 3.0, "note": ""}, {"ingredient_id": "paprika", "name": "Paprika", "grams": 4.0, "note": ""}, {"ingredient_id": "turmeric", "name": "Ground turmeric", "grams": 2.0, "note": ""}, {"ingredient_id": "cinnamon", "name": "Ground cinnamon", "grams": 1.0, "note": ""}, {"ingredient_id": "garlic", "name": "Garlic", "grams": 8.0, "note": ""}, {"ingredient_id": "lemon_juice", "name": "Lemon juice", "grams": 25.0, "note": ""}, {"ingredient_id": "olive_oil", "name": "Extra-virgin olive oil", "grams": 15.0, "note": ""}, {"ingredient_id": "hummus", "name": "Hummus", "grams": 150.0, "note": ""}, {"ingredient_id": "tomato", "name": "Tomato", "grams": 200.0, "note": ""}, {"ingredient_id": "cucumber", "name": "Cucumber", "grams": 150.0, "note": ""}, {"ingredient_id": "red_onion", "name": "Red onion", "grams": 50.0, "note": ""}, {"ingredient_id": "parsley", "name": "Fresh parsley", "grams": 8.0, "note": ""}, {"ingredient_id": "tahini", "name": "Tahini", "grams": 30.0, "note": ""}, {"ingredient_id": "salt", "name": "Salt", "grams": 3.0, "note": ""}]</t>
        </is>
      </c>
      <c r="N474" s="2" t="n">
        <v>401</v>
      </c>
      <c r="O474" s="5" t="n">
        <v>37.3</v>
      </c>
      <c r="P474" s="5" t="n">
        <v>22.6</v>
      </c>
      <c r="Q474" s="5" t="n">
        <v>14.4</v>
      </c>
      <c r="R474" s="5" t="n">
        <v>5.1</v>
      </c>
      <c r="S474" s="5" t="n">
        <v>9.4</v>
      </c>
      <c r="T474" s="2" t="n">
        <v>19</v>
      </c>
      <c r="U474" s="2" t="inlineStr">
        <is>
          <t>low</t>
        </is>
      </c>
      <c r="V474" s="5" t="n">
        <v>1.8</v>
      </c>
      <c r="W474" s="2" t="inlineStr">
        <is>
          <t>low</t>
        </is>
      </c>
      <c r="X474" s="3" t="inlineStr"/>
      <c r="Y474" s="3" t="inlineStr">
        <is>
          <t>32% of this dish's available carbohydrate comes from ingredients with a published, measured GI; the rest uses conventional placeholders (see Ingredients sheet)</t>
        </is>
      </c>
      <c r="Z474" s="2" t="n">
        <v>32</v>
      </c>
      <c r="AA474" s="3" t="inlineStr">
        <is>
          <t>gluten-free, dairy-free, nut-free, low-carb, high-protein</t>
        </is>
      </c>
      <c r="AB474" s="3" t="inlineStr">
        <is>
          <t>1. Marinate sliced steak in spices, garlic, lemon, oil 15 minutes; sear in a hot pan 5 minutes.
2. Whisk tahini with lemon and water.
3. Plate beef with hummus, tomato, cucumber, onion, parsley, tahini sauce.</t>
        </is>
      </c>
      <c r="AC474" s="4" t="inlineStr">
        <is>
          <t>["Marinate sliced steak in spices, garlic, lemon, oil 15 minutes; sear in a hot pan 5 minutes.", "Whisk tahini with lemon and water.", "Plate beef with hummus, tomato, cucumber, onion, parsley, tahini sauce."]</t>
        </is>
      </c>
    </row>
    <row r="475" ht="96" customHeight="1">
      <c r="A475" s="2" t="inlineStr">
        <is>
          <t>DB-0474</t>
        </is>
      </c>
      <c r="B475" s="3" t="inlineStr">
        <is>
          <t>Pork Ribs (Baked, Sugar-Free Rub)</t>
        </is>
      </c>
      <c r="C475" s="4" t="inlineStr">
        <is>
          <t>Beef, Pork &amp; Lamb</t>
        </is>
      </c>
      <c r="D475" s="4" t="inlineStr">
        <is>
          <t>Southern</t>
        </is>
      </c>
      <c r="E475" s="2" t="n">
        <v>4</v>
      </c>
      <c r="F475" s="2" t="n">
        <v>10</v>
      </c>
      <c r="G475" s="2" t="n">
        <v>150</v>
      </c>
      <c r="H475" s="2" t="n">
        <v>160</v>
      </c>
      <c r="I475" s="4" t="inlineStr">
        <is>
          <t>pork-ribs-baked-sugar-free-rub.jpg</t>
        </is>
      </c>
      <c r="J475" s="3" t="inlineStr">
        <is>
          <t>Pork Ribs (Baked, Sugar-Free Rub), healthy food photography, plated, natural light</t>
        </is>
      </c>
      <c r="K475" s="4" t="inlineStr"/>
      <c r="L475" s="3" t="inlineStr">
        <is>
          <t>Pork shoulder, trimmed — 900 g (31.7 oz) [country-style ribs]
Smoked paprika — 8 g (0.3 oz)
Garlic powder — 4 g (0.1 oz)
Onion powder — 3 g (0.1 oz)
Chili powder — 4 g (0.1 oz)
Ground cumin — 2 g (0.1 oz)
Monk fruit/erythritol sweetener — 8 g (0.3 oz)
Apple cider vinegar — 30 g (1.1 oz)
Tomato paste — 40 g (1.4 oz)
Dijon mustard — 10 g (0.4 oz)
Coleslaw mix (cabbage &amp; carrot) — 400 g (14.1 oz)
Greek yogurt, plain 2% — 80 g (2.8 oz)
Salt — 4 g (0.1 oz)</t>
        </is>
      </c>
      <c r="M475" s="4" t="inlineStr">
        <is>
          <t>[{"ingredient_id": "pork_shoulder", "name": "Pork shoulder, trimmed", "grams": 900.0, "note": "country-style ribs"}, {"ingredient_id": "smoked_paprika", "name": "Smoked paprika", "grams": 8.0, "note": ""}, {"ingredient_id": "garlic_powder", "name": "Garlic powder", "grams": 4.0, "note": ""}, {"ingredient_id": "onion_powder", "name": "Onion powder", "grams": 3.0, "note": ""}, {"ingredient_id": "chili_powder", "name": "Chili powder", "grams": 4.0, "note": ""}, {"ingredient_id": "cumin", "name": "Ground cumin", "grams": 2.0, "note": ""}, {"ingredient_id": "monk_fruit_sweetener", "name": "Monk fruit/erythritol sweetener", "grams": 8.0, "note": ""}, {"ingredient_id": "apple_cider_vinegar", "name": "Apple cider vinegar", "grams": 30.0, "note": ""}, {"ingredient_id": "tomato_paste", "name": "Tomato paste", "grams": 40.0, "note": ""}, {"ingredient_id": "dijon", "name": "Dijon mustard", "grams": 10.0, "note": ""}, {"ingredient_id": "coleslaw_mix", "name": "Coleslaw mix (cabbage &amp; carrot)", "grams": 400.0, "note": ""}, {"ingredient_id": "greek_yogurt", "name": "Greek yogurt, plain 2%", "grams": 80.0, "note": ""}, {"ingredient_id": "salt", "name": "Salt", "grams": 4.0, "note": ""}]</t>
        </is>
      </c>
      <c r="N475" s="2" t="n">
        <v>519</v>
      </c>
      <c r="O475" s="5" t="n">
        <v>47.3</v>
      </c>
      <c r="P475" s="5" t="n">
        <v>32.7</v>
      </c>
      <c r="Q475" s="5" t="n">
        <v>12</v>
      </c>
      <c r="R475" s="5" t="n">
        <v>4.2</v>
      </c>
      <c r="S475" s="5" t="n">
        <v>7.8</v>
      </c>
      <c r="T475" s="2" t="n">
        <v>18</v>
      </c>
      <c r="U475" s="2" t="inlineStr">
        <is>
          <t>low</t>
        </is>
      </c>
      <c r="V475" s="5" t="n">
        <v>1.4</v>
      </c>
      <c r="W475" s="2" t="inlineStr">
        <is>
          <t>low</t>
        </is>
      </c>
      <c r="X475" s="3" t="inlineStr"/>
      <c r="Y475" s="3" t="inlineStr">
        <is>
          <t>10% of this dish's available carbohydrate comes from ingredients with a published, measured GI; the rest uses conventional placeholders (see Ingredients sheet)</t>
        </is>
      </c>
      <c r="Z475" s="2" t="n">
        <v>10</v>
      </c>
      <c r="AA475" s="3" t="inlineStr">
        <is>
          <t>gluten-free, nut-free, low-carb, high-protein</t>
        </is>
      </c>
      <c r="AB475" s="3" t="inlineStr">
        <is>
          <t>1. Rub ribs with spices, sweetener, salt; wrap in foil; bake at 300°F 2 hours.
2. Mix tomato paste, vinegar, Dijon into a glaze; brush on and broil 5 minutes.
3. Serve with yogurt slaw.</t>
        </is>
      </c>
      <c r="AC475" s="4" t="inlineStr">
        <is>
          <t>["Rub ribs with spices, sweetener, salt; wrap in foil; bake at 300°F 2 hours.", "Mix tomato paste, vinegar, Dijon into a glaze; brush on and broil 5 minutes.", "Serve with yogurt slaw."]</t>
        </is>
      </c>
    </row>
    <row r="476" ht="96" customHeight="1">
      <c r="A476" s="2" t="inlineStr">
        <is>
          <t>DB-0475</t>
        </is>
      </c>
      <c r="B476" s="3" t="inlineStr">
        <is>
          <t>Beef Kofta Bowls with Cauliflower Rice</t>
        </is>
      </c>
      <c r="C476" s="4" t="inlineStr">
        <is>
          <t>Beef, Pork &amp; Lamb</t>
        </is>
      </c>
      <c r="D476" s="4" t="inlineStr">
        <is>
          <t>Middle Eastern</t>
        </is>
      </c>
      <c r="E476" s="2" t="n">
        <v>4</v>
      </c>
      <c r="F476" s="2" t="n">
        <v>15</v>
      </c>
      <c r="G476" s="2" t="n">
        <v>15</v>
      </c>
      <c r="H476" s="2" t="n">
        <v>30</v>
      </c>
      <c r="I476" s="4" t="inlineStr">
        <is>
          <t>beef-kofta-bowls-with-cauliflower-rice.jpg</t>
        </is>
      </c>
      <c r="J476" s="3" t="inlineStr">
        <is>
          <t>Beef Kofta Bowls with Cauliflower Rice, healthy food photography, plated, natural light</t>
        </is>
      </c>
      <c r="K476" s="4" t="inlineStr"/>
      <c r="L476" s="3" t="inlineStr">
        <is>
          <t>Ground beef 90% lean — 600 g (21.2 oz)
Yellow onion — 60 g (2.1 oz)
Fresh parsley — 15 g (0.5 oz)
Garlic — 8 g (0.3 oz)
Ground cumin — 4 g (0.1 oz)
Ground cinnamon — 1 g (0.0 oz)
Cauliflower rice — 500 g (17.6 oz)
Tomato — 200 g (7.1 oz)
Cucumber — 150 g (5.3 oz)
Greek yogurt, plain 2% — 120 g (4.2 oz)
Tahini — 20 g (0.7 oz)
Lemon juice — 15 g (0.5 oz)
Extra-virgin olive oil — 10 g (0.4 oz)
Salt — 3 g (0.1 oz)</t>
        </is>
      </c>
      <c r="M476" s="4" t="inlineStr">
        <is>
          <t>[{"ingredient_id": "ground_beef", "name": "Ground beef 90% lean", "grams": 600.0, "note": ""}, {"ingredient_id": "onion", "name": "Yellow onion", "grams": 60.0, "note": ""}, {"ingredient_id": "parsley", "name": "Fresh parsley", "grams": 15.0, "note": ""}, {"ingredient_id": "garlic", "name": "Garlic", "grams": 8.0, "note": ""}, {"ingredient_id": "cumin", "name": "Ground cumin", "grams": 4.0, "note": ""}, {"ingredient_id": "cinnamon", "name": "Ground cinnamon", "grams": 1.0, "note": ""}, {"ingredient_id": "cauliflower_rice", "name": "Cauliflower rice", "grams": 500.0, "note": ""}, {"ingredient_id": "tomato", "name": "Tomato", "grams": 200.0, "note": ""}, {"ingredient_id": "cucumber", "name": "Cucumber", "grams": 150.0, "note": ""}, {"ingredient_id": "greek_yogurt", "name": "Greek yogurt, plain 2%", "grams": 120.0, "note": ""}, {"ingredient_id": "tahini", "name": "Tahini", "grams": 20.0, "note": ""}, {"ingredient_id": "lemon_juice", "name": "Lemon juice", "grams": 15.0, "note": ""}, {"ingredient_id": "olive_oil", "name": "Extra-virgin olive oil", "grams": 10.0, "note": ""}, {"ingredient_id": "salt", "name": "Salt", "grams": 3.0, "note": ""}]</t>
        </is>
      </c>
      <c r="N476" s="2" t="n">
        <v>399</v>
      </c>
      <c r="O476" s="5" t="n">
        <v>37.5</v>
      </c>
      <c r="P476" s="5" t="n">
        <v>21.6</v>
      </c>
      <c r="Q476" s="5" t="n">
        <v>15</v>
      </c>
      <c r="R476" s="5" t="n">
        <v>4.4</v>
      </c>
      <c r="S476" s="5" t="n">
        <v>10.6</v>
      </c>
      <c r="T476" s="2" t="n">
        <v>17</v>
      </c>
      <c r="U476" s="2" t="inlineStr">
        <is>
          <t>low</t>
        </is>
      </c>
      <c r="V476" s="5" t="n">
        <v>1.8</v>
      </c>
      <c r="W476" s="2" t="inlineStr">
        <is>
          <t>low</t>
        </is>
      </c>
      <c r="X476" s="3" t="inlineStr"/>
      <c r="Y476" s="3" t="inlineStr">
        <is>
          <t>11% of this dish's available carbohydrate comes from ingredients with a published, measured GI; the rest uses conventional placeholders (see Ingredients sheet)</t>
        </is>
      </c>
      <c r="Z476" s="2" t="n">
        <v>11</v>
      </c>
      <c r="AA476" s="3" t="inlineStr">
        <is>
          <t>gluten-free, nut-free, low-carb, high-protein</t>
        </is>
      </c>
      <c r="AB476" s="3" t="inlineStr">
        <is>
          <t>1. Mix beef, onion, parsley, garlic, spices, salt; shape kofta; grill 12 minutes.
2. Sauté cauliflower rice.
3. Bowl with tomato, cucumber, yogurt-tahini-lemon sauce.</t>
        </is>
      </c>
      <c r="AC476" s="4" t="inlineStr">
        <is>
          <t>["Mix beef, onion, parsley, garlic, spices, salt; shape kofta; grill 12 minutes.", "Sauté cauliflower rice.", "Bowl with tomato, cucumber, yogurt-tahini-lemon sauce."]</t>
        </is>
      </c>
    </row>
    <row r="477" ht="96" customHeight="1">
      <c r="A477" s="2" t="inlineStr">
        <is>
          <t>DB-0476</t>
        </is>
      </c>
      <c r="B477" s="3" t="inlineStr">
        <is>
          <t>Pork Tenderloin with Chimichurri &amp; Cauliflower</t>
        </is>
      </c>
      <c r="C477" s="4" t="inlineStr">
        <is>
          <t>Beef, Pork &amp; Lamb</t>
        </is>
      </c>
      <c r="D477" s="4" t="inlineStr">
        <is>
          <t>Argentinian</t>
        </is>
      </c>
      <c r="E477" s="2" t="n">
        <v>4</v>
      </c>
      <c r="F477" s="2" t="n">
        <v>10</v>
      </c>
      <c r="G477" s="2" t="n">
        <v>25</v>
      </c>
      <c r="H477" s="2" t="n">
        <v>35</v>
      </c>
      <c r="I477" s="4" t="inlineStr">
        <is>
          <t>pork-tenderloin-with-chimichurri-and-cauliflower.jpg</t>
        </is>
      </c>
      <c r="J477" s="3" t="inlineStr">
        <is>
          <t>Pork Tenderloin with Chimichurri &amp; Cauliflower, healthy food photography, plated, natural light</t>
        </is>
      </c>
      <c r="K477" s="4" t="inlineStr"/>
      <c r="L477" s="3" t="inlineStr">
        <is>
          <t>Pork tenderloin — 600 g (21.2 oz)
Cauliflower — 600 g (21.2 oz)
Fresh parsley — 30 g (1.1 oz)
Fresh cilantro — 10 g (0.4 oz)
Garlic — 8 g (0.3 oz)
Red wine vinegar — 15 g (0.5 oz)
Extra-virgin olive oil — 40 g (1.4 oz)
Dried oregano — 2 g (0.1 oz)
Red pepper flakes — 1 g (0.0 oz)
Salt — 3 g (0.1 oz)</t>
        </is>
      </c>
      <c r="M477" s="4" t="inlineStr">
        <is>
          <t>[{"ingredient_id": "pork_tenderloin", "name": "Pork tenderloin", "grams": 600.0, "note": ""}, {"ingredient_id": "cauliflower", "name": "Cauliflower", "grams": 600.0,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40.0, "note": ""}, {"ingredient_id": "oregano", "name": "Dried oregano", "grams": 2.0, "note": ""}, {"ingredient_id": "red_pepper_flakes", "name": "Red pepper flakes", "grams": 1.0, "note": ""}, {"ingredient_id": "salt", "name": "Salt", "grams": 3.0, "note": ""}]</t>
        </is>
      </c>
      <c r="N477" s="2" t="n">
        <v>315</v>
      </c>
      <c r="O477" s="5" t="n">
        <v>34.8</v>
      </c>
      <c r="P477" s="5" t="n">
        <v>15.8</v>
      </c>
      <c r="Q477" s="5" t="n">
        <v>9.199999999999999</v>
      </c>
      <c r="R477" s="5" t="n">
        <v>3.6</v>
      </c>
      <c r="S477" s="5" t="n">
        <v>5.6</v>
      </c>
      <c r="T477" s="2" t="n">
        <v>17</v>
      </c>
      <c r="U477" s="2" t="inlineStr">
        <is>
          <t>low</t>
        </is>
      </c>
      <c r="V477" s="5" t="n">
        <v>0.9</v>
      </c>
      <c r="W477" s="2" t="inlineStr">
        <is>
          <t>low</t>
        </is>
      </c>
      <c r="X477" s="3" t="inlineStr"/>
      <c r="Y477" s="3" t="inlineStr">
        <is>
          <t>0% of this dish's available carbohydrate comes from ingredients with a published, measured GI; the rest uses conventional placeholders (see Ingredients sheet)</t>
        </is>
      </c>
      <c r="Z477" s="2" t="n">
        <v>0</v>
      </c>
      <c r="AA477" s="3" t="inlineStr">
        <is>
          <t>gluten-free, dairy-free, nut-free, low-carb, high-protein</t>
        </is>
      </c>
      <c r="AB477" s="3" t="inlineStr">
        <is>
          <t>1. Roast cauliflower with a third of the oil at 425°F 22 minutes.
2. Sear seasoned pork; roast 15 minutes; rest, slice.
3. Blend remaining oil, herbs, garlic, vinegar, oregano, pepper flakes; spoon over.</t>
        </is>
      </c>
      <c r="AC477" s="4" t="inlineStr">
        <is>
          <t>["Roast cauliflower with a third of the oil at 425°F 22 minutes.", "Sear seasoned pork; roast 15 minutes; rest, slice.", "Blend remaining oil, herbs, garlic, vinegar, oregano, pepper flakes; spoon over."]</t>
        </is>
      </c>
    </row>
    <row r="478" ht="96" customHeight="1">
      <c r="A478" s="2" t="inlineStr">
        <is>
          <t>DB-0477</t>
        </is>
      </c>
      <c r="B478" s="3" t="inlineStr">
        <is>
          <t>Beef &amp; Cauliflower Shepherd's Skillet</t>
        </is>
      </c>
      <c r="C478" s="4" t="inlineStr">
        <is>
          <t>Beef, Pork &amp; Lamb</t>
        </is>
      </c>
      <c r="D478" s="4" t="inlineStr">
        <is>
          <t>American</t>
        </is>
      </c>
      <c r="E478" s="2" t="n">
        <v>4</v>
      </c>
      <c r="F478" s="2" t="n">
        <v>10</v>
      </c>
      <c r="G478" s="2" t="n">
        <v>25</v>
      </c>
      <c r="H478" s="2" t="n">
        <v>35</v>
      </c>
      <c r="I478" s="4" t="inlineStr">
        <is>
          <t>beef-and-cauliflower-shepherd-s-skillet.jpg</t>
        </is>
      </c>
      <c r="J478" s="3" t="inlineStr">
        <is>
          <t>Beef &amp; Cauliflower Shepherd's Skillet, healthy food photography, plated, natural light</t>
        </is>
      </c>
      <c r="K478" s="4" t="inlineStr"/>
      <c r="L478" s="3" t="inlineStr">
        <is>
          <t>Ground beef 90% lean — 550 g (19.4 oz)
Cauliflower — 600 g (21.2 oz)
Yellow onion — 100 g (3.5 oz)
Carrot — 100 g (3.5 oz)
Green peas — 100 g (3.5 oz)
Garlic — 6 g (0.2 oz)
Tomato paste — 25 g (0.9 oz)
Beef broth, low sodium — 150 g (5.3 oz)
Fresh thyme — 2 g (0.1 oz)
Cheddar cheese — 60 g (2.1 oz)
Extra-virgin olive oil — 10 g (0.4 oz)
Salt — 3 g (0.1 oz)</t>
        </is>
      </c>
      <c r="M478" s="4" t="inlineStr">
        <is>
          <t>[{"ingredient_id": "ground_beef", "name": "Ground beef 90% lean", "grams": 550.0, "note": ""}, {"ingredient_id": "cauliflower", "name": "Cauliflower", "grams": 600.0, "note": ""}, {"ingredient_id": "onion", "name": "Yellow onion", "grams": 100.0, "note": ""}, {"ingredient_id": "carrot", "name": "Carrot", "grams": 100.0, "note": ""}, {"ingredient_id": "green_peas", "name": "Green peas", "grams": 100.0, "note": ""}, {"ingredient_id": "garlic", "name": "Garlic", "grams": 6.0, "note": ""}, {"ingredient_id": "tomato_paste", "name": "Tomato paste", "grams": 25.0, "note": ""}, {"ingredient_id": "beef_broth", "name": "Beef broth, low sodium", "grams": 150.0, "note": ""}, {"ingredient_id": "thyme", "name": "Fresh thyme", "grams": 2.0, "note": ""}, {"ingredient_id": "cheddar", "name": "Cheddar cheese", "grams": 60.0, "note": ""}, {"ingredient_id": "olive_oil", "name": "Extra-virgin olive oil", "grams": 10.0, "note": ""}, {"ingredient_id": "salt", "name": "Salt", "grams": 3.0, "note": ""}]</t>
        </is>
      </c>
      <c r="N478" s="2" t="n">
        <v>413</v>
      </c>
      <c r="O478" s="5" t="n">
        <v>36.5</v>
      </c>
      <c r="P478" s="5" t="n">
        <v>21.9</v>
      </c>
      <c r="Q478" s="5" t="n">
        <v>17.9</v>
      </c>
      <c r="R478" s="5" t="n">
        <v>5.9</v>
      </c>
      <c r="S478" s="5" t="n">
        <v>12</v>
      </c>
      <c r="T478" s="2" t="n">
        <v>24</v>
      </c>
      <c r="U478" s="2" t="inlineStr">
        <is>
          <t>low</t>
        </is>
      </c>
      <c r="V478" s="5" t="n">
        <v>2.9</v>
      </c>
      <c r="W478" s="2" t="inlineStr">
        <is>
          <t>low</t>
        </is>
      </c>
      <c r="X478" s="3" t="inlineStr"/>
      <c r="Y478" s="3" t="inlineStr">
        <is>
          <t>32% of this dish's available carbohydrate comes from ingredients with a published, measured GI; the rest uses conventional placeholders (see Ingredients sheet)</t>
        </is>
      </c>
      <c r="Z478" s="2" t="n">
        <v>32</v>
      </c>
      <c r="AA478" s="3" t="inlineStr">
        <is>
          <t>gluten-free, nut-free, low-carb, high-protein, one-pan</t>
        </is>
      </c>
      <c r="AB478" s="3" t="inlineStr">
        <is>
          <t>1. Brown beef with onion, carrot, garlic; add tomato paste, broth, thyme, peas; simmer 8 minutes.
2. Steam and mash cauliflower; spread over the skillet.
3. Top with cheddar; broil 4 minutes.</t>
        </is>
      </c>
      <c r="AC478" s="4" t="inlineStr">
        <is>
          <t>["Brown beef with onion, carrot, garlic; add tomato paste, broth, thyme, peas; simmer 8 minutes.", "Steam and mash cauliflower; spread over the skillet.", "Top with cheddar; broil 4 minutes."]</t>
        </is>
      </c>
    </row>
    <row r="479" ht="96" customHeight="1">
      <c r="A479" s="2" t="inlineStr">
        <is>
          <t>DB-0478</t>
        </is>
      </c>
      <c r="B479" s="3" t="inlineStr">
        <is>
          <t>Pork Chops with Kale &amp; White Beans</t>
        </is>
      </c>
      <c r="C479" s="4" t="inlineStr">
        <is>
          <t>Beef, Pork &amp; Lamb</t>
        </is>
      </c>
      <c r="D479" s="4" t="inlineStr">
        <is>
          <t>Italian</t>
        </is>
      </c>
      <c r="E479" s="2" t="n">
        <v>4</v>
      </c>
      <c r="F479" s="2" t="n">
        <v>10</v>
      </c>
      <c r="G479" s="2" t="n">
        <v>25</v>
      </c>
      <c r="H479" s="2" t="n">
        <v>35</v>
      </c>
      <c r="I479" s="4" t="inlineStr">
        <is>
          <t>pork-chops-with-kale-and-white-beans.jpg</t>
        </is>
      </c>
      <c r="J479" s="3" t="inlineStr">
        <is>
          <t>Pork Chops with Kale &amp; White Beans, healthy food photography, plated, natural light</t>
        </is>
      </c>
      <c r="K479" s="4" t="inlineStr"/>
      <c r="L479" s="3" t="inlineStr">
        <is>
          <t>Pork loin chop, trimmed — 700 g (24.7 oz)
Kale — 300 g (10.6 oz)
Cannellini beans, cooked — 300 g (10.6 oz)
Garlic — 8 g (0.3 oz)
Chicken broth, low sodium — 100 g (3.5 oz)
Extra-virgin olive oil — 15 g (0.5 oz)
Lemon (with juice &amp; zest) — 30 g (1.1 oz)
Red pepper flakes — 1 g (0.0 oz)
Salt — 3 g (0.1 oz)</t>
        </is>
      </c>
      <c r="M479" s="4" t="inlineStr">
        <is>
          <t>[{"ingredient_id": "pork_chop", "name": "Pork loin chop, trimmed", "grams": 700.0, "note": ""}, {"ingredient_id": "kale", "name": "Kale", "grams": 300.0, "note": ""}, {"ingredient_id": "white_beans", "name": "Cannellini beans, cooked", "grams": 300.0, "note": ""}, {"ingredient_id": "garlic", "name": "Garlic", "grams": 8.0, "note": ""}, {"ingredient_id": "chicken_broth", "name": "Chicken broth, low sodium", "grams": 100.0, "note": ""}, {"ingredient_id": "olive_oil", "name": "Extra-virgin olive oil", "grams": 15.0, "note": ""}, {"ingredient_id": "lemon", "name": "Lemon (with juice &amp; zest)", "grams": 30.0, "note": ""}, {"ingredient_id": "red_pepper_flakes", "name": "Red pepper flakes", "grams": 1.0, "note": ""}, {"ingredient_id": "salt", "name": "Salt", "grams": 3.0, "note": ""}]</t>
        </is>
      </c>
      <c r="N479" s="2" t="n">
        <v>444</v>
      </c>
      <c r="O479" s="5" t="n">
        <v>49.5</v>
      </c>
      <c r="P479" s="5" t="n">
        <v>16.2</v>
      </c>
      <c r="Q479" s="5" t="n">
        <v>27</v>
      </c>
      <c r="R479" s="5" t="n">
        <v>7.7</v>
      </c>
      <c r="S479" s="5" t="n">
        <v>19.2</v>
      </c>
      <c r="T479" s="2" t="n">
        <v>27</v>
      </c>
      <c r="U479" s="2" t="inlineStr">
        <is>
          <t>low</t>
        </is>
      </c>
      <c r="V479" s="5" t="n">
        <v>5.2</v>
      </c>
      <c r="W479" s="2" t="inlineStr">
        <is>
          <t>low</t>
        </is>
      </c>
      <c r="X479" s="3" t="inlineStr"/>
      <c r="Y479" s="3" t="inlineStr">
        <is>
          <t>73% of this dish's available carbohydrate comes from ingredients with a published, measured GI; the rest uses conventional placeholders (see Ingredients sheet)</t>
        </is>
      </c>
      <c r="Z479" s="2" t="n">
        <v>73</v>
      </c>
      <c r="AA479" s="3" t="inlineStr">
        <is>
          <t>gluten-free, dairy-free, nut-free, high-protein, high-fiber</t>
        </is>
      </c>
      <c r="AB479" s="3" t="inlineStr">
        <is>
          <t>1. Season chops; sear 4–5 minutes per side; rest.
2. Sauté garlic and kale in the pan; add beans and broth; simmer 5 minutes.
3. Finish with lemon and pepper flakes; serve with chops.</t>
        </is>
      </c>
      <c r="AC479" s="4" t="inlineStr">
        <is>
          <t>["Season chops; sear 4–5 minutes per side; rest.", "Sauté garlic and kale in the pan; add beans and broth; simmer 5 minutes.", "Finish with lemon and pepper flakes; serve with chops."]</t>
        </is>
      </c>
    </row>
    <row r="480" ht="96" customHeight="1">
      <c r="A480" s="2" t="inlineStr">
        <is>
          <t>DB-0479</t>
        </is>
      </c>
      <c r="B480" s="3" t="inlineStr">
        <is>
          <t>Beef Satay with Cucumber Salad</t>
        </is>
      </c>
      <c r="C480" s="4" t="inlineStr">
        <is>
          <t>Beef, Pork &amp; Lamb</t>
        </is>
      </c>
      <c r="D480" s="4" t="inlineStr">
        <is>
          <t>Thai</t>
        </is>
      </c>
      <c r="E480" s="2" t="n">
        <v>4</v>
      </c>
      <c r="F480" s="2" t="n">
        <v>20</v>
      </c>
      <c r="G480" s="2" t="n">
        <v>8</v>
      </c>
      <c r="H480" s="2" t="n">
        <v>28</v>
      </c>
      <c r="I480" s="4" t="inlineStr">
        <is>
          <t>beef-satay-with-cucumber-salad.jpg</t>
        </is>
      </c>
      <c r="J480" s="3" t="inlineStr">
        <is>
          <t>Beef Satay with Cucumber Salad, healthy food photography, plated, natural light</t>
        </is>
      </c>
      <c r="K480" s="4" t="inlineStr"/>
      <c r="L480" s="3" t="inlineStr">
        <is>
          <t>Flank steak — 600 g (21.2 oz)
Tamari (gluten-free soy sauce) — 25 g (0.9 oz)
Garlic — 6 g (0.2 oz)
Fresh ginger — 6 g (0.2 oz)
Curry powder — 3 g (0.1 oz)
Coconut milk, canned light — 80 g (2.8 oz)
Peanut butter, natural — 40 g (1.4 oz)
Lime juice — 20 g (0.7 oz)
Sriracha — 6 g (0.2 oz)
Cucumber — 300 g (10.6 oz)
Rice vinegar, unseasoned — 15 g (0.5 oz)
Red onion — 30 g (1.1 oz)
Avocado oil — 8 g (0.3 oz)</t>
        </is>
      </c>
      <c r="M480" s="4" t="inlineStr">
        <is>
          <t>[{"ingredient_id": "flank_steak", "name": "Flank steak", "grams": 600.0, "note": ""}, {"ingredient_id": "tamari", "name": "Tamari (gluten-free soy sauce)", "grams": 25.0, "note": ""}, {"ingredient_id": "garlic", "name": "Garlic", "grams": 6.0, "note": ""}, {"ingredient_id": "ginger", "name": "Fresh ginger", "grams": 6.0, "note": ""}, {"ingredient_id": "curry_powder", "name": "Curry powder", "grams": 3.0, "note": ""}, {"ingredient_id": "coconut_milk_light", "name": "Coconut milk, canned light", "grams": 80.0, "note": ""}, {"ingredient_id": "peanut_butter", "name": "Peanut butter, natural", "grams": 40.0, "note": ""}, {"ingredient_id": "lime_juice", "name": "Lime juice", "grams": 20.0, "note": ""}, {"ingredient_id": "sriracha", "name": "Sriracha", "grams": 6.0, "note": ""}, {"ingredient_id": "cucumber", "name": "Cucumber", "grams": 300.0, "note": ""}, {"ingredient_id": "rice_vinegar", "name": "Rice vinegar, unseasoned", "grams": 15.0, "note": ""}, {"ingredient_id": "red_onion", "name": "Red onion", "grams": 30.0, "note": ""}, {"ingredient_id": "avocado_oil", "name": "Avocado oil", "grams": 8.0, "note": ""}]</t>
        </is>
      </c>
      <c r="N480" s="2" t="n">
        <v>342</v>
      </c>
      <c r="O480" s="5" t="n">
        <v>35.7</v>
      </c>
      <c r="P480" s="5" t="n">
        <v>18.9</v>
      </c>
      <c r="Q480" s="5" t="n">
        <v>8.1</v>
      </c>
      <c r="R480" s="5" t="n">
        <v>1.7</v>
      </c>
      <c r="S480" s="5" t="n">
        <v>6.5</v>
      </c>
      <c r="T480" s="2" t="n">
        <v>19</v>
      </c>
      <c r="U480" s="2" t="inlineStr">
        <is>
          <t>low</t>
        </is>
      </c>
      <c r="V480" s="5" t="n">
        <v>1.2</v>
      </c>
      <c r="W480" s="2" t="inlineStr">
        <is>
          <t>low</t>
        </is>
      </c>
      <c r="X480" s="3" t="inlineStr"/>
      <c r="Y480" s="3" t="inlineStr">
        <is>
          <t>0% of this dish's available carbohydrate comes from ingredients with a published, measured GI; the rest uses conventional placeholders (see Ingredients sheet)</t>
        </is>
      </c>
      <c r="Z480" s="2" t="n">
        <v>0</v>
      </c>
      <c r="AA480" s="3" t="inlineStr">
        <is>
          <t>gluten-free, dairy-free, low-carb, high-protein</t>
        </is>
      </c>
      <c r="AB480" s="3" t="inlineStr">
        <is>
          <t>1. Marinate steak strips in tamari, garlic, ginger, curry powder, coconut milk 20 minutes; skewer; grill 3 minutes per side.
2. Whisk peanut butter, lime, sriracha, warm water.
3. Toss cucumber and onion with rice vinegar; serve with satay and sauce.</t>
        </is>
      </c>
      <c r="AC480" s="4" t="inlineStr">
        <is>
          <t>["Marinate steak strips in tamari, garlic, ginger, curry powder, coconut milk 20 minutes; skewer; grill 3 minutes per side.", "Whisk peanut butter, lime, sriracha, warm water.", "Toss cucumber and onion with rice vinegar; serve with satay and sauce."]</t>
        </is>
      </c>
    </row>
    <row r="481" ht="96" customHeight="1">
      <c r="A481" s="2" t="inlineStr">
        <is>
          <t>DB-0480</t>
        </is>
      </c>
      <c r="B481" s="3" t="inlineStr">
        <is>
          <t>Italian Beef Stuffed Mushrooms (Large)</t>
        </is>
      </c>
      <c r="C481" s="4" t="inlineStr">
        <is>
          <t>Beef, Pork &amp; Lamb</t>
        </is>
      </c>
      <c r="D481" s="4" t="inlineStr">
        <is>
          <t>Italian</t>
        </is>
      </c>
      <c r="E481" s="2" t="n">
        <v>4</v>
      </c>
      <c r="F481" s="2" t="n">
        <v>15</v>
      </c>
      <c r="G481" s="2" t="n">
        <v>25</v>
      </c>
      <c r="H481" s="2" t="n">
        <v>40</v>
      </c>
      <c r="I481" s="4" t="inlineStr">
        <is>
          <t>italian-beef-stuffed-mushrooms-large.jpg</t>
        </is>
      </c>
      <c r="J481" s="3" t="inlineStr">
        <is>
          <t>Italian Beef Stuffed Mushrooms (Large), healthy food photography, plated, natural light</t>
        </is>
      </c>
      <c r="K481" s="4" t="inlineStr"/>
      <c r="L481" s="3" t="inlineStr">
        <is>
          <t>Portobello mushrooms — 500 g (17.6 oz) [4 caps]
Ground beef 90% lean — 450 g (15.9 oz)
Marinara sauce, no sugar added — 150 g (5.3 oz)
Yellow onion — 60 g (2.1 oz)
Garlic — 6 g (0.2 oz)
Italian seasoning — 3 g (0.1 oz)
Mozzarella, part-skim — 80 g (2.8 oz)
Parmesan, grated — 20 g (0.7 oz)
Spinach — 80 g (2.8 oz)
Extra-virgin olive oil — 10 g (0.4 oz)</t>
        </is>
      </c>
      <c r="M481" s="4" t="inlineStr">
        <is>
          <t>[{"ingredient_id": "portobello", "name": "Portobello mushrooms", "grams": 500.0, "note": "4 caps"}, {"ingredient_id": "ground_beef", "name": "Ground beef 90% lean", "grams": 450.0, "note": ""}, {"ingredient_id": "marinara", "name": "Marinara sauce, no sugar added", "grams": 150.0, "note": ""}, {"ingredient_id": "onion", "name": "Yellow onion", "grams": 60.0, "note": ""}, {"ingredient_id": "garlic", "name": "Garlic", "grams": 6.0, "note": ""}, {"ingredient_id": "italian_seasoning", "name": "Italian seasoning", "grams": 3.0, "note": ""}, {"ingredient_id": "mozzarella", "name": "Mozzarella, part-skim", "grams": 80.0, "note": ""}, {"ingredient_id": "parmesan", "name": "Parmesan, grated", "grams": 20.0, "note": ""}, {"ingredient_id": "spinach", "name": "Spinach", "grams": 80.0, "note": ""}, {"ingredient_id": "olive_oil", "name": "Extra-virgin olive oil", "grams": 10.0, "note": ""}]</t>
        </is>
      </c>
      <c r="N481" s="2" t="n">
        <v>352</v>
      </c>
      <c r="O481" s="5" t="n">
        <v>33.3</v>
      </c>
      <c r="P481" s="5" t="n">
        <v>20</v>
      </c>
      <c r="Q481" s="5" t="n">
        <v>10.7</v>
      </c>
      <c r="R481" s="5" t="n">
        <v>3.2</v>
      </c>
      <c r="S481" s="5" t="n">
        <v>7.4</v>
      </c>
      <c r="T481" s="2" t="n">
        <v>18</v>
      </c>
      <c r="U481" s="2" t="inlineStr">
        <is>
          <t>low</t>
        </is>
      </c>
      <c r="V481" s="5" t="n">
        <v>1.3</v>
      </c>
      <c r="W481" s="2" t="inlineStr">
        <is>
          <t>low</t>
        </is>
      </c>
      <c r="X481" s="3" t="inlineStr"/>
      <c r="Y481" s="3" t="inlineStr">
        <is>
          <t>18% of this dish's available carbohydrate comes from ingredients with a published, measured GI; the rest uses conventional placeholders (see Ingredients sheet)</t>
        </is>
      </c>
      <c r="Z481" s="2" t="n">
        <v>18</v>
      </c>
      <c r="AA481" s="3" t="inlineStr">
        <is>
          <t>gluten-free, nut-free, low-carb, high-protein</t>
        </is>
      </c>
      <c r="AB481" s="3" t="inlineStr">
        <is>
          <t>1. Brush caps with oil; roast 8 minutes.
2. Brown beef with onion, garlic, seasoning; add spinach and marinara.
3. Fill caps; top with cheeses; bake at 400°F 12 minutes.</t>
        </is>
      </c>
      <c r="AC481" s="4" t="inlineStr">
        <is>
          <t>["Brush caps with oil; roast 8 minutes.", "Brown beef with onion, garlic, seasoning; add spinach and marinara.", "Fill caps; top with cheeses; bake at 400°F 12 minutes."]</t>
        </is>
      </c>
    </row>
    <row r="482" ht="96" customHeight="1">
      <c r="A482" s="2" t="inlineStr">
        <is>
          <t>DB-0481</t>
        </is>
      </c>
      <c r="B482" s="3" t="inlineStr">
        <is>
          <t>Pork Lettuce Cups with Peanut Sauce</t>
        </is>
      </c>
      <c r="C482" s="4" t="inlineStr">
        <is>
          <t>Beef, Pork &amp; Lamb</t>
        </is>
      </c>
      <c r="D482" s="4" t="inlineStr">
        <is>
          <t>Thai</t>
        </is>
      </c>
      <c r="E482" s="2" t="n">
        <v>4</v>
      </c>
      <c r="F482" s="2" t="n">
        <v>10</v>
      </c>
      <c r="G482" s="2" t="n">
        <v>12</v>
      </c>
      <c r="H482" s="2" t="n">
        <v>22</v>
      </c>
      <c r="I482" s="4" t="inlineStr">
        <is>
          <t>pork-lettuce-cups-with-peanut-sauce.jpg</t>
        </is>
      </c>
      <c r="J482" s="3" t="inlineStr">
        <is>
          <t>Pork Lettuce Cups with Peanut Sauce, healthy food photography, plated, natural light</t>
        </is>
      </c>
      <c r="K482" s="4" t="inlineStr"/>
      <c r="L482" s="3" t="inlineStr">
        <is>
          <t>Ground pork, lean — 550 g (19.4 oz)
Garlic — 8 g (0.3 oz)
Fresh ginger — 6 g (0.2 oz)
Tamari (gluten-free soy sauce) — 25 g (0.9 oz)
Lime juice — 20 g (0.7 oz)
Peanut butter, natural — 30 g (1.1 oz)
Sriracha — 6 g (0.2 oz)
Carrot — 80 g (2.8 oz)
Cucumber — 100 g (3.5 oz)
Fresh cilantro — 8 g (0.3 oz)
Butter lettuce — 200 g (7.1 oz)
Peanuts, dry roasted — 15 g (0.5 oz)
Avocado oil — 10 g (0.4 oz)</t>
        </is>
      </c>
      <c r="M482" s="4" t="inlineStr">
        <is>
          <t>[{"ingredient_id": "ground_pork", "name": "Ground pork, lean", "grams": 550.0, "note": ""}, {"ingredient_id": "garlic", "name": "Garlic", "grams": 8.0, "note": ""}, {"ingredient_id": "ginger", "name": "Fresh ginger", "grams": 6.0, "note": ""}, {"ingredient_id": "tamari", "name": "Tamari (gluten-free soy sauce)", "grams": 25.0, "note": ""}, {"ingredient_id": "lime_juice", "name": "Lime juice", "grams": 20.0, "note": ""}, {"ingredient_id": "peanut_butter", "name": "Peanut butter, natural", "grams": 30.0, "note": ""}, {"ingredient_id": "sriracha", "name": "Sriracha", "grams": 6.0, "note": ""}, {"ingredient_id": "carrot", "name": "Carrot", "grams": 80.0, "note": ""}, {"ingredient_id": "cucumber", "name": "Cucumber", "grams": 100.0, "note": ""}, {"ingredient_id": "cilantro", "name": "Fresh cilantro", "grams": 8.0, "note": ""}, {"ingredient_id": "butter_lettuce", "name": "Butter lettuce", "grams": 200.0, "note": ""}, {"ingredient_id": "peanuts", "name": "Peanuts, dry roasted", "grams": 15.0, "note": ""}, {"ingredient_id": "avocado_oil", "name": "Avocado oil", "grams": 10.0, "note": ""}]</t>
        </is>
      </c>
      <c r="N482" s="2" t="n">
        <v>371</v>
      </c>
      <c r="O482" s="5" t="n">
        <v>30.9</v>
      </c>
      <c r="P482" s="5" t="n">
        <v>24.8</v>
      </c>
      <c r="Q482" s="5" t="n">
        <v>8</v>
      </c>
      <c r="R482" s="5" t="n">
        <v>2.2</v>
      </c>
      <c r="S482" s="5" t="n">
        <v>5.8</v>
      </c>
      <c r="T482" s="2" t="n">
        <v>23</v>
      </c>
      <c r="U482" s="2" t="inlineStr">
        <is>
          <t>low</t>
        </is>
      </c>
      <c r="V482" s="5" t="n">
        <v>1.3</v>
      </c>
      <c r="W482" s="2" t="inlineStr">
        <is>
          <t>low</t>
        </is>
      </c>
      <c r="X482" s="3" t="inlineStr"/>
      <c r="Y482" s="3" t="inlineStr">
        <is>
          <t>28% of this dish's available carbohydrate comes from ingredients with a published, measured GI; the rest uses conventional placeholders (see Ingredients sheet)</t>
        </is>
      </c>
      <c r="Z482" s="2" t="n">
        <v>28</v>
      </c>
      <c r="AA482" s="3" t="inlineStr">
        <is>
          <t>gluten-free, dairy-free, low-carb, high-protein, quick</t>
        </is>
      </c>
      <c r="AB482" s="3" t="inlineStr">
        <is>
          <t>1. Brown pork with garlic, ginger, half the tamari.
2. Whisk peanut butter, remaining tamari, lime, sriracha, water.
3. Fill lettuce with pork, carrot, cucumber, cilantro; drizzle sauce; top with peanuts.</t>
        </is>
      </c>
      <c r="AC482" s="4" t="inlineStr">
        <is>
          <t>["Brown pork with garlic, ginger, half the tamari.", "Whisk peanut butter, remaining tamari, lime, sriracha, water.", "Fill lettuce with pork, carrot, cucumber, cilantro; drizzle sauce; top with peanuts."]</t>
        </is>
      </c>
    </row>
    <row r="483" ht="96" customHeight="1">
      <c r="A483" s="2" t="inlineStr">
        <is>
          <t>DB-0482</t>
        </is>
      </c>
      <c r="B483" s="3" t="inlineStr">
        <is>
          <t>Beef Cabbage Stir-Fry</t>
        </is>
      </c>
      <c r="C483" s="4" t="inlineStr">
        <is>
          <t>Beef, Pork &amp; Lamb</t>
        </is>
      </c>
      <c r="D483" s="4" t="inlineStr">
        <is>
          <t>Chinese-American</t>
        </is>
      </c>
      <c r="E483" s="2" t="n">
        <v>4</v>
      </c>
      <c r="F483" s="2" t="n">
        <v>10</v>
      </c>
      <c r="G483" s="2" t="n">
        <v>12</v>
      </c>
      <c r="H483" s="2" t="n">
        <v>22</v>
      </c>
      <c r="I483" s="4" t="inlineStr">
        <is>
          <t>beef-cabbage-stir-fry.jpg</t>
        </is>
      </c>
      <c r="J483" s="3" t="inlineStr">
        <is>
          <t>Beef Cabbage Stir-Fry, healthy food photography, plated, natural light</t>
        </is>
      </c>
      <c r="K483" s="4" t="inlineStr"/>
      <c r="L483" s="3" t="inlineStr">
        <is>
          <t>Ground beef 90% lean — 550 g (19.4 oz)
Green cabbage — 600 g (21.2 oz)
Carrot — 80 g (2.8 oz)
Garlic — 8 g (0.3 oz)
Fresh ginger — 8 g (0.3 oz)
Tamari (gluten-free soy sauce) — 30 g (1.1 oz)
Rice vinegar, unseasoned — 12 g (0.4 oz)
Toasted sesame oil — 10 g (0.4 oz)
Green onions (scallions) — 20 g (0.7 oz)
Avocado oil — 10 g (0.4 oz)</t>
        </is>
      </c>
      <c r="M483" s="4" t="inlineStr">
        <is>
          <t>[{"ingredient_id": "ground_beef", "name": "Ground beef 90% lean", "grams": 550.0, "note": ""}, {"ingredient_id": "cabbage", "name": "Green cabbage", "grams": 600.0, "note": ""}, {"ingredient_id": "carrot", "name": "Carrot", "grams": 80.0,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10.0, "note": ""}, {"ingredient_id": "green_onion", "name": "Green onions (scallions)", "grams": 20.0, "note": ""}, {"ingredient_id": "avocado_oil", "name": "Avocado oil", "grams": 10.0, "note": ""}]</t>
        </is>
      </c>
      <c r="N483" s="2" t="n">
        <v>343</v>
      </c>
      <c r="O483" s="5" t="n">
        <v>30.6</v>
      </c>
      <c r="P483" s="5" t="n">
        <v>19</v>
      </c>
      <c r="Q483" s="5" t="n">
        <v>12.4</v>
      </c>
      <c r="R483" s="5" t="n">
        <v>4.6</v>
      </c>
      <c r="S483" s="5" t="n">
        <v>7.8</v>
      </c>
      <c r="T483" s="2" t="n">
        <v>21</v>
      </c>
      <c r="U483" s="2" t="inlineStr">
        <is>
          <t>low</t>
        </is>
      </c>
      <c r="V483" s="5" t="n">
        <v>1.6</v>
      </c>
      <c r="W483" s="2" t="inlineStr">
        <is>
          <t>low</t>
        </is>
      </c>
      <c r="X483" s="3" t="inlineStr"/>
      <c r="Y483" s="3" t="inlineStr">
        <is>
          <t>17% of this dish's available carbohydrate comes from ingredients with a published, measured GI; the rest uses conventional placeholders (see Ingredients sheet)</t>
        </is>
      </c>
      <c r="Z483" s="2" t="n">
        <v>17</v>
      </c>
      <c r="AA483" s="3" t="inlineStr">
        <is>
          <t>gluten-free, dairy-free, nut-free, low-carb, high-protein, quick</t>
        </is>
      </c>
      <c r="AB483" s="3" t="inlineStr">
        <is>
          <t>1. Brown beef in oil with garlic and ginger.
2. Add cabbage and carrot; stir-fry 5 minutes.
3. Add tamari, vinegar, sesame oil, green onion.</t>
        </is>
      </c>
      <c r="AC483" s="4" t="inlineStr">
        <is>
          <t>["Brown beef in oil with garlic and ginger.", "Add cabbage and carrot; stir-fry 5 minutes.", "Add tamari, vinegar, sesame oil, green onion."]</t>
        </is>
      </c>
    </row>
    <row r="484" ht="96" customHeight="1">
      <c r="A484" s="2" t="inlineStr">
        <is>
          <t>DB-0483</t>
        </is>
      </c>
      <c r="B484" s="3" t="inlineStr">
        <is>
          <t>Lamb &amp; Eggplant Moussaka (Lightened)</t>
        </is>
      </c>
      <c r="C484" s="4" t="inlineStr">
        <is>
          <t>Beef, Pork &amp; Lamb</t>
        </is>
      </c>
      <c r="D484" s="4" t="inlineStr">
        <is>
          <t>Greek</t>
        </is>
      </c>
      <c r="E484" s="2" t="n">
        <v>6</v>
      </c>
      <c r="F484" s="2" t="n">
        <v>25</v>
      </c>
      <c r="G484" s="2" t="n">
        <v>60</v>
      </c>
      <c r="H484" s="2" t="n">
        <v>85</v>
      </c>
      <c r="I484" s="4" t="inlineStr">
        <is>
          <t>lamb-and-eggplant-moussaka-lightened.jpg</t>
        </is>
      </c>
      <c r="J484" s="3" t="inlineStr">
        <is>
          <t>Lamb &amp; Eggplant Moussaka (Lightened), healthy food photography, plated, natural light</t>
        </is>
      </c>
      <c r="K484" s="4" t="inlineStr"/>
      <c r="L484" s="3" t="inlineStr">
        <is>
          <t>Eggplant — 900 g (31.7 oz)
Ground lamb — 600 g (21.2 oz)
Yellow onion — 120 g (4.2 oz)
Garlic — 8 g (0.3 oz)
Crushed tomatoes, canned — 400 g (14.1 oz)
Ground cinnamon — 2 g (0.1 oz)
Dried oregano — 2 g (0.1 oz)
Extra-virgin olive oil — 25 g (0.9 oz)
Greek yogurt, plain 2% — 300 g (10.6 oz)
Egg, large (50 g each) — 100 g (3.5 oz)
Parmesan, grated — 50 g (1.8 oz)
Ground nutmeg — 0.3 g (0.0 oz)
Salt — 4 g (0.1 oz)</t>
        </is>
      </c>
      <c r="M484" s="4" t="inlineStr">
        <is>
          <t>[{"ingredient_id": "eggplant", "name": "Eggplant", "grams": 900.0, "note": ""}, {"ingredient_id": "ground_lamb", "name": "Ground lamb", "grams": 600.0, "note": ""}, {"ingredient_id": "onion", "name": "Yellow onion", "grams": 120.0, "note": ""}, {"ingredient_id": "garlic", "name": "Garlic", "grams": 8.0, "note": ""}, {"ingredient_id": "crushed_tomatoes", "name": "Crushed tomatoes, canned", "grams": 400.0, "note": ""}, {"ingredient_id": "cinnamon", "name": "Ground cinnamon", "grams": 2.0, "note": ""}, {"ingredient_id": "oregano", "name": "Dried oregano", "grams": 2.0, "note": ""}, {"ingredient_id": "olive_oil", "name": "Extra-virgin olive oil", "grams": 25.0, "note": ""}, {"ingredient_id": "greek_yogurt", "name": "Greek yogurt, plain 2%", "grams": 300.0, "note": ""}, {"ingredient_id": "egg", "name": "Egg, large (50 g each)", "grams": 100.0, "note": ""}, {"ingredient_id": "parmesan", "name": "Parmesan, grated", "grams": 50.0, "note": ""}, {"ingredient_id": "nutmeg", "name": "Ground nutmeg", "grams": 0.3, "note": ""}, {"ingredient_id": "salt", "name": "Salt", "grams": 4.0, "note": ""}]</t>
        </is>
      </c>
      <c r="N484" s="2" t="n">
        <v>486</v>
      </c>
      <c r="O484" s="5" t="n">
        <v>30.2</v>
      </c>
      <c r="P484" s="5" t="n">
        <v>32.7</v>
      </c>
      <c r="Q484" s="5" t="n">
        <v>18.9</v>
      </c>
      <c r="R484" s="5" t="n">
        <v>6.5</v>
      </c>
      <c r="S484" s="5" t="n">
        <v>12.5</v>
      </c>
      <c r="T484" s="2" t="n">
        <v>20</v>
      </c>
      <c r="U484" s="2" t="inlineStr">
        <is>
          <t>low</t>
        </is>
      </c>
      <c r="V484" s="5" t="n">
        <v>2.5</v>
      </c>
      <c r="W484" s="2" t="inlineStr">
        <is>
          <t>low</t>
        </is>
      </c>
      <c r="X484" s="3" t="inlineStr"/>
      <c r="Y484" s="3" t="inlineStr">
        <is>
          <t>16% of this dish's available carbohydrate comes from ingredients with a published, measured GI; the rest uses conventional placeholders (see Ingredients sheet)</t>
        </is>
      </c>
      <c r="Z484" s="2" t="n">
        <v>16</v>
      </c>
      <c r="AA484" s="3" t="inlineStr">
        <is>
          <t>gluten-free, nut-free, low-carb, high-protein, make-ahead</t>
        </is>
      </c>
      <c r="AB484" s="3" t="inlineStr">
        <is>
          <t>1. Slice eggplant; brush with oil; roast at 425°F 20 minutes.
2. Brown lamb with onion, garlic; add tomatoes, cinnamon, oregano; simmer 15 minutes.
3. Layer eggplant and lamb; top with yogurt whisked with eggs, parmesan, nutmeg; bake at 375°F 35 minutes.</t>
        </is>
      </c>
      <c r="AC484" s="4" t="inlineStr">
        <is>
          <t>["Slice eggplant; brush with oil; roast at 425°F 20 minutes.", "Brown lamb with onion, garlic; add tomatoes, cinnamon, oregano; simmer 15 minutes.", "Layer eggplant and lamb; top with yogurt whisked with eggs, parmesan, nutmeg; bake at 375°F 35 minutes."]</t>
        </is>
      </c>
    </row>
    <row r="485" ht="96" customHeight="1">
      <c r="A485" s="2" t="inlineStr">
        <is>
          <t>DB-0484</t>
        </is>
      </c>
      <c r="B485" s="3" t="inlineStr">
        <is>
          <t>Cajun Pork Chops with Collard Greens</t>
        </is>
      </c>
      <c r="C485" s="4" t="inlineStr">
        <is>
          <t>Beef, Pork &amp; Lamb</t>
        </is>
      </c>
      <c r="D485" s="4" t="inlineStr">
        <is>
          <t>Southern</t>
        </is>
      </c>
      <c r="E485" s="2" t="n">
        <v>4</v>
      </c>
      <c r="F485" s="2" t="n">
        <v>10</v>
      </c>
      <c r="G485" s="2" t="n">
        <v>30</v>
      </c>
      <c r="H485" s="2" t="n">
        <v>40</v>
      </c>
      <c r="I485" s="4" t="inlineStr">
        <is>
          <t>cajun-pork-chops-with-collard-greens.jpg</t>
        </is>
      </c>
      <c r="J485" s="3" t="inlineStr">
        <is>
          <t>Cajun Pork Chops with Collard Greens, healthy food photography, plated, natural light</t>
        </is>
      </c>
      <c r="K485" s="4" t="inlineStr"/>
      <c r="L485" s="3" t="inlineStr">
        <is>
          <t>Pork loin chop, trimmed — 700 g (24.7 oz)
Cajun seasoning — 8 g (0.3 oz)
Collard greens — 500 g (17.6 oz)
Yellow onion — 100 g (3.5 oz)
Garlic — 8 g (0.3 oz)
Chicken broth, low sodium — 200 g (7.1 oz)
Apple cider vinegar — 15 g (0.5 oz)
Extra-virgin olive oil — 15 g (0.5 oz)
Turkey bacon — 30 g (1.1 oz)</t>
        </is>
      </c>
      <c r="M485" s="4" t="inlineStr">
        <is>
          <t>[{"ingredient_id": "pork_chop", "name": "Pork loin chop, trimmed", "grams": 700.0, "note": ""}, {"ingredient_id": "cajun_seasoning", "name": "Cajun seasoning", "grams": 8.0, "note": ""}, {"ingredient_id": "collard_greens", "name": "Collard greens", "grams": 500.0, "note": ""}, {"ingredient_id": "onion", "name": "Yellow onion", "grams": 100.0, "note": ""}, {"ingredient_id": "garlic", "name": "Garlic", "grams": 8.0, "note": ""}, {"ingredient_id": "chicken_broth", "name": "Chicken broth, low sodium", "grams": 200.0, "note": ""}, {"ingredient_id": "apple_cider_vinegar", "name": "Apple cider vinegar", "grams": 15.0, "note": ""}, {"ingredient_id": "olive_oil", "name": "Extra-virgin olive oil", "grams": 15.0, "note": ""}, {"ingredient_id": "turkey_bacon", "name": "Turkey bacon", "grams": 30.0, "note": ""}]</t>
        </is>
      </c>
      <c r="N485" s="2" t="n">
        <v>375</v>
      </c>
      <c r="O485" s="5" t="n">
        <v>44.7</v>
      </c>
      <c r="P485" s="5" t="n">
        <v>17.3</v>
      </c>
      <c r="Q485" s="5" t="n">
        <v>11.3</v>
      </c>
      <c r="R485" s="5" t="n">
        <v>6</v>
      </c>
      <c r="S485" s="5" t="n">
        <v>5.3</v>
      </c>
      <c r="T485" s="2" t="n">
        <v>16</v>
      </c>
      <c r="U485" s="2" t="inlineStr">
        <is>
          <t>low</t>
        </is>
      </c>
      <c r="V485" s="5" t="n">
        <v>0.8</v>
      </c>
      <c r="W485" s="2" t="inlineStr">
        <is>
          <t>low</t>
        </is>
      </c>
      <c r="X485" s="3" t="inlineStr"/>
      <c r="Y485" s="3" t="inlineStr">
        <is>
          <t>0% of this dish's available carbohydrate comes from ingredients with a published, measured GI; the rest uses conventional placeholders (see Ingredients sheet)</t>
        </is>
      </c>
      <c r="Z485" s="2" t="n">
        <v>0</v>
      </c>
      <c r="AA485" s="3" t="inlineStr">
        <is>
          <t>gluten-free, dairy-free, nut-free, low-carb, high-protein</t>
        </is>
      </c>
      <c r="AB485" s="3" t="inlineStr">
        <is>
          <t>1. Sauté bacon, onion, garlic; add collards, broth, vinegar; simmer covered 20 minutes.
2. Rub chops with Cajun seasoning; sear 4–5 minutes per side.
3. Serve chops over greens.</t>
        </is>
      </c>
      <c r="AC485" s="4" t="inlineStr">
        <is>
          <t>["Sauté bacon, onion, garlic; add collards, broth, vinegar; simmer covered 20 minutes.", "Rub chops with Cajun seasoning; sear 4–5 minutes per side.", "Serve chops over greens."]</t>
        </is>
      </c>
    </row>
    <row r="486" ht="96" customHeight="1">
      <c r="A486" s="2" t="inlineStr">
        <is>
          <t>DB-0485</t>
        </is>
      </c>
      <c r="B486" s="3" t="inlineStr">
        <is>
          <t>Beef &amp; Vegetable Skillet with Sweet Potato</t>
        </is>
      </c>
      <c r="C486" s="4" t="inlineStr">
        <is>
          <t>Beef, Pork &amp; Lamb</t>
        </is>
      </c>
      <c r="D486" s="4" t="inlineStr">
        <is>
          <t>American</t>
        </is>
      </c>
      <c r="E486" s="2" t="n">
        <v>4</v>
      </c>
      <c r="F486" s="2" t="n">
        <v>10</v>
      </c>
      <c r="G486" s="2" t="n">
        <v>25</v>
      </c>
      <c r="H486" s="2" t="n">
        <v>35</v>
      </c>
      <c r="I486" s="4" t="inlineStr">
        <is>
          <t>beef-and-vegetable-skillet-with-sweet-potato.jpg</t>
        </is>
      </c>
      <c r="J486" s="3" t="inlineStr">
        <is>
          <t>Beef &amp; Vegetable Skillet with Sweet Potato, healthy food photography, plated, natural light</t>
        </is>
      </c>
      <c r="K486" s="4" t="inlineStr"/>
      <c r="L486" s="3" t="inlineStr">
        <is>
          <t>Ground beef 90% lean — 500 g (17.6 oz)
Sweet potato, boiled/simmered — 300 g (10.6 oz)
Bell pepper — 200 g (7.1 oz)
Yellow onion — 100 g (3.5 oz)
Kale — 150 g (5.3 oz)
Garlic — 6 g (0.2 oz)
Smoked paprika — 3 g (0.1 oz)
Ground cumin — 2 g (0.1 oz)
Extra-virgin olive oil — 15 g (0.5 oz)
Avocado — 80 g (2.8 oz)
Salt — 3 g (0.1 oz)</t>
        </is>
      </c>
      <c r="M486" s="4" t="inlineStr">
        <is>
          <t>[{"ingredient_id": "ground_beef", "name": "Ground beef 90% lean", "grams": 500.0, "note": ""}, {"ingredient_id": "sweet_potato", "name": "Sweet potato, boiled/simmered", "grams": 300.0, "note": ""}, {"ingredient_id": "bell_pepper", "name": "Bell pepper", "grams": 200.0, "note": ""}, {"ingredient_id": "onion", "name": "Yellow onion", "grams": 100.0, "note": ""}, {"ingredient_id": "kale", "name": "Kale", "grams": 150.0, "note": ""}, {"ingredient_id": "garlic", "name": "Garlic", "grams": 6.0, "note": ""}, {"ingredient_id": "smoked_paprika", "name": "Smoked paprika", "grams": 3.0, "note": ""}, {"ingredient_id": "cumin", "name": "Ground cumin", "grams": 2.0, "note": ""}, {"ingredient_id": "olive_oil", "name": "Extra-virgin olive oil", "grams": 15.0, "note": ""}, {"ingredient_id": "avocado", "name": "Avocado", "grams": 80.0, "note": ""}, {"ingredient_id": "salt", "name": "Salt", "grams": 3.0, "note": ""}]</t>
        </is>
      </c>
      <c r="N486" s="2" t="n">
        <v>400</v>
      </c>
      <c r="O486" s="5" t="n">
        <v>29.3</v>
      </c>
      <c r="P486" s="5" t="n">
        <v>20.1</v>
      </c>
      <c r="Q486" s="5" t="n">
        <v>26.4</v>
      </c>
      <c r="R486" s="5" t="n">
        <v>6.8</v>
      </c>
      <c r="S486" s="5" t="n">
        <v>19.7</v>
      </c>
      <c r="T486" s="2" t="n">
        <v>35</v>
      </c>
      <c r="U486" s="2" t="inlineStr">
        <is>
          <t>low</t>
        </is>
      </c>
      <c r="V486" s="5" t="n">
        <v>6.9</v>
      </c>
      <c r="W486" s="2" t="inlineStr">
        <is>
          <t>low</t>
        </is>
      </c>
      <c r="X486" s="3" t="inlineStr"/>
      <c r="Y486" s="3" t="inlineStr">
        <is>
          <t>65% of this dish's available carbohydrate comes from ingredients with a published, measured GI; the rest uses conventional placeholders (see Ingredients sheet)</t>
        </is>
      </c>
      <c r="Z486" s="2" t="n">
        <v>65</v>
      </c>
      <c r="AA486" s="3" t="inlineStr">
        <is>
          <t>gluten-free, dairy-free, nut-free, high-protein, one-pan</t>
        </is>
      </c>
      <c r="AB486" s="3" t="inlineStr">
        <is>
          <t>1. Sauté diced sweet potato in oil covered 8 minutes.
2. Add beef, pepper, onion, garlic, spices; cook 8 minutes.
3. Stir in kale; top with avocado.</t>
        </is>
      </c>
      <c r="AC486" s="4" t="inlineStr">
        <is>
          <t>["Sauté diced sweet potato in oil covered 8 minutes.", "Add beef, pepper, onion, garlic, spices; cook 8 minutes.", "Stir in kale; top with avocado."]</t>
        </is>
      </c>
    </row>
    <row r="487" ht="96" customHeight="1">
      <c r="A487" s="2" t="inlineStr">
        <is>
          <t>DB-0486</t>
        </is>
      </c>
      <c r="B487" s="3" t="inlineStr">
        <is>
          <t>Pork Chops with Creamy Dijon Sauce</t>
        </is>
      </c>
      <c r="C487" s="4" t="inlineStr">
        <is>
          <t>Beef, Pork &amp; Lamb</t>
        </is>
      </c>
      <c r="D487" s="4" t="inlineStr">
        <is>
          <t>French</t>
        </is>
      </c>
      <c r="E487" s="2" t="n">
        <v>4</v>
      </c>
      <c r="F487" s="2" t="n">
        <v>5</v>
      </c>
      <c r="G487" s="2" t="n">
        <v>20</v>
      </c>
      <c r="H487" s="2" t="n">
        <v>25</v>
      </c>
      <c r="I487" s="4" t="inlineStr">
        <is>
          <t>pork-chops-with-creamy-dijon-sauce.jpg</t>
        </is>
      </c>
      <c r="J487" s="3" t="inlineStr">
        <is>
          <t>Pork Chops with Creamy Dijon Sauce, healthy food photography, plated, natural light</t>
        </is>
      </c>
      <c r="K487" s="4" t="inlineStr"/>
      <c r="L487" s="3" t="inlineStr">
        <is>
          <t>Pork loin chop, trimmed — 700 g (24.7 oz)
Shallot — 40 g (1.4 oz)
Garlic — 6 g (0.2 oz)
Chicken broth, low sodium — 150 g (5.3 oz)
Dijon mustard — 25 g (0.9 oz)
Greek yogurt, plain 2% — 100 g (3.5 oz)
Fresh thyme — 2 g (0.1 oz)
Extra-virgin olive oil — 15 g (0.5 oz)
Broccoli — 500 g (17.6 oz)
Salt — 3 g (0.1 oz)</t>
        </is>
      </c>
      <c r="M487" s="4" t="inlineStr">
        <is>
          <t>[{"ingredient_id": "pork_chop", "name": "Pork loin chop, trimmed", "grams": 700.0, "note": ""}, {"ingredient_id": "shallot", "name": "Shallot", "grams": 40.0, "note": ""}, {"ingredient_id": "garlic", "name": "Garlic", "grams": 6.0, "note": ""}, {"ingredient_id": "chicken_broth", "name": "Chicken broth, low sodium", "grams": 150.0, "note": ""}, {"ingredient_id": "dijon", "name": "Dijon mustard", "grams": 25.0, "note": ""}, {"ingredient_id": "greek_yogurt", "name": "Greek yogurt, plain 2%", "grams": 100.0, "note": ""}, {"ingredient_id": "thyme", "name": "Fresh thyme", "grams": 2.0, "note": ""}, {"ingredient_id": "olive_oil", "name": "Extra-virgin olive oil", "grams": 15.0, "note": ""}, {"ingredient_id": "broccoli", "name": "Broccoli", "grams": 500.0, "note": ""}, {"ingredient_id": "salt", "name": "Salt", "grams": 3.0, "note": ""}]</t>
        </is>
      </c>
      <c r="N487" s="2" t="n">
        <v>373</v>
      </c>
      <c r="O487" s="5" t="n">
        <v>45.5</v>
      </c>
      <c r="P487" s="5" t="n">
        <v>16.4</v>
      </c>
      <c r="Q487" s="5" t="n">
        <v>12.1</v>
      </c>
      <c r="R487" s="5" t="n">
        <v>3.9</v>
      </c>
      <c r="S487" s="5" t="n">
        <v>8.199999999999999</v>
      </c>
      <c r="T487" s="2" t="n">
        <v>15</v>
      </c>
      <c r="U487" s="2" t="inlineStr">
        <is>
          <t>low</t>
        </is>
      </c>
      <c r="V487" s="5" t="n">
        <v>1.2</v>
      </c>
      <c r="W487" s="2" t="inlineStr">
        <is>
          <t>low</t>
        </is>
      </c>
      <c r="X487" s="3" t="inlineStr"/>
      <c r="Y487" s="3" t="inlineStr">
        <is>
          <t>12% of this dish's available carbohydrate comes from ingredients with a published, measured GI; the rest uses conventional placeholders (see Ingredients sheet)</t>
        </is>
      </c>
      <c r="Z487" s="2" t="n">
        <v>12</v>
      </c>
      <c r="AA487" s="3" t="inlineStr">
        <is>
          <t>gluten-free, nut-free, low-carb, high-protein</t>
        </is>
      </c>
      <c r="AB487" s="3" t="inlineStr">
        <is>
          <t>1. Sear seasoned chops; remove.
2. Sauté shallot and garlic; add broth, Dijon, thyme; reduce; stir in yogurt off heat.
3. Return chops to coat; serve with steamed broccoli.</t>
        </is>
      </c>
      <c r="AC487" s="4" t="inlineStr">
        <is>
          <t>["Sear seasoned chops; remove.", "Sauté shallot and garlic; add broth, Dijon, thyme; reduce; stir in yogurt off heat.", "Return chops to coat; serve with steamed broccoli."]</t>
        </is>
      </c>
    </row>
    <row r="488" ht="96" customHeight="1">
      <c r="A488" s="2" t="inlineStr">
        <is>
          <t>DB-0487</t>
        </is>
      </c>
      <c r="B488" s="3" t="inlineStr">
        <is>
          <t>Ground Beef Zucchini Skillet with Feta</t>
        </is>
      </c>
      <c r="C488" s="4" t="inlineStr">
        <is>
          <t>Beef, Pork &amp; Lamb</t>
        </is>
      </c>
      <c r="D488" s="4" t="inlineStr">
        <is>
          <t>Greek</t>
        </is>
      </c>
      <c r="E488" s="2" t="n">
        <v>4</v>
      </c>
      <c r="F488" s="2" t="n">
        <v>10</v>
      </c>
      <c r="G488" s="2" t="n">
        <v>20</v>
      </c>
      <c r="H488" s="2" t="n">
        <v>30</v>
      </c>
      <c r="I488" s="4" t="inlineStr">
        <is>
          <t>ground-beef-zucchini-skillet-with-feta.jpg</t>
        </is>
      </c>
      <c r="J488" s="3" t="inlineStr">
        <is>
          <t>Ground Beef Zucchini Skillet with Feta, healthy food photography, plated, natural light</t>
        </is>
      </c>
      <c r="K488" s="4" t="inlineStr"/>
      <c r="L488" s="3" t="inlineStr">
        <is>
          <t>Ground beef 90% lean — 550 g (19.4 oz)
Zucchini — 500 g (17.6 oz)
Yellow onion — 100 g (3.5 oz)
Garlic — 8 g (0.3 oz)
Diced tomatoes, canned — 400 g (14.1 oz)
Dried oregano — 3 g (0.1 oz)
Feta cheese — 60 g (2.1 oz)
Extra-virgin olive oil — 10 g (0.4 oz)
Fresh parsley — 6 g (0.2 oz)</t>
        </is>
      </c>
      <c r="M488" s="4" t="inlineStr">
        <is>
          <t>[{"ingredient_id": "ground_beef", "name": "Ground beef 90% lean", "grams": 550.0, "note": ""}, {"ingredient_id": "zucchini", "name": "Zucchini", "grams": 500.0, "note": ""}, {"ingredient_id": "onion", "name": "Yellow onion", "grams": 100.0, "note": ""}, {"ingredient_id": "garlic", "name": "Garlic", "grams": 8.0, "note": ""}, {"ingredient_id": "diced_tomatoes", "name": "Diced tomatoes, canned", "grams": 400.0, "note": ""}, {"ingredient_id": "oregano", "name": "Dried oregano", "grams": 3.0, "note": ""}, {"ingredient_id": "feta", "name": "Feta cheese", "grams": 60.0, "note": ""}, {"ingredient_id": "olive_oil", "name": "Extra-virgin olive oil", "grams": 10.0, "note": ""}, {"ingredient_id": "parsley", "name": "Fresh parsley", "grams": 6.0, "note": ""}]</t>
        </is>
      </c>
      <c r="N488" s="2" t="n">
        <v>364</v>
      </c>
      <c r="O488" s="5" t="n">
        <v>32.8</v>
      </c>
      <c r="P488" s="5" t="n">
        <v>20.1</v>
      </c>
      <c r="Q488" s="5" t="n">
        <v>13.1</v>
      </c>
      <c r="R488" s="5" t="n">
        <v>3.6</v>
      </c>
      <c r="S488" s="5" t="n">
        <v>9.5</v>
      </c>
      <c r="T488" s="2" t="n">
        <v>22</v>
      </c>
      <c r="U488" s="2" t="inlineStr">
        <is>
          <t>low</t>
        </is>
      </c>
      <c r="V488" s="5" t="n">
        <v>2.1</v>
      </c>
      <c r="W488" s="2" t="inlineStr">
        <is>
          <t>low</t>
        </is>
      </c>
      <c r="X488" s="3" t="inlineStr"/>
      <c r="Y488" s="3" t="inlineStr">
        <is>
          <t>0% of this dish's available carbohydrate comes from ingredients with a published, measured GI; the rest uses conventional placeholders (see Ingredients sheet)</t>
        </is>
      </c>
      <c r="Z488" s="2" t="n">
        <v>0</v>
      </c>
      <c r="AA488" s="3" t="inlineStr">
        <is>
          <t>gluten-free, nut-free, low-carb, high-protein, one-pan</t>
        </is>
      </c>
      <c r="AB488" s="3" t="inlineStr">
        <is>
          <t>1. Brown beef with onion and garlic.
2. Add zucchini, tomatoes, oregano; simmer 10 minutes.
3. Top with feta and parsley.</t>
        </is>
      </c>
      <c r="AC488" s="4" t="inlineStr">
        <is>
          <t>["Brown beef with onion and garlic.", "Add zucchini, tomatoes, oregano; simmer 10 minutes.", "Top with feta and parsley."]</t>
        </is>
      </c>
    </row>
    <row r="489" ht="96" customHeight="1">
      <c r="A489" s="2" t="inlineStr">
        <is>
          <t>DB-0488</t>
        </is>
      </c>
      <c r="B489" s="3" t="inlineStr">
        <is>
          <t>Pork Tenderloin Banh Mi Bowls</t>
        </is>
      </c>
      <c r="C489" s="4" t="inlineStr">
        <is>
          <t>Beef, Pork &amp; Lamb</t>
        </is>
      </c>
      <c r="D489" s="4" t="inlineStr">
        <is>
          <t>Vietnamese</t>
        </is>
      </c>
      <c r="E489" s="2" t="n">
        <v>4</v>
      </c>
      <c r="F489" s="2" t="n">
        <v>15</v>
      </c>
      <c r="G489" s="2" t="n">
        <v>20</v>
      </c>
      <c r="H489" s="2" t="n">
        <v>35</v>
      </c>
      <c r="I489" s="4" t="inlineStr">
        <is>
          <t>pork-tenderloin-banh-mi-bowls.jpg</t>
        </is>
      </c>
      <c r="J489" s="3" t="inlineStr">
        <is>
          <t>Pork Tenderloin Banh Mi Bowls, healthy food photography, plated, natural light</t>
        </is>
      </c>
      <c r="K489" s="4" t="inlineStr"/>
      <c r="L489" s="3" t="inlineStr">
        <is>
          <t>Pork tenderloin — 600 g (21.2 oz)
Tamari (gluten-free soy sauce) — 25 g (0.9 oz)
Garlic — 8 g (0.3 oz)
Fish sauce — 10 g (0.4 oz)
Carrot — 120 g (4.2 oz)
Daikon radish — 120 g (4.2 oz)
Rice vinegar, unseasoned — 30 g (1.1 oz)
Cucumber — 150 g (5.3 oz)
Jalapeño — 15 g (0.5 oz)
Fresh cilantro — 10 g (0.4 oz)
Mayonnaise (avocado oil) — 20 g (0.7 oz)
Sriracha — 8 g (0.3 oz)
Cauliflower rice — 500 g (17.6 oz)
Avocado oil — 10 g (0.4 oz)</t>
        </is>
      </c>
      <c r="M489" s="4" t="inlineStr">
        <is>
          <t>[{"ingredient_id": "pork_tenderloin", "name": "Pork tenderloin", "grams": 600.0, "note": ""}, {"ingredient_id": "tamari", "name": "Tamari (gluten-free soy sauce)", "grams": 25.0, "note": ""}, {"ingredient_id": "garlic", "name": "Garlic", "grams": 8.0, "note": ""}, {"ingredient_id": "fish_sauce", "name": "Fish sauce", "grams": 10.0, "note": ""}, {"ingredient_id": "carrot", "name": "Carrot", "grams": 120.0, "note": ""}, {"ingredient_id": "daikon", "name": "Daikon radish", "grams": 120.0, "note": ""}, {"ingredient_id": "rice_vinegar", "name": "Rice vinegar, unseasoned", "grams": 30.0, "note": ""}, {"ingredient_id": "cucumber", "name": "Cucumber", "grams": 150.0, "note": ""}, {"ingredient_id": "jalapeno", "name": "Jalapeño", "grams": 15.0, "note": ""}, {"ingredient_id": "cilantro", "name": "Fresh cilantro", "grams": 10.0, "note": ""}, {"ingredient_id": "mayo", "name": "Mayonnaise (avocado oil)", "grams": 20.0, "note": ""}, {"ingredient_id": "sriracha", "name": "Sriracha", "grams": 8.0, "note": ""}, {"ingredient_id": "cauliflower_rice", "name": "Cauliflower rice", "grams": 500.0, "note": ""}, {"ingredient_id": "avocado_oil", "name": "Avocado oil", "grams": 10.0, "note": ""}]</t>
        </is>
      </c>
      <c r="N489" s="2" t="n">
        <v>304</v>
      </c>
      <c r="O489" s="5" t="n">
        <v>35.6</v>
      </c>
      <c r="P489" s="5" t="n">
        <v>12.2</v>
      </c>
      <c r="Q489" s="5" t="n">
        <v>13.5</v>
      </c>
      <c r="R489" s="5" t="n">
        <v>4.3</v>
      </c>
      <c r="S489" s="5" t="n">
        <v>9.199999999999999</v>
      </c>
      <c r="T489" s="2" t="n">
        <v>22</v>
      </c>
      <c r="U489" s="2" t="inlineStr">
        <is>
          <t>low</t>
        </is>
      </c>
      <c r="V489" s="5" t="n">
        <v>2</v>
      </c>
      <c r="W489" s="2" t="inlineStr">
        <is>
          <t>low</t>
        </is>
      </c>
      <c r="X489" s="3" t="inlineStr"/>
      <c r="Y489" s="3" t="inlineStr">
        <is>
          <t>22% of this dish's available carbohydrate comes from ingredients with a published, measured GI; the rest uses conventional placeholders (see Ingredients sheet)</t>
        </is>
      </c>
      <c r="Z489" s="2" t="n">
        <v>22</v>
      </c>
      <c r="AA489" s="3" t="inlineStr">
        <is>
          <t>gluten-free, dairy-free, nut-free, low-carb, high-protein</t>
        </is>
      </c>
      <c r="AB489" s="3" t="inlineStr">
        <is>
          <t>1. Marinate pork slices in tamari, garlic, fish sauce; sear in oil.
2. Quick-pickle shredded carrot and daikon in rice vinegar 15 minutes.
3. Bowl cauliflower rice, pork, pickles, cucumber, jalapeño, cilantro, sriracha mayo.</t>
        </is>
      </c>
      <c r="AC489" s="4" t="inlineStr">
        <is>
          <t>["Marinate pork slices in tamari, garlic, fish sauce; sear in oil.", "Quick-pickle shredded carrot and daikon in rice vinegar 15 minutes.", "Bowl cauliflower rice, pork, pickles, cucumber, jalapeño, cilantro, sriracha mayo."]</t>
        </is>
      </c>
    </row>
    <row r="490" ht="96" customHeight="1">
      <c r="A490" s="2" t="inlineStr">
        <is>
          <t>DB-0489</t>
        </is>
      </c>
      <c r="B490" s="3" t="inlineStr">
        <is>
          <t>Beef &amp; Black Bean Chili Verde</t>
        </is>
      </c>
      <c r="C490" s="4" t="inlineStr">
        <is>
          <t>Beef, Pork &amp; Lamb</t>
        </is>
      </c>
      <c r="D490" s="4" t="inlineStr">
        <is>
          <t>Tex-Mex</t>
        </is>
      </c>
      <c r="E490" s="2" t="n">
        <v>5</v>
      </c>
      <c r="F490" s="2" t="n">
        <v>10</v>
      </c>
      <c r="G490" s="2" t="n">
        <v>40</v>
      </c>
      <c r="H490" s="2" t="n">
        <v>50</v>
      </c>
      <c r="I490" s="4" t="inlineStr">
        <is>
          <t>beef-and-black-bean-chili-verde.jpg</t>
        </is>
      </c>
      <c r="J490" s="3" t="inlineStr">
        <is>
          <t>Beef &amp; Black Bean Chili Verde, healthy food photography, plated, natural light</t>
        </is>
      </c>
      <c r="K490" s="4" t="inlineStr"/>
      <c r="L490" s="3" t="inlineStr">
        <is>
          <t>Ground beef 90% lean — 600 g (21.2 oz)
Black beans, cooked — 400 g (14.1 oz)
Salsa verde — 400 g (14.1 oz)
Diced green chiles, canned — 100 g (3.5 oz)
Yellow onion — 120 g (4.2 oz)
Garlic — 8 g (0.3 oz)
Ground cumin — 5 g (0.2 oz)
Chicken broth, low sodium — 300 g (10.6 oz)
Extra-virgin olive oil — 10 g (0.4 oz)
Fresh cilantro — 8 g (0.3 oz)
Greek yogurt, plain 2% — 80 g (2.8 oz)
Salt — 3 g (0.1 oz)</t>
        </is>
      </c>
      <c r="M490" s="4" t="inlineStr">
        <is>
          <t>[{"ingredient_id": "ground_beef", "name": "Ground beef 90% lean", "grams": 600.0, "note": ""}, {"ingredient_id": "black_beans", "name": "Black beans, cooked", "grams": 400.0, "note": ""}, {"ingredient_id": "salsa_verde", "name": "Salsa verde", "grams": 400.0, "note": ""}, {"ingredient_id": "green_chiles", "name": "Diced green chiles, canned", "grams": 100.0, "note": ""}, {"ingredient_id": "onion", "name": "Yellow onion", "grams": 120.0, "note": ""}, {"ingredient_id": "garlic", "name": "Garlic", "grams": 8.0, "note": ""}, {"ingredient_id": "cumin", "name": "Ground cumin", "grams": 5.0, "note": ""}, {"ingredient_id": "chicken_broth", "name": "Chicken broth, low sodium", "grams": 300.0, "note": ""}, {"ingredient_id": "olive_oil", "name": "Extra-virgin olive oil", "grams": 10.0, "note": ""}, {"ingredient_id": "cilantro", "name": "Fresh cilantro", "grams": 8.0, "note": ""}, {"ingredient_id": "greek_yogurt", "name": "Greek yogurt, plain 2%", "grams": 80.0, "note": ""}, {"ingredient_id": "salt", "name": "Salt", "grams": 3.0, "note": ""}]</t>
        </is>
      </c>
      <c r="N490" s="2" t="n">
        <v>394</v>
      </c>
      <c r="O490" s="5" t="n">
        <v>34.9</v>
      </c>
      <c r="P490" s="5" t="n">
        <v>15.5</v>
      </c>
      <c r="Q490" s="5" t="n">
        <v>28.9</v>
      </c>
      <c r="R490" s="5" t="n">
        <v>9.1</v>
      </c>
      <c r="S490" s="5" t="n">
        <v>19.8</v>
      </c>
      <c r="T490" s="2" t="n">
        <v>27</v>
      </c>
      <c r="U490" s="2" t="inlineStr">
        <is>
          <t>low</t>
        </is>
      </c>
      <c r="V490" s="5" t="n">
        <v>5.3</v>
      </c>
      <c r="W490" s="2" t="inlineStr">
        <is>
          <t>low</t>
        </is>
      </c>
      <c r="X490" s="3" t="inlineStr"/>
      <c r="Y490" s="3" t="inlineStr">
        <is>
          <t>64% of this dish's available carbohydrate comes from ingredients with a published, measured GI; the rest uses conventional placeholders (see Ingredients sheet)</t>
        </is>
      </c>
      <c r="Z490" s="2" t="n">
        <v>64</v>
      </c>
      <c r="AA490" s="3" t="inlineStr">
        <is>
          <t>gluten-free, nut-free, high-protein, high-fiber, make-ahead</t>
        </is>
      </c>
      <c r="AB490" s="3" t="inlineStr">
        <is>
          <t>1. Brown beef with onion, garlic, cumin.
2. Add salsa verde, chiles, beans, broth; simmer 30 minutes.
3. Serve with cilantro and yogurt.</t>
        </is>
      </c>
      <c r="AC490" s="4" t="inlineStr">
        <is>
          <t>["Brown beef with onion, garlic, cumin.", "Add salsa verde, chiles, beans, broth; simmer 30 minutes.", "Serve with cilantro and yogurt."]</t>
        </is>
      </c>
    </row>
    <row r="491" ht="96" customHeight="1">
      <c r="A491" s="2" t="inlineStr">
        <is>
          <t>DB-0490</t>
        </is>
      </c>
      <c r="B491" s="3" t="inlineStr">
        <is>
          <t>Pork Schnitzel (Almond Crust) with Cucumber Salad</t>
        </is>
      </c>
      <c r="C491" s="4" t="inlineStr">
        <is>
          <t>Beef, Pork &amp; Lamb</t>
        </is>
      </c>
      <c r="D491" s="4" t="inlineStr">
        <is>
          <t>German</t>
        </is>
      </c>
      <c r="E491" s="2" t="n">
        <v>4</v>
      </c>
      <c r="F491" s="2" t="n">
        <v>15</v>
      </c>
      <c r="G491" s="2" t="n">
        <v>15</v>
      </c>
      <c r="H491" s="2" t="n">
        <v>30</v>
      </c>
      <c r="I491" s="4" t="inlineStr">
        <is>
          <t>pork-schnitzel-almond-crust-with-cucumber-salad.jpg</t>
        </is>
      </c>
      <c r="J491" s="3" t="inlineStr">
        <is>
          <t>Pork Schnitzel (Almond Crust) with Cucumber Salad, healthy food photography, plated, natural light</t>
        </is>
      </c>
      <c r="K491" s="4" t="inlineStr"/>
      <c r="L491" s="3" t="inlineStr">
        <is>
          <t>Pork loin chop, trimmed — 600 g (21.2 oz) [pounded thin]
Almond flour — 70 g (2.5 oz)
Parmesan, grated — 30 g (1.1 oz)
Egg, large (50 g each) — 100 g (3.5 oz)
Paprika — 2 g (0.1 oz)
Extra-virgin olive oil — 25 g (0.9 oz)
Cucumber — 300 g (10.6 oz)
Greek yogurt, plain 2% — 80 g (2.8 oz)
Fresh dill — 6 g (0.2 oz)
White wine vinegar — 10 g (0.4 oz)
Lemon (with juice &amp; zest) — 30 g (1.1 oz)
Salt — 3 g (0.1 oz)</t>
        </is>
      </c>
      <c r="M491" s="4" t="inlineStr">
        <is>
          <t>[{"ingredient_id": "pork_chop", "name": "Pork loin chop, trimmed", "grams": 600.0, "note": "pounded thin"}, {"ingredient_id": "almond_flour", "name": "Almond flour", "grams": 70.0, "note": ""}, {"ingredient_id": "parmesan", "name": "Parmesan, grated", "grams": 30.0, "note": ""}, {"ingredient_id": "egg", "name": "Egg, large (50 g each)", "grams": 100.0, "note": ""}, {"ingredient_id": "paprika", "name": "Paprika", "grams": 2.0, "note": ""}, {"ingredient_id": "olive_oil", "name": "Extra-virgin olive oil", "grams": 25.0, "note": ""}, {"ingredient_id": "cucumber", "name": "Cucumber", "grams": 300.0, "note": ""}, {"ingredient_id": "greek_yogurt", "name": "Greek yogurt, plain 2%", "grams": 80.0, "note": ""}, {"ingredient_id": "dill", "name": "Fresh dill", "grams": 6.0, "note": ""}, {"ingredient_id": "white_wine_vinegar", "name": "White wine vinegar", "grams": 10.0, "note": ""}, {"ingredient_id": "lemon", "name": "Lemon (with juice &amp; zest)", "grams": 30.0, "note": ""}, {"ingredient_id": "salt", "name": "Salt", "grams": 3.0, "note": ""}]</t>
        </is>
      </c>
      <c r="N491" s="2" t="n">
        <v>482</v>
      </c>
      <c r="O491" s="5" t="n">
        <v>45.4</v>
      </c>
      <c r="P491" s="5" t="n">
        <v>29.9</v>
      </c>
      <c r="Q491" s="5" t="n">
        <v>8.699999999999999</v>
      </c>
      <c r="R491" s="5" t="n">
        <v>2.9</v>
      </c>
      <c r="S491" s="5" t="n">
        <v>5.8</v>
      </c>
      <c r="T491" s="2" t="n">
        <v>14</v>
      </c>
      <c r="U491" s="2" t="inlineStr">
        <is>
          <t>low</t>
        </is>
      </c>
      <c r="V491" s="5" t="n">
        <v>0.8</v>
      </c>
      <c r="W491" s="2" t="inlineStr">
        <is>
          <t>low</t>
        </is>
      </c>
      <c r="X491" s="3" t="inlineStr"/>
      <c r="Y491" s="3" t="inlineStr">
        <is>
          <t>14% of this dish's available carbohydrate comes from ingredients with a published, measured GI; the rest uses conventional placeholders (see Ingredients sheet)</t>
        </is>
      </c>
      <c r="Z491" s="2" t="n">
        <v>14</v>
      </c>
      <c r="AA491" s="3" t="inlineStr">
        <is>
          <t>gluten-free, low-carb, high-protein</t>
        </is>
      </c>
      <c r="AB491" s="3" t="inlineStr">
        <is>
          <t>1. Dip cutlets in egg then almond flour-parmesan-paprika.
2. Pan-fry in oil 3–4 minutes per side.
3. Toss cucumber with yogurt, dill, vinegar; serve with lemon.</t>
        </is>
      </c>
      <c r="AC491" s="4" t="inlineStr">
        <is>
          <t>["Dip cutlets in egg then almond flour-parmesan-paprika.", "Pan-fry in oil 3–4 minutes per side.", "Toss cucumber with yogurt, dill, vinegar; serve with lemon."]</t>
        </is>
      </c>
    </row>
    <row r="492" ht="96" customHeight="1">
      <c r="A492" s="2" t="inlineStr">
        <is>
          <t>DB-0491</t>
        </is>
      </c>
      <c r="B492" s="3" t="inlineStr">
        <is>
          <t>Beef Sirloin with Roasted Vegetable Medley</t>
        </is>
      </c>
      <c r="C492" s="4" t="inlineStr">
        <is>
          <t>Beef, Pork &amp; Lamb</t>
        </is>
      </c>
      <c r="D492" s="4" t="inlineStr">
        <is>
          <t>American</t>
        </is>
      </c>
      <c r="E492" s="2" t="n">
        <v>4</v>
      </c>
      <c r="F492" s="2" t="n">
        <v>10</v>
      </c>
      <c r="G492" s="2" t="n">
        <v>25</v>
      </c>
      <c r="H492" s="2" t="n">
        <v>35</v>
      </c>
      <c r="I492" s="4" t="inlineStr">
        <is>
          <t>beef-sirloin-with-roasted-vegetable-medley.jpg</t>
        </is>
      </c>
      <c r="J492" s="3" t="inlineStr">
        <is>
          <t>Beef Sirloin with Roasted Vegetable Medley, healthy food photography, plated, natural light</t>
        </is>
      </c>
      <c r="K492" s="4" t="inlineStr"/>
      <c r="L492" s="3" t="inlineStr">
        <is>
          <t>Beef sirloin, trimmed — 600 g (21.2 oz)
Zucchini — 250 g (8.8 oz)
Bell pepper — 200 g (7.1 oz)
Red onion — 100 g (3.5 oz)
Mushrooms (cremini/white) — 200 g (7.1 oz)
Extra-virgin olive oil — 20 g (0.7 oz)
Garlic — 8 g (0.3 oz)
Fresh rosemary — 2 g (0.1 oz)
Balsamic vinegar — 15 g (0.5 oz)
Salt — 3 g (0.1 oz)</t>
        </is>
      </c>
      <c r="M492" s="4" t="inlineStr">
        <is>
          <t>[{"ingredient_id": "beef_sirloin", "name": "Beef sirloin, trimmed", "grams": 600.0, "note": ""}, {"ingredient_id": "zucchini", "name": "Zucchini", "grams": 250.0, "note": ""}, {"ingredient_id": "bell_pepper", "name": "Bell pepper", "grams": 200.0, "note": ""}, {"ingredient_id": "red_onion", "name": "Red onion", "grams": 100.0, "note": ""}, {"ingredient_id": "mushrooms", "name": "Mushrooms (cremini/white)", "grams": 200.0, "note": ""}, {"ingredient_id": "olive_oil", "name": "Extra-virgin olive oil", "grams": 20.0, "note": ""}, {"ingredient_id": "garlic", "name": "Garlic", "grams": 8.0, "note": ""}, {"ingredient_id": "rosemary", "name": "Fresh rosemary", "grams": 2.0, "note": ""}, {"ingredient_id": "balsamic_vinegar", "name": "Balsamic vinegar", "grams": 15.0, "note": ""}, {"ingredient_id": "salt", "name": "Salt", "grams": 3.0, "note": ""}]</t>
        </is>
      </c>
      <c r="N492" s="2" t="n">
        <v>293</v>
      </c>
      <c r="O492" s="5" t="n">
        <v>36.2</v>
      </c>
      <c r="P492" s="5" t="n">
        <v>12.3</v>
      </c>
      <c r="Q492" s="5" t="n">
        <v>10.3</v>
      </c>
      <c r="R492" s="5" t="n">
        <v>2.7</v>
      </c>
      <c r="S492" s="5" t="n">
        <v>7.6</v>
      </c>
      <c r="T492" s="2" t="n">
        <v>18</v>
      </c>
      <c r="U492" s="2" t="inlineStr">
        <is>
          <t>low</t>
        </is>
      </c>
      <c r="V492" s="5" t="n">
        <v>1.4</v>
      </c>
      <c r="W492" s="2" t="inlineStr">
        <is>
          <t>low</t>
        </is>
      </c>
      <c r="X492" s="3" t="inlineStr"/>
      <c r="Y492" s="3" t="inlineStr">
        <is>
          <t>0% of this dish's available carbohydrate comes from ingredients with a published, measured GI; the rest uses conventional placeholders (see Ingredients sheet)</t>
        </is>
      </c>
      <c r="Z492" s="2" t="n">
        <v>0</v>
      </c>
      <c r="AA492" s="3" t="inlineStr">
        <is>
          <t>gluten-free, dairy-free, nut-free, low-carb, high-protein</t>
        </is>
      </c>
      <c r="AB492" s="3" t="inlineStr">
        <is>
          <t>1. Roast vegetables with half the oil, garlic, rosemary at 425°F 20 minutes.
2. Sear steak 4 minutes per side; rest, slice.
3. Drizzle vegetables with balsamic; serve.</t>
        </is>
      </c>
      <c r="AC492" s="4" t="inlineStr">
        <is>
          <t>["Roast vegetables with half the oil, garlic, rosemary at 425°F 20 minutes.", "Sear steak 4 minutes per side; rest, slice.", "Drizzle vegetables with balsamic; serve."]</t>
        </is>
      </c>
    </row>
    <row r="493" ht="96" customHeight="1">
      <c r="A493" s="2" t="inlineStr">
        <is>
          <t>DB-0492</t>
        </is>
      </c>
      <c r="B493" s="3" t="inlineStr">
        <is>
          <t>Lamb Curry with Spinach</t>
        </is>
      </c>
      <c r="C493" s="4" t="inlineStr">
        <is>
          <t>Beef, Pork &amp; Lamb</t>
        </is>
      </c>
      <c r="D493" s="4" t="inlineStr">
        <is>
          <t>Indian</t>
        </is>
      </c>
      <c r="E493" s="2" t="n">
        <v>5</v>
      </c>
      <c r="F493" s="2" t="n">
        <v>15</v>
      </c>
      <c r="G493" s="2" t="n">
        <v>75</v>
      </c>
      <c r="H493" s="2" t="n">
        <v>90</v>
      </c>
      <c r="I493" s="4" t="inlineStr">
        <is>
          <t>lamb-curry-with-spinach.jpg</t>
        </is>
      </c>
      <c r="J493" s="3" t="inlineStr">
        <is>
          <t>Lamb Curry with Spinach, healthy food photography, plated, natural light</t>
        </is>
      </c>
      <c r="K493" s="4" t="inlineStr"/>
      <c r="L493" s="3" t="inlineStr">
        <is>
          <t>Lamb leg, trimmed — 700 g (24.7 oz)
Yellow onion — 150 g (5.3 oz)
Garlic — 10 g (0.4 oz)
Fresh ginger — 12 g (0.4 oz)
Garam masala — 8 g (0.3 oz)
Ground turmeric — 3 g (0.1 oz)
Ground cumin — 3 g (0.1 oz)
Crushed tomatoes, canned — 400 g (14.1 oz)
Greek yogurt, plain 2% — 150 g (5.3 oz)
Spinach — 300 g (10.6 oz)
Extra-virgin olive oil — 15 g (0.5 oz)
Fresh cilantro — 8 g (0.3 oz)
Salt — 4 g (0.1 oz)</t>
        </is>
      </c>
      <c r="M493" s="4" t="inlineStr">
        <is>
          <t>[{"ingredient_id": "lamb_leg", "name": "Lamb leg, trimmed", "grams": 700.0, "note": ""}, {"ingredient_id": "onion", "name": "Yellow onion", "grams": 150.0, "note": ""}, {"ingredient_id": "garlic", "name": "Garlic", "grams": 10.0, "note": ""}, {"ingredient_id": "ginger", "name": "Fresh ginger", "grams": 12.0, "note": ""}, {"ingredient_id": "garam_masala", "name": "Garam masala", "grams": 8.0, "note": ""}, {"ingredient_id": "turmeric", "name": "Ground turmeric", "grams": 3.0, "note": ""}, {"ingredient_id": "cumin", "name": "Ground cumin", "grams": 3.0, "note": ""}, {"ingredient_id": "crushed_tomatoes", "name": "Crushed tomatoes, canned", "grams": 400.0, "note": ""}, {"ingredient_id": "greek_yogurt", "name": "Greek yogurt, plain 2%", "grams": 150.0, "note": ""}, {"ingredient_id": "spinach", "name": "Spinach", "grams": 300.0, "note": ""}, {"ingredient_id": "olive_oil", "name": "Extra-virgin olive oil", "grams": 15.0, "note": ""}, {"ingredient_id": "cilantro", "name": "Fresh cilantro", "grams": 8.0, "note": ""}, {"ingredient_id": "salt", "name": "Salt", "grams": 4.0, "note": ""}]</t>
        </is>
      </c>
      <c r="N493" s="2" t="n">
        <v>338</v>
      </c>
      <c r="O493" s="5" t="n">
        <v>34.9</v>
      </c>
      <c r="P493" s="5" t="n">
        <v>17.1</v>
      </c>
      <c r="Q493" s="5" t="n">
        <v>14.5</v>
      </c>
      <c r="R493" s="5" t="n">
        <v>4.5</v>
      </c>
      <c r="S493" s="5" t="n">
        <v>10</v>
      </c>
      <c r="T493" s="2" t="n">
        <v>24</v>
      </c>
      <c r="U493" s="2" t="inlineStr">
        <is>
          <t>low</t>
        </is>
      </c>
      <c r="V493" s="5" t="n">
        <v>2.4</v>
      </c>
      <c r="W493" s="2" t="inlineStr">
        <is>
          <t>low</t>
        </is>
      </c>
      <c r="X493" s="3" t="inlineStr"/>
      <c r="Y493" s="3" t="inlineStr">
        <is>
          <t>12% of this dish's available carbohydrate comes from ingredients with a published, measured GI; the rest uses conventional placeholders (see Ingredients sheet)</t>
        </is>
      </c>
      <c r="Z493" s="2" t="n">
        <v>12</v>
      </c>
      <c r="AA493" s="3" t="inlineStr">
        <is>
          <t>gluten-free, nut-free, low-carb, high-protein, make-ahead</t>
        </is>
      </c>
      <c r="AB493" s="3" t="inlineStr">
        <is>
          <t>1. Brown lamb cubes; remove. Sauté onion, garlic, ginger, spices.
2. Add tomatoes, yogurt, lamb; simmer covered 60 minutes.
3. Stir in spinach; garnish cilantro; serve with cauliflower rice.</t>
        </is>
      </c>
      <c r="AC493" s="4" t="inlineStr">
        <is>
          <t>["Brown lamb cubes; remove. Sauté onion, garlic, ginger, spices.", "Add tomatoes, yogurt, lamb; simmer covered 60 minutes.", "Stir in spinach; garnish cilantro; serve with cauliflower rice."]</t>
        </is>
      </c>
    </row>
    <row r="494" ht="96" customHeight="1">
      <c r="A494" s="2" t="inlineStr">
        <is>
          <t>DB-0493</t>
        </is>
      </c>
      <c r="B494" s="3" t="inlineStr">
        <is>
          <t>Pork &amp; Pepper Fajita Skillet</t>
        </is>
      </c>
      <c r="C494" s="4" t="inlineStr">
        <is>
          <t>Beef, Pork &amp; Lamb</t>
        </is>
      </c>
      <c r="D494" s="4" t="inlineStr">
        <is>
          <t>Tex-Mex</t>
        </is>
      </c>
      <c r="E494" s="2" t="n">
        <v>4</v>
      </c>
      <c r="F494" s="2" t="n">
        <v>10</v>
      </c>
      <c r="G494" s="2" t="n">
        <v>15</v>
      </c>
      <c r="H494" s="2" t="n">
        <v>25</v>
      </c>
      <c r="I494" s="4" t="inlineStr">
        <is>
          <t>pork-and-pepper-fajita-skillet.jpg</t>
        </is>
      </c>
      <c r="J494" s="3" t="inlineStr">
        <is>
          <t>Pork &amp; Pepper Fajita Skillet, healthy food photography, plated, natural light</t>
        </is>
      </c>
      <c r="K494" s="4" t="inlineStr"/>
      <c r="L494" s="3" t="inlineStr">
        <is>
          <t>Pork tenderloin — 600 g (21.2 oz)
Bell pepper — 300 g (10.6 oz)
Yellow onion — 150 g (5.3 oz)
Chili powder — 6 g (0.2 oz)
Ground cumin — 3 g (0.1 oz)
Lime — 40 g (1.4 oz)
Extra-virgin olive oil — 15 g (0.5 oz)
Low-carb high-fiber tortilla — 168 g (5.9 oz) [4 tortillas]
Avocado — 100 g (3.5 oz)
Greek yogurt, plain 2% — 60 g (2.1 oz)</t>
        </is>
      </c>
      <c r="M494" s="4" t="inlineStr">
        <is>
          <t>[{"ingredient_id": "pork_tenderloin", "name": "Pork tenderloin", "grams": 600.0, "note": ""}, {"ingredient_id": "bell_pepper", "name": "Bell pepper", "grams": 300.0, "note": ""}, {"ingredient_id": "onion", "name": "Yellow onion", "grams": 150.0, "note": ""}, {"ingredient_id": "chili_powder", "name": "Chili powder", "grams": 6.0, "note": ""}, {"ingredient_id": "cumin", "name": "Ground cumin", "grams": 3.0, "note": ""}, {"ingredient_id": "lime", "name": "Lime", "grams": 40.0, "note": ""}, {"ingredient_id": "olive_oil", "name": "Extra-virgin olive oil", "grams": 15.0, "note": ""}, {"ingredient_id": "low_carb_tortilla", "name": "Low-carb high-fiber tortilla", "grams": 168.0, "note": "4 tortillas"}, {"ingredient_id": "avocado", "name": "Avocado", "grams": 100.0, "note": ""}, {"ingredient_id": "greek_yogurt", "name": "Greek yogurt, plain 2%", "grams": 60.0, "note": ""}]</t>
        </is>
      </c>
      <c r="N494" s="2" t="n">
        <v>417</v>
      </c>
      <c r="O494" s="5" t="n">
        <v>40.1</v>
      </c>
      <c r="P494" s="5" t="n">
        <v>17.1</v>
      </c>
      <c r="Q494" s="5" t="n">
        <v>29.6</v>
      </c>
      <c r="R494" s="5" t="n">
        <v>15.3</v>
      </c>
      <c r="S494" s="5" t="n">
        <v>14.4</v>
      </c>
      <c r="T494" s="2" t="n">
        <v>22</v>
      </c>
      <c r="U494" s="2" t="inlineStr">
        <is>
          <t>low</t>
        </is>
      </c>
      <c r="V494" s="5" t="n">
        <v>3.2</v>
      </c>
      <c r="W494" s="2" t="inlineStr">
        <is>
          <t>low</t>
        </is>
      </c>
      <c r="X494" s="3" t="inlineStr"/>
      <c r="Y494" s="3" t="inlineStr">
        <is>
          <t>4% of this dish's available carbohydrate comes from ingredients with a published, measured GI; the rest uses conventional placeholders (see Ingredients sheet)</t>
        </is>
      </c>
      <c r="Z494" s="2" t="n">
        <v>4</v>
      </c>
      <c r="AA494" s="3" t="inlineStr">
        <is>
          <t>nut-free, low-carb, high-protein, high-fiber</t>
        </is>
      </c>
      <c r="AB494" s="3" t="inlineStr">
        <is>
          <t>1. Sauté pork strips with spices in oil; remove.
2. Sauté peppers and onion until charred; return pork; add lime.
3. Serve in tortillas with avocado and yogurt.</t>
        </is>
      </c>
      <c r="AC494" s="4" t="inlineStr">
        <is>
          <t>["Sauté pork strips with spices in oil; remove.", "Sauté peppers and onion until charred; return pork; add lime.", "Serve in tortillas with avocado and yogurt."]</t>
        </is>
      </c>
    </row>
    <row r="495" ht="96" customHeight="1">
      <c r="A495" s="2" t="inlineStr">
        <is>
          <t>DB-0494</t>
        </is>
      </c>
      <c r="B495" s="3" t="inlineStr">
        <is>
          <t>Beef Stew with Mushrooms &amp; Red Wine (Slow Cooker)</t>
        </is>
      </c>
      <c r="C495" s="4" t="inlineStr">
        <is>
          <t>Beef, Pork &amp; Lamb</t>
        </is>
      </c>
      <c r="D495" s="4" t="inlineStr">
        <is>
          <t>French</t>
        </is>
      </c>
      <c r="E495" s="2" t="n">
        <v>6</v>
      </c>
      <c r="F495" s="2" t="n">
        <v>15</v>
      </c>
      <c r="G495" s="2" t="n">
        <v>420</v>
      </c>
      <c r="H495" s="2" t="n">
        <v>435</v>
      </c>
      <c r="I495" s="4" t="inlineStr">
        <is>
          <t>beef-stew-with-mushrooms-and-red-wine-slow-cooker.jpg</t>
        </is>
      </c>
      <c r="J495" s="3" t="inlineStr">
        <is>
          <t>Beef Stew with Mushrooms &amp; Red Wine (Slow Cooker), healthy food photography, plated, natural light</t>
        </is>
      </c>
      <c r="K495" s="4" t="inlineStr"/>
      <c r="L495" s="3" t="inlineStr">
        <is>
          <t>Beef chuck roast, trimmed — 1000 g (35.3 oz)
Mushrooms (cremini/white) — 400 g (14.1 oz)
Yellow onion — 150 g (5.3 oz)
Carrot — 200 g (7.1 oz)
Garlic — 10 g (0.4 oz)
Dry red wine (cooking) — 200 g (7.1 oz)
Beef broth, low sodium — 400 g (14.1 oz)
Tomato paste — 30 g (1.1 oz)
Fresh thyme — 3 g (0.1 oz)
Bay leaves — 1 g (0.0 oz)
Extra-virgin olive oil — 15 g (0.5 oz)
Salt — 5 g (0.2 oz)</t>
        </is>
      </c>
      <c r="M495" s="4" t="inlineStr">
        <is>
          <t>[{"ingredient_id": "beef_chuck", "name": "Beef chuck roast, trimmed", "grams": 1000.0, "note": ""}, {"ingredient_id": "mushrooms", "name": "Mushrooms (cremini/white)", "grams": 400.0, "note": ""}, {"ingredient_id": "onion", "name": "Yellow onion", "grams": 150.0, "note": ""}, {"ingredient_id": "carrot", "name": "Carrot", "grams": 200.0, "note": ""}, {"ingredient_id": "garlic", "name": "Garlic", "grams": 10.0, "note": ""}, {"ingredient_id": "red_wine", "name": "Dry red wine (cooking)", "grams": 200.0, "note": ""}, {"ingredient_id": "beef_broth", "name": "Beef broth, low sodium", "grams": 400.0, "note": ""}, {"ingredient_id": "tomato_paste", "name": "Tomato paste", "grams": 30.0, "note": ""}, {"ingredient_id": "thyme", "name": "Fresh thyme", "grams": 3.0, "note": ""}, {"ingredient_id": "bay_leaf", "name": "Bay leaves", "grams": 1.0, "note": ""}, {"ingredient_id": "olive_oil", "name": "Extra-virgin olive oil", "grams": 15.0, "note": ""}, {"ingredient_id": "salt", "name": "Salt", "grams": 5.0, "note": ""}]</t>
        </is>
      </c>
      <c r="N495" s="2" t="n">
        <v>401</v>
      </c>
      <c r="O495" s="5" t="n">
        <v>37.2</v>
      </c>
      <c r="P495" s="5" t="n">
        <v>21.3</v>
      </c>
      <c r="Q495" s="5" t="n">
        <v>10.6</v>
      </c>
      <c r="R495" s="5" t="n">
        <v>2.4</v>
      </c>
      <c r="S495" s="5" t="n">
        <v>8.199999999999999</v>
      </c>
      <c r="T495" s="2" t="n">
        <v>22</v>
      </c>
      <c r="U495" s="2" t="inlineStr">
        <is>
          <t>low</t>
        </is>
      </c>
      <c r="V495" s="5" t="n">
        <v>1.8</v>
      </c>
      <c r="W495" s="2" t="inlineStr">
        <is>
          <t>low</t>
        </is>
      </c>
      <c r="X495" s="3" t="inlineStr"/>
      <c r="Y495" s="3" t="inlineStr">
        <is>
          <t>28% of this dish's available carbohydrate comes from ingredients with a published, measured GI; the rest uses conventional placeholders (see Ingredients sheet)</t>
        </is>
      </c>
      <c r="Z495" s="2" t="n">
        <v>28</v>
      </c>
      <c r="AA495" s="3" t="inlineStr">
        <is>
          <t>gluten-free, dairy-free, nut-free, low-carb, high-protein, slow-cooker</t>
        </is>
      </c>
      <c r="AB495" s="3" t="inlineStr">
        <is>
          <t>1. Sear beef cubes in oil.
2. Add to slow cooker with all ingredients.
3. Cook on low 7 hours; serve over cauliflower mash.</t>
        </is>
      </c>
      <c r="AC495" s="4" t="inlineStr">
        <is>
          <t>["Sear beef cubes in oil.", "Add to slow cooker with all ingredients.", "Cook on low 7 hours; serve over cauliflower mash."]</t>
        </is>
      </c>
    </row>
    <row r="496" ht="96" customHeight="1">
      <c r="A496" s="2" t="inlineStr">
        <is>
          <t>DB-0495</t>
        </is>
      </c>
      <c r="B496" s="3" t="inlineStr">
        <is>
          <t>Pork Meatballs in Tomato Sauce with Spaghetti Squash</t>
        </is>
      </c>
      <c r="C496" s="4" t="inlineStr">
        <is>
          <t>Beef, Pork &amp; Lamb</t>
        </is>
      </c>
      <c r="D496" s="4" t="inlineStr">
        <is>
          <t>Italian</t>
        </is>
      </c>
      <c r="E496" s="2" t="n">
        <v>5</v>
      </c>
      <c r="F496" s="2" t="n">
        <v>20</v>
      </c>
      <c r="G496" s="2" t="n">
        <v>50</v>
      </c>
      <c r="H496" s="2" t="n">
        <v>70</v>
      </c>
      <c r="I496" s="4" t="inlineStr">
        <is>
          <t>pork-meatballs-in-tomato-sauce-with-spaghetti-squash.jpg</t>
        </is>
      </c>
      <c r="J496" s="3" t="inlineStr">
        <is>
          <t>Pork Meatballs in Tomato Sauce with Spaghetti Squash, healthy food photography, plated, natural light</t>
        </is>
      </c>
      <c r="K496" s="4" t="inlineStr"/>
      <c r="L496" s="3" t="inlineStr">
        <is>
          <t>Ground pork, lean — 600 g (21.2 oz)
Egg, large (50 g each) — 50 g (1.8 oz)
Parmesan, grated — 40 g (1.4 oz)
Almond flour — 40 g (1.4 oz)
Garlic — 8 g (0.3 oz)
Fresh parsley — 8 g (0.3 oz)
Marinara sauce, no sugar added — 500 g (17.6 oz)
Spaghetti squash, cooked — 1200 g (42.3 oz)
Extra-virgin olive oil — 12 g (0.4 oz)
Salt — 3 g (0.1 oz)</t>
        </is>
      </c>
      <c r="M496" s="4" t="inlineStr">
        <is>
          <t>[{"ingredient_id": "ground_pork", "name": "Ground pork, lean", "grams": 600.0, "note": ""}, {"ingredient_id": "egg", "name": "Egg, large (50 g each)", "grams": 50.0, "note": ""}, {"ingredient_id": "parmesan", "name": "Parmesan, grated", "grams": 40.0, "note": ""}, {"ingredient_id": "almond_flour", "name": "Almond flour", "grams": 40.0, "note": ""}, {"ingredient_id": "garlic", "name": "Garlic", "grams": 8.0, "note": ""}, {"ingredient_id": "parsley", "name": "Fresh parsley", "grams": 8.0, "note": ""}, {"ingredient_id": "marinara", "name": "Marinara sauce, no sugar added", "grams": 500.0, "note": ""}, {"ingredient_id": "spaghetti_squash", "name": "Spaghetti squash, cooked", "grams": 1200.0, "note": ""}, {"ingredient_id": "olive_oil", "name": "Extra-virgin olive oil", "grams": 12.0, "note": ""}, {"ingredient_id": "salt", "name": "Salt", "grams": 3.0, "note": ""}]</t>
        </is>
      </c>
      <c r="N496" s="2" t="n">
        <v>462</v>
      </c>
      <c r="O496" s="5" t="n">
        <v>31.9</v>
      </c>
      <c r="P496" s="5" t="n">
        <v>28</v>
      </c>
      <c r="Q496" s="5" t="n">
        <v>24.5</v>
      </c>
      <c r="R496" s="5" t="n">
        <v>6.1</v>
      </c>
      <c r="S496" s="5" t="n">
        <v>18.4</v>
      </c>
      <c r="T496" s="2" t="n">
        <v>22</v>
      </c>
      <c r="U496" s="2" t="inlineStr">
        <is>
          <t>low</t>
        </is>
      </c>
      <c r="V496" s="5" t="n">
        <v>4</v>
      </c>
      <c r="W496" s="2" t="inlineStr">
        <is>
          <t>low</t>
        </is>
      </c>
      <c r="X496" s="3" t="inlineStr"/>
      <c r="Y496" s="3" t="inlineStr">
        <is>
          <t>19% of this dish's available carbohydrate comes from ingredients with a published, measured GI; the rest uses conventional placeholders (see Ingredients sheet)</t>
        </is>
      </c>
      <c r="Z496" s="2" t="n">
        <v>19</v>
      </c>
      <c r="AA496" s="3" t="inlineStr">
        <is>
          <t>gluten-free, high-protein</t>
        </is>
      </c>
      <c r="AB496" s="3" t="inlineStr">
        <is>
          <t>1. Roast halved squash 40 minutes.
2. Mix pork, egg, parmesan, almond flour, garlic, parsley, salt; form meatballs; brown in oil; simmer in marinara 15 minutes.
3. Serve over squash strands.</t>
        </is>
      </c>
      <c r="AC496" s="4" t="inlineStr">
        <is>
          <t>["Roast halved squash 40 minutes.", "Mix pork, egg, parmesan, almond flour, garlic, parsley, salt; form meatballs; brown in oil; simmer in marinara 15 minutes.", "Serve over squash strands."]</t>
        </is>
      </c>
    </row>
    <row r="497" ht="96" customHeight="1">
      <c r="A497" s="2" t="inlineStr">
        <is>
          <t>DB-0496</t>
        </is>
      </c>
      <c r="B497" s="3" t="inlineStr">
        <is>
          <t>Steak Salad Bowl with Blue Cheese &amp; Walnuts</t>
        </is>
      </c>
      <c r="C497" s="4" t="inlineStr">
        <is>
          <t>Beef, Pork &amp; Lamb</t>
        </is>
      </c>
      <c r="D497" s="4" t="inlineStr">
        <is>
          <t>American</t>
        </is>
      </c>
      <c r="E497" s="2" t="n">
        <v>2</v>
      </c>
      <c r="F497" s="2" t="n">
        <v>10</v>
      </c>
      <c r="G497" s="2" t="n">
        <v>12</v>
      </c>
      <c r="H497" s="2" t="n">
        <v>22</v>
      </c>
      <c r="I497" s="4" t="inlineStr">
        <is>
          <t>steak-salad-bowl-with-blue-cheese-and-walnuts.jpg</t>
        </is>
      </c>
      <c r="J497" s="3" t="inlineStr">
        <is>
          <t>Steak Salad Bowl with Blue Cheese &amp; Walnuts, healthy food photography, plated, natural light</t>
        </is>
      </c>
      <c r="K497" s="4" t="inlineStr"/>
      <c r="L497" s="3" t="inlineStr">
        <is>
          <t>Beef sirloin, trimmed — 300 g (10.6 oz)
Mixed salad greens — 150 g (5.3 oz)
Blue cheese, crumbled — 40 g (1.4 oz)
Walnuts — 25 g (0.9 oz)
Cherry tomatoes — 120 g (4.2 oz)
Red onion — 30 g (1.1 oz)
Extra-virgin olive oil — 15 g (0.5 oz)
Balsamic vinegar — 12 g (0.4 oz)
Salt — 2 g (0.1 oz)</t>
        </is>
      </c>
      <c r="M497" s="4" t="inlineStr">
        <is>
          <t>[{"ingredient_id": "beef_sirloin", "name": "Beef sirloin, trimmed", "grams": 300.0, "note": ""}, {"ingredient_id": "mixed_greens", "name": "Mixed salad greens", "grams": 150.0, "note": ""}, {"ingredient_id": "blue_cheese", "name": "Blue cheese, crumbled", "grams": 40.0, "note": ""}, {"ingredient_id": "walnuts", "name": "Walnuts", "grams": 25.0, "note": ""}, {"ingredient_id": "cherry_tomato", "name": "Cherry tomatoes", "grams": 120.0, "note": ""}, {"ingredient_id": "red_onion", "name": "Red onion", "grams": 30.0, "note": ""}, {"ingredient_id": "olive_oil", "name": "Extra-virgin olive oil", "grams": 15.0, "note": ""}, {"ingredient_id": "balsamic_vinegar", "name": "Balsamic vinegar", "grams": 12.0, "note": ""}, {"ingredient_id": "salt", "name": "Salt", "grams": 2.0, "note": ""}]</t>
        </is>
      </c>
      <c r="N497" s="2" t="n">
        <v>451</v>
      </c>
      <c r="O497" s="5" t="n">
        <v>41.3</v>
      </c>
      <c r="P497" s="5" t="n">
        <v>28.5</v>
      </c>
      <c r="Q497" s="5" t="n">
        <v>9.6</v>
      </c>
      <c r="R497" s="5" t="n">
        <v>3.3</v>
      </c>
      <c r="S497" s="5" t="n">
        <v>6.3</v>
      </c>
      <c r="T497" s="2" t="n">
        <v>17</v>
      </c>
      <c r="U497" s="2" t="inlineStr">
        <is>
          <t>low</t>
        </is>
      </c>
      <c r="V497" s="5" t="n">
        <v>1.1</v>
      </c>
      <c r="W497" s="2" t="inlineStr">
        <is>
          <t>low</t>
        </is>
      </c>
      <c r="X497" s="3" t="inlineStr"/>
      <c r="Y497" s="3" t="inlineStr">
        <is>
          <t>0% of this dish's available carbohydrate comes from ingredients with a published, measured GI; the rest uses conventional placeholders (see Ingredients sheet)</t>
        </is>
      </c>
      <c r="Z497" s="2" t="n">
        <v>0</v>
      </c>
      <c r="AA497" s="3" t="inlineStr">
        <is>
          <t>gluten-free, low-carb, high-protein</t>
        </is>
      </c>
      <c r="AB497" s="3" t="inlineStr">
        <is>
          <t>1. Sear steak 4 minutes per side; rest, slice.
2. Toss greens, tomato, onion with oil and balsamic.
3. Top with steak, blue cheese, walnuts.</t>
        </is>
      </c>
      <c r="AC497" s="4" t="inlineStr">
        <is>
          <t>["Sear steak 4 minutes per side; rest, slice.", "Toss greens, tomato, onion with oil and balsamic.", "Top with steak, blue cheese, walnuts."]</t>
        </is>
      </c>
    </row>
    <row r="498" ht="96" customHeight="1">
      <c r="A498" s="2" t="inlineStr">
        <is>
          <t>DB-0497</t>
        </is>
      </c>
      <c r="B498" s="3" t="inlineStr">
        <is>
          <t>Pork Ramen Bowl (Shirataki)</t>
        </is>
      </c>
      <c r="C498" s="4" t="inlineStr">
        <is>
          <t>Beef, Pork &amp; Lamb</t>
        </is>
      </c>
      <c r="D498" s="4" t="inlineStr">
        <is>
          <t>Japanese</t>
        </is>
      </c>
      <c r="E498" s="2" t="n">
        <v>2</v>
      </c>
      <c r="F498" s="2" t="n">
        <v>10</v>
      </c>
      <c r="G498" s="2" t="n">
        <v>20</v>
      </c>
      <c r="H498" s="2" t="n">
        <v>30</v>
      </c>
      <c r="I498" s="4" t="inlineStr">
        <is>
          <t>pork-ramen-bowl-shirataki.jpg</t>
        </is>
      </c>
      <c r="J498" s="3" t="inlineStr">
        <is>
          <t>Pork Ramen Bowl (Shirataki), healthy food photography, plated, natural light</t>
        </is>
      </c>
      <c r="K498" s="4" t="inlineStr"/>
      <c r="L498" s="3" t="inlineStr">
        <is>
          <t>Pork tenderloin — 300 g (10.6 oz)
Shirataki noodles — 400 g (14.1 oz)
Chicken broth, low sodium — 900 g (31.7 oz)
White miso paste — 25 g (0.9 oz)
Tamari (gluten-free soy sauce) — 15 g (0.5 oz)
Garlic — 6 g (0.2 oz)
Fresh ginger — 8 g (0.3 oz)
Egg, large (50 g each) — 100 g (3.5 oz) [2 soft-boiled eggs]
Bok choy — 150 g (5.3 oz)
Mushrooms (cremini/white) — 100 g (3.5 oz)
Green onions (scallions) — 15 g (0.5 oz)
Toasted sesame oil — 6 g (0.2 oz)
Nori seaweed sheets — 2 g (0.1 oz)</t>
        </is>
      </c>
      <c r="M498" s="4" t="inlineStr">
        <is>
          <t>[{"ingredient_id": "pork_tenderloin", "name": "Pork tenderloin", "grams": 300.0, "note": ""}, {"ingredient_id": "shirataki", "name": "Shirataki noodles", "grams": 400.0, "note": ""}, {"ingredient_id": "chicken_broth", "name": "Chicken broth, low sodium", "grams": 900.0, "note": ""}, {"ingredient_id": "miso", "name": "White miso paste", "grams": 25.0, "note": ""}, {"ingredient_id": "tamari", "name": "Tamari (gluten-free soy sauce)", "grams": 15.0, "note": ""}, {"ingredient_id": "garlic", "name": "Garlic", "grams": 6.0, "note": ""}, {"ingredient_id": "ginger", "name": "Fresh ginger", "grams": 8.0, "note": ""}, {"ingredient_id": "egg", "name": "Egg, large (50 g each)", "grams": 100.0, "note": "2 soft-boiled eggs"}, {"ingredient_id": "bok_choy", "name": "Bok choy", "grams": 150.0, "note": ""}, {"ingredient_id": "mushrooms", "name": "Mushrooms (cremini/white)", "grams": 100.0, "note": ""}, {"ingredient_id": "green_onion", "name": "Green onions (scallions)", "grams": 15.0, "note": ""}, {"ingredient_id": "sesame_oil", "name": "Toasted sesame oil", "grams": 6.0, "note": ""}, {"ingredient_id": "nori", "name": "Nori seaweed sheets", "grams": 2.0, "note": ""}]</t>
        </is>
      </c>
      <c r="N498" s="2" t="n">
        <v>390</v>
      </c>
      <c r="O498" s="5" t="n">
        <v>47.7</v>
      </c>
      <c r="P498" s="5" t="n">
        <v>15</v>
      </c>
      <c r="Q498" s="5" t="n">
        <v>17.8</v>
      </c>
      <c r="R498" s="5" t="n">
        <v>8.300000000000001</v>
      </c>
      <c r="S498" s="5" t="n">
        <v>9.6</v>
      </c>
      <c r="T498" s="2" t="n">
        <v>17</v>
      </c>
      <c r="U498" s="2" t="inlineStr">
        <is>
          <t>low</t>
        </is>
      </c>
      <c r="V498" s="5" t="n">
        <v>1.6</v>
      </c>
      <c r="W498" s="2" t="inlineStr">
        <is>
          <t>low</t>
        </is>
      </c>
      <c r="X498" s="3" t="inlineStr"/>
      <c r="Y498" s="3" t="inlineStr">
        <is>
          <t>0% of this dish's available carbohydrate comes from ingredients with a published, measured GI; the rest uses conventional placeholders (see Ingredients sheet)</t>
        </is>
      </c>
      <c r="Z498" s="2" t="n">
        <v>0</v>
      </c>
      <c r="AA498" s="3" t="inlineStr">
        <is>
          <t>dairy-free, nut-free, low-carb, high-protein, high-fiber</t>
        </is>
      </c>
      <c r="AB498" s="3" t="inlineStr">
        <is>
          <t>1. Simmer broth with garlic, ginger, tamari, mushrooms 10 minutes; add bok choy.
2. Sear sliced pork 2 minutes per side.
3. Whisk miso into broth; assemble with rinsed shirataki, pork, halved eggs, green onion, sesame oil, nori.</t>
        </is>
      </c>
      <c r="AC498" s="4" t="inlineStr">
        <is>
          <t>["Simmer broth with garlic, ginger, tamari, mushrooms 10 minutes; add bok choy.", "Sear sliced pork 2 minutes per side.", "Whisk miso into broth; assemble with rinsed shirataki, pork, halved eggs, green onion, sesame oil, nori."]</t>
        </is>
      </c>
    </row>
    <row r="499" ht="96" customHeight="1">
      <c r="A499" s="2" t="inlineStr">
        <is>
          <t>DB-0498</t>
        </is>
      </c>
      <c r="B499" s="3" t="inlineStr">
        <is>
          <t>Beef Empanada-Style Stuffed Peppers</t>
        </is>
      </c>
      <c r="C499" s="4" t="inlineStr">
        <is>
          <t>Beef, Pork &amp; Lamb</t>
        </is>
      </c>
      <c r="D499" s="4" t="inlineStr">
        <is>
          <t>Latin</t>
        </is>
      </c>
      <c r="E499" s="2" t="n">
        <v>4</v>
      </c>
      <c r="F499" s="2" t="n">
        <v>15</v>
      </c>
      <c r="G499" s="2" t="n">
        <v>35</v>
      </c>
      <c r="H499" s="2" t="n">
        <v>50</v>
      </c>
      <c r="I499" s="4" t="inlineStr">
        <is>
          <t>beef-empanada-style-stuffed-peppers.jpg</t>
        </is>
      </c>
      <c r="J499" s="3" t="inlineStr">
        <is>
          <t>Beef Empanada-Style Stuffed Peppers, healthy food photography, plated, natural light</t>
        </is>
      </c>
      <c r="K499" s="4" t="inlineStr"/>
      <c r="L499" s="3" t="inlineStr">
        <is>
          <t>Bell pepper — 600 g (21.2 oz)
Ground beef 90% lean — 500 g (17.6 oz)
Yellow onion — 100 g (3.5 oz)
Garlic — 6 g (0.2 oz)
Olives (kalamata/green) — 40 g (1.4 oz)
Egg, large (50 g each) — 100 g (3.5 oz) [2 hard-boiled, chopped]
Ground cumin — 4 g (0.1 oz)
Smoked paprika — 3 g (0.1 oz)
Diced tomatoes, canned — 250 g (8.8 oz)
Extra-virgin olive oil — 10 g (0.4 oz)
Cotija cheese — 40 g (1.4 oz)</t>
        </is>
      </c>
      <c r="M499" s="4" t="inlineStr">
        <is>
          <t>[{"ingredient_id": "bell_pepper", "name": "Bell pepper", "grams": 600.0, "note": ""}, {"ingredient_id": "ground_beef", "name": "Ground beef 90% lean", "grams": 500.0, "note": ""}, {"ingredient_id": "onion", "name": "Yellow onion", "grams": 100.0, "note": ""}, {"ingredient_id": "garlic", "name": "Garlic", "grams": 6.0, "note": ""}, {"ingredient_id": "olives", "name": "Olives (kalamata/green)", "grams": 40.0, "note": ""}, {"ingredient_id": "egg", "name": "Egg, large (50 g each)", "grams": 100.0, "note": "2 hard-boiled, chopped"}, {"ingredient_id": "cumin", "name": "Ground cumin", "grams": 4.0, "note": ""}, {"ingredient_id": "smoked_paprika", "name": "Smoked paprika", "grams": 3.0, "note": ""}, {"ingredient_id": "diced_tomatoes", "name": "Diced tomatoes, canned", "grams": 250.0, "note": ""}, {"ingredient_id": "olive_oil", "name": "Extra-virgin olive oil", "grams": 10.0, "note": ""}, {"ingredient_id": "cotija", "name": "Cotija cheese", "grams": 40.0, "note": ""}]</t>
        </is>
      </c>
      <c r="N499" s="2" t="n">
        <v>406</v>
      </c>
      <c r="O499" s="5" t="n">
        <v>33.1</v>
      </c>
      <c r="P499" s="5" t="n">
        <v>22.4</v>
      </c>
      <c r="Q499" s="5" t="n">
        <v>17</v>
      </c>
      <c r="R499" s="5" t="n">
        <v>5.2</v>
      </c>
      <c r="S499" s="5" t="n">
        <v>11.7</v>
      </c>
      <c r="T499" s="2" t="n">
        <v>19</v>
      </c>
      <c r="U499" s="2" t="inlineStr">
        <is>
          <t>low</t>
        </is>
      </c>
      <c r="V499" s="5" t="n">
        <v>2.2</v>
      </c>
      <c r="W499" s="2" t="inlineStr">
        <is>
          <t>low</t>
        </is>
      </c>
      <c r="X499" s="3" t="inlineStr"/>
      <c r="Y499" s="3" t="inlineStr">
        <is>
          <t>0% of this dish's available carbohydrate comes from ingredients with a published, measured GI; the rest uses conventional placeholders (see Ingredients sheet)</t>
        </is>
      </c>
      <c r="Z499" s="2" t="n">
        <v>0</v>
      </c>
      <c r="AA499" s="3" t="inlineStr">
        <is>
          <t>gluten-free, nut-free, low-carb, high-protein</t>
        </is>
      </c>
      <c r="AB499" s="3" t="inlineStr">
        <is>
          <t>1. Halve peppers; roast 10 minutes.
2. Brown beef with onion, garlic, spices; add tomatoes, olives, chopped egg.
3. Fill peppers; top with cotija; bake at 400°F 20 minutes.</t>
        </is>
      </c>
      <c r="AC499" s="4" t="inlineStr">
        <is>
          <t>["Halve peppers; roast 10 minutes.", "Brown beef with onion, garlic, spices; add tomatoes, olives, chopped egg.", "Fill peppers; top with cotija; bake at 400°F 20 minutes."]</t>
        </is>
      </c>
    </row>
    <row r="500" ht="96" customHeight="1">
      <c r="A500" s="2" t="inlineStr">
        <is>
          <t>DB-0499</t>
        </is>
      </c>
      <c r="B500" s="3" t="inlineStr">
        <is>
          <t>Pork Green Bean Almond Stir-Fry</t>
        </is>
      </c>
      <c r="C500" s="4" t="inlineStr">
        <is>
          <t>Beef, Pork &amp; Lamb</t>
        </is>
      </c>
      <c r="D500" s="4" t="inlineStr">
        <is>
          <t>Asian</t>
        </is>
      </c>
      <c r="E500" s="2" t="n">
        <v>4</v>
      </c>
      <c r="F500" s="2" t="n">
        <v>10</v>
      </c>
      <c r="G500" s="2" t="n">
        <v>12</v>
      </c>
      <c r="H500" s="2" t="n">
        <v>22</v>
      </c>
      <c r="I500" s="4" t="inlineStr">
        <is>
          <t>pork-green-bean-almond-stir-fry.jpg</t>
        </is>
      </c>
      <c r="J500" s="3" t="inlineStr">
        <is>
          <t>Pork Green Bean Almond Stir-Fry, healthy food photography, plated, natural light</t>
        </is>
      </c>
      <c r="K500" s="4" t="inlineStr"/>
      <c r="L500" s="3" t="inlineStr">
        <is>
          <t>Pork tenderloin — 550 g (19.4 oz)
Green beans — 450 g (15.9 oz)
Almonds — 40 g (1.4 oz)
Garlic — 8 g (0.3 oz)
Fresh ginger — 6 g (0.2 oz)
Tamari (gluten-free soy sauce) — 30 g (1.1 oz)
Rice vinegar, unseasoned — 10 g (0.4 oz)
Toasted sesame oil — 8 g (0.3 oz)
Avocado oil — 10 g (0.4 oz)</t>
        </is>
      </c>
      <c r="M500" s="4" t="inlineStr">
        <is>
          <t>[{"ingredient_id": "pork_tenderloin", "name": "Pork tenderloin", "grams": 550.0, "note": ""}, {"ingredient_id": "green_beans", "name": "Green beans", "grams": 450.0, "note": ""}, {"ingredient_id": "almonds", "name": "Almonds", "grams": 40.0, "note": ""}, {"ingredient_id": "garlic", "name": "Garlic", "grams": 8.0, "note": ""}, {"ingredient_id": "ginger", "name": "Fresh ginger", "grams": 6.0, "note": ""}, {"ingredient_id": "tamari", "name": "Tamari (gluten-free soy sauce)", "grams": 30.0, "note": ""}, {"ingredient_id": "rice_vinegar", "name": "Rice vinegar, unseasoned", "grams": 10.0, "note": ""}, {"ingredient_id": "sesame_oil", "name": "Toasted sesame oil", "grams": 8.0, "note": ""}, {"ingredient_id": "avocado_oil", "name": "Avocado oil", "grams": 10.0, "note": ""}]</t>
        </is>
      </c>
      <c r="N500" s="2" t="n">
        <v>307</v>
      </c>
      <c r="O500" s="5" t="n">
        <v>33.9</v>
      </c>
      <c r="P500" s="5" t="n">
        <v>14.6</v>
      </c>
      <c r="Q500" s="5" t="n">
        <v>11.4</v>
      </c>
      <c r="R500" s="5" t="n">
        <v>4.4</v>
      </c>
      <c r="S500" s="5" t="n">
        <v>7</v>
      </c>
      <c r="T500" s="2" t="n">
        <v>17</v>
      </c>
      <c r="U500" s="2" t="inlineStr">
        <is>
          <t>low</t>
        </is>
      </c>
      <c r="V500" s="5" t="n">
        <v>1.2</v>
      </c>
      <c r="W500" s="2" t="inlineStr">
        <is>
          <t>low</t>
        </is>
      </c>
      <c r="X500" s="3" t="inlineStr"/>
      <c r="Y500" s="3" t="inlineStr">
        <is>
          <t>0% of this dish's available carbohydrate comes from ingredients with a published, measured GI; the rest uses conventional placeholders (see Ingredients sheet)</t>
        </is>
      </c>
      <c r="Z500" s="2" t="n">
        <v>0</v>
      </c>
      <c r="AA500" s="3" t="inlineStr">
        <is>
          <t>gluten-free, dairy-free, low-carb, high-protein, quick</t>
        </is>
      </c>
      <c r="AB500" s="3" t="inlineStr">
        <is>
          <t>1. Stir-fry pork strips in oil; remove.
2. Stir-fry green beans with garlic, ginger 5 minutes.
3. Return pork with tamari, vinegar, sesame oil; toss with toasted almonds.</t>
        </is>
      </c>
      <c r="AC500" s="4" t="inlineStr">
        <is>
          <t>["Stir-fry pork strips in oil; remove.", "Stir-fry green beans with garlic, ginger 5 minutes.", "Return pork with tamari, vinegar, sesame oil; toss with toasted almonds."]</t>
        </is>
      </c>
    </row>
    <row r="501" ht="96" customHeight="1">
      <c r="A501" s="2" t="inlineStr">
        <is>
          <t>DB-0500</t>
        </is>
      </c>
      <c r="B501" s="3" t="inlineStr">
        <is>
          <t>Beef Gyro Bowls</t>
        </is>
      </c>
      <c r="C501" s="4" t="inlineStr">
        <is>
          <t>Beef, Pork &amp; Lamb</t>
        </is>
      </c>
      <c r="D501" s="4" t="inlineStr">
        <is>
          <t>Greek</t>
        </is>
      </c>
      <c r="E501" s="2" t="n">
        <v>4</v>
      </c>
      <c r="F501" s="2" t="n">
        <v>15</v>
      </c>
      <c r="G501" s="2" t="n">
        <v>15</v>
      </c>
      <c r="H501" s="2" t="n">
        <v>30</v>
      </c>
      <c r="I501" s="4" t="inlineStr">
        <is>
          <t>beef-gyro-bowls.jpg</t>
        </is>
      </c>
      <c r="J501" s="3" t="inlineStr">
        <is>
          <t>Beef Gyro Bowls, healthy food photography, plated, natural light</t>
        </is>
      </c>
      <c r="K501" s="4" t="inlineStr"/>
      <c r="L501" s="3" t="inlineStr">
        <is>
          <t>Ground beef 90% lean — 600 g (21.2 oz)
Yellow onion — 60 g (2.1 oz)
Garlic — 8 g (0.3 oz)
Dried oregano — 4 g (0.1 oz)
Ground cumin — 2 g (0.1 oz)
Cauliflower rice — 500 g (17.6 oz)
Tomato — 200 g (7.1 oz)
Cucumber — 150 g (5.3 oz)
Red onion — 50 g (1.8 oz)
Greek yogurt, plain 2% — 150 g (5.3 oz)
Fresh dill — 5 g (0.2 oz)
Feta cheese — 40 g (1.4 oz)
Extra-virgin olive oil — 10 g (0.4 oz)
Salt — 3 g (0.1 oz)</t>
        </is>
      </c>
      <c r="M501" s="4" t="inlineStr">
        <is>
          <t>[{"ingredient_id": "ground_beef", "name": "Ground beef 90% lean", "grams": 600.0, "note": ""}, {"ingredient_id": "onion", "name": "Yellow onion", "grams": 60.0, "note": ""}, {"ingredient_id": "garlic", "name": "Garlic", "grams": 8.0, "note": ""}, {"ingredient_id": "oregano", "name": "Dried oregano", "grams": 4.0, "note": ""}, {"ingredient_id": "cumin", "name": "Ground cumin", "grams": 2.0, "note": ""}, {"ingredient_id": "cauliflower_rice", "name": "Cauliflower rice", "grams": 500.0, "note": ""}, {"ingredient_id": "tomato", "name": "Tomato", "grams": 200.0, "note": ""}, {"ingredient_id": "cucumber", "name": "Cucumber", "grams": 150.0, "note": ""}, {"ingredient_id": "red_onion", "name": "Red onion", "grams": 50.0, "note": ""}, {"ingredient_id": "greek_yogurt", "name": "Greek yogurt, plain 2%", "grams": 150.0, "note": ""}, {"ingredient_id": "dill", "name": "Fresh dill", "grams": 5.0, "note": ""}, {"ingredient_id": "feta", "name": "Feta cheese", "grams": 40.0, "note": ""}, {"ingredient_id": "olive_oil", "name": "Extra-virgin olive oil", "grams": 10.0, "note": ""}, {"ingredient_id": "salt", "name": "Salt", "grams": 3.0, "note": ""}]</t>
        </is>
      </c>
      <c r="N501" s="2" t="n">
        <v>405</v>
      </c>
      <c r="O501" s="5" t="n">
        <v>38.9</v>
      </c>
      <c r="P501" s="5" t="n">
        <v>21.1</v>
      </c>
      <c r="Q501" s="5" t="n">
        <v>15.7</v>
      </c>
      <c r="R501" s="5" t="n">
        <v>4.3</v>
      </c>
      <c r="S501" s="5" t="n">
        <v>11.4</v>
      </c>
      <c r="T501" s="2" t="n">
        <v>15</v>
      </c>
      <c r="U501" s="2" t="inlineStr">
        <is>
          <t>low</t>
        </is>
      </c>
      <c r="V501" s="5" t="n">
        <v>1.7</v>
      </c>
      <c r="W501" s="2" t="inlineStr">
        <is>
          <t>low</t>
        </is>
      </c>
      <c r="X501" s="3" t="inlineStr"/>
      <c r="Y501" s="3" t="inlineStr">
        <is>
          <t>13% of this dish's available carbohydrate comes from ingredients with a published, measured GI; the rest uses conventional placeholders (see Ingredients sheet)</t>
        </is>
      </c>
      <c r="Z501" s="2" t="n">
        <v>13</v>
      </c>
      <c r="AA501" s="3" t="inlineStr">
        <is>
          <t>gluten-free, nut-free, low-carb, high-protein</t>
        </is>
      </c>
      <c r="AB501" s="3" t="inlineStr">
        <is>
          <t>1. Mix beef with grated onion, garlic, oregano, cumin, salt; press into a thin sheet and bake at 425°F 15 minutes; slice into strips.
2. Sauté cauliflower rice.
3. Bowl with tomato, cucumber, onion, feta, yogurt-dill sauce.</t>
        </is>
      </c>
      <c r="AC501" s="4" t="inlineStr">
        <is>
          <t>["Mix beef with grated onion, garlic, oregano, cumin, salt; press into a thin sheet and bake at 425°F 15 minutes; slice into strips.", "Sauté cauliflower rice.", "Bowl with tomato, cucumber, onion, feta, yogurt-dill sauce."]</t>
        </is>
      </c>
    </row>
    <row r="502" ht="96" customHeight="1">
      <c r="A502" s="2" t="inlineStr">
        <is>
          <t>DB-0501</t>
        </is>
      </c>
      <c r="B502" s="3" t="inlineStr">
        <is>
          <t>Pork Tenderloin with Roasted Fennel &amp; Orange</t>
        </is>
      </c>
      <c r="C502" s="4" t="inlineStr">
        <is>
          <t>Beef, Pork &amp; Lamb</t>
        </is>
      </c>
      <c r="D502" s="4" t="inlineStr">
        <is>
          <t>Mediterranean</t>
        </is>
      </c>
      <c r="E502" s="2" t="n">
        <v>4</v>
      </c>
      <c r="F502" s="2" t="n">
        <v>10</v>
      </c>
      <c r="G502" s="2" t="n">
        <v>30</v>
      </c>
      <c r="H502" s="2" t="n">
        <v>40</v>
      </c>
      <c r="I502" s="4" t="inlineStr">
        <is>
          <t>pork-tenderloin-with-roasted-fennel-and-orange.jpg</t>
        </is>
      </c>
      <c r="J502" s="3" t="inlineStr">
        <is>
          <t>Pork Tenderloin with Roasted Fennel &amp; Orange, healthy food photography, plated, natural light</t>
        </is>
      </c>
      <c r="K502" s="4" t="inlineStr"/>
      <c r="L502" s="3" t="inlineStr">
        <is>
          <t>Pork tenderloin — 600 g (21.2 oz)
Fennel bulb — 400 g (14.1 oz)
Orange — 120 g (4.2 oz)
Red onion — 100 g (3.5 oz)
Extra-virgin olive oil — 20 g (0.7 oz)
Fresh rosemary — 2 g (0.1 oz)
Garlic — 6 g (0.2 oz)
Salt — 3 g (0.1 oz)</t>
        </is>
      </c>
      <c r="M502" s="4" t="inlineStr">
        <is>
          <t>[{"ingredient_id": "pork_tenderloin", "name": "Pork tenderloin", "grams": 600.0, "note": ""}, {"ingredient_id": "fennel", "name": "Fennel bulb", "grams": 400.0, "note": ""}, {"ingredient_id": "orange", "name": "Orange", "grams": 120.0, "note": ""}, {"ingredient_id": "red_onion", "name": "Red onion", "grams": 100.0, "note": ""}, {"ingredient_id": "olive_oil", "name": "Extra-virgin olive oil", "grams": 20.0, "note": ""}, {"ingredient_id": "rosemary", "name": "Fresh rosemary", "grams": 2.0, "note": ""}, {"ingredient_id": "garlic", "name": "Garlic", "grams": 6.0, "note": ""}, {"ingredient_id": "salt", "name": "Salt", "grams": 3.0, "note": ""}]</t>
        </is>
      </c>
      <c r="N502" s="2" t="n">
        <v>282</v>
      </c>
      <c r="O502" s="5" t="n">
        <v>33.4</v>
      </c>
      <c r="P502" s="5" t="n">
        <v>10.5</v>
      </c>
      <c r="Q502" s="5" t="n">
        <v>13.8</v>
      </c>
      <c r="R502" s="5" t="n">
        <v>4.3</v>
      </c>
      <c r="S502" s="5" t="n">
        <v>9.5</v>
      </c>
      <c r="T502" s="2" t="n">
        <v>24</v>
      </c>
      <c r="U502" s="2" t="inlineStr">
        <is>
          <t>low</t>
        </is>
      </c>
      <c r="V502" s="5" t="n">
        <v>2.3</v>
      </c>
      <c r="W502" s="2" t="inlineStr">
        <is>
          <t>low</t>
        </is>
      </c>
      <c r="X502" s="3" t="inlineStr"/>
      <c r="Y502" s="3" t="inlineStr">
        <is>
          <t>30% of this dish's available carbohydrate comes from ingredients with a published, measured GI; the rest uses conventional placeholders (see Ingredients sheet)</t>
        </is>
      </c>
      <c r="Z502" s="2" t="n">
        <v>30</v>
      </c>
      <c r="AA502" s="3" t="inlineStr">
        <is>
          <t>gluten-free, dairy-free, nut-free, low-carb, high-protein, one-pan</t>
        </is>
      </c>
      <c r="AB502" s="3" t="inlineStr">
        <is>
          <t>1. Toss fennel and onion with half the oil; roast at 425°F 15 minutes.
2. Add seasoned pork and orange slices; roast 15 minutes more.
3. Rest and slice; spoon pan juices over.</t>
        </is>
      </c>
      <c r="AC502" s="4" t="inlineStr">
        <is>
          <t>["Toss fennel and onion with half the oil; roast at 425°F 15 minutes.", "Add seasoned pork and orange slices; roast 15 minutes more.", "Rest and slice; spoon pan juices over."]</t>
        </is>
      </c>
    </row>
    <row r="503" ht="96" customHeight="1">
      <c r="A503" s="2" t="inlineStr">
        <is>
          <t>DB-0502</t>
        </is>
      </c>
      <c r="B503" s="3" t="inlineStr">
        <is>
          <t>Beef &amp; Broccoli Cauliflower Fried Rice</t>
        </is>
      </c>
      <c r="C503" s="4" t="inlineStr">
        <is>
          <t>Beef, Pork &amp; Lamb</t>
        </is>
      </c>
      <c r="D503" s="4" t="inlineStr">
        <is>
          <t>Chinese-American</t>
        </is>
      </c>
      <c r="E503" s="2" t="n">
        <v>4</v>
      </c>
      <c r="F503" s="2" t="n">
        <v>10</v>
      </c>
      <c r="G503" s="2" t="n">
        <v>15</v>
      </c>
      <c r="H503" s="2" t="n">
        <v>25</v>
      </c>
      <c r="I503" s="4" t="inlineStr">
        <is>
          <t>beef-and-broccoli-cauliflower-fried-rice.jpg</t>
        </is>
      </c>
      <c r="J503" s="3" t="inlineStr">
        <is>
          <t>Beef &amp; Broccoli Cauliflower Fried Rice, healthy food photography, plated, natural light</t>
        </is>
      </c>
      <c r="K503" s="4" t="inlineStr"/>
      <c r="L503" s="3" t="inlineStr">
        <is>
          <t>Ground beef 90% lean — 500 g (17.6 oz)
Cauliflower rice — 500 g (17.6 oz)
Broccoli — 300 g (10.6 oz)
Egg, large (50 g each) — 100 g (3.5 oz)
Garlic — 8 g (0.3 oz)
Fresh ginger — 6 g (0.2 oz)
Tamari (gluten-free soy sauce) — 30 g (1.1 oz)
Toasted sesame oil — 8 g (0.3 oz)
Green onions (scallions) — 20 g (0.7 oz)
Avocado oil — 10 g (0.4 oz)</t>
        </is>
      </c>
      <c r="M503" s="4" t="inlineStr">
        <is>
          <t>[{"ingredient_id": "ground_beef", "name": "Ground beef 90% lean", "grams": 500.0, "note": ""}, {"ingredient_id": "cauliflower_rice", "name": "Cauliflower rice", "grams": 500.0, "note": ""}, {"ingredient_id": "broccoli", "name": "Broccoli", "grams": 300.0, "note": ""}, {"ingredient_id": "egg", "name": "Egg, large (50 g each)", "grams": 100.0, "note": ""}, {"ingredient_id": "garlic", "name": "Garlic", "grams": 8.0, "note": ""}, {"ingredient_id": "ginger", "name": "Fresh ginger", "grams": 6.0, "note": ""}, {"ingredient_id": "tamari", "name": "Tamari (gluten-free soy sauce)", "grams": 30.0, "note": ""}, {"ingredient_id": "sesame_oil", "name": "Toasted sesame oil", "grams": 8.0, "note": ""}, {"ingredient_id": "green_onion", "name": "Green onions (scallions)", "grams": 20.0, "note": ""}, {"ingredient_id": "avocado_oil", "name": "Avocado oil", "grams": 10.0, "note": ""}]</t>
        </is>
      </c>
      <c r="N503" s="2" t="n">
        <v>363</v>
      </c>
      <c r="O503" s="5" t="n">
        <v>33.6</v>
      </c>
      <c r="P503" s="5" t="n">
        <v>20.1</v>
      </c>
      <c r="Q503" s="5" t="n">
        <v>13</v>
      </c>
      <c r="R503" s="5" t="n">
        <v>4.7</v>
      </c>
      <c r="S503" s="5" t="n">
        <v>8.300000000000001</v>
      </c>
      <c r="T503" s="2" t="n">
        <v>16</v>
      </c>
      <c r="U503" s="2" t="inlineStr">
        <is>
          <t>low</t>
        </is>
      </c>
      <c r="V503" s="5" t="n">
        <v>1.3</v>
      </c>
      <c r="W503" s="2" t="inlineStr">
        <is>
          <t>low</t>
        </is>
      </c>
      <c r="X503" s="3" t="inlineStr"/>
      <c r="Y503" s="3" t="inlineStr">
        <is>
          <t>0% of this dish's available carbohydrate comes from ingredients with a published, measured GI; the rest uses conventional placeholders (see Ingredients sheet)</t>
        </is>
      </c>
      <c r="Z503" s="2" t="n">
        <v>0</v>
      </c>
      <c r="AA503" s="3" t="inlineStr">
        <is>
          <t>gluten-free, dairy-free, nut-free, low-carb, high-protein, quick</t>
        </is>
      </c>
      <c r="AB503" s="3" t="inlineStr">
        <is>
          <t>1. Brown beef with garlic and ginger; remove.
2. Stir-fry broccoli and cauliflower rice 5 minutes; scramble eggs in.
3. Return beef with tamari, sesame oil, green onion.</t>
        </is>
      </c>
      <c r="AC503" s="4" t="inlineStr">
        <is>
          <t>["Brown beef with garlic and ginger; remove.", "Stir-fry broccoli and cauliflower rice 5 minutes; scramble eggs in.", "Return beef with tamari, sesame oil, green onion."]</t>
        </is>
      </c>
    </row>
    <row r="504" ht="96" customHeight="1">
      <c r="A504" s="2" t="inlineStr">
        <is>
          <t>DB-0503</t>
        </is>
      </c>
      <c r="B504" s="3" t="inlineStr">
        <is>
          <t>Lamb Burgers with Feta &amp; Tzatziki (Lettuce Bun)</t>
        </is>
      </c>
      <c r="C504" s="4" t="inlineStr">
        <is>
          <t>Beef, Pork &amp; Lamb</t>
        </is>
      </c>
      <c r="D504" s="4" t="inlineStr">
        <is>
          <t>Greek</t>
        </is>
      </c>
      <c r="E504" s="2" t="n">
        <v>4</v>
      </c>
      <c r="F504" s="2" t="n">
        <v>10</v>
      </c>
      <c r="G504" s="2" t="n">
        <v>12</v>
      </c>
      <c r="H504" s="2" t="n">
        <v>22</v>
      </c>
      <c r="I504" s="4" t="inlineStr">
        <is>
          <t>lamb-burgers-with-feta-and-tzatziki-lettuce-bun.jpg</t>
        </is>
      </c>
      <c r="J504" s="3" t="inlineStr">
        <is>
          <t>Lamb Burgers with Feta &amp; Tzatziki (Lettuce Bun), healthy food photography, plated, natural light</t>
        </is>
      </c>
      <c r="K504" s="4" t="inlineStr"/>
      <c r="L504" s="3" t="inlineStr">
        <is>
          <t>Ground lamb — 600 g (21.2 oz)
Garlic — 6 g (0.2 oz)
Dried oregano — 3 g (0.1 oz)
Fresh mint — 6 g (0.2 oz)
Feta cheese — 50 g (1.8 oz)
Greek yogurt, plain 2% — 120 g (4.2 oz)
Cucumber — 100 g (3.5 oz)
Fresh dill — 4 g (0.1 oz)
Butter lettuce — 150 g (5.3 oz)
Tomato — 120 g (4.2 oz)
Red onion — 40 g (1.4 oz)
Salt — 3 g (0.1 oz)</t>
        </is>
      </c>
      <c r="M504" s="4" t="inlineStr">
        <is>
          <t>[{"ingredient_id": "ground_lamb", "name": "Ground lamb", "grams": 600.0, "note": ""}, {"ingredient_id": "garlic", "name": "Garlic", "grams": 6.0, "note": ""}, {"ingredient_id": "oregano", "name": "Dried oregano", "grams": 3.0, "note": ""}, {"ingredient_id": "mint", "name": "Fresh mint", "grams": 6.0, "note": ""}, {"ingredient_id": "feta", "name": "Feta cheese", "grams": 50.0, "note": ""}, {"ingredient_id": "greek_yogurt", "name": "Greek yogurt, plain 2%", "grams": 120.0, "note": ""}, {"ingredient_id": "cucumber", "name": "Cucumber", "grams": 100.0, "note": ""}, {"ingredient_id": "dill", "name": "Fresh dill", "grams": 4.0, "note": ""}, {"ingredient_id": "butter_lettuce", "name": "Butter lettuce", "grams": 150.0, "note": ""}, {"ingredient_id": "tomato", "name": "Tomato", "grams": 120.0, "note": ""}, {"ingredient_id": "red_onion", "name": "Red onion", "grams": 40.0, "note": ""}, {"ingredient_id": "salt", "name": "Salt", "grams": 3.0, "note": ""}]</t>
        </is>
      </c>
      <c r="N504" s="2" t="n">
        <v>501</v>
      </c>
      <c r="O504" s="5" t="n">
        <v>31.6</v>
      </c>
      <c r="P504" s="5" t="n">
        <v>38</v>
      </c>
      <c r="Q504" s="5" t="n">
        <v>6.7</v>
      </c>
      <c r="R504" s="5" t="n">
        <v>1.5</v>
      </c>
      <c r="S504" s="5" t="n">
        <v>5.2</v>
      </c>
      <c r="T504" s="2" t="n">
        <v>14</v>
      </c>
      <c r="U504" s="2" t="inlineStr">
        <is>
          <t>low</t>
        </is>
      </c>
      <c r="V504" s="5" t="n">
        <v>0.7</v>
      </c>
      <c r="W504" s="2" t="inlineStr">
        <is>
          <t>low</t>
        </is>
      </c>
      <c r="X504" s="3" t="inlineStr"/>
      <c r="Y504" s="3" t="inlineStr">
        <is>
          <t>23% of this dish's available carbohydrate comes from ingredients with a published, measured GI; the rest uses conventional placeholders (see Ingredients sheet)</t>
        </is>
      </c>
      <c r="Z504" s="2" t="n">
        <v>23</v>
      </c>
      <c r="AA504" s="3" t="inlineStr">
        <is>
          <t>gluten-free, nut-free, low-carb, high-protein</t>
        </is>
      </c>
      <c r="AB504" s="3" t="inlineStr">
        <is>
          <t>1. Mix lamb, garlic, oregano, mint, salt; form patties; grill 5 minutes per side.
2. Mix yogurt, grated cucumber, dill.
3. Serve in lettuce with feta, tomato, onion, tzatziki.</t>
        </is>
      </c>
      <c r="AC504" s="4" t="inlineStr">
        <is>
          <t>["Mix lamb, garlic, oregano, mint, salt; form patties; grill 5 minutes per side.", "Mix yogurt, grated cucumber, dill.", "Serve in lettuce with feta, tomato, onion, tzatziki."]</t>
        </is>
      </c>
    </row>
    <row r="505" ht="96" customHeight="1">
      <c r="A505" s="2" t="inlineStr">
        <is>
          <t>DB-0504</t>
        </is>
      </c>
      <c r="B505" s="3" t="inlineStr">
        <is>
          <t>Pork &amp; Brussels Sprout Sheet Pan</t>
        </is>
      </c>
      <c r="C505" s="4" t="inlineStr">
        <is>
          <t>Beef, Pork &amp; Lamb</t>
        </is>
      </c>
      <c r="D505" s="4" t="inlineStr">
        <is>
          <t>American</t>
        </is>
      </c>
      <c r="E505" s="2" t="n">
        <v>4</v>
      </c>
      <c r="F505" s="2" t="n">
        <v>10</v>
      </c>
      <c r="G505" s="2" t="n">
        <v>25</v>
      </c>
      <c r="H505" s="2" t="n">
        <v>35</v>
      </c>
      <c r="I505" s="4" t="inlineStr">
        <is>
          <t>pork-and-brussels-sprout-sheet-pan.jpg</t>
        </is>
      </c>
      <c r="J505" s="3" t="inlineStr">
        <is>
          <t>Pork &amp; Brussels Sprout Sheet Pan, healthy food photography, plated, natural light</t>
        </is>
      </c>
      <c r="K505" s="4" t="inlineStr"/>
      <c r="L505" s="3" t="inlineStr">
        <is>
          <t>Pork tenderloin — 600 g (21.2 oz)
Brussels sprouts — 500 g (17.6 oz)
Red onion — 100 g (3.5 oz)
Extra-virgin olive oil — 20 g (0.7 oz)
Dijon mustard — 15 g (0.5 oz)
Garlic — 6 g (0.2 oz)
Apple cider vinegar — 10 g (0.4 oz)
Fresh thyme — 2 g (0.1 oz)
Salt — 3 g (0.1 oz)</t>
        </is>
      </c>
      <c r="M505" s="4" t="inlineStr">
        <is>
          <t>[{"ingredient_id": "pork_tenderloin", "name": "Pork tenderloin", "grams": 600.0, "note": ""}, {"ingredient_id": "brussels_sprouts", "name": "Brussels sprouts", "grams": 500.0, "note": ""}, {"ingredient_id": "red_onion", "name": "Red onion", "grams": 100.0, "note": ""}, {"ingredient_id": "olive_oil", "name": "Extra-virgin olive oil", "grams": 20.0, "note": ""}, {"ingredient_id": "dijon", "name": "Dijon mustard", "grams": 15.0, "note": ""}, {"ingredient_id": "garlic", "name": "Garlic", "grams": 6.0, "note": ""}, {"ingredient_id": "apple_cider_vinegar", "name": "Apple cider vinegar", "grams": 10.0, "note": ""}, {"ingredient_id": "thyme", "name": "Fresh thyme", "grams": 2.0, "note": ""}, {"ingredient_id": "salt", "name": "Salt", "grams": 3.0, "note": ""}]</t>
        </is>
      </c>
      <c r="N505" s="2" t="n">
        <v>294</v>
      </c>
      <c r="O505" s="5" t="n">
        <v>36.3</v>
      </c>
      <c r="P505" s="5" t="n">
        <v>10.8</v>
      </c>
      <c r="Q505" s="5" t="n">
        <v>14.4</v>
      </c>
      <c r="R505" s="5" t="n">
        <v>5.4</v>
      </c>
      <c r="S505" s="5" t="n">
        <v>9</v>
      </c>
      <c r="T505" s="2" t="n">
        <v>16</v>
      </c>
      <c r="U505" s="2" t="inlineStr">
        <is>
          <t>low</t>
        </is>
      </c>
      <c r="V505" s="5" t="n">
        <v>1.4</v>
      </c>
      <c r="W505" s="2" t="inlineStr">
        <is>
          <t>low</t>
        </is>
      </c>
      <c r="X505" s="3" t="inlineStr"/>
      <c r="Y505" s="3" t="inlineStr">
        <is>
          <t>0% of this dish's available carbohydrate comes from ingredients with a published, measured GI; the rest uses conventional placeholders (see Ingredients sheet)</t>
        </is>
      </c>
      <c r="Z505" s="2" t="n">
        <v>0</v>
      </c>
      <c r="AA505" s="3" t="inlineStr">
        <is>
          <t>gluten-free, dairy-free, nut-free, low-carb, high-protein, one-pan</t>
        </is>
      </c>
      <c r="AB505" s="3" t="inlineStr">
        <is>
          <t>1. Toss sprouts and onion with oil; spread on a pan.
2. Rub pork with Dijon, garlic, thyme; add to pan.
3. Roast at 425°F 22 minutes; drizzle vinegar over sprouts.</t>
        </is>
      </c>
      <c r="AC505" s="4" t="inlineStr">
        <is>
          <t>["Toss sprouts and onion with oil; spread on a pan.", "Rub pork with Dijon, garlic, thyme; add to pan.", "Roast at 425°F 22 minutes; drizzle vinegar over sprouts."]</t>
        </is>
      </c>
    </row>
    <row r="506" ht="96" customHeight="1">
      <c r="A506" s="2" t="inlineStr">
        <is>
          <t>DB-0505</t>
        </is>
      </c>
      <c r="B506" s="3" t="inlineStr">
        <is>
          <t>Baked Lemon Garlic Salmon</t>
        </is>
      </c>
      <c r="C506" s="4" t="inlineStr">
        <is>
          <t>Seafood</t>
        </is>
      </c>
      <c r="D506" s="4" t="inlineStr">
        <is>
          <t>American</t>
        </is>
      </c>
      <c r="E506" s="2" t="n">
        <v>4</v>
      </c>
      <c r="F506" s="2" t="n">
        <v>5</v>
      </c>
      <c r="G506" s="2" t="n">
        <v>15</v>
      </c>
      <c r="H506" s="2" t="n">
        <v>20</v>
      </c>
      <c r="I506" s="4" t="inlineStr">
        <is>
          <t>baked-lemon-garlic-salmon.jpg</t>
        </is>
      </c>
      <c r="J506" s="3" t="inlineStr">
        <is>
          <t>Baked Lemon Garlic Salmon, healthy food photography, plated, natural light</t>
        </is>
      </c>
      <c r="K506" s="4" t="inlineStr"/>
      <c r="L506" s="3" t="inlineStr">
        <is>
          <t>Salmon fillet — 600 g (21.2 oz)
Lemon (with juice &amp; zest) — 60 g (2.1 oz)
Garlic — 10 g (0.4 oz)
Extra-virgin olive oil — 15 g (0.5 oz)
Fresh dill — 6 g (0.2 oz)
Asparagus — 500 g (17.6 oz)
Salt — 3 g (0.1 oz)
Black pepper — 1 g (0.0 oz)</t>
        </is>
      </c>
      <c r="M506" s="4" t="inlineStr">
        <is>
          <t>[{"ingredient_id": "salmon", "name": "Salmon fillet", "grams": 600.0, "note": ""}, {"ingredient_id": "lemon", "name": "Lemon (with juice &amp; zest)", "grams": 60.0, "note": ""}, {"ingredient_id": "garlic", "name": "Garlic", "grams": 10.0, "note": ""}, {"ingredient_id": "olive_oil", "name": "Extra-virgin olive oil", "grams": 15.0, "note": ""}, {"ingredient_id": "dill", "name": "Fresh dill", "grams": 6.0, "note": ""}, {"ingredient_id": "asparagus", "name": "Asparagus", "grams": 500.0, "note": ""}, {"ingredient_id": "salt", "name": "Salt", "grams": 3.0, "note": ""}, {"ingredient_id": "black_pepper", "name": "Black pepper", "grams": 1.0, "note": ""}]</t>
        </is>
      </c>
      <c r="N506" s="2" t="n">
        <v>379</v>
      </c>
      <c r="O506" s="5" t="n">
        <v>33.2</v>
      </c>
      <c r="P506" s="5" t="n">
        <v>23.5</v>
      </c>
      <c r="Q506" s="5" t="n">
        <v>7.4</v>
      </c>
      <c r="R506" s="5" t="n">
        <v>3.2</v>
      </c>
      <c r="S506" s="5" t="n">
        <v>4.2</v>
      </c>
      <c r="T506" s="2" t="n">
        <v>19</v>
      </c>
      <c r="U506" s="2" t="inlineStr">
        <is>
          <t>low</t>
        </is>
      </c>
      <c r="V506" s="5" t="n">
        <v>0.8</v>
      </c>
      <c r="W506" s="2" t="inlineStr">
        <is>
          <t>low</t>
        </is>
      </c>
      <c r="X506" s="3" t="inlineStr">
        <is>
          <t>Negligible carbohydrate (&lt;5 g net/serving): GI has little practical meaning, glycemic load is what matters.</t>
        </is>
      </c>
      <c r="Y506" s="3" t="inlineStr">
        <is>
          <t>0% of this dish's available carbohydrate comes from ingredients with a published, measured GI; the rest uses conventional placeholders (see Ingredients sheet)</t>
        </is>
      </c>
      <c r="Z506" s="2" t="n">
        <v>0</v>
      </c>
      <c r="AA506" s="3" t="inlineStr">
        <is>
          <t>pescatarian, gluten-free, dairy-free, nut-free, low-carb, high-protein, omega-3, one-pan</t>
        </is>
      </c>
      <c r="AB506" s="3" t="inlineStr">
        <is>
          <t>1. Place salmon and asparagus on a sheet pan; rub with oil, garlic, salt, pepper; top with lemon slices.
2. Bake at 400°F 12–15 minutes.
3. Finish with dill and lemon juice.</t>
        </is>
      </c>
      <c r="AC506" s="4" t="inlineStr">
        <is>
          <t>["Place salmon and asparagus on a sheet pan; rub with oil, garlic, salt, pepper; top with lemon slices.", "Bake at 400°F 12–15 minutes.", "Finish with dill and lemon juice."]</t>
        </is>
      </c>
    </row>
    <row r="507" ht="96" customHeight="1">
      <c r="A507" s="2" t="inlineStr">
        <is>
          <t>DB-0506</t>
        </is>
      </c>
      <c r="B507" s="3" t="inlineStr">
        <is>
          <t>Shrimp Scampi Zoodles</t>
        </is>
      </c>
      <c r="C507" s="4" t="inlineStr">
        <is>
          <t>Seafood</t>
        </is>
      </c>
      <c r="D507" s="4" t="inlineStr">
        <is>
          <t>Italian</t>
        </is>
      </c>
      <c r="E507" s="2" t="n">
        <v>4</v>
      </c>
      <c r="F507" s="2" t="n">
        <v>10</v>
      </c>
      <c r="G507" s="2" t="n">
        <v>10</v>
      </c>
      <c r="H507" s="2" t="n">
        <v>20</v>
      </c>
      <c r="I507" s="4" t="inlineStr">
        <is>
          <t>shrimp-scampi-zoodles.jpg</t>
        </is>
      </c>
      <c r="J507" s="3" t="inlineStr">
        <is>
          <t>Shrimp Scampi Zoodles, healthy food photography, plated, natural light</t>
        </is>
      </c>
      <c r="K507" s="4" t="inlineStr"/>
      <c r="L507" s="3" t="inlineStr">
        <is>
          <t>Shrimp, peeled — 600 g (21.2 oz)
Zucchini noodles (zoodles) — 700 g (24.7 oz)
Garlic — 12 g (0.4 oz)
Butter — 15 g (0.5 oz)
Extra-virgin olive oil — 15 g (0.5 oz)
Dry white wine (cooking) — 60 g (2.1 oz)
Lemon (with juice &amp; zest) — 50 g (1.8 oz)
Red pepper flakes — 1 g (0.0 oz)
Fresh parsley — 8 g (0.3 oz)
Parmesan, grated — 20 g (0.7 oz)
Salt — 3 g (0.1 oz)</t>
        </is>
      </c>
      <c r="M507" s="4" t="inlineStr">
        <is>
          <t>[{"ingredient_id": "shrimp", "name": "Shrimp, peeled", "grams": 600.0, "note": ""}, {"ingredient_id": "zucchini_noodles", "name": "Zucchini noodles (zoodles)", "grams": 700.0, "note": ""}, {"ingredient_id": "garlic", "name": "Garlic", "grams": 12.0, "note": ""}, {"ingredient_id": "butter", "name": "Butter", "grams": 15.0, "note": ""}, {"ingredient_id": "olive_oil", "name": "Extra-virgin olive oil", "grams": 15.0, "note": ""}, {"ingredient_id": "white_wine", "name": "Dry white wine (cooking)", "grams": 60.0, "note": ""}, {"ingredient_id": "lemon", "name": "Lemon (with juice &amp; zest)", "grams": 50.0, "note": ""}, {"ingredient_id": "red_pepper_flakes", "name": "Red pepper flakes", "grams": 1.0, "note": ""}, {"ingredient_id": "parsley", "name": "Fresh parsley", "grams": 8.0, "note": ""}, {"ingredient_id": "parmesan", "name": "Parmesan, grated", "grams": 20.0, "note": ""}, {"ingredient_id": "salt", "name": "Salt", "grams": 3.0, "note": ""}]</t>
        </is>
      </c>
      <c r="N507" s="2" t="n">
        <v>261</v>
      </c>
      <c r="O507" s="5" t="n">
        <v>34.5</v>
      </c>
      <c r="P507" s="5" t="n">
        <v>9.6</v>
      </c>
      <c r="Q507" s="5" t="n">
        <v>8.4</v>
      </c>
      <c r="R507" s="5" t="n">
        <v>2.3</v>
      </c>
      <c r="S507" s="5" t="n">
        <v>6.1</v>
      </c>
      <c r="T507" s="2" t="n">
        <v>16</v>
      </c>
      <c r="U507" s="2" t="inlineStr">
        <is>
          <t>low</t>
        </is>
      </c>
      <c r="V507" s="5" t="n">
        <v>1</v>
      </c>
      <c r="W507" s="2" t="inlineStr">
        <is>
          <t>low</t>
        </is>
      </c>
      <c r="X507" s="3" t="inlineStr"/>
      <c r="Y507" s="3" t="inlineStr">
        <is>
          <t>0% of this dish's available carbohydrate comes from ingredients with a published, measured GI; the rest uses conventional placeholders (see Ingredients sheet)</t>
        </is>
      </c>
      <c r="Z507" s="2" t="n">
        <v>0</v>
      </c>
      <c r="AA507" s="3" t="inlineStr">
        <is>
          <t>pescatarian, gluten-free, nut-free, low-carb, high-protein, quick</t>
        </is>
      </c>
      <c r="AB507" s="3" t="inlineStr">
        <is>
          <t>1. Sauté garlic in oil and butter 30 seconds; add shrimp, cook 2 minutes per side; remove.
2. Add wine and lemon juice; reduce 1 minute; add zoodles and toss 2 minutes.
3. Return shrimp; top with parsley, parmesan, pepper flakes.</t>
        </is>
      </c>
      <c r="AC507" s="4" t="inlineStr">
        <is>
          <t>["Sauté garlic in oil and butter 30 seconds; add shrimp, cook 2 minutes per side; remove.", "Add wine and lemon juice; reduce 1 minute; add zoodles and toss 2 minutes.", "Return shrimp; top with parsley, parmesan, pepper flakes."]</t>
        </is>
      </c>
    </row>
    <row r="508" ht="96" customHeight="1">
      <c r="A508" s="2" t="inlineStr">
        <is>
          <t>DB-0507</t>
        </is>
      </c>
      <c r="B508" s="3" t="inlineStr">
        <is>
          <t>Blackened Cod with Mango Salsa</t>
        </is>
      </c>
      <c r="C508" s="4" t="inlineStr">
        <is>
          <t>Seafood</t>
        </is>
      </c>
      <c r="D508" s="4" t="inlineStr">
        <is>
          <t>Caribbean</t>
        </is>
      </c>
      <c r="E508" s="2" t="n">
        <v>4</v>
      </c>
      <c r="F508" s="2" t="n">
        <v>10</v>
      </c>
      <c r="G508" s="2" t="n">
        <v>10</v>
      </c>
      <c r="H508" s="2" t="n">
        <v>20</v>
      </c>
      <c r="I508" s="4" t="inlineStr">
        <is>
          <t>blackened-cod-with-mango-salsa.jpg</t>
        </is>
      </c>
      <c r="J508" s="3" t="inlineStr">
        <is>
          <t>Blackened Cod with Mango Salsa, healthy food photography, plated, natural light</t>
        </is>
      </c>
      <c r="K508" s="4" t="inlineStr"/>
      <c r="L508" s="3" t="inlineStr">
        <is>
          <t>Cod fillet — 600 g (21.2 oz)
Smoked paprika — 4 g (0.1 oz)
Cayenne pepper — 1 g (0.0 oz)
Garlic powder — 2 g (0.1 oz)
Dried oregano — 2 g (0.1 oz)
Mango — 150 g (5.3 oz)
Red onion — 40 g (1.4 oz)
Jalapeño — 10 g (0.4 oz)
Fresh cilantro — 8 g (0.3 oz)
Lime juice — 20 g (0.7 oz)
Extra-virgin olive oil — 15 g (0.5 oz)
Cauliflower rice — 500 g (17.6 oz)
Salt — 3 g (0.1 oz)</t>
        </is>
      </c>
      <c r="M508" s="4" t="inlineStr">
        <is>
          <t>[{"ingredient_id": "cod", "name": "Cod fillet", "grams": 600.0, "note": ""}, {"ingredient_id": "smoked_paprika", "name": "Smoked paprika", "grams": 4.0, "note": ""}, {"ingredient_id": "cayenne", "name": "Cayenne pepper", "grams": 1.0, "note": ""}, {"ingredient_id": "garlic_powder", "name": "Garlic powder", "grams": 2.0, "note": ""}, {"ingredient_id": "oregano", "name": "Dried oregano", "grams": 2.0, "note": ""}, {"ingredient_id": "mango", "name": "Mango", "grams": 150.0, "note": ""}, {"ingredient_id": "red_onion", "name": "Red onion", "grams": 40.0, "note": ""}, {"ingredient_id": "jalapeno", "name": "Jalapeño", "grams": 10.0, "note": ""}, {"ingredient_id": "cilantro", "name": "Fresh cilantro", "grams": 8.0, "note": ""}, {"ingredient_id": "lime_juice", "name": "Lime juice", "grams": 20.0, "note": ""}, {"ingredient_id": "olive_oil", "name": "Extra-virgin olive oil", "grams": 15.0, "note": ""}, {"ingredient_id": "cauliflower_rice", "name": "Cauliflower rice", "grams": 500.0, "note": ""}, {"ingredient_id": "salt", "name": "Salt", "grams": 3.0, "note": ""}]</t>
        </is>
      </c>
      <c r="N508" s="2" t="n">
        <v>223</v>
      </c>
      <c r="O508" s="5" t="n">
        <v>30.2</v>
      </c>
      <c r="P508" s="5" t="n">
        <v>5.6</v>
      </c>
      <c r="Q508" s="5" t="n">
        <v>14.9</v>
      </c>
      <c r="R508" s="5" t="n">
        <v>4.1</v>
      </c>
      <c r="S508" s="5" t="n">
        <v>10.8</v>
      </c>
      <c r="T508" s="2" t="n">
        <v>28</v>
      </c>
      <c r="U508" s="2" t="inlineStr">
        <is>
          <t>low</t>
        </is>
      </c>
      <c r="V508" s="5" t="n">
        <v>3</v>
      </c>
      <c r="W508" s="2" t="inlineStr">
        <is>
          <t>low</t>
        </is>
      </c>
      <c r="X508" s="3" t="inlineStr"/>
      <c r="Y508" s="3" t="inlineStr">
        <is>
          <t>47% of this dish's available carbohydrate comes from ingredients with a published, measured GI; the rest uses conventional placeholders (see Ingredients sheet)</t>
        </is>
      </c>
      <c r="Z508" s="2" t="n">
        <v>47</v>
      </c>
      <c r="AA508" s="3" t="inlineStr">
        <is>
          <t>pescatarian, gluten-free, dairy-free, nut-free, low-carb, high-protein</t>
        </is>
      </c>
      <c r="AB508" s="3" t="inlineStr">
        <is>
          <t>1. Rub cod with spices and salt; sear in oil 3–4 minutes per side.
2. Dice mango, onion, jalapeño; toss with cilantro and lime.
3. Serve fish over cauliflower rice with salsa.</t>
        </is>
      </c>
      <c r="AC508" s="4" t="inlineStr">
        <is>
          <t>["Rub cod with spices and salt; sear in oil 3–4 minutes per side.", "Dice mango, onion, jalapeño; toss with cilantro and lime.", "Serve fish over cauliflower rice with salsa."]</t>
        </is>
      </c>
    </row>
    <row r="509" ht="96" customHeight="1">
      <c r="A509" s="2" t="inlineStr">
        <is>
          <t>DB-0508</t>
        </is>
      </c>
      <c r="B509" s="3" t="inlineStr">
        <is>
          <t>Tuna Poke Bowl with Cauliflower Rice</t>
        </is>
      </c>
      <c r="C509" s="4" t="inlineStr">
        <is>
          <t>Seafood</t>
        </is>
      </c>
      <c r="D509" s="4" t="inlineStr">
        <is>
          <t>Hawaiian</t>
        </is>
      </c>
      <c r="E509" s="2" t="n">
        <v>2</v>
      </c>
      <c r="F509" s="2" t="n">
        <v>15</v>
      </c>
      <c r="G509" s="2" t="n">
        <v>5</v>
      </c>
      <c r="H509" s="2" t="n">
        <v>20</v>
      </c>
      <c r="I509" s="4" t="inlineStr">
        <is>
          <t>tuna-poke-bowl-with-cauliflower-rice.jpg</t>
        </is>
      </c>
      <c r="J509" s="3" t="inlineStr">
        <is>
          <t>Tuna Poke Bowl with Cauliflower Rice, healthy food photography, plated, natural light</t>
        </is>
      </c>
      <c r="K509" s="4" t="inlineStr"/>
      <c r="L509" s="3" t="inlineStr">
        <is>
          <t>Tuna steak (ahi) — 300 g (10.6 oz) [sushi-grade]
Tamari (gluten-free soy sauce) — 20 g (0.7 oz)
Toasted sesame oil — 8 g (0.3 oz)
Rice vinegar, unseasoned — 8 g (0.3 oz)
Green onions (scallions) — 15 g (0.5 oz)
Cauliflower rice — 300 g (10.6 oz)
Avocado — 80 g (2.8 oz)
Cucumber — 100 g (3.5 oz)
Edamame, shelled, cooked — 100 g (3.5 oz)
Wakame seaweed, rehydrated — 40 g (1.4 oz)
Sesame seeds — 6 g (0.2 oz)</t>
        </is>
      </c>
      <c r="M509" s="4" t="inlineStr">
        <is>
          <t>[{"ingredient_id": "tuna_steak", "name": "Tuna steak (ahi)", "grams": 300.0, "note": "sushi-grade"}, {"ingredient_id": "tamari", "name": "Tamari (gluten-free soy sauce)", "grams": 20.0, "note": ""}, {"ingredient_id": "sesame_oil", "name": "Toasted sesame oil", "grams": 8.0, "note": ""}, {"ingredient_id": "rice_vinegar", "name": "Rice vinegar, unseasoned", "grams": 8.0, "note": ""}, {"ingredient_id": "green_onion", "name": "Green onions (scallions)", "grams": 15.0, "note": ""}, {"ingredient_id": "cauliflower_rice", "name": "Cauliflower rice", "grams": 300.0, "note": ""}, {"ingredient_id": "avocado", "name": "Avocado", "grams": 80.0, "note": ""}, {"ingredient_id": "cucumber", "name": "Cucumber", "grams": 100.0, "note": ""}, {"ingredient_id": "edamame", "name": "Edamame, shelled, cooked", "grams": 100.0, "note": ""}, {"ingredient_id": "seaweed_salad", "name": "Wakame seaweed, rehydrated", "grams": 40.0, "note": ""}, {"ingredient_id": "sesame_seeds", "name": "Sesame seeds", "grams": 6.0, "note": ""}]</t>
        </is>
      </c>
      <c r="N509" s="2" t="n">
        <v>404</v>
      </c>
      <c r="O509" s="5" t="n">
        <v>48.3</v>
      </c>
      <c r="P509" s="5" t="n">
        <v>16.1</v>
      </c>
      <c r="Q509" s="5" t="n">
        <v>20.8</v>
      </c>
      <c r="R509" s="5" t="n">
        <v>9.199999999999999</v>
      </c>
      <c r="S509" s="5" t="n">
        <v>11.6</v>
      </c>
      <c r="T509" s="2" t="n">
        <v>16</v>
      </c>
      <c r="U509" s="2" t="inlineStr">
        <is>
          <t>low</t>
        </is>
      </c>
      <c r="V509" s="5" t="n">
        <v>1.9</v>
      </c>
      <c r="W509" s="2" t="inlineStr">
        <is>
          <t>low</t>
        </is>
      </c>
      <c r="X509" s="3" t="inlineStr"/>
      <c r="Y509" s="3" t="inlineStr">
        <is>
          <t>0% of this dish's available carbohydrate comes from ingredients with a published, measured GI; the rest uses conventional placeholders (see Ingredients sheet)</t>
        </is>
      </c>
      <c r="Z509" s="2" t="n">
        <v>0</v>
      </c>
      <c r="AA509" s="3" t="inlineStr">
        <is>
          <t>pescatarian, gluten-free, dairy-free, nut-free, low-carb, high-protein, high-fiber</t>
        </is>
      </c>
      <c r="AB509" s="3" t="inlineStr">
        <is>
          <t>1. Cube tuna; toss with tamari, sesame oil, vinegar, green onion.
2. Steam cauliflower rice 4 minutes; cool.
3. Bowl with avocado, cucumber, edamame, seaweed, tuna; top sesame.</t>
        </is>
      </c>
      <c r="AC509" s="4" t="inlineStr">
        <is>
          <t>["Cube tuna; toss with tamari, sesame oil, vinegar, green onion.", "Steam cauliflower rice 4 minutes; cool.", "Bowl with avocado, cucumber, edamame, seaweed, tuna; top sesame."]</t>
        </is>
      </c>
    </row>
    <row r="510" ht="96" customHeight="1">
      <c r="A510" s="2" t="inlineStr">
        <is>
          <t>DB-0509</t>
        </is>
      </c>
      <c r="B510" s="3" t="inlineStr">
        <is>
          <t>Garlic Butter Shrimp with Asparagus</t>
        </is>
      </c>
      <c r="C510" s="4" t="inlineStr">
        <is>
          <t>Seafood</t>
        </is>
      </c>
      <c r="D510" s="4" t="inlineStr">
        <is>
          <t>American</t>
        </is>
      </c>
      <c r="E510" s="2" t="n">
        <v>4</v>
      </c>
      <c r="F510" s="2" t="n">
        <v>5</v>
      </c>
      <c r="G510" s="2" t="n">
        <v>10</v>
      </c>
      <c r="H510" s="2" t="n">
        <v>15</v>
      </c>
      <c r="I510" s="4" t="inlineStr">
        <is>
          <t>garlic-butter-shrimp-with-asparagus.jpg</t>
        </is>
      </c>
      <c r="J510" s="3" t="inlineStr">
        <is>
          <t>Garlic Butter Shrimp with Asparagus, healthy food photography, plated, natural light</t>
        </is>
      </c>
      <c r="K510" s="4" t="inlineStr"/>
      <c r="L510" s="3" t="inlineStr">
        <is>
          <t>Shrimp, peeled — 600 g (21.2 oz)
Asparagus — 500 g (17.6 oz)
Butter — 20 g (0.7 oz)
Extra-virgin olive oil — 10 g (0.4 oz)
Garlic — 12 g (0.4 oz)
Lemon (with juice &amp; zest) — 40 g (1.4 oz)
Fresh parsley — 6 g (0.2 oz)
Red pepper flakes — 1 g (0.0 oz)
Salt — 3 g (0.1 oz)</t>
        </is>
      </c>
      <c r="M510" s="4" t="inlineStr">
        <is>
          <t>[{"ingredient_id": "shrimp", "name": "Shrimp, peeled", "grams": 600.0, "note": ""}, {"ingredient_id": "asparagus", "name": "Asparagus", "grams": 500.0, "note": ""}, {"ingredient_id": "butter", "name": "Butter", "grams": 20.0, "note": ""}, {"ingredient_id": "olive_oil", "name": "Extra-virgin olive oil", "grams": 10.0, "note": ""}, {"ingredient_id": "garlic", "name": "Garlic", "grams": 12.0, "note": ""}, {"ingredient_id": "lemon", "name": "Lemon (with juice &amp; zest)", "grams": 40.0, "note": ""}, {"ingredient_id": "parsley", "name": "Fresh parsley", "grams": 6.0, "note": ""}, {"ingredient_id": "red_pepper_flakes", "name": "Red pepper flakes", "grams": 1.0, "note": ""}, {"ingredient_id": "salt", "name": "Salt", "grams": 3.0, "note": ""}]</t>
        </is>
      </c>
      <c r="N510" s="2" t="n">
        <v>219</v>
      </c>
      <c r="O510" s="5" t="n">
        <v>33.2</v>
      </c>
      <c r="P510" s="5" t="n">
        <v>7.5</v>
      </c>
      <c r="Q510" s="5" t="n">
        <v>7</v>
      </c>
      <c r="R510" s="5" t="n">
        <v>3.1</v>
      </c>
      <c r="S510" s="5" t="n">
        <v>3.9</v>
      </c>
      <c r="T510" s="2" t="n">
        <v>19</v>
      </c>
      <c r="U510" s="2" t="inlineStr">
        <is>
          <t>low</t>
        </is>
      </c>
      <c r="V510" s="5" t="n">
        <v>0.7</v>
      </c>
      <c r="W510" s="2" t="inlineStr">
        <is>
          <t>low</t>
        </is>
      </c>
      <c r="X510" s="3" t="inlineStr">
        <is>
          <t>Negligible carbohydrate (&lt;5 g net/serving): GI has little practical meaning, glycemic load is what matters.</t>
        </is>
      </c>
      <c r="Y510" s="3" t="inlineStr">
        <is>
          <t>0% of this dish's available carbohydrate comes from ingredients with a published, measured GI; the rest uses conventional placeholders (see Ingredients sheet)</t>
        </is>
      </c>
      <c r="Z510" s="2" t="n">
        <v>0</v>
      </c>
      <c r="AA510" s="3" t="inlineStr">
        <is>
          <t>pescatarian, gluten-free, nut-free, low-carb, high-protein, quick</t>
        </is>
      </c>
      <c r="AB510" s="3" t="inlineStr">
        <is>
          <t>1. Sauté asparagus in oil 4 minutes; remove.
2. Melt butter with garlic; add shrimp, cook 3 minutes.
3. Return asparagus; finish with lemon, parsley, pepper flakes.</t>
        </is>
      </c>
      <c r="AC510" s="4" t="inlineStr">
        <is>
          <t>["Sauté asparagus in oil 4 minutes; remove.", "Melt butter with garlic; add shrimp, cook 3 minutes.", "Return asparagus; finish with lemon, parsley, pepper flakes."]</t>
        </is>
      </c>
    </row>
    <row r="511" ht="96" customHeight="1">
      <c r="A511" s="2" t="inlineStr">
        <is>
          <t>DB-0510</t>
        </is>
      </c>
      <c r="B511" s="3" t="inlineStr">
        <is>
          <t>Salmon Burgers with Avocado Slaw</t>
        </is>
      </c>
      <c r="C511" s="4" t="inlineStr">
        <is>
          <t>Seafood</t>
        </is>
      </c>
      <c r="D511" s="4" t="inlineStr">
        <is>
          <t>American</t>
        </is>
      </c>
      <c r="E511" s="2" t="n">
        <v>4</v>
      </c>
      <c r="F511" s="2" t="n">
        <v>15</v>
      </c>
      <c r="G511" s="2" t="n">
        <v>10</v>
      </c>
      <c r="H511" s="2" t="n">
        <v>25</v>
      </c>
      <c r="I511" s="4" t="inlineStr">
        <is>
          <t>salmon-burgers-with-avocado-slaw.jpg</t>
        </is>
      </c>
      <c r="J511" s="3" t="inlineStr">
        <is>
          <t>Salmon Burgers with Avocado Slaw, healthy food photography, plated, natural light</t>
        </is>
      </c>
      <c r="K511" s="4" t="inlineStr"/>
      <c r="L511" s="3" t="inlineStr">
        <is>
          <t>Salmon fillet — 550 g (19.4 oz) [skinless, chopped]
Egg, large (50 g each) — 50 g (1.8 oz)
Almond flour — 30 g (1.1 oz)
Dijon mustard — 10 g (0.4 oz)
Green onions (scallions) — 20 g (0.7 oz)
Fresh dill — 5 g (0.2 oz)
Coleslaw mix (cabbage &amp; carrot) — 300 g (10.6 oz)
Avocado — 100 g (3.5 oz)
Lime juice — 15 g (0.5 oz)
Greek yogurt, plain 2% — 50 g (1.8 oz)
Extra-virgin olive oil — 12 g (0.4 oz)
Salt — 3 g (0.1 oz)</t>
        </is>
      </c>
      <c r="M511" s="4" t="inlineStr">
        <is>
          <t>[{"ingredient_id": "salmon", "name": "Salmon fillet", "grams": 550.0, "note": "skinless, chopped"}, {"ingredient_id": "egg", "name": "Egg, large (50 g each)", "grams": 50.0, "note": ""}, {"ingredient_id": "almond_flour", "name": "Almond flour", "grams": 30.0, "note": ""}, {"ingredient_id": "dijon", "name": "Dijon mustard", "grams": 10.0, "note": ""}, {"ingredient_id": "green_onion", "name": "Green onions (scallions)", "grams": 20.0, "note": ""}, {"ingredient_id": "dill", "name": "Fresh dill", "grams": 5.0, "note": ""}, {"ingredient_id": "coleslaw_mix", "name": "Coleslaw mix (cabbage &amp; carrot)", "grams": 300.0, "note": ""}, {"ingredient_id": "avocado", "name": "Avocado", "grams": 100.0, "note": ""}, {"ingredient_id": "lime_juice", "name": "Lime juice", "grams": 15.0, "note": ""}, {"ingredient_id": "greek_yogurt", "name": "Greek yogurt, plain 2%", "grams": 50.0, "note": ""}, {"ingredient_id": "olive_oil", "name": "Extra-virgin olive oil", "grams": 12.0, "note": ""}, {"ingredient_id": "salt", "name": "Salt", "grams": 3.0, "note": ""}]</t>
        </is>
      </c>
      <c r="N511" s="2" t="n">
        <v>449</v>
      </c>
      <c r="O511" s="5" t="n">
        <v>33.6</v>
      </c>
      <c r="P511" s="5" t="n">
        <v>30</v>
      </c>
      <c r="Q511" s="5" t="n">
        <v>9.699999999999999</v>
      </c>
      <c r="R511" s="5" t="n">
        <v>4.6</v>
      </c>
      <c r="S511" s="5" t="n">
        <v>5.1</v>
      </c>
      <c r="T511" s="2" t="n">
        <v>15</v>
      </c>
      <c r="U511" s="2" t="inlineStr">
        <is>
          <t>low</t>
        </is>
      </c>
      <c r="V511" s="5" t="n">
        <v>0.8</v>
      </c>
      <c r="W511" s="2" t="inlineStr">
        <is>
          <t>low</t>
        </is>
      </c>
      <c r="X511" s="3" t="inlineStr"/>
      <c r="Y511" s="3" t="inlineStr">
        <is>
          <t>10% of this dish's available carbohydrate comes from ingredients with a published, measured GI; the rest uses conventional placeholders (see Ingredients sheet)</t>
        </is>
      </c>
      <c r="Z511" s="2" t="n">
        <v>10</v>
      </c>
      <c r="AA511" s="3" t="inlineStr">
        <is>
          <t>pescatarian, gluten-free, low-carb, high-protein, omega-3</t>
        </is>
      </c>
      <c r="AB511" s="3" t="inlineStr">
        <is>
          <t>1. Pulse salmon; mix with egg, almond flour, Dijon, green onion, dill, salt; form 4 patties.
2. Pan-fry in oil 4 minutes per side.
3. Mash avocado with yogurt and lime; toss with slaw; serve with burgers.</t>
        </is>
      </c>
      <c r="AC511" s="4" t="inlineStr">
        <is>
          <t>["Pulse salmon; mix with egg, almond flour, Dijon, green onion, dill, salt; form 4 patties.", "Pan-fry in oil 4 minutes per side.", "Mash avocado with yogurt and lime; toss with slaw; serve with burgers."]</t>
        </is>
      </c>
    </row>
    <row r="512" ht="96" customHeight="1">
      <c r="A512" s="2" t="inlineStr">
        <is>
          <t>DB-0511</t>
        </is>
      </c>
      <c r="B512" s="3" t="inlineStr">
        <is>
          <t>Fish Tacos with Cabbage Slaw</t>
        </is>
      </c>
      <c r="C512" s="4" t="inlineStr">
        <is>
          <t>Seafood</t>
        </is>
      </c>
      <c r="D512" s="4" t="inlineStr">
        <is>
          <t>Mexican</t>
        </is>
      </c>
      <c r="E512" s="2" t="n">
        <v>4</v>
      </c>
      <c r="F512" s="2" t="n">
        <v>15</v>
      </c>
      <c r="G512" s="2" t="n">
        <v>10</v>
      </c>
      <c r="H512" s="2" t="n">
        <v>25</v>
      </c>
      <c r="I512" s="4" t="inlineStr">
        <is>
          <t>fish-tacos-with-cabbage-slaw.jpg</t>
        </is>
      </c>
      <c r="J512" s="3" t="inlineStr">
        <is>
          <t>Fish Tacos with Cabbage Slaw, healthy food photography, plated, natural light</t>
        </is>
      </c>
      <c r="K512" s="4" t="inlineStr"/>
      <c r="L512" s="3" t="inlineStr">
        <is>
          <t>Mahi-mahi fillet — 600 g (21.2 oz)
Chili powder — 5 g (0.2 oz)
Ground cumin — 3 g (0.1 oz)
Lime — 50 g (1.8 oz)
Corn tortilla — 200 g (7.1 oz) [8 small]
Green cabbage — 300 g (10.6 oz)
Greek yogurt, plain 2% — 80 g (2.8 oz)
Mayonnaise (avocado oil) — 15 g (0.5 oz)
Fresh cilantro — 8 g (0.3 oz)
Jalapeño — 10 g (0.4 oz)
Avocado — 100 g (3.5 oz)
Extra-virgin olive oil — 12 g (0.4 oz)
Salt — 3 g (0.1 oz)</t>
        </is>
      </c>
      <c r="M512" s="4" t="inlineStr">
        <is>
          <t>[{"ingredient_id": "mahi_mahi", "name": "Mahi-mahi fillet", "grams": 600.0, "note": ""}, {"ingredient_id": "chili_powder", "name": "Chili powder", "grams": 5.0, "note": ""}, {"ingredient_id": "cumin", "name": "Ground cumin", "grams": 3.0, "note": ""}, {"ingredient_id": "lime", "name": "Lime", "grams": 50.0, "note": ""}, {"ingredient_id": "corn_tortilla", "name": "Corn tortilla", "grams": 200.0, "note": "8 small"}, {"ingredient_id": "cabbage", "name": "Green cabbage", "grams": 300.0, "note": ""}, {"ingredient_id": "greek_yogurt", "name": "Greek yogurt, plain 2%", "grams": 80.0, "note": ""}, {"ingredient_id": "mayo", "name": "Mayonnaise (avocado oil)", "grams": 15.0, "note": ""}, {"ingredient_id": "cilantro", "name": "Fresh cilantro", "grams": 8.0, "note": ""}, {"ingredient_id": "jalapeno", "name": "Jalapeño", "grams": 10.0, "note": ""}, {"ingredient_id": "avocado", "name": "Avocado", "grams": 100.0, "note": ""}, {"ingredient_id": "olive_oil", "name": "Extra-virgin olive oil", "grams": 12.0, "note": ""}, {"ingredient_id": "salt", "name": "Salt", "grams": 3.0, "note": ""}]</t>
        </is>
      </c>
      <c r="N512" s="2" t="n">
        <v>374</v>
      </c>
      <c r="O512" s="5" t="n">
        <v>34.5</v>
      </c>
      <c r="P512" s="5" t="n">
        <v>13</v>
      </c>
      <c r="Q512" s="5" t="n">
        <v>32.3</v>
      </c>
      <c r="R512" s="5" t="n">
        <v>7.7</v>
      </c>
      <c r="S512" s="5" t="n">
        <v>24.6</v>
      </c>
      <c r="T512" s="2" t="n">
        <v>44</v>
      </c>
      <c r="U512" s="2" t="inlineStr">
        <is>
          <t>low</t>
        </is>
      </c>
      <c r="V512" s="5" t="n">
        <v>10.8</v>
      </c>
      <c r="W512" s="2" t="inlineStr">
        <is>
          <t>medium</t>
        </is>
      </c>
      <c r="X512" s="3" t="inlineStr"/>
      <c r="Y512" s="3" t="inlineStr">
        <is>
          <t>82% of this dish's available carbohydrate comes from ingredients with a published, measured GI; the rest uses conventional placeholders (see Ingredients sheet)</t>
        </is>
      </c>
      <c r="Z512" s="2" t="n">
        <v>82</v>
      </c>
      <c r="AA512" s="3" t="inlineStr">
        <is>
          <t>pescatarian, gluten-free, nut-free, high-protein, high-fiber</t>
        </is>
      </c>
      <c r="AB512" s="3" t="inlineStr">
        <is>
          <t>1. Season fish with chili powder, cumin, salt; sear in oil 3–4 minutes per side; flake.
2. Toss cabbage with yogurt, mayo, lime, cilantro, jalapeño.
3. Fill warm tortillas with fish, slaw, avocado.</t>
        </is>
      </c>
      <c r="AC512" s="4" t="inlineStr">
        <is>
          <t>["Season fish with chili powder, cumin, salt; sear in oil 3–4 minutes per side; flake.", "Toss cabbage with yogurt, mayo, lime, cilantro, jalapeño.", "Fill warm tortillas with fish, slaw, avocado."]</t>
        </is>
      </c>
    </row>
    <row r="513" ht="96" customHeight="1">
      <c r="A513" s="2" t="inlineStr">
        <is>
          <t>DB-0512</t>
        </is>
      </c>
      <c r="B513" s="3" t="inlineStr">
        <is>
          <t>Miso Glazed Salmon with Bok Choy</t>
        </is>
      </c>
      <c r="C513" s="4" t="inlineStr">
        <is>
          <t>Seafood</t>
        </is>
      </c>
      <c r="D513" s="4" t="inlineStr">
        <is>
          <t>Japanese</t>
        </is>
      </c>
      <c r="E513" s="2" t="n">
        <v>4</v>
      </c>
      <c r="F513" s="2" t="n">
        <v>10</v>
      </c>
      <c r="G513" s="2" t="n">
        <v>15</v>
      </c>
      <c r="H513" s="2" t="n">
        <v>25</v>
      </c>
      <c r="I513" s="4" t="inlineStr">
        <is>
          <t>miso-glazed-salmon-with-bok-choy.jpg</t>
        </is>
      </c>
      <c r="J513" s="3" t="inlineStr">
        <is>
          <t>Miso Glazed Salmon with Bok Choy, healthy food photography, plated, natural light</t>
        </is>
      </c>
      <c r="K513" s="4" t="inlineStr"/>
      <c r="L513" s="3" t="inlineStr">
        <is>
          <t>Salmon fillet — 600 g (21.2 oz)
White miso paste — 30 g (1.1 oz)
Tamari (gluten-free soy sauce) — 15 g (0.5 oz)
Rice vinegar, unseasoned — 15 g (0.5 oz)
Fresh ginger — 8 g (0.3 oz)
Toasted sesame oil — 8 g (0.3 oz)
Bok choy — 500 g (17.6 oz)
Garlic — 6 g (0.2 oz)
Sesame seeds — 6 g (0.2 oz)
Avocado oil — 8 g (0.3 oz)</t>
        </is>
      </c>
      <c r="M513" s="4" t="inlineStr">
        <is>
          <t>[{"ingredient_id": "salmon", "name": "Salmon fillet", "grams": 600.0, "note": ""}, {"ingredient_id": "miso", "name": "White miso paste", "grams": 30.0, "note": ""}, {"ingredient_id": "tamari", "name": "Tamari (gluten-free soy sauce)", "grams": 15.0, "note": ""}, {"ingredient_id": "rice_vinegar", "name": "Rice vinegar, unseasoned", "grams": 15.0, "note": ""}, {"ingredient_id": "ginger", "name": "Fresh ginger", "grams": 8.0, "note": ""}, {"ingredient_id": "sesame_oil", "name": "Toasted sesame oil", "grams": 8.0, "note": ""}, {"ingredient_id": "bok_choy", "name": "Bok choy", "grams": 500.0, "note": ""}, {"ingredient_id": "garlic", "name": "Garlic", "grams": 6.0, "note": ""}, {"ingredient_id": "sesame_seeds", "name": "Sesame seeds", "grams": 6.0, "note": ""}, {"ingredient_id": "avocado_oil", "name": "Avocado oil", "grams": 8.0, "note": ""}]</t>
        </is>
      </c>
      <c r="N513" s="2" t="n">
        <v>394</v>
      </c>
      <c r="O513" s="5" t="n">
        <v>33.6</v>
      </c>
      <c r="P513" s="5" t="n">
        <v>25</v>
      </c>
      <c r="Q513" s="5" t="n">
        <v>6.1</v>
      </c>
      <c r="R513" s="5" t="n">
        <v>1.9</v>
      </c>
      <c r="S513" s="5" t="n">
        <v>4.2</v>
      </c>
      <c r="T513" s="2" t="n">
        <v>23</v>
      </c>
      <c r="U513" s="2" t="inlineStr">
        <is>
          <t>low</t>
        </is>
      </c>
      <c r="V513" s="5" t="n">
        <v>1</v>
      </c>
      <c r="W513" s="2" t="inlineStr">
        <is>
          <t>low</t>
        </is>
      </c>
      <c r="X513" s="3" t="inlineStr">
        <is>
          <t>Negligible carbohydrate (&lt;5 g net/serving): GI has little practical meaning, glycemic load is what matters.</t>
        </is>
      </c>
      <c r="Y513" s="3" t="inlineStr">
        <is>
          <t>0% of this dish's available carbohydrate comes from ingredients with a published, measured GI; the rest uses conventional placeholders (see Ingredients sheet)</t>
        </is>
      </c>
      <c r="Z513" s="2" t="n">
        <v>0</v>
      </c>
      <c r="AA513" s="3" t="inlineStr">
        <is>
          <t>pescatarian, dairy-free, nut-free, low-carb, high-protein, omega-3</t>
        </is>
      </c>
      <c r="AB513" s="3" t="inlineStr">
        <is>
          <t>1. Whisk miso, tamari, vinegar, ginger, sesame oil; brush on salmon.
2. Broil 8–10 minutes.
3. Sauté bok choy with garlic in avocado oil; top salmon with sesame.</t>
        </is>
      </c>
      <c r="AC513" s="4" t="inlineStr">
        <is>
          <t>["Whisk miso, tamari, vinegar, ginger, sesame oil; brush on salmon.", "Broil 8–10 minutes.", "Sauté bok choy with garlic in avocado oil; top salmon with sesame."]</t>
        </is>
      </c>
    </row>
    <row r="514" ht="96" customHeight="1">
      <c r="A514" s="2" t="inlineStr">
        <is>
          <t>DB-0513</t>
        </is>
      </c>
      <c r="B514" s="3" t="inlineStr">
        <is>
          <t>Shrimp &amp; Cauliflower Grits</t>
        </is>
      </c>
      <c r="C514" s="4" t="inlineStr">
        <is>
          <t>Seafood</t>
        </is>
      </c>
      <c r="D514" s="4" t="inlineStr">
        <is>
          <t>Southern</t>
        </is>
      </c>
      <c r="E514" s="2" t="n">
        <v>4</v>
      </c>
      <c r="F514" s="2" t="n">
        <v>10</v>
      </c>
      <c r="G514" s="2" t="n">
        <v>20</v>
      </c>
      <c r="H514" s="2" t="n">
        <v>30</v>
      </c>
      <c r="I514" s="4" t="inlineStr">
        <is>
          <t>shrimp-and-cauliflower-grits.jpg</t>
        </is>
      </c>
      <c r="J514" s="3" t="inlineStr">
        <is>
          <t>Shrimp &amp; Cauliflower Grits, healthy food photography, plated, natural light</t>
        </is>
      </c>
      <c r="K514" s="4" t="inlineStr"/>
      <c r="L514" s="3" t="inlineStr">
        <is>
          <t>Shrimp, peeled — 600 g (21.2 oz)
Cauliflower — 700 g (24.7 oz)
Milk, 2% — 100 g (3.5 oz)
Cheddar cheese — 60 g (2.1 oz)
Butter — 10 g (0.4 oz)
Turkey bacon — 60 g (2.1 oz)
Garlic — 8 g (0.3 oz)
Cajun seasoning — 5 g (0.2 oz)
Lemon juice — 15 g (0.5 oz)
Green onions (scallions) — 20 g (0.7 oz)
Extra-virgin olive oil — 10 g (0.4 oz)
Salt — 3 g (0.1 oz)</t>
        </is>
      </c>
      <c r="M514" s="4" t="inlineStr">
        <is>
          <t>[{"ingredient_id": "shrimp", "name": "Shrimp, peeled", "grams": 600.0, "note": ""}, {"ingredient_id": "cauliflower", "name": "Cauliflower", "grams": 700.0, "note": ""}, {"ingredient_id": "milk", "name": "Milk, 2%", "grams": 100.0, "note": ""}, {"ingredient_id": "cheddar", "name": "Cheddar cheese", "grams": 60.0, "note": ""}, {"ingredient_id": "butter", "name": "Butter", "grams": 10.0, "note": ""}, {"ingredient_id": "turkey_bacon", "name": "Turkey bacon", "grams": 60.0, "note": ""}, {"ingredient_id": "garlic", "name": "Garlic", "grams": 8.0, "note": ""}, {"ingredient_id": "cajun_seasoning", "name": "Cajun seasoning", "grams": 5.0, "note": ""}, {"ingredient_id": "lemon_juice", "name": "Lemon juice", "grams": 15.0, "note": ""}, {"ingredient_id": "green_onion", "name": "Green onions (scallions)", "grams": 20.0, "note": ""}, {"ingredient_id": "olive_oil", "name": "Extra-virgin olive oil", "grams": 10.0, "note": ""}, {"ingredient_id": "salt", "name": "Salt", "grams": 3.0, "note": ""}]</t>
        </is>
      </c>
      <c r="N514" s="2" t="n">
        <v>326</v>
      </c>
      <c r="O514" s="5" t="n">
        <v>40.7</v>
      </c>
      <c r="P514" s="5" t="n">
        <v>13.6</v>
      </c>
      <c r="Q514" s="5" t="n">
        <v>12.4</v>
      </c>
      <c r="R514" s="5" t="n">
        <v>4</v>
      </c>
      <c r="S514" s="5" t="n">
        <v>8.4</v>
      </c>
      <c r="T514" s="2" t="n">
        <v>17</v>
      </c>
      <c r="U514" s="2" t="inlineStr">
        <is>
          <t>low</t>
        </is>
      </c>
      <c r="V514" s="5" t="n">
        <v>1.4</v>
      </c>
      <c r="W514" s="2" t="inlineStr">
        <is>
          <t>low</t>
        </is>
      </c>
      <c r="X514" s="3" t="inlineStr"/>
      <c r="Y514" s="3" t="inlineStr">
        <is>
          <t>14% of this dish's available carbohydrate comes from ingredients with a published, measured GI; the rest uses conventional placeholders (see Ingredients sheet)</t>
        </is>
      </c>
      <c r="Z514" s="2" t="n">
        <v>14</v>
      </c>
      <c r="AA514" s="3" t="inlineStr">
        <is>
          <t>gluten-free, nut-free, low-carb, high-protein</t>
        </is>
      </c>
      <c r="AB514" s="3" t="inlineStr">
        <is>
          <t>1. Steam cauliflower; blend with milk, cheddar, butter, salt into 'grits'.
2. Crisp bacon; sauté shrimp with garlic and Cajun seasoning in oil 3 minutes; add lemon.
3. Serve shrimp over grits with bacon and green onion.</t>
        </is>
      </c>
      <c r="AC514" s="4" t="inlineStr">
        <is>
          <t>["Steam cauliflower; blend with milk, cheddar, butter, salt into 'grits'.", "Crisp bacon; sauté shrimp with garlic and Cajun seasoning in oil 3 minutes; add lemon.", "Serve shrimp over grits with bacon and green onion."]</t>
        </is>
      </c>
    </row>
    <row r="515" ht="96" customHeight="1">
      <c r="A515" s="2" t="inlineStr">
        <is>
          <t>DB-0514</t>
        </is>
      </c>
      <c r="B515" s="3" t="inlineStr">
        <is>
          <t>Pesto Baked Cod with Cherry Tomatoes</t>
        </is>
      </c>
      <c r="C515" s="4" t="inlineStr">
        <is>
          <t>Seafood</t>
        </is>
      </c>
      <c r="D515" s="4" t="inlineStr">
        <is>
          <t>Italian</t>
        </is>
      </c>
      <c r="E515" s="2" t="n">
        <v>4</v>
      </c>
      <c r="F515" s="2" t="n">
        <v>5</v>
      </c>
      <c r="G515" s="2" t="n">
        <v>15</v>
      </c>
      <c r="H515" s="2" t="n">
        <v>20</v>
      </c>
      <c r="I515" s="4" t="inlineStr">
        <is>
          <t>pesto-baked-cod-with-cherry-tomatoes.jpg</t>
        </is>
      </c>
      <c r="J515" s="3" t="inlineStr">
        <is>
          <t>Pesto Baked Cod with Cherry Tomatoes, healthy food photography, plated, natural light</t>
        </is>
      </c>
      <c r="K515" s="4" t="inlineStr"/>
      <c r="L515" s="3" t="inlineStr">
        <is>
          <t>Cod fillet — 600 g (21.2 oz)
Basil pesto — 50 g (1.8 oz)
Cherry tomatoes — 300 g (10.6 oz)
Extra-virgin olive oil — 10 g (0.4 oz)
Lemon (with juice &amp; zest) — 30 g (1.1 oz)
Zucchini — 300 g (10.6 oz)
Salt — 2 g (0.1 oz)</t>
        </is>
      </c>
      <c r="M515" s="4" t="inlineStr">
        <is>
          <t>[{"ingredient_id": "cod", "name": "Cod fillet", "grams": 600.0, "note": ""}, {"ingredient_id": "pesto", "name": "Basil pesto", "grams": 50.0, "note": ""}, {"ingredient_id": "cherry_tomato", "name": "Cherry tomatoes", "grams": 300.0, "note": ""}, {"ingredient_id": "olive_oil", "name": "Extra-virgin olive oil", "grams": 10.0, "note": ""}, {"ingredient_id": "lemon", "name": "Lemon (with juice &amp; zest)", "grams": 30.0, "note": ""}, {"ingredient_id": "zucchini", "name": "Zucchini", "grams": 300.0, "note": ""}, {"ingredient_id": "salt", "name": "Salt", "grams": 2.0, "note": ""}]</t>
        </is>
      </c>
      <c r="N515" s="2" t="n">
        <v>224</v>
      </c>
      <c r="O515" s="5" t="n">
        <v>29.3</v>
      </c>
      <c r="P515" s="5" t="n">
        <v>8.9</v>
      </c>
      <c r="Q515" s="5" t="n">
        <v>6.7</v>
      </c>
      <c r="R515" s="5" t="n">
        <v>2.1</v>
      </c>
      <c r="S515" s="5" t="n">
        <v>4.6</v>
      </c>
      <c r="T515" s="2" t="n">
        <v>16</v>
      </c>
      <c r="U515" s="2" t="inlineStr">
        <is>
          <t>low</t>
        </is>
      </c>
      <c r="V515" s="5" t="n">
        <v>0.7</v>
      </c>
      <c r="W515" s="2" t="inlineStr">
        <is>
          <t>low</t>
        </is>
      </c>
      <c r="X515" s="3" t="inlineStr">
        <is>
          <t>Negligible carbohydrate (&lt;5 g net/serving): GI has little practical meaning, glycemic load is what matters.</t>
        </is>
      </c>
      <c r="Y515" s="3" t="inlineStr">
        <is>
          <t>0% of this dish's available carbohydrate comes from ingredients with a published, measured GI; the rest uses conventional placeholders (see Ingredients sheet)</t>
        </is>
      </c>
      <c r="Z515" s="2" t="n">
        <v>0</v>
      </c>
      <c r="AA515" s="3" t="inlineStr">
        <is>
          <t>pescatarian, gluten-free, dairy-free, low-carb, high-protein, one-pan</t>
        </is>
      </c>
      <c r="AB515" s="3" t="inlineStr">
        <is>
          <t>1. Spread pesto over cod; surround with tomatoes and zucchini tossed in oil.
2. Bake at 400°F 14 minutes.
3. Squeeze lemon over.</t>
        </is>
      </c>
      <c r="AC515" s="4" t="inlineStr">
        <is>
          <t>["Spread pesto over cod; surround with tomatoes and zucchini tossed in oil.", "Bake at 400°F 14 minutes.", "Squeeze lemon over."]</t>
        </is>
      </c>
    </row>
    <row r="516" ht="96" customHeight="1">
      <c r="A516" s="2" t="inlineStr">
        <is>
          <t>DB-0515</t>
        </is>
      </c>
      <c r="B516" s="3" t="inlineStr">
        <is>
          <t>Coconut Curry Shrimp</t>
        </is>
      </c>
      <c r="C516" s="4" t="inlineStr">
        <is>
          <t>Seafood</t>
        </is>
      </c>
      <c r="D516" s="4" t="inlineStr">
        <is>
          <t>Thai</t>
        </is>
      </c>
      <c r="E516" s="2" t="n">
        <v>4</v>
      </c>
      <c r="F516" s="2" t="n">
        <v>10</v>
      </c>
      <c r="G516" s="2" t="n">
        <v>15</v>
      </c>
      <c r="H516" s="2" t="n">
        <v>25</v>
      </c>
      <c r="I516" s="4" t="inlineStr">
        <is>
          <t>coconut-curry-shrimp.jpg</t>
        </is>
      </c>
      <c r="J516" s="3" t="inlineStr">
        <is>
          <t>Coconut Curry Shrimp, healthy food photography, plated, natural light</t>
        </is>
      </c>
      <c r="K516" s="4" t="inlineStr"/>
      <c r="L516" s="3" t="inlineStr">
        <is>
          <t>Shrimp, peeled — 600 g (21.2 oz)
Coconut milk, canned light — 400 g (14.1 oz)
Thai curry paste (red/green) — 30 g (1.1 oz)
Bell pepper — 200 g (7.1 oz)
Sugar snap peas — 150 g (5.3 oz)
Yellow onion — 80 g (2.8 oz)
Garlic — 6 g (0.2 oz)
Fresh ginger — 6 g (0.2 oz)
Fish sauce — 10 g (0.4 oz)
Lime juice — 20 g (0.7 oz)
Fresh basil — 8 g (0.3 oz)
Avocado oil — 10 g (0.4 oz)
Cauliflower rice — 500 g (17.6 oz)</t>
        </is>
      </c>
      <c r="M516" s="4" t="inlineStr">
        <is>
          <t>[{"ingredient_id": "shrimp", "name": "Shrimp, peeled", "grams": 600.0, "note": ""}, {"ingredient_id": "coconut_milk_light", "name": "Coconut milk, canned light", "grams": 400.0, "note": ""}, {"ingredient_id": "curry_paste", "name": "Thai curry paste (red/green)", "grams": 30.0, "note": ""}, {"ingredient_id": "bell_pepper", "name": "Bell pepper", "grams": 200.0, "note": ""}, {"ingredient_id": "snap_peas", "name": "Sugar snap peas", "grams": 150.0, "note": ""}, {"ingredient_id": "onion", "name": "Yellow onion", "grams": 80.0, "note": ""}, {"ingredient_id": "garlic", "name": "Garlic", "grams": 6.0, "note": ""}, {"ingredient_id": "ginger", "name": "Fresh ginger", "grams": 6.0, "note": ""}, {"ingredient_id": "fish_sauce", "name": "Fish sauce", "grams": 10.0, "note": ""}, {"ingredient_id": "lime_juice", "name": "Lime juice", "grams": 20.0, "note": ""}, {"ingredient_id": "basil", "name": "Fresh basil", "grams": 8.0, "note": ""}, {"ingredient_id": "avocado_oil", "name": "Avocado oil", "grams": 10.0, "note": ""}, {"ingredient_id": "cauliflower_rice", "name": "Cauliflower rice", "grams": 500.0, "note": ""}]</t>
        </is>
      </c>
      <c r="N516" s="2" t="n">
        <v>301</v>
      </c>
      <c r="O516" s="5" t="n">
        <v>35.3</v>
      </c>
      <c r="P516" s="5" t="n">
        <v>10.2</v>
      </c>
      <c r="Q516" s="5" t="n">
        <v>18.7</v>
      </c>
      <c r="R516" s="5" t="n">
        <v>5.2</v>
      </c>
      <c r="S516" s="5" t="n">
        <v>13.5</v>
      </c>
      <c r="T516" s="2" t="n">
        <v>20</v>
      </c>
      <c r="U516" s="2" t="inlineStr">
        <is>
          <t>low</t>
        </is>
      </c>
      <c r="V516" s="5" t="n">
        <v>2.7</v>
      </c>
      <c r="W516" s="2" t="inlineStr">
        <is>
          <t>low</t>
        </is>
      </c>
      <c r="X516" s="3" t="inlineStr"/>
      <c r="Y516" s="3" t="inlineStr">
        <is>
          <t>0% of this dish's available carbohydrate comes from ingredients with a published, measured GI; the rest uses conventional placeholders (see Ingredients sheet)</t>
        </is>
      </c>
      <c r="Z516" s="2" t="n">
        <v>0</v>
      </c>
      <c r="AA516" s="3" t="inlineStr">
        <is>
          <t>pescatarian, gluten-free, dairy-free, nut-free, low-carb, high-protein</t>
        </is>
      </c>
      <c r="AB516" s="3" t="inlineStr">
        <is>
          <t>1. Sauté onion, garlic, ginger, curry paste in oil 2 minutes.
2. Add coconut milk, pepper, snap peas; simmer 5 minutes.
3. Add shrimp 3 minutes; finish with fish sauce, lime, basil; serve over cauliflower rice.</t>
        </is>
      </c>
      <c r="AC516" s="4" t="inlineStr">
        <is>
          <t>["Sauté onion, garlic, ginger, curry paste in oil 2 minutes.", "Add coconut milk, pepper, snap peas; simmer 5 minutes.", "Add shrimp 3 minutes; finish with fish sauce, lime, basil; serve over cauliflower rice."]</t>
        </is>
      </c>
    </row>
    <row r="517" ht="96" customHeight="1">
      <c r="A517" s="2" t="inlineStr">
        <is>
          <t>DB-0516</t>
        </is>
      </c>
      <c r="B517" s="3" t="inlineStr">
        <is>
          <t>Tuna Salad Stuffed Avocados</t>
        </is>
      </c>
      <c r="C517" s="4" t="inlineStr">
        <is>
          <t>Seafood</t>
        </is>
      </c>
      <c r="D517" s="4" t="inlineStr">
        <is>
          <t>American</t>
        </is>
      </c>
      <c r="E517" s="2" t="n">
        <v>2</v>
      </c>
      <c r="F517" s="2" t="n">
        <v>10</v>
      </c>
      <c r="G517" s="2" t="n">
        <v>0</v>
      </c>
      <c r="H517" s="2" t="n">
        <v>10</v>
      </c>
      <c r="I517" s="4" t="inlineStr">
        <is>
          <t>tuna-salad-stuffed-avocados.jpg</t>
        </is>
      </c>
      <c r="J517" s="3" t="inlineStr">
        <is>
          <t>Tuna Salad Stuffed Avocados, healthy food photography, plated, natural light</t>
        </is>
      </c>
      <c r="K517" s="4" t="inlineStr"/>
      <c r="L517" s="3" t="inlineStr">
        <is>
          <t>Tuna, canned in water — 170 g (6.0 oz)
Avocado — 280 g (9.9 oz) [2 avocados]
Greek yogurt, plain 2% — 40 g (1.4 oz)
Dijon mustard — 8 g (0.3 oz)
Celery — 40 g (1.4 oz)
Red onion — 20 g (0.7 oz)
Lemon juice — 10 g (0.4 oz)
Fresh chives — 4 g (0.1 oz)
Black pepper — 1 g (0.0 oz)</t>
        </is>
      </c>
      <c r="M517" s="4" t="inlineStr">
        <is>
          <t>[{"ingredient_id": "tuna_canned", "name": "Tuna, canned in water", "grams": 170.0, "note": ""}, {"ingredient_id": "avocado", "name": "Avocado", "grams": 280.0, "note": "2 avocados"}, {"ingredient_id": "greek_yogurt", "name": "Greek yogurt, plain 2%", "grams": 40.0, "note": ""}, {"ingredient_id": "dijon", "name": "Dijon mustard", "grams": 8.0, "note": ""}, {"ingredient_id": "celery", "name": "Celery", "grams": 40.0, "note": ""}, {"ingredient_id": "red_onion", "name": "Red onion", "grams": 20.0, "note": ""}, {"ingredient_id": "lemon_juice", "name": "Lemon juice", "grams": 10.0, "note": ""}, {"ingredient_id": "chives", "name": "Fresh chives", "grams": 4.0, "note": ""}, {"ingredient_id": "black_pepper", "name": "Black pepper", "grams": 1.0, "note": ""}]</t>
        </is>
      </c>
      <c r="N517" s="2" t="n">
        <v>350</v>
      </c>
      <c r="O517" s="5" t="n">
        <v>27.4</v>
      </c>
      <c r="P517" s="5" t="n">
        <v>22.5</v>
      </c>
      <c r="Q517" s="5" t="n">
        <v>15.2</v>
      </c>
      <c r="R517" s="5" t="n">
        <v>10.2</v>
      </c>
      <c r="S517" s="5" t="n">
        <v>5</v>
      </c>
      <c r="T517" s="2" t="n">
        <v>15</v>
      </c>
      <c r="U517" s="2" t="inlineStr">
        <is>
          <t>low</t>
        </is>
      </c>
      <c r="V517" s="5" t="n">
        <v>0.8</v>
      </c>
      <c r="W517" s="2" t="inlineStr">
        <is>
          <t>low</t>
        </is>
      </c>
      <c r="X517" s="3" t="inlineStr"/>
      <c r="Y517" s="3" t="inlineStr">
        <is>
          <t>16% of this dish's available carbohydrate comes from ingredients with a published, measured GI; the rest uses conventional placeholders (see Ingredients sheet)</t>
        </is>
      </c>
      <c r="Z517" s="2" t="n">
        <v>16</v>
      </c>
      <c r="AA517" s="3" t="inlineStr">
        <is>
          <t>pescatarian, gluten-free, nut-free, low-carb, high-protein, high-fiber, no-cook, quick</t>
        </is>
      </c>
      <c r="AB517" s="3" t="inlineStr">
        <is>
          <t>1. Mix tuna, yogurt, Dijon, celery, onion, lemon, pepper.
2. Halve avocados.
3. Fill with tuna salad; top chives.</t>
        </is>
      </c>
      <c r="AC517" s="4" t="inlineStr">
        <is>
          <t>["Mix tuna, yogurt, Dijon, celery, onion, lemon, pepper.", "Halve avocados.", "Fill with tuna salad; top chives."]</t>
        </is>
      </c>
    </row>
    <row r="518" ht="96" customHeight="1">
      <c r="A518" s="2" t="inlineStr">
        <is>
          <t>DB-0517</t>
        </is>
      </c>
      <c r="B518" s="3" t="inlineStr">
        <is>
          <t>Seared Scallops with Cauliflower Purée</t>
        </is>
      </c>
      <c r="C518" s="4" t="inlineStr">
        <is>
          <t>Seafood</t>
        </is>
      </c>
      <c r="D518" s="4" t="inlineStr">
        <is>
          <t>French</t>
        </is>
      </c>
      <c r="E518" s="2" t="n">
        <v>4</v>
      </c>
      <c r="F518" s="2" t="n">
        <v>10</v>
      </c>
      <c r="G518" s="2" t="n">
        <v>20</v>
      </c>
      <c r="H518" s="2" t="n">
        <v>30</v>
      </c>
      <c r="I518" s="4" t="inlineStr">
        <is>
          <t>seared-scallops-with-cauliflower-pur-e.jpg</t>
        </is>
      </c>
      <c r="J518" s="3" t="inlineStr">
        <is>
          <t>Seared Scallops with Cauliflower Purée, healthy food photography, plated, natural light</t>
        </is>
      </c>
      <c r="K518" s="4" t="inlineStr"/>
      <c r="L518" s="3" t="inlineStr">
        <is>
          <t>Sea scallops — 600 g (21.2 oz)
Cauliflower — 600 g (21.2 oz)
Milk, 2% — 100 g (3.5 oz)
Butter — 15 g (0.5 oz)
Extra-virgin olive oil — 15 g (0.5 oz)
Garlic — 5 g (0.2 oz)
Lemon (with juice &amp; zest) — 30 g (1.1 oz)
Fresh chives — 5 g (0.2 oz)
Spinach — 200 g (7.1 oz)
Salt — 3 g (0.1 oz)</t>
        </is>
      </c>
      <c r="M518" s="4" t="inlineStr">
        <is>
          <t>[{"ingredient_id": "scallops", "name": "Sea scallops", "grams": 600.0, "note": ""}, {"ingredient_id": "cauliflower", "name": "Cauliflower", "grams": 600.0, "note": ""}, {"ingredient_id": "milk", "name": "Milk, 2%", "grams": 100.0, "note": ""}, {"ingredient_id": "butter", "name": "Butter", "grams": 15.0, "note": ""}, {"ingredient_id": "olive_oil", "name": "Extra-virgin olive oil", "grams": 15.0, "note": ""}, {"ingredient_id": "garlic", "name": "Garlic", "grams": 5.0, "note": ""}, {"ingredient_id": "lemon", "name": "Lemon (with juice &amp; zest)", "grams": 30.0, "note": ""}, {"ingredient_id": "chives", "name": "Fresh chives", "grams": 5.0, "note": ""}, {"ingredient_id": "spinach", "name": "Spinach", "grams": 200.0, "note": ""}, {"ingredient_id": "salt", "name": "Salt", "grams": 3.0, "note": ""}]</t>
        </is>
      </c>
      <c r="N518" s="2" t="n">
        <v>258</v>
      </c>
      <c r="O518" s="5" t="n">
        <v>30.9</v>
      </c>
      <c r="P518" s="5" t="n">
        <v>9.199999999999999</v>
      </c>
      <c r="Q518" s="5" t="n">
        <v>14.7</v>
      </c>
      <c r="R518" s="5" t="n">
        <v>4.4</v>
      </c>
      <c r="S518" s="5" t="n">
        <v>10.3</v>
      </c>
      <c r="T518" s="2" t="n">
        <v>13</v>
      </c>
      <c r="U518" s="2" t="inlineStr">
        <is>
          <t>low</t>
        </is>
      </c>
      <c r="V518" s="5" t="n">
        <v>1.3</v>
      </c>
      <c r="W518" s="2" t="inlineStr">
        <is>
          <t>low</t>
        </is>
      </c>
      <c r="X518" s="3" t="inlineStr"/>
      <c r="Y518" s="3" t="inlineStr">
        <is>
          <t>12% of this dish's available carbohydrate comes from ingredients with a published, measured GI; the rest uses conventional placeholders (see Ingredients sheet)</t>
        </is>
      </c>
      <c r="Z518" s="2" t="n">
        <v>12</v>
      </c>
      <c r="AA518" s="3" t="inlineStr">
        <is>
          <t>pescatarian, gluten-free, nut-free, low-carb, high-protein</t>
        </is>
      </c>
      <c r="AB518" s="3" t="inlineStr">
        <is>
          <t>1. Simmer cauliflower with garlic in milk and water; blend with half the butter and salt.
2. Pat scallops dry; sear in oil 90 seconds per side.
3. Wilt spinach in remaining butter; plate purée, spinach, scallops; finish with lemon and chives.</t>
        </is>
      </c>
      <c r="AC518" s="4" t="inlineStr">
        <is>
          <t>["Simmer cauliflower with garlic in milk and water; blend with half the butter and salt.", "Pat scallops dry; sear in oil 90 seconds per side.", "Wilt spinach in remaining butter; plate purée, spinach, scallops; finish with lemon and chives."]</t>
        </is>
      </c>
    </row>
    <row r="519" ht="96" customHeight="1">
      <c r="A519" s="2" t="inlineStr">
        <is>
          <t>DB-0518</t>
        </is>
      </c>
      <c r="B519" s="3" t="inlineStr">
        <is>
          <t>Sheet Pan Shrimp Fajitas</t>
        </is>
      </c>
      <c r="C519" s="4" t="inlineStr">
        <is>
          <t>Seafood</t>
        </is>
      </c>
      <c r="D519" s="4" t="inlineStr">
        <is>
          <t>Tex-Mex</t>
        </is>
      </c>
      <c r="E519" s="2" t="n">
        <v>4</v>
      </c>
      <c r="F519" s="2" t="n">
        <v>10</v>
      </c>
      <c r="G519" s="2" t="n">
        <v>12</v>
      </c>
      <c r="H519" s="2" t="n">
        <v>22</v>
      </c>
      <c r="I519" s="4" t="inlineStr">
        <is>
          <t>sheet-pan-shrimp-fajitas.jpg</t>
        </is>
      </c>
      <c r="J519" s="3" t="inlineStr">
        <is>
          <t>Sheet Pan Shrimp Fajitas, healthy food photography, plated, natural light</t>
        </is>
      </c>
      <c r="K519" s="4" t="inlineStr"/>
      <c r="L519" s="3" t="inlineStr">
        <is>
          <t>Shrimp, peeled — 600 g (21.2 oz)
Bell pepper — 300 g (10.6 oz)
Yellow onion — 150 g (5.3 oz)
Chili powder — 6 g (0.2 oz)
Ground cumin — 3 g (0.1 oz)
Smoked paprika — 2 g (0.1 oz)
Extra-virgin olive oil — 15 g (0.5 oz)
Lime — 40 g (1.4 oz)
Low-carb high-fiber tortilla — 168 g (5.9 oz) [4 tortillas]
Avocado — 100 g (3.5 oz)
Fresh cilantro — 6 g (0.2 oz)</t>
        </is>
      </c>
      <c r="M519" s="4" t="inlineStr">
        <is>
          <t>[{"ingredient_id": "shrimp", "name": "Shrimp, peeled", "grams": 600.0, "note": ""}, {"ingredient_id": "bell_pepper", "name": "Bell pepper", "grams": 300.0, "note": ""}, {"ingredient_id": "onion", "name": "Yellow onion", "grams": 150.0, "note": ""}, {"ingredient_id": "chili_powder", "name": "Chili powder", "grams": 6.0, "note": ""}, {"ingredient_id": "cumin", "name": "Ground cumin", "grams": 3.0, "note": ""}, {"ingredient_id": "smoked_paprika", "name": "Smoked paprika", "grams": 2.0, "note": ""}, {"ingredient_id": "olive_oil", "name": "Extra-virgin olive oil", "grams": 15.0, "note": ""}, {"ingredient_id": "lime", "name": "Lime", "grams": 40.0, "note": ""}, {"ingredient_id": "low_carb_tortilla", "name": "Low-carb high-fiber tortilla", "grams": 168.0, "note": "4 tortillas"}, {"ingredient_id": "avocado", "name": "Avocado", "grams": 100.0, "note": ""}, {"ingredient_id": "cilantro", "name": "Fresh cilantro", "grams": 6.0, "note": ""}]</t>
        </is>
      </c>
      <c r="N519" s="2" t="n">
        <v>356</v>
      </c>
      <c r="O519" s="5" t="n">
        <v>37.2</v>
      </c>
      <c r="P519" s="5" t="n">
        <v>12.3</v>
      </c>
      <c r="Q519" s="5" t="n">
        <v>29.4</v>
      </c>
      <c r="R519" s="5" t="n">
        <v>15.5</v>
      </c>
      <c r="S519" s="5" t="n">
        <v>13.9</v>
      </c>
      <c r="T519" s="2" t="n">
        <v>22</v>
      </c>
      <c r="U519" s="2" t="inlineStr">
        <is>
          <t>low</t>
        </is>
      </c>
      <c r="V519" s="5" t="n">
        <v>3.1</v>
      </c>
      <c r="W519" s="2" t="inlineStr">
        <is>
          <t>low</t>
        </is>
      </c>
      <c r="X519" s="3" t="inlineStr"/>
      <c r="Y519" s="3" t="inlineStr">
        <is>
          <t>0% of this dish's available carbohydrate comes from ingredients with a published, measured GI; the rest uses conventional placeholders (see Ingredients sheet)</t>
        </is>
      </c>
      <c r="Z519" s="2" t="n">
        <v>0</v>
      </c>
      <c r="AA519" s="3" t="inlineStr">
        <is>
          <t>pescatarian, dairy-free, nut-free, low-carb, high-protein, high-fiber, one-pan, quick</t>
        </is>
      </c>
      <c r="AB519" s="3" t="inlineStr">
        <is>
          <t>1. Toss shrimp, peppers, onion with oil and spices on a sheet pan.
2. Roast at 425°F 10–12 minutes.
3. Squeeze lime; serve in tortillas with avocado and cilantro.</t>
        </is>
      </c>
      <c r="AC519" s="4" t="inlineStr">
        <is>
          <t>["Toss shrimp, peppers, onion with oil and spices on a sheet pan.", "Roast at 425°F 10–12 minutes.", "Squeeze lime; serve in tortillas with avocado and cilantro."]</t>
        </is>
      </c>
    </row>
    <row r="520" ht="96" customHeight="1">
      <c r="A520" s="2" t="inlineStr">
        <is>
          <t>DB-0519</t>
        </is>
      </c>
      <c r="B520" s="3" t="inlineStr">
        <is>
          <t>Halibut with Lemon Caper Sauce</t>
        </is>
      </c>
      <c r="C520" s="4" t="inlineStr">
        <is>
          <t>Seafood</t>
        </is>
      </c>
      <c r="D520" s="4" t="inlineStr">
        <is>
          <t>Mediterranean</t>
        </is>
      </c>
      <c r="E520" s="2" t="n">
        <v>4</v>
      </c>
      <c r="F520" s="2" t="n">
        <v>5</v>
      </c>
      <c r="G520" s="2" t="n">
        <v>15</v>
      </c>
      <c r="H520" s="2" t="n">
        <v>20</v>
      </c>
      <c r="I520" s="4" t="inlineStr">
        <is>
          <t>halibut-with-lemon-caper-sauce.jpg</t>
        </is>
      </c>
      <c r="J520" s="3" t="inlineStr">
        <is>
          <t>Halibut with Lemon Caper Sauce, healthy food photography, plated, natural light</t>
        </is>
      </c>
      <c r="K520" s="4" t="inlineStr"/>
      <c r="L520" s="3" t="inlineStr">
        <is>
          <t>Halibut fillet — 600 g (21.2 oz)
Extra-virgin olive oil — 15 g (0.5 oz)
Butter — 10 g (0.4 oz)
Capers — 20 g (0.7 oz)
Lemon (with juice &amp; zest) — 50 g (1.8 oz)
Garlic — 5 g (0.2 oz)
Fresh parsley — 6 g (0.2 oz)
Green beans — 500 g (17.6 oz)
Salt — 3 g (0.1 oz)</t>
        </is>
      </c>
      <c r="M520" s="4" t="inlineStr">
        <is>
          <t>[{"ingredient_id": "halibut", "name": "Halibut fillet", "grams": 600.0, "note": ""}, {"ingredient_id": "olive_oil", "name": "Extra-virgin olive oil", "grams": 15.0, "note": ""}, {"ingredient_id": "butter", "name": "Butter", "grams": 10.0, "note": ""}, {"ingredient_id": "capers", "name": "Capers", "grams": 20.0, "note": ""}, {"ingredient_id": "lemon", "name": "Lemon (with juice &amp; zest)", "grams": 50.0, "note": ""}, {"ingredient_id": "garlic", "name": "Garlic", "grams": 5.0, "note": ""}, {"ingredient_id": "parsley", "name": "Fresh parsley", "grams": 6.0, "note": ""}, {"ingredient_id": "green_beans", "name": "Green beans", "grams": 500.0, "note": ""}, {"ingredient_id": "salt", "name": "Salt", "grams": 3.0, "note": ""}]</t>
        </is>
      </c>
      <c r="N520" s="2" t="n">
        <v>264</v>
      </c>
      <c r="O520" s="5" t="n">
        <v>37.2</v>
      </c>
      <c r="P520" s="5" t="n">
        <v>9.6</v>
      </c>
      <c r="Q520" s="5" t="n">
        <v>10.7</v>
      </c>
      <c r="R520" s="5" t="n">
        <v>4</v>
      </c>
      <c r="S520" s="5" t="n">
        <v>6.7</v>
      </c>
      <c r="T520" s="2" t="n">
        <v>16</v>
      </c>
      <c r="U520" s="2" t="inlineStr">
        <is>
          <t>low</t>
        </is>
      </c>
      <c r="V520" s="5" t="n">
        <v>1.1</v>
      </c>
      <c r="W520" s="2" t="inlineStr">
        <is>
          <t>low</t>
        </is>
      </c>
      <c r="X520" s="3" t="inlineStr"/>
      <c r="Y520" s="3" t="inlineStr">
        <is>
          <t>0% of this dish's available carbohydrate comes from ingredients with a published, measured GI; the rest uses conventional placeholders (see Ingredients sheet)</t>
        </is>
      </c>
      <c r="Z520" s="2" t="n">
        <v>0</v>
      </c>
      <c r="AA520" s="3" t="inlineStr">
        <is>
          <t>pescatarian, gluten-free, nut-free, low-carb, high-protein, quick</t>
        </is>
      </c>
      <c r="AB520" s="3" t="inlineStr">
        <is>
          <t>1. Season halibut; sear in oil 4 minutes per side.
2. Add butter, garlic, capers, lemon juice; spoon over fish 1 minute.
3. Serve with steamed green beans and parsley.</t>
        </is>
      </c>
      <c r="AC520" s="4" t="inlineStr">
        <is>
          <t>["Season halibut; sear in oil 4 minutes per side.", "Add butter, garlic, capers, lemon juice; spoon over fish 1 minute.", "Serve with steamed green beans and parsley."]</t>
        </is>
      </c>
    </row>
    <row r="521" ht="96" customHeight="1">
      <c r="A521" s="2" t="inlineStr">
        <is>
          <t>DB-0520</t>
        </is>
      </c>
      <c r="B521" s="3" t="inlineStr">
        <is>
          <t>Salmon Teriyaki Bowls (No-Sugar)</t>
        </is>
      </c>
      <c r="C521" s="4" t="inlineStr">
        <is>
          <t>Seafood</t>
        </is>
      </c>
      <c r="D521" s="4" t="inlineStr">
        <is>
          <t>Japanese</t>
        </is>
      </c>
      <c r="E521" s="2" t="n">
        <v>4</v>
      </c>
      <c r="F521" s="2" t="n">
        <v>10</v>
      </c>
      <c r="G521" s="2" t="n">
        <v>15</v>
      </c>
      <c r="H521" s="2" t="n">
        <v>25</v>
      </c>
      <c r="I521" s="4" t="inlineStr">
        <is>
          <t>salmon-teriyaki-bowls-no-sugar.jpg</t>
        </is>
      </c>
      <c r="J521" s="3" t="inlineStr">
        <is>
          <t>Salmon Teriyaki Bowls (No-Sugar), healthy food photography, plated, natural light</t>
        </is>
      </c>
      <c r="K521" s="4" t="inlineStr"/>
      <c r="L521" s="3" t="inlineStr">
        <is>
          <t>Salmon fillet — 600 g (21.2 oz)
Tamari (gluten-free soy sauce) — 30 g (1.1 oz)
Rice vinegar, unseasoned — 15 g (0.5 oz)
Fresh ginger — 8 g (0.3 oz)
Garlic — 6 g (0.2 oz)
Monk fruit/erythritol sweetener — 8 g (0.3 oz)
Toasted sesame oil — 6 g (0.2 oz)
Arrowroot starch — 4 g (0.1 oz)
Broccoli — 400 g (14.1 oz)
Brown rice, cooked — 300 g (10.6 oz)
Cauliflower rice — 300 g (10.6 oz)
Sesame seeds — 6 g (0.2 oz)
Green onions (scallions) — 15 g (0.5 oz)</t>
        </is>
      </c>
      <c r="M521" s="4" t="inlineStr">
        <is>
          <t>[{"ingredient_id": "salmon", "name": "Salmon fillet", "grams": 600.0, "note": ""}, {"ingredient_id": "tamari", "name": "Tamari (gluten-free soy sauce)", "grams": 30.0, "note": ""}, {"ingredient_id": "rice_vinegar", "name": "Rice vinegar, unseasoned", "grams": 15.0, "note": ""}, {"ingredient_id": "ginger", "name": "Fresh ginger", "grams": 8.0, "note": ""}, {"ingredient_id": "garlic", "name": "Garlic", "grams": 6.0, "note": ""}, {"ingredient_id": "monk_fruit_sweetener", "name": "Monk fruit/erythritol sweetener", "grams": 8.0, "note": ""}, {"ingredient_id": "sesame_oil", "name": "Toasted sesame oil", "grams": 6.0, "note": ""}, {"ingredient_id": "arrowroot", "name": "Arrowroot starch", "grams": 4.0, "note": ""}, {"ingredient_id": "broccoli", "name": "Broccoli", "grams": 400.0, "note": ""}, {"ingredient_id": "brown_rice", "name": "Brown rice, cooked", "grams": 300.0, "note": ""}, {"ingredient_id": "cauliflower_rice", "name": "Cauliflower rice", "grams": 300.0, "note": ""}, {"ingredient_id": "sesame_seeds", "name": "Sesame seeds", "grams": 6.0, "note": ""}, {"ingredient_id": "green_onion", "name": "Green onions (scallions)", "grams": 15.0, "note": ""}]</t>
        </is>
      </c>
      <c r="N521" s="2" t="n">
        <v>484</v>
      </c>
      <c r="O521" s="5" t="n">
        <v>37.2</v>
      </c>
      <c r="P521" s="5" t="n">
        <v>23</v>
      </c>
      <c r="Q521" s="5" t="n">
        <v>31.1</v>
      </c>
      <c r="R521" s="5" t="n">
        <v>5.9</v>
      </c>
      <c r="S521" s="5" t="n">
        <v>25.2</v>
      </c>
      <c r="T521" s="2" t="n">
        <v>52</v>
      </c>
      <c r="U521" s="2" t="inlineStr">
        <is>
          <t>low</t>
        </is>
      </c>
      <c r="V521" s="5" t="n">
        <v>13.1</v>
      </c>
      <c r="W521" s="2" t="inlineStr">
        <is>
          <t>medium</t>
        </is>
      </c>
      <c r="X521" s="3" t="inlineStr"/>
      <c r="Y521" s="3" t="inlineStr">
        <is>
          <t>69% of this dish's available carbohydrate comes from ingredients with a published, measured GI; the rest uses conventional placeholders (see Ingredients sheet)</t>
        </is>
      </c>
      <c r="Z521" s="2" t="n">
        <v>69</v>
      </c>
      <c r="AA521" s="3" t="inlineStr">
        <is>
          <t>pescatarian, gluten-free, dairy-free, nut-free, high-protein, omega-3</t>
        </is>
      </c>
      <c r="AB521" s="3" t="inlineStr">
        <is>
          <t>1. Simmer tamari, vinegar, ginger, garlic, sweetener, arrowroot slurry into a glaze; add sesame oil.
2. Broil salmon 8 minutes, brushing with glaze.
3. Serve over mixed brown and cauliflower rice with steamed broccoli, sesame and green onion.</t>
        </is>
      </c>
      <c r="AC521" s="4" t="inlineStr">
        <is>
          <t>["Simmer tamari, vinegar, ginger, garlic, sweetener, arrowroot slurry into a glaze; add sesame oil.", "Broil salmon 8 minutes, brushing with glaze.", "Serve over mixed brown and cauliflower rice with steamed broccoli, sesame and green onion."]</t>
        </is>
      </c>
    </row>
    <row r="522" ht="96" customHeight="1">
      <c r="A522" s="2" t="inlineStr">
        <is>
          <t>DB-0521</t>
        </is>
      </c>
      <c r="B522" s="3" t="inlineStr">
        <is>
          <t>Shrimp Lettuce Wraps with Peanut Sauce</t>
        </is>
      </c>
      <c r="C522" s="4" t="inlineStr">
        <is>
          <t>Seafood</t>
        </is>
      </c>
      <c r="D522" s="4" t="inlineStr">
        <is>
          <t>Thai</t>
        </is>
      </c>
      <c r="E522" s="2" t="n">
        <v>4</v>
      </c>
      <c r="F522" s="2" t="n">
        <v>10</v>
      </c>
      <c r="G522" s="2" t="n">
        <v>6</v>
      </c>
      <c r="H522" s="2" t="n">
        <v>16</v>
      </c>
      <c r="I522" s="4" t="inlineStr">
        <is>
          <t>shrimp-lettuce-wraps-with-peanut-sauce.jpg</t>
        </is>
      </c>
      <c r="J522" s="3" t="inlineStr">
        <is>
          <t>Shrimp Lettuce Wraps with Peanut Sauce, healthy food photography, plated, natural light</t>
        </is>
      </c>
      <c r="K522" s="4" t="inlineStr"/>
      <c r="L522" s="3" t="inlineStr">
        <is>
          <t>Shrimp, peeled — 600 g (21.2 oz)
Garlic — 6 g (0.2 oz)
Lime juice — 20 g (0.7 oz)
Peanut butter, natural — 35 g (1.2 oz)
Tamari (gluten-free soy sauce) — 20 g (0.7 oz)
Sriracha — 6 g (0.2 oz)
Carrot — 80 g (2.8 oz)
Cucumber — 100 g (3.5 oz)
Fresh cilantro — 8 g (0.3 oz)
Butter lettuce — 200 g (7.1 oz)
Peanuts, dry roasted — 15 g (0.5 oz)
Avocado oil — 10 g (0.4 oz)</t>
        </is>
      </c>
      <c r="M522" s="4" t="inlineStr">
        <is>
          <t>[{"ingredient_id": "shrimp", "name": "Shrimp, peeled", "grams": 600.0, "note": ""}, {"ingredient_id": "garlic", "name": "Garlic", "grams": 6.0, "note": ""}, {"ingredient_id": "lime_juice", "name": "Lime juice", "grams": 20.0, "note": ""}, {"ingredient_id": "peanut_butter", "name": "Peanut butter, natural", "grams": 35.0, "note": ""}, {"ingredient_id": "tamari", "name": "Tamari (gluten-free soy sauce)", "grams": 20.0, "note": ""}, {"ingredient_id": "sriracha", "name": "Sriracha", "grams": 6.0, "note": ""}, {"ingredient_id": "carrot", "name": "Carrot", "grams": 80.0, "note": ""}, {"ingredient_id": "cucumber", "name": "Cucumber", "grams": 100.0, "note": ""}, {"ingredient_id": "cilantro", "name": "Fresh cilantro", "grams": 8.0, "note": ""}, {"ingredient_id": "butter_lettuce", "name": "Butter lettuce", "grams": 200.0, "note": ""}, {"ingredient_id": "peanuts", "name": "Peanuts, dry roasted", "grams": 15.0, "note": ""}, {"ingredient_id": "avocado_oil", "name": "Avocado oil", "grams": 10.0, "note": ""}]</t>
        </is>
      </c>
      <c r="N522" s="2" t="n">
        <v>249</v>
      </c>
      <c r="O522" s="5" t="n">
        <v>34.9</v>
      </c>
      <c r="P522" s="5" t="n">
        <v>9.699999999999999</v>
      </c>
      <c r="Q522" s="5" t="n">
        <v>7.8</v>
      </c>
      <c r="R522" s="5" t="n">
        <v>2.3</v>
      </c>
      <c r="S522" s="5" t="n">
        <v>5.5</v>
      </c>
      <c r="T522" s="2" t="n">
        <v>23</v>
      </c>
      <c r="U522" s="2" t="inlineStr">
        <is>
          <t>low</t>
        </is>
      </c>
      <c r="V522" s="5" t="n">
        <v>1.3</v>
      </c>
      <c r="W522" s="2" t="inlineStr">
        <is>
          <t>low</t>
        </is>
      </c>
      <c r="X522" s="3" t="inlineStr"/>
      <c r="Y522" s="3" t="inlineStr">
        <is>
          <t>30% of this dish's available carbohydrate comes from ingredients with a published, measured GI; the rest uses conventional placeholders (see Ingredients sheet)</t>
        </is>
      </c>
      <c r="Z522" s="2" t="n">
        <v>30</v>
      </c>
      <c r="AA522" s="3" t="inlineStr">
        <is>
          <t>pescatarian, gluten-free, dairy-free, low-carb, high-protein, quick</t>
        </is>
      </c>
      <c r="AB522" s="3" t="inlineStr">
        <is>
          <t>1. Sauté shrimp with garlic in oil 3 minutes.
2. Whisk peanut butter, tamari, lime, sriracha, water.
3. Fill lettuce with shrimp, carrot, cucumber, cilantro; drizzle sauce; top peanuts.</t>
        </is>
      </c>
      <c r="AC522" s="4" t="inlineStr">
        <is>
          <t>["Sauté shrimp with garlic in oil 3 minutes.", "Whisk peanut butter, tamari, lime, sriracha, water.", "Fill lettuce with shrimp, carrot, cucumber, cilantro; drizzle sauce; top peanuts."]</t>
        </is>
      </c>
    </row>
    <row r="523" ht="96" customHeight="1">
      <c r="A523" s="2" t="inlineStr">
        <is>
          <t>DB-0522</t>
        </is>
      </c>
      <c r="B523" s="3" t="inlineStr">
        <is>
          <t>Mediterranean Baked Tilapia</t>
        </is>
      </c>
      <c r="C523" s="4" t="inlineStr">
        <is>
          <t>Seafood</t>
        </is>
      </c>
      <c r="D523" s="4" t="inlineStr">
        <is>
          <t>Mediterranean</t>
        </is>
      </c>
      <c r="E523" s="2" t="n">
        <v>4</v>
      </c>
      <c r="F523" s="2" t="n">
        <v>10</v>
      </c>
      <c r="G523" s="2" t="n">
        <v>18</v>
      </c>
      <c r="H523" s="2" t="n">
        <v>28</v>
      </c>
      <c r="I523" s="4" t="inlineStr">
        <is>
          <t>mediterranean-baked-tilapia.jpg</t>
        </is>
      </c>
      <c r="J523" s="3" t="inlineStr">
        <is>
          <t>Mediterranean Baked Tilapia, healthy food photography, plated, natural light</t>
        </is>
      </c>
      <c r="K523" s="4" t="inlineStr"/>
      <c r="L523" s="3" t="inlineStr">
        <is>
          <t>Tilapia fillet — 600 g (21.2 oz)
Cherry tomatoes — 300 g (10.6 oz)
Olives (kalamata/green) — 50 g (1.8 oz)
Red onion — 60 g (2.1 oz)
Garlic — 8 g (0.3 oz)
Dried oregano — 3 g (0.1 oz)
Extra-virgin olive oil — 15 g (0.5 oz)
Lemon (with juice &amp; zest) — 40 g (1.4 oz)
Feta cheese — 40 g (1.4 oz)
Fresh parsley — 6 g (0.2 oz)
Salt — 2 g (0.1 oz)</t>
        </is>
      </c>
      <c r="M523" s="4" t="inlineStr">
        <is>
          <t>[{"ingredient_id": "tilapia", "name": "Tilapia fillet", "grams": 600.0, "note": ""}, {"ingredient_id": "cherry_tomato", "name": "Cherry tomatoes", "grams": 300.0, "note": ""}, {"ingredient_id": "olives", "name": "Olives (kalamata/green)", "grams": 50.0, "note": ""}, {"ingredient_id": "red_onion", "name": "Red onion", "grams": 60.0, "note": ""}, {"ingredient_id": "garlic", "name": "Garlic", "grams": 8.0, "note": ""}, {"ingredient_id": "oregano", "name": "Dried oregano", "grams": 3.0, "note": ""}, {"ingredient_id": "olive_oil", "name": "Extra-virgin olive oil", "grams": 15.0, "note": ""}, {"ingredient_id": "lemon", "name": "Lemon (with juice &amp; zest)", "grams": 40.0, "note": ""}, {"ingredient_id": "feta", "name": "Feta cheese", "grams": 40.0, "note": ""}, {"ingredient_id": "parsley", "name": "Fresh parsley", "grams": 6.0, "note": ""}, {"ingredient_id": "salt", "name": "Salt", "grams": 2.0, "note": ""}]</t>
        </is>
      </c>
      <c r="N523" s="2" t="n">
        <v>246</v>
      </c>
      <c r="O523" s="5" t="n">
        <v>32.7</v>
      </c>
      <c r="P523" s="5" t="n">
        <v>10</v>
      </c>
      <c r="Q523" s="5" t="n">
        <v>7.7</v>
      </c>
      <c r="R523" s="5" t="n">
        <v>2.2</v>
      </c>
      <c r="S523" s="5" t="n">
        <v>5.4</v>
      </c>
      <c r="T523" s="2" t="n">
        <v>16</v>
      </c>
      <c r="U523" s="2" t="inlineStr">
        <is>
          <t>low</t>
        </is>
      </c>
      <c r="V523" s="5" t="n">
        <v>0.9</v>
      </c>
      <c r="W523" s="2" t="inlineStr">
        <is>
          <t>low</t>
        </is>
      </c>
      <c r="X523" s="3" t="inlineStr"/>
      <c r="Y523" s="3" t="inlineStr">
        <is>
          <t>0% of this dish's available carbohydrate comes from ingredients with a published, measured GI; the rest uses conventional placeholders (see Ingredients sheet)</t>
        </is>
      </c>
      <c r="Z523" s="2" t="n">
        <v>0</v>
      </c>
      <c r="AA523" s="3" t="inlineStr">
        <is>
          <t>pescatarian, gluten-free, nut-free, low-carb, high-protein, one-pan</t>
        </is>
      </c>
      <c r="AB523" s="3" t="inlineStr">
        <is>
          <t>1. Place tilapia in a dish; top with tomato, olives, onion, garlic, oregano, oil, lemon.
2. Bake at 400°F 15–18 minutes.
3. Top with feta and parsley.</t>
        </is>
      </c>
      <c r="AC523" s="4" t="inlineStr">
        <is>
          <t>["Place tilapia in a dish; top with tomato, olives, onion, garlic, oregano, oil, lemon.", "Bake at 400°F 15–18 minutes.", "Top with feta and parsley."]</t>
        </is>
      </c>
    </row>
    <row r="524" ht="96" customHeight="1">
      <c r="A524" s="2" t="inlineStr">
        <is>
          <t>DB-0523</t>
        </is>
      </c>
      <c r="B524" s="3" t="inlineStr">
        <is>
          <t>Cajun Shrimp &amp; Sausage Skillet</t>
        </is>
      </c>
      <c r="C524" s="4" t="inlineStr">
        <is>
          <t>Seafood</t>
        </is>
      </c>
      <c r="D524" s="4" t="inlineStr">
        <is>
          <t>Cajun</t>
        </is>
      </c>
      <c r="E524" s="2" t="n">
        <v>4</v>
      </c>
      <c r="F524" s="2" t="n">
        <v>10</v>
      </c>
      <c r="G524" s="2" t="n">
        <v>15</v>
      </c>
      <c r="H524" s="2" t="n">
        <v>25</v>
      </c>
      <c r="I524" s="4" t="inlineStr">
        <is>
          <t>cajun-shrimp-and-sausage-skillet.jpg</t>
        </is>
      </c>
      <c r="J524" s="3" t="inlineStr">
        <is>
          <t>Cajun Shrimp &amp; Sausage Skillet, healthy food photography, plated, natural light</t>
        </is>
      </c>
      <c r="K524" s="4" t="inlineStr"/>
      <c r="L524" s="3" t="inlineStr">
        <is>
          <t>Shrimp, peeled — 500 g (17.6 oz)
Chicken sausage — 250 g (8.8 oz)
Bell pepper — 250 g (8.8 oz)
Zucchini — 250 g (8.8 oz)
Yellow onion — 100 g (3.5 oz)
Garlic — 8 g (0.3 oz)
Cajun seasoning — 8 g (0.3 oz)
Extra-virgin olive oil — 15 g (0.5 oz)
Lemon (with juice &amp; zest) — 30 g (1.1 oz)</t>
        </is>
      </c>
      <c r="M524" s="4" t="inlineStr">
        <is>
          <t>[{"ingredient_id": "shrimp", "name": "Shrimp, peeled", "grams": 500.0, "note": ""}, {"ingredient_id": "chicken_sausage", "name": "Chicken sausage", "grams": 250.0, "note": ""}, {"ingredient_id": "bell_pepper", "name": "Bell pepper", "grams": 250.0, "note": ""}, {"ingredient_id": "zucchini", "name": "Zucchini", "grams": 250.0, "note": ""}, {"ingredient_id": "onion", "name": "Yellow onion", "grams": 100.0, "note": ""}, {"ingredient_id": "garlic", "name": "Garlic", "grams": 8.0, "note": ""}, {"ingredient_id": "cajun_seasoning", "name": "Cajun seasoning", "grams": 8.0, "note": ""}, {"ingredient_id": "olive_oil", "name": "Extra-virgin olive oil", "grams": 15.0, "note": ""}, {"ingredient_id": "lemon", "name": "Lemon (with juice &amp; zest)", "grams": 30.0, "note": ""}]</t>
        </is>
      </c>
      <c r="N524" s="2" t="n">
        <v>297</v>
      </c>
      <c r="O524" s="5" t="n">
        <v>36.4</v>
      </c>
      <c r="P524" s="5" t="n">
        <v>11.8</v>
      </c>
      <c r="Q524" s="5" t="n">
        <v>11.7</v>
      </c>
      <c r="R524" s="5" t="n">
        <v>3.1</v>
      </c>
      <c r="S524" s="5" t="n">
        <v>8.6</v>
      </c>
      <c r="T524" s="2" t="n">
        <v>14</v>
      </c>
      <c r="U524" s="2" t="inlineStr">
        <is>
          <t>low</t>
        </is>
      </c>
      <c r="V524" s="5" t="n">
        <v>1.2</v>
      </c>
      <c r="W524" s="2" t="inlineStr">
        <is>
          <t>low</t>
        </is>
      </c>
      <c r="X524" s="3" t="inlineStr"/>
      <c r="Y524" s="3" t="inlineStr">
        <is>
          <t>0% of this dish's available carbohydrate comes from ingredients with a published, measured GI; the rest uses conventional placeholders (see Ingredients sheet)</t>
        </is>
      </c>
      <c r="Z524" s="2" t="n">
        <v>0</v>
      </c>
      <c r="AA524" s="3" t="inlineStr">
        <is>
          <t>gluten-free, dairy-free, nut-free, low-carb, high-protein, one-pan, quick</t>
        </is>
      </c>
      <c r="AB524" s="3" t="inlineStr">
        <is>
          <t>1. Brown sausage in oil; remove.
2. Sauté peppers, zucchini, onion, garlic 6 minutes.
3. Add shrimp and Cajun seasoning; cook 3 minutes; return sausage; finish with lemon.</t>
        </is>
      </c>
      <c r="AC524" s="4" t="inlineStr">
        <is>
          <t>["Brown sausage in oil; remove.", "Sauté peppers, zucchini, onion, garlic 6 minutes.", "Add shrimp and Cajun seasoning; cook 3 minutes; return sausage; finish with lemon."]</t>
        </is>
      </c>
    </row>
    <row r="525" ht="96" customHeight="1">
      <c r="A525" s="2" t="inlineStr">
        <is>
          <t>DB-0524</t>
        </is>
      </c>
      <c r="B525" s="3" t="inlineStr">
        <is>
          <t>Tuna Steak with Sesame Crust &amp; Slaw</t>
        </is>
      </c>
      <c r="C525" s="4" t="inlineStr">
        <is>
          <t>Seafood</t>
        </is>
      </c>
      <c r="D525" s="4" t="inlineStr">
        <is>
          <t>Japanese</t>
        </is>
      </c>
      <c r="E525" s="2" t="n">
        <v>4</v>
      </c>
      <c r="F525" s="2" t="n">
        <v>10</v>
      </c>
      <c r="G525" s="2" t="n">
        <v>5</v>
      </c>
      <c r="H525" s="2" t="n">
        <v>15</v>
      </c>
      <c r="I525" s="4" t="inlineStr">
        <is>
          <t>tuna-steak-with-sesame-crust-and-slaw.jpg</t>
        </is>
      </c>
      <c r="J525" s="3" t="inlineStr">
        <is>
          <t>Tuna Steak with Sesame Crust &amp; Slaw, healthy food photography, plated, natural light</t>
        </is>
      </c>
      <c r="K525" s="4" t="inlineStr"/>
      <c r="L525" s="3" t="inlineStr">
        <is>
          <t>Tuna steak (ahi) — 600 g (21.2 oz)
Sesame seeds — 30 g (1.1 oz)
Tamari (gluten-free soy sauce) — 25 g (0.9 oz)
Toasted sesame oil — 8 g (0.3 oz)
Coleslaw mix (cabbage &amp; carrot) — 400 g (14.1 oz)
Rice vinegar, unseasoned — 20 g (0.7 oz)
Fresh ginger — 8 g (0.3 oz)
Avocado oil — 10 g (0.4 oz)
Green onions (scallions) — 15 g (0.5 oz)</t>
        </is>
      </c>
      <c r="M525" s="4" t="inlineStr">
        <is>
          <t>[{"ingredient_id": "tuna_steak", "name": "Tuna steak (ahi)", "grams": 600.0, "note": ""}, {"ingredient_id": "sesame_seeds", "name": "Sesame seeds", "grams": 30.0, "note": ""}, {"ingredient_id": "tamari", "name": "Tamari (gluten-free soy sauce)", "grams": 25.0, "note": ""}, {"ingredient_id": "sesame_oil", "name": "Toasted sesame oil", "grams": 8.0, "note": ""}, {"ingredient_id": "coleslaw_mix", "name": "Coleslaw mix (cabbage &amp; carrot)", "grams": 400.0, "note": ""}, {"ingredient_id": "rice_vinegar", "name": "Rice vinegar, unseasoned", "grams": 20.0, "note": ""}, {"ingredient_id": "ginger", "name": "Fresh ginger", "grams": 8.0, "note": ""}, {"ingredient_id": "avocado_oil", "name": "Avocado oil", "grams": 10.0, "note": ""}, {"ingredient_id": "green_onion", "name": "Green onions (scallions)", "grams": 15.0, "note": ""}]</t>
        </is>
      </c>
      <c r="N525" s="2" t="n">
        <v>281</v>
      </c>
      <c r="O525" s="5" t="n">
        <v>39.4</v>
      </c>
      <c r="P525" s="5" t="n">
        <v>9.9</v>
      </c>
      <c r="Q525" s="5" t="n">
        <v>8.699999999999999</v>
      </c>
      <c r="R525" s="5" t="n">
        <v>3.5</v>
      </c>
      <c r="S525" s="5" t="n">
        <v>5.2</v>
      </c>
      <c r="T525" s="2" t="n">
        <v>18</v>
      </c>
      <c r="U525" s="2" t="inlineStr">
        <is>
          <t>low</t>
        </is>
      </c>
      <c r="V525" s="5" t="n">
        <v>0.9</v>
      </c>
      <c r="W525" s="2" t="inlineStr">
        <is>
          <t>low</t>
        </is>
      </c>
      <c r="X525" s="3" t="inlineStr"/>
      <c r="Y525" s="3" t="inlineStr">
        <is>
          <t>0% of this dish's available carbohydrate comes from ingredients with a published, measured GI; the rest uses conventional placeholders (see Ingredients sheet)</t>
        </is>
      </c>
      <c r="Z525" s="2" t="n">
        <v>0</v>
      </c>
      <c r="AA525" s="3" t="inlineStr">
        <is>
          <t>pescatarian, gluten-free, dairy-free, nut-free, low-carb, high-protein, quick</t>
        </is>
      </c>
      <c r="AB525" s="3" t="inlineStr">
        <is>
          <t>1. Press tuna into sesame seeds; sear in avocado oil 1–2 minutes per side; slice.
2. Whisk tamari, sesame oil, vinegar, ginger; toss half with slaw.
3. Serve tuna over slaw with remaining sauce and green onion.</t>
        </is>
      </c>
      <c r="AC525" s="4" t="inlineStr">
        <is>
          <t>["Press tuna into sesame seeds; sear in avocado oil 1–2 minutes per side; slice.", "Whisk tamari, sesame oil, vinegar, ginger; toss half with slaw.", "Serve tuna over slaw with remaining sauce and green onion."]</t>
        </is>
      </c>
    </row>
    <row r="526" ht="96" customHeight="1">
      <c r="A526" s="2" t="inlineStr">
        <is>
          <t>DB-0525</t>
        </is>
      </c>
      <c r="B526" s="3" t="inlineStr">
        <is>
          <t>Salmon Cakes with Dill Yogurt</t>
        </is>
      </c>
      <c r="C526" s="4" t="inlineStr">
        <is>
          <t>Seafood</t>
        </is>
      </c>
      <c r="D526" s="4" t="inlineStr">
        <is>
          <t>American</t>
        </is>
      </c>
      <c r="E526" s="2" t="n">
        <v>4</v>
      </c>
      <c r="F526" s="2" t="n">
        <v>15</v>
      </c>
      <c r="G526" s="2" t="n">
        <v>12</v>
      </c>
      <c r="H526" s="2" t="n">
        <v>27</v>
      </c>
      <c r="I526" s="4" t="inlineStr">
        <is>
          <t>salmon-cakes-with-dill-yogurt.jpg</t>
        </is>
      </c>
      <c r="J526" s="3" t="inlineStr">
        <is>
          <t>Salmon Cakes with Dill Yogurt, healthy food photography, plated, natural light</t>
        </is>
      </c>
      <c r="K526" s="4" t="inlineStr"/>
      <c r="L526" s="3" t="inlineStr">
        <is>
          <t>Canned salmon — 450 g (15.9 oz)
Egg, large (50 g each) — 100 g (3.5 oz)
Almond flour — 50 g (1.8 oz)
Green onions (scallions) — 30 g (1.1 oz)
Dijon mustard — 15 g (0.5 oz)
Lemon (with juice &amp; zest) — 40 g (1.4 oz)
Greek yogurt, plain 2% — 120 g (4.2 oz)
Fresh dill — 8 g (0.3 oz)
Extra-virgin olive oil — 20 g (0.7 oz)
Mixed salad greens — 200 g (7.1 oz)</t>
        </is>
      </c>
      <c r="M526" s="4" t="inlineStr">
        <is>
          <t>[{"ingredient_id": "canned_salmon", "name": "Canned salmon", "grams": 450.0, "note": ""}, {"ingredient_id": "egg", "name": "Egg, large (50 g each)", "grams": 100.0, "note": ""}, {"ingredient_id": "almond_flour", "name": "Almond flour", "grams": 50.0, "note": ""}, {"ingredient_id": "green_onion", "name": "Green onions (scallions)", "grams": 30.0, "note": ""}, {"ingredient_id": "dijon", "name": "Dijon mustard", "grams": 15.0, "note": ""}, {"ingredient_id": "lemon", "name": "Lemon (with juice &amp; zest)", "grams": 40.0, "note": ""}, {"ingredient_id": "greek_yogurt", "name": "Greek yogurt, plain 2%", "grams": 120.0, "note": ""}, {"ingredient_id": "dill", "name": "Fresh dill", "grams": 8.0, "note": ""}, {"ingredient_id": "olive_oil", "name": "Extra-virgin olive oil", "grams": 20.0, "note": ""}, {"ingredient_id": "mixed_greens", "name": "Mixed salad greens", "grams": 200.0, "note": ""}]</t>
        </is>
      </c>
      <c r="N526" s="2" t="n">
        <v>352</v>
      </c>
      <c r="O526" s="5" t="n">
        <v>32.7</v>
      </c>
      <c r="P526" s="5" t="n">
        <v>21.3</v>
      </c>
      <c r="Q526" s="5" t="n">
        <v>7.6</v>
      </c>
      <c r="R526" s="5" t="n">
        <v>3.1</v>
      </c>
      <c r="S526" s="5" t="n">
        <v>4.4</v>
      </c>
      <c r="T526" s="2" t="n">
        <v>14</v>
      </c>
      <c r="U526" s="2" t="inlineStr">
        <is>
          <t>low</t>
        </is>
      </c>
      <c r="V526" s="5" t="n">
        <v>0.6</v>
      </c>
      <c r="W526" s="2" t="inlineStr">
        <is>
          <t>low</t>
        </is>
      </c>
      <c r="X526" s="3" t="inlineStr">
        <is>
          <t>Negligible carbohydrate (&lt;5 g net/serving): GI has little practical meaning, glycemic load is what matters.</t>
        </is>
      </c>
      <c r="Y526" s="3" t="inlineStr">
        <is>
          <t>27% of this dish's available carbohydrate comes from ingredients with a published, measured GI; the rest uses conventional placeholders (see Ingredients sheet)</t>
        </is>
      </c>
      <c r="Z526" s="2" t="n">
        <v>27</v>
      </c>
      <c r="AA526" s="3" t="inlineStr">
        <is>
          <t>pescatarian, gluten-free, low-carb, high-protein, omega-3</t>
        </is>
      </c>
      <c r="AB526" s="3" t="inlineStr">
        <is>
          <t>1. Mix salmon, eggs, almond flour, green onion, Dijon, lemon zest; form 8 cakes.
2. Pan-fry in oil 4 minutes per side.
3. Mix yogurt, dill, lemon juice; serve cakes over greens.</t>
        </is>
      </c>
      <c r="AC526" s="4" t="inlineStr">
        <is>
          <t>["Mix salmon, eggs, almond flour, green onion, Dijon, lemon zest; form 8 cakes.", "Pan-fry in oil 4 minutes per side.", "Mix yogurt, dill, lemon juice; serve cakes over greens."]</t>
        </is>
      </c>
    </row>
    <row r="527" ht="96" customHeight="1">
      <c r="A527" s="2" t="inlineStr">
        <is>
          <t>DB-0526</t>
        </is>
      </c>
      <c r="B527" s="3" t="inlineStr">
        <is>
          <t>Garlic Shrimp Cauliflower Fried Rice</t>
        </is>
      </c>
      <c r="C527" s="4" t="inlineStr">
        <is>
          <t>Seafood</t>
        </is>
      </c>
      <c r="D527" s="4" t="inlineStr">
        <is>
          <t>Chinese-American</t>
        </is>
      </c>
      <c r="E527" s="2" t="n">
        <v>4</v>
      </c>
      <c r="F527" s="2" t="n">
        <v>10</v>
      </c>
      <c r="G527" s="2" t="n">
        <v>12</v>
      </c>
      <c r="H527" s="2" t="n">
        <v>22</v>
      </c>
      <c r="I527" s="4" t="inlineStr">
        <is>
          <t>garlic-shrimp-cauliflower-fried-rice.jpg</t>
        </is>
      </c>
      <c r="J527" s="3" t="inlineStr">
        <is>
          <t>Garlic Shrimp Cauliflower Fried Rice, healthy food photography, plated, natural light</t>
        </is>
      </c>
      <c r="K527" s="4" t="inlineStr"/>
      <c r="L527" s="3" t="inlineStr">
        <is>
          <t>Shrimp, peeled — 500 g (17.6 oz)
Cauliflower rice — 600 g (21.2 oz)
Egg, large (50 g each) — 100 g (3.5 oz)
Green peas — 100 g (3.5 oz)
Carrot — 80 g (2.8 oz)
Garlic — 10 g (0.4 oz)
Fresh ginger — 6 g (0.2 oz)
Tamari (gluten-free soy sauce) — 30 g (1.1 oz)
Toasted sesame oil — 8 g (0.3 oz)
Green onions (scallions) — 20 g (0.7 oz)
Avocado oil — 12 g (0.4 oz)</t>
        </is>
      </c>
      <c r="M527" s="4" t="inlineStr">
        <is>
          <t>[{"ingredient_id": "shrimp", "name": "Shrimp, peeled", "grams": 500.0, "note": ""}, {"ingredient_id": "cauliflower_rice", "name": "Cauliflower rice", "grams": 600.0, "note": ""}, {"ingredient_id": "egg", "name": "Egg, large (50 g each)", "grams": 100.0, "note": ""}, {"ingredient_id": "green_peas", "name": "Green peas", "grams": 100.0, "note": ""}, {"ingredient_id": "carrot", "name": "Carrot", "grams": 80.0, "note": ""}, {"ingredient_id": "garlic", "name": "Garlic", "grams": 10.0, "note": ""}, {"ingredient_id": "ginger", "name": "Fresh ginger", "grams": 6.0, "note": ""}, {"ingredient_id": "tamari", "name": "Tamari (gluten-free soy sauce)", "grams": 30.0, "note": ""}, {"ingredient_id": "sesame_oil", "name": "Toasted sesame oil", "grams": 8.0, "note": ""}, {"ingredient_id": "green_onion", "name": "Green onions (scallions)", "grams": 20.0, "note": ""}, {"ingredient_id": "avocado_oil", "name": "Avocado oil", "grams": 12.0, "note": ""}]</t>
        </is>
      </c>
      <c r="N527" s="2" t="n">
        <v>263</v>
      </c>
      <c r="O527" s="5" t="n">
        <v>33.6</v>
      </c>
      <c r="P527" s="5" t="n">
        <v>8.6</v>
      </c>
      <c r="Q527" s="5" t="n">
        <v>14.9</v>
      </c>
      <c r="R527" s="5" t="n">
        <v>5.3</v>
      </c>
      <c r="S527" s="5" t="n">
        <v>9.699999999999999</v>
      </c>
      <c r="T527" s="2" t="n">
        <v>24</v>
      </c>
      <c r="U527" s="2" t="inlineStr">
        <is>
          <t>low</t>
        </is>
      </c>
      <c r="V527" s="5" t="n">
        <v>2.3</v>
      </c>
      <c r="W527" s="2" t="inlineStr">
        <is>
          <t>low</t>
        </is>
      </c>
      <c r="X527" s="3" t="inlineStr"/>
      <c r="Y527" s="3" t="inlineStr">
        <is>
          <t>36% of this dish's available carbohydrate comes from ingredients with a published, measured GI; the rest uses conventional placeholders (see Ingredients sheet)</t>
        </is>
      </c>
      <c r="Z527" s="2" t="n">
        <v>36</v>
      </c>
      <c r="AA527" s="3" t="inlineStr">
        <is>
          <t>pescatarian, gluten-free, dairy-free, nut-free, low-carb, high-protein, quick</t>
        </is>
      </c>
      <c r="AB527" s="3" t="inlineStr">
        <is>
          <t>1. Sauté shrimp with half the garlic in oil; remove.
2. Scramble eggs; add carrot, remaining garlic, ginger, cauliflower rice 5 minutes.
3. Add peas, shrimp, tamari, sesame oil, green onion.</t>
        </is>
      </c>
      <c r="AC527" s="4" t="inlineStr">
        <is>
          <t>["Sauté shrimp with half the garlic in oil; remove.", "Scramble eggs; add carrot, remaining garlic, ginger, cauliflower rice 5 minutes.", "Add peas, shrimp, tamari, sesame oil, green onion."]</t>
        </is>
      </c>
    </row>
    <row r="528" ht="96" customHeight="1">
      <c r="A528" s="2" t="inlineStr">
        <is>
          <t>DB-0527</t>
        </is>
      </c>
      <c r="B528" s="3" t="inlineStr">
        <is>
          <t>Broiled Salmon with Avocado Salsa</t>
        </is>
      </c>
      <c r="C528" s="4" t="inlineStr">
        <is>
          <t>Seafood</t>
        </is>
      </c>
      <c r="D528" s="4" t="inlineStr">
        <is>
          <t>American</t>
        </is>
      </c>
      <c r="E528" s="2" t="n">
        <v>4</v>
      </c>
      <c r="F528" s="2" t="n">
        <v>10</v>
      </c>
      <c r="G528" s="2" t="n">
        <v>10</v>
      </c>
      <c r="H528" s="2" t="n">
        <v>20</v>
      </c>
      <c r="I528" s="4" t="inlineStr">
        <is>
          <t>broiled-salmon-with-avocado-salsa.jpg</t>
        </is>
      </c>
      <c r="J528" s="3" t="inlineStr">
        <is>
          <t>Broiled Salmon with Avocado Salsa, healthy food photography, plated, natural light</t>
        </is>
      </c>
      <c r="K528" s="4" t="inlineStr"/>
      <c r="L528" s="3" t="inlineStr">
        <is>
          <t>Salmon fillet — 600 g (21.2 oz)
Avocado — 150 g (5.3 oz)
Tomato — 150 g (5.3 oz)
Red onion — 40 g (1.4 oz)
Fresh cilantro — 8 g (0.3 oz)
Lime juice — 20 g (0.7 oz)
Jalapeño — 8 g (0.3 oz)
Extra-virgin olive oil — 10 g (0.4 oz)
Ground cumin — 2 g (0.1 oz)
Mixed salad greens — 200 g (7.1 oz)
Salt — 3 g (0.1 oz)</t>
        </is>
      </c>
      <c r="M528" s="4" t="inlineStr">
        <is>
          <t>[{"ingredient_id": "salmon", "name": "Salmon fillet", "grams": 600.0, "note": ""}, {"ingredient_id": "avocado", "name": "Avocado", "grams": 150.0, "note": ""}, {"ingredient_id": "tomato", "name": "Tomato", "grams": 150.0, "note": ""}, {"ingredient_id": "red_onion", "name": "Red onion", "grams": 40.0, "note": ""}, {"ingredient_id": "cilantro", "name": "Fresh cilantro", "grams": 8.0, "note": ""}, {"ingredient_id": "lime_juice", "name": "Lime juice", "grams": 20.0, "note": ""}, {"ingredient_id": "jalapeno", "name": "Jalapeño", "grams": 8.0, "note": ""}, {"ingredient_id": "olive_oil", "name": "Extra-virgin olive oil", "grams": 10.0, "note": ""}, {"ingredient_id": "cumin", "name": "Ground cumin", "grams": 2.0, "note": ""}, {"ingredient_id": "mixed_greens", "name": "Mixed salad greens", "grams": 200.0, "note": ""}, {"ingredient_id": "salt", "name": "Salt", "grams": 3.0, "note": ""}]</t>
        </is>
      </c>
      <c r="N528" s="2" t="n">
        <v>419</v>
      </c>
      <c r="O528" s="5" t="n">
        <v>32.4</v>
      </c>
      <c r="P528" s="5" t="n">
        <v>28</v>
      </c>
      <c r="Q528" s="5" t="n">
        <v>8.199999999999999</v>
      </c>
      <c r="R528" s="5" t="n">
        <v>4.3</v>
      </c>
      <c r="S528" s="5" t="n">
        <v>3.9</v>
      </c>
      <c r="T528" s="2" t="n">
        <v>16</v>
      </c>
      <c r="U528" s="2" t="inlineStr">
        <is>
          <t>low</t>
        </is>
      </c>
      <c r="V528" s="5" t="n">
        <v>0.6</v>
      </c>
      <c r="W528" s="2" t="inlineStr">
        <is>
          <t>low</t>
        </is>
      </c>
      <c r="X528" s="3" t="inlineStr">
        <is>
          <t>Negligible carbohydrate (&lt;5 g net/serving): GI has little practical meaning, glycemic load is what matters.</t>
        </is>
      </c>
      <c r="Y528" s="3" t="inlineStr">
        <is>
          <t>0% of this dish's available carbohydrate comes from ingredients with a published, measured GI; the rest uses conventional placeholders (see Ingredients sheet)</t>
        </is>
      </c>
      <c r="Z528" s="2" t="n">
        <v>0</v>
      </c>
      <c r="AA528" s="3" t="inlineStr">
        <is>
          <t>pescatarian, gluten-free, dairy-free, nut-free, low-carb, high-protein, omega-3, quick</t>
        </is>
      </c>
      <c r="AB528" s="3" t="inlineStr">
        <is>
          <t>1. Rub salmon with oil, cumin, salt; broil 8–10 minutes.
2. Dice avocado, tomato, onion, jalapeño; toss with cilantro and lime.
3. Serve salmon over greens with salsa.</t>
        </is>
      </c>
      <c r="AC528" s="4" t="inlineStr">
        <is>
          <t>["Rub salmon with oil, cumin, salt; broil 8–10 minutes.", "Dice avocado, tomato, onion, jalapeño; toss with cilantro and lime.", "Serve salmon over greens with salsa."]</t>
        </is>
      </c>
    </row>
    <row r="529" ht="96" customHeight="1">
      <c r="A529" s="2" t="inlineStr">
        <is>
          <t>DB-0528</t>
        </is>
      </c>
      <c r="B529" s="3" t="inlineStr">
        <is>
          <t>Shrimp &amp; Zucchini Pesto Skillet</t>
        </is>
      </c>
      <c r="C529" s="4" t="inlineStr">
        <is>
          <t>Seafood</t>
        </is>
      </c>
      <c r="D529" s="4" t="inlineStr">
        <is>
          <t>Italian</t>
        </is>
      </c>
      <c r="E529" s="2" t="n">
        <v>4</v>
      </c>
      <c r="F529" s="2" t="n">
        <v>10</v>
      </c>
      <c r="G529" s="2" t="n">
        <v>10</v>
      </c>
      <c r="H529" s="2" t="n">
        <v>20</v>
      </c>
      <c r="I529" s="4" t="inlineStr">
        <is>
          <t>shrimp-and-zucchini-pesto-skillet.jpg</t>
        </is>
      </c>
      <c r="J529" s="3" t="inlineStr">
        <is>
          <t>Shrimp &amp; Zucchini Pesto Skillet, healthy food photography, plated, natural light</t>
        </is>
      </c>
      <c r="K529" s="4" t="inlineStr"/>
      <c r="L529" s="3" t="inlineStr">
        <is>
          <t>Shrimp, peeled — 600 g (21.2 oz)
Zucchini — 500 g (17.6 oz)
Basil pesto — 50 g (1.8 oz)
Cherry tomatoes — 200 g (7.1 oz)
Garlic — 6 g (0.2 oz)
Extra-virgin olive oil — 10 g (0.4 oz)
Parmesan, grated — 20 g (0.7 oz)
Lemon (with juice &amp; zest) — 30 g (1.1 oz)</t>
        </is>
      </c>
      <c r="M529" s="4" t="inlineStr">
        <is>
          <t>[{"ingredient_id": "shrimp", "name": "Shrimp, peeled", "grams": 600.0, "note": ""}, {"ingredient_id": "zucchini", "name": "Zucchini", "grams": 500.0, "note": ""}, {"ingredient_id": "pesto", "name": "Basil pesto", "grams": 50.0, "note": ""}, {"ingredient_id": "cherry_tomato", "name": "Cherry tomatoes", "grams": 200.0, "note": ""}, {"ingredient_id": "garlic", "name": "Garlic", "grams": 6.0, "note": ""}, {"ingredient_id": "olive_oil", "name": "Extra-virgin olive oil", "grams": 10.0, "note": ""}, {"ingredient_id": "parmesan", "name": "Parmesan, grated", "grams": 20.0, "note": ""}, {"ingredient_id": "lemon", "name": "Lemon (with juice &amp; zest)", "grams": 30.0, "note": ""}]</t>
        </is>
      </c>
      <c r="N529" s="2" t="n">
        <v>256</v>
      </c>
      <c r="O529" s="5" t="n">
        <v>34.7</v>
      </c>
      <c r="P529" s="5" t="n">
        <v>10.2</v>
      </c>
      <c r="Q529" s="5" t="n">
        <v>8</v>
      </c>
      <c r="R529" s="5" t="n">
        <v>2.3</v>
      </c>
      <c r="S529" s="5" t="n">
        <v>5.6</v>
      </c>
      <c r="T529" s="2" t="n">
        <v>16</v>
      </c>
      <c r="U529" s="2" t="inlineStr">
        <is>
          <t>low</t>
        </is>
      </c>
      <c r="V529" s="5" t="n">
        <v>0.9</v>
      </c>
      <c r="W529" s="2" t="inlineStr">
        <is>
          <t>low</t>
        </is>
      </c>
      <c r="X529" s="3" t="inlineStr"/>
      <c r="Y529" s="3" t="inlineStr">
        <is>
          <t>0% of this dish's available carbohydrate comes from ingredients with a published, measured GI; the rest uses conventional placeholders (see Ingredients sheet)</t>
        </is>
      </c>
      <c r="Z529" s="2" t="n">
        <v>0</v>
      </c>
      <c r="AA529" s="3" t="inlineStr">
        <is>
          <t>pescatarian, gluten-free, low-carb, high-protein, quick, one-pan</t>
        </is>
      </c>
      <c r="AB529" s="3" t="inlineStr">
        <is>
          <t>1. Sauté zucchini chunks with garlic in oil 4 minutes.
2. Add shrimp and tomatoes; cook 3 minutes.
3. Toss with pesto; top parmesan and lemon.</t>
        </is>
      </c>
      <c r="AC529" s="4" t="inlineStr">
        <is>
          <t>["Sauté zucchini chunks with garlic in oil 4 minutes.", "Add shrimp and tomatoes; cook 3 minutes.", "Toss with pesto; top parmesan and lemon."]</t>
        </is>
      </c>
    </row>
    <row r="530" ht="96" customHeight="1">
      <c r="A530" s="2" t="inlineStr">
        <is>
          <t>DB-0529</t>
        </is>
      </c>
      <c r="B530" s="3" t="inlineStr">
        <is>
          <t>Crab Cakes (Almond Flour) with Remoulade</t>
        </is>
      </c>
      <c r="C530" s="4" t="inlineStr">
        <is>
          <t>Seafood</t>
        </is>
      </c>
      <c r="D530" s="4" t="inlineStr">
        <is>
          <t>American</t>
        </is>
      </c>
      <c r="E530" s="2" t="n">
        <v>4</v>
      </c>
      <c r="F530" s="2" t="n">
        <v>15</v>
      </c>
      <c r="G530" s="2" t="n">
        <v>12</v>
      </c>
      <c r="H530" s="2" t="n">
        <v>27</v>
      </c>
      <c r="I530" s="4" t="inlineStr">
        <is>
          <t>crab-cakes-almond-flour-with-remoulade.jpg</t>
        </is>
      </c>
      <c r="J530" s="3" t="inlineStr">
        <is>
          <t>Crab Cakes (Almond Flour) with Remoulade, healthy food photography, plated, natural light</t>
        </is>
      </c>
      <c r="K530" s="4" t="inlineStr"/>
      <c r="L530" s="3" t="inlineStr">
        <is>
          <t>Crab meat, lump — 500 g (17.6 oz)
Egg, large (50 g each) — 50 g (1.8 oz)
Almond flour — 40 g (1.4 oz)
Mayonnaise (avocado oil) — 20 g (0.7 oz)
Dijon mustard — 15 g (0.5 oz)
Old Bay seasoning — 4 g (0.1 oz)
Green onions (scallions) — 20 g (0.7 oz)
Greek yogurt, plain 2% — 80 g (2.8 oz)
Dill pickles — 30 g (1.1 oz)
Hot sauce (Tabasco/Frank's) — 5 g (0.2 oz)
Lemon (with juice &amp; zest) — 40 g (1.4 oz)
Extra-virgin olive oil — 20 g (0.7 oz)
Arugula — 150 g (5.3 oz)</t>
        </is>
      </c>
      <c r="M530" s="4" t="inlineStr">
        <is>
          <t>[{"ingredient_id": "crab", "name": "Crab meat, lump", "grams": 500.0, "note": ""}, {"ingredient_id": "egg", "name": "Egg, large (50 g each)", "grams": 50.0, "note": ""}, {"ingredient_id": "almond_flour", "name": "Almond flour", "grams": 40.0, "note": ""}, {"ingredient_id": "mayo", "name": "Mayonnaise (avocado oil)", "grams": 20.0, "note": ""}, {"ingredient_id": "dijon", "name": "Dijon mustard", "grams": 15.0, "note": ""}, {"ingredient_id": "old_bay", "name": "Old Bay seasoning", "grams": 4.0, "note": ""}, {"ingredient_id": "green_onion", "name": "Green onions (scallions)", "grams": 20.0, "note": ""}, {"ingredient_id": "greek_yogurt", "name": "Greek yogurt, plain 2%", "grams": 80.0, "note": ""}, {"ingredient_id": "dill_pickle", "name": "Dill pickles", "grams": 30.0, "note": ""}, {"ingredient_id": "hot_sauce", "name": "Hot sauce (Tabasco/Frank's)", "grams": 5.0, "note": ""}, {"ingredient_id": "lemon", "name": "Lemon (with juice &amp; zest)", "grams": 40.0, "note": ""}, {"ingredient_id": "olive_oil", "name": "Extra-virgin olive oil", "grams": 20.0, "note": ""}, {"ingredient_id": "arugula", "name": "Arugula", "grams": 150.0, "note": ""}]</t>
        </is>
      </c>
      <c r="N530" s="2" t="n">
        <v>296</v>
      </c>
      <c r="O530" s="5" t="n">
        <v>29.6</v>
      </c>
      <c r="P530" s="5" t="n">
        <v>17.3</v>
      </c>
      <c r="Q530" s="5" t="n">
        <v>6.6</v>
      </c>
      <c r="R530" s="5" t="n">
        <v>2.7</v>
      </c>
      <c r="S530" s="5" t="n">
        <v>3.9</v>
      </c>
      <c r="T530" s="2" t="n">
        <v>15</v>
      </c>
      <c r="U530" s="2" t="inlineStr">
        <is>
          <t>low</t>
        </is>
      </c>
      <c r="V530" s="5" t="n">
        <v>0.6</v>
      </c>
      <c r="W530" s="2" t="inlineStr">
        <is>
          <t>low</t>
        </is>
      </c>
      <c r="X530" s="3" t="inlineStr">
        <is>
          <t>Negligible carbohydrate (&lt;5 g net/serving): GI has little practical meaning, glycemic load is what matters.</t>
        </is>
      </c>
      <c r="Y530" s="3" t="inlineStr">
        <is>
          <t>20% of this dish's available carbohydrate comes from ingredients with a published, measured GI; the rest uses conventional placeholders (see Ingredients sheet)</t>
        </is>
      </c>
      <c r="Z530" s="2" t="n">
        <v>20</v>
      </c>
      <c r="AA530" s="3" t="inlineStr">
        <is>
          <t>pescatarian, gluten-free, low-carb, high-protein</t>
        </is>
      </c>
      <c r="AB530" s="3" t="inlineStr">
        <is>
          <t>1. Mix crab, egg, almond flour, half the mayo, Dijon, Old Bay, green onion; form 8 cakes; chill 15 minutes.
2. Pan-fry in oil 4 minutes per side.
3. Mix yogurt, remaining mayo, chopped pickle, hot sauce, lemon; serve over arugula.</t>
        </is>
      </c>
      <c r="AC530" s="4" t="inlineStr">
        <is>
          <t>["Mix crab, egg, almond flour, half the mayo, Dijon, Old Bay, green onion; form 8 cakes; chill 15 minutes.", "Pan-fry in oil 4 minutes per side.", "Mix yogurt, remaining mayo, chopped pickle, hot sauce, lemon; serve over arugula."]</t>
        </is>
      </c>
    </row>
    <row r="531" ht="96" customHeight="1">
      <c r="A531" s="2" t="inlineStr">
        <is>
          <t>DB-0530</t>
        </is>
      </c>
      <c r="B531" s="3" t="inlineStr">
        <is>
          <t>Lemon Dill Baked Trout</t>
        </is>
      </c>
      <c r="C531" s="4" t="inlineStr">
        <is>
          <t>Seafood</t>
        </is>
      </c>
      <c r="D531" s="4" t="inlineStr">
        <is>
          <t>Scandinavian</t>
        </is>
      </c>
      <c r="E531" s="2" t="n">
        <v>4</v>
      </c>
      <c r="F531" s="2" t="n">
        <v>5</v>
      </c>
      <c r="G531" s="2" t="n">
        <v>15</v>
      </c>
      <c r="H531" s="2" t="n">
        <v>20</v>
      </c>
      <c r="I531" s="4" t="inlineStr">
        <is>
          <t>lemon-dill-baked-trout.jpg</t>
        </is>
      </c>
      <c r="J531" s="3" t="inlineStr">
        <is>
          <t>Lemon Dill Baked Trout, healthy food photography, plated, natural light</t>
        </is>
      </c>
      <c r="K531" s="4" t="inlineStr"/>
      <c r="L531" s="3" t="inlineStr">
        <is>
          <t>Rainbow trout fillet — 600 g (21.2 oz)
Lemon (with juice &amp; zest) — 60 g (2.1 oz)
Fresh dill — 10 g (0.4 oz)
Garlic — 6 g (0.2 oz)
Extra-virgin olive oil — 15 g (0.5 oz)
Broccolini — 400 g (14.1 oz)
Salt — 3 g (0.1 oz)</t>
        </is>
      </c>
      <c r="M531" s="4" t="inlineStr">
        <is>
          <t>[{"ingredient_id": "trout", "name": "Rainbow trout fillet", "grams": 600.0, "note": ""}, {"ingredient_id": "lemon", "name": "Lemon (with juice &amp; zest)", "grams": 60.0, "note": ""}, {"ingredient_id": "dill", "name": "Fresh dill", "grams": 10.0, "note": ""}, {"ingredient_id": "garlic", "name": "Garlic", "grams": 6.0, "note": ""}, {"ingredient_id": "olive_oil", "name": "Extra-virgin olive oil", "grams": 15.0, "note": ""}, {"ingredient_id": "broccolini", "name": "Broccolini", "grams": 400.0, "note": ""}, {"ingredient_id": "salt", "name": "Salt", "grams": 3.0, "note": ""}]</t>
        </is>
      </c>
      <c r="N531" s="2" t="n">
        <v>254</v>
      </c>
      <c r="O531" s="5" t="n">
        <v>33.3</v>
      </c>
      <c r="P531" s="5" t="n">
        <v>9.6</v>
      </c>
      <c r="Q531" s="5" t="n">
        <v>8.6</v>
      </c>
      <c r="R531" s="5" t="n">
        <v>3</v>
      </c>
      <c r="S531" s="5" t="n">
        <v>5.6</v>
      </c>
      <c r="T531" s="2" t="n">
        <v>17</v>
      </c>
      <c r="U531" s="2" t="inlineStr">
        <is>
          <t>low</t>
        </is>
      </c>
      <c r="V531" s="5" t="n">
        <v>0.9</v>
      </c>
      <c r="W531" s="2" t="inlineStr">
        <is>
          <t>low</t>
        </is>
      </c>
      <c r="X531" s="3" t="inlineStr"/>
      <c r="Y531" s="3" t="inlineStr">
        <is>
          <t>0% of this dish's available carbohydrate comes from ingredients with a published, measured GI; the rest uses conventional placeholders (see Ingredients sheet)</t>
        </is>
      </c>
      <c r="Z531" s="2" t="n">
        <v>0</v>
      </c>
      <c r="AA531" s="3" t="inlineStr">
        <is>
          <t>pescatarian, gluten-free, dairy-free, nut-free, low-carb, high-protein, omega-3, one-pan</t>
        </is>
      </c>
      <c r="AB531" s="3" t="inlineStr">
        <is>
          <t>1. Lay trout on a pan with broccolini; rub with oil, garlic, salt; top with lemon slices and dill.
2. Bake at 400°F 12–15 minutes.
3. Serve with lemon juice.</t>
        </is>
      </c>
      <c r="AC531" s="4" t="inlineStr">
        <is>
          <t>["Lay trout on a pan with broccolini; rub with oil, garlic, salt; top with lemon slices and dill.", "Bake at 400°F 12–15 minutes.", "Serve with lemon juice."]</t>
        </is>
      </c>
    </row>
    <row r="532" ht="96" customHeight="1">
      <c r="A532" s="2" t="inlineStr">
        <is>
          <t>DB-0531</t>
        </is>
      </c>
      <c r="B532" s="3" t="inlineStr">
        <is>
          <t>Shrimp Ceviche with Avocado</t>
        </is>
      </c>
      <c r="C532" s="4" t="inlineStr">
        <is>
          <t>Seafood</t>
        </is>
      </c>
      <c r="D532" s="4" t="inlineStr">
        <is>
          <t>Latin</t>
        </is>
      </c>
      <c r="E532" s="2" t="n">
        <v>4</v>
      </c>
      <c r="F532" s="2" t="n">
        <v>15</v>
      </c>
      <c r="G532" s="2" t="n">
        <v>3</v>
      </c>
      <c r="H532" s="2" t="n">
        <v>18</v>
      </c>
      <c r="I532" s="4" t="inlineStr">
        <is>
          <t>shrimp-ceviche-with-avocado.jpg</t>
        </is>
      </c>
      <c r="J532" s="3" t="inlineStr">
        <is>
          <t>Shrimp Ceviche with Avocado, healthy food photography, plated, natural light</t>
        </is>
      </c>
      <c r="K532" s="4" t="inlineStr"/>
      <c r="L532" s="3" t="inlineStr">
        <is>
          <t>Shrimp, peeled — 600 g (21.2 oz)
Lime juice — 80 g (2.8 oz)
Tomato — 200 g (7.1 oz)
Red onion — 60 g (2.1 oz)
Cucumber — 150 g (5.3 oz)
Fresh cilantro — 12 g (0.4 oz)
Jalapeño — 15 g (0.5 oz)
Avocado — 150 g (5.3 oz)
Extra-virgin olive oil — 10 g (0.4 oz)
Salt — 3 g (0.1 oz)</t>
        </is>
      </c>
      <c r="M532" s="4" t="inlineStr">
        <is>
          <t>[{"ingredient_id": "shrimp", "name": "Shrimp, peeled", "grams": 600.0, "note": ""}, {"ingredient_id": "lime_juice", "name": "Lime juice", "grams": 80.0, "note": ""}, {"ingredient_id": "tomato", "name": "Tomato", "grams": 200.0, "note": ""}, {"ingredient_id": "red_onion", "name": "Red onion", "grams": 60.0, "note": ""}, {"ingredient_id": "cucumber", "name": "Cucumber", "grams": 150.0, "note": ""}, {"ingredient_id": "cilantro", "name": "Fresh cilantro", "grams": 12.0, "note": ""}, {"ingredient_id": "jalapeno", "name": "Jalapeño", "grams": 15.0, "note": ""}, {"ingredient_id": "avocado", "name": "Avocado", "grams": 150.0, "note": ""}, {"ingredient_id": "olive_oil", "name": "Extra-virgin olive oil", "grams": 10.0, "note": ""}, {"ingredient_id": "salt", "name": "Salt", "grams": 3.0, "note": ""}]</t>
        </is>
      </c>
      <c r="N532" s="2" t="n">
        <v>237</v>
      </c>
      <c r="O532" s="5" t="n">
        <v>31.8</v>
      </c>
      <c r="P532" s="5" t="n">
        <v>9.1</v>
      </c>
      <c r="Q532" s="5" t="n">
        <v>9.9</v>
      </c>
      <c r="R532" s="5" t="n">
        <v>3.8</v>
      </c>
      <c r="S532" s="5" t="n">
        <v>6.1</v>
      </c>
      <c r="T532" s="2" t="n">
        <v>16</v>
      </c>
      <c r="U532" s="2" t="inlineStr">
        <is>
          <t>low</t>
        </is>
      </c>
      <c r="V532" s="5" t="n">
        <v>1</v>
      </c>
      <c r="W532" s="2" t="inlineStr">
        <is>
          <t>low</t>
        </is>
      </c>
      <c r="X532" s="3" t="inlineStr"/>
      <c r="Y532" s="3" t="inlineStr">
        <is>
          <t>0% of this dish's available carbohydrate comes from ingredients with a published, measured GI; the rest uses conventional placeholders (see Ingredients sheet)</t>
        </is>
      </c>
      <c r="Z532" s="2" t="n">
        <v>0</v>
      </c>
      <c r="AA532" s="3" t="inlineStr">
        <is>
          <t>pescatarian, gluten-free, dairy-free, nut-free, low-carb, high-protein, make-ahead</t>
        </is>
      </c>
      <c r="AB532" s="3" t="inlineStr">
        <is>
          <t>1. Poach shrimp 2–3 minutes; chop; chill.
2. Toss with lime, tomato, onion, cucumber, cilantro, jalapeño, salt; marinate 30 minutes.
3. Fold in avocado and oil.</t>
        </is>
      </c>
      <c r="AC532" s="4" t="inlineStr">
        <is>
          <t>["Poach shrimp 2–3 minutes; chop; chill.", "Toss with lime, tomato, onion, cucumber, cilantro, jalapeño, salt; marinate 30 minutes.", "Fold in avocado and oil."]</t>
        </is>
      </c>
    </row>
    <row r="533" ht="96" customHeight="1">
      <c r="A533" s="2" t="inlineStr">
        <is>
          <t>DB-0532</t>
        </is>
      </c>
      <c r="B533" s="3" t="inlineStr">
        <is>
          <t>Sardine &amp; White Bean Salad Plate</t>
        </is>
      </c>
      <c r="C533" s="4" t="inlineStr">
        <is>
          <t>Seafood</t>
        </is>
      </c>
      <c r="D533" s="4" t="inlineStr">
        <is>
          <t>Mediterranean</t>
        </is>
      </c>
      <c r="E533" s="2" t="n">
        <v>2</v>
      </c>
      <c r="F533" s="2" t="n">
        <v>10</v>
      </c>
      <c r="G533" s="2" t="n">
        <v>0</v>
      </c>
      <c r="H533" s="2" t="n">
        <v>10</v>
      </c>
      <c r="I533" s="4" t="inlineStr">
        <is>
          <t>sardine-and-white-bean-salad-plate.jpg</t>
        </is>
      </c>
      <c r="J533" s="3" t="inlineStr">
        <is>
          <t>Sardine &amp; White Bean Salad Plate, healthy food photography, plated, natural light</t>
        </is>
      </c>
      <c r="K533" s="4" t="inlineStr"/>
      <c r="L533" s="3" t="inlineStr">
        <is>
          <t>Sardines, canned in olive oil, drained — 200 g (7.1 oz)
Cannellini beans, cooked — 250 g (8.8 oz)
Cherry tomatoes — 150 g (5.3 oz)
Red onion — 30 g (1.1 oz)
Fresh parsley — 8 g (0.3 oz)
Lemon juice — 15 g (0.5 oz)
Extra-virgin olive oil — 12 g (0.4 oz)
Arugula — 80 g (2.8 oz)
Capers — 8 g (0.3 oz)</t>
        </is>
      </c>
      <c r="M533" s="4" t="inlineStr">
        <is>
          <t>[{"ingredient_id": "sardines", "name": "Sardines, canned in olive oil, drained", "grams": 200.0, "note": ""}, {"ingredient_id": "white_beans", "name": "Cannellini beans, cooked", "grams": 250.0, "note": ""}, {"ingredient_id": "cherry_tomato", "name": "Cherry tomatoes", "grams": 150.0, "note": ""}, {"ingredient_id": "red_onion", "name": "Red onion", "grams": 30.0, "note": ""}, {"ingredient_id": "parsley", "name": "Fresh parsley", "grams": 8.0, "note": ""}, {"ingredient_id": "lemon_juice", "name": "Lemon juice", "grams": 15.0, "note": ""}, {"ingredient_id": "olive_oil", "name": "Extra-virgin olive oil", "grams": 12.0, "note": ""}, {"ingredient_id": "arugula", "name": "Arugula", "grams": 80.0, "note": ""}, {"ingredient_id": "capers", "name": "Capers", "grams": 8.0, "note": ""}]</t>
        </is>
      </c>
      <c r="N533" s="2" t="n">
        <v>468</v>
      </c>
      <c r="O533" s="5" t="n">
        <v>39.3</v>
      </c>
      <c r="P533" s="5" t="n">
        <v>18</v>
      </c>
      <c r="Q533" s="5" t="n">
        <v>38</v>
      </c>
      <c r="R533" s="5" t="n">
        <v>10</v>
      </c>
      <c r="S533" s="5" t="n">
        <v>28.1</v>
      </c>
      <c r="T533" s="2" t="n">
        <v>28</v>
      </c>
      <c r="U533" s="2" t="inlineStr">
        <is>
          <t>low</t>
        </is>
      </c>
      <c r="V533" s="5" t="n">
        <v>7.9</v>
      </c>
      <c r="W533" s="2" t="inlineStr">
        <is>
          <t>low</t>
        </is>
      </c>
      <c r="X533" s="3" t="inlineStr"/>
      <c r="Y533" s="3" t="inlineStr">
        <is>
          <t>83% of this dish's available carbohydrate comes from ingredients with a published, measured GI; the rest uses conventional placeholders (see Ingredients sheet)</t>
        </is>
      </c>
      <c r="Z533" s="2" t="n">
        <v>83</v>
      </c>
      <c r="AA533" s="3" t="inlineStr">
        <is>
          <t>pescatarian, gluten-free, dairy-free, nut-free, high-protein, high-fiber, omega-3, no-cook</t>
        </is>
      </c>
      <c r="AB533" s="3" t="inlineStr">
        <is>
          <t>1. Toss beans, tomato, onion, parsley, capers with lemon and oil.
2. Plate over arugula.
3. Top with sardines.</t>
        </is>
      </c>
      <c r="AC533" s="4" t="inlineStr">
        <is>
          <t>["Toss beans, tomato, onion, parsley, capers with lemon and oil.", "Plate over arugula.", "Top with sardines."]</t>
        </is>
      </c>
    </row>
    <row r="534" ht="96" customHeight="1">
      <c r="A534" s="2" t="inlineStr">
        <is>
          <t>DB-0533</t>
        </is>
      </c>
      <c r="B534" s="3" t="inlineStr">
        <is>
          <t>Shrimp Pad See Ew (Zoodles)</t>
        </is>
      </c>
      <c r="C534" s="4" t="inlineStr">
        <is>
          <t>Seafood</t>
        </is>
      </c>
      <c r="D534" s="4" t="inlineStr">
        <is>
          <t>Thai</t>
        </is>
      </c>
      <c r="E534" s="2" t="n">
        <v>3</v>
      </c>
      <c r="F534" s="2" t="n">
        <v>10</v>
      </c>
      <c r="G534" s="2" t="n">
        <v>10</v>
      </c>
      <c r="H534" s="2" t="n">
        <v>20</v>
      </c>
      <c r="I534" s="4" t="inlineStr">
        <is>
          <t>shrimp-pad-see-ew-zoodles.jpg</t>
        </is>
      </c>
      <c r="J534" s="3" t="inlineStr">
        <is>
          <t>Shrimp Pad See Ew (Zoodles), healthy food photography, plated, natural light</t>
        </is>
      </c>
      <c r="K534" s="4" t="inlineStr"/>
      <c r="L534" s="3" t="inlineStr">
        <is>
          <t>Shrimp, peeled — 450 g (15.9 oz)
Zucchini noodles (zoodles) — 500 g (17.6 oz)
Broccolini — 200 g (7.1 oz)
Egg, large (50 g each) — 100 g (3.5 oz)
Tamari (gluten-free soy sauce) — 25 g (0.9 oz)
Fish sauce — 10 g (0.4 oz)
Garlic — 8 g (0.3 oz)
Monk fruit/erythritol sweetener — 4 g (0.1 oz)
Avocado oil — 12 g (0.4 oz)</t>
        </is>
      </c>
      <c r="M534" s="4" t="inlineStr">
        <is>
          <t>[{"ingredient_id": "shrimp", "name": "Shrimp, peeled", "grams": 450.0, "note": ""}, {"ingredient_id": "zucchini_noodles", "name": "Zucchini noodles (zoodles)", "grams": 500.0, "note": ""}, {"ingredient_id": "broccolini", "name": "Broccolini", "grams": 200.0, "note": ""}, {"ingredient_id": "egg", "name": "Egg, large (50 g each)", "grams": 100.0, "note": ""}, {"ingredient_id": "tamari", "name": "Tamari (gluten-free soy sauce)", "grams": 25.0, "note": ""}, {"ingredient_id": "fish_sauce", "name": "Fish sauce", "grams": 10.0, "note": ""}, {"ingredient_id": "garlic", "name": "Garlic", "grams": 8.0, "note": ""}, {"ingredient_id": "monk_fruit_sweetener", "name": "Monk fruit/erythritol sweetener", "grams": 4.0, "note": ""}, {"ingredient_id": "avocado_oil", "name": "Avocado oil", "grams": 12.0, "note": ""}]</t>
        </is>
      </c>
      <c r="N534" s="2" t="n">
        <v>272</v>
      </c>
      <c r="O534" s="5" t="n">
        <v>39.4</v>
      </c>
      <c r="P534" s="5" t="n">
        <v>8.800000000000001</v>
      </c>
      <c r="Q534" s="5" t="n">
        <v>11.2</v>
      </c>
      <c r="R534" s="5" t="n">
        <v>3.5</v>
      </c>
      <c r="S534" s="5" t="n">
        <v>7.7</v>
      </c>
      <c r="T534" s="2" t="n">
        <v>16</v>
      </c>
      <c r="U534" s="2" t="inlineStr">
        <is>
          <t>low</t>
        </is>
      </c>
      <c r="V534" s="5" t="n">
        <v>1.2</v>
      </c>
      <c r="W534" s="2" t="inlineStr">
        <is>
          <t>low</t>
        </is>
      </c>
      <c r="X534" s="3" t="inlineStr"/>
      <c r="Y534" s="3" t="inlineStr">
        <is>
          <t>0% of this dish's available carbohydrate comes from ingredients with a published, measured GI; the rest uses conventional placeholders (see Ingredients sheet)</t>
        </is>
      </c>
      <c r="Z534" s="2" t="n">
        <v>0</v>
      </c>
      <c r="AA534" s="3" t="inlineStr">
        <is>
          <t>pescatarian, gluten-free, dairy-free, nut-free, low-carb, high-protein, quick</t>
        </is>
      </c>
      <c r="AB534" s="3" t="inlineStr">
        <is>
          <t>1. Stir-fry garlic and shrimp in oil 2 minutes; push aside and scramble eggs.
2. Add broccolini 2 minutes; add zoodles, tamari, fish sauce, sweetener.
3. Toss 2 minutes.</t>
        </is>
      </c>
      <c r="AC534" s="4" t="inlineStr">
        <is>
          <t>["Stir-fry garlic and shrimp in oil 2 minutes; push aside and scramble eggs.", "Add broccolini 2 minutes; add zoodles, tamari, fish sauce, sweetener.", "Toss 2 minutes."]</t>
        </is>
      </c>
    </row>
    <row r="535" ht="96" customHeight="1">
      <c r="A535" s="2" t="inlineStr">
        <is>
          <t>DB-0534</t>
        </is>
      </c>
      <c r="B535" s="3" t="inlineStr">
        <is>
          <t>Salmon with Roasted Brussels &amp; Walnuts</t>
        </is>
      </c>
      <c r="C535" s="4" t="inlineStr">
        <is>
          <t>Seafood</t>
        </is>
      </c>
      <c r="D535" s="4" t="inlineStr">
        <is>
          <t>American</t>
        </is>
      </c>
      <c r="E535" s="2" t="n">
        <v>4</v>
      </c>
      <c r="F535" s="2" t="n">
        <v>10</v>
      </c>
      <c r="G535" s="2" t="n">
        <v>22</v>
      </c>
      <c r="H535" s="2" t="n">
        <v>32</v>
      </c>
      <c r="I535" s="4" t="inlineStr">
        <is>
          <t>salmon-with-roasted-brussels-and-walnuts.jpg</t>
        </is>
      </c>
      <c r="J535" s="3" t="inlineStr">
        <is>
          <t>Salmon with Roasted Brussels &amp; Walnuts, healthy food photography, plated, natural light</t>
        </is>
      </c>
      <c r="K535" s="4" t="inlineStr"/>
      <c r="L535" s="3" t="inlineStr">
        <is>
          <t>Salmon fillet — 600 g (21.2 oz)
Brussels sprouts — 500 g (17.6 oz)
Walnuts — 30 g (1.1 oz)
Extra-virgin olive oil — 18 g (0.6 oz)
Dijon mustard — 15 g (0.5 oz)
Lemon (with juice &amp; zest) — 40 g (1.4 oz)
Garlic — 6 g (0.2 oz)
Salt — 3 g (0.1 oz)</t>
        </is>
      </c>
      <c r="M535" s="4" t="inlineStr">
        <is>
          <t>[{"ingredient_id": "salmon", "name": "Salmon fillet", "grams": 600.0, "note": ""}, {"ingredient_id": "brussels_sprouts", "name": "Brussels sprouts", "grams": 500.0, "note": ""}, {"ingredient_id": "walnuts", "name": "Walnuts", "grams": 30.0, "note": ""}, {"ingredient_id": "olive_oil", "name": "Extra-virgin olive oil", "grams": 18.0, "note": ""}, {"ingredient_id": "dijon", "name": "Dijon mustard", "grams": 15.0, "note": ""}, {"ingredient_id": "lemon", "name": "Lemon (with juice &amp; zest)", "grams": 40.0, "note": ""}, {"ingredient_id": "garlic", "name": "Garlic", "grams": 6.0, "note": ""}, {"ingredient_id": "salt", "name": "Salt", "grams": 3.0, "note": ""}]</t>
        </is>
      </c>
      <c r="N535" s="2" t="n">
        <v>462</v>
      </c>
      <c r="O535" s="5" t="n">
        <v>35.7</v>
      </c>
      <c r="P535" s="5" t="n">
        <v>29.4</v>
      </c>
      <c r="Q535" s="5" t="n">
        <v>13.9</v>
      </c>
      <c r="R535" s="5" t="n">
        <v>5.7</v>
      </c>
      <c r="S535" s="5" t="n">
        <v>8.199999999999999</v>
      </c>
      <c r="T535" s="2" t="n">
        <v>16</v>
      </c>
      <c r="U535" s="2" t="inlineStr">
        <is>
          <t>low</t>
        </is>
      </c>
      <c r="V535" s="5" t="n">
        <v>1.3</v>
      </c>
      <c r="W535" s="2" t="inlineStr">
        <is>
          <t>low</t>
        </is>
      </c>
      <c r="X535" s="3" t="inlineStr"/>
      <c r="Y535" s="3" t="inlineStr">
        <is>
          <t>0% of this dish's available carbohydrate comes from ingredients with a published, measured GI; the rest uses conventional placeholders (see Ingredients sheet)</t>
        </is>
      </c>
      <c r="Z535" s="2" t="n">
        <v>0</v>
      </c>
      <c r="AA535" s="3" t="inlineStr">
        <is>
          <t>pescatarian, gluten-free, dairy-free, low-carb, high-protein, omega-3, one-pan</t>
        </is>
      </c>
      <c r="AB535" s="3" t="inlineStr">
        <is>
          <t>1. Roast halved sprouts with two-thirds of the oil at 425°F 12 minutes.
2. Add salmon rubbed with Dijon, garlic, remaining oil; roast 12 minutes more.
3. Top with walnuts and lemon.</t>
        </is>
      </c>
      <c r="AC535" s="4" t="inlineStr">
        <is>
          <t>["Roast halved sprouts with two-thirds of the oil at 425°F 12 minutes.", "Add salmon rubbed with Dijon, garlic, remaining oil; roast 12 minutes more.", "Top with walnuts and lemon."]</t>
        </is>
      </c>
    </row>
    <row r="536" ht="96" customHeight="1">
      <c r="A536" s="2" t="inlineStr">
        <is>
          <t>DB-0535</t>
        </is>
      </c>
      <c r="B536" s="3" t="inlineStr">
        <is>
          <t>Tilapia Veracruz</t>
        </is>
      </c>
      <c r="C536" s="4" t="inlineStr">
        <is>
          <t>Seafood</t>
        </is>
      </c>
      <c r="D536" s="4" t="inlineStr">
        <is>
          <t>Mexican</t>
        </is>
      </c>
      <c r="E536" s="2" t="n">
        <v>4</v>
      </c>
      <c r="F536" s="2" t="n">
        <v>10</v>
      </c>
      <c r="G536" s="2" t="n">
        <v>20</v>
      </c>
      <c r="H536" s="2" t="n">
        <v>30</v>
      </c>
      <c r="I536" s="4" t="inlineStr">
        <is>
          <t>tilapia-veracruz.jpg</t>
        </is>
      </c>
      <c r="J536" s="3" t="inlineStr">
        <is>
          <t>Tilapia Veracruz, healthy food photography, plated, natural light</t>
        </is>
      </c>
      <c r="K536" s="4" t="inlineStr"/>
      <c r="L536" s="3" t="inlineStr">
        <is>
          <t>Tilapia fillet — 600 g (21.2 oz)
Diced tomatoes, canned — 400 g (14.1 oz)
Yellow onion — 100 g (3.5 oz)
Garlic — 8 g (0.3 oz)
Olives (kalamata/green) — 50 g (1.8 oz)
Capers — 15 g (0.5 oz)
Jalapeño — 15 g (0.5 oz)
Dried oregano — 2 g (0.1 oz)
Extra-virgin olive oil — 15 g (0.5 oz)
Fresh cilantro — 6 g (0.2 oz)
Cauliflower rice — 500 g (17.6 oz)</t>
        </is>
      </c>
      <c r="M536" s="4" t="inlineStr">
        <is>
          <t>[{"ingredient_id": "tilapia", "name": "Tilapia fillet", "grams": 600.0, "note": ""}, {"ingredient_id": "diced_tomatoes", "name": "Diced tomatoes, canned", "grams": 400.0, "note": ""}, {"ingredient_id": "onion", "name": "Yellow onion", "grams": 100.0, "note": ""}, {"ingredient_id": "garlic", "name": "Garlic", "grams": 8.0, "note": ""}, {"ingredient_id": "olives", "name": "Olives (kalamata/green)", "grams": 50.0, "note": ""}, {"ingredient_id": "capers", "name": "Capers", "grams": 15.0, "note": ""}, {"ingredient_id": "jalapeno", "name": "Jalapeño", "grams": 15.0, "note": ""}, {"ingredient_id": "oregano", "name": "Dried oregano", "grams": 2.0, "note": ""}, {"ingredient_id": "olive_oil", "name": "Extra-virgin olive oil", "grams": 15.0, "note": ""}, {"ingredient_id": "cilantro", "name": "Fresh cilantro", "grams": 6.0, "note": ""}, {"ingredient_id": "cauliflower_rice", "name": "Cauliflower rice", "grams": 500.0, "note": ""}]</t>
        </is>
      </c>
      <c r="N536" s="2" t="n">
        <v>263</v>
      </c>
      <c r="O536" s="5" t="n">
        <v>34.3</v>
      </c>
      <c r="P536" s="5" t="n">
        <v>8.4</v>
      </c>
      <c r="Q536" s="5" t="n">
        <v>15.8</v>
      </c>
      <c r="R536" s="5" t="n">
        <v>5.3</v>
      </c>
      <c r="S536" s="5" t="n">
        <v>10.5</v>
      </c>
      <c r="T536" s="2" t="n">
        <v>23</v>
      </c>
      <c r="U536" s="2" t="inlineStr">
        <is>
          <t>low</t>
        </is>
      </c>
      <c r="V536" s="5" t="n">
        <v>2.4</v>
      </c>
      <c r="W536" s="2" t="inlineStr">
        <is>
          <t>low</t>
        </is>
      </c>
      <c r="X536" s="3" t="inlineStr"/>
      <c r="Y536" s="3" t="inlineStr">
        <is>
          <t>0% of this dish's available carbohydrate comes from ingredients with a published, measured GI; the rest uses conventional placeholders (see Ingredients sheet)</t>
        </is>
      </c>
      <c r="Z536" s="2" t="n">
        <v>0</v>
      </c>
      <c r="AA536" s="3" t="inlineStr">
        <is>
          <t>pescatarian, gluten-free, dairy-free, nut-free, low-carb, high-protein, one-pan</t>
        </is>
      </c>
      <c r="AB536" s="3" t="inlineStr">
        <is>
          <t>1. Sauté onion, garlic, jalapeño in oil; add tomatoes, olives, capers, oregano; simmer 8 minutes.
2. Nestle tilapia in the sauce; cover; cook 8 minutes.
3. Serve over cauliflower rice with cilantro.</t>
        </is>
      </c>
      <c r="AC536" s="4" t="inlineStr">
        <is>
          <t>["Sauté onion, garlic, jalapeño in oil; add tomatoes, olives, capers, oregano; simmer 8 minutes.", "Nestle tilapia in the sauce; cover; cook 8 minutes.", "Serve over cauliflower rice with cilantro."]</t>
        </is>
      </c>
    </row>
    <row r="537" ht="96" customHeight="1">
      <c r="A537" s="2" t="inlineStr">
        <is>
          <t>DB-0536</t>
        </is>
      </c>
      <c r="B537" s="3" t="inlineStr">
        <is>
          <t>Shrimp Stuffed Avocado Boats</t>
        </is>
      </c>
      <c r="C537" s="4" t="inlineStr">
        <is>
          <t>Seafood</t>
        </is>
      </c>
      <c r="D537" s="4" t="inlineStr">
        <is>
          <t>American</t>
        </is>
      </c>
      <c r="E537" s="2" t="n">
        <v>2</v>
      </c>
      <c r="F537" s="2" t="n">
        <v>10</v>
      </c>
      <c r="G537" s="2" t="n">
        <v>4</v>
      </c>
      <c r="H537" s="2" t="n">
        <v>14</v>
      </c>
      <c r="I537" s="4" t="inlineStr">
        <is>
          <t>shrimp-stuffed-avocado-boats.jpg</t>
        </is>
      </c>
      <c r="J537" s="3" t="inlineStr">
        <is>
          <t>Shrimp Stuffed Avocado Boats, healthy food photography, plated, natural light</t>
        </is>
      </c>
      <c r="K537" s="4" t="inlineStr"/>
      <c r="L537" s="3" t="inlineStr">
        <is>
          <t>Shrimp, peeled — 250 g (8.8 oz)
Avocado — 280 g (9.9 oz)
Greek yogurt, plain 2% — 40 g (1.4 oz)
Lime juice — 10 g (0.4 oz)
Fresh cilantro — 6 g (0.2 oz)
Red onion — 20 g (0.7 oz)
Jalapeño — 8 g (0.3 oz)
Extra-virgin olive oil — 5 g (0.2 oz)
Salt — 1 g (0.0 oz)</t>
        </is>
      </c>
      <c r="M537" s="4" t="inlineStr">
        <is>
          <t>[{"ingredient_id": "shrimp", "name": "Shrimp, peeled", "grams": 250.0, "note": ""}, {"ingredient_id": "avocado", "name": "Avocado", "grams": 280.0, "note": ""}, {"ingredient_id": "greek_yogurt", "name": "Greek yogurt, plain 2%", "grams": 40.0, "note": ""}, {"ingredient_id": "lime_juice", "name": "Lime juice", "grams": 10.0, "note": ""}, {"ingredient_id": "cilantro", "name": "Fresh cilantro", "grams": 6.0, "note": ""}, {"ingredient_id": "red_onion", "name": "Red onion", "grams": 20.0, "note": ""}, {"ingredient_id": "jalapeno", "name": "Jalapeño", "grams": 8.0, "note": ""}, {"ingredient_id": "olive_oil", "name": "Extra-virgin olive oil", "grams": 5.0, "note": ""}, {"ingredient_id": "salt", "name": "Salt", "grams": 1.0, "note": ""}]</t>
        </is>
      </c>
      <c r="N537" s="2" t="n">
        <v>374</v>
      </c>
      <c r="O537" s="5" t="n">
        <v>30</v>
      </c>
      <c r="P537" s="5" t="n">
        <v>24.6</v>
      </c>
      <c r="Q537" s="5" t="n">
        <v>14.4</v>
      </c>
      <c r="R537" s="5" t="n">
        <v>9.800000000000001</v>
      </c>
      <c r="S537" s="5" t="n">
        <v>4.7</v>
      </c>
      <c r="T537" s="2" t="n">
        <v>15</v>
      </c>
      <c r="U537" s="2" t="inlineStr">
        <is>
          <t>low</t>
        </is>
      </c>
      <c r="V537" s="5" t="n">
        <v>0.7</v>
      </c>
      <c r="W537" s="2" t="inlineStr">
        <is>
          <t>low</t>
        </is>
      </c>
      <c r="X537" s="3" t="inlineStr">
        <is>
          <t>Negligible carbohydrate (&lt;5 g net/serving): GI has little practical meaning, glycemic load is what matters.</t>
        </is>
      </c>
      <c r="Y537" s="3" t="inlineStr">
        <is>
          <t>17% of this dish's available carbohydrate comes from ingredients with a published, measured GI; the rest uses conventional placeholders (see Ingredients sheet)</t>
        </is>
      </c>
      <c r="Z537" s="2" t="n">
        <v>17</v>
      </c>
      <c r="AA537" s="3" t="inlineStr">
        <is>
          <t>pescatarian, gluten-free, nut-free, low-carb, high-protein, high-fiber, quick</t>
        </is>
      </c>
      <c r="AB537" s="3" t="inlineStr">
        <is>
          <t>1. Sauté shrimp in oil 3 minutes; chop; cool.
2. Mix with yogurt, lime, cilantro, onion, jalapeño, salt.
3. Fill avocado halves.</t>
        </is>
      </c>
      <c r="AC537" s="4" t="inlineStr">
        <is>
          <t>["Sauté shrimp in oil 3 minutes; chop; cool.", "Mix with yogurt, lime, cilantro, onion, jalapeño, salt.", "Fill avocado halves."]</t>
        </is>
      </c>
    </row>
    <row r="538" ht="96" customHeight="1">
      <c r="A538" s="2" t="inlineStr">
        <is>
          <t>DB-0537</t>
        </is>
      </c>
      <c r="B538" s="3" t="inlineStr">
        <is>
          <t>Baked Cod with Tomato &amp; Olive Tapenade</t>
        </is>
      </c>
      <c r="C538" s="4" t="inlineStr">
        <is>
          <t>Seafood</t>
        </is>
      </c>
      <c r="D538" s="4" t="inlineStr">
        <is>
          <t>Provençal</t>
        </is>
      </c>
      <c r="E538" s="2" t="n">
        <v>4</v>
      </c>
      <c r="F538" s="2" t="n">
        <v>10</v>
      </c>
      <c r="G538" s="2" t="n">
        <v>15</v>
      </c>
      <c r="H538" s="2" t="n">
        <v>25</v>
      </c>
      <c r="I538" s="4" t="inlineStr">
        <is>
          <t>baked-cod-with-tomato-and-olive-tapenade.jpg</t>
        </is>
      </c>
      <c r="J538" s="3" t="inlineStr">
        <is>
          <t>Baked Cod with Tomato &amp; Olive Tapenade, healthy food photography, plated, natural light</t>
        </is>
      </c>
      <c r="K538" s="4" t="inlineStr"/>
      <c r="L538" s="3" t="inlineStr">
        <is>
          <t>Cod fillet — 600 g (21.2 oz)
Olives (kalamata/green) — 60 g (2.1 oz)
Sun-dried tomatoes in oil, drained — 30 g (1.1 oz)
Capers — 10 g (0.4 oz)
Garlic — 5 g (0.2 oz)
Extra-virgin olive oil — 15 g (0.5 oz)
Lemon (with juice &amp; zest) — 30 g (1.1 oz)
Fresh basil — 6 g (0.2 oz)
Green beans — 400 g (14.1 oz)</t>
        </is>
      </c>
      <c r="M538" s="4" t="inlineStr">
        <is>
          <t>[{"ingredient_id": "cod", "name": "Cod fillet", "grams": 600.0, "note": ""}, {"ingredient_id": "olives", "name": "Olives (kalamata/green)", "grams": 60.0, "note": ""}, {"ingredient_id": "sun_dried_tomato", "name": "Sun-dried tomatoes in oil, drained", "grams": 30.0, "note": ""}, {"ingredient_id": "capers", "name": "Capers", "grams": 10.0, "note": ""}, {"ingredient_id": "garlic", "name": "Garlic", "grams": 5.0, "note": ""}, {"ingredient_id": "olive_oil", "name": "Extra-virgin olive oil", "grams": 15.0, "note": ""}, {"ingredient_id": "lemon", "name": "Lemon (with juice &amp; zest)", "grams": 30.0, "note": ""}, {"ingredient_id": "basil", "name": "Fresh basil", "grams": 6.0, "note": ""}, {"ingredient_id": "green_beans", "name": "Green beans", "grams": 400.0, "note": ""}]</t>
        </is>
      </c>
      <c r="N538" s="2" t="n">
        <v>225</v>
      </c>
      <c r="O538" s="5" t="n">
        <v>29.6</v>
      </c>
      <c r="P538" s="5" t="n">
        <v>7.8</v>
      </c>
      <c r="Q538" s="5" t="n">
        <v>10.9</v>
      </c>
      <c r="R538" s="5" t="n">
        <v>4</v>
      </c>
      <c r="S538" s="5" t="n">
        <v>6.9</v>
      </c>
      <c r="T538" s="2" t="n">
        <v>20</v>
      </c>
      <c r="U538" s="2" t="inlineStr">
        <is>
          <t>low</t>
        </is>
      </c>
      <c r="V538" s="5" t="n">
        <v>1.4</v>
      </c>
      <c r="W538" s="2" t="inlineStr">
        <is>
          <t>low</t>
        </is>
      </c>
      <c r="X538" s="3" t="inlineStr"/>
      <c r="Y538" s="3" t="inlineStr">
        <is>
          <t>0% of this dish's available carbohydrate comes from ingredients with a published, measured GI; the rest uses conventional placeholders (see Ingredients sheet)</t>
        </is>
      </c>
      <c r="Z538" s="2" t="n">
        <v>0</v>
      </c>
      <c r="AA538" s="3" t="inlineStr">
        <is>
          <t>pescatarian, gluten-free, dairy-free, nut-free, low-carb, high-protein</t>
        </is>
      </c>
      <c r="AB538" s="3" t="inlineStr">
        <is>
          <t>1. Pulse olives, sun-dried tomato, capers, garlic, oil into tapenade.
2. Bake cod at 400°F 12 minutes; top with tapenade last 3 minutes.
3. Serve with green beans, lemon, basil.</t>
        </is>
      </c>
      <c r="AC538" s="4" t="inlineStr">
        <is>
          <t>["Pulse olives, sun-dried tomato, capers, garlic, oil into tapenade.", "Bake cod at 400°F 12 minutes; top with tapenade last 3 minutes.", "Serve with green beans, lemon, basil."]</t>
        </is>
      </c>
    </row>
    <row r="539" ht="96" customHeight="1">
      <c r="A539" s="2" t="inlineStr">
        <is>
          <t>DB-0538</t>
        </is>
      </c>
      <c r="B539" s="3" t="inlineStr">
        <is>
          <t>Shrimp Egg Roll Bowls</t>
        </is>
      </c>
      <c r="C539" s="4" t="inlineStr">
        <is>
          <t>Seafood</t>
        </is>
      </c>
      <c r="D539" s="4" t="inlineStr">
        <is>
          <t>Chinese-American</t>
        </is>
      </c>
      <c r="E539" s="2" t="n">
        <v>4</v>
      </c>
      <c r="F539" s="2" t="n">
        <v>10</v>
      </c>
      <c r="G539" s="2" t="n">
        <v>12</v>
      </c>
      <c r="H539" s="2" t="n">
        <v>22</v>
      </c>
      <c r="I539" s="4" t="inlineStr">
        <is>
          <t>shrimp-egg-roll-bowls.jpg</t>
        </is>
      </c>
      <c r="J539" s="3" t="inlineStr">
        <is>
          <t>Shrimp Egg Roll Bowls, healthy food photography, plated, natural light</t>
        </is>
      </c>
      <c r="K539" s="4" t="inlineStr"/>
      <c r="L539" s="3" t="inlineStr">
        <is>
          <t>Shrimp, peeled — 550 g (19.4 oz)
Coleslaw mix (cabbage &amp; carrot) — 500 g (17.6 oz)
Garlic — 8 g (0.3 oz)
Fresh ginger — 8 g (0.3 oz)
Tamari (gluten-free soy sauce) — 30 g (1.1 oz)
Rice vinegar, unseasoned — 12 g (0.4 oz)
Toasted sesame oil — 10 g (0.4 oz)
Green onions (scallions) — 20 g (0.7 oz)
Egg, large (50 g each) — 100 g (3.5 oz)
Avocado oil — 10 g (0.4 oz)</t>
        </is>
      </c>
      <c r="M539" s="4" t="inlineStr">
        <is>
          <t>[{"ingredient_id": "shrimp", "name": "Shrimp, peeled", "grams": 550.0, "note": ""}, {"ingredient_id": "coleslaw_mix", "name": "Coleslaw mix (cabbage &amp; carrot)", "grams": 500.0,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10.0, "note": ""}, {"ingredient_id": "green_onion", "name": "Green onions (scallions)", "grams": 20.0, "note": ""}, {"ingredient_id": "egg", "name": "Egg, large (50 g each)", "grams": 100.0, "note": ""}, {"ingredient_id": "avocado_oil", "name": "Avocado oil", "grams": 10.0, "note": ""}]</t>
        </is>
      </c>
      <c r="N539" s="2" t="n">
        <v>242</v>
      </c>
      <c r="O539" s="5" t="n">
        <v>33.3</v>
      </c>
      <c r="P539" s="5" t="n">
        <v>8.199999999999999</v>
      </c>
      <c r="Q539" s="5" t="n">
        <v>9.5</v>
      </c>
      <c r="R539" s="5" t="n">
        <v>3.3</v>
      </c>
      <c r="S539" s="5" t="n">
        <v>6.2</v>
      </c>
      <c r="T539" s="2" t="n">
        <v>16</v>
      </c>
      <c r="U539" s="2" t="inlineStr">
        <is>
          <t>low</t>
        </is>
      </c>
      <c r="V539" s="5" t="n">
        <v>1</v>
      </c>
      <c r="W539" s="2" t="inlineStr">
        <is>
          <t>low</t>
        </is>
      </c>
      <c r="X539" s="3" t="inlineStr"/>
      <c r="Y539" s="3" t="inlineStr">
        <is>
          <t>0% of this dish's available carbohydrate comes from ingredients with a published, measured GI; the rest uses conventional placeholders (see Ingredients sheet)</t>
        </is>
      </c>
      <c r="Z539" s="2" t="n">
        <v>0</v>
      </c>
      <c r="AA539" s="3" t="inlineStr">
        <is>
          <t>pescatarian, gluten-free, dairy-free, nut-free, low-carb, high-protein, quick, one-pan</t>
        </is>
      </c>
      <c r="AB539" s="3" t="inlineStr">
        <is>
          <t>1. Sauté shrimp with garlic and ginger in oil; remove.
2. Add slaw, tamari, vinegar; cook 5 minutes; scramble eggs in.
3. Return shrimp; finish with sesame oil and green onion.</t>
        </is>
      </c>
      <c r="AC539" s="4" t="inlineStr">
        <is>
          <t>["Sauté shrimp with garlic and ginger in oil; remove.", "Add slaw, tamari, vinegar; cook 5 minutes; scramble eggs in.", "Return shrimp; finish with sesame oil and green onion."]</t>
        </is>
      </c>
    </row>
    <row r="540" ht="96" customHeight="1">
      <c r="A540" s="2" t="inlineStr">
        <is>
          <t>DB-0539</t>
        </is>
      </c>
      <c r="B540" s="3" t="inlineStr">
        <is>
          <t>Salmon Nicoise Bowl</t>
        </is>
      </c>
      <c r="C540" s="4" t="inlineStr">
        <is>
          <t>Seafood</t>
        </is>
      </c>
      <c r="D540" s="4" t="inlineStr">
        <is>
          <t>French</t>
        </is>
      </c>
      <c r="E540" s="2" t="n">
        <v>2</v>
      </c>
      <c r="F540" s="2" t="n">
        <v>15</v>
      </c>
      <c r="G540" s="2" t="n">
        <v>15</v>
      </c>
      <c r="H540" s="2" t="n">
        <v>30</v>
      </c>
      <c r="I540" s="4" t="inlineStr">
        <is>
          <t>salmon-nicoise-bowl.jpg</t>
        </is>
      </c>
      <c r="J540" s="3" t="inlineStr">
        <is>
          <t>Salmon Nicoise Bowl, healthy food photography, plated, natural light</t>
        </is>
      </c>
      <c r="K540" s="4" t="inlineStr"/>
      <c r="L540" s="3" t="inlineStr">
        <is>
          <t>Salmon fillet — 300 g (10.6 oz)
Egg, large (50 g each) — 100 g (3.5 oz) [2 hard-boiled eggs]
Green beans — 200 g (7.1 oz)
Cherry tomatoes — 150 g (5.3 oz)
Olives (kalamata/green) — 30 g (1.1 oz)
Mixed salad greens — 100 g (3.5 oz)
Extra-virgin olive oil — 15 g (0.5 oz)
Dijon mustard — 6 g (0.2 oz)
Red wine vinegar — 10 g (0.4 oz)
Capers — 6 g (0.2 oz)</t>
        </is>
      </c>
      <c r="M540" s="4" t="inlineStr">
        <is>
          <t>[{"ingredient_id": "salmon", "name": "Salmon fillet", "grams": 300.0, "note": ""}, {"ingredient_id": "egg", "name": "Egg, large (50 g each)", "grams": 100.0, "note": "2 hard-boiled eggs"}, {"ingredient_id": "green_beans", "name": "Green beans", "grams": 200.0, "note": ""}, {"ingredient_id": "cherry_tomato", "name": "Cherry tomatoes", "grams": 150.0, "note": ""}, {"ingredient_id": "olives", "name": "Olives (kalamata/green)", "grams": 30.0, "note": ""}, {"ingredient_id": "mixed_greens", "name": "Mixed salad greens", "grams": 100.0, "note": ""}, {"ingredient_id": "olive_oil", "name": "Extra-virgin olive oil", "grams": 15.0, "note": ""}, {"ingredient_id": "dijon", "name": "Dijon mustard", "grams": 6.0, "note": ""}, {"ingredient_id": "red_wine_vinegar", "name": "Red wine vinegar", "grams": 10.0, "note": ""}, {"ingredient_id": "capers", "name": "Capers", "grams": 6.0, "note": ""}]</t>
        </is>
      </c>
      <c r="N540" s="2" t="n">
        <v>525</v>
      </c>
      <c r="O540" s="5" t="n">
        <v>40.1</v>
      </c>
      <c r="P540" s="5" t="n">
        <v>34</v>
      </c>
      <c r="Q540" s="5" t="n">
        <v>13.2</v>
      </c>
      <c r="R540" s="5" t="n">
        <v>5.3</v>
      </c>
      <c r="S540" s="5" t="n">
        <v>8</v>
      </c>
      <c r="T540" s="2" t="n">
        <v>14</v>
      </c>
      <c r="U540" s="2" t="inlineStr">
        <is>
          <t>low</t>
        </is>
      </c>
      <c r="V540" s="5" t="n">
        <v>1.1</v>
      </c>
      <c r="W540" s="2" t="inlineStr">
        <is>
          <t>low</t>
        </is>
      </c>
      <c r="X540" s="3" t="inlineStr"/>
      <c r="Y540" s="3" t="inlineStr">
        <is>
          <t>0% of this dish's available carbohydrate comes from ingredients with a published, measured GI; the rest uses conventional placeholders (see Ingredients sheet)</t>
        </is>
      </c>
      <c r="Z540" s="2" t="n">
        <v>0</v>
      </c>
      <c r="AA540" s="3" t="inlineStr">
        <is>
          <t>pescatarian, gluten-free, dairy-free, nut-free, low-carb, high-protein, omega-3</t>
        </is>
      </c>
      <c r="AB540" s="3" t="inlineStr">
        <is>
          <t>1. Roast salmon 12 minutes; blanch green beans; boil eggs.
2. Whisk oil, Dijon, vinegar.
3. Arrange greens, salmon, beans, eggs, tomato, olives, capers; drizzle dressing.</t>
        </is>
      </c>
      <c r="AC540" s="4" t="inlineStr">
        <is>
          <t>["Roast salmon 12 minutes; blanch green beans; boil eggs.", "Whisk oil, Dijon, vinegar.", "Arrange greens, salmon, beans, eggs, tomato, olives, capers; drizzle dressing."]</t>
        </is>
      </c>
    </row>
    <row r="541" ht="96" customHeight="1">
      <c r="A541" s="2" t="inlineStr">
        <is>
          <t>DB-0540</t>
        </is>
      </c>
      <c r="B541" s="3" t="inlineStr">
        <is>
          <t>Spicy Shrimp Lettuce Tacos</t>
        </is>
      </c>
      <c r="C541" s="4" t="inlineStr">
        <is>
          <t>Seafood</t>
        </is>
      </c>
      <c r="D541" s="4" t="inlineStr">
        <is>
          <t>Mexican</t>
        </is>
      </c>
      <c r="E541" s="2" t="n">
        <v>4</v>
      </c>
      <c r="F541" s="2" t="n">
        <v>10</v>
      </c>
      <c r="G541" s="2" t="n">
        <v>6</v>
      </c>
      <c r="H541" s="2" t="n">
        <v>16</v>
      </c>
      <c r="I541" s="4" t="inlineStr">
        <is>
          <t>spicy-shrimp-lettuce-tacos.jpg</t>
        </is>
      </c>
      <c r="J541" s="3" t="inlineStr">
        <is>
          <t>Spicy Shrimp Lettuce Tacos, healthy food photography, plated, natural light</t>
        </is>
      </c>
      <c r="K541" s="4" t="inlineStr"/>
      <c r="L541" s="3" t="inlineStr">
        <is>
          <t>Shrimp, peeled — 600 g (21.2 oz)
Chili powder — 5 g (0.2 oz)
Ground cumin — 3 g (0.1 oz)
Garlic — 6 g (0.2 oz)
Lime — 40 g (1.4 oz)
Romaine lettuce — 200 g (7.1 oz)
Pico de gallo — 200 g (7.1 oz)
Avocado — 120 g (4.2 oz)
Cotija cheese — 40 g (1.4 oz)
Extra-virgin olive oil — 12 g (0.4 oz)</t>
        </is>
      </c>
      <c r="M541" s="4" t="inlineStr">
        <is>
          <t>[{"ingredient_id": "shrimp", "name": "Shrimp, peeled", "grams": 600.0, "note": ""}, {"ingredient_id": "chili_powder", "name": "Chili powder", "grams": 5.0, "note": ""}, {"ingredient_id": "cumin", "name": "Ground cumin", "grams": 3.0, "note": ""}, {"ingredient_id": "garlic", "name": "Garlic", "grams": 6.0, "note": ""}, {"ingredient_id": "lime", "name": "Lime", "grams": 40.0, "note": ""}, {"ingredient_id": "romaine", "name": "Romaine lettuce", "grams": 200.0, "note": ""}, {"ingredient_id": "pico_de_gallo", "name": "Pico de gallo", "grams": 200.0, "note": ""}, {"ingredient_id": "avocado", "name": "Avocado", "grams": 120.0, "note": ""}, {"ingredient_id": "cotija", "name": "Cotija cheese", "grams": 40.0, "note": ""}, {"ingredient_id": "olive_oil", "name": "Extra-virgin olive oil", "grams": 12.0, "note": ""}]</t>
        </is>
      </c>
      <c r="N541" s="2" t="n">
        <v>269</v>
      </c>
      <c r="O541" s="5" t="n">
        <v>34.1</v>
      </c>
      <c r="P541" s="5" t="n">
        <v>11.9</v>
      </c>
      <c r="Q541" s="5" t="n">
        <v>9.300000000000001</v>
      </c>
      <c r="R541" s="5" t="n">
        <v>4.5</v>
      </c>
      <c r="S541" s="5" t="n">
        <v>4.9</v>
      </c>
      <c r="T541" s="2" t="n">
        <v>16</v>
      </c>
      <c r="U541" s="2" t="inlineStr">
        <is>
          <t>low</t>
        </is>
      </c>
      <c r="V541" s="5" t="n">
        <v>0.8</v>
      </c>
      <c r="W541" s="2" t="inlineStr">
        <is>
          <t>low</t>
        </is>
      </c>
      <c r="X541" s="3" t="inlineStr">
        <is>
          <t>Negligible carbohydrate (&lt;5 g net/serving): GI has little practical meaning, glycemic load is what matters.</t>
        </is>
      </c>
      <c r="Y541" s="3" t="inlineStr">
        <is>
          <t>0% of this dish's available carbohydrate comes from ingredients with a published, measured GI; the rest uses conventional placeholders (see Ingredients sheet)</t>
        </is>
      </c>
      <c r="Z541" s="2" t="n">
        <v>0</v>
      </c>
      <c r="AA541" s="3" t="inlineStr">
        <is>
          <t>pescatarian, gluten-free, nut-free, low-carb, high-protein, quick</t>
        </is>
      </c>
      <c r="AB541" s="3" t="inlineStr">
        <is>
          <t>1. Toss shrimp with spices and garlic; sauté in oil 3 minutes.
2. Fill romaine leaves with shrimp.
3. Top with pico, avocado, cotija, lime.</t>
        </is>
      </c>
      <c r="AC541" s="4" t="inlineStr">
        <is>
          <t>["Toss shrimp with spices and garlic; sauté in oil 3 minutes.", "Fill romaine leaves with shrimp.", "Top with pico, avocado, cotija, lime."]</t>
        </is>
      </c>
    </row>
    <row r="542" ht="96" customHeight="1">
      <c r="A542" s="2" t="inlineStr">
        <is>
          <t>DB-0541</t>
        </is>
      </c>
      <c r="B542" s="3" t="inlineStr">
        <is>
          <t>Mussels in Tomato Garlic Broth</t>
        </is>
      </c>
      <c r="C542" s="4" t="inlineStr">
        <is>
          <t>Seafood</t>
        </is>
      </c>
      <c r="D542" s="4" t="inlineStr">
        <is>
          <t>Italian</t>
        </is>
      </c>
      <c r="E542" s="2" t="n">
        <v>4</v>
      </c>
      <c r="F542" s="2" t="n">
        <v>10</v>
      </c>
      <c r="G542" s="2" t="n">
        <v>15</v>
      </c>
      <c r="H542" s="2" t="n">
        <v>25</v>
      </c>
      <c r="I542" s="4" t="inlineStr">
        <is>
          <t>mussels-in-tomato-garlic-broth.jpg</t>
        </is>
      </c>
      <c r="J542" s="3" t="inlineStr">
        <is>
          <t>Mussels in Tomato Garlic Broth, healthy food photography, plated, natural light</t>
        </is>
      </c>
      <c r="K542" s="4" t="inlineStr"/>
      <c r="L542" s="3" t="inlineStr">
        <is>
          <t>Mussels — 1200 g (42.3 oz)
Crushed tomatoes, canned — 400 g (14.1 oz)
Garlic — 12 g (0.4 oz)
Shallot — 50 g (1.8 oz)
Dry white wine (cooking) — 120 g (4.2 oz)
Extra-virgin olive oil — 20 g (0.7 oz)
Red pepper flakes — 1 g (0.0 oz)
Fresh parsley — 10 g (0.4 oz)
Lemon (with juice &amp; zest) — 30 g (1.1 oz)</t>
        </is>
      </c>
      <c r="M542" s="4" t="inlineStr">
        <is>
          <t>[{"ingredient_id": "mussels", "name": "Mussels", "grams": 1200.0, "note": ""}, {"ingredient_id": "crushed_tomatoes", "name": "Crushed tomatoes, canned", "grams": 400.0, "note": ""}, {"ingredient_id": "garlic", "name": "Garlic", "grams": 12.0, "note": ""}, {"ingredient_id": "shallot", "name": "Shallot", "grams": 50.0, "note": ""}, {"ingredient_id": "white_wine", "name": "Dry white wine (cooking)", "grams": 120.0, "note": ""}, {"ingredient_id": "olive_oil", "name": "Extra-virgin olive oil", "grams": 20.0, "note": ""}, {"ingredient_id": "red_pepper_flakes", "name": "Red pepper flakes", "grams": 1.0, "note": ""}, {"ingredient_id": "parsley", "name": "Fresh parsley", "grams": 10.0, "note": ""}, {"ingredient_id": "lemon", "name": "Lemon (with juice &amp; zest)", "grams": 30.0, "note": ""}]</t>
        </is>
      </c>
      <c r="N542" s="2" t="n">
        <v>376</v>
      </c>
      <c r="O542" s="5" t="n">
        <v>38.3</v>
      </c>
      <c r="P542" s="5" t="n">
        <v>12</v>
      </c>
      <c r="Q542" s="5" t="n">
        <v>23</v>
      </c>
      <c r="R542" s="5" t="n">
        <v>2.7</v>
      </c>
      <c r="S542" s="5" t="n">
        <v>20.3</v>
      </c>
      <c r="T542" s="2" t="n">
        <v>12</v>
      </c>
      <c r="U542" s="2" t="inlineStr">
        <is>
          <t>low</t>
        </is>
      </c>
      <c r="V542" s="5" t="n">
        <v>2.4</v>
      </c>
      <c r="W542" s="2" t="inlineStr">
        <is>
          <t>low</t>
        </is>
      </c>
      <c r="X542" s="3" t="inlineStr"/>
      <c r="Y542" s="3" t="inlineStr">
        <is>
          <t>0% of this dish's available carbohydrate comes from ingredients with a published, measured GI; the rest uses conventional placeholders (see Ingredients sheet)</t>
        </is>
      </c>
      <c r="Z542" s="2" t="n">
        <v>0</v>
      </c>
      <c r="AA542" s="3" t="inlineStr">
        <is>
          <t>pescatarian, gluten-free, dairy-free, nut-free, high-protein, quick</t>
        </is>
      </c>
      <c r="AB542" s="3" t="inlineStr">
        <is>
          <t>1. Sauté shallot and garlic in oil; add wine and tomatoes; simmer 5 minutes.
2. Add mussels; cover; cook 5–6 minutes until open.
3. Top with parsley, lemon, pepper flakes.</t>
        </is>
      </c>
      <c r="AC542" s="4" t="inlineStr">
        <is>
          <t>["Sauté shallot and garlic in oil; add wine and tomatoes; simmer 5 minutes.", "Add mussels; cover; cook 5–6 minutes until open.", "Top with parsley, lemon, pepper flakes."]</t>
        </is>
      </c>
    </row>
    <row r="543" ht="96" customHeight="1">
      <c r="A543" s="2" t="inlineStr">
        <is>
          <t>DB-0542</t>
        </is>
      </c>
      <c r="B543" s="3" t="inlineStr">
        <is>
          <t>Almond-Crusted Tilapia with Green Beans</t>
        </is>
      </c>
      <c r="C543" s="4" t="inlineStr">
        <is>
          <t>Seafood</t>
        </is>
      </c>
      <c r="D543" s="4" t="inlineStr">
        <is>
          <t>American</t>
        </is>
      </c>
      <c r="E543" s="2" t="n">
        <v>4</v>
      </c>
      <c r="F543" s="2" t="n">
        <v>10</v>
      </c>
      <c r="G543" s="2" t="n">
        <v>15</v>
      </c>
      <c r="H543" s="2" t="n">
        <v>25</v>
      </c>
      <c r="I543" s="4" t="inlineStr">
        <is>
          <t>almond-crusted-tilapia-with-green-beans.jpg</t>
        </is>
      </c>
      <c r="J543" s="3" t="inlineStr">
        <is>
          <t>Almond-Crusted Tilapia with Green Beans, healthy food photography, plated, natural light</t>
        </is>
      </c>
      <c r="K543" s="4" t="inlineStr"/>
      <c r="L543" s="3" t="inlineStr">
        <is>
          <t>Tilapia fillet — 600 g (21.2 oz)
Almonds — 60 g (2.1 oz)
Parmesan, grated — 20 g (0.7 oz)
Egg, large (50 g each) — 50 g (1.8 oz)
Garlic powder — 2 g (0.1 oz)
Paprika — 2 g (0.1 oz)
Extra-virgin olive oil — 15 g (0.5 oz)
Green beans — 500 g (17.6 oz)
Lemon (with juice &amp; zest) — 30 g (1.1 oz)
Salt — 2 g (0.1 oz)</t>
        </is>
      </c>
      <c r="M543" s="4" t="inlineStr">
        <is>
          <t>[{"ingredient_id": "tilapia", "name": "Tilapia fillet", "grams": 600.0, "note": ""}, {"ingredient_id": "almonds", "name": "Almonds", "grams": 60.0, "note": ""}, {"ingredient_id": "parmesan", "name": "Parmesan, grated", "grams": 20.0, "note": ""}, {"ingredient_id": "egg", "name": "Egg, large (50 g each)", "grams": 50.0, "note": ""}, {"ingredient_id": "garlic_powder", "name": "Garlic powder", "grams": 2.0, "note": ""}, {"ingredient_id": "paprika", "name": "Paprika", "grams": 2.0, "note": ""}, {"ingredient_id": "olive_oil", "name": "Extra-virgin olive oil", "grams": 15.0, "note": ""}, {"ingredient_id": "green_beans", "name": "Green beans", "grams": 500.0, "note": ""}, {"ingredient_id": "lemon", "name": "Lemon (with juice &amp; zest)", "grams": 30.0, "note": ""}, {"ingredient_id": "salt", "name": "Salt", "grams": 2.0, "note": ""}]</t>
        </is>
      </c>
      <c r="N543" s="2" t="n">
        <v>347</v>
      </c>
      <c r="O543" s="5" t="n">
        <v>39.1</v>
      </c>
      <c r="P543" s="5" t="n">
        <v>16.8</v>
      </c>
      <c r="Q543" s="5" t="n">
        <v>13.7</v>
      </c>
      <c r="R543" s="5" t="n">
        <v>5.7</v>
      </c>
      <c r="S543" s="5" t="n">
        <v>8</v>
      </c>
      <c r="T543" s="2" t="n">
        <v>15</v>
      </c>
      <c r="U543" s="2" t="inlineStr">
        <is>
          <t>low</t>
        </is>
      </c>
      <c r="V543" s="5" t="n">
        <v>1.2</v>
      </c>
      <c r="W543" s="2" t="inlineStr">
        <is>
          <t>low</t>
        </is>
      </c>
      <c r="X543" s="3" t="inlineStr"/>
      <c r="Y543" s="3" t="inlineStr">
        <is>
          <t>0% of this dish's available carbohydrate comes from ingredients with a published, measured GI; the rest uses conventional placeholders (see Ingredients sheet)</t>
        </is>
      </c>
      <c r="Z543" s="2" t="n">
        <v>0</v>
      </c>
      <c r="AA543" s="3" t="inlineStr">
        <is>
          <t>pescatarian, gluten-free, low-carb, high-protein</t>
        </is>
      </c>
      <c r="AB543" s="3" t="inlineStr">
        <is>
          <t>1. Pulse almonds with parmesan, garlic powder, paprika; dip fish in egg then crumbs.
2. Bake at 425°F 12 minutes.
3. Serve with green beans and lemon.</t>
        </is>
      </c>
      <c r="AC543" s="4" t="inlineStr">
        <is>
          <t>["Pulse almonds with parmesan, garlic powder, paprika; dip fish in egg then crumbs.", "Bake at 425°F 12 minutes.", "Serve with green beans and lemon."]</t>
        </is>
      </c>
    </row>
    <row r="544" ht="96" customHeight="1">
      <c r="A544" s="2" t="inlineStr">
        <is>
          <t>DB-0543</t>
        </is>
      </c>
      <c r="B544" s="3" t="inlineStr">
        <is>
          <t>Shrimp &amp; Broccoli Stir-Fry</t>
        </is>
      </c>
      <c r="C544" s="4" t="inlineStr">
        <is>
          <t>Seafood</t>
        </is>
      </c>
      <c r="D544" s="4" t="inlineStr">
        <is>
          <t>Chinese-American</t>
        </is>
      </c>
      <c r="E544" s="2" t="n">
        <v>4</v>
      </c>
      <c r="F544" s="2" t="n">
        <v>10</v>
      </c>
      <c r="G544" s="2" t="n">
        <v>10</v>
      </c>
      <c r="H544" s="2" t="n">
        <v>20</v>
      </c>
      <c r="I544" s="4" t="inlineStr">
        <is>
          <t>shrimp-and-broccoli-stir-fry.jpg</t>
        </is>
      </c>
      <c r="J544" s="3" t="inlineStr">
        <is>
          <t>Shrimp &amp; Broccoli Stir-Fry, healthy food photography, plated, natural light</t>
        </is>
      </c>
      <c r="K544" s="4" t="inlineStr"/>
      <c r="L544" s="3" t="inlineStr">
        <is>
          <t>Shrimp, peeled — 600 g (21.2 oz)
Broccoli — 500 g (17.6 oz)
Garlic — 10 g (0.4 oz)
Fresh ginger — 8 g (0.3 oz)
Tamari (gluten-free soy sauce) — 30 g (1.1 oz)
Rice vinegar, unseasoned — 10 g (0.4 oz)
Toasted sesame oil — 8 g (0.3 oz)
Arrowroot starch — 4 g (0.1 oz)
Chicken broth, low sodium — 80 g (2.8 oz)
Avocado oil — 12 g (0.4 oz)
Sesame seeds — 6 g (0.2 oz)</t>
        </is>
      </c>
      <c r="M544" s="4" t="inlineStr">
        <is>
          <t>[{"ingredient_id": "shrimp", "name": "Shrimp, peeled", "grams": 600.0, "note": ""}, {"ingredient_id": "broccoli", "name": "Broccoli", "grams": 500.0, "note": ""}, {"ingredient_id": "garlic", "name": "Garlic", "grams": 10.0, "note": ""}, {"ingredient_id": "ginger", "name": "Fresh ginger", "grams": 8.0, "note": ""}, {"ingredient_id": "tamari", "name": "Tamari (gluten-free soy sauce)", "grams": 30.0, "note": ""}, {"ingredient_id": "rice_vinegar", "name": "Rice vinegar, unseasoned", "grams": 10.0, "note": ""}, {"ingredient_id": "sesame_oil", "name": "Toasted sesame oil", "grams": 8.0, "note": ""}, {"ingredient_id": "arrowroot", "name": "Arrowroot starch", "grams": 4.0, "note": ""}, {"ingredient_id": "chicken_broth", "name": "Chicken broth, low sodium", "grams": 80.0, "note": ""}, {"ingredient_id": "avocado_oil", "name": "Avocado oil", "grams": 12.0, "note": ""}, {"ingredient_id": "sesame_seeds", "name": "Sesame seeds", "grams": 6.0, "note": ""}]</t>
        </is>
      </c>
      <c r="N544" s="2" t="n">
        <v>238</v>
      </c>
      <c r="O544" s="5" t="n">
        <v>34.9</v>
      </c>
      <c r="P544" s="5" t="n">
        <v>7.1</v>
      </c>
      <c r="Q544" s="5" t="n">
        <v>11.1</v>
      </c>
      <c r="R544" s="5" t="n">
        <v>3.6</v>
      </c>
      <c r="S544" s="5" t="n">
        <v>7.5</v>
      </c>
      <c r="T544" s="2" t="n">
        <v>23</v>
      </c>
      <c r="U544" s="2" t="inlineStr">
        <is>
          <t>low</t>
        </is>
      </c>
      <c r="V544" s="5" t="n">
        <v>1.7</v>
      </c>
      <c r="W544" s="2" t="inlineStr">
        <is>
          <t>low</t>
        </is>
      </c>
      <c r="X544" s="3" t="inlineStr"/>
      <c r="Y544" s="3" t="inlineStr">
        <is>
          <t>11% of this dish's available carbohydrate comes from ingredients with a published, measured GI; the rest uses conventional placeholders (see Ingredients sheet)</t>
        </is>
      </c>
      <c r="Z544" s="2" t="n">
        <v>11</v>
      </c>
      <c r="AA544" s="3" t="inlineStr">
        <is>
          <t>pescatarian, gluten-free, dairy-free, nut-free, low-carb, high-protein, quick</t>
        </is>
      </c>
      <c r="AB544" s="3" t="inlineStr">
        <is>
          <t>1. Stir-fry broccoli with garlic and ginger in oil 4 minutes; add broth and cover 2 minutes.
2. Add shrimp; cook 3 minutes.
3. Add tamari, vinegar, arrowroot slurry, sesame oil; toss; top sesame.</t>
        </is>
      </c>
      <c r="AC544" s="4" t="inlineStr">
        <is>
          <t>["Stir-fry broccoli with garlic and ginger in oil 4 minutes; add broth and cover 2 minutes.", "Add shrimp; cook 3 minutes.", "Add tamari, vinegar, arrowroot slurry, sesame oil; toss; top sesame."]</t>
        </is>
      </c>
    </row>
    <row r="545" ht="96" customHeight="1">
      <c r="A545" s="2" t="inlineStr">
        <is>
          <t>DB-0544</t>
        </is>
      </c>
      <c r="B545" s="3" t="inlineStr">
        <is>
          <t>Salmon &amp; Quinoa Power Bowl</t>
        </is>
      </c>
      <c r="C545" s="4" t="inlineStr">
        <is>
          <t>Seafood</t>
        </is>
      </c>
      <c r="D545" s="4" t="inlineStr">
        <is>
          <t>American</t>
        </is>
      </c>
      <c r="E545" s="2" t="n">
        <v>4</v>
      </c>
      <c r="F545" s="2" t="n">
        <v>10</v>
      </c>
      <c r="G545" s="2" t="n">
        <v>15</v>
      </c>
      <c r="H545" s="2" t="n">
        <v>25</v>
      </c>
      <c r="I545" s="4" t="inlineStr">
        <is>
          <t>salmon-and-quinoa-power-bowl.jpg</t>
        </is>
      </c>
      <c r="J545" s="3" t="inlineStr">
        <is>
          <t>Salmon &amp; Quinoa Power Bowl, healthy food photography, plated, natural light</t>
        </is>
      </c>
      <c r="K545" s="4" t="inlineStr"/>
      <c r="L545" s="3" t="inlineStr">
        <is>
          <t>Salmon fillet — 600 g (21.2 oz)
Quinoa, cooked — 400 g (14.1 oz)
Kale — 200 g (7.1 oz)
Avocado — 120 g (4.2 oz)
Cucumber — 150 g (5.3 oz)
Edamame, shelled, cooked — 150 g (5.3 oz)
Lemon (with juice &amp; zest) — 40 g (1.4 oz)
Extra-virgin olive oil — 20 g (0.7 oz)
Tahini — 30 g (1.1 oz)
Garlic — 4 g (0.1 oz)</t>
        </is>
      </c>
      <c r="M545" s="4" t="inlineStr">
        <is>
          <t>[{"ingredient_id": "salmon", "name": "Salmon fillet", "grams": 600.0, "note": ""}, {"ingredient_id": "quinoa", "name": "Quinoa, cooked", "grams": 400.0, "note": ""}, {"ingredient_id": "kale", "name": "Kale", "grams": 200.0, "note": ""}, {"ingredient_id": "avocado", "name": "Avocado", "grams": 120.0, "note": ""}, {"ingredient_id": "cucumber", "name": "Cucumber", "grams": 150.0, "note": ""}, {"ingredient_id": "edamame", "name": "Edamame, shelled, cooked", "grams": 150.0, "note": ""}, {"ingredient_id": "lemon", "name": "Lemon (with juice &amp; zest)", "grams": 40.0, "note": ""}, {"ingredient_id": "olive_oil", "name": "Extra-virgin olive oil", "grams": 20.0, "note": ""}, {"ingredient_id": "tahini", "name": "Tahini", "grams": 30.0, "note": ""}, {"ingredient_id": "garlic", "name": "Garlic", "grams": 4.0, "note": ""}]</t>
        </is>
      </c>
      <c r="N545" s="2" t="n">
        <v>649</v>
      </c>
      <c r="O545" s="5" t="n">
        <v>43.4</v>
      </c>
      <c r="P545" s="5" t="n">
        <v>37.3</v>
      </c>
      <c r="Q545" s="5" t="n">
        <v>35.5</v>
      </c>
      <c r="R545" s="5" t="n">
        <v>9.6</v>
      </c>
      <c r="S545" s="5" t="n">
        <v>25.9</v>
      </c>
      <c r="T545" s="2" t="n">
        <v>43</v>
      </c>
      <c r="U545" s="2" t="inlineStr">
        <is>
          <t>low</t>
        </is>
      </c>
      <c r="V545" s="5" t="n">
        <v>11.1</v>
      </c>
      <c r="W545" s="2" t="inlineStr">
        <is>
          <t>medium</t>
        </is>
      </c>
      <c r="X545" s="3" t="inlineStr"/>
      <c r="Y545" s="3" t="inlineStr">
        <is>
          <t>70% of this dish's available carbohydrate comes from ingredients with a published, measured GI; the rest uses conventional placeholders (see Ingredients sheet)</t>
        </is>
      </c>
      <c r="Z545" s="2" t="n">
        <v>70</v>
      </c>
      <c r="AA545" s="3" t="inlineStr">
        <is>
          <t>pescatarian, gluten-free, dairy-free, nut-free, high-protein, high-fiber, omega-3</t>
        </is>
      </c>
      <c r="AB545" s="3" t="inlineStr">
        <is>
          <t>1. Roast salmon 12 minutes.
2. Whisk tahini, lemon, garlic, water; massage half into kale.
3. Bowl quinoa, kale, cucumber, edamame, avocado, salmon; drizzle remaining dressing.</t>
        </is>
      </c>
      <c r="AC545" s="4" t="inlineStr">
        <is>
          <t>["Roast salmon 12 minutes.", "Whisk tahini, lemon, garlic, water; massage half into kale.", "Bowl quinoa, kale, cucumber, edamame, avocado, salmon; drizzle remaining dressing."]</t>
        </is>
      </c>
    </row>
    <row r="546" ht="96" customHeight="1">
      <c r="A546" s="2" t="inlineStr">
        <is>
          <t>DB-0545</t>
        </is>
      </c>
      <c r="B546" s="3" t="inlineStr">
        <is>
          <t>Lobster &amp; Avocado Salad</t>
        </is>
      </c>
      <c r="C546" s="4" t="inlineStr">
        <is>
          <t>Seafood</t>
        </is>
      </c>
      <c r="D546" s="4" t="inlineStr">
        <is>
          <t>American</t>
        </is>
      </c>
      <c r="E546" s="2" t="n">
        <v>2</v>
      </c>
      <c r="F546" s="2" t="n">
        <v>10</v>
      </c>
      <c r="G546" s="2" t="n">
        <v>0</v>
      </c>
      <c r="H546" s="2" t="n">
        <v>10</v>
      </c>
      <c r="I546" s="4" t="inlineStr">
        <is>
          <t>lobster-and-avocado-salad.jpg</t>
        </is>
      </c>
      <c r="J546" s="3" t="inlineStr">
        <is>
          <t>Lobster &amp; Avocado Salad, healthy food photography, plated, natural light</t>
        </is>
      </c>
      <c r="K546" s="4" t="inlineStr"/>
      <c r="L546" s="3" t="inlineStr">
        <is>
          <t>Lobster meat — 300 g (10.6 oz) [cooked]
Avocado — 120 g (4.2 oz)
Celery — 50 g (1.8 oz)
Fresh chives — 5 g (0.2 oz)
Lemon juice — 15 g (0.5 oz)
Mayonnaise (avocado oil) — 15 g (0.5 oz)
Greek yogurt, plain 2% — 30 g (1.1 oz)
Butter lettuce — 120 g (4.2 oz)
Black pepper — 1 g (0.0 oz)</t>
        </is>
      </c>
      <c r="M546" s="4" t="inlineStr">
        <is>
          <t>[{"ingredient_id": "lobster", "name": "Lobster meat", "grams": 300.0, "note": "cooked"}, {"ingredient_id": "avocado", "name": "Avocado", "grams": 120.0, "note": ""}, {"ingredient_id": "celery", "name": "Celery", "grams": 50.0, "note": ""}, {"ingredient_id": "chives", "name": "Fresh chives", "grams": 5.0, "note": ""}, {"ingredient_id": "lemon_juice", "name": "Lemon juice", "grams": 15.0, "note": ""}, {"ingredient_id": "mayo", "name": "Mayonnaise (avocado oil)", "grams": 15.0, "note": ""}, {"ingredient_id": "greek_yogurt", "name": "Greek yogurt, plain 2%", "grams": 30.0, "note": ""}, {"ingredient_id": "butter_lettuce", "name": "Butter lettuce", "grams": 120.0, "note": ""}, {"ingredient_id": "black_pepper", "name": "Black pepper", "grams": 1.0, "note": ""}]</t>
        </is>
      </c>
      <c r="N546" s="2" t="n">
        <v>308</v>
      </c>
      <c r="O546" s="5" t="n">
        <v>32.4</v>
      </c>
      <c r="P546" s="5" t="n">
        <v>16.7</v>
      </c>
      <c r="Q546" s="5" t="n">
        <v>8.699999999999999</v>
      </c>
      <c r="R546" s="5" t="n">
        <v>5.3</v>
      </c>
      <c r="S546" s="5" t="n">
        <v>3.4</v>
      </c>
      <c r="T546" s="2" t="n">
        <v>15</v>
      </c>
      <c r="U546" s="2" t="inlineStr">
        <is>
          <t>low</t>
        </is>
      </c>
      <c r="V546" s="5" t="n">
        <v>0.5</v>
      </c>
      <c r="W546" s="2" t="inlineStr">
        <is>
          <t>low</t>
        </is>
      </c>
      <c r="X546" s="3" t="inlineStr">
        <is>
          <t>Negligible carbohydrate (&lt;5 g net/serving): GI has little practical meaning, glycemic load is what matters.</t>
        </is>
      </c>
      <c r="Y546" s="3" t="inlineStr">
        <is>
          <t>18% of this dish's available carbohydrate comes from ingredients with a published, measured GI; the rest uses conventional placeholders (see Ingredients sheet)</t>
        </is>
      </c>
      <c r="Z546" s="2" t="n">
        <v>18</v>
      </c>
      <c r="AA546" s="3" t="inlineStr">
        <is>
          <t>pescatarian, gluten-free, nut-free, low-carb, high-protein, no-cook</t>
        </is>
      </c>
      <c r="AB546" s="3" t="inlineStr">
        <is>
          <t>1. Mix lobster with celery, chives, lemon, mayo, yogurt, pepper.
2. Fold in avocado.
3. Serve in lettuce cups.</t>
        </is>
      </c>
      <c r="AC546" s="4" t="inlineStr">
        <is>
          <t>["Mix lobster with celery, chives, lemon, mayo, yogurt, pepper.", "Fold in avocado.", "Serve in lettuce cups."]</t>
        </is>
      </c>
    </row>
    <row r="547" ht="96" customHeight="1">
      <c r="A547" s="2" t="inlineStr">
        <is>
          <t>DB-0546</t>
        </is>
      </c>
      <c r="B547" s="3" t="inlineStr">
        <is>
          <t>Blackened Salmon Caesar Bowl</t>
        </is>
      </c>
      <c r="C547" s="4" t="inlineStr">
        <is>
          <t>Seafood</t>
        </is>
      </c>
      <c r="D547" s="4" t="inlineStr">
        <is>
          <t>American</t>
        </is>
      </c>
      <c r="E547" s="2" t="n">
        <v>2</v>
      </c>
      <c r="F547" s="2" t="n">
        <v>10</v>
      </c>
      <c r="G547" s="2" t="n">
        <v>10</v>
      </c>
      <c r="H547" s="2" t="n">
        <v>20</v>
      </c>
      <c r="I547" s="4" t="inlineStr">
        <is>
          <t>blackened-salmon-caesar-bowl.jpg</t>
        </is>
      </c>
      <c r="J547" s="3" t="inlineStr">
        <is>
          <t>Blackened Salmon Caesar Bowl, healthy food photography, plated, natural light</t>
        </is>
      </c>
      <c r="K547" s="4" t="inlineStr"/>
      <c r="L547" s="3" t="inlineStr">
        <is>
          <t>Salmon fillet — 300 g (10.6 oz)
Cajun seasoning — 5 g (0.2 oz)
Romaine lettuce — 200 g (7.1 oz)
Parmesan, grated — 25 g (0.9 oz)
Greek yogurt, plain 2% — 60 g (2.1 oz)
Lemon juice — 12 g (0.4 oz)
Dijon mustard — 5 g (0.2 oz)
Anchovies, canned — 6 g (0.2 oz)
Extra-virgin olive oil — 12 g (0.4 oz)
Avocado — 60 g (2.1 oz)</t>
        </is>
      </c>
      <c r="M547" s="4" t="inlineStr">
        <is>
          <t>[{"ingredient_id": "salmon", "name": "Salmon fillet", "grams": 300.0, "note": ""}, {"ingredient_id": "cajun_seasoning", "name": "Cajun seasoning", "grams": 5.0, "note": ""}, {"ingredient_id": "romaine", "name": "Romaine lettuce", "grams": 200.0, "note": ""}, {"ingredient_id": "parmesan", "name": "Parmesan, grated", "grams": 25.0, "note": ""}, {"ingredient_id": "greek_yogurt", "name": "Greek yogurt, plain 2%", "grams": 60.0, "note": ""}, {"ingredient_id": "lemon_juice", "name": "Lemon juice", "grams": 12.0, "note": ""}, {"ingredient_id": "dijon", "name": "Dijon mustard", "grams": 5.0, "note": ""}, {"ingredient_id": "anchovies", "name": "Anchovies, canned", "grams": 6.0, "note": ""}, {"ingredient_id": "olive_oil", "name": "Extra-virgin olive oil", "grams": 12.0, "note": ""}, {"ingredient_id": "avocado", "name": "Avocado", "grams": 60.0, "note": ""}]</t>
        </is>
      </c>
      <c r="N547" s="2" t="n">
        <v>523</v>
      </c>
      <c r="O547" s="5" t="n">
        <v>40.8</v>
      </c>
      <c r="P547" s="5" t="n">
        <v>35.1</v>
      </c>
      <c r="Q547" s="5" t="n">
        <v>9.5</v>
      </c>
      <c r="R547" s="5" t="n">
        <v>4.8</v>
      </c>
      <c r="S547" s="5" t="n">
        <v>4.6</v>
      </c>
      <c r="T547" s="2" t="n">
        <v>13</v>
      </c>
      <c r="U547" s="2" t="inlineStr">
        <is>
          <t>low</t>
        </is>
      </c>
      <c r="V547" s="5" t="n">
        <v>0.6</v>
      </c>
      <c r="W547" s="2" t="inlineStr">
        <is>
          <t>low</t>
        </is>
      </c>
      <c r="X547" s="3" t="inlineStr">
        <is>
          <t>Negligible carbohydrate (&lt;5 g net/serving): GI has little practical meaning, glycemic load is what matters.</t>
        </is>
      </c>
      <c r="Y547" s="3" t="inlineStr">
        <is>
          <t>26% of this dish's available carbohydrate comes from ingredients with a published, measured GI; the rest uses conventional placeholders (see Ingredients sheet)</t>
        </is>
      </c>
      <c r="Z547" s="2" t="n">
        <v>26</v>
      </c>
      <c r="AA547" s="3" t="inlineStr">
        <is>
          <t>pescatarian, gluten-free, nut-free, low-carb, high-protein, omega-3</t>
        </is>
      </c>
      <c r="AB547" s="3" t="inlineStr">
        <is>
          <t>1. Rub salmon with Cajun seasoning; sear 4 minutes per side.
2. Whisk yogurt, lemon, Dijon, anchovy, oil.
3. Toss romaine with dressing; top salmon, parmesan, avocado.</t>
        </is>
      </c>
      <c r="AC547" s="4" t="inlineStr">
        <is>
          <t>["Rub salmon with Cajun seasoning; sear 4 minutes per side.", "Whisk yogurt, lemon, Dijon, anchovy, oil.", "Toss romaine with dressing; top salmon, parmesan, avocado."]</t>
        </is>
      </c>
    </row>
    <row r="548" ht="96" customHeight="1">
      <c r="A548" s="2" t="inlineStr">
        <is>
          <t>DB-0547</t>
        </is>
      </c>
      <c r="B548" s="3" t="inlineStr">
        <is>
          <t>Garlic Shrimp with Spaghetti Squash</t>
        </is>
      </c>
      <c r="C548" s="4" t="inlineStr">
        <is>
          <t>Seafood</t>
        </is>
      </c>
      <c r="D548" s="4" t="inlineStr">
        <is>
          <t>Italian</t>
        </is>
      </c>
      <c r="E548" s="2" t="n">
        <v>4</v>
      </c>
      <c r="F548" s="2" t="n">
        <v>10</v>
      </c>
      <c r="G548" s="2" t="n">
        <v>45</v>
      </c>
      <c r="H548" s="2" t="n">
        <v>55</v>
      </c>
      <c r="I548" s="4" t="inlineStr">
        <is>
          <t>garlic-shrimp-with-spaghetti-squash.jpg</t>
        </is>
      </c>
      <c r="J548" s="3" t="inlineStr">
        <is>
          <t>Garlic Shrimp with Spaghetti Squash, healthy food photography, plated, natural light</t>
        </is>
      </c>
      <c r="K548" s="4" t="inlineStr"/>
      <c r="L548" s="3" t="inlineStr">
        <is>
          <t>Shrimp, peeled — 600 g (21.2 oz)
Spaghetti squash, cooked — 1200 g (42.3 oz)
Garlic — 12 g (0.4 oz)
Extra-virgin olive oil — 20 g (0.7 oz)
Butter — 10 g (0.4 oz)
Cherry tomatoes — 200 g (7.1 oz)
Spinach — 150 g (5.3 oz)
Parmesan, grated — 30 g (1.1 oz)
Lemon (with juice &amp; zest) — 40 g (1.4 oz)
Red pepper flakes — 1 g (0.0 oz)
Salt — 3 g (0.1 oz)</t>
        </is>
      </c>
      <c r="M548" s="4" t="inlineStr">
        <is>
          <t>[{"ingredient_id": "shrimp", "name": "Shrimp, peeled", "grams": 600.0, "note": ""}, {"ingredient_id": "spaghetti_squash", "name": "Spaghetti squash, cooked", "grams": 1200.0, "note": ""}, {"ingredient_id": "garlic", "name": "Garlic", "grams": 12.0, "note": ""}, {"ingredient_id": "olive_oil", "name": "Extra-virgin olive oil", "grams": 20.0, "note": ""}, {"ingredient_id": "butter", "name": "Butter", "grams": 10.0, "note": ""}, {"ingredient_id": "cherry_tomato", "name": "Cherry tomatoes", "grams": 200.0, "note": ""}, {"ingredient_id": "spinach", "name": "Spinach", "grams": 150.0, "note": ""}, {"ingredient_id": "parmesan", "name": "Parmesan, grated", "grams": 30.0, "note": ""}, {"ingredient_id": "lemon", "name": "Lemon (with juice &amp; zest)", "grams": 40.0, "note": ""}, {"ingredient_id": "red_pepper_flakes", "name": "Red pepper flakes", "grams": 1.0, "note": ""}, {"ingredient_id": "salt", "name": "Salt", "grams": 3.0, "note": ""}]</t>
        </is>
      </c>
      <c r="N548" s="2" t="n">
        <v>341</v>
      </c>
      <c r="O548" s="5" t="n">
        <v>36.5</v>
      </c>
      <c r="P548" s="5" t="n">
        <v>12.1</v>
      </c>
      <c r="Q548" s="5" t="n">
        <v>26.7</v>
      </c>
      <c r="R548" s="5" t="n">
        <v>6.3</v>
      </c>
      <c r="S548" s="5" t="n">
        <v>20.3</v>
      </c>
      <c r="T548" s="2" t="n">
        <v>20</v>
      </c>
      <c r="U548" s="2" t="inlineStr">
        <is>
          <t>low</t>
        </is>
      </c>
      <c r="V548" s="5" t="n">
        <v>4.1</v>
      </c>
      <c r="W548" s="2" t="inlineStr">
        <is>
          <t>low</t>
        </is>
      </c>
      <c r="X548" s="3" t="inlineStr"/>
      <c r="Y548" s="3" t="inlineStr">
        <is>
          <t>0% of this dish's available carbohydrate comes from ingredients with a published, measured GI; the rest uses conventional placeholders (see Ingredients sheet)</t>
        </is>
      </c>
      <c r="Z548" s="2" t="n">
        <v>0</v>
      </c>
      <c r="AA548" s="3" t="inlineStr">
        <is>
          <t>pescatarian, gluten-free, nut-free, high-protein</t>
        </is>
      </c>
      <c r="AB548" s="3" t="inlineStr">
        <is>
          <t>1. Roast halved squash 40 minutes; scrape strands.
2. Sauté garlic in oil and butter; add shrimp 3 minutes; add tomatoes and spinach.
3. Toss with squash, lemon, parmesan, pepper flakes.</t>
        </is>
      </c>
      <c r="AC548" s="4" t="inlineStr">
        <is>
          <t>["Roast halved squash 40 minutes; scrape strands.", "Sauté garlic in oil and butter; add shrimp 3 minutes; add tomatoes and spinach.", "Toss with squash, lemon, parmesan, pepper flakes."]</t>
        </is>
      </c>
    </row>
    <row r="549" ht="96" customHeight="1">
      <c r="A549" s="2" t="inlineStr">
        <is>
          <t>DB-0548</t>
        </is>
      </c>
      <c r="B549" s="3" t="inlineStr">
        <is>
          <t>Cod en Papillote with Vegetables</t>
        </is>
      </c>
      <c r="C549" s="4" t="inlineStr">
        <is>
          <t>Seafood</t>
        </is>
      </c>
      <c r="D549" s="4" t="inlineStr">
        <is>
          <t>French</t>
        </is>
      </c>
      <c r="E549" s="2" t="n">
        <v>4</v>
      </c>
      <c r="F549" s="2" t="n">
        <v>15</v>
      </c>
      <c r="G549" s="2" t="n">
        <v>18</v>
      </c>
      <c r="H549" s="2" t="n">
        <v>33</v>
      </c>
      <c r="I549" s="4" t="inlineStr">
        <is>
          <t>cod-en-papillote-with-vegetables.jpg</t>
        </is>
      </c>
      <c r="J549" s="3" t="inlineStr">
        <is>
          <t>Cod en Papillote with Vegetables, healthy food photography, plated, natural light</t>
        </is>
      </c>
      <c r="K549" s="4" t="inlineStr"/>
      <c r="L549" s="3" t="inlineStr">
        <is>
          <t>Cod fillet — 600 g (21.2 oz)
Zucchini — 200 g (7.1 oz)
Carrot — 100 g (3.5 oz)
Leek — 100 g (3.5 oz)
Cherry tomatoes — 150 g (5.3 oz)
Lemon (with juice &amp; zest) — 40 g (1.4 oz)
Extra-virgin olive oil — 15 g (0.5 oz)
Fresh thyme — 3 g (0.1 oz)
Dry white wine (cooking) — 40 g (1.4 oz)
Salt — 3 g (0.1 oz)</t>
        </is>
      </c>
      <c r="M549" s="4" t="inlineStr">
        <is>
          <t>[{"ingredient_id": "cod", "name": "Cod fillet", "grams": 600.0, "note": ""}, {"ingredient_id": "zucchini", "name": "Zucchini", "grams": 200.0, "note": ""}, {"ingredient_id": "carrot", "name": "Carrot", "grams": 100.0, "note": ""}, {"ingredient_id": "leek", "name": "Leek", "grams": 100.0, "note": ""}, {"ingredient_id": "cherry_tomato", "name": "Cherry tomatoes", "grams": 150.0, "note": ""}, {"ingredient_id": "lemon", "name": "Lemon (with juice &amp; zest)", "grams": 40.0, "note": ""}, {"ingredient_id": "olive_oil", "name": "Extra-virgin olive oil", "grams": 15.0, "note": ""}, {"ingredient_id": "thyme", "name": "Fresh thyme", "grams": 3.0, "note": ""}, {"ingredient_id": "white_wine", "name": "Dry white wine (cooking)", "grams": 40.0, "note": ""}, {"ingredient_id": "salt", "name": "Salt", "grams": 3.0, "note": ""}]</t>
        </is>
      </c>
      <c r="N549" s="2" t="n">
        <v>209</v>
      </c>
      <c r="O549" s="5" t="n">
        <v>28.7</v>
      </c>
      <c r="P549" s="5" t="n">
        <v>5.2</v>
      </c>
      <c r="Q549" s="5" t="n">
        <v>10.3</v>
      </c>
      <c r="R549" s="5" t="n">
        <v>2.5</v>
      </c>
      <c r="S549" s="5" t="n">
        <v>7.8</v>
      </c>
      <c r="T549" s="2" t="n">
        <v>20</v>
      </c>
      <c r="U549" s="2" t="inlineStr">
        <is>
          <t>low</t>
        </is>
      </c>
      <c r="V549" s="5" t="n">
        <v>1.6</v>
      </c>
      <c r="W549" s="2" t="inlineStr">
        <is>
          <t>low</t>
        </is>
      </c>
      <c r="X549" s="3" t="inlineStr"/>
      <c r="Y549" s="3" t="inlineStr">
        <is>
          <t>22% of this dish's available carbohydrate comes from ingredients with a published, measured GI; the rest uses conventional placeholders (see Ingredients sheet)</t>
        </is>
      </c>
      <c r="Z549" s="2" t="n">
        <v>22</v>
      </c>
      <c r="AA549" s="3" t="inlineStr">
        <is>
          <t>pescatarian, gluten-free, dairy-free, nut-free, low-carb, high-protein, one-pan</t>
        </is>
      </c>
      <c r="AB549" s="3" t="inlineStr">
        <is>
          <t>1. Place julienned vegetables on parchment; top with cod, lemon slices, thyme, oil, wine, salt.
2. Fold parchment into sealed packets.
3. Bake at 400°F 15–18 minutes; open at the table.</t>
        </is>
      </c>
      <c r="AC549" s="4" t="inlineStr">
        <is>
          <t>["Place julienned vegetables on parchment; top with cod, lemon slices, thyme, oil, wine, salt.", "Fold parchment into sealed packets.", "Bake at 400°F 15–18 minutes; open at the table."]</t>
        </is>
      </c>
    </row>
    <row r="550" ht="96" customHeight="1">
      <c r="A550" s="2" t="inlineStr">
        <is>
          <t>DB-0549</t>
        </is>
      </c>
      <c r="B550" s="3" t="inlineStr">
        <is>
          <t>Shrimp Sushi Bowls (Cauliflower Rice)</t>
        </is>
      </c>
      <c r="C550" s="4" t="inlineStr">
        <is>
          <t>Seafood</t>
        </is>
      </c>
      <c r="D550" s="4" t="inlineStr">
        <is>
          <t>Japanese</t>
        </is>
      </c>
      <c r="E550" s="2" t="n">
        <v>2</v>
      </c>
      <c r="F550" s="2" t="n">
        <v>15</v>
      </c>
      <c r="G550" s="2" t="n">
        <v>8</v>
      </c>
      <c r="H550" s="2" t="n">
        <v>23</v>
      </c>
      <c r="I550" s="4" t="inlineStr">
        <is>
          <t>shrimp-sushi-bowls-cauliflower-rice.jpg</t>
        </is>
      </c>
      <c r="J550" s="3" t="inlineStr">
        <is>
          <t>Shrimp Sushi Bowls (Cauliflower Rice), healthy food photography, plated, natural light</t>
        </is>
      </c>
      <c r="K550" s="4" t="inlineStr"/>
      <c r="L550" s="3" t="inlineStr">
        <is>
          <t>Shrimp, peeled — 300 g (10.6 oz)
Cauliflower rice — 300 g (10.6 oz)
Rice vinegar, unseasoned — 15 g (0.5 oz)
Avocado — 80 g (2.8 oz)
Cucumber — 100 g (3.5 oz)
Carrot — 50 g (1.8 oz)
Nori seaweed sheets — 3 g (0.1 oz)
Edamame, shelled, cooked — 80 g (2.8 oz)
Tamari (gluten-free soy sauce) — 15 g (0.5 oz)
Sriracha — 6 g (0.2 oz)
Mayonnaise (avocado oil) — 10 g (0.4 oz)
Sesame seeds — 6 g (0.2 oz)</t>
        </is>
      </c>
      <c r="M550" s="4" t="inlineStr">
        <is>
          <t>[{"ingredient_id": "shrimp", "name": "Shrimp, peeled", "grams": 300.0, "note": ""}, {"ingredient_id": "cauliflower_rice", "name": "Cauliflower rice", "grams": 300.0, "note": ""}, {"ingredient_id": "rice_vinegar", "name": "Rice vinegar, unseasoned", "grams": 15.0, "note": ""}, {"ingredient_id": "avocado", "name": "Avocado", "grams": 80.0, "note": ""}, {"ingredient_id": "cucumber", "name": "Cucumber", "grams": 100.0, "note": ""}, {"ingredient_id": "carrot", "name": "Carrot", "grams": 50.0, "note": ""}, {"ingredient_id": "nori", "name": "Nori seaweed sheets", "grams": 3.0, "note": ""}, {"ingredient_id": "edamame", "name": "Edamame, shelled, cooked", "grams": 80.0, "note": ""}, {"ingredient_id": "tamari", "name": "Tamari (gluten-free soy sauce)", "grams": 15.0, "note": ""}, {"ingredient_id": "sriracha", "name": "Sriracha", "grams": 6.0, "note": ""}, {"ingredient_id": "mayo", "name": "Mayonnaise (avocado oil)", "grams": 10.0, "note": ""}, {"ingredient_id": "sesame_seeds", "name": "Sesame seeds", "grams": 6.0, "note": ""}]</t>
        </is>
      </c>
      <c r="N550" s="2" t="n">
        <v>357</v>
      </c>
      <c r="O550" s="5" t="n">
        <v>40.5</v>
      </c>
      <c r="P550" s="5" t="n">
        <v>14.7</v>
      </c>
      <c r="Q550" s="5" t="n">
        <v>20.4</v>
      </c>
      <c r="R550" s="5" t="n">
        <v>9.1</v>
      </c>
      <c r="S550" s="5" t="n">
        <v>11.3</v>
      </c>
      <c r="T550" s="2" t="n">
        <v>21</v>
      </c>
      <c r="U550" s="2" t="inlineStr">
        <is>
          <t>low</t>
        </is>
      </c>
      <c r="V550" s="5" t="n">
        <v>2.4</v>
      </c>
      <c r="W550" s="2" t="inlineStr">
        <is>
          <t>low</t>
        </is>
      </c>
      <c r="X550" s="3" t="inlineStr"/>
      <c r="Y550" s="3" t="inlineStr">
        <is>
          <t>15% of this dish's available carbohydrate comes from ingredients with a published, measured GI; the rest uses conventional placeholders (see Ingredients sheet)</t>
        </is>
      </c>
      <c r="Z550" s="2" t="n">
        <v>15</v>
      </c>
      <c r="AA550" s="3" t="inlineStr">
        <is>
          <t>pescatarian, gluten-free, dairy-free, nut-free, low-carb, high-protein, high-fiber</t>
        </is>
      </c>
      <c r="AB550" s="3" t="inlineStr">
        <is>
          <t>1. Steam cauliflower rice; season with rice vinegar; cool.
2. Sauté shrimp 3 minutes.
3. Bowl with avocado, cucumber, carrot, edamame, nori strips; drizzle tamari and sriracha mayo; sprinkle sesame.</t>
        </is>
      </c>
      <c r="AC550" s="4" t="inlineStr">
        <is>
          <t>["Steam cauliflower rice; season with rice vinegar; cool.", "Sauté shrimp 3 minutes.", "Bowl with avocado, cucumber, carrot, edamame, nori strips; drizzle tamari and sriracha mayo; sprinkle sesame."]</t>
        </is>
      </c>
    </row>
    <row r="551" ht="96" customHeight="1">
      <c r="A551" s="2" t="inlineStr">
        <is>
          <t>DB-0550</t>
        </is>
      </c>
      <c r="B551" s="3" t="inlineStr">
        <is>
          <t>Salmon Piccata</t>
        </is>
      </c>
      <c r="C551" s="4" t="inlineStr">
        <is>
          <t>Seafood</t>
        </is>
      </c>
      <c r="D551" s="4" t="inlineStr">
        <is>
          <t>Italian</t>
        </is>
      </c>
      <c r="E551" s="2" t="n">
        <v>4</v>
      </c>
      <c r="F551" s="2" t="n">
        <v>5</v>
      </c>
      <c r="G551" s="2" t="n">
        <v>15</v>
      </c>
      <c r="H551" s="2" t="n">
        <v>20</v>
      </c>
      <c r="I551" s="4" t="inlineStr">
        <is>
          <t>salmon-piccata.jpg</t>
        </is>
      </c>
      <c r="J551" s="3" t="inlineStr">
        <is>
          <t>Salmon Piccata, healthy food photography, plated, natural light</t>
        </is>
      </c>
      <c r="K551" s="4" t="inlineStr"/>
      <c r="L551" s="3" t="inlineStr">
        <is>
          <t>Salmon fillet — 600 g (21.2 oz)
Extra-virgin olive oil — 15 g (0.5 oz)
Butter — 10 g (0.4 oz)
Garlic — 6 g (0.2 oz)
Chicken broth, low sodium — 100 g (3.5 oz)
Lemon (with juice &amp; zest) — 50 g (1.8 oz)
Capers — 20 g (0.7 oz)
Fresh parsley — 6 g (0.2 oz)
Asparagus — 400 g (14.1 oz)
Salt — 3 g (0.1 oz)</t>
        </is>
      </c>
      <c r="M551" s="4" t="inlineStr">
        <is>
          <t>[{"ingredient_id": "salmon", "name": "Salmon fillet", "grams": 600.0, "note": ""}, {"ingredient_id": "olive_oil", "name": "Extra-virgin olive oil", "grams": 15.0, "note": ""}, {"ingredient_id": "butter", "name": "Butter", "grams": 10.0, "note": ""}, {"ingredient_id": "garlic", "name": "Garlic", "grams": 6.0, "note": ""}, {"ingredient_id": "chicken_broth", "name": "Chicken broth, low sodium", "grams": 100.0, "note": ""}, {"ingredient_id": "lemon", "name": "Lemon (with juice &amp; zest)", "grams": 50.0, "note": ""}, {"ingredient_id": "capers", "name": "Capers", "grams": 20.0, "note": ""}, {"ingredient_id": "parsley", "name": "Fresh parsley", "grams": 6.0, "note": ""}, {"ingredient_id": "asparagus", "name": "Asparagus", "grams": 400.0, "note": ""}, {"ingredient_id": "salt", "name": "Salt", "grams": 3.0, "note": ""}]</t>
        </is>
      </c>
      <c r="N551" s="2" t="n">
        <v>392</v>
      </c>
      <c r="O551" s="5" t="n">
        <v>32.9</v>
      </c>
      <c r="P551" s="5" t="n">
        <v>25.5</v>
      </c>
      <c r="Q551" s="5" t="n">
        <v>6</v>
      </c>
      <c r="R551" s="5" t="n">
        <v>2.7</v>
      </c>
      <c r="S551" s="5" t="n">
        <v>3.3</v>
      </c>
      <c r="T551" s="2" t="n">
        <v>18</v>
      </c>
      <c r="U551" s="2" t="inlineStr">
        <is>
          <t>low</t>
        </is>
      </c>
      <c r="V551" s="5" t="n">
        <v>0.6</v>
      </c>
      <c r="W551" s="2" t="inlineStr">
        <is>
          <t>low</t>
        </is>
      </c>
      <c r="X551" s="3" t="inlineStr">
        <is>
          <t>Negligible carbohydrate (&lt;5 g net/serving): GI has little practical meaning, glycemic load is what matters.</t>
        </is>
      </c>
      <c r="Y551" s="3" t="inlineStr">
        <is>
          <t>0% of this dish's available carbohydrate comes from ingredients with a published, measured GI; the rest uses conventional placeholders (see Ingredients sheet)</t>
        </is>
      </c>
      <c r="Z551" s="2" t="n">
        <v>0</v>
      </c>
      <c r="AA551" s="3" t="inlineStr">
        <is>
          <t>pescatarian, gluten-free, nut-free, low-carb, high-protein, omega-3, quick</t>
        </is>
      </c>
      <c r="AB551" s="3" t="inlineStr">
        <is>
          <t>1. Sear salmon in oil 4 minutes per side; remove.
2. Add garlic, broth, lemon juice, capers; simmer 2 minutes; whisk in butter.
3. Spoon over salmon; serve with roasted asparagus and parsley.</t>
        </is>
      </c>
      <c r="AC551" s="4" t="inlineStr">
        <is>
          <t>["Sear salmon in oil 4 minutes per side; remove.", "Add garlic, broth, lemon juice, capers; simmer 2 minutes; whisk in butter.", "Spoon over salmon; serve with roasted asparagus and parsley."]</t>
        </is>
      </c>
    </row>
    <row r="552" ht="96" customHeight="1">
      <c r="A552" s="2" t="inlineStr">
        <is>
          <t>DB-0551</t>
        </is>
      </c>
      <c r="B552" s="3" t="inlineStr">
        <is>
          <t>Shrimp &amp; Avocado Cucumber Rolls</t>
        </is>
      </c>
      <c r="C552" s="4" t="inlineStr">
        <is>
          <t>Seafood</t>
        </is>
      </c>
      <c r="D552" s="4" t="inlineStr">
        <is>
          <t>Japanese</t>
        </is>
      </c>
      <c r="E552" s="2" t="n">
        <v>2</v>
      </c>
      <c r="F552" s="2" t="n">
        <v>15</v>
      </c>
      <c r="G552" s="2" t="n">
        <v>4</v>
      </c>
      <c r="H552" s="2" t="n">
        <v>19</v>
      </c>
      <c r="I552" s="4" t="inlineStr">
        <is>
          <t>shrimp-and-avocado-cucumber-rolls.jpg</t>
        </is>
      </c>
      <c r="J552" s="3" t="inlineStr">
        <is>
          <t>Shrimp &amp; Avocado Cucumber Rolls, healthy food photography, plated, natural light</t>
        </is>
      </c>
      <c r="K552" s="4" t="inlineStr"/>
      <c r="L552" s="3" t="inlineStr">
        <is>
          <t>Shrimp, peeled — 250 g (8.8 oz)
Cucumber — 300 g (10.6 oz) [2 large, peeled into ribbons]
Avocado — 80 g (2.8 oz)
Cream cheese — 30 g (1.1 oz)
Tamari (gluten-free soy sauce) — 10 g (0.4 oz)
Sesame seeds — 4 g (0.1 oz)
Fresh chives — 4 g (0.1 oz)</t>
        </is>
      </c>
      <c r="M552" s="4" t="inlineStr">
        <is>
          <t>[{"ingredient_id": "shrimp", "name": "Shrimp, peeled", "grams": 250.0, "note": ""}, {"ingredient_id": "cucumber", "name": "Cucumber", "grams": 300.0, "note": "2 large, peeled into ribbons"}, {"ingredient_id": "avocado", "name": "Avocado", "grams": 80.0, "note": ""}, {"ingredient_id": "cream_cheese", "name": "Cream cheese", "grams": 30.0, "note": ""}, {"ingredient_id": "tamari", "name": "Tamari (gluten-free soy sauce)", "grams": 10.0, "note": ""}, {"ingredient_id": "sesame_seeds", "name": "Sesame seeds", "grams": 4.0, "note": ""}, {"ingredient_id": "chives", "name": "Fresh chives", "grams": 4.0, "note": ""}]</t>
        </is>
      </c>
      <c r="N552" s="2" t="n">
        <v>259</v>
      </c>
      <c r="O552" s="5" t="n">
        <v>28.7</v>
      </c>
      <c r="P552" s="5" t="n">
        <v>12.9</v>
      </c>
      <c r="Q552" s="5" t="n">
        <v>10.2</v>
      </c>
      <c r="R552" s="5" t="n">
        <v>3.8</v>
      </c>
      <c r="S552" s="5" t="n">
        <v>6.4</v>
      </c>
      <c r="T552" s="2" t="n">
        <v>14</v>
      </c>
      <c r="U552" s="2" t="inlineStr">
        <is>
          <t>low</t>
        </is>
      </c>
      <c r="V552" s="5" t="n">
        <v>0.9</v>
      </c>
      <c r="W552" s="2" t="inlineStr">
        <is>
          <t>low</t>
        </is>
      </c>
      <c r="X552" s="3" t="inlineStr"/>
      <c r="Y552" s="3" t="inlineStr">
        <is>
          <t>0% of this dish's available carbohydrate comes from ingredients with a published, measured GI; the rest uses conventional placeholders (see Ingredients sheet)</t>
        </is>
      </c>
      <c r="Z552" s="2" t="n">
        <v>0</v>
      </c>
      <c r="AA552" s="3" t="inlineStr">
        <is>
          <t>pescatarian, gluten-free, nut-free, low-carb, high-protein, quick</t>
        </is>
      </c>
      <c r="AB552" s="3" t="inlineStr">
        <is>
          <t>1. Sauté shrimp 3 minutes; chop.
2. Lay cucumber ribbons overlapping; spread cream cheese; add shrimp and avocado.
3. Roll tightly; slice; sprinkle sesame and chives; serve with tamari.</t>
        </is>
      </c>
      <c r="AC552" s="4" t="inlineStr">
        <is>
          <t>["Sauté shrimp 3 minutes; chop.", "Lay cucumber ribbons overlapping; spread cream cheese; add shrimp and avocado.", "Roll tightly; slice; sprinkle sesame and chives; serve with tamari."]</t>
        </is>
      </c>
    </row>
    <row r="553" ht="96" customHeight="1">
      <c r="A553" s="2" t="inlineStr">
        <is>
          <t>DB-0552</t>
        </is>
      </c>
      <c r="B553" s="3" t="inlineStr">
        <is>
          <t>Swordfish Steaks with Salsa Verde</t>
        </is>
      </c>
      <c r="C553" s="4" t="inlineStr">
        <is>
          <t>Seafood</t>
        </is>
      </c>
      <c r="D553" s="4" t="inlineStr">
        <is>
          <t>Italian</t>
        </is>
      </c>
      <c r="E553" s="2" t="n">
        <v>4</v>
      </c>
      <c r="F553" s="2" t="n">
        <v>10</v>
      </c>
      <c r="G553" s="2" t="n">
        <v>10</v>
      </c>
      <c r="H553" s="2" t="n">
        <v>20</v>
      </c>
      <c r="I553" s="4" t="inlineStr">
        <is>
          <t>swordfish-steaks-with-salsa-verde.jpg</t>
        </is>
      </c>
      <c r="J553" s="3" t="inlineStr">
        <is>
          <t>Swordfish Steaks with Salsa Verde, healthy food photography, plated, natural light</t>
        </is>
      </c>
      <c r="K553" s="4" t="inlineStr"/>
      <c r="L553" s="3" t="inlineStr">
        <is>
          <t>Swordfish steak — 600 g (21.2 oz)
Fresh parsley — 30 g (1.1 oz)
Capers — 15 g (0.5 oz)
Anchovies, canned — 8 g (0.3 oz)
Garlic — 5 g (0.2 oz)
Lemon (with juice &amp; zest) — 40 g (1.4 oz)
Extra-virgin olive oil — 35 g (1.2 oz)
Dijon mustard — 5 g (0.2 oz)
Arugula — 150 g (5.3 oz)
Salt — 2 g (0.1 oz)</t>
        </is>
      </c>
      <c r="M553" s="4" t="inlineStr">
        <is>
          <t>[{"ingredient_id": "swordfish", "name": "Swordfish steak", "grams": 600.0, "note": ""}, {"ingredient_id": "parsley", "name": "Fresh parsley", "grams": 30.0, "note": ""}, {"ingredient_id": "capers", "name": "Capers", "grams": 15.0, "note": ""}, {"ingredient_id": "anchovies", "name": "Anchovies, canned", "grams": 8.0, "note": ""}, {"ingredient_id": "garlic", "name": "Garlic", "grams": 5.0, "note": ""}, {"ingredient_id": "lemon", "name": "Lemon (with juice &amp; zest)", "grams": 40.0, "note": ""}, {"ingredient_id": "olive_oil", "name": "Extra-virgin olive oil", "grams": 35.0, "note": ""}, {"ingredient_id": "dijon", "name": "Dijon mustard", "grams": 5.0, "note": ""}, {"ingredient_id": "arugula", "name": "Arugula", "grams": 150.0, "note": ""}, {"ingredient_id": "salt", "name": "Salt", "grams": 2.0, "note": ""}]</t>
        </is>
      </c>
      <c r="N553" s="2" t="n">
        <v>282</v>
      </c>
      <c r="O553" s="5" t="n">
        <v>32.1</v>
      </c>
      <c r="P553" s="5" t="n">
        <v>15.4</v>
      </c>
      <c r="Q553" s="5" t="n">
        <v>3.4</v>
      </c>
      <c r="R553" s="5" t="n">
        <v>1.3</v>
      </c>
      <c r="S553" s="5" t="n">
        <v>2.1</v>
      </c>
      <c r="T553" s="2" t="n">
        <v>19</v>
      </c>
      <c r="U553" s="2" t="inlineStr">
        <is>
          <t>low</t>
        </is>
      </c>
      <c r="V553" s="5" t="n">
        <v>0.4</v>
      </c>
      <c r="W553" s="2" t="inlineStr">
        <is>
          <t>low</t>
        </is>
      </c>
      <c r="X553" s="3" t="inlineStr">
        <is>
          <t>Negligible carbohydrate (&lt;5 g net/serving): GI has little practical meaning, glycemic load is what matters.</t>
        </is>
      </c>
      <c r="Y553" s="3" t="inlineStr">
        <is>
          <t>0% of this dish's available carbohydrate comes from ingredients with a published, measured GI; the rest uses conventional placeholders (see Ingredients sheet)</t>
        </is>
      </c>
      <c r="Z553" s="2" t="n">
        <v>0</v>
      </c>
      <c r="AA553" s="3" t="inlineStr">
        <is>
          <t>pescatarian, gluten-free, dairy-free, nut-free, low-carb, high-protein, quick</t>
        </is>
      </c>
      <c r="AB553" s="3" t="inlineStr">
        <is>
          <t>1. Blend parsley, capers, anchovy, garlic, lemon, most of the oil, Dijon into salsa verde.
2. Brush swordfish with remaining oil; grill 4 minutes per side.
3. Serve over arugula with salsa verde.</t>
        </is>
      </c>
      <c r="AC553" s="4" t="inlineStr">
        <is>
          <t>["Blend parsley, capers, anchovy, garlic, lemon, most of the oil, Dijon into salsa verde.", "Brush swordfish with remaining oil; grill 4 minutes per side.", "Serve over arugula with salsa verde."]</t>
        </is>
      </c>
    </row>
    <row r="554" ht="96" customHeight="1">
      <c r="A554" s="2" t="inlineStr">
        <is>
          <t>DB-0553</t>
        </is>
      </c>
      <c r="B554" s="3" t="inlineStr">
        <is>
          <t>Shrimp Zucchini Boats</t>
        </is>
      </c>
      <c r="C554" s="4" t="inlineStr">
        <is>
          <t>Seafood</t>
        </is>
      </c>
      <c r="D554" s="4" t="inlineStr">
        <is>
          <t>Italian</t>
        </is>
      </c>
      <c r="E554" s="2" t="n">
        <v>4</v>
      </c>
      <c r="F554" s="2" t="n">
        <v>15</v>
      </c>
      <c r="G554" s="2" t="n">
        <v>25</v>
      </c>
      <c r="H554" s="2" t="n">
        <v>40</v>
      </c>
      <c r="I554" s="4" t="inlineStr">
        <is>
          <t>shrimp-zucchini-boats.jpg</t>
        </is>
      </c>
      <c r="J554" s="3" t="inlineStr">
        <is>
          <t>Shrimp Zucchini Boats, healthy food photography, plated, natural light</t>
        </is>
      </c>
      <c r="K554" s="4" t="inlineStr"/>
      <c r="L554" s="3" t="inlineStr">
        <is>
          <t>Zucchini — 800 g (28.2 oz)
Shrimp, peeled — 450 g (15.9 oz)
Garlic — 8 g (0.3 oz)
Marinara sauce, no sugar added — 150 g (5.3 oz)
Mozzarella, part-skim — 80 g (2.8 oz)
Parmesan, grated — 20 g (0.7 oz)
Extra-virgin olive oil — 10 g (0.4 oz)
Fresh basil — 6 g (0.2 oz)</t>
        </is>
      </c>
      <c r="M554" s="4" t="inlineStr">
        <is>
          <t>[{"ingredient_id": "zucchini", "name": "Zucchini", "grams": 800.0, "note": ""}, {"ingredient_id": "shrimp", "name": "Shrimp, peeled", "grams": 450.0, "note": ""}, {"ingredient_id": "garlic", "name": "Garlic", "grams": 8.0, "note": ""}, {"ingredient_id": "marinara", "name": "Marinara sauce, no sugar added", "grams": 150.0, "note": ""}, {"ingredient_id": "mozzarella", "name": "Mozzarella, part-skim", "grams": 80.0, "note": ""}, {"ingredient_id": "parmesan", "name": "Parmesan, grated", "grams": 20.0, "note": ""}, {"ingredient_id": "olive_oil", "name": "Extra-virgin olive oil", "grams": 10.0, "note": ""}, {"ingredient_id": "basil", "name": "Fresh basil", "grams": 6.0, "note": ""}]</t>
        </is>
      </c>
      <c r="N554" s="2" t="n">
        <v>244</v>
      </c>
      <c r="O554" s="5" t="n">
        <v>32.3</v>
      </c>
      <c r="P554" s="5" t="n">
        <v>9.300000000000001</v>
      </c>
      <c r="Q554" s="5" t="n">
        <v>9.6</v>
      </c>
      <c r="R554" s="5" t="n">
        <v>2.6</v>
      </c>
      <c r="S554" s="5" t="n">
        <v>6.9</v>
      </c>
      <c r="T554" s="2" t="n">
        <v>18</v>
      </c>
      <c r="U554" s="2" t="inlineStr">
        <is>
          <t>low</t>
        </is>
      </c>
      <c r="V554" s="5" t="n">
        <v>1.3</v>
      </c>
      <c r="W554" s="2" t="inlineStr">
        <is>
          <t>low</t>
        </is>
      </c>
      <c r="X554" s="3" t="inlineStr"/>
      <c r="Y554" s="3" t="inlineStr">
        <is>
          <t>19% of this dish's available carbohydrate comes from ingredients with a published, measured GI; the rest uses conventional placeholders (see Ingredients sheet)</t>
        </is>
      </c>
      <c r="Z554" s="2" t="n">
        <v>19</v>
      </c>
      <c r="AA554" s="3" t="inlineStr">
        <is>
          <t>pescatarian, gluten-free, nut-free, low-carb, high-protein</t>
        </is>
      </c>
      <c r="AB554" s="3" t="inlineStr">
        <is>
          <t>1. Halve zucchini; scoop centers.
2. Sauté chopped shrimp with garlic and zucchini flesh; mix with marinara.
3. Fill boats; top cheeses; bake at 400°F 18 minutes; add basil.</t>
        </is>
      </c>
      <c r="AC554" s="4" t="inlineStr">
        <is>
          <t>["Halve zucchini; scoop centers.", "Sauté chopped shrimp with garlic and zucchini flesh; mix with marinara.", "Fill boats; top cheeses; bake at 400°F 18 minutes; add basil."]</t>
        </is>
      </c>
    </row>
    <row r="555" ht="96" customHeight="1">
      <c r="A555" s="2" t="inlineStr">
        <is>
          <t>DB-0554</t>
        </is>
      </c>
      <c r="B555" s="3" t="inlineStr">
        <is>
          <t>Mackerel with Roasted Beets &amp; Mustard Yogurt</t>
        </is>
      </c>
      <c r="C555" s="4" t="inlineStr">
        <is>
          <t>Seafood</t>
        </is>
      </c>
      <c r="D555" s="4" t="inlineStr">
        <is>
          <t>Scandinavian</t>
        </is>
      </c>
      <c r="E555" s="2" t="n">
        <v>4</v>
      </c>
      <c r="F555" s="2" t="n">
        <v>10</v>
      </c>
      <c r="G555" s="2" t="n">
        <v>45</v>
      </c>
      <c r="H555" s="2" t="n">
        <v>55</v>
      </c>
      <c r="I555" s="4" t="inlineStr">
        <is>
          <t>mackerel-with-roasted-beets-and-mustard-yogurt.jpg</t>
        </is>
      </c>
      <c r="J555" s="3" t="inlineStr">
        <is>
          <t>Mackerel with Roasted Beets &amp; Mustard Yogurt, healthy food photography, plated, natural light</t>
        </is>
      </c>
      <c r="K555" s="4" t="inlineStr"/>
      <c r="L555" s="3" t="inlineStr">
        <is>
          <t>Mackerel fillet — 600 g (21.2 oz)
Beets — 300 g (10.6 oz)
Greek yogurt, plain 2% — 120 g (4.2 oz)
Dijon mustard — 15 g (0.5 oz)
Fresh dill — 8 g (0.3 oz)
Lemon (with juice &amp; zest) — 40 g (1.4 oz)
Extra-virgin olive oil — 15 g (0.5 oz)
Mixed salad greens — 150 g (5.3 oz)
Salt — 3 g (0.1 oz)</t>
        </is>
      </c>
      <c r="M555" s="4" t="inlineStr">
        <is>
          <t>[{"ingredient_id": "mackerel", "name": "Mackerel fillet", "grams": 600.0, "note": ""}, {"ingredient_id": "beet", "name": "Beets", "grams": 300.0, "note": ""}, {"ingredient_id": "greek_yogurt", "name": "Greek yogurt, plain 2%", "grams": 120.0, "note": ""}, {"ingredient_id": "dijon", "name": "Dijon mustard", "grams": 15.0, "note": ""}, {"ingredient_id": "dill", "name": "Fresh dill", "grams": 8.0, "note": ""}, {"ingredient_id": "lemon", "name": "Lemon (with juice &amp; zest)", "grams": 40.0, "note": ""}, {"ingredient_id": "olive_oil", "name": "Extra-virgin olive oil", "grams": 15.0, "note": ""}, {"ingredient_id": "mixed_greens", "name": "Mixed salad greens", "grams": 150.0, "note": ""}, {"ingredient_id": "salt", "name": "Salt", "grams": 3.0, "note": ""}]</t>
        </is>
      </c>
      <c r="N555" s="2" t="n">
        <v>409</v>
      </c>
      <c r="O555" s="5" t="n">
        <v>33.8</v>
      </c>
      <c r="P555" s="5" t="n">
        <v>25.8</v>
      </c>
      <c r="Q555" s="5" t="n">
        <v>11</v>
      </c>
      <c r="R555" s="5" t="n">
        <v>3.3</v>
      </c>
      <c r="S555" s="5" t="n">
        <v>7.7</v>
      </c>
      <c r="T555" s="2" t="n">
        <v>47</v>
      </c>
      <c r="U555" s="2" t="inlineStr">
        <is>
          <t>low</t>
        </is>
      </c>
      <c r="V555" s="5" t="n">
        <v>3.6</v>
      </c>
      <c r="W555" s="2" t="inlineStr">
        <is>
          <t>low</t>
        </is>
      </c>
      <c r="X555" s="3" t="inlineStr"/>
      <c r="Y555" s="3" t="inlineStr">
        <is>
          <t>82% of this dish's available carbohydrate comes from ingredients with a published, measured GI; the rest uses conventional placeholders (see Ingredients sheet)</t>
        </is>
      </c>
      <c r="Z555" s="2" t="n">
        <v>82</v>
      </c>
      <c r="AA555" s="3" t="inlineStr">
        <is>
          <t>pescatarian, gluten-free, nut-free, low-carb, high-protein, omega-3</t>
        </is>
      </c>
      <c r="AB555" s="3" t="inlineStr">
        <is>
          <t>1. Roast beets wrapped in foil 40 minutes; peel and slice.
2. Broil mackerel with oil and salt 8 minutes.
3. Mix yogurt, Dijon, dill, lemon; serve fish with beets, greens and sauce.</t>
        </is>
      </c>
      <c r="AC555" s="4" t="inlineStr">
        <is>
          <t>["Roast beets wrapped in foil 40 minutes; peel and slice.", "Broil mackerel with oil and salt 8 minutes.", "Mix yogurt, Dijon, dill, lemon; serve fish with beets, greens and sauce."]</t>
        </is>
      </c>
    </row>
    <row r="556" ht="96" customHeight="1">
      <c r="A556" s="2" t="inlineStr">
        <is>
          <t>DB-0555</t>
        </is>
      </c>
      <c r="B556" s="3" t="inlineStr">
        <is>
          <t>Clams with Garlic, White Wine &amp; Zoodles</t>
        </is>
      </c>
      <c r="C556" s="4" t="inlineStr">
        <is>
          <t>Seafood</t>
        </is>
      </c>
      <c r="D556" s="4" t="inlineStr">
        <is>
          <t>Italian</t>
        </is>
      </c>
      <c r="E556" s="2" t="n">
        <v>4</v>
      </c>
      <c r="F556" s="2" t="n">
        <v>10</v>
      </c>
      <c r="G556" s="2" t="n">
        <v>12</v>
      </c>
      <c r="H556" s="2" t="n">
        <v>22</v>
      </c>
      <c r="I556" s="4" t="inlineStr">
        <is>
          <t>clams-with-garlic-white-wine-and-zoodles.jpg</t>
        </is>
      </c>
      <c r="J556" s="3" t="inlineStr">
        <is>
          <t>Clams with Garlic, White Wine &amp; Zoodles, healthy food photography, plated, natural light</t>
        </is>
      </c>
      <c r="K556" s="4" t="inlineStr"/>
      <c r="L556" s="3" t="inlineStr">
        <is>
          <t>Clams — 1200 g (42.3 oz)
Zucchini noodles (zoodles) — 600 g (21.2 oz)
Garlic — 12 g (0.4 oz)
Dry white wine (cooking) — 120 g (4.2 oz)
Extra-virgin olive oil — 20 g (0.7 oz)
Red pepper flakes — 1 g (0.0 oz)
Fresh parsley — 10 g (0.4 oz)
Lemon (with juice &amp; zest) — 30 g (1.1 oz)</t>
        </is>
      </c>
      <c r="M556" s="4" t="inlineStr">
        <is>
          <t>[{"ingredient_id": "clams", "name": "Clams", "grams": 1200.0, "note": ""}, {"ingredient_id": "zucchini_noodles", "name": "Zucchini noodles (zoodles)", "grams": 600.0, "note": ""}, {"ingredient_id": "garlic", "name": "Garlic", "grams": 12.0, "note": ""}, {"ingredient_id": "white_wine", "name": "Dry white wine (cooking)", "grams": 120.0, "note": ""}, {"ingredient_id": "olive_oil", "name": "Extra-virgin olive oil", "grams": 20.0, "note": ""}, {"ingredient_id": "red_pepper_flakes", "name": "Red pepper flakes", "grams": 1.0, "note": ""}, {"ingredient_id": "parsley", "name": "Fresh parsley", "grams": 10.0, "note": ""}, {"ingredient_id": "lemon", "name": "Lemon (with juice &amp; zest)", "grams": 30.0, "note": ""}]</t>
        </is>
      </c>
      <c r="N556" s="2" t="n">
        <v>361</v>
      </c>
      <c r="O556" s="5" t="n">
        <v>47.2</v>
      </c>
      <c r="P556" s="5" t="n">
        <v>8.6</v>
      </c>
      <c r="Q556" s="5" t="n">
        <v>18.2</v>
      </c>
      <c r="R556" s="5" t="n">
        <v>1.9</v>
      </c>
      <c r="S556" s="5" t="n">
        <v>16.3</v>
      </c>
      <c r="T556" s="2" t="n">
        <v>5</v>
      </c>
      <c r="U556" s="2" t="inlineStr">
        <is>
          <t>low</t>
        </is>
      </c>
      <c r="V556" s="5" t="n">
        <v>0.8</v>
      </c>
      <c r="W556" s="2" t="inlineStr">
        <is>
          <t>low</t>
        </is>
      </c>
      <c r="X556" s="3" t="inlineStr"/>
      <c r="Y556" s="3" t="inlineStr">
        <is>
          <t>0% of this dish's available carbohydrate comes from ingredients with a published, measured GI; the rest uses conventional placeholders (see Ingredients sheet)</t>
        </is>
      </c>
      <c r="Z556" s="2" t="n">
        <v>0</v>
      </c>
      <c r="AA556" s="3" t="inlineStr">
        <is>
          <t>pescatarian, gluten-free, dairy-free, nut-free, high-protein, quick</t>
        </is>
      </c>
      <c r="AB556" s="3" t="inlineStr">
        <is>
          <t>1. Sauté garlic in oil; add wine and clams; cover 5 minutes until open.
2. Add zoodles; toss 2 minutes.
3. Finish with parsley, lemon, pepper flakes.</t>
        </is>
      </c>
      <c r="AC556" s="4" t="inlineStr">
        <is>
          <t>["Sauté garlic in oil; add wine and clams; cover 5 minutes until open.", "Add zoodles; toss 2 minutes.", "Finish with parsley, lemon, pepper flakes."]</t>
        </is>
      </c>
    </row>
    <row r="557" ht="96" customHeight="1">
      <c r="A557" s="2" t="inlineStr">
        <is>
          <t>DB-0556</t>
        </is>
      </c>
      <c r="B557" s="3" t="inlineStr">
        <is>
          <t>Shrimp Cobb Lettuce Wraps</t>
        </is>
      </c>
      <c r="C557" s="4" t="inlineStr">
        <is>
          <t>Seafood</t>
        </is>
      </c>
      <c r="D557" s="4" t="inlineStr">
        <is>
          <t>American</t>
        </is>
      </c>
      <c r="E557" s="2" t="n">
        <v>4</v>
      </c>
      <c r="F557" s="2" t="n">
        <v>15</v>
      </c>
      <c r="G557" s="2" t="n">
        <v>8</v>
      </c>
      <c r="H557" s="2" t="n">
        <v>23</v>
      </c>
      <c r="I557" s="4" t="inlineStr">
        <is>
          <t>shrimp-cobb-lettuce-wraps.jpg</t>
        </is>
      </c>
      <c r="J557" s="3" t="inlineStr">
        <is>
          <t>Shrimp Cobb Lettuce Wraps, healthy food photography, plated, natural light</t>
        </is>
      </c>
      <c r="K557" s="4" t="inlineStr"/>
      <c r="L557" s="3" t="inlineStr">
        <is>
          <t>Shrimp, peeled — 500 g (17.6 oz)
Egg, large (50 g each) — 100 g (3.5 oz)
Turkey bacon — 60 g (2.1 oz)
Avocado — 120 g (4.2 oz)
Tomato — 150 g (5.3 oz)
Blue cheese, crumbled — 40 g (1.4 oz)
Butter lettuce — 200 g (7.1 oz)
Greek yogurt, plain 2% — 60 g (2.1 oz)
Lemon juice — 10 g (0.4 oz)
Extra-virgin olive oil — 8 g (0.3 oz)</t>
        </is>
      </c>
      <c r="M557" s="4" t="inlineStr">
        <is>
          <t>[{"ingredient_id": "shrimp", "name": "Shrimp, peeled", "grams": 500.0, "note": ""}, {"ingredient_id": "egg", "name": "Egg, large (50 g each)", "grams": 100.0, "note": ""}, {"ingredient_id": "turkey_bacon", "name": "Turkey bacon", "grams": 60.0, "note": ""}, {"ingredient_id": "avocado", "name": "Avocado", "grams": 120.0, "note": ""}, {"ingredient_id": "tomato", "name": "Tomato", "grams": 150.0, "note": ""}, {"ingredient_id": "blue_cheese", "name": "Blue cheese, crumbled", "grams": 40.0, "note": ""}, {"ingredient_id": "butter_lettuce", "name": "Butter lettuce", "grams": 200.0, "note": ""}, {"ingredient_id": "greek_yogurt", "name": "Greek yogurt, plain 2%", "grams": 60.0, "note": ""}, {"ingredient_id": "lemon_juice", "name": "Lemon juice", "grams": 10.0, "note": ""}, {"ingredient_id": "olive_oil", "name": "Extra-virgin olive oil", "grams": 8.0, "note": ""}]</t>
        </is>
      </c>
      <c r="N557" s="2" t="n">
        <v>300</v>
      </c>
      <c r="O557" s="5" t="n">
        <v>36.1</v>
      </c>
      <c r="P557" s="5" t="n">
        <v>15.1</v>
      </c>
      <c r="Q557" s="5" t="n">
        <v>6.6</v>
      </c>
      <c r="R557" s="5" t="n">
        <v>3</v>
      </c>
      <c r="S557" s="5" t="n">
        <v>3.6</v>
      </c>
      <c r="T557" s="2" t="n">
        <v>12</v>
      </c>
      <c r="U557" s="2" t="inlineStr">
        <is>
          <t>low</t>
        </is>
      </c>
      <c r="V557" s="5" t="n">
        <v>0.4</v>
      </c>
      <c r="W557" s="2" t="inlineStr">
        <is>
          <t>low</t>
        </is>
      </c>
      <c r="X557" s="3" t="inlineStr">
        <is>
          <t>Negligible carbohydrate (&lt;5 g net/serving): GI has little practical meaning, glycemic load is what matters.</t>
        </is>
      </c>
      <c r="Y557" s="3" t="inlineStr">
        <is>
          <t>17% of this dish's available carbohydrate comes from ingredients with a published, measured GI; the rest uses conventional placeholders (see Ingredients sheet)</t>
        </is>
      </c>
      <c r="Z557" s="2" t="n">
        <v>17</v>
      </c>
      <c r="AA557" s="3" t="inlineStr">
        <is>
          <t>gluten-free, nut-free, low-carb, high-protein</t>
        </is>
      </c>
      <c r="AB557" s="3" t="inlineStr">
        <is>
          <t>1. Sauté shrimp; crisp bacon; boil eggs.
2. Mix yogurt, blue cheese, lemon.
3. Fill lettuce with shrimp, egg, bacon, avocado, tomato; drizzle.</t>
        </is>
      </c>
      <c r="AC557" s="4" t="inlineStr">
        <is>
          <t>["Sauté shrimp; crisp bacon; boil eggs.", "Mix yogurt, blue cheese, lemon.", "Fill lettuce with shrimp, egg, bacon, avocado, tomato; drizzle."]</t>
        </is>
      </c>
    </row>
    <row r="558" ht="96" customHeight="1">
      <c r="A558" s="2" t="inlineStr">
        <is>
          <t>DB-0557</t>
        </is>
      </c>
      <c r="B558" s="3" t="inlineStr">
        <is>
          <t>Salmon Stir-Fry with Ginger &amp; Green Beans</t>
        </is>
      </c>
      <c r="C558" s="4" t="inlineStr">
        <is>
          <t>Seafood</t>
        </is>
      </c>
      <c r="D558" s="4" t="inlineStr">
        <is>
          <t>Asian</t>
        </is>
      </c>
      <c r="E558" s="2" t="n">
        <v>4</v>
      </c>
      <c r="F558" s="2" t="n">
        <v>10</v>
      </c>
      <c r="G558" s="2" t="n">
        <v>10</v>
      </c>
      <c r="H558" s="2" t="n">
        <v>20</v>
      </c>
      <c r="I558" s="4" t="inlineStr">
        <is>
          <t>salmon-stir-fry-with-ginger-and-green-beans.jpg</t>
        </is>
      </c>
      <c r="J558" s="3" t="inlineStr">
        <is>
          <t>Salmon Stir-Fry with Ginger &amp; Green Beans, healthy food photography, plated, natural light</t>
        </is>
      </c>
      <c r="K558" s="4" t="inlineStr"/>
      <c r="L558" s="3" t="inlineStr">
        <is>
          <t>Salmon fillet — 600 g (21.2 oz) [cubed]
Green beans — 400 g (14.1 oz)
Bell pepper — 150 g (5.3 oz)
Fresh ginger — 10 g (0.4 oz)
Garlic — 8 g (0.3 oz)
Tamari (gluten-free soy sauce) — 30 g (1.1 oz)
Rice vinegar, unseasoned — 10 g (0.4 oz)
Toasted sesame oil — 8 g (0.3 oz)
Avocado oil — 12 g (0.4 oz)
Sesame seeds — 6 g (0.2 oz)</t>
        </is>
      </c>
      <c r="M558" s="4" t="inlineStr">
        <is>
          <t>[{"ingredient_id": "salmon", "name": "Salmon fillet", "grams": 600.0, "note": "cubed"}, {"ingredient_id": "green_beans", "name": "Green beans", "grams": 400.0, "note": ""}, {"ingredient_id": "bell_pepper", "name": "Bell pepper", "grams": 150.0, "note": ""}, {"ingredient_id": "ginger", "name": "Fresh ginger", "grams": 10.0, "note": ""}, {"ingredient_id": "garlic", "name": "Garlic", "grams": 8.0, "note": ""}, {"ingredient_id": "tamari", "name": "Tamari (gluten-free soy sauce)", "grams": 30.0, "note": ""}, {"ingredient_id": "rice_vinegar", "name": "Rice vinegar, unseasoned", "grams": 10.0, "note": ""}, {"ingredient_id": "sesame_oil", "name": "Toasted sesame oil", "grams": 8.0, "note": ""}, {"ingredient_id": "avocado_oil", "name": "Avocado oil", "grams": 12.0, "note": ""}, {"ingredient_id": "sesame_seeds", "name": "Sesame seeds", "grams": 6.0, "note": ""}]</t>
        </is>
      </c>
      <c r="N558" s="2" t="n">
        <v>417</v>
      </c>
      <c r="O558" s="5" t="n">
        <v>33.4</v>
      </c>
      <c r="P558" s="5" t="n">
        <v>25.6</v>
      </c>
      <c r="Q558" s="5" t="n">
        <v>11.1</v>
      </c>
      <c r="R558" s="5" t="n">
        <v>3.8</v>
      </c>
      <c r="S558" s="5" t="n">
        <v>7.3</v>
      </c>
      <c r="T558" s="2" t="n">
        <v>17</v>
      </c>
      <c r="U558" s="2" t="inlineStr">
        <is>
          <t>low</t>
        </is>
      </c>
      <c r="V558" s="5" t="n">
        <v>1.2</v>
      </c>
      <c r="W558" s="2" t="inlineStr">
        <is>
          <t>low</t>
        </is>
      </c>
      <c r="X558" s="3" t="inlineStr"/>
      <c r="Y558" s="3" t="inlineStr">
        <is>
          <t>0% of this dish's available carbohydrate comes from ingredients with a published, measured GI; the rest uses conventional placeholders (see Ingredients sheet)</t>
        </is>
      </c>
      <c r="Z558" s="2" t="n">
        <v>0</v>
      </c>
      <c r="AA558" s="3" t="inlineStr">
        <is>
          <t>pescatarian, gluten-free, dairy-free, nut-free, low-carb, high-protein, omega-3, quick</t>
        </is>
      </c>
      <c r="AB558" s="3" t="inlineStr">
        <is>
          <t>1. Sear salmon cubes in oil 3 minutes; remove.
2. Stir-fry green beans, pepper, ginger, garlic 4 minutes.
3. Return salmon with tamari, vinegar, sesame oil; top sesame.</t>
        </is>
      </c>
      <c r="AC558" s="4" t="inlineStr">
        <is>
          <t>["Sear salmon cubes in oil 3 minutes; remove.", "Stir-fry green beans, pepper, ginger, garlic 4 minutes.", "Return salmon with tamari, vinegar, sesame oil; top sesame."]</t>
        </is>
      </c>
    </row>
    <row r="559" ht="96" customHeight="1">
      <c r="A559" s="2" t="inlineStr">
        <is>
          <t>DB-0558</t>
        </is>
      </c>
      <c r="B559" s="3" t="inlineStr">
        <is>
          <t>Fish Curry (Coconut, Kerala-Style)</t>
        </is>
      </c>
      <c r="C559" s="4" t="inlineStr">
        <is>
          <t>Seafood</t>
        </is>
      </c>
      <c r="D559" s="4" t="inlineStr">
        <is>
          <t>Indian</t>
        </is>
      </c>
      <c r="E559" s="2" t="n">
        <v>4</v>
      </c>
      <c r="F559" s="2" t="n">
        <v>10</v>
      </c>
      <c r="G559" s="2" t="n">
        <v>20</v>
      </c>
      <c r="H559" s="2" t="n">
        <v>30</v>
      </c>
      <c r="I559" s="4" t="inlineStr">
        <is>
          <t>fish-curry-coconut-kerala-style.jpg</t>
        </is>
      </c>
      <c r="J559" s="3" t="inlineStr">
        <is>
          <t>Fish Curry (Coconut, Kerala-Style), healthy food photography, plated, natural light</t>
        </is>
      </c>
      <c r="K559" s="4" t="inlineStr"/>
      <c r="L559" s="3" t="inlineStr">
        <is>
          <t>Cod fillet — 600 g (21.2 oz)
Coconut milk, canned light — 400 g (14.1 oz)
Yellow onion — 100 g (3.5 oz)
Garlic — 8 g (0.3 oz)
Fresh ginger — 10 g (0.4 oz)
Ground turmeric — 3 g (0.1 oz)
Curry powder — 8 g (0.3 oz)
Mustard seeds — 3 g (0.1 oz)
Diced tomatoes, canned — 300 g (10.6 oz)
Spinach — 150 g (5.3 oz)
Extra-virgin olive oil — 12 g (0.4 oz)
Lime juice — 15 g (0.5 oz)
Fresh cilantro — 8 g (0.3 oz)
Salt — 3 g (0.1 oz)</t>
        </is>
      </c>
      <c r="M559" s="4" t="inlineStr">
        <is>
          <t>[{"ingredient_id": "cod", "name": "Cod fillet", "grams": 600.0, "note": ""}, {"ingredient_id": "coconut_milk_light", "name": "Coconut milk, canned light", "grams": 400.0, "note": ""}, {"ingredient_id": "onion", "name": "Yellow onion", "grams": 100.0, "note": ""}, {"ingredient_id": "garlic", "name": "Garlic", "grams": 8.0, "note": ""}, {"ingredient_id": "ginger", "name": "Fresh ginger", "grams": 10.0, "note": ""}, {"ingredient_id": "turmeric", "name": "Ground turmeric", "grams": 3.0, "note": ""}, {"ingredient_id": "curry_powder", "name": "Curry powder", "grams": 8.0, "note": ""}, {"ingredient_id": "mustard_seed", "name": "Mustard seeds", "grams": 3.0, "note": ""}, {"ingredient_id": "diced_tomatoes", "name": "Diced tomatoes, canned", "grams": 300.0, "note": ""}, {"ingredient_id": "spinach", "name": "Spinach", "grams": 150.0, "note": ""}, {"ingredient_id": "olive_oil", "name": "Extra-virgin olive oil", "grams": 12.0, "note": ""}, {"ingredient_id": "lime_juice", "name": "Lime juice", "grams": 15.0, "note": ""}, {"ingredient_id": "cilantro", "name": "Fresh cilantro", "grams": 8.0, "note": ""}, {"ingredient_id": "salt", "name": "Salt", "grams": 3.0, "note": ""}]</t>
        </is>
      </c>
      <c r="N559" s="2" t="n">
        <v>273</v>
      </c>
      <c r="O559" s="5" t="n">
        <v>30.7</v>
      </c>
      <c r="P559" s="5" t="n">
        <v>11</v>
      </c>
      <c r="Q559" s="5" t="n">
        <v>13.3</v>
      </c>
      <c r="R559" s="5" t="n">
        <v>3.9</v>
      </c>
      <c r="S559" s="5" t="n">
        <v>9.4</v>
      </c>
      <c r="T559" s="2" t="n">
        <v>27</v>
      </c>
      <c r="U559" s="2" t="inlineStr">
        <is>
          <t>low</t>
        </is>
      </c>
      <c r="V559" s="5" t="n">
        <v>2.5</v>
      </c>
      <c r="W559" s="2" t="inlineStr">
        <is>
          <t>low</t>
        </is>
      </c>
      <c r="X559" s="3" t="inlineStr"/>
      <c r="Y559" s="3" t="inlineStr">
        <is>
          <t>0% of this dish's available carbohydrate comes from ingredients with a published, measured GI; the rest uses conventional placeholders (see Ingredients sheet)</t>
        </is>
      </c>
      <c r="Z559" s="2" t="n">
        <v>0</v>
      </c>
      <c r="AA559" s="3" t="inlineStr">
        <is>
          <t>pescatarian, gluten-free, dairy-free, nut-free, low-carb, high-protein</t>
        </is>
      </c>
      <c r="AB559" s="3" t="inlineStr">
        <is>
          <t>1. Sizzle mustard seeds in oil; add onion, garlic, ginger, spices.
2. Add tomatoes and coconut milk; simmer 8 minutes.
3. Add cod and spinach; cook 6 minutes; finish with lime, cilantro.</t>
        </is>
      </c>
      <c r="AC559" s="4" t="inlineStr">
        <is>
          <t>["Sizzle mustard seeds in oil; add onion, garlic, ginger, spices.", "Add tomatoes and coconut milk; simmer 8 minutes.", "Add cod and spinach; cook 6 minutes; finish with lime, cilantro."]</t>
        </is>
      </c>
    </row>
    <row r="560" ht="96" customHeight="1">
      <c r="A560" s="2" t="inlineStr">
        <is>
          <t>DB-0559</t>
        </is>
      </c>
      <c r="B560" s="3" t="inlineStr">
        <is>
          <t>Grilled Shrimp Skewers with Chimichurri</t>
        </is>
      </c>
      <c r="C560" s="4" t="inlineStr">
        <is>
          <t>Seafood</t>
        </is>
      </c>
      <c r="D560" s="4" t="inlineStr">
        <is>
          <t>Argentinian</t>
        </is>
      </c>
      <c r="E560" s="2" t="n">
        <v>4</v>
      </c>
      <c r="F560" s="2" t="n">
        <v>15</v>
      </c>
      <c r="G560" s="2" t="n">
        <v>6</v>
      </c>
      <c r="H560" s="2" t="n">
        <v>21</v>
      </c>
      <c r="I560" s="4" t="inlineStr">
        <is>
          <t>grilled-shrimp-skewers-with-chimichurri.jpg</t>
        </is>
      </c>
      <c r="J560" s="3" t="inlineStr">
        <is>
          <t>Grilled Shrimp Skewers with Chimichurri, healthy food photography, plated, natural light</t>
        </is>
      </c>
      <c r="K560" s="4" t="inlineStr"/>
      <c r="L560" s="3" t="inlineStr">
        <is>
          <t>Shrimp, peeled — 600 g (21.2 oz)
Fresh parsley — 30 g (1.1 oz)
Fresh cilantro — 10 g (0.4 oz)
Garlic — 8 g (0.3 oz)
Red wine vinegar — 15 g (0.5 oz)
Extra-virgin olive oil — 40 g (1.4 oz)
Dried oregano — 2 g (0.1 oz)
Red pepper flakes — 1 g (0.0 oz)
Zucchini — 300 g (10.6 oz)
Salt — 3 g (0.1 oz)</t>
        </is>
      </c>
      <c r="M560" s="4" t="inlineStr">
        <is>
          <t>[{"ingredient_id": "shrimp", "name": "Shrimp, peeled", "grams": 600.0,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40.0, "note": ""}, {"ingredient_id": "oregano", "name": "Dried oregano", "grams": 2.0, "note": ""}, {"ingredient_id": "red_pepper_flakes", "name": "Red pepper flakes", "grams": 1.0, "note": ""}, {"ingredient_id": "zucchini", "name": "Zucchini", "grams": 300.0, "note": ""}, {"ingredient_id": "salt", "name": "Salt", "grams": 3.0, "note": ""}]</t>
        </is>
      </c>
      <c r="N560" s="2" t="n">
        <v>238</v>
      </c>
      <c r="O560" s="5" t="n">
        <v>31.4</v>
      </c>
      <c r="P560" s="5" t="n">
        <v>11.1</v>
      </c>
      <c r="Q560" s="5" t="n">
        <v>4</v>
      </c>
      <c r="R560" s="5" t="n">
        <v>1.4</v>
      </c>
      <c r="S560" s="5" t="n">
        <v>2.7</v>
      </c>
      <c r="T560" s="2" t="n">
        <v>18</v>
      </c>
      <c r="U560" s="2" t="inlineStr">
        <is>
          <t>low</t>
        </is>
      </c>
      <c r="V560" s="5" t="n">
        <v>0.5</v>
      </c>
      <c r="W560" s="2" t="inlineStr">
        <is>
          <t>low</t>
        </is>
      </c>
      <c r="X560" s="3" t="inlineStr">
        <is>
          <t>Negligible carbohydrate (&lt;5 g net/serving): GI has little practical meaning, glycemic load is what matters.</t>
        </is>
      </c>
      <c r="Y560" s="3" t="inlineStr">
        <is>
          <t>0% of this dish's available carbohydrate comes from ingredients with a published, measured GI; the rest uses conventional placeholders (see Ingredients sheet)</t>
        </is>
      </c>
      <c r="Z560" s="2" t="n">
        <v>0</v>
      </c>
      <c r="AA560" s="3" t="inlineStr">
        <is>
          <t>pescatarian, gluten-free, dairy-free, nut-free, low-carb, high-protein, quick</t>
        </is>
      </c>
      <c r="AB560" s="3" t="inlineStr">
        <is>
          <t>1. Skewer shrimp and zucchini chunks; brush with a third of the oil; grill 3 minutes per side.
2. Blend remaining oil, herbs, garlic, vinegar, oregano, pepper flakes.
3. Spoon chimichurri over skewers.</t>
        </is>
      </c>
      <c r="AC560" s="4" t="inlineStr">
        <is>
          <t>["Skewer shrimp and zucchini chunks; brush with a third of the oil; grill 3 minutes per side.", "Blend remaining oil, herbs, garlic, vinegar, oregano, pepper flakes.", "Spoon chimichurri over skewers."]</t>
        </is>
      </c>
    </row>
    <row r="561" ht="96" customHeight="1">
      <c r="A561" s="2" t="inlineStr">
        <is>
          <t>DB-0560</t>
        </is>
      </c>
      <c r="B561" s="3" t="inlineStr">
        <is>
          <t>Tuna Melt Stuffed Peppers</t>
        </is>
      </c>
      <c r="C561" s="4" t="inlineStr">
        <is>
          <t>Seafood</t>
        </is>
      </c>
      <c r="D561" s="4" t="inlineStr">
        <is>
          <t>American</t>
        </is>
      </c>
      <c r="E561" s="2" t="n">
        <v>2</v>
      </c>
      <c r="F561" s="2" t="n">
        <v>10</v>
      </c>
      <c r="G561" s="2" t="n">
        <v>15</v>
      </c>
      <c r="H561" s="2" t="n">
        <v>25</v>
      </c>
      <c r="I561" s="4" t="inlineStr">
        <is>
          <t>tuna-melt-stuffed-peppers.jpg</t>
        </is>
      </c>
      <c r="J561" s="3" t="inlineStr">
        <is>
          <t>Tuna Melt Stuffed Peppers, healthy food photography, plated, natural light</t>
        </is>
      </c>
      <c r="K561" s="4" t="inlineStr"/>
      <c r="L561" s="3" t="inlineStr">
        <is>
          <t>Tuna, canned in water — 170 g (6.0 oz)
Bell pepper — 300 g (10.6 oz) [2 peppers]
Greek yogurt, plain 2% — 40 g (1.4 oz)
Dijon mustard — 8 g (0.3 oz)
Celery — 40 g (1.4 oz)
Cheddar cheese — 40 g (1.4 oz)
Green onions (scallions) — 10 g (0.4 oz)</t>
        </is>
      </c>
      <c r="M561" s="4" t="inlineStr">
        <is>
          <t>[{"ingredient_id": "tuna_canned", "name": "Tuna, canned in water", "grams": 170.0, "note": ""}, {"ingredient_id": "bell_pepper", "name": "Bell pepper", "grams": 300.0, "note": "2 peppers"}, {"ingredient_id": "greek_yogurt", "name": "Greek yogurt, plain 2%", "grams": 40.0, "note": ""}, {"ingredient_id": "dijon", "name": "Dijon mustard", "grams": 8.0, "note": ""}, {"ingredient_id": "celery", "name": "Celery", "grams": 40.0, "note": ""}, {"ingredient_id": "cheddar", "name": "Cheddar cheese", "grams": 40.0, "note": ""}, {"ingredient_id": "green_onion", "name": "Green onions (scallions)", "grams": 10.0, "note": ""}]</t>
        </is>
      </c>
      <c r="N561" s="2" t="n">
        <v>248</v>
      </c>
      <c r="O561" s="5" t="n">
        <v>30.6</v>
      </c>
      <c r="P561" s="5" t="n">
        <v>8.5</v>
      </c>
      <c r="Q561" s="5" t="n">
        <v>11.2</v>
      </c>
      <c r="R561" s="5" t="n">
        <v>3.7</v>
      </c>
      <c r="S561" s="5" t="n">
        <v>7.5</v>
      </c>
      <c r="T561" s="2" t="n">
        <v>14</v>
      </c>
      <c r="U561" s="2" t="inlineStr">
        <is>
          <t>low</t>
        </is>
      </c>
      <c r="V561" s="5" t="n">
        <v>1.1</v>
      </c>
      <c r="W561" s="2" t="inlineStr">
        <is>
          <t>low</t>
        </is>
      </c>
      <c r="X561" s="3" t="inlineStr"/>
      <c r="Y561" s="3" t="inlineStr">
        <is>
          <t>11% of this dish's available carbohydrate comes from ingredients with a published, measured GI; the rest uses conventional placeholders (see Ingredients sheet)</t>
        </is>
      </c>
      <c r="Z561" s="2" t="n">
        <v>11</v>
      </c>
      <c r="AA561" s="3" t="inlineStr">
        <is>
          <t>pescatarian, gluten-free, nut-free, low-carb, high-protein, quick</t>
        </is>
      </c>
      <c r="AB561" s="3" t="inlineStr">
        <is>
          <t>1. Halve and seed peppers.
2. Mix tuna, yogurt, Dijon, celery, green onion; fill peppers.
3. Top with cheddar; bake at 400°F 12 minutes.</t>
        </is>
      </c>
      <c r="AC561" s="4" t="inlineStr">
        <is>
          <t>["Halve and seed peppers.", "Mix tuna, yogurt, Dijon, celery, green onion; fill peppers.", "Top with cheddar; bake at 400°F 12 minutes."]</t>
        </is>
      </c>
    </row>
    <row r="562" ht="96" customHeight="1">
      <c r="A562" s="2" t="inlineStr">
        <is>
          <t>DB-0561</t>
        </is>
      </c>
      <c r="B562" s="3" t="inlineStr">
        <is>
          <t>Salmon Kale Caesar Wrap</t>
        </is>
      </c>
      <c r="C562" s="4" t="inlineStr">
        <is>
          <t>Seafood</t>
        </is>
      </c>
      <c r="D562" s="4" t="inlineStr">
        <is>
          <t>American</t>
        </is>
      </c>
      <c r="E562" s="2" t="n">
        <v>2</v>
      </c>
      <c r="F562" s="2" t="n">
        <v>10</v>
      </c>
      <c r="G562" s="2" t="n">
        <v>12</v>
      </c>
      <c r="H562" s="2" t="n">
        <v>22</v>
      </c>
      <c r="I562" s="4" t="inlineStr">
        <is>
          <t>salmon-kale-caesar-wrap.jpg</t>
        </is>
      </c>
      <c r="J562" s="3" t="inlineStr">
        <is>
          <t>Salmon Kale Caesar Wrap, healthy food photography, plated, natural light</t>
        </is>
      </c>
      <c r="K562" s="4" t="inlineStr"/>
      <c r="L562" s="3" t="inlineStr">
        <is>
          <t>Salmon fillet — 250 g (8.8 oz)
Kale — 100 g (3.5 oz)
Parmesan, grated — 20 g (0.7 oz)
Greek yogurt, plain 2% — 50 g (1.8 oz)
Lemon juice — 10 g (0.4 oz)
Dijon mustard — 5 g (0.2 oz)
Low-carb high-fiber tortilla — 84 g (3.0 oz) [2 tortillas]</t>
        </is>
      </c>
      <c r="M562" s="4" t="inlineStr">
        <is>
          <t>[{"ingredient_id": "salmon", "name": "Salmon fillet", "grams": 250.0, "note": ""}, {"ingredient_id": "kale", "name": "Kale", "grams": 100.0, "note": ""}, {"ingredient_id": "parmesan", "name": "Parmesan, grated", "grams": 20.0, "note": ""}, {"ingredient_id": "greek_yogurt", "name": "Greek yogurt, plain 2%", "grams": 50.0, "note": ""}, {"ingredient_id": "lemon_juice", "name": "Lemon juice", "grams": 10.0, "note": ""}, {"ingredient_id": "dijon", "name": "Dijon mustard", "grams": 5.0, "note": ""}, {"ingredient_id": "low_carb_tortilla", "name": "Low-carb high-fiber tortilla", "grams": 84.0, "note": "2 tortillas"}]</t>
        </is>
      </c>
      <c r="N562" s="2" t="n">
        <v>454</v>
      </c>
      <c r="O562" s="5" t="n">
        <v>38.6</v>
      </c>
      <c r="P562" s="5" t="n">
        <v>23.6</v>
      </c>
      <c r="Q562" s="5" t="n">
        <v>23.1</v>
      </c>
      <c r="R562" s="5" t="n">
        <v>12.4</v>
      </c>
      <c r="S562" s="5" t="n">
        <v>10.7</v>
      </c>
      <c r="T562" s="2" t="n">
        <v>23</v>
      </c>
      <c r="U562" s="2" t="inlineStr">
        <is>
          <t>low</t>
        </is>
      </c>
      <c r="V562" s="5" t="n">
        <v>2.5</v>
      </c>
      <c r="W562" s="2" t="inlineStr">
        <is>
          <t>low</t>
        </is>
      </c>
      <c r="X562" s="3" t="inlineStr"/>
      <c r="Y562" s="3" t="inlineStr">
        <is>
          <t>9% of this dish's available carbohydrate comes from ingredients with a published, measured GI; the rest uses conventional placeholders (see Ingredients sheet)</t>
        </is>
      </c>
      <c r="Z562" s="2" t="n">
        <v>9</v>
      </c>
      <c r="AA562" s="3" t="inlineStr">
        <is>
          <t>pescatarian, nut-free, low-carb, high-protein, high-fiber, omega-3</t>
        </is>
      </c>
      <c r="AB562" s="3" t="inlineStr">
        <is>
          <t>1. Roast salmon; flake.
2. Toss chopped kale with yogurt, lemon, Dijon, parmesan.
3. Roll salmon and kale in tortillas.</t>
        </is>
      </c>
      <c r="AC562" s="4" t="inlineStr">
        <is>
          <t>["Roast salmon; flake.", "Toss chopped kale with yogurt, lemon, Dijon, parmesan.", "Roll salmon and kale in tortillas."]</t>
        </is>
      </c>
    </row>
    <row r="563" ht="96" customHeight="1">
      <c r="A563" s="2" t="inlineStr">
        <is>
          <t>DB-0562</t>
        </is>
      </c>
      <c r="B563" s="3" t="inlineStr">
        <is>
          <t>Shrimp Coconut Cauliflower Rice</t>
        </is>
      </c>
      <c r="C563" s="4" t="inlineStr">
        <is>
          <t>Seafood</t>
        </is>
      </c>
      <c r="D563" s="4" t="inlineStr">
        <is>
          <t>Caribbean</t>
        </is>
      </c>
      <c r="E563" s="2" t="n">
        <v>4</v>
      </c>
      <c r="F563" s="2" t="n">
        <v>10</v>
      </c>
      <c r="G563" s="2" t="n">
        <v>15</v>
      </c>
      <c r="H563" s="2" t="n">
        <v>25</v>
      </c>
      <c r="I563" s="4" t="inlineStr">
        <is>
          <t>shrimp-coconut-cauliflower-rice.jpg</t>
        </is>
      </c>
      <c r="J563" s="3" t="inlineStr">
        <is>
          <t>Shrimp Coconut Cauliflower Rice, healthy food photography, plated, natural light</t>
        </is>
      </c>
      <c r="K563" s="4" t="inlineStr"/>
      <c r="L563" s="3" t="inlineStr">
        <is>
          <t>Shrimp, peeled — 600 g (21.2 oz)
Cauliflower rice — 600 g (21.2 oz)
Coconut milk, canned light — 150 g (5.3 oz)
Lime — 40 g (1.4 oz)
Garlic — 8 g (0.3 oz)
Fresh ginger — 6 g (0.2 oz)
Green onions (scallions) — 20 g (0.7 oz)
Fresh cilantro — 8 g (0.3 oz)
Avocado oil — 12 g (0.4 oz)
Jalapeño — 10 g (0.4 oz)
Salt — 3 g (0.1 oz)</t>
        </is>
      </c>
      <c r="M563" s="4" t="inlineStr">
        <is>
          <t>[{"ingredient_id": "shrimp", "name": "Shrimp, peeled", "grams": 600.0, "note": ""}, {"ingredient_id": "cauliflower_rice", "name": "Cauliflower rice", "grams": 600.0, "note": ""}, {"ingredient_id": "coconut_milk_light", "name": "Coconut milk, canned light", "grams": 150.0, "note": ""}, {"ingredient_id": "lime", "name": "Lime", "grams": 40.0, "note": ""}, {"ingredient_id": "garlic", "name": "Garlic", "grams": 8.0, "note": ""}, {"ingredient_id": "ginger", "name": "Fresh ginger", "grams": 6.0, "note": ""}, {"ingredient_id": "green_onion", "name": "Green onions (scallions)", "grams": 20.0, "note": ""}, {"ingredient_id": "cilantro", "name": "Fresh cilantro", "grams": 8.0, "note": ""}, {"ingredient_id": "avocado_oil", "name": "Avocado oil", "grams": 12.0, "note": ""}, {"ingredient_id": "jalapeno", "name": "Jalapeño", "grams": 10.0, "note": ""}, {"ingredient_id": "salt", "name": "Salt", "grams": 3.0, "note": ""}]</t>
        </is>
      </c>
      <c r="N563" s="2" t="n">
        <v>227</v>
      </c>
      <c r="O563" s="5" t="n">
        <v>33.5</v>
      </c>
      <c r="P563" s="5" t="n">
        <v>6.5</v>
      </c>
      <c r="Q563" s="5" t="n">
        <v>11</v>
      </c>
      <c r="R563" s="5" t="n">
        <v>3.6</v>
      </c>
      <c r="S563" s="5" t="n">
        <v>7.4</v>
      </c>
      <c r="T563" s="2" t="n">
        <v>19</v>
      </c>
      <c r="U563" s="2" t="inlineStr">
        <is>
          <t>low</t>
        </is>
      </c>
      <c r="V563" s="5" t="n">
        <v>1.4</v>
      </c>
      <c r="W563" s="2" t="inlineStr">
        <is>
          <t>low</t>
        </is>
      </c>
      <c r="X563" s="3" t="inlineStr"/>
      <c r="Y563" s="3" t="inlineStr">
        <is>
          <t>0% of this dish's available carbohydrate comes from ingredients with a published, measured GI; the rest uses conventional placeholders (see Ingredients sheet)</t>
        </is>
      </c>
      <c r="Z563" s="2" t="n">
        <v>0</v>
      </c>
      <c r="AA563" s="3" t="inlineStr">
        <is>
          <t>pescatarian, gluten-free, dairy-free, nut-free, low-carb, high-protein, quick</t>
        </is>
      </c>
      <c r="AB563" s="3" t="inlineStr">
        <is>
          <t>1. Sauté cauliflower rice with coconut milk, garlic, ginger 6 minutes.
2. Sauté shrimp with jalapeño in oil 3 minutes.
3. Combine; finish with lime, green onion, cilantro.</t>
        </is>
      </c>
      <c r="AC563" s="4" t="inlineStr">
        <is>
          <t>["Sauté cauliflower rice with coconut milk, garlic, ginger 6 minutes.", "Sauté shrimp with jalapeño in oil 3 minutes.", "Combine; finish with lime, green onion, cilantro."]</t>
        </is>
      </c>
    </row>
    <row r="564" ht="96" customHeight="1">
      <c r="A564" s="2" t="inlineStr">
        <is>
          <t>DB-0563</t>
        </is>
      </c>
      <c r="B564" s="3" t="inlineStr">
        <is>
          <t>Herb-Crusted Halibut with Ratatouille</t>
        </is>
      </c>
      <c r="C564" s="4" t="inlineStr">
        <is>
          <t>Seafood</t>
        </is>
      </c>
      <c r="D564" s="4" t="inlineStr">
        <is>
          <t>French</t>
        </is>
      </c>
      <c r="E564" s="2" t="n">
        <v>4</v>
      </c>
      <c r="F564" s="2" t="n">
        <v>15</v>
      </c>
      <c r="G564" s="2" t="n">
        <v>35</v>
      </c>
      <c r="H564" s="2" t="n">
        <v>50</v>
      </c>
      <c r="I564" s="4" t="inlineStr">
        <is>
          <t>herb-crusted-halibut-with-ratatouille.jpg</t>
        </is>
      </c>
      <c r="J564" s="3" t="inlineStr">
        <is>
          <t>Herb-Crusted Halibut with Ratatouille, healthy food photography, plated, natural light</t>
        </is>
      </c>
      <c r="K564" s="4" t="inlineStr"/>
      <c r="L564" s="3" t="inlineStr">
        <is>
          <t>Halibut fillet — 600 g (21.2 oz)
Eggplant — 250 g (8.8 oz)
Zucchini — 250 g (8.8 oz)
Bell pepper — 150 g (5.3 oz)
Tomato — 250 g (8.8 oz)
Yellow onion — 100 g (3.5 oz)
Garlic — 8 g (0.3 oz)
Extra-virgin olive oil — 25 g (0.9 oz)
Fresh thyme — 3 g (0.1 oz)
Fresh basil — 8 g (0.3 oz)
Almond flour — 20 g (0.7 oz)
Parmesan, grated — 15 g (0.5 oz)
Salt — 3 g (0.1 oz)</t>
        </is>
      </c>
      <c r="M564" s="4" t="inlineStr">
        <is>
          <t>[{"ingredient_id": "halibut", "name": "Halibut fillet", "grams": 600.0, "note": ""}, {"ingredient_id": "eggplant", "name": "Eggplant", "grams": 250.0, "note": ""}, {"ingredient_id": "zucchini", "name": "Zucchini", "grams": 250.0, "note": ""}, {"ingredient_id": "bell_pepper", "name": "Bell pepper", "grams": 150.0, "note": ""}, {"ingredient_id": "tomato", "name": "Tomato", "grams": 250.0, "note": ""}, {"ingredient_id": "onion", "name": "Yellow onion", "grams": 100.0, "note": ""}, {"ingredient_id": "garlic", "name": "Garlic", "grams": 8.0, "note": ""}, {"ingredient_id": "olive_oil", "name": "Extra-virgin olive oil", "grams": 25.0, "note": ""}, {"ingredient_id": "thyme", "name": "Fresh thyme", "grams": 3.0, "note": ""}, {"ingredient_id": "basil", "name": "Fresh basil", "grams": 8.0, "note": ""}, {"ingredient_id": "almond_flour", "name": "Almond flour", "grams": 20.0, "note": ""}, {"ingredient_id": "parmesan", "name": "Parmesan, grated", "grams": 15.0, "note": ""}, {"ingredient_id": "salt", "name": "Salt", "grams": 3.0, "note": ""}]</t>
        </is>
      </c>
      <c r="N564" s="2" t="n">
        <v>331</v>
      </c>
      <c r="O564" s="5" t="n">
        <v>39.8</v>
      </c>
      <c r="P564" s="5" t="n">
        <v>13.9</v>
      </c>
      <c r="Q564" s="5" t="n">
        <v>14.8</v>
      </c>
      <c r="R564" s="5" t="n">
        <v>5.2</v>
      </c>
      <c r="S564" s="5" t="n">
        <v>9.6</v>
      </c>
      <c r="T564" s="2" t="n">
        <v>16</v>
      </c>
      <c r="U564" s="2" t="inlineStr">
        <is>
          <t>low</t>
        </is>
      </c>
      <c r="V564" s="5" t="n">
        <v>1.5</v>
      </c>
      <c r="W564" s="2" t="inlineStr">
        <is>
          <t>low</t>
        </is>
      </c>
      <c r="X564" s="3" t="inlineStr"/>
      <c r="Y564" s="3" t="inlineStr">
        <is>
          <t>0% of this dish's available carbohydrate comes from ingredients with a published, measured GI; the rest uses conventional placeholders (see Ingredients sheet)</t>
        </is>
      </c>
      <c r="Z564" s="2" t="n">
        <v>0</v>
      </c>
      <c r="AA564" s="3" t="inlineStr">
        <is>
          <t>pescatarian, gluten-free, low-carb, high-protein</t>
        </is>
      </c>
      <c r="AB564" s="3" t="inlineStr">
        <is>
          <t>1. Sauté onion, garlic, eggplant, zucchini, pepper in oil 10 minutes; add tomato, thyme; simmer 15 minutes.
2. Press almond flour-parmesan-basil onto halibut; bake at 400°F 12 minutes.
3. Serve fish over ratatouille.</t>
        </is>
      </c>
      <c r="AC564" s="4" t="inlineStr">
        <is>
          <t>["Sauté onion, garlic, eggplant, zucchini, pepper in oil 10 minutes; add tomato, thyme; simmer 15 minutes.", "Press almond flour-parmesan-basil onto halibut; bake at 400°F 12 minutes.", "Serve fish over ratatouille."]</t>
        </is>
      </c>
    </row>
    <row r="565" ht="96" customHeight="1">
      <c r="A565" s="2" t="inlineStr">
        <is>
          <t>DB-0564</t>
        </is>
      </c>
      <c r="B565" s="3" t="inlineStr">
        <is>
          <t>Shrimp &amp; White Bean Skillet with Spinach</t>
        </is>
      </c>
      <c r="C565" s="4" t="inlineStr">
        <is>
          <t>Seafood</t>
        </is>
      </c>
      <c r="D565" s="4" t="inlineStr">
        <is>
          <t>Italian</t>
        </is>
      </c>
      <c r="E565" s="2" t="n">
        <v>4</v>
      </c>
      <c r="F565" s="2" t="n">
        <v>10</v>
      </c>
      <c r="G565" s="2" t="n">
        <v>12</v>
      </c>
      <c r="H565" s="2" t="n">
        <v>22</v>
      </c>
      <c r="I565" s="4" t="inlineStr">
        <is>
          <t>shrimp-and-white-bean-skillet-with-spinach.jpg</t>
        </is>
      </c>
      <c r="J565" s="3" t="inlineStr">
        <is>
          <t>Shrimp &amp; White Bean Skillet with Spinach, healthy food photography, plated, natural light</t>
        </is>
      </c>
      <c r="K565" s="4" t="inlineStr"/>
      <c r="L565" s="3" t="inlineStr">
        <is>
          <t>Shrimp, peeled — 550 g (19.4 oz)
Cannellini beans, cooked — 400 g (14.1 oz)
Spinach — 200 g (7.1 oz)
Garlic — 10 g (0.4 oz)
Cherry tomatoes — 200 g (7.1 oz)
Extra-virgin olive oil — 18 g (0.6 oz)
Lemon (with juice &amp; zest) — 40 g (1.4 oz)
Red pepper flakes — 1 g (0.0 oz)
Fresh parsley — 6 g (0.2 oz)
Salt — 3 g (0.1 oz)</t>
        </is>
      </c>
      <c r="M565" s="4" t="inlineStr">
        <is>
          <t>[{"ingredient_id": "shrimp", "name": "Shrimp, peeled", "grams": 550.0, "note": ""}, {"ingredient_id": "white_beans", "name": "Cannellini beans, cooked", "grams": 400.0, "note": ""}, {"ingredient_id": "spinach", "name": "Spinach", "grams": 200.0, "note": ""}, {"ingredient_id": "garlic", "name": "Garlic", "grams": 10.0, "note": ""}, {"ingredient_id": "cherry_tomato", "name": "Cherry tomatoes", "grams": 200.0, "note": ""}, {"ingredient_id": "olive_oil", "name": "Extra-virgin olive oil", "grams": 18.0, "note": ""}, {"ingredient_id": "lemon", "name": "Lemon (with juice &amp; zest)", "grams": 40.0, "note": ""}, {"ingredient_id": "red_pepper_flakes", "name": "Red pepper flakes", "grams": 1.0, "note": ""}, {"ingredient_id": "parsley", "name": "Fresh parsley", "grams": 6.0, "note": ""}, {"ingredient_id": "salt", "name": "Salt", "grams": 3.0, "note": ""}]</t>
        </is>
      </c>
      <c r="N565" s="2" t="n">
        <v>324</v>
      </c>
      <c r="O565" s="5" t="n">
        <v>39.4</v>
      </c>
      <c r="P565" s="5" t="n">
        <v>6</v>
      </c>
      <c r="Q565" s="5" t="n">
        <v>30.7</v>
      </c>
      <c r="R565" s="5" t="n">
        <v>8.4</v>
      </c>
      <c r="S565" s="5" t="n">
        <v>22.3</v>
      </c>
      <c r="T565" s="2" t="n">
        <v>29</v>
      </c>
      <c r="U565" s="2" t="inlineStr">
        <is>
          <t>low</t>
        </is>
      </c>
      <c r="V565" s="5" t="n">
        <v>6.5</v>
      </c>
      <c r="W565" s="2" t="inlineStr">
        <is>
          <t>low</t>
        </is>
      </c>
      <c r="X565" s="3" t="inlineStr"/>
      <c r="Y565" s="3" t="inlineStr">
        <is>
          <t>84% of this dish's available carbohydrate comes from ingredients with a published, measured GI; the rest uses conventional placeholders (see Ingredients sheet)</t>
        </is>
      </c>
      <c r="Z565" s="2" t="n">
        <v>84</v>
      </c>
      <c r="AA565" s="3" t="inlineStr">
        <is>
          <t>pescatarian, gluten-free, dairy-free, nut-free, high-protein, high-fiber, quick, one-pan</t>
        </is>
      </c>
      <c r="AB565" s="3" t="inlineStr">
        <is>
          <t>1. Sauté garlic in oil; add tomatoes 2 minutes.
2. Add shrimp 3 minutes; add beans and spinach until wilted.
3. Finish with lemon, parsley, pepper flakes.</t>
        </is>
      </c>
      <c r="AC565" s="4" t="inlineStr">
        <is>
          <t>["Sauté garlic in oil; add tomatoes 2 minutes.", "Add shrimp 3 minutes; add beans and spinach until wilted.", "Finish with lemon, parsley, pepper flakes."]</t>
        </is>
      </c>
    </row>
    <row r="566" ht="96" customHeight="1">
      <c r="A566" s="2" t="inlineStr">
        <is>
          <t>DB-0565</t>
        </is>
      </c>
      <c r="B566" s="3" t="inlineStr">
        <is>
          <t>Salmon Sheet Pan with Broccoli &amp; Sweet Potato</t>
        </is>
      </c>
      <c r="C566" s="4" t="inlineStr">
        <is>
          <t>Seafood</t>
        </is>
      </c>
      <c r="D566" s="4" t="inlineStr">
        <is>
          <t>American</t>
        </is>
      </c>
      <c r="E566" s="2" t="n">
        <v>4</v>
      </c>
      <c r="F566" s="2" t="n">
        <v>10</v>
      </c>
      <c r="G566" s="2" t="n">
        <v>30</v>
      </c>
      <c r="H566" s="2" t="n">
        <v>40</v>
      </c>
      <c r="I566" s="4" t="inlineStr">
        <is>
          <t>salmon-sheet-pan-with-broccoli-and-sweet-potato.jpg</t>
        </is>
      </c>
      <c r="J566" s="3" t="inlineStr">
        <is>
          <t>Salmon Sheet Pan with Broccoli &amp; Sweet Potato, healthy food photography, plated, natural light</t>
        </is>
      </c>
      <c r="K566" s="4" t="inlineStr"/>
      <c r="L566" s="3" t="inlineStr">
        <is>
          <t>Salmon fillet — 600 g (21.2 oz)
Broccoli — 400 g (14.1 oz)
Sweet potato, baked/roasted — 300 g (10.6 oz)
Extra-virgin olive oil — 20 g (0.7 oz)
Garlic — 8 g (0.3 oz)
Smoked paprika — 3 g (0.1 oz)
Lemon (with juice &amp; zest) — 40 g (1.4 oz)
Salt — 3 g (0.1 oz)</t>
        </is>
      </c>
      <c r="M566" s="4" t="inlineStr">
        <is>
          <t>[{"ingredient_id": "salmon", "name": "Salmon fillet", "grams": 600.0, "note": ""}, {"ingredient_id": "broccoli", "name": "Broccoli", "grams": 400.0, "note": ""}, {"ingredient_id": "sweet_potato_roasted", "name": "Sweet potato, baked/roasted", "grams": 300.0, "note": ""}, {"ingredient_id": "olive_oil", "name": "Extra-virgin olive oil", "grams": 20.0, "note": ""}, {"ingredient_id": "garlic", "name": "Garlic", "grams": 8.0, "note": ""}, {"ingredient_id": "smoked_paprika", "name": "Smoked paprika", "grams": 3.0, "note": ""}, {"ingredient_id": "lemon", "name": "Lemon (with juice &amp; zest)", "grams": 40.0, "note": ""}, {"ingredient_id": "salt", "name": "Salt", "grams": 3.0, "note": ""}]</t>
        </is>
      </c>
      <c r="N566" s="2" t="n">
        <v>463</v>
      </c>
      <c r="O566" s="5" t="n">
        <v>34.3</v>
      </c>
      <c r="P566" s="5" t="n">
        <v>25.1</v>
      </c>
      <c r="Q566" s="5" t="n">
        <v>23.6</v>
      </c>
      <c r="R566" s="5" t="n">
        <v>5.4</v>
      </c>
      <c r="S566" s="5" t="n">
        <v>18.2</v>
      </c>
      <c r="T566" s="2" t="n">
        <v>65</v>
      </c>
      <c r="U566" s="2" t="inlineStr">
        <is>
          <t>medium</t>
        </is>
      </c>
      <c r="V566" s="5" t="n">
        <v>11.8</v>
      </c>
      <c r="W566" s="2" t="inlineStr">
        <is>
          <t>medium</t>
        </is>
      </c>
      <c r="X566" s="3" t="inlineStr">
        <is>
          <t>Medium-GI dish: keep to the stated portion and pair with the protein/fat in the recipe; GL per serving is the better guide.</t>
        </is>
      </c>
      <c r="Y566" s="3" t="inlineStr">
        <is>
          <t>70% of this dish's available carbohydrate comes from ingredients with a published, measured GI; the rest uses conventional placeholders (see Ingredients sheet)</t>
        </is>
      </c>
      <c r="Z566" s="2" t="n">
        <v>70</v>
      </c>
      <c r="AA566" s="3" t="inlineStr">
        <is>
          <t>pescatarian, gluten-free, dairy-free, nut-free, high-protein, omega-3, one-pan</t>
        </is>
      </c>
      <c r="AB566" s="3" t="inlineStr">
        <is>
          <t>1. Roast sweet potato cubes with half the oil 15 minutes.
2. Add broccoli and salmon rubbed with garlic, paprika, remaining oil; roast 15 minutes more.
3. Finish with lemon.</t>
        </is>
      </c>
      <c r="AC566" s="4" t="inlineStr">
        <is>
          <t>["Roast sweet potato cubes with half the oil 15 minutes.", "Add broccoli and salmon rubbed with garlic, paprika, remaining oil; roast 15 minutes more.", "Finish with lemon."]</t>
        </is>
      </c>
    </row>
    <row r="567" ht="96" customHeight="1">
      <c r="A567" s="2" t="inlineStr">
        <is>
          <t>DB-0566</t>
        </is>
      </c>
      <c r="B567" s="3" t="inlineStr">
        <is>
          <t>Shrimp Tom Yum-Style Bowl</t>
        </is>
      </c>
      <c r="C567" s="4" t="inlineStr">
        <is>
          <t>Seafood</t>
        </is>
      </c>
      <c r="D567" s="4" t="inlineStr">
        <is>
          <t>Thai</t>
        </is>
      </c>
      <c r="E567" s="2" t="n">
        <v>3</v>
      </c>
      <c r="F567" s="2" t="n">
        <v>10</v>
      </c>
      <c r="G567" s="2" t="n">
        <v>15</v>
      </c>
      <c r="H567" s="2" t="n">
        <v>25</v>
      </c>
      <c r="I567" s="4" t="inlineStr">
        <is>
          <t>shrimp-tom-yum-style-bowl.jpg</t>
        </is>
      </c>
      <c r="J567" s="3" t="inlineStr">
        <is>
          <t>Shrimp Tom Yum-Style Bowl, healthy food photography, plated, natural light</t>
        </is>
      </c>
      <c r="K567" s="4" t="inlineStr"/>
      <c r="L567" s="3" t="inlineStr">
        <is>
          <t>Shrimp, peeled — 450 g (15.9 oz)
Chicken broth, low sodium — 900 g (31.7 oz)
Lemongrass — 15 g (0.5 oz)
Fresh ginger — 10 g (0.4 oz)
Lime juice — 30 g (1.1 oz)
Fish sauce — 20 g (0.7 oz)
Mushrooms (cremini/white) — 150 g (5.3 oz)
Cherry tomatoes — 120 g (4.2 oz)
Jalapeño — 10 g (0.4 oz)
Fresh cilantro — 8 g (0.3 oz)
Zucchini noodles (zoodles) — 300 g (10.6 oz)</t>
        </is>
      </c>
      <c r="M567" s="4" t="inlineStr">
        <is>
          <t>[{"ingredient_id": "shrimp", "name": "Shrimp, peeled", "grams": 450.0, "note": ""}, {"ingredient_id": "chicken_broth", "name": "Chicken broth, low sodium", "grams": 900.0, "note": ""}, {"ingredient_id": "lemongrass", "name": "Lemongrass", "grams": 15.0, "note": ""}, {"ingredient_id": "ginger", "name": "Fresh ginger", "grams": 10.0, "note": ""}, {"ingredient_id": "lime_juice", "name": "Lime juice", "grams": 30.0, "note": ""}, {"ingredient_id": "fish_sauce", "name": "Fish sauce", "grams": 20.0, "note": ""}, {"ingredient_id": "mushrooms", "name": "Mushrooms (cremini/white)", "grams": 150.0, "note": ""}, {"ingredient_id": "cherry_tomato", "name": "Cherry tomatoes", "grams": 120.0, "note": ""}, {"ingredient_id": "jalapeno", "name": "Jalapeño", "grams": 10.0, "note": ""}, {"ingredient_id": "cilantro", "name": "Fresh cilantro", "grams": 8.0, "note": ""}, {"ingredient_id": "zucchini_noodles", "name": "Zucchini noodles (zoodles)", "grams": 300.0, "note": ""}]</t>
        </is>
      </c>
      <c r="N567" s="2" t="n">
        <v>198</v>
      </c>
      <c r="O567" s="5" t="n">
        <v>36.7</v>
      </c>
      <c r="P567" s="5" t="n">
        <v>2</v>
      </c>
      <c r="Q567" s="5" t="n">
        <v>11.1</v>
      </c>
      <c r="R567" s="5" t="n">
        <v>2.3</v>
      </c>
      <c r="S567" s="5" t="n">
        <v>8.800000000000001</v>
      </c>
      <c r="T567" s="2" t="n">
        <v>12</v>
      </c>
      <c r="U567" s="2" t="inlineStr">
        <is>
          <t>low</t>
        </is>
      </c>
      <c r="V567" s="5" t="n">
        <v>1.1</v>
      </c>
      <c r="W567" s="2" t="inlineStr">
        <is>
          <t>low</t>
        </is>
      </c>
      <c r="X567" s="3" t="inlineStr"/>
      <c r="Y567" s="3" t="inlineStr">
        <is>
          <t>0% of this dish's available carbohydrate comes from ingredients with a published, measured GI; the rest uses conventional placeholders (see Ingredients sheet)</t>
        </is>
      </c>
      <c r="Z567" s="2" t="n">
        <v>0</v>
      </c>
      <c r="AA567" s="3" t="inlineStr">
        <is>
          <t>pescatarian, gluten-free, dairy-free, nut-free, low-carb, high-protein</t>
        </is>
      </c>
      <c r="AB567" s="3" t="inlineStr">
        <is>
          <t>1. Simmer broth with lemongrass, ginger, jalapeño 8 minutes.
2. Add mushrooms and tomato 3 minutes; add shrimp 3 minutes.
3. Add fish sauce, lime; pour over zoodles; top cilantro.</t>
        </is>
      </c>
      <c r="AC567" s="4" t="inlineStr">
        <is>
          <t>["Simmer broth with lemongrass, ginger, jalapeño 8 minutes.", "Add mushrooms and tomato 3 minutes; add shrimp 3 minutes.", "Add fish sauce, lime; pour over zoodles; top cilantro."]</t>
        </is>
      </c>
    </row>
    <row r="568" ht="96" customHeight="1">
      <c r="A568" s="2" t="inlineStr">
        <is>
          <t>DB-0567</t>
        </is>
      </c>
      <c r="B568" s="3" t="inlineStr">
        <is>
          <t>Sea Bass with Fennel &amp; Citrus</t>
        </is>
      </c>
      <c r="C568" s="4" t="inlineStr">
        <is>
          <t>Seafood</t>
        </is>
      </c>
      <c r="D568" s="4" t="inlineStr">
        <is>
          <t>Mediterranean</t>
        </is>
      </c>
      <c r="E568" s="2" t="n">
        <v>4</v>
      </c>
      <c r="F568" s="2" t="n">
        <v>10</v>
      </c>
      <c r="G568" s="2" t="n">
        <v>20</v>
      </c>
      <c r="H568" s="2" t="n">
        <v>30</v>
      </c>
      <c r="I568" s="4" t="inlineStr">
        <is>
          <t>sea-bass-with-fennel-and-citrus.jpg</t>
        </is>
      </c>
      <c r="J568" s="3" t="inlineStr">
        <is>
          <t>Sea Bass with Fennel &amp; Citrus, healthy food photography, plated, natural light</t>
        </is>
      </c>
      <c r="K568" s="4" t="inlineStr"/>
      <c r="L568" s="3" t="inlineStr">
        <is>
          <t>Sea bass fillet — 600 g (21.2 oz)
Fennel bulb — 300 g (10.6 oz)
Orange — 120 g (4.2 oz)
Olives (kalamata/green) — 30 g (1.1 oz)
Extra-virgin olive oil — 18 g (0.6 oz)
Garlic — 6 g (0.2 oz)
Fresh thyme — 2 g (0.1 oz)
Salt — 3 g (0.1 oz)</t>
        </is>
      </c>
      <c r="M568" s="4" t="inlineStr">
        <is>
          <t>[{"ingredient_id": "sea_bass", "name": "Sea bass fillet", "grams": 600.0, "note": ""}, {"ingredient_id": "fennel", "name": "Fennel bulb", "grams": 300.0, "note": ""}, {"ingredient_id": "orange", "name": "Orange", "grams": 120.0, "note": ""}, {"ingredient_id": "olives", "name": "Olives (kalamata/green)", "grams": 30.0, "note": ""}, {"ingredient_id": "olive_oil", "name": "Extra-virgin olive oil", "grams": 18.0, "note": ""}, {"ingredient_id": "garlic", "name": "Garlic", "grams": 6.0, "note": ""}, {"ingredient_id": "thyme", "name": "Fresh thyme", "grams": 2.0, "note": ""}, {"ingredient_id": "salt", "name": "Salt", "grams": 3.0, "note": ""}]</t>
        </is>
      </c>
      <c r="N568" s="2" t="n">
        <v>234</v>
      </c>
      <c r="O568" s="5" t="n">
        <v>28.4</v>
      </c>
      <c r="P568" s="5" t="n">
        <v>8.5</v>
      </c>
      <c r="Q568" s="5" t="n">
        <v>10.1</v>
      </c>
      <c r="R568" s="5" t="n">
        <v>3.4</v>
      </c>
      <c r="S568" s="5" t="n">
        <v>6.8</v>
      </c>
      <c r="T568" s="2" t="n">
        <v>28</v>
      </c>
      <c r="U568" s="2" t="inlineStr">
        <is>
          <t>low</t>
        </is>
      </c>
      <c r="V568" s="5" t="n">
        <v>1.9</v>
      </c>
      <c r="W568" s="2" t="inlineStr">
        <is>
          <t>low</t>
        </is>
      </c>
      <c r="X568" s="3" t="inlineStr"/>
      <c r="Y568" s="3" t="inlineStr">
        <is>
          <t>43% of this dish's available carbohydrate comes from ingredients with a published, measured GI; the rest uses conventional placeholders (see Ingredients sheet)</t>
        </is>
      </c>
      <c r="Z568" s="2" t="n">
        <v>43</v>
      </c>
      <c r="AA568" s="3" t="inlineStr">
        <is>
          <t>pescatarian, gluten-free, dairy-free, nut-free, low-carb, high-protein, one-pan</t>
        </is>
      </c>
      <c r="AB568" s="3" t="inlineStr">
        <is>
          <t>1. Roast sliced fennel with half the oil at 425°F 12 minutes.
2. Add sea bass, orange slices, olives, garlic, thyme, remaining oil; roast 12 minutes.
3. Serve with pan juices.</t>
        </is>
      </c>
      <c r="AC568" s="4" t="inlineStr">
        <is>
          <t>["Roast sliced fennel with half the oil at 425°F 12 minutes.", "Add sea bass, orange slices, olives, garlic, thyme, remaining oil; roast 12 minutes.", "Serve with pan juices."]</t>
        </is>
      </c>
    </row>
    <row r="569" ht="96" customHeight="1">
      <c r="A569" s="2" t="inlineStr">
        <is>
          <t>DB-0568</t>
        </is>
      </c>
      <c r="B569" s="3" t="inlineStr">
        <is>
          <t>Shrimp Cauliflower Grits Bowl with Kale</t>
        </is>
      </c>
      <c r="C569" s="4" t="inlineStr">
        <is>
          <t>Seafood</t>
        </is>
      </c>
      <c r="D569" s="4" t="inlineStr">
        <is>
          <t>Southern</t>
        </is>
      </c>
      <c r="E569" s="2" t="n">
        <v>4</v>
      </c>
      <c r="F569" s="2" t="n">
        <v>10</v>
      </c>
      <c r="G569" s="2" t="n">
        <v>20</v>
      </c>
      <c r="H569" s="2" t="n">
        <v>30</v>
      </c>
      <c r="I569" s="4" t="inlineStr">
        <is>
          <t>shrimp-cauliflower-grits-bowl-with-kale.jpg</t>
        </is>
      </c>
      <c r="J569" s="3" t="inlineStr">
        <is>
          <t>Shrimp Cauliflower Grits Bowl with Kale, healthy food photography, plated, natural light</t>
        </is>
      </c>
      <c r="K569" s="4" t="inlineStr"/>
      <c r="L569" s="3" t="inlineStr">
        <is>
          <t>Shrimp, peeled — 600 g (21.2 oz)
Cauliflower — 700 g (24.7 oz)
Kale — 200 g (7.1 oz)
Cheddar cheese — 50 g (1.8 oz)
Milk, 2% — 80 g (2.8 oz)
Garlic — 8 g (0.3 oz)
Old Bay seasoning — 4 g (0.1 oz)
Extra-virgin olive oil — 15 g (0.5 oz)
Lemon (with juice &amp; zest) — 30 g (1.1 oz)
Green onions (scallions) — 15 g (0.5 oz)
Salt — 3 g (0.1 oz)</t>
        </is>
      </c>
      <c r="M569" s="4" t="inlineStr">
        <is>
          <t>[{"ingredient_id": "shrimp", "name": "Shrimp, peeled", "grams": 600.0, "note": ""}, {"ingredient_id": "cauliflower", "name": "Cauliflower", "grams": 700.0, "note": ""}, {"ingredient_id": "kale", "name": "Kale", "grams": 200.0, "note": ""}, {"ingredient_id": "cheddar", "name": "Cheddar cheese", "grams": 50.0, "note": ""}, {"ingredient_id": "milk", "name": "Milk, 2%", "grams": 80.0, "note": ""}, {"ingredient_id": "garlic", "name": "Garlic", "grams": 8.0, "note": ""}, {"ingredient_id": "old_bay", "name": "Old Bay seasoning", "grams": 4.0, "note": ""}, {"ingredient_id": "olive_oil", "name": "Extra-virgin olive oil", "grams": 15.0, "note": ""}, {"ingredient_id": "lemon", "name": "Lemon (with juice &amp; zest)", "grams": 30.0, "note": ""}, {"ingredient_id": "green_onion", "name": "Green onions (scallions)", "grams": 15.0, "note": ""}, {"ingredient_id": "salt", "name": "Salt", "grams": 3.0, "note": ""}]</t>
        </is>
      </c>
      <c r="N569" s="2" t="n">
        <v>299</v>
      </c>
      <c r="O569" s="5" t="n">
        <v>39.4</v>
      </c>
      <c r="P569" s="5" t="n">
        <v>10.1</v>
      </c>
      <c r="Q569" s="5" t="n">
        <v>16.5</v>
      </c>
      <c r="R569" s="5" t="n">
        <v>5.9</v>
      </c>
      <c r="S569" s="5" t="n">
        <v>10.6</v>
      </c>
      <c r="T569" s="2" t="n">
        <v>17</v>
      </c>
      <c r="U569" s="2" t="inlineStr">
        <is>
          <t>low</t>
        </is>
      </c>
      <c r="V569" s="5" t="n">
        <v>1.8</v>
      </c>
      <c r="W569" s="2" t="inlineStr">
        <is>
          <t>low</t>
        </is>
      </c>
      <c r="X569" s="3" t="inlineStr"/>
      <c r="Y569" s="3" t="inlineStr">
        <is>
          <t>9% of this dish's available carbohydrate comes from ingredients with a published, measured GI; the rest uses conventional placeholders (see Ingredients sheet)</t>
        </is>
      </c>
      <c r="Z569" s="2" t="n">
        <v>9</v>
      </c>
      <c r="AA569" s="3" t="inlineStr">
        <is>
          <t>pescatarian, gluten-free, nut-free, low-carb, high-protein</t>
        </is>
      </c>
      <c r="AB569" s="3" t="inlineStr">
        <is>
          <t>1. Blend steamed cauliflower with milk, cheddar, salt.
2. Sauté kale with half the garlic; sauté shrimp with remaining garlic and Old Bay.
3. Bowl grits, kale, shrimp; finish lemon, green onion.</t>
        </is>
      </c>
      <c r="AC569" s="4" t="inlineStr">
        <is>
          <t>["Blend steamed cauliflower with milk, cheddar, salt.", "Sauté kale with half the garlic; sauté shrimp with remaining garlic and Old Bay.", "Bowl grits, kale, shrimp; finish lemon, green onion."]</t>
        </is>
      </c>
    </row>
    <row r="570" ht="96" customHeight="1">
      <c r="A570" s="2" t="inlineStr">
        <is>
          <t>DB-0569</t>
        </is>
      </c>
      <c r="B570" s="3" t="inlineStr">
        <is>
          <t>Salmon Avocado Sushi Stack</t>
        </is>
      </c>
      <c r="C570" s="4" t="inlineStr">
        <is>
          <t>Seafood</t>
        </is>
      </c>
      <c r="D570" s="4" t="inlineStr">
        <is>
          <t>Japanese</t>
        </is>
      </c>
      <c r="E570" s="2" t="n">
        <v>2</v>
      </c>
      <c r="F570" s="2" t="n">
        <v>15</v>
      </c>
      <c r="G570" s="2" t="n">
        <v>10</v>
      </c>
      <c r="H570" s="2" t="n">
        <v>25</v>
      </c>
      <c r="I570" s="4" t="inlineStr">
        <is>
          <t>salmon-avocado-sushi-stack.jpg</t>
        </is>
      </c>
      <c r="J570" s="3" t="inlineStr">
        <is>
          <t>Salmon Avocado Sushi Stack, healthy food photography, plated, natural light</t>
        </is>
      </c>
      <c r="K570" s="4" t="inlineStr"/>
      <c r="L570" s="3" t="inlineStr">
        <is>
          <t>Salmon fillet — 300 g (10.6 oz)
Cauliflower rice — 250 g (8.8 oz)
Rice vinegar, unseasoned — 12 g (0.4 oz)
Avocado — 100 g (3.5 oz)
Cucumber — 100 g (3.5 oz)
Nori seaweed sheets — 2 g (0.1 oz)
Tamari (gluten-free soy sauce) — 12 g (0.4 oz)
Sesame seeds — 6 g (0.2 oz)
Green onions (scallions) — 10 g (0.4 oz)
Sriracha — 5 g (0.2 oz)</t>
        </is>
      </c>
      <c r="M570" s="4" t="inlineStr">
        <is>
          <t>[{"ingredient_id": "salmon", "name": "Salmon fillet", "grams": 300.0, "note": ""}, {"ingredient_id": "cauliflower_rice", "name": "Cauliflower rice", "grams": 250.0, "note": ""}, {"ingredient_id": "rice_vinegar", "name": "Rice vinegar, unseasoned", "grams": 12.0, "note": ""}, {"ingredient_id": "avocado", "name": "Avocado", "grams": 100.0, "note": ""}, {"ingredient_id": "cucumber", "name": "Cucumber", "grams": 100.0, "note": ""}, {"ingredient_id": "nori", "name": "Nori seaweed sheets", "grams": 2.0, "note": ""}, {"ingredient_id": "tamari", "name": "Tamari (gluten-free soy sauce)", "grams": 12.0, "note": ""}, {"ingredient_id": "sesame_seeds", "name": "Sesame seeds", "grams": 6.0, "note": ""}, {"ingredient_id": "green_onion", "name": "Green onions (scallions)", "grams": 10.0, "note": ""}, {"ingredient_id": "sriracha", "name": "Sriracha", "grams": 5.0, "note": ""}]</t>
        </is>
      </c>
      <c r="N570" s="2" t="n">
        <v>457</v>
      </c>
      <c r="O570" s="5" t="n">
        <v>35.1</v>
      </c>
      <c r="P570" s="5" t="n">
        <v>29</v>
      </c>
      <c r="Q570" s="5" t="n">
        <v>14.2</v>
      </c>
      <c r="R570" s="5" t="n">
        <v>6.7</v>
      </c>
      <c r="S570" s="5" t="n">
        <v>7.5</v>
      </c>
      <c r="T570" s="2" t="n">
        <v>17</v>
      </c>
      <c r="U570" s="2" t="inlineStr">
        <is>
          <t>low</t>
        </is>
      </c>
      <c r="V570" s="5" t="n">
        <v>1.3</v>
      </c>
      <c r="W570" s="2" t="inlineStr">
        <is>
          <t>low</t>
        </is>
      </c>
      <c r="X570" s="3" t="inlineStr"/>
      <c r="Y570" s="3" t="inlineStr">
        <is>
          <t>0% of this dish's available carbohydrate comes from ingredients with a published, measured GI; the rest uses conventional placeholders (see Ingredients sheet)</t>
        </is>
      </c>
      <c r="Z570" s="2" t="n">
        <v>0</v>
      </c>
      <c r="AA570" s="3" t="inlineStr">
        <is>
          <t>pescatarian, gluten-free, dairy-free, nut-free, low-carb, high-protein, omega-3</t>
        </is>
      </c>
      <c r="AB570" s="3" t="inlineStr">
        <is>
          <t>1. Roast or sear salmon; flake. Steam and cool cauliflower rice seasoned with vinegar.
2. In a ring mold layer cauliflower rice, avocado, cucumber, salmon; unmold.
3. Top with nori strips, sesame, green onion, tamari, sriracha.</t>
        </is>
      </c>
      <c r="AC570" s="4" t="inlineStr">
        <is>
          <t>["Roast or sear salmon; flake. Steam and cool cauliflower rice seasoned with vinegar.", "In a ring mold layer cauliflower rice, avocado, cucumber, salmon; unmold.", "Top with nori strips, sesame, green onion, tamari, sriracha."]</t>
        </is>
      </c>
    </row>
    <row r="571" ht="96" customHeight="1">
      <c r="A571" s="2" t="inlineStr">
        <is>
          <t>DB-0570</t>
        </is>
      </c>
      <c r="B571" s="3" t="inlineStr">
        <is>
          <t>Trout Amandine with Green Beans</t>
        </is>
      </c>
      <c r="C571" s="4" t="inlineStr">
        <is>
          <t>Seafood</t>
        </is>
      </c>
      <c r="D571" s="4" t="inlineStr">
        <is>
          <t>French</t>
        </is>
      </c>
      <c r="E571" s="2" t="n">
        <v>4</v>
      </c>
      <c r="F571" s="2" t="n">
        <v>5</v>
      </c>
      <c r="G571" s="2" t="n">
        <v>15</v>
      </c>
      <c r="H571" s="2" t="n">
        <v>20</v>
      </c>
      <c r="I571" s="4" t="inlineStr">
        <is>
          <t>trout-amandine-with-green-beans.jpg</t>
        </is>
      </c>
      <c r="J571" s="3" t="inlineStr">
        <is>
          <t>Trout Amandine with Green Beans, healthy food photography, plated, natural light</t>
        </is>
      </c>
      <c r="K571" s="4" t="inlineStr"/>
      <c r="L571" s="3" t="inlineStr">
        <is>
          <t>Rainbow trout fillet — 600 g (21.2 oz)
Almonds — 40 g (1.4 oz)
Butter — 15 g (0.5 oz)
Extra-virgin olive oil — 10 g (0.4 oz)
Lemon (with juice &amp; zest) — 50 g (1.8 oz)
Fresh parsley — 6 g (0.2 oz)
Green beans — 500 g (17.6 oz)
Salt — 3 g (0.1 oz)</t>
        </is>
      </c>
      <c r="M571" s="4" t="inlineStr">
        <is>
          <t>[{"ingredient_id": "trout", "name": "Rainbow trout fillet", "grams": 600.0, "note": ""}, {"ingredient_id": "almonds", "name": "Almonds", "grams": 40.0, "note": ""}, {"ingredient_id": "butter", "name": "Butter", "grams": 15.0, "note": ""}, {"ingredient_id": "olive_oil", "name": "Extra-virgin olive oil", "grams": 10.0, "note": ""}, {"ingredient_id": "lemon", "name": "Lemon (with juice &amp; zest)", "grams": 50.0, "note": ""}, {"ingredient_id": "parsley", "name": "Fresh parsley", "grams": 6.0, "note": ""}, {"ingredient_id": "green_beans", "name": "Green beans", "grams": 500.0, "note": ""}, {"ingredient_id": "salt", "name": "Salt", "grams": 3.0, "note": ""}]</t>
        </is>
      </c>
      <c r="N571" s="2" t="n">
        <v>328</v>
      </c>
      <c r="O571" s="5" t="n">
        <v>34.6</v>
      </c>
      <c r="P571" s="5" t="n">
        <v>16.1</v>
      </c>
      <c r="Q571" s="5" t="n">
        <v>12.2</v>
      </c>
      <c r="R571" s="5" t="n">
        <v>5</v>
      </c>
      <c r="S571" s="5" t="n">
        <v>7.2</v>
      </c>
      <c r="T571" s="2" t="n">
        <v>16</v>
      </c>
      <c r="U571" s="2" t="inlineStr">
        <is>
          <t>low</t>
        </is>
      </c>
      <c r="V571" s="5" t="n">
        <v>1.1</v>
      </c>
      <c r="W571" s="2" t="inlineStr">
        <is>
          <t>low</t>
        </is>
      </c>
      <c r="X571" s="3" t="inlineStr"/>
      <c r="Y571" s="3" t="inlineStr">
        <is>
          <t>0% of this dish's available carbohydrate comes from ingredients with a published, measured GI; the rest uses conventional placeholders (see Ingredients sheet)</t>
        </is>
      </c>
      <c r="Z571" s="2" t="n">
        <v>0</v>
      </c>
      <c r="AA571" s="3" t="inlineStr">
        <is>
          <t>pescatarian, gluten-free, low-carb, high-protein, omega-3, quick</t>
        </is>
      </c>
      <c r="AB571" s="3" t="inlineStr">
        <is>
          <t>1. Sear trout in oil 3 minutes per side; remove.
2. Toast sliced almonds in butter; add lemon juice and parsley.
3. Spoon over trout; serve with green beans.</t>
        </is>
      </c>
      <c r="AC571" s="4" t="inlineStr">
        <is>
          <t>["Sear trout in oil 3 minutes per side; remove.", "Toast sliced almonds in butter; add lemon juice and parsley.", "Spoon over trout; serve with green beans."]</t>
        </is>
      </c>
    </row>
    <row r="572" ht="96" customHeight="1">
      <c r="A572" s="2" t="inlineStr">
        <is>
          <t>DB-0571</t>
        </is>
      </c>
      <c r="B572" s="3" t="inlineStr">
        <is>
          <t>Shrimp Fried 'Rice' with Kimchi</t>
        </is>
      </c>
      <c r="C572" s="4" t="inlineStr">
        <is>
          <t>Seafood</t>
        </is>
      </c>
      <c r="D572" s="4" t="inlineStr">
        <is>
          <t>Korean</t>
        </is>
      </c>
      <c r="E572" s="2" t="n">
        <v>3</v>
      </c>
      <c r="F572" s="2" t="n">
        <v>10</v>
      </c>
      <c r="G572" s="2" t="n">
        <v>12</v>
      </c>
      <c r="H572" s="2" t="n">
        <v>22</v>
      </c>
      <c r="I572" s="4" t="inlineStr">
        <is>
          <t>shrimp-fried-rice-with-kimchi.jpg</t>
        </is>
      </c>
      <c r="J572" s="3" t="inlineStr">
        <is>
          <t>Shrimp Fried 'Rice' with Kimchi, healthy food photography, plated, natural light</t>
        </is>
      </c>
      <c r="K572" s="4" t="inlineStr"/>
      <c r="L572" s="3" t="inlineStr">
        <is>
          <t>Shrimp, peeled — 450 g (15.9 oz)
Cauliflower rice — 500 g (17.6 oz)
Kimchi — 150 g (5.3 oz)
Egg, large (50 g each) — 100 g (3.5 oz)
Green onions (scallions) — 20 g (0.7 oz)
Garlic — 6 g (0.2 oz)
Tamari (gluten-free soy sauce) — 15 g (0.5 oz)
Toasted sesame oil — 8 g (0.3 oz)
Gochujang (small amount) — 8 g (0.3 oz)
Avocado oil — 10 g (0.4 oz)</t>
        </is>
      </c>
      <c r="M572" s="4" t="inlineStr">
        <is>
          <t>[{"ingredient_id": "shrimp", "name": "Shrimp, peeled", "grams": 450.0, "note": ""}, {"ingredient_id": "cauliflower_rice", "name": "Cauliflower rice", "grams": 500.0, "note": ""}, {"ingredient_id": "kimchi", "name": "Kimchi", "grams": 150.0, "note": ""}, {"ingredient_id": "egg", "name": "Egg, large (50 g each)", "grams": 100.0, "note": ""}, {"ingredient_id": "green_onion", "name": "Green onions (scallions)", "grams": 20.0, "note": ""}, {"ingredient_id": "garlic", "name": "Garlic", "grams": 6.0, "note": ""}, {"ingredient_id": "tamari", "name": "Tamari (gluten-free soy sauce)", "grams": 15.0, "note": ""}, {"ingredient_id": "sesame_oil", "name": "Toasted sesame oil", "grams": 8.0, "note": ""}, {"ingredient_id": "gochujang", "name": "Gochujang (small amount)", "grams": 8.0, "note": ""}, {"ingredient_id": "avocado_oil", "name": "Avocado oil", "grams": 10.0, "note": ""}]</t>
        </is>
      </c>
      <c r="N572" s="2" t="n">
        <v>291</v>
      </c>
      <c r="O572" s="5" t="n">
        <v>38.8</v>
      </c>
      <c r="P572" s="5" t="n">
        <v>10.7</v>
      </c>
      <c r="Q572" s="5" t="n">
        <v>12.4</v>
      </c>
      <c r="R572" s="5" t="n">
        <v>4.5</v>
      </c>
      <c r="S572" s="5" t="n">
        <v>7.9</v>
      </c>
      <c r="T572" s="2" t="n">
        <v>20</v>
      </c>
      <c r="U572" s="2" t="inlineStr">
        <is>
          <t>low</t>
        </is>
      </c>
      <c r="V572" s="5" t="n">
        <v>1.6</v>
      </c>
      <c r="W572" s="2" t="inlineStr">
        <is>
          <t>low</t>
        </is>
      </c>
      <c r="X572" s="3" t="inlineStr"/>
      <c r="Y572" s="3" t="inlineStr">
        <is>
          <t>0% of this dish's available carbohydrate comes from ingredients with a published, measured GI; the rest uses conventional placeholders (see Ingredients sheet)</t>
        </is>
      </c>
      <c r="Z572" s="2" t="n">
        <v>0</v>
      </c>
      <c r="AA572" s="3" t="inlineStr">
        <is>
          <t>pescatarian, dairy-free, nut-free, low-carb, high-protein, probiotic</t>
        </is>
      </c>
      <c r="AB572" s="3" t="inlineStr">
        <is>
          <t>1. Sauté shrimp with garlic in oil; remove.
2. Stir-fry kimchi and cauliflower rice 5 minutes; scramble eggs in.
3. Return shrimp with tamari, gochujang, sesame oil, green onion.</t>
        </is>
      </c>
      <c r="AC572" s="4" t="inlineStr">
        <is>
          <t>["Sauté shrimp with garlic in oil; remove.", "Stir-fry kimchi and cauliflower rice 5 minutes; scramble eggs in.", "Return shrimp with tamari, gochujang, sesame oil, green onion."]</t>
        </is>
      </c>
    </row>
    <row r="573" ht="96" customHeight="1">
      <c r="A573" s="2" t="inlineStr">
        <is>
          <t>DB-0572</t>
        </is>
      </c>
      <c r="B573" s="3" t="inlineStr">
        <is>
          <t>Cod Cakes with Lemon Dill Sauce</t>
        </is>
      </c>
      <c r="C573" s="4" t="inlineStr">
        <is>
          <t>Seafood</t>
        </is>
      </c>
      <c r="D573" s="4" t="inlineStr">
        <is>
          <t>American</t>
        </is>
      </c>
      <c r="E573" s="2" t="n">
        <v>4</v>
      </c>
      <c r="F573" s="2" t="n">
        <v>15</v>
      </c>
      <c r="G573" s="2" t="n">
        <v>15</v>
      </c>
      <c r="H573" s="2" t="n">
        <v>30</v>
      </c>
      <c r="I573" s="4" t="inlineStr">
        <is>
          <t>cod-cakes-with-lemon-dill-sauce.jpg</t>
        </is>
      </c>
      <c r="J573" s="3" t="inlineStr">
        <is>
          <t>Cod Cakes with Lemon Dill Sauce, healthy food photography, plated, natural light</t>
        </is>
      </c>
      <c r="K573" s="4" t="inlineStr"/>
      <c r="L573" s="3" t="inlineStr">
        <is>
          <t>Cod fillet — 600 g (21.2 oz) [cooked &amp; flaked]
Egg, large (50 g each) — 100 g (3.5 oz)
Almond flour — 50 g (1.8 oz)
Green onions (scallions) — 25 g (0.9 oz)
Dijon mustard — 10 g (0.4 oz)
Old Bay seasoning — 3 g (0.1 oz)
Greek yogurt, plain 2% — 120 g (4.2 oz)
Fresh dill — 8 g (0.3 oz)
Lemon (with juice &amp; zest) — 40 g (1.4 oz)
Extra-virgin olive oil — 20 g (0.7 oz)
Arugula — 150 g (5.3 oz)</t>
        </is>
      </c>
      <c r="M573" s="4" t="inlineStr">
        <is>
          <t>[{"ingredient_id": "cod", "name": "Cod fillet", "grams": 600.0, "note": "cooked &amp; flaked"}, {"ingredient_id": "egg", "name": "Egg, large (50 g each)", "grams": 100.0, "note": ""}, {"ingredient_id": "almond_flour", "name": "Almond flour", "grams": 50.0, "note": ""}, {"ingredient_id": "green_onion", "name": "Green onions (scallions)", "grams": 25.0, "note": ""}, {"ingredient_id": "dijon", "name": "Dijon mustard", "grams": 10.0, "note": ""}, {"ingredient_id": "old_bay", "name": "Old Bay seasoning", "grams": 3.0, "note": ""}, {"ingredient_id": "greek_yogurt", "name": "Greek yogurt, plain 2%", "grams": 120.0, "note": ""}, {"ingredient_id": "dill", "name": "Fresh dill", "grams": 8.0, "note": ""}, {"ingredient_id": "lemon", "name": "Lemon (with juice &amp; zest)", "grams": 40.0, "note": ""}, {"ingredient_id": "olive_oil", "name": "Extra-virgin olive oil", "grams": 20.0, "note": ""}, {"ingredient_id": "arugula", "name": "Arugula", "grams": 150.0, "note": ""}]</t>
        </is>
      </c>
      <c r="N573" s="2" t="n">
        <v>318</v>
      </c>
      <c r="O573" s="5" t="n">
        <v>37.2</v>
      </c>
      <c r="P573" s="5" t="n">
        <v>15.7</v>
      </c>
      <c r="Q573" s="5" t="n">
        <v>7.5</v>
      </c>
      <c r="R573" s="5" t="n">
        <v>2.8</v>
      </c>
      <c r="S573" s="5" t="n">
        <v>4.6</v>
      </c>
      <c r="T573" s="2" t="n">
        <v>14</v>
      </c>
      <c r="U573" s="2" t="inlineStr">
        <is>
          <t>low</t>
        </is>
      </c>
      <c r="V573" s="5" t="n">
        <v>0.6</v>
      </c>
      <c r="W573" s="2" t="inlineStr">
        <is>
          <t>low</t>
        </is>
      </c>
      <c r="X573" s="3" t="inlineStr">
        <is>
          <t>Negligible carbohydrate (&lt;5 g net/serving): GI has little practical meaning, glycemic load is what matters.</t>
        </is>
      </c>
      <c r="Y573" s="3" t="inlineStr">
        <is>
          <t>26% of this dish's available carbohydrate comes from ingredients with a published, measured GI; the rest uses conventional placeholders (see Ingredients sheet)</t>
        </is>
      </c>
      <c r="Z573" s="2" t="n">
        <v>26</v>
      </c>
      <c r="AA573" s="3" t="inlineStr">
        <is>
          <t>pescatarian, gluten-free, low-carb, high-protein</t>
        </is>
      </c>
      <c r="AB573" s="3" t="inlineStr">
        <is>
          <t>1. Mix flaked cod, eggs, almond flour, green onion, Dijon, Old Bay; form 8 cakes.
2. Pan-fry in oil 4 minutes per side.
3. Mix yogurt, dill, lemon; serve cakes over arugula.</t>
        </is>
      </c>
      <c r="AC573" s="4" t="inlineStr">
        <is>
          <t>["Mix flaked cod, eggs, almond flour, green onion, Dijon, Old Bay; form 8 cakes.", "Pan-fry in oil 4 minutes per side.", "Mix yogurt, dill, lemon; serve cakes over arugula."]</t>
        </is>
      </c>
    </row>
    <row r="574" ht="96" customHeight="1">
      <c r="A574" s="2" t="inlineStr">
        <is>
          <t>DB-0573</t>
        </is>
      </c>
      <c r="B574" s="3" t="inlineStr">
        <is>
          <t>Shrimp Primavera with Chickpea Pasta</t>
        </is>
      </c>
      <c r="C574" s="4" t="inlineStr">
        <is>
          <t>Seafood</t>
        </is>
      </c>
      <c r="D574" s="4" t="inlineStr">
        <is>
          <t>Italian</t>
        </is>
      </c>
      <c r="E574" s="2" t="n">
        <v>4</v>
      </c>
      <c r="F574" s="2" t="n">
        <v>10</v>
      </c>
      <c r="G574" s="2" t="n">
        <v>15</v>
      </c>
      <c r="H574" s="2" t="n">
        <v>25</v>
      </c>
      <c r="I574" s="4" t="inlineStr">
        <is>
          <t>shrimp-primavera-with-chickpea-pasta.jpg</t>
        </is>
      </c>
      <c r="J574" s="3" t="inlineStr">
        <is>
          <t>Shrimp Primavera with Chickpea Pasta, healthy food photography, plated, natural light</t>
        </is>
      </c>
      <c r="K574" s="4" t="inlineStr"/>
      <c r="L574" s="3" t="inlineStr">
        <is>
          <t>Shrimp, peeled — 500 g (17.6 oz)
Chickpea pasta, cooked — 320 g (11.3 oz)
Asparagus — 200 g (7.1 oz)
Zucchini — 150 g (5.3 oz)
Cherry tomatoes — 200 g (7.1 oz)
Green peas — 80 g (2.8 oz)
Garlic — 8 g (0.3 oz)
Extra-virgin olive oil — 20 g (0.7 oz)
Lemon (with juice &amp; zest) — 40 g (1.4 oz)
Parmesan, grated — 30 g (1.1 oz)
Fresh basil — 8 g (0.3 oz)
Salt — 3 g (0.1 oz)</t>
        </is>
      </c>
      <c r="M574" s="4" t="inlineStr">
        <is>
          <t>[{"ingredient_id": "shrimp", "name": "Shrimp, peeled", "grams": 500.0, "note": ""}, {"ingredient_id": "chickpea_pasta", "name": "Chickpea pasta, cooked", "grams": 320.0, "note": ""}, {"ingredient_id": "asparagus", "name": "Asparagus", "grams": 200.0, "note": ""}, {"ingredient_id": "zucchini", "name": "Zucchini", "grams": 150.0, "note": ""}, {"ingredient_id": "cherry_tomato", "name": "Cherry tomatoes", "grams": 200.0, "note": ""}, {"ingredient_id": "green_peas", "name": "Green peas", "grams": 80.0, "note": ""}, {"ingredient_id": "garlic", "name": "Garlic", "grams": 8.0, "note": ""}, {"ingredient_id": "olive_oil", "name": "Extra-virgin olive oil", "grams": 20.0, "note": ""}, {"ingredient_id": "lemon", "name": "Lemon (with juice &amp; zest)", "grams": 40.0, "note": ""}, {"ingredient_id": "parmesan", "name": "Parmesan, grated", "grams": 30.0, "note": ""}, {"ingredient_id": "basil", "name": "Fresh basil", "grams": 8.0, "note": ""}, {"ingredient_id": "salt", "name": "Salt", "grams": 3.0, "note": ""}]</t>
        </is>
      </c>
      <c r="N574" s="2" t="n">
        <v>363</v>
      </c>
      <c r="O574" s="5" t="n">
        <v>40.8</v>
      </c>
      <c r="P574" s="5" t="n">
        <v>10.6</v>
      </c>
      <c r="Q574" s="5" t="n">
        <v>31.4</v>
      </c>
      <c r="R574" s="5" t="n">
        <v>8.300000000000001</v>
      </c>
      <c r="S574" s="5" t="n">
        <v>23.1</v>
      </c>
      <c r="T574" s="2" t="n">
        <v>28</v>
      </c>
      <c r="U574" s="2" t="inlineStr">
        <is>
          <t>low</t>
        </is>
      </c>
      <c r="V574" s="5" t="n">
        <v>6.5</v>
      </c>
      <c r="W574" s="2" t="inlineStr">
        <is>
          <t>low</t>
        </is>
      </c>
      <c r="X574" s="3" t="inlineStr"/>
      <c r="Y574" s="3" t="inlineStr">
        <is>
          <t>7% of this dish's available carbohydrate comes from ingredients with a published, measured GI; the rest uses conventional placeholders (see Ingredients sheet)</t>
        </is>
      </c>
      <c r="Z574" s="2" t="n">
        <v>7</v>
      </c>
      <c r="AA574" s="3" t="inlineStr">
        <is>
          <t>pescatarian, gluten-free, nut-free, high-protein, high-fiber</t>
        </is>
      </c>
      <c r="AB574" s="3" t="inlineStr">
        <is>
          <t>1. Cook pasta al dente.
2. Sauté garlic, asparagus, zucchini 4 minutes; add shrimp and tomatoes 3 minutes; add peas.
3. Toss with pasta, lemon, parmesan, basil.</t>
        </is>
      </c>
      <c r="AC574" s="4" t="inlineStr">
        <is>
          <t>["Cook pasta al dente.", "Sauté garlic, asparagus, zucchini 4 minutes; add shrimp and tomatoes 3 minutes; add peas.", "Toss with pasta, lemon, parmesan, basil."]</t>
        </is>
      </c>
    </row>
    <row r="575" ht="96" customHeight="1">
      <c r="A575" s="2" t="inlineStr">
        <is>
          <t>DB-0574</t>
        </is>
      </c>
      <c r="B575" s="3" t="inlineStr">
        <is>
          <t>Salmon Poke Lettuce Cups</t>
        </is>
      </c>
      <c r="C575" s="4" t="inlineStr">
        <is>
          <t>Seafood</t>
        </is>
      </c>
      <c r="D575" s="4" t="inlineStr">
        <is>
          <t>Hawaiian</t>
        </is>
      </c>
      <c r="E575" s="2" t="n">
        <v>2</v>
      </c>
      <c r="F575" s="2" t="n">
        <v>15</v>
      </c>
      <c r="G575" s="2" t="n">
        <v>0</v>
      </c>
      <c r="H575" s="2" t="n">
        <v>15</v>
      </c>
      <c r="I575" s="4" t="inlineStr">
        <is>
          <t>salmon-poke-lettuce-cups.jpg</t>
        </is>
      </c>
      <c r="J575" s="3" t="inlineStr">
        <is>
          <t>Salmon Poke Lettuce Cups, healthy food photography, plated, natural light</t>
        </is>
      </c>
      <c r="K575" s="4" t="inlineStr"/>
      <c r="L575" s="3" t="inlineStr">
        <is>
          <t>Salmon fillet — 300 g (10.6 oz) [sushi-grade]
Tamari (gluten-free soy sauce) — 15 g (0.5 oz)
Toasted sesame oil — 6 g (0.2 oz)
Rice vinegar, unseasoned — 6 g (0.2 oz)
Green onions (scallions) — 15 g (0.5 oz)
Avocado — 80 g (2.8 oz)
Cucumber — 80 g (2.8 oz)
Sesame seeds — 6 g (0.2 oz)
Butter lettuce — 120 g (4.2 oz)
Wakame seaweed, rehydrated — 40 g (1.4 oz)</t>
        </is>
      </c>
      <c r="M575" s="4" t="inlineStr">
        <is>
          <t>[{"ingredient_id": "salmon", "name": "Salmon fillet", "grams": 300.0, "note": "sushi-grade"}, {"ingredient_id": "tamari", "name": "Tamari (gluten-free soy sauce)", "grams": 15.0, "note": ""}, {"ingredient_id": "sesame_oil", "name": "Toasted sesame oil", "grams": 6.0, "note": ""}, {"ingredient_id": "rice_vinegar", "name": "Rice vinegar, unseasoned", "grams": 6.0, "note": ""}, {"ingredient_id": "green_onion", "name": "Green onions (scallions)", "grams": 15.0, "note": ""}, {"ingredient_id": "avocado", "name": "Avocado", "grams": 80.0, "note": ""}, {"ingredient_id": "cucumber", "name": "Cucumber", "grams": 80.0, "note": ""}, {"ingredient_id": "sesame_seeds", "name": "Sesame seeds", "grams": 6.0, "note": ""}, {"ingredient_id": "butter_lettuce", "name": "Butter lettuce", "grams": 120.0, "note": ""}, {"ingredient_id": "seaweed_salad", "name": "Wakame seaweed, rehydrated", "grams": 40.0, "note": ""}]</t>
        </is>
      </c>
      <c r="N575" s="2" t="n">
        <v>450</v>
      </c>
      <c r="O575" s="5" t="n">
        <v>33.9</v>
      </c>
      <c r="P575" s="5" t="n">
        <v>30.3</v>
      </c>
      <c r="Q575" s="5" t="n">
        <v>9.6</v>
      </c>
      <c r="R575" s="5" t="n">
        <v>4.3</v>
      </c>
      <c r="S575" s="5" t="n">
        <v>5.3</v>
      </c>
      <c r="T575" s="2" t="n">
        <v>16</v>
      </c>
      <c r="U575" s="2" t="inlineStr">
        <is>
          <t>low</t>
        </is>
      </c>
      <c r="V575" s="5" t="n">
        <v>0.9</v>
      </c>
      <c r="W575" s="2" t="inlineStr">
        <is>
          <t>low</t>
        </is>
      </c>
      <c r="X575" s="3" t="inlineStr"/>
      <c r="Y575" s="3" t="inlineStr">
        <is>
          <t>0% of this dish's available carbohydrate comes from ingredients with a published, measured GI; the rest uses conventional placeholders (see Ingredients sheet)</t>
        </is>
      </c>
      <c r="Z575" s="2" t="n">
        <v>0</v>
      </c>
      <c r="AA575" s="3" t="inlineStr">
        <is>
          <t>pescatarian, gluten-free, dairy-free, nut-free, low-carb, high-protein, no-cook, omega-3</t>
        </is>
      </c>
      <c r="AB575" s="3" t="inlineStr">
        <is>
          <t>1. Cube salmon; toss with tamari, sesame oil, vinegar, green onion.
2. Fill lettuce cups with poke, avocado, cucumber, seaweed.
3. Sprinkle sesame.</t>
        </is>
      </c>
      <c r="AC575" s="4" t="inlineStr">
        <is>
          <t>["Cube salmon; toss with tamari, sesame oil, vinegar, green onion.", "Fill lettuce cups with poke, avocado, cucumber, seaweed.", "Sprinkle sesame."]</t>
        </is>
      </c>
    </row>
    <row r="576" ht="96" customHeight="1">
      <c r="A576" s="2" t="inlineStr">
        <is>
          <t>DB-0575</t>
        </is>
      </c>
      <c r="B576" s="3" t="inlineStr">
        <is>
          <t>Baked Snapper with Tomatoes &amp; Herbs</t>
        </is>
      </c>
      <c r="C576" s="4" t="inlineStr">
        <is>
          <t>Seafood</t>
        </is>
      </c>
      <c r="D576" s="4" t="inlineStr">
        <is>
          <t>Mediterranean</t>
        </is>
      </c>
      <c r="E576" s="2" t="n">
        <v>4</v>
      </c>
      <c r="F576" s="2" t="n">
        <v>10</v>
      </c>
      <c r="G576" s="2" t="n">
        <v>18</v>
      </c>
      <c r="H576" s="2" t="n">
        <v>28</v>
      </c>
      <c r="I576" s="4" t="inlineStr">
        <is>
          <t>baked-snapper-with-tomatoes-and-herbs.jpg</t>
        </is>
      </c>
      <c r="J576" s="3" t="inlineStr">
        <is>
          <t>Baked Snapper with Tomatoes &amp; Herbs, healthy food photography, plated, natural light</t>
        </is>
      </c>
      <c r="K576" s="4" t="inlineStr"/>
      <c r="L576" s="3" t="inlineStr">
        <is>
          <t>Red snapper fillet — 600 g (21.2 oz)
Cherry tomatoes — 300 g (10.6 oz)
Garlic — 8 g (0.3 oz)
Extra-virgin olive oil — 15 g (0.5 oz)
Dry white wine (cooking) — 50 g (1.8 oz)
Dried oregano — 2 g (0.1 oz)
Fresh basil — 8 g (0.3 oz)
Lemon (with juice &amp; zest) — 40 g (1.4 oz)
Zucchini — 300 g (10.6 oz)
Salt — 3 g (0.1 oz)</t>
        </is>
      </c>
      <c r="M576" s="4" t="inlineStr">
        <is>
          <t>[{"ingredient_id": "snapper", "name": "Red snapper fillet", "grams": 600.0, "note": ""}, {"ingredient_id": "cherry_tomato", "name": "Cherry tomatoes", "grams": 300.0, "note": ""}, {"ingredient_id": "garlic", "name": "Garlic", "grams": 8.0, "note": ""}, {"ingredient_id": "olive_oil", "name": "Extra-virgin olive oil", "grams": 15.0, "note": ""}, {"ingredient_id": "white_wine", "name": "Dry white wine (cooking)", "grams": 50.0, "note": ""}, {"ingredient_id": "oregano", "name": "Dried oregano", "grams": 2.0, "note": ""}, {"ingredient_id": "basil", "name": "Fresh basil", "grams": 8.0, "note": ""}, {"ingredient_id": "lemon", "name": "Lemon (with juice &amp; zest)", "grams": 40.0, "note": ""}, {"ingredient_id": "zucchini", "name": "Zucchini", "grams": 300.0, "note": ""}, {"ingredient_id": "salt", "name": "Salt", "grams": 3.0, "note": ""}]</t>
        </is>
      </c>
      <c r="N576" s="2" t="n">
        <v>227</v>
      </c>
      <c r="O576" s="5" t="n">
        <v>31.9</v>
      </c>
      <c r="P576" s="5" t="n">
        <v>6.1</v>
      </c>
      <c r="Q576" s="5" t="n">
        <v>7.6</v>
      </c>
      <c r="R576" s="5" t="n">
        <v>2.2</v>
      </c>
      <c r="S576" s="5" t="n">
        <v>5.3</v>
      </c>
      <c r="T576" s="2" t="n">
        <v>16</v>
      </c>
      <c r="U576" s="2" t="inlineStr">
        <is>
          <t>low</t>
        </is>
      </c>
      <c r="V576" s="5" t="n">
        <v>0.9</v>
      </c>
      <c r="W576" s="2" t="inlineStr">
        <is>
          <t>low</t>
        </is>
      </c>
      <c r="X576" s="3" t="inlineStr"/>
      <c r="Y576" s="3" t="inlineStr">
        <is>
          <t>0% of this dish's available carbohydrate comes from ingredients with a published, measured GI; the rest uses conventional placeholders (see Ingredients sheet)</t>
        </is>
      </c>
      <c r="Z576" s="2" t="n">
        <v>0</v>
      </c>
      <c r="AA576" s="3" t="inlineStr">
        <is>
          <t>pescatarian, gluten-free, dairy-free, nut-free, low-carb, high-protein, one-pan</t>
        </is>
      </c>
      <c r="AB576" s="3" t="inlineStr">
        <is>
          <t>1. Place snapper in a dish with tomatoes, zucchini, garlic; drizzle oil, wine, lemon; season.
2. Bake at 400°F 15–18 minutes.
3. Top with basil.</t>
        </is>
      </c>
      <c r="AC576" s="4" t="inlineStr">
        <is>
          <t>["Place snapper in a dish with tomatoes, zucchini, garlic; drizzle oil, wine, lemon; season.", "Bake at 400°F 15–18 minutes.", "Top with basil."]</t>
        </is>
      </c>
    </row>
    <row r="577" ht="96" customHeight="1">
      <c r="A577" s="2" t="inlineStr">
        <is>
          <t>DB-0576</t>
        </is>
      </c>
      <c r="B577" s="3" t="inlineStr">
        <is>
          <t>Shrimp Caesar Zoodle Bowl</t>
        </is>
      </c>
      <c r="C577" s="4" t="inlineStr">
        <is>
          <t>Seafood</t>
        </is>
      </c>
      <c r="D577" s="4" t="inlineStr">
        <is>
          <t>American</t>
        </is>
      </c>
      <c r="E577" s="2" t="n">
        <v>2</v>
      </c>
      <c r="F577" s="2" t="n">
        <v>10</v>
      </c>
      <c r="G577" s="2" t="n">
        <v>6</v>
      </c>
      <c r="H577" s="2" t="n">
        <v>16</v>
      </c>
      <c r="I577" s="4" t="inlineStr">
        <is>
          <t>shrimp-caesar-zoodle-bowl.jpg</t>
        </is>
      </c>
      <c r="J577" s="3" t="inlineStr">
        <is>
          <t>Shrimp Caesar Zoodle Bowl, healthy food photography, plated, natural light</t>
        </is>
      </c>
      <c r="K577" s="4" t="inlineStr"/>
      <c r="L577" s="3" t="inlineStr">
        <is>
          <t>Shrimp, peeled — 300 g (10.6 oz)
Zucchini noodles (zoodles) — 350 g (12.3 oz)
Romaine lettuce — 100 g (3.5 oz)
Parmesan, grated — 25 g (0.9 oz)
Greek yogurt, plain 2% — 60 g (2.1 oz)
Lemon juice — 12 g (0.4 oz)
Dijon mustard — 5 g (0.2 oz)
Anchovies, canned — 6 g (0.2 oz)
Garlic — 3 g (0.1 oz)
Extra-virgin olive oil — 12 g (0.4 oz)</t>
        </is>
      </c>
      <c r="M577" s="4" t="inlineStr">
        <is>
          <t>[{"ingredient_id": "shrimp", "name": "Shrimp, peeled", "grams": 300.0, "note": ""}, {"ingredient_id": "zucchini_noodles", "name": "Zucchini noodles (zoodles)", "grams": 350.0, "note": ""}, {"ingredient_id": "romaine", "name": "Romaine lettuce", "grams": 100.0, "note": ""}, {"ingredient_id": "parmesan", "name": "Parmesan, grated", "grams": 25.0, "note": ""}, {"ingredient_id": "greek_yogurt", "name": "Greek yogurt, plain 2%", "grams": 60.0, "note": ""}, {"ingredient_id": "lemon_juice", "name": "Lemon juice", "grams": 12.0, "note": ""}, {"ingredient_id": "dijon", "name": "Dijon mustard", "grams": 5.0, "note": ""}, {"ingredient_id": "anchovies", "name": "Anchovies, canned", "grams": 6.0, "note": ""}, {"ingredient_id": "garlic", "name": "Garlic", "grams": 3.0, "note": ""}, {"ingredient_id": "olive_oil", "name": "Extra-virgin olive oil", "grams": 12.0, "note": ""}]</t>
        </is>
      </c>
      <c r="N577" s="2" t="n">
        <v>306</v>
      </c>
      <c r="O577" s="5" t="n">
        <v>41.5</v>
      </c>
      <c r="P577" s="5" t="n">
        <v>12.1</v>
      </c>
      <c r="Q577" s="5" t="n">
        <v>9.800000000000001</v>
      </c>
      <c r="R577" s="5" t="n">
        <v>2.9</v>
      </c>
      <c r="S577" s="5" t="n">
        <v>6.9</v>
      </c>
      <c r="T577" s="2" t="n">
        <v>15</v>
      </c>
      <c r="U577" s="2" t="inlineStr">
        <is>
          <t>low</t>
        </is>
      </c>
      <c r="V577" s="5" t="n">
        <v>1</v>
      </c>
      <c r="W577" s="2" t="inlineStr">
        <is>
          <t>low</t>
        </is>
      </c>
      <c r="X577" s="3" t="inlineStr"/>
      <c r="Y577" s="3" t="inlineStr">
        <is>
          <t>17% of this dish's available carbohydrate comes from ingredients with a published, measured GI; the rest uses conventional placeholders (see Ingredients sheet)</t>
        </is>
      </c>
      <c r="Z577" s="2" t="n">
        <v>17</v>
      </c>
      <c r="AA577" s="3" t="inlineStr">
        <is>
          <t>pescatarian, gluten-free, nut-free, low-carb, high-protein, quick</t>
        </is>
      </c>
      <c r="AB577" s="3" t="inlineStr">
        <is>
          <t>1. Sauté shrimp 3 minutes.
2. Whisk yogurt, lemon, Dijon, anchovy, garlic, oil.
3. Toss zoodles and romaine with dressing; top shrimp and parmesan.</t>
        </is>
      </c>
      <c r="AC577" s="4" t="inlineStr">
        <is>
          <t>["Sauté shrimp 3 minutes.", "Whisk yogurt, lemon, Dijon, anchovy, garlic, oil.", "Toss zoodles and romaine with dressing; top shrimp and parmesan."]</t>
        </is>
      </c>
    </row>
    <row r="578" ht="96" customHeight="1">
      <c r="A578" s="2" t="inlineStr">
        <is>
          <t>DB-0577</t>
        </is>
      </c>
      <c r="B578" s="3" t="inlineStr">
        <is>
          <t>Salmon Tacos with Chipotle Yogurt</t>
        </is>
      </c>
      <c r="C578" s="4" t="inlineStr">
        <is>
          <t>Seafood</t>
        </is>
      </c>
      <c r="D578" s="4" t="inlineStr">
        <is>
          <t>Mexican</t>
        </is>
      </c>
      <c r="E578" s="2" t="n">
        <v>4</v>
      </c>
      <c r="F578" s="2" t="n">
        <v>10</v>
      </c>
      <c r="G578" s="2" t="n">
        <v>10</v>
      </c>
      <c r="H578" s="2" t="n">
        <v>20</v>
      </c>
      <c r="I578" s="4" t="inlineStr">
        <is>
          <t>salmon-tacos-with-chipotle-yogurt.jpg</t>
        </is>
      </c>
      <c r="J578" s="3" t="inlineStr">
        <is>
          <t>Salmon Tacos with Chipotle Yogurt, healthy food photography, plated, natural light</t>
        </is>
      </c>
      <c r="K578" s="4" t="inlineStr"/>
      <c r="L578" s="3" t="inlineStr">
        <is>
          <t>Salmon fillet — 600 g (21.2 oz)
Chili powder — 4 g (0.1 oz)
Ground cumin — 2 g (0.1 oz)
Corn tortilla — 200 g (7.1 oz) [8 small]
Greek yogurt, plain 2% — 100 g (3.5 oz)
Chipotle peppers in adobo — 15 g (0.5 oz)
Lime — 40 g (1.4 oz)
Green cabbage — 250 g (8.8 oz)
Avocado — 100 g (3.5 oz)
Fresh cilantro — 8 g (0.3 oz)
Extra-virgin olive oil — 10 g (0.4 oz)</t>
        </is>
      </c>
      <c r="M578" s="4" t="inlineStr">
        <is>
          <t>[{"ingredient_id": "salmon", "name": "Salmon fillet", "grams": 600.0, "note": ""}, {"ingredient_id": "chili_powder", "name": "Chili powder", "grams": 4.0, "note": ""}, {"ingredient_id": "cumin", "name": "Ground cumin", "grams": 2.0, "note": ""}, {"ingredient_id": "corn_tortilla", "name": "Corn tortilla", "grams": 200.0, "note": "8 small"}, {"ingredient_id": "greek_yogurt", "name": "Greek yogurt, plain 2%", "grams": 100.0, "note": ""}, {"ingredient_id": "chipotle_adobo", "name": "Chipotle peppers in adobo", "grams": 15.0, "note": ""}, {"ingredient_id": "lime", "name": "Lime", "grams": 40.0, "note": ""}, {"ingredient_id": "cabbage", "name": "Green cabbage", "grams": 250.0, "note": ""}, {"ingredient_id": "avocado", "name": "Avocado", "grams": 100.0, "note": ""}, {"ingredient_id": "cilantro", "name": "Fresh cilantro", "grams": 8.0, "note": ""}, {"ingredient_id": "olive_oil", "name": "Extra-virgin olive oil", "grams": 10.0, "note": ""}]</t>
        </is>
      </c>
      <c r="N578" s="2" t="n">
        <v>528</v>
      </c>
      <c r="O578" s="5" t="n">
        <v>37.1</v>
      </c>
      <c r="P578" s="5" t="n">
        <v>28.1</v>
      </c>
      <c r="Q578" s="5" t="n">
        <v>31.6</v>
      </c>
      <c r="R578" s="5" t="n">
        <v>7.3</v>
      </c>
      <c r="S578" s="5" t="n">
        <v>24.3</v>
      </c>
      <c r="T578" s="2" t="n">
        <v>45</v>
      </c>
      <c r="U578" s="2" t="inlineStr">
        <is>
          <t>low</t>
        </is>
      </c>
      <c r="V578" s="5" t="n">
        <v>11</v>
      </c>
      <c r="W578" s="2" t="inlineStr">
        <is>
          <t>medium</t>
        </is>
      </c>
      <c r="X578" s="3" t="inlineStr"/>
      <c r="Y578" s="3" t="inlineStr">
        <is>
          <t>84% of this dish's available carbohydrate comes from ingredients with a published, measured GI; the rest uses conventional placeholders (see Ingredients sheet)</t>
        </is>
      </c>
      <c r="Z578" s="2" t="n">
        <v>84</v>
      </c>
      <c r="AA578" s="3" t="inlineStr">
        <is>
          <t>pescatarian, gluten-free, nut-free, high-protein, high-fiber, omega-3</t>
        </is>
      </c>
      <c r="AB578" s="3" t="inlineStr">
        <is>
          <t>1. Rub salmon with spices and oil; broil 8 minutes; flake.
2. Mix yogurt with minced chipotle and lime.
3. Fill tortillas with cabbage, salmon, avocado, chipotle yogurt, cilantro.</t>
        </is>
      </c>
      <c r="AC578" s="4" t="inlineStr">
        <is>
          <t>["Rub salmon with spices and oil; broil 8 minutes; flake.", "Mix yogurt with minced chipotle and lime.", "Fill tortillas with cabbage, salmon, avocado, chipotle yogurt, cilantro."]</t>
        </is>
      </c>
    </row>
    <row r="579" ht="96" customHeight="1">
      <c r="A579" s="2" t="inlineStr">
        <is>
          <t>DB-0578</t>
        </is>
      </c>
      <c r="B579" s="3" t="inlineStr">
        <is>
          <t>Shrimp Spinach Artichoke Skillet</t>
        </is>
      </c>
      <c r="C579" s="4" t="inlineStr">
        <is>
          <t>Seafood</t>
        </is>
      </c>
      <c r="D579" s="4" t="inlineStr">
        <is>
          <t>American</t>
        </is>
      </c>
      <c r="E579" s="2" t="n">
        <v>4</v>
      </c>
      <c r="F579" s="2" t="n">
        <v>10</v>
      </c>
      <c r="G579" s="2" t="n">
        <v>15</v>
      </c>
      <c r="H579" s="2" t="n">
        <v>25</v>
      </c>
      <c r="I579" s="4" t="inlineStr">
        <is>
          <t>shrimp-spinach-artichoke-skillet.jpg</t>
        </is>
      </c>
      <c r="J579" s="3" t="inlineStr">
        <is>
          <t>Shrimp Spinach Artichoke Skillet, healthy food photography, plated, natural light</t>
        </is>
      </c>
      <c r="K579" s="4" t="inlineStr"/>
      <c r="L579" s="3" t="inlineStr">
        <is>
          <t>Shrimp, peeled — 600 g (21.2 oz)
Spinach — 300 g (10.6 oz)
Artichoke hearts, canned in water — 250 g (8.8 oz)
Garlic — 8 g (0.3 oz)
Cream cheese — 50 g (1.8 oz)
Greek yogurt, plain 2% — 80 g (2.8 oz)
Parmesan, grated — 40 g (1.4 oz)
Extra-virgin olive oil — 12 g (0.4 oz)
Lemon (with juice &amp; zest) — 30 g (1.1 oz)
Salt — 2 g (0.1 oz)</t>
        </is>
      </c>
      <c r="M579" s="4" t="inlineStr">
        <is>
          <t>[{"ingredient_id": "shrimp", "name": "Shrimp, peeled", "grams": 600.0, "note": ""}, {"ingredient_id": "spinach", "name": "Spinach", "grams": 300.0, "note": ""}, {"ingredient_id": "artichoke_hearts", "name": "Artichoke hearts, canned in water", "grams": 250.0, "note": ""}, {"ingredient_id": "garlic", "name": "Garlic", "grams": 8.0, "note": ""}, {"ingredient_id": "cream_cheese", "name": "Cream cheese", "grams": 50.0, "note": ""}, {"ingredient_id": "greek_yogurt", "name": "Greek yogurt, plain 2%", "grams": 80.0, "note": ""}, {"ingredient_id": "parmesan", "name": "Parmesan, grated", "grams": 40.0, "note": ""}, {"ingredient_id": "olive_oil", "name": "Extra-virgin olive oil", "grams": 12.0, "note": ""}, {"ingredient_id": "lemon", "name": "Lemon (with juice &amp; zest)", "grams": 30.0, "note": ""}, {"ingredient_id": "salt", "name": "Salt", "grams": 2.0, "note": ""}]</t>
        </is>
      </c>
      <c r="N579" s="2" t="n">
        <v>306</v>
      </c>
      <c r="O579" s="5" t="n">
        <v>41</v>
      </c>
      <c r="P579" s="5" t="n">
        <v>11.8</v>
      </c>
      <c r="Q579" s="5" t="n">
        <v>12.3</v>
      </c>
      <c r="R579" s="5" t="n">
        <v>5.3</v>
      </c>
      <c r="S579" s="5" t="n">
        <v>7</v>
      </c>
      <c r="T579" s="2" t="n">
        <v>14</v>
      </c>
      <c r="U579" s="2" t="inlineStr">
        <is>
          <t>low</t>
        </is>
      </c>
      <c r="V579" s="5" t="n">
        <v>1</v>
      </c>
      <c r="W579" s="2" t="inlineStr">
        <is>
          <t>low</t>
        </is>
      </c>
      <c r="X579" s="3" t="inlineStr"/>
      <c r="Y579" s="3" t="inlineStr">
        <is>
          <t>11% of this dish's available carbohydrate comes from ingredients with a published, measured GI; the rest uses conventional placeholders (see Ingredients sheet)</t>
        </is>
      </c>
      <c r="Z579" s="2" t="n">
        <v>11</v>
      </c>
      <c r="AA579" s="3" t="inlineStr">
        <is>
          <t>pescatarian, gluten-free, nut-free, low-carb, high-protein, one-pan</t>
        </is>
      </c>
      <c r="AB579" s="3" t="inlineStr">
        <is>
          <t>1. Sauté shrimp with garlic in oil; remove.
2. Wilt spinach; add artichokes, cream cheese, yogurt, parmesan; stir until creamy.
3. Return shrimp; finish with lemon.</t>
        </is>
      </c>
      <c r="AC579" s="4" t="inlineStr">
        <is>
          <t>["Sauté shrimp with garlic in oil; remove.", "Wilt spinach; add artichokes, cream cheese, yogurt, parmesan; stir until creamy.", "Return shrimp; finish with lemon."]</t>
        </is>
      </c>
    </row>
    <row r="580" ht="96" customHeight="1">
      <c r="A580" s="2" t="inlineStr">
        <is>
          <t>DB-0579</t>
        </is>
      </c>
      <c r="B580" s="3" t="inlineStr">
        <is>
          <t>Grilled Tuna with Avocado &amp; Tomato Salad</t>
        </is>
      </c>
      <c r="C580" s="4" t="inlineStr">
        <is>
          <t>Seafood</t>
        </is>
      </c>
      <c r="D580" s="4" t="inlineStr">
        <is>
          <t>Mediterranean</t>
        </is>
      </c>
      <c r="E580" s="2" t="n">
        <v>4</v>
      </c>
      <c r="F580" s="2" t="n">
        <v>10</v>
      </c>
      <c r="G580" s="2" t="n">
        <v>6</v>
      </c>
      <c r="H580" s="2" t="n">
        <v>16</v>
      </c>
      <c r="I580" s="4" t="inlineStr">
        <is>
          <t>grilled-tuna-with-avocado-and-tomato-salad.jpg</t>
        </is>
      </c>
      <c r="J580" s="3" t="inlineStr">
        <is>
          <t>Grilled Tuna with Avocado &amp; Tomato Salad, healthy food photography, plated, natural light</t>
        </is>
      </c>
      <c r="K580" s="4" t="inlineStr"/>
      <c r="L580" s="3" t="inlineStr">
        <is>
          <t>Tuna steak (ahi) — 600 g (21.2 oz)
Avocado — 150 g (5.3 oz)
Tomato — 250 g (8.8 oz)
Red onion — 40 g (1.4 oz)
Fresh basil — 8 g (0.3 oz)
Extra-virgin olive oil — 20 g (0.7 oz)
Lemon (with juice &amp; zest) — 40 g (1.4 oz)
Capers — 10 g (0.4 oz)
Salt — 3 g (0.1 oz)</t>
        </is>
      </c>
      <c r="M580" s="4" t="inlineStr">
        <is>
          <t>[{"ingredient_id": "tuna_steak", "name": "Tuna steak (ahi)", "grams": 600.0, "note": ""}, {"ingredient_id": "avocado", "name": "Avocado", "grams": 150.0, "note": ""}, {"ingredient_id": "tomato", "name": "Tomato", "grams": 250.0, "note": ""}, {"ingredient_id": "red_onion", "name": "Red onion", "grams": 40.0, "note": ""}, {"ingredient_id": "basil", "name": "Fresh basil", "grams": 8.0, "note": ""}, {"ingredient_id": "olive_oil", "name": "Extra-virgin olive oil", "grams": 20.0, "note": ""}, {"ingredient_id": "lemon", "name": "Lemon (with juice &amp; zest)", "grams": 40.0, "note": ""}, {"ingredient_id": "capers", "name": "Capers", "grams": 10.0, "note": ""}, {"ingredient_id": "salt", "name": "Salt", "grams": 3.0, "note": ""}]</t>
        </is>
      </c>
      <c r="N580" s="2" t="n">
        <v>287</v>
      </c>
      <c r="O580" s="5" t="n">
        <v>37.7</v>
      </c>
      <c r="P580" s="5" t="n">
        <v>12.3</v>
      </c>
      <c r="Q580" s="5" t="n">
        <v>7.7</v>
      </c>
      <c r="R580" s="5" t="n">
        <v>3.8</v>
      </c>
      <c r="S580" s="5" t="n">
        <v>3.8</v>
      </c>
      <c r="T580" s="2" t="n">
        <v>16</v>
      </c>
      <c r="U580" s="2" t="inlineStr">
        <is>
          <t>low</t>
        </is>
      </c>
      <c r="V580" s="5" t="n">
        <v>0.6</v>
      </c>
      <c r="W580" s="2" t="inlineStr">
        <is>
          <t>low</t>
        </is>
      </c>
      <c r="X580" s="3" t="inlineStr">
        <is>
          <t>Negligible carbohydrate (&lt;5 g net/serving): GI has little practical meaning, glycemic load is what matters.</t>
        </is>
      </c>
      <c r="Y580" s="3" t="inlineStr">
        <is>
          <t>0% of this dish's available carbohydrate comes from ingredients with a published, measured GI; the rest uses conventional placeholders (see Ingredients sheet)</t>
        </is>
      </c>
      <c r="Z580" s="2" t="n">
        <v>0</v>
      </c>
      <c r="AA580" s="3" t="inlineStr">
        <is>
          <t>pescatarian, gluten-free, dairy-free, nut-free, low-carb, high-protein, quick</t>
        </is>
      </c>
      <c r="AB580" s="3" t="inlineStr">
        <is>
          <t>1. Brush tuna with oil; grill 2 minutes per side.
2. Toss avocado, tomato, onion, basil, capers with lemon and oil.
3. Slice tuna; serve with salad.</t>
        </is>
      </c>
      <c r="AC580" s="4" t="inlineStr">
        <is>
          <t>["Brush tuna with oil; grill 2 minutes per side.", "Toss avocado, tomato, onion, basil, capers with lemon and oil.", "Slice tuna; serve with salad."]</t>
        </is>
      </c>
    </row>
    <row r="581" ht="96" customHeight="1">
      <c r="A581" s="2" t="inlineStr">
        <is>
          <t>DB-0580</t>
        </is>
      </c>
      <c r="B581" s="3" t="inlineStr">
        <is>
          <t>Almond-Crusted Catfish with Collards</t>
        </is>
      </c>
      <c r="C581" s="4" t="inlineStr">
        <is>
          <t>Seafood</t>
        </is>
      </c>
      <c r="D581" s="4" t="inlineStr">
        <is>
          <t>Southern</t>
        </is>
      </c>
      <c r="E581" s="2" t="n">
        <v>4</v>
      </c>
      <c r="F581" s="2" t="n">
        <v>10</v>
      </c>
      <c r="G581" s="2" t="n">
        <v>30</v>
      </c>
      <c r="H581" s="2" t="n">
        <v>40</v>
      </c>
      <c r="I581" s="4" t="inlineStr">
        <is>
          <t>almond-crusted-catfish-with-collards.jpg</t>
        </is>
      </c>
      <c r="J581" s="3" t="inlineStr">
        <is>
          <t>Almond-Crusted Catfish with Collards, healthy food photography, plated, natural light</t>
        </is>
      </c>
      <c r="K581" s="4" t="inlineStr"/>
      <c r="L581" s="3" t="inlineStr">
        <is>
          <t>Catfish fillet — 600 g (21.2 oz)
Almond flour — 50 g (1.8 oz)
Cajun seasoning — 6 g (0.2 oz)
Egg, large (50 g each) — 50 g (1.8 oz)
Extra-virgin olive oil — 20 g (0.7 oz)
Collard greens — 500 g (17.6 oz)
Yellow onion — 80 g (2.8 oz)
Garlic — 6 g (0.2 oz)
Chicken broth, low sodium — 150 g (5.3 oz)
Apple cider vinegar — 15 g (0.5 oz)
Hot sauce (Tabasco/Frank's) — 5 g (0.2 oz)</t>
        </is>
      </c>
      <c r="M581" s="4" t="inlineStr">
        <is>
          <t>[{"ingredient_id": "catfish", "name": "Catfish fillet", "grams": 600.0, "note": ""}, {"ingredient_id": "almond_flour", "name": "Almond flour", "grams": 50.0, "note": ""}, {"ingredient_id": "cajun_seasoning", "name": "Cajun seasoning", "grams": 6.0, "note": ""}, {"ingredient_id": "egg", "name": "Egg, large (50 g each)", "grams": 50.0, "note": ""}, {"ingredient_id": "olive_oil", "name": "Extra-virgin olive oil", "grams": 20.0, "note": ""}, {"ingredient_id": "collard_greens", "name": "Collard greens", "grams": 500.0, "note": ""}, {"ingredient_id": "onion", "name": "Yellow onion", "grams": 80.0, "note": ""}, {"ingredient_id": "garlic", "name": "Garlic", "grams": 6.0, "note": ""}, {"ingredient_id": "chicken_broth", "name": "Chicken broth, low sodium", "grams": 150.0, "note": ""}, {"ingredient_id": "apple_cider_vinegar", "name": "Apple cider vinegar", "grams": 15.0, "note": ""}, {"ingredient_id": "hot_sauce", "name": "Hot sauce (Tabasco/Frank's)", "grams": 5.0, "note": ""}]</t>
        </is>
      </c>
      <c r="N581" s="2" t="n">
        <v>337</v>
      </c>
      <c r="O581" s="5" t="n">
        <v>32.8</v>
      </c>
      <c r="P581" s="5" t="n">
        <v>17.9</v>
      </c>
      <c r="Q581" s="5" t="n">
        <v>12.9</v>
      </c>
      <c r="R581" s="5" t="n">
        <v>7.3</v>
      </c>
      <c r="S581" s="5" t="n">
        <v>5.6</v>
      </c>
      <c r="T581" s="2" t="n">
        <v>15</v>
      </c>
      <c r="U581" s="2" t="inlineStr">
        <is>
          <t>low</t>
        </is>
      </c>
      <c r="V581" s="5" t="n">
        <v>0.8</v>
      </c>
      <c r="W581" s="2" t="inlineStr">
        <is>
          <t>low</t>
        </is>
      </c>
      <c r="X581" s="3" t="inlineStr"/>
      <c r="Y581" s="3" t="inlineStr">
        <is>
          <t>0% of this dish's available carbohydrate comes from ingredients with a published, measured GI; the rest uses conventional placeholders (see Ingredients sheet)</t>
        </is>
      </c>
      <c r="Z581" s="2" t="n">
        <v>0</v>
      </c>
      <c r="AA581" s="3" t="inlineStr">
        <is>
          <t>pescatarian, gluten-free, dairy-free, low-carb, high-protein, high-fiber</t>
        </is>
      </c>
      <c r="AB581" s="3" t="inlineStr">
        <is>
          <t>1. Simmer collards with onion, garlic, broth, vinegar 20 minutes.
2. Dip catfish in egg then almond flour-Cajun; pan-fry in oil 4 minutes per side.
3. Serve with collards and hot sauce.</t>
        </is>
      </c>
      <c r="AC581" s="4" t="inlineStr">
        <is>
          <t>["Simmer collards with onion, garlic, broth, vinegar 20 minutes.", "Dip catfish in egg then almond flour-Cajun; pan-fry in oil 4 minutes per side.", "Serve with collards and hot sauce."]</t>
        </is>
      </c>
    </row>
    <row r="582" ht="96" customHeight="1">
      <c r="A582" s="2" t="inlineStr">
        <is>
          <t>DB-0581</t>
        </is>
      </c>
      <c r="B582" s="3" t="inlineStr">
        <is>
          <t>Shrimp &amp; Mango Lettuce Cups</t>
        </is>
      </c>
      <c r="C582" s="4" t="inlineStr">
        <is>
          <t>Seafood</t>
        </is>
      </c>
      <c r="D582" s="4" t="inlineStr">
        <is>
          <t>Caribbean</t>
        </is>
      </c>
      <c r="E582" s="2" t="n">
        <v>4</v>
      </c>
      <c r="F582" s="2" t="n">
        <v>10</v>
      </c>
      <c r="G582" s="2" t="n">
        <v>5</v>
      </c>
      <c r="H582" s="2" t="n">
        <v>15</v>
      </c>
      <c r="I582" s="4" t="inlineStr">
        <is>
          <t>shrimp-and-mango-lettuce-cups.jpg</t>
        </is>
      </c>
      <c r="J582" s="3" t="inlineStr">
        <is>
          <t>Shrimp &amp; Mango Lettuce Cups, healthy food photography, plated, natural light</t>
        </is>
      </c>
      <c r="K582" s="4" t="inlineStr"/>
      <c r="L582" s="3" t="inlineStr">
        <is>
          <t>Shrimp, peeled — 550 g (19.4 oz)
Mango — 120 g (4.2 oz)
Red onion — 30 g (1.1 oz)
Jalapeño — 10 g (0.4 oz)
Fresh cilantro — 8 g (0.3 oz)
Lime juice — 20 g (0.7 oz)
Avocado — 100 g (3.5 oz)
Butter lettuce — 200 g (7.1 oz)
Avocado oil — 8 g (0.3 oz)
Ground cumin — 1 g (0.0 oz)</t>
        </is>
      </c>
      <c r="M582" s="4" t="inlineStr">
        <is>
          <t>[{"ingredient_id": "shrimp", "name": "Shrimp, peeled", "grams": 550.0, "note": ""}, {"ingredient_id": "mango", "name": "Mango", "grams": 120.0, "note": ""}, {"ingredient_id": "red_onion", "name": "Red onion", "grams": 30.0, "note": ""}, {"ingredient_id": "jalapeno", "name": "Jalapeño", "grams": 10.0, "note": ""}, {"ingredient_id": "cilantro", "name": "Fresh cilantro", "grams": 8.0, "note": ""}, {"ingredient_id": "lime_juice", "name": "Lime juice", "grams": 20.0, "note": ""}, {"ingredient_id": "avocado", "name": "Avocado", "grams": 100.0, "note": ""}, {"ingredient_id": "butter_lettuce", "name": "Butter lettuce", "grams": 200.0, "note": ""}, {"ingredient_id": "avocado_oil", "name": "Avocado oil", "grams": 8.0, "note": ""}, {"ingredient_id": "cumin", "name": "Ground cumin", "grams": 1.0, "note": ""}]</t>
        </is>
      </c>
      <c r="N582" s="2" t="n">
        <v>205</v>
      </c>
      <c r="O582" s="5" t="n">
        <v>29.2</v>
      </c>
      <c r="P582" s="5" t="n">
        <v>6.7</v>
      </c>
      <c r="Q582" s="5" t="n">
        <v>9.199999999999999</v>
      </c>
      <c r="R582" s="5" t="n">
        <v>3</v>
      </c>
      <c r="S582" s="5" t="n">
        <v>6.2</v>
      </c>
      <c r="T582" s="2" t="n">
        <v>33</v>
      </c>
      <c r="U582" s="2" t="inlineStr">
        <is>
          <t>low</t>
        </is>
      </c>
      <c r="V582" s="5" t="n">
        <v>2</v>
      </c>
      <c r="W582" s="2" t="inlineStr">
        <is>
          <t>low</t>
        </is>
      </c>
      <c r="X582" s="3" t="inlineStr"/>
      <c r="Y582" s="3" t="inlineStr">
        <is>
          <t>65% of this dish's available carbohydrate comes from ingredients with a published, measured GI; the rest uses conventional placeholders (see Ingredients sheet)</t>
        </is>
      </c>
      <c r="Z582" s="2" t="n">
        <v>65</v>
      </c>
      <c r="AA582" s="3" t="inlineStr">
        <is>
          <t>pescatarian, gluten-free, dairy-free, nut-free, low-carb, high-protein, quick</t>
        </is>
      </c>
      <c r="AB582" s="3" t="inlineStr">
        <is>
          <t>1. Sauté shrimp with cumin 3 minutes; cool slightly.
2. Toss with mango, onion, jalapeño, cilantro, lime, avocado.
3. Spoon into lettuce cups.</t>
        </is>
      </c>
      <c r="AC582" s="4" t="inlineStr">
        <is>
          <t>["Sauté shrimp with cumin 3 minutes; cool slightly.", "Toss with mango, onion, jalapeño, cilantro, lime, avocado.", "Spoon into lettuce cups."]</t>
        </is>
      </c>
    </row>
    <row r="583" ht="96" customHeight="1">
      <c r="A583" s="2" t="inlineStr">
        <is>
          <t>DB-0582</t>
        </is>
      </c>
      <c r="B583" s="3" t="inlineStr">
        <is>
          <t>Oven-Roasted Sardines with Lemon &amp; Greens</t>
        </is>
      </c>
      <c r="C583" s="4" t="inlineStr">
        <is>
          <t>Seafood</t>
        </is>
      </c>
      <c r="D583" s="4" t="inlineStr">
        <is>
          <t>Portuguese</t>
        </is>
      </c>
      <c r="E583" s="2" t="n">
        <v>2</v>
      </c>
      <c r="F583" s="2" t="n">
        <v>5</v>
      </c>
      <c r="G583" s="2" t="n">
        <v>12</v>
      </c>
      <c r="H583" s="2" t="n">
        <v>17</v>
      </c>
      <c r="I583" s="4" t="inlineStr">
        <is>
          <t>oven-roasted-sardines-with-lemon-and-greens.jpg</t>
        </is>
      </c>
      <c r="J583" s="3" t="inlineStr">
        <is>
          <t>Oven-Roasted Sardines with Lemon &amp; Greens, healthy food photography, plated, natural light</t>
        </is>
      </c>
      <c r="K583" s="4" t="inlineStr"/>
      <c r="L583" s="3" t="inlineStr">
        <is>
          <t>Sardines, canned in olive oil, drained — 200 g (7.1 oz) [fresh, cleaned]
Lemon (with juice &amp; zest) — 40 g (1.4 oz)
Garlic — 5 g (0.2 oz)
Extra-virgin olive oil — 12 g (0.4 oz)
Fresh parsley — 6 g (0.2 oz)
Arugula — 100 g (3.5 oz)
Cherry tomatoes — 120 g (4.2 oz)
Salt — 2 g (0.1 oz)</t>
        </is>
      </c>
      <c r="M583" s="4" t="inlineStr">
        <is>
          <t>[{"ingredient_id": "sardines", "name": "Sardines, canned in olive oil, drained", "grams": 200.0, "note": "fresh, cleaned"}, {"ingredient_id": "lemon", "name": "Lemon (with juice &amp; zest)", "grams": 40.0, "note": ""}, {"ingredient_id": "garlic", "name": "Garlic", "grams": 5.0, "note": ""}, {"ingredient_id": "olive_oil", "name": "Extra-virgin olive oil", "grams": 12.0, "note": ""}, {"ingredient_id": "parsley", "name": "Fresh parsley", "grams": 6.0, "note": ""}, {"ingredient_id": "arugula", "name": "Arugula", "grams": 100.0, "note": ""}, {"ingredient_id": "cherry_tomato", "name": "Cherry tomatoes", "grams": 120.0, "note": ""}, {"ingredient_id": "salt", "name": "Salt", "grams": 2.0, "note": ""}]</t>
        </is>
      </c>
      <c r="N583" s="2" t="n">
        <v>295</v>
      </c>
      <c r="O583" s="5" t="n">
        <v>27.3</v>
      </c>
      <c r="P583" s="5" t="n">
        <v>17.6</v>
      </c>
      <c r="Q583" s="5" t="n">
        <v>7.1</v>
      </c>
      <c r="R583" s="5" t="n">
        <v>2.2</v>
      </c>
      <c r="S583" s="5" t="n">
        <v>4.8</v>
      </c>
      <c r="T583" s="2" t="n">
        <v>19</v>
      </c>
      <c r="U583" s="2" t="inlineStr">
        <is>
          <t>low</t>
        </is>
      </c>
      <c r="V583" s="5" t="n">
        <v>0.9</v>
      </c>
      <c r="W583" s="2" t="inlineStr">
        <is>
          <t>low</t>
        </is>
      </c>
      <c r="X583" s="3" t="inlineStr">
        <is>
          <t>Negligible carbohydrate (&lt;5 g net/serving): GI has little practical meaning, glycemic load is what matters.</t>
        </is>
      </c>
      <c r="Y583" s="3" t="inlineStr">
        <is>
          <t>0% of this dish's available carbohydrate comes from ingredients with a published, measured GI; the rest uses conventional placeholders (see Ingredients sheet)</t>
        </is>
      </c>
      <c r="Z583" s="2" t="n">
        <v>0</v>
      </c>
      <c r="AA583" s="3" t="inlineStr">
        <is>
          <t>pescatarian, gluten-free, dairy-free, nut-free, low-carb, high-protein, omega-3, quick</t>
        </is>
      </c>
      <c r="AB583" s="3" t="inlineStr">
        <is>
          <t>1. Rub sardines with oil, garlic, salt; roast at 425°F 10–12 minutes.
2. Toss arugula and tomato with lemon.
3. Serve sardines over the salad with parsley.</t>
        </is>
      </c>
      <c r="AC583" s="4" t="inlineStr">
        <is>
          <t>["Rub sardines with oil, garlic, salt; roast at 425°F 10–12 minutes.", "Toss arugula and tomato with lemon.", "Serve sardines over the salad with parsley."]</t>
        </is>
      </c>
    </row>
    <row r="584" ht="96" customHeight="1">
      <c r="A584" s="2" t="inlineStr">
        <is>
          <t>DB-0583</t>
        </is>
      </c>
      <c r="B584" s="3" t="inlineStr">
        <is>
          <t>Shrimp Boil Sheet Pan (Low-Carb)</t>
        </is>
      </c>
      <c r="C584" s="4" t="inlineStr">
        <is>
          <t>Seafood</t>
        </is>
      </c>
      <c r="D584" s="4" t="inlineStr">
        <is>
          <t>Southern</t>
        </is>
      </c>
      <c r="E584" s="2" t="n">
        <v>4</v>
      </c>
      <c r="F584" s="2" t="n">
        <v>10</v>
      </c>
      <c r="G584" s="2" t="n">
        <v>25</v>
      </c>
      <c r="H584" s="2" t="n">
        <v>35</v>
      </c>
      <c r="I584" s="4" t="inlineStr">
        <is>
          <t>shrimp-boil-sheet-pan-low-carb.jpg</t>
        </is>
      </c>
      <c r="J584" s="3" t="inlineStr">
        <is>
          <t>Shrimp Boil Sheet Pan (Low-Carb), healthy food photography, plated, natural light</t>
        </is>
      </c>
      <c r="K584" s="4" t="inlineStr"/>
      <c r="L584" s="3" t="inlineStr">
        <is>
          <t>Shrimp, peeled — 600 g (21.2 oz)
Chicken sausage — 200 g (7.1 oz)
Sweet corn kernels — 150 g (5.3 oz)
Zucchini — 300 g (10.6 oz)
New potatoes, boiled — 200 g (7.1 oz)
Old Bay seasoning — 8 g (0.3 oz)
Butter — 15 g (0.5 oz)
Extra-virgin olive oil — 15 g (0.5 oz)
Garlic — 8 g (0.3 oz)
Lemon (with juice &amp; zest) — 40 g (1.4 oz)
Fresh parsley — 6 g (0.2 oz)</t>
        </is>
      </c>
      <c r="M584" s="4" t="inlineStr">
        <is>
          <t>[{"ingredient_id": "shrimp", "name": "Shrimp, peeled", "grams": 600.0, "note": ""}, {"ingredient_id": "chicken_sausage", "name": "Chicken sausage", "grams": 200.0, "note": ""}, {"ingredient_id": "corn", "name": "Sweet corn kernels", "grams": 150.0, "note": ""}, {"ingredient_id": "zucchini", "name": "Zucchini", "grams": 300.0, "note": ""}, {"ingredient_id": "new_potato", "name": "New potatoes, boiled", "grams": 200.0, "note": ""}, {"ingredient_id": "old_bay", "name": "Old Bay seasoning", "grams": 8.0, "note": ""}, {"ingredient_id": "butter", "name": "Butter", "grams": 15.0, "note": ""}, {"ingredient_id": "olive_oil", "name": "Extra-virgin olive oil", "grams": 15.0, "note": ""}, {"ingredient_id": "garlic", "name": "Garlic", "grams": 8.0, "note": ""}, {"ingredient_id": "lemon", "name": "Lemon (with juice &amp; zest)", "grams": 40.0, "note": ""}, {"ingredient_id": "parsley", "name": "Fresh parsley", "grams": 6.0, "note": ""}]</t>
        </is>
      </c>
      <c r="N584" s="2" t="n">
        <v>373</v>
      </c>
      <c r="O584" s="5" t="n">
        <v>41.1</v>
      </c>
      <c r="P584" s="5" t="n">
        <v>14</v>
      </c>
      <c r="Q584" s="5" t="n">
        <v>23.2</v>
      </c>
      <c r="R584" s="5" t="n">
        <v>3.5</v>
      </c>
      <c r="S584" s="5" t="n">
        <v>19.7</v>
      </c>
      <c r="T584" s="2" t="n">
        <v>52</v>
      </c>
      <c r="U584" s="2" t="inlineStr">
        <is>
          <t>low</t>
        </is>
      </c>
      <c r="V584" s="5" t="n">
        <v>10.2</v>
      </c>
      <c r="W584" s="2" t="inlineStr">
        <is>
          <t>medium</t>
        </is>
      </c>
      <c r="X584" s="3" t="inlineStr"/>
      <c r="Y584" s="3" t="inlineStr">
        <is>
          <t>77% of this dish's available carbohydrate comes from ingredients with a published, measured GI; the rest uses conventional placeholders (see Ingredients sheet)</t>
        </is>
      </c>
      <c r="Z584" s="2" t="n">
        <v>77</v>
      </c>
      <c r="AA584" s="3" t="inlineStr">
        <is>
          <t>gluten-free, nut-free, high-protein, one-pan</t>
        </is>
      </c>
      <c r="AB584" s="3" t="inlineStr">
        <is>
          <t>1. Toss potatoes with half the oil and Old Bay; roast 15 minutes.
2. Add zucchini, sausage, corn, shrimp, remaining oil, garlic; roast 10 minutes.
3. Drizzle melted butter and lemon; parsley.</t>
        </is>
      </c>
      <c r="AC584" s="4" t="inlineStr">
        <is>
          <t>["Toss potatoes with half the oil and Old Bay; roast 15 minutes.", "Add zucchini, sausage, corn, shrimp, remaining oil, garlic; roast 10 minutes.", "Drizzle melted butter and lemon; parsley."]</t>
        </is>
      </c>
    </row>
    <row r="585" ht="96" customHeight="1">
      <c r="A585" s="2" t="inlineStr">
        <is>
          <t>DB-0584</t>
        </is>
      </c>
      <c r="B585" s="3" t="inlineStr">
        <is>
          <t>Salmon with Cucumber Dill Yogurt</t>
        </is>
      </c>
      <c r="C585" s="4" t="inlineStr">
        <is>
          <t>Seafood</t>
        </is>
      </c>
      <c r="D585" s="4" t="inlineStr">
        <is>
          <t>Scandinavian</t>
        </is>
      </c>
      <c r="E585" s="2" t="n">
        <v>4</v>
      </c>
      <c r="F585" s="2" t="n">
        <v>10</v>
      </c>
      <c r="G585" s="2" t="n">
        <v>12</v>
      </c>
      <c r="H585" s="2" t="n">
        <v>22</v>
      </c>
      <c r="I585" s="4" t="inlineStr">
        <is>
          <t>salmon-with-cucumber-dill-yogurt.jpg</t>
        </is>
      </c>
      <c r="J585" s="3" t="inlineStr">
        <is>
          <t>Salmon with Cucumber Dill Yogurt, healthy food photography, plated, natural light</t>
        </is>
      </c>
      <c r="K585" s="4" t="inlineStr"/>
      <c r="L585" s="3" t="inlineStr">
        <is>
          <t>Salmon fillet — 600 g (21.2 oz)
Greek yogurt, plain 2% — 150 g (5.3 oz)
Cucumber — 150 g (5.3 oz)
Fresh dill — 10 g (0.4 oz)
Lemon (with juice &amp; zest) — 40 g (1.4 oz)
Garlic — 4 g (0.1 oz)
Extra-virgin olive oil — 12 g (0.4 oz)
Mixed salad greens — 200 g (7.1 oz)
Salt — 3 g (0.1 oz)</t>
        </is>
      </c>
      <c r="M585" s="4" t="inlineStr">
        <is>
          <t>[{"ingredient_id": "salmon", "name": "Salmon fillet", "grams": 600.0, "note": ""}, {"ingredient_id": "greek_yogurt", "name": "Greek yogurt, plain 2%", "grams": 150.0, "note": ""}, {"ingredient_id": "cucumber", "name": "Cucumber", "grams": 150.0, "note": ""}, {"ingredient_id": "dill", "name": "Fresh dill", "grams": 10.0, "note": ""}, {"ingredient_id": "lemon", "name": "Lemon (with juice &amp; zest)", "grams": 40.0, "note": ""}, {"ingredient_id": "garlic", "name": "Garlic", "grams": 4.0, "note": ""}, {"ingredient_id": "olive_oil", "name": "Extra-virgin olive oil", "grams": 12.0, "note": ""}, {"ingredient_id": "mixed_greens", "name": "Mixed salad greens", "grams": 200.0, "note": ""}, {"ingredient_id": "salt", "name": "Salt", "grams": 3.0, "note": ""}]</t>
        </is>
      </c>
      <c r="N585" s="2" t="n">
        <v>387</v>
      </c>
      <c r="O585" s="5" t="n">
        <v>35.3</v>
      </c>
      <c r="P585" s="5" t="n">
        <v>23.5</v>
      </c>
      <c r="Q585" s="5" t="n">
        <v>6</v>
      </c>
      <c r="R585" s="5" t="n">
        <v>1.5</v>
      </c>
      <c r="S585" s="5" t="n">
        <v>4.5</v>
      </c>
      <c r="T585" s="2" t="n">
        <v>15</v>
      </c>
      <c r="U585" s="2" t="inlineStr">
        <is>
          <t>low</t>
        </is>
      </c>
      <c r="V585" s="5" t="n">
        <v>0.7</v>
      </c>
      <c r="W585" s="2" t="inlineStr">
        <is>
          <t>low</t>
        </is>
      </c>
      <c r="X585" s="3" t="inlineStr">
        <is>
          <t>Negligible carbohydrate (&lt;5 g net/serving): GI has little practical meaning, glycemic load is what matters.</t>
        </is>
      </c>
      <c r="Y585" s="3" t="inlineStr">
        <is>
          <t>33% of this dish's available carbohydrate comes from ingredients with a published, measured GI; the rest uses conventional placeholders (see Ingredients sheet)</t>
        </is>
      </c>
      <c r="Z585" s="2" t="n">
        <v>33</v>
      </c>
      <c r="AA585" s="3" t="inlineStr">
        <is>
          <t>pescatarian, gluten-free, nut-free, low-carb, high-protein, omega-3, quick</t>
        </is>
      </c>
      <c r="AB585" s="3" t="inlineStr">
        <is>
          <t>1. Roast salmon with oil and salt 12 minutes.
2. Mix yogurt, grated cucumber, dill, garlic, lemon.
3. Serve salmon over greens with sauce.</t>
        </is>
      </c>
      <c r="AC585" s="4" t="inlineStr">
        <is>
          <t>["Roast salmon with oil and salt 12 minutes.", "Mix yogurt, grated cucumber, dill, garlic, lemon.", "Serve salmon over greens with sauce."]</t>
        </is>
      </c>
    </row>
    <row r="586" ht="96" customHeight="1">
      <c r="A586" s="2" t="inlineStr">
        <is>
          <t>DB-0585</t>
        </is>
      </c>
      <c r="B586" s="3" t="inlineStr">
        <is>
          <t>Scallop &amp; Asparagus Stir-Fry</t>
        </is>
      </c>
      <c r="C586" s="4" t="inlineStr">
        <is>
          <t>Seafood</t>
        </is>
      </c>
      <c r="D586" s="4" t="inlineStr">
        <is>
          <t>Asian</t>
        </is>
      </c>
      <c r="E586" s="2" t="n">
        <v>4</v>
      </c>
      <c r="F586" s="2" t="n">
        <v>10</v>
      </c>
      <c r="G586" s="2" t="n">
        <v>8</v>
      </c>
      <c r="H586" s="2" t="n">
        <v>18</v>
      </c>
      <c r="I586" s="4" t="inlineStr">
        <is>
          <t>scallop-and-asparagus-stir-fry.jpg</t>
        </is>
      </c>
      <c r="J586" s="3" t="inlineStr">
        <is>
          <t>Scallop &amp; Asparagus Stir-Fry, healthy food photography, plated, natural light</t>
        </is>
      </c>
      <c r="K586" s="4" t="inlineStr"/>
      <c r="L586" s="3" t="inlineStr">
        <is>
          <t>Sea scallops — 600 g (21.2 oz)
Asparagus — 400 g (14.1 oz)
Garlic — 8 g (0.3 oz)
Fresh ginger — 8 g (0.3 oz)
Tamari (gluten-free soy sauce) — 25 g (0.9 oz)
Rice vinegar, unseasoned — 10 g (0.4 oz)
Toasted sesame oil — 8 g (0.3 oz)
Avocado oil — 12 g (0.4 oz)
Green onions (scallions) — 15 g (0.5 oz)</t>
        </is>
      </c>
      <c r="M586" s="4" t="inlineStr">
        <is>
          <t>[{"ingredient_id": "scallops", "name": "Sea scallops", "grams": 600.0, "note": ""}, {"ingredient_id": "asparagus", "name": "Asparagus", "grams": 400.0, "note": ""}, {"ingredient_id": "garlic", "name": "Garlic", "grams": 8.0, "note": ""}, {"ingredient_id": "ginger", "name": "Fresh ginger", "grams": 8.0, "note": ""}, {"ingredient_id": "tamari", "name": "Tamari (gluten-free soy sauce)", "grams": 25.0, "note": ""}, {"ingredient_id": "rice_vinegar", "name": "Rice vinegar, unseasoned", "grams": 10.0, "note": ""}, {"ingredient_id": "sesame_oil", "name": "Toasted sesame oil", "grams": 8.0, "note": ""}, {"ingredient_id": "avocado_oil", "name": "Avocado oil", "grams": 12.0, "note": ""}, {"ingredient_id": "green_onion", "name": "Green onions (scallions)", "grams": 15.0, "note": ""}]</t>
        </is>
      </c>
      <c r="N586" s="2" t="n">
        <v>206</v>
      </c>
      <c r="O586" s="5" t="n">
        <v>28.6</v>
      </c>
      <c r="P586" s="5" t="n">
        <v>6.3</v>
      </c>
      <c r="Q586" s="5" t="n">
        <v>8.5</v>
      </c>
      <c r="R586" s="5" t="n">
        <v>2.3</v>
      </c>
      <c r="S586" s="5" t="n">
        <v>6.2</v>
      </c>
      <c r="T586" s="2" t="n">
        <v>9</v>
      </c>
      <c r="U586" s="2" t="inlineStr">
        <is>
          <t>low</t>
        </is>
      </c>
      <c r="V586" s="5" t="n">
        <v>0.6</v>
      </c>
      <c r="W586" s="2" t="inlineStr">
        <is>
          <t>low</t>
        </is>
      </c>
      <c r="X586" s="3" t="inlineStr"/>
      <c r="Y586" s="3" t="inlineStr">
        <is>
          <t>0% of this dish's available carbohydrate comes from ingredients with a published, measured GI; the rest uses conventional placeholders (see Ingredients sheet)</t>
        </is>
      </c>
      <c r="Z586" s="2" t="n">
        <v>0</v>
      </c>
      <c r="AA586" s="3" t="inlineStr">
        <is>
          <t>pescatarian, gluten-free, dairy-free, nut-free, low-carb, high-protein, quick</t>
        </is>
      </c>
      <c r="AB586" s="3" t="inlineStr">
        <is>
          <t>1. Sear scallops in oil 90 seconds per side; remove.
2. Stir-fry asparagus, garlic, ginger 3 minutes.
3. Return scallops with tamari, vinegar, sesame oil; green onion.</t>
        </is>
      </c>
      <c r="AC586" s="4" t="inlineStr">
        <is>
          <t>["Sear scallops in oil 90 seconds per side; remove.", "Stir-fry asparagus, garlic, ginger 3 minutes.", "Return scallops with tamari, vinegar, sesame oil; green onion."]</t>
        </is>
      </c>
    </row>
    <row r="587" ht="96" customHeight="1">
      <c r="A587" s="2" t="inlineStr">
        <is>
          <t>DB-0586</t>
        </is>
      </c>
      <c r="B587" s="3" t="inlineStr">
        <is>
          <t>Chickpea &amp; Spinach Curry</t>
        </is>
      </c>
      <c r="C587" s="4" t="inlineStr">
        <is>
          <t>Vegetarian &amp; Vegan</t>
        </is>
      </c>
      <c r="D587" s="4" t="inlineStr">
        <is>
          <t>Indian</t>
        </is>
      </c>
      <c r="E587" s="2" t="n">
        <v>4</v>
      </c>
      <c r="F587" s="2" t="n">
        <v>10</v>
      </c>
      <c r="G587" s="2" t="n">
        <v>25</v>
      </c>
      <c r="H587" s="2" t="n">
        <v>35</v>
      </c>
      <c r="I587" s="4" t="inlineStr">
        <is>
          <t>chickpea-and-spinach-curry.jpg</t>
        </is>
      </c>
      <c r="J587" s="3" t="inlineStr">
        <is>
          <t>Chickpea &amp; Spinach Curry, healthy food photography, plated, natural light</t>
        </is>
      </c>
      <c r="K587" s="4" t="inlineStr"/>
      <c r="L587" s="3" t="inlineStr">
        <is>
          <t>Chickpeas, cooked — 500 g (17.6 oz)
Spinach — 300 g (10.6 oz)
Yellow onion — 120 g (4.2 oz)
Garlic — 8 g (0.3 oz)
Fresh ginger — 10 g (0.4 oz)
Curry powder — 8 g (0.3 oz)
Garam masala — 3 g (0.1 oz)
Diced tomatoes, canned — 400 g (14.1 oz)
Coconut milk, canned light — 250 g (8.8 oz)
Extra-virgin olive oil — 15 g (0.5 oz)
Lime juice — 15 g (0.5 oz)
Fresh cilantro — 8 g (0.3 oz)
Cauliflower rice — 500 g (17.6 oz)
Salt — 3 g (0.1 oz)</t>
        </is>
      </c>
      <c r="M587" s="4" t="inlineStr">
        <is>
          <t>[{"ingredient_id": "chickpeas", "name": "Chickpeas, cooked", "grams": 500.0, "note": ""}, {"ingredient_id": "spinach", "name": "Spinach", "grams": 300.0, "note": ""}, {"ingredient_id": "onion", "name": "Yellow onion", "grams": 120.0, "note": ""}, {"ingredient_id": "garlic", "name": "Garlic", "grams": 8.0, "note": ""}, {"ingredient_id": "ginger", "name": "Fresh ginger", "grams": 10.0, "note": ""}, {"ingredient_id": "curry_powder", "name": "Curry powder", "grams": 8.0, "note": ""}, {"ingredient_id": "garam_masala", "name": "Garam masala", "grams": 3.0, "note": ""}, {"ingredient_id": "diced_tomatoes", "name": "Diced tomatoes, canned", "grams": 400.0, "note": ""}, {"ingredient_id": "coconut_milk_light", "name": "Coconut milk, canned light", "grams": 250.0, "note": ""}, {"ingredient_id": "olive_oil", "name": "Extra-virgin olive oil", "grams": 15.0, "note": ""}, {"ingredient_id": "lime_juice", "name": "Lime juice", "grams": 15.0, "note": ""}, {"ingredient_id": "cilantro", "name": "Fresh cilantro", "grams": 8.0, "note": ""}, {"ingredient_id": "cauliflower_rice", "name": "Cauliflower rice", "grams": 500.0, "note": ""}, {"ingredient_id": "salt", "name": "Salt", "grams": 3.0, "note": ""}]</t>
        </is>
      </c>
      <c r="N587" s="2" t="n">
        <v>380</v>
      </c>
      <c r="O587" s="5" t="n">
        <v>18.3</v>
      </c>
      <c r="P587" s="5" t="n">
        <v>12.1</v>
      </c>
      <c r="Q587" s="5" t="n">
        <v>55.1</v>
      </c>
      <c r="R587" s="5" t="n">
        <v>17.3</v>
      </c>
      <c r="S587" s="5" t="n">
        <v>37.9</v>
      </c>
      <c r="T587" s="2" t="n">
        <v>33</v>
      </c>
      <c r="U587" s="2" t="inlineStr">
        <is>
          <t>low</t>
        </is>
      </c>
      <c r="V587" s="5" t="n">
        <v>12.5</v>
      </c>
      <c r="W587" s="2" t="inlineStr">
        <is>
          <t>medium</t>
        </is>
      </c>
      <c r="X587" s="3" t="inlineStr"/>
      <c r="Y587" s="3" t="inlineStr">
        <is>
          <t>64% of this dish's available carbohydrate comes from ingredients with a published, measured GI; the rest uses conventional placeholders (see Ingredients sheet)</t>
        </is>
      </c>
      <c r="Z587" s="2" t="n">
        <v>64</v>
      </c>
      <c r="AA587" s="3" t="inlineStr">
        <is>
          <t>vegan, gluten-free, dairy-free, nut-free, high-fiber, make-ahead</t>
        </is>
      </c>
      <c r="AB587" s="3" t="inlineStr">
        <is>
          <t>1. Sauté onion, garlic, ginger, spices in oil 5 minutes.
2. Add tomatoes, coconut milk, chickpeas; simmer 12 minutes.
3. Stir in spinach; finish lime, cilantro; serve over cauliflower rice.</t>
        </is>
      </c>
      <c r="AC587" s="4" t="inlineStr">
        <is>
          <t>["Sauté onion, garlic, ginger, spices in oil 5 minutes.", "Add tomatoes, coconut milk, chickpeas; simmer 12 minutes.", "Stir in spinach; finish lime, cilantro; serve over cauliflower rice."]</t>
        </is>
      </c>
    </row>
    <row r="588" ht="96" customHeight="1">
      <c r="A588" s="2" t="inlineStr">
        <is>
          <t>DB-0587</t>
        </is>
      </c>
      <c r="B588" s="3" t="inlineStr">
        <is>
          <t>Tofu Vegetable Stir-Fry</t>
        </is>
      </c>
      <c r="C588" s="4" t="inlineStr">
        <is>
          <t>Vegetarian &amp; Vegan</t>
        </is>
      </c>
      <c r="D588" s="4" t="inlineStr">
        <is>
          <t>Chinese-American</t>
        </is>
      </c>
      <c r="E588" s="2" t="n">
        <v>4</v>
      </c>
      <c r="F588" s="2" t="n">
        <v>15</v>
      </c>
      <c r="G588" s="2" t="n">
        <v>15</v>
      </c>
      <c r="H588" s="2" t="n">
        <v>30</v>
      </c>
      <c r="I588" s="4" t="inlineStr">
        <is>
          <t>tofu-vegetable-stir-fry.jpg</t>
        </is>
      </c>
      <c r="J588" s="3" t="inlineStr">
        <is>
          <t>Tofu Vegetable Stir-Fry, healthy food photography, plated, natural light</t>
        </is>
      </c>
      <c r="K588" s="4" t="inlineStr"/>
      <c r="L588" s="3" t="inlineStr">
        <is>
          <t>Tofu, extra-firm — 500 g (17.6 oz)
Broccoli — 300 g (10.6 oz)
Bell pepper — 150 g (5.3 oz)
Sugar snap peas — 150 g (5.3 oz)
Carrot — 80 g (2.8 oz)
Garlic — 8 g (0.3 oz)
Fresh ginger — 8 g (0.3 oz)
Tamari (gluten-free soy sauce) — 30 g (1.1 oz)
Rice vinegar, unseasoned — 12 g (0.4 oz)
Toasted sesame oil — 8 g (0.3 oz)
Arrowroot starch — 5 g (0.2 oz)
Avocado oil — 15 g (0.5 oz)
Sesame seeds — 6 g (0.2 oz)</t>
        </is>
      </c>
      <c r="M588" s="4" t="inlineStr">
        <is>
          <t>[{"ingredient_id": "tofu", "name": "Tofu, extra-firm", "grams": 500.0, "note": ""}, {"ingredient_id": "broccoli", "name": "Broccoli", "grams": 300.0, "note": ""}, {"ingredient_id": "bell_pepper", "name": "Bell pepper", "grams": 150.0, "note": ""}, {"ingredient_id": "snap_peas", "name": "Sugar snap peas", "grams": 150.0, "note": ""}, {"ingredient_id": "carrot", "name": "Carrot", "grams": 80.0,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8.0, "note": ""}, {"ingredient_id": "arrowroot", "name": "Arrowroot starch", "grams": 5.0, "note": ""}, {"ingredient_id": "avocado_oil", "name": "Avocado oil", "grams": 15.0, "note": ""}, {"ingredient_id": "sesame_seeds", "name": "Sesame seeds", "grams": 6.0, "note": ""}]</t>
        </is>
      </c>
      <c r="N588" s="2" t="n">
        <v>315</v>
      </c>
      <c r="O588" s="5" t="n">
        <v>26.1</v>
      </c>
      <c r="P588" s="5" t="n">
        <v>18.3</v>
      </c>
      <c r="Q588" s="5" t="n">
        <v>18.5</v>
      </c>
      <c r="R588" s="5" t="n">
        <v>7.1</v>
      </c>
      <c r="S588" s="5" t="n">
        <v>11.4</v>
      </c>
      <c r="T588" s="2" t="n">
        <v>24</v>
      </c>
      <c r="U588" s="2" t="inlineStr">
        <is>
          <t>low</t>
        </is>
      </c>
      <c r="V588" s="5" t="n">
        <v>2.7</v>
      </c>
      <c r="W588" s="2" t="inlineStr">
        <is>
          <t>low</t>
        </is>
      </c>
      <c r="X588" s="3" t="inlineStr"/>
      <c r="Y588" s="3" t="inlineStr">
        <is>
          <t>21% of this dish's available carbohydrate comes from ingredients with a published, measured GI; the rest uses conventional placeholders (see Ingredients sheet)</t>
        </is>
      </c>
      <c r="Z588" s="2" t="n">
        <v>21</v>
      </c>
      <c r="AA588" s="3" t="inlineStr">
        <is>
          <t>vegan, gluten-free, dairy-free, nut-free, low-carb, high-protein, high-fiber</t>
        </is>
      </c>
      <c r="AB588" s="3" t="inlineStr">
        <is>
          <t>1. Press tofu; cube; toss with arrowroot; pan-fry in oil until crisp; remove.
2. Stir-fry vegetables, garlic, ginger 5 minutes.
3. Return tofu with tamari, vinegar, sesame oil; top sesame.</t>
        </is>
      </c>
      <c r="AC588" s="4" t="inlineStr">
        <is>
          <t>["Press tofu; cube; toss with arrowroot; pan-fry in oil until crisp; remove.", "Stir-fry vegetables, garlic, ginger 5 minutes.", "Return tofu with tamari, vinegar, sesame oil; top sesame."]</t>
        </is>
      </c>
    </row>
    <row r="589" ht="96" customHeight="1">
      <c r="A589" s="2" t="inlineStr">
        <is>
          <t>DB-0588</t>
        </is>
      </c>
      <c r="B589" s="3" t="inlineStr">
        <is>
          <t>Black Bean Burgers (Lettuce Bun)</t>
        </is>
      </c>
      <c r="C589" s="4" t="inlineStr">
        <is>
          <t>Vegetarian &amp; Vegan</t>
        </is>
      </c>
      <c r="D589" s="4" t="inlineStr">
        <is>
          <t>American</t>
        </is>
      </c>
      <c r="E589" s="2" t="n">
        <v>4</v>
      </c>
      <c r="F589" s="2" t="n">
        <v>15</v>
      </c>
      <c r="G589" s="2" t="n">
        <v>15</v>
      </c>
      <c r="H589" s="2" t="n">
        <v>30</v>
      </c>
      <c r="I589" s="4" t="inlineStr">
        <is>
          <t>black-bean-burgers-lettuce-bun.jpg</t>
        </is>
      </c>
      <c r="J589" s="3" t="inlineStr">
        <is>
          <t>Black Bean Burgers (Lettuce Bun), healthy food photography, plated, natural light</t>
        </is>
      </c>
      <c r="K589" s="4" t="inlineStr"/>
      <c r="L589" s="3" t="inlineStr">
        <is>
          <t>Black beans, cooked — 500 g (17.6 oz)
Rolled oats, dry — 50 g (1.8 oz)
Egg, large (50 g each) — 50 g (1.8 oz)
Yellow onion — 60 g (2.1 oz)
Garlic — 6 g (0.2 oz)
Ground cumin — 4 g (0.1 oz)
Smoked paprika — 3 g (0.1 oz)
Chili powder — 2 g (0.1 oz)
Extra-virgin olive oil — 15 g (0.5 oz)
Butter lettuce — 150 g (5.3 oz)
Avocado — 100 g (3.5 oz)
Tomato — 120 g (4.2 oz)
Salsa, no sugar added — 80 g (2.8 oz)
Salt — 3 g (0.1 oz)</t>
        </is>
      </c>
      <c r="M589" s="4" t="inlineStr">
        <is>
          <t>[{"ingredient_id": "black_beans", "name": "Black beans, cooked", "grams": 500.0, "note": ""}, {"ingredient_id": "rolled_oats", "name": "Rolled oats, dry", "grams": 50.0, "note": ""}, {"ingredient_id": "egg", "name": "Egg, large (50 g each)", "grams": 50.0, "note": ""}, {"ingredient_id": "onion", "name": "Yellow onion", "grams": 60.0, "note": ""}, {"ingredient_id": "garlic", "name": "Garlic", "grams": 6.0, "note": ""}, {"ingredient_id": "cumin", "name": "Ground cumin", "grams": 4.0, "note": ""}, {"ingredient_id": "smoked_paprika", "name": "Smoked paprika", "grams": 3.0, "note": ""}, {"ingredient_id": "chili_powder", "name": "Chili powder", "grams": 2.0, "note": ""}, {"ingredient_id": "olive_oil", "name": "Extra-virgin olive oil", "grams": 15.0, "note": ""}, {"ingredient_id": "butter_lettuce", "name": "Butter lettuce", "grams": 150.0, "note": ""}, {"ingredient_id": "avocado", "name": "Avocado", "grams": 100.0, "note": ""}, {"ingredient_id": "tomato", "name": "Tomato", "grams": 120.0, "note": ""}, {"ingredient_id": "salsa", "name": "Salsa, no sugar added", "grams": 80.0, "note": ""}, {"ingredient_id": "salt", "name": "Salt", "grams": 3.0, "note": ""}]</t>
        </is>
      </c>
      <c r="N589" s="2" t="n">
        <v>336</v>
      </c>
      <c r="O589" s="5" t="n">
        <v>16.5</v>
      </c>
      <c r="P589" s="5" t="n">
        <v>10.7</v>
      </c>
      <c r="Q589" s="5" t="n">
        <v>46.7</v>
      </c>
      <c r="R589" s="5" t="n">
        <v>15.7</v>
      </c>
      <c r="S589" s="5" t="n">
        <v>31</v>
      </c>
      <c r="T589" s="2" t="n">
        <v>35</v>
      </c>
      <c r="U589" s="2" t="inlineStr">
        <is>
          <t>low</t>
        </is>
      </c>
      <c r="V589" s="5" t="n">
        <v>10.9</v>
      </c>
      <c r="W589" s="2" t="inlineStr">
        <is>
          <t>medium</t>
        </is>
      </c>
      <c r="X589" s="3" t="inlineStr"/>
      <c r="Y589" s="3" t="inlineStr">
        <is>
          <t>84% of this dish's available carbohydrate comes from ingredients with a published, measured GI; the rest uses conventional placeholders (see Ingredients sheet)</t>
        </is>
      </c>
      <c r="Z589" s="2" t="n">
        <v>84</v>
      </c>
      <c r="AA589" s="3" t="inlineStr">
        <is>
          <t>vegetarian, dairy-free, nut-free, high-fiber</t>
        </is>
      </c>
      <c r="AB589" s="3" t="inlineStr">
        <is>
          <t>1. Mash beans; mix with oats, egg, onion, garlic, spices, salt; form 4 patties; chill 15 minutes.
2. Pan-fry in oil 5 minutes per side.
3. Serve in lettuce with avocado, tomato, salsa.</t>
        </is>
      </c>
      <c r="AC589" s="4" t="inlineStr">
        <is>
          <t>["Mash beans; mix with oats, egg, onion, garlic, spices, salt; form 4 patties; chill 15 minutes.", "Pan-fry in oil 5 minutes per side.", "Serve in lettuce with avocado, tomato, salsa."]</t>
        </is>
      </c>
    </row>
    <row r="590" ht="96" customHeight="1">
      <c r="A590" s="2" t="inlineStr">
        <is>
          <t>DB-0589</t>
        </is>
      </c>
      <c r="B590" s="3" t="inlineStr">
        <is>
          <t>Lentil Bolognese over Zoodles</t>
        </is>
      </c>
      <c r="C590" s="4" t="inlineStr">
        <is>
          <t>Vegetarian &amp; Vegan</t>
        </is>
      </c>
      <c r="D590" s="4" t="inlineStr">
        <is>
          <t>Italian</t>
        </is>
      </c>
      <c r="E590" s="2" t="n">
        <v>4</v>
      </c>
      <c r="F590" s="2" t="n">
        <v>10</v>
      </c>
      <c r="G590" s="2" t="n">
        <v>35</v>
      </c>
      <c r="H590" s="2" t="n">
        <v>45</v>
      </c>
      <c r="I590" s="4" t="inlineStr">
        <is>
          <t>lentil-bolognese-over-zoodles.jpg</t>
        </is>
      </c>
      <c r="J590" s="3" t="inlineStr">
        <is>
          <t>Lentil Bolognese over Zoodles, healthy food photography, plated, natural light</t>
        </is>
      </c>
      <c r="K590" s="4" t="inlineStr"/>
      <c r="L590" s="3" t="inlineStr">
        <is>
          <t>Lentils, cooked — 500 g (17.6 oz)
Crushed tomatoes, canned — 500 g (17.6 oz)
Yellow onion — 100 g (3.5 oz)
Carrot — 100 g (3.5 oz)
Celery — 80 g (2.8 oz)
Mushrooms (cremini/white) — 200 g (7.1 oz)
Garlic — 8 g (0.3 oz)
Extra-virgin olive oil — 15 g (0.5 oz)
Italian seasoning — 4 g (0.1 oz)
Dry red wine (cooking) — 60 g (2.1 oz)
Zucchini noodles (zoodles) — 600 g (21.2 oz)
Parmesan, grated — 30 g (1.1 oz)
Salt — 3 g (0.1 oz)</t>
        </is>
      </c>
      <c r="M590" s="4" t="inlineStr">
        <is>
          <t>[{"ingredient_id": "lentils", "name": "Lentils, cooked", "grams": 500.0, "note": ""}, {"ingredient_id": "crushed_tomatoes", "name": "Crushed tomatoes, canned", "grams": 500.0, "note": ""}, {"ingredient_id": "onion", "name": "Yellow onion", "grams": 100.0, "note": ""}, {"ingredient_id": "carrot", "name": "Carrot", "grams": 100.0, "note": ""}, {"ingredient_id": "celery", "name": "Celery", "grams": 80.0, "note": ""}, {"ingredient_id": "mushrooms", "name": "Mushrooms (cremini/white)", "grams": 200.0, "note": ""}, {"ingredient_id": "garlic", "name": "Garlic", "grams": 8.0, "note": ""}, {"ingredient_id": "olive_oil", "name": "Extra-virgin olive oil", "grams": 15.0, "note": ""}, {"ingredient_id": "italian_seasoning", "name": "Italian seasoning", "grams": 4.0, "note": ""}, {"ingredient_id": "red_wine", "name": "Dry red wine (cooking)", "grams": 60.0, "note": ""}, {"ingredient_id": "zucchini_noodles", "name": "Zucchini noodles (zoodles)", "grams": 600.0, "note": ""}, {"ingredient_id": "parmesan", "name": "Parmesan, grated", "grams": 30.0, "note": ""}, {"ingredient_id": "salt", "name": "Salt", "grams": 3.0, "note": ""}]</t>
        </is>
      </c>
      <c r="N590" s="2" t="n">
        <v>329</v>
      </c>
      <c r="O590" s="5" t="n">
        <v>20.3</v>
      </c>
      <c r="P590" s="5" t="n">
        <v>7.6</v>
      </c>
      <c r="Q590" s="5" t="n">
        <v>47.4</v>
      </c>
      <c r="R590" s="5" t="n">
        <v>16.2</v>
      </c>
      <c r="S590" s="5" t="n">
        <v>31.3</v>
      </c>
      <c r="T590" s="2" t="n">
        <v>31</v>
      </c>
      <c r="U590" s="2" t="inlineStr">
        <is>
          <t>low</t>
        </is>
      </c>
      <c r="V590" s="5" t="n">
        <v>9.699999999999999</v>
      </c>
      <c r="W590" s="2" t="inlineStr">
        <is>
          <t>low</t>
        </is>
      </c>
      <c r="X590" s="3" t="inlineStr"/>
      <c r="Y590" s="3" t="inlineStr">
        <is>
          <t>54% of this dish's available carbohydrate comes from ingredients with a published, measured GI; the rest uses conventional placeholders (see Ingredients sheet)</t>
        </is>
      </c>
      <c r="Z590" s="2" t="n">
        <v>54</v>
      </c>
      <c r="AA590" s="3" t="inlineStr">
        <is>
          <t>vegetarian, gluten-free, nut-free, high-fiber, make-ahead</t>
        </is>
      </c>
      <c r="AB590" s="3" t="inlineStr">
        <is>
          <t>1. Sauté onion, carrot, celery, mushrooms, garlic in oil 8 minutes.
2. Add wine, tomatoes, lentils, seasoning; simmer 20 minutes.
3. Serve over sautéed zoodles with parmesan.</t>
        </is>
      </c>
      <c r="AC590" s="4" t="inlineStr">
        <is>
          <t>["Sauté onion, carrot, celery, mushrooms, garlic in oil 8 minutes.", "Add wine, tomatoes, lentils, seasoning; simmer 20 minutes.", "Serve over sautéed zoodles with parmesan."]</t>
        </is>
      </c>
    </row>
    <row r="591" ht="96" customHeight="1">
      <c r="A591" s="2" t="inlineStr">
        <is>
          <t>DB-0590</t>
        </is>
      </c>
      <c r="B591" s="3" t="inlineStr">
        <is>
          <t>Eggplant Parmesan (Baked, Almond Crust)</t>
        </is>
      </c>
      <c r="C591" s="4" t="inlineStr">
        <is>
          <t>Vegetarian &amp; Vegan</t>
        </is>
      </c>
      <c r="D591" s="4" t="inlineStr">
        <is>
          <t>Italian</t>
        </is>
      </c>
      <c r="E591" s="2" t="n">
        <v>4</v>
      </c>
      <c r="F591" s="2" t="n">
        <v>20</v>
      </c>
      <c r="G591" s="2" t="n">
        <v>40</v>
      </c>
      <c r="H591" s="2" t="n">
        <v>60</v>
      </c>
      <c r="I591" s="4" t="inlineStr">
        <is>
          <t>eggplant-parmesan-baked-almond-crust.jpg</t>
        </is>
      </c>
      <c r="J591" s="3" t="inlineStr">
        <is>
          <t>Eggplant Parmesan (Baked, Almond Crust), healthy food photography, plated, natural light</t>
        </is>
      </c>
      <c r="K591" s="4" t="inlineStr"/>
      <c r="L591" s="3" t="inlineStr">
        <is>
          <t>Eggplant — 800 g (28.2 oz)
Egg, large (50 g each) — 100 g (3.5 oz)
Almond flour — 80 g (2.8 oz)
Parmesan, grated — 60 g (2.1 oz)
Italian seasoning — 4 g (0.1 oz)
Marinara sauce, no sugar added — 400 g (14.1 oz)
Mozzarella, part-skim — 150 g (5.3 oz)
Extra-virgin olive oil — 20 g (0.7 oz)
Fresh basil — 8 g (0.3 oz)
Salt — 3 g (0.1 oz)</t>
        </is>
      </c>
      <c r="M591" s="4" t="inlineStr">
        <is>
          <t>[{"ingredient_id": "eggplant", "name": "Eggplant", "grams": 800.0, "note": ""}, {"ingredient_id": "egg", "name": "Egg, large (50 g each)", "grams": 100.0, "note": ""}, {"ingredient_id": "almond_flour", "name": "Almond flour", "grams": 80.0, "note": ""}, {"ingredient_id": "parmesan", "name": "Parmesan, grated", "grams": 60.0, "note": ""}, {"ingredient_id": "italian_seasoning", "name": "Italian seasoning", "grams": 4.0, "note": ""}, {"ingredient_id": "marinara", "name": "Marinara sauce, no sugar added", "grams": 400.0, "note": ""}, {"ingredient_id": "mozzarella", "name": "Mozzarella, part-skim", "grams": 150.0, "note": ""}, {"ingredient_id": "olive_oil", "name": "Extra-virgin olive oil", "grams": 20.0, "note": ""}, {"ingredient_id": "basil", "name": "Fresh basil", "grams": 8.0, "note": ""}, {"ingredient_id": "salt", "name": "Salt", "grams": 3.0, "note": ""}]</t>
        </is>
      </c>
      <c r="N591" s="2" t="n">
        <v>456</v>
      </c>
      <c r="O591" s="5" t="n">
        <v>25.7</v>
      </c>
      <c r="P591" s="5" t="n">
        <v>30.7</v>
      </c>
      <c r="Q591" s="5" t="n">
        <v>23.8</v>
      </c>
      <c r="R591" s="5" t="n">
        <v>10.4</v>
      </c>
      <c r="S591" s="5" t="n">
        <v>13.5</v>
      </c>
      <c r="T591" s="2" t="n">
        <v>18</v>
      </c>
      <c r="U591" s="2" t="inlineStr">
        <is>
          <t>low</t>
        </is>
      </c>
      <c r="V591" s="5" t="n">
        <v>2.4</v>
      </c>
      <c r="W591" s="2" t="inlineStr">
        <is>
          <t>low</t>
        </is>
      </c>
      <c r="X591" s="3" t="inlineStr"/>
      <c r="Y591" s="3" t="inlineStr">
        <is>
          <t>26% of this dish's available carbohydrate comes from ingredients with a published, measured GI; the rest uses conventional placeholders (see Ingredients sheet)</t>
        </is>
      </c>
      <c r="Z591" s="2" t="n">
        <v>26</v>
      </c>
      <c r="AA591" s="3" t="inlineStr">
        <is>
          <t>vegetarian, gluten-free, low-carb, high-protein, high-fiber, make-ahead</t>
        </is>
      </c>
      <c r="AB591" s="3" t="inlineStr">
        <is>
          <t>1. Slice eggplant; salt 15 minutes; blot. Dip in egg then almond flour-parmesan-seasoning; bake at 425°F 20 minutes.
2. Layer with marinara and mozzarella in a dish.
3. Bake at 375°F 20 minutes; top basil.</t>
        </is>
      </c>
      <c r="AC591" s="4" t="inlineStr">
        <is>
          <t>["Slice eggplant; salt 15 minutes; blot. Dip in egg then almond flour-parmesan-seasoning; bake at 425°F 20 minutes.", "Layer with marinara and mozzarella in a dish.", "Bake at 375°F 20 minutes; top basil."]</t>
        </is>
      </c>
    </row>
    <row r="592" ht="96" customHeight="1">
      <c r="A592" s="2" t="inlineStr">
        <is>
          <t>DB-0591</t>
        </is>
      </c>
      <c r="B592" s="3" t="inlineStr">
        <is>
          <t>Tempeh Taco Bowls</t>
        </is>
      </c>
      <c r="C592" s="4" t="inlineStr">
        <is>
          <t>Vegetarian &amp; Vegan</t>
        </is>
      </c>
      <c r="D592" s="4" t="inlineStr">
        <is>
          <t>Tex-Mex</t>
        </is>
      </c>
      <c r="E592" s="2" t="n">
        <v>4</v>
      </c>
      <c r="F592" s="2" t="n">
        <v>10</v>
      </c>
      <c r="G592" s="2" t="n">
        <v>15</v>
      </c>
      <c r="H592" s="2" t="n">
        <v>25</v>
      </c>
      <c r="I592" s="4" t="inlineStr">
        <is>
          <t>tempeh-taco-bowls.jpg</t>
        </is>
      </c>
      <c r="J592" s="3" t="inlineStr">
        <is>
          <t>Tempeh Taco Bowls, healthy food photography, plated, natural light</t>
        </is>
      </c>
      <c r="K592" s="4" t="inlineStr"/>
      <c r="L592" s="3" t="inlineStr">
        <is>
          <t>Tempeh — 400 g (14.1 oz)
Taco seasoning, low sodium — 10 g (0.4 oz)
Tamari (gluten-free soy sauce) — 15 g (0.5 oz)
Extra-virgin olive oil — 15 g (0.5 oz)
Cauliflower rice — 500 g (17.6 oz)
Black beans, cooked — 250 g (8.8 oz)
Pico de gallo — 200 g (7.1 oz)
Avocado — 120 g (4.2 oz)
Romaine lettuce — 150 g (5.3 oz)
Lime — 30 g (1.1 oz)
Fresh cilantro — 6 g (0.2 oz)</t>
        </is>
      </c>
      <c r="M592" s="4" t="inlineStr">
        <is>
          <t>[{"ingredient_id": "tempeh", "name": "Tempeh", "grams": 400.0, "note": ""}, {"ingredient_id": "taco_seasoning", "name": "Taco seasoning, low sodium", "grams": 10.0, "note": ""}, {"ingredient_id": "tamari", "name": "Tamari (gluten-free soy sauce)", "grams": 15.0, "note": ""}, {"ingredient_id": "olive_oil", "name": "Extra-virgin olive oil", "grams": 15.0, "note": ""}, {"ingredient_id": "cauliflower_rice", "name": "Cauliflower rice", "grams": 500.0, "note": ""}, {"ingredient_id": "black_beans", "name": "Black beans, cooked", "grams": 250.0, "note": ""}, {"ingredient_id": "pico_de_gallo", "name": "Pico de gallo", "grams": 200.0, "note": ""}, {"ingredient_id": "avocado", "name": "Avocado", "grams": 120.0, "note": ""}, {"ingredient_id": "romaine", "name": "Romaine lettuce", "grams": 150.0, "note": ""}, {"ingredient_id": "lime", "name": "Lime", "grams": 30.0, "note": ""}, {"ingredient_id": "cilantro", "name": "Fresh cilantro", "grams": 6.0, "note": ""}]</t>
        </is>
      </c>
      <c r="N592" s="2" t="n">
        <v>416</v>
      </c>
      <c r="O592" s="5" t="n">
        <v>30.1</v>
      </c>
      <c r="P592" s="5" t="n">
        <v>20.4</v>
      </c>
      <c r="Q592" s="5" t="n">
        <v>37.5</v>
      </c>
      <c r="R592" s="5" t="n">
        <v>18.2</v>
      </c>
      <c r="S592" s="5" t="n">
        <v>19.3</v>
      </c>
      <c r="T592" s="2" t="n">
        <v>22</v>
      </c>
      <c r="U592" s="2" t="inlineStr">
        <is>
          <t>low</t>
        </is>
      </c>
      <c r="V592" s="5" t="n">
        <v>4.2</v>
      </c>
      <c r="W592" s="2" t="inlineStr">
        <is>
          <t>low</t>
        </is>
      </c>
      <c r="X592" s="3" t="inlineStr"/>
      <c r="Y592" s="3" t="inlineStr">
        <is>
          <t>49% of this dish's available carbohydrate comes from ingredients with a published, measured GI; the rest uses conventional placeholders (see Ingredients sheet)</t>
        </is>
      </c>
      <c r="Z592" s="2" t="n">
        <v>49</v>
      </c>
      <c r="AA592" s="3" t="inlineStr">
        <is>
          <t>vegan, gluten-free, dairy-free, nut-free, high-protein, high-fiber</t>
        </is>
      </c>
      <c r="AB592" s="3" t="inlineStr">
        <is>
          <t>1. Crumble tempeh; sauté in oil with seasoning and tamari 8 minutes until browned.
2. Sauté cauliflower rice.
3. Bowl with beans, pico, avocado, romaine, lime, cilantro.</t>
        </is>
      </c>
      <c r="AC592" s="4" t="inlineStr">
        <is>
          <t>["Crumble tempeh; sauté in oil with seasoning and tamari 8 minutes until browned.", "Sauté cauliflower rice.", "Bowl with beans, pico, avocado, romaine, lime, cilantro."]</t>
        </is>
      </c>
    </row>
    <row r="593" ht="96" customHeight="1">
      <c r="A593" s="2" t="inlineStr">
        <is>
          <t>DB-0592</t>
        </is>
      </c>
      <c r="B593" s="3" t="inlineStr">
        <is>
          <t>Cauliflower Crust Veggie Pizza</t>
        </is>
      </c>
      <c r="C593" s="4" t="inlineStr">
        <is>
          <t>Vegetarian &amp; Vegan</t>
        </is>
      </c>
      <c r="D593" s="4" t="inlineStr">
        <is>
          <t>Italian</t>
        </is>
      </c>
      <c r="E593" s="2" t="n">
        <v>4</v>
      </c>
      <c r="F593" s="2" t="n">
        <v>20</v>
      </c>
      <c r="G593" s="2" t="n">
        <v>35</v>
      </c>
      <c r="H593" s="2" t="n">
        <v>55</v>
      </c>
      <c r="I593" s="4" t="inlineStr">
        <is>
          <t>cauliflower-crust-veggie-pizza.jpg</t>
        </is>
      </c>
      <c r="J593" s="3" t="inlineStr">
        <is>
          <t>Cauliflower Crust Veggie Pizza, healthy food photography, plated, natural light</t>
        </is>
      </c>
      <c r="K593" s="4" t="inlineStr"/>
      <c r="L593" s="3" t="inlineStr">
        <is>
          <t>Cauliflower rice — 600 g (21.2 oz)
Egg, large (50 g each) — 100 g (3.5 oz)
Mozzarella, part-skim — 180 g (6.3 oz)
Parmesan, grated — 30 g (1.1 oz)
Almond flour — 30 g (1.1 oz)
Italian seasoning — 3 g (0.1 oz)
Marinara sauce, no sugar added — 150 g (5.3 oz)
Bell pepper — 100 g (3.5 oz)
Mushrooms (cremini/white) — 100 g (3.5 oz)
Spinach — 60 g (2.1 oz)
Olives (kalamata/green) — 30 g (1.1 oz)
Fresh basil — 6 g (0.2 oz)</t>
        </is>
      </c>
      <c r="M593" s="4" t="inlineStr">
        <is>
          <t>[{"ingredient_id": "cauliflower_rice", "name": "Cauliflower rice", "grams": 600.0, "note": ""}, {"ingredient_id": "egg", "name": "Egg, large (50 g each)", "grams": 100.0, "note": ""}, {"ingredient_id": "mozzarella", "name": "Mozzarella, part-skim", "grams": 180.0, "note": ""}, {"ingredient_id": "parmesan", "name": "Parmesan, grated", "grams": 30.0, "note": ""}, {"ingredient_id": "almond_flour", "name": "Almond flour", "grams": 30.0, "note": ""}, {"ingredient_id": "italian_seasoning", "name": "Italian seasoning", "grams": 3.0, "note": ""}, {"ingredient_id": "marinara", "name": "Marinara sauce, no sugar added", "grams": 150.0, "note": ""}, {"ingredient_id": "bell_pepper", "name": "Bell pepper", "grams": 100.0, "note": ""}, {"ingredient_id": "mushrooms", "name": "Mushrooms (cremini/white)", "grams": 100.0, "note": ""}, {"ingredient_id": "spinach", "name": "Spinach", "grams": 60.0, "note": ""}, {"ingredient_id": "olives", "name": "Olives (kalamata/green)", "grams": 30.0, "note": ""}, {"ingredient_id": "basil", "name": "Fresh basil", "grams": 6.0, "note": ""}]</t>
        </is>
      </c>
      <c r="N593" s="2" t="n">
        <v>309</v>
      </c>
      <c r="O593" s="5" t="n">
        <v>23.4</v>
      </c>
      <c r="P593" s="5" t="n">
        <v>18</v>
      </c>
      <c r="Q593" s="5" t="n">
        <v>16.6</v>
      </c>
      <c r="R593" s="5" t="n">
        <v>6.2</v>
      </c>
      <c r="S593" s="5" t="n">
        <v>10.5</v>
      </c>
      <c r="T593" s="2" t="n">
        <v>15</v>
      </c>
      <c r="U593" s="2" t="inlineStr">
        <is>
          <t>low</t>
        </is>
      </c>
      <c r="V593" s="5" t="n">
        <v>1.6</v>
      </c>
      <c r="W593" s="2" t="inlineStr">
        <is>
          <t>low</t>
        </is>
      </c>
      <c r="X593" s="3" t="inlineStr"/>
      <c r="Y593" s="3" t="inlineStr">
        <is>
          <t>13% of this dish's available carbohydrate comes from ingredients with a published, measured GI; the rest uses conventional placeholders (see Ingredients sheet)</t>
        </is>
      </c>
      <c r="Z593" s="2" t="n">
        <v>13</v>
      </c>
      <c r="AA593" s="3" t="inlineStr">
        <is>
          <t>vegetarian, gluten-free, low-carb</t>
        </is>
      </c>
      <c r="AB593" s="3" t="inlineStr">
        <is>
          <t>1. Microwave cauliflower rice 5 minutes; cool; squeeze dry. Mix with eggs, 80 g mozzarella, parmesan, almond flour, seasoning.
2. Press into a round on parchment; bake at 425°F 20 minutes until golden.
3. Top with marinara, vegetables, remaining mozzarella; bake 12 minutes; basil.</t>
        </is>
      </c>
      <c r="AC593" s="4" t="inlineStr">
        <is>
          <t>["Microwave cauliflower rice 5 minutes; cool; squeeze dry. Mix with eggs, 80 g mozzarella, parmesan, almond flour, seasoning.", "Press into a round on parchment; bake at 425°F 20 minutes until golden.", "Top with marinara, vegetables, remaining mozzarella; bake 12 minutes; basil."]</t>
        </is>
      </c>
    </row>
    <row r="594" ht="96" customHeight="1">
      <c r="A594" s="2" t="inlineStr">
        <is>
          <t>DB-0593</t>
        </is>
      </c>
      <c r="B594" s="3" t="inlineStr">
        <is>
          <t>Mushroom &amp; Spinach Stuffed Portobellos with Quinoa</t>
        </is>
      </c>
      <c r="C594" s="4" t="inlineStr">
        <is>
          <t>Vegetarian &amp; Vegan</t>
        </is>
      </c>
      <c r="D594" s="4" t="inlineStr">
        <is>
          <t>American</t>
        </is>
      </c>
      <c r="E594" s="2" t="n">
        <v>4</v>
      </c>
      <c r="F594" s="2" t="n">
        <v>15</v>
      </c>
      <c r="G594" s="2" t="n">
        <v>25</v>
      </c>
      <c r="H594" s="2" t="n">
        <v>40</v>
      </c>
      <c r="I594" s="4" t="inlineStr">
        <is>
          <t>mushroom-and-spinach-stuffed-portobellos-with-quinoa.jpg</t>
        </is>
      </c>
      <c r="J594" s="3" t="inlineStr">
        <is>
          <t>Mushroom &amp; Spinach Stuffed Portobellos with Quinoa, healthy food photography, plated, natural light</t>
        </is>
      </c>
      <c r="K594" s="4" t="inlineStr"/>
      <c r="L594" s="3" t="inlineStr">
        <is>
          <t>Portobello mushrooms — 500 g (17.6 oz) [4 caps]
Quinoa, cooked — 250 g (8.8 oz)
Spinach — 150 g (5.3 oz)
Mushrooms (cremini/white) — 100 g (3.5 oz)
Garlic — 6 g (0.2 oz)
Goat cheese — 60 g (2.1 oz)
Walnuts — 30 g (1.1 oz)
Extra-virgin olive oil — 15 g (0.5 oz)
Balsamic vinegar — 10 g (0.4 oz)
Fresh thyme — 2 g (0.1 oz)
Salt — 2 g (0.1 oz)</t>
        </is>
      </c>
      <c r="M594" s="4" t="inlineStr">
        <is>
          <t>[{"ingredient_id": "portobello", "name": "Portobello mushrooms", "grams": 500.0, "note": "4 caps"}, {"ingredient_id": "quinoa", "name": "Quinoa, cooked", "grams": 250.0, "note": ""}, {"ingredient_id": "spinach", "name": "Spinach", "grams": 150.0, "note": ""}, {"ingredient_id": "mushrooms", "name": "Mushrooms (cremini/white)", "grams": 100.0, "note": ""}, {"ingredient_id": "garlic", "name": "Garlic", "grams": 6.0, "note": ""}, {"ingredient_id": "goat_cheese", "name": "Goat cheese", "grams": 60.0, "note": ""}, {"ingredient_id": "walnuts", "name": "Walnuts", "grams": 30.0, "note": ""}, {"ingredient_id": "olive_oil", "name": "Extra-virgin olive oil", "grams": 15.0, "note": ""}, {"ingredient_id": "balsamic_vinegar", "name": "Balsamic vinegar", "grams": 10.0, "note": ""}, {"ingredient_id": "thyme", "name": "Fresh thyme", "grams": 2.0, "note": ""}, {"ingredient_id": "salt", "name": "Salt", "grams": 2.0, "note": ""}]</t>
        </is>
      </c>
      <c r="N594" s="2" t="n">
        <v>258</v>
      </c>
      <c r="O594" s="5" t="n">
        <v>11.8</v>
      </c>
      <c r="P594" s="5" t="n">
        <v>15.1</v>
      </c>
      <c r="Q594" s="5" t="n">
        <v>22.3</v>
      </c>
      <c r="R594" s="5" t="n">
        <v>5.1</v>
      </c>
      <c r="S594" s="5" t="n">
        <v>17.2</v>
      </c>
      <c r="T594" s="2" t="n">
        <v>41</v>
      </c>
      <c r="U594" s="2" t="inlineStr">
        <is>
          <t>low</t>
        </is>
      </c>
      <c r="V594" s="5" t="n">
        <v>7.1</v>
      </c>
      <c r="W594" s="2" t="inlineStr">
        <is>
          <t>low</t>
        </is>
      </c>
      <c r="X594" s="3" t="inlineStr"/>
      <c r="Y594" s="3" t="inlineStr">
        <is>
          <t>66% of this dish's available carbohydrate comes from ingredients with a published, measured GI; the rest uses conventional placeholders (see Ingredients sheet)</t>
        </is>
      </c>
      <c r="Z594" s="2" t="n">
        <v>66</v>
      </c>
      <c r="AA594" s="3" t="inlineStr">
        <is>
          <t>vegetarian, gluten-free</t>
        </is>
      </c>
      <c r="AB594" s="3" t="inlineStr">
        <is>
          <t>1. Brush caps with oil and balsamic; roast 8 minutes.
2. Sauté chopped mushrooms, garlic, spinach; mix with quinoa, walnuts, thyme.
3. Fill caps; top goat cheese; bake at 400°F 12 minutes.</t>
        </is>
      </c>
      <c r="AC594" s="4" t="inlineStr">
        <is>
          <t>["Brush caps with oil and balsamic; roast 8 minutes.", "Sauté chopped mushrooms, garlic, spinach; mix with quinoa, walnuts, thyme.", "Fill caps; top goat cheese; bake at 400°F 12 minutes."]</t>
        </is>
      </c>
    </row>
    <row r="595" ht="96" customHeight="1">
      <c r="A595" s="2" t="inlineStr">
        <is>
          <t>DB-0594</t>
        </is>
      </c>
      <c r="B595" s="3" t="inlineStr">
        <is>
          <t>Tofu Coconut Curry</t>
        </is>
      </c>
      <c r="C595" s="4" t="inlineStr">
        <is>
          <t>Vegetarian &amp; Vegan</t>
        </is>
      </c>
      <c r="D595" s="4" t="inlineStr">
        <is>
          <t>Thai</t>
        </is>
      </c>
      <c r="E595" s="2" t="n">
        <v>4</v>
      </c>
      <c r="F595" s="2" t="n">
        <v>10</v>
      </c>
      <c r="G595" s="2" t="n">
        <v>20</v>
      </c>
      <c r="H595" s="2" t="n">
        <v>30</v>
      </c>
      <c r="I595" s="4" t="inlineStr">
        <is>
          <t>tofu-coconut-curry.jpg</t>
        </is>
      </c>
      <c r="J595" s="3" t="inlineStr">
        <is>
          <t>Tofu Coconut Curry, healthy food photography, plated, natural light</t>
        </is>
      </c>
      <c r="K595" s="4" t="inlineStr"/>
      <c r="L595" s="3" t="inlineStr">
        <is>
          <t>Tofu, extra-firm — 500 g (17.6 oz)
Coconut milk, canned light — 400 g (14.1 oz)
Thai curry paste (red/green) — 35 g (1.2 oz)
Bell pepper — 200 g (7.1 oz)
Green beans — 200 g (7.1 oz)
Garlic — 6 g (0.2 oz)
Fresh ginger — 6 g (0.2 oz)
Tamari (gluten-free soy sauce) — 15 g (0.5 oz)
Lime juice — 20 g (0.7 oz)
Fresh basil — 8 g (0.3 oz)
Avocado oil — 12 g (0.4 oz)
Cauliflower rice — 500 g (17.6 oz)</t>
        </is>
      </c>
      <c r="M595" s="4" t="inlineStr">
        <is>
          <t>[{"ingredient_id": "tofu", "name": "Tofu, extra-firm", "grams": 500.0, "note": ""}, {"ingredient_id": "coconut_milk_light", "name": "Coconut milk, canned light", "grams": 400.0, "note": ""}, {"ingredient_id": "curry_paste", "name": "Thai curry paste (red/green)", "grams": 35.0, "note": ""}, {"ingredient_id": "bell_pepper", "name": "Bell pepper", "grams": 200.0, "note": ""}, {"ingredient_id": "green_beans", "name": "Green beans", "grams": 200.0, "note": ""}, {"ingredient_id": "garlic", "name": "Garlic", "grams": 6.0, "note": ""}, {"ingredient_id": "ginger", "name": "Fresh ginger", "grams": 6.0, "note": ""}, {"ingredient_id": "tamari", "name": "Tamari (gluten-free soy sauce)", "grams": 15.0, "note": ""}, {"ingredient_id": "lime_juice", "name": "Lime juice", "grams": 20.0, "note": ""}, {"ingredient_id": "basil", "name": "Fresh basil", "grams": 8.0, "note": ""}, {"ingredient_id": "avocado_oil", "name": "Avocado oil", "grams": 12.0, "note": ""}, {"ingredient_id": "cauliflower_rice", "name": "Cauliflower rice", "grams": 500.0, "note": ""}]</t>
        </is>
      </c>
      <c r="N595" s="2" t="n">
        <v>352</v>
      </c>
      <c r="O595" s="5" t="n">
        <v>26.5</v>
      </c>
      <c r="P595" s="5" t="n">
        <v>21.3</v>
      </c>
      <c r="Q595" s="5" t="n">
        <v>21.5</v>
      </c>
      <c r="R595" s="5" t="n">
        <v>7.8</v>
      </c>
      <c r="S595" s="5" t="n">
        <v>13.7</v>
      </c>
      <c r="T595" s="2" t="n">
        <v>20</v>
      </c>
      <c r="U595" s="2" t="inlineStr">
        <is>
          <t>low</t>
        </is>
      </c>
      <c r="V595" s="5" t="n">
        <v>2.7</v>
      </c>
      <c r="W595" s="2" t="inlineStr">
        <is>
          <t>low</t>
        </is>
      </c>
      <c r="X595" s="3" t="inlineStr"/>
      <c r="Y595" s="3" t="inlineStr">
        <is>
          <t>0% of this dish's available carbohydrate comes from ingredients with a published, measured GI; the rest uses conventional placeholders (see Ingredients sheet)</t>
        </is>
      </c>
      <c r="Z595" s="2" t="n">
        <v>0</v>
      </c>
      <c r="AA595" s="3" t="inlineStr">
        <is>
          <t>vegan, gluten-free, dairy-free, nut-free, low-carb, high-protein, high-fiber</t>
        </is>
      </c>
      <c r="AB595" s="3" t="inlineStr">
        <is>
          <t>1. Pan-fry tofu cubes in oil until golden; remove.
2. Fry curry paste, garlic, ginger; add coconut milk, vegetables; simmer 8 minutes.
3. Return tofu; add tamari, lime, basil; serve over cauliflower rice.</t>
        </is>
      </c>
      <c r="AC595" s="4" t="inlineStr">
        <is>
          <t>["Pan-fry tofu cubes in oil until golden; remove.", "Fry curry paste, garlic, ginger; add coconut milk, vegetables; simmer 8 minutes.", "Return tofu; add tamari, lime, basil; serve over cauliflower rice."]</t>
        </is>
      </c>
    </row>
    <row r="596" ht="96" customHeight="1">
      <c r="A596" s="2" t="inlineStr">
        <is>
          <t>DB-0595</t>
        </is>
      </c>
      <c r="B596" s="3" t="inlineStr">
        <is>
          <t>Zucchini Noodles with Avocado Pesto &amp; White Beans</t>
        </is>
      </c>
      <c r="C596" s="4" t="inlineStr">
        <is>
          <t>Vegetarian &amp; Vegan</t>
        </is>
      </c>
      <c r="D596" s="4" t="inlineStr">
        <is>
          <t>Italian</t>
        </is>
      </c>
      <c r="E596" s="2" t="n">
        <v>3</v>
      </c>
      <c r="F596" s="2" t="n">
        <v>10</v>
      </c>
      <c r="G596" s="2" t="n">
        <v>5</v>
      </c>
      <c r="H596" s="2" t="n">
        <v>15</v>
      </c>
      <c r="I596" s="4" t="inlineStr">
        <is>
          <t>zucchini-noodles-with-avocado-pesto-and-white-beans.jpg</t>
        </is>
      </c>
      <c r="J596" s="3" t="inlineStr">
        <is>
          <t>Zucchini Noodles with Avocado Pesto &amp; White Beans, healthy food photography, plated, natural light</t>
        </is>
      </c>
      <c r="K596" s="4" t="inlineStr"/>
      <c r="L596" s="3" t="inlineStr">
        <is>
          <t>Zucchini noodles (zoodles) — 600 g (21.2 oz)
Avocado — 120 g (4.2 oz)
Fresh basil — 30 g (1.1 oz)
Garlic — 5 g (0.2 oz)
Lemon juice — 20 g (0.7 oz)
Extra-virgin olive oil — 15 g (0.5 oz)
Pine nuts — 15 g (0.5 oz)
Cannellini beans, cooked — 250 g (8.8 oz)
Cherry tomatoes — 150 g (5.3 oz)
Salt — 2 g (0.1 oz)</t>
        </is>
      </c>
      <c r="M596" s="4" t="inlineStr">
        <is>
          <t>[{"ingredient_id": "zucchini_noodles", "name": "Zucchini noodles (zoodles)", "grams": 600.0, "note": ""}, {"ingredient_id": "avocado", "name": "Avocado", "grams": 120.0, "note": ""}, {"ingredient_id": "basil", "name": "Fresh basil", "grams": 30.0, "note": ""}, {"ingredient_id": "garlic", "name": "Garlic", "grams": 5.0, "note": ""}, {"ingredient_id": "lemon_juice", "name": "Lemon juice", "grams": 20.0, "note": ""}, {"ingredient_id": "olive_oil", "name": "Extra-virgin olive oil", "grams": 15.0, "note": ""}, {"ingredient_id": "pine_nuts", "name": "Pine nuts", "grams": 15.0, "note": ""}, {"ingredient_id": "white_beans", "name": "Cannellini beans, cooked", "grams": 250.0, "note": ""}, {"ingredient_id": "cherry_tomato", "name": "Cherry tomatoes", "grams": 150.0, "note": ""}, {"ingredient_id": "salt", "name": "Salt", "grams": 2.0, "note": ""}]</t>
        </is>
      </c>
      <c r="N596" s="2" t="n">
        <v>307</v>
      </c>
      <c r="O596" s="5" t="n">
        <v>12.9</v>
      </c>
      <c r="P596" s="5" t="n">
        <v>15.5</v>
      </c>
      <c r="Q596" s="5" t="n">
        <v>34.3</v>
      </c>
      <c r="R596" s="5" t="n">
        <v>10.9</v>
      </c>
      <c r="S596" s="5" t="n">
        <v>23.4</v>
      </c>
      <c r="T596" s="2" t="n">
        <v>26</v>
      </c>
      <c r="U596" s="2" t="inlineStr">
        <is>
          <t>low</t>
        </is>
      </c>
      <c r="V596" s="5" t="n">
        <v>6.1</v>
      </c>
      <c r="W596" s="2" t="inlineStr">
        <is>
          <t>low</t>
        </is>
      </c>
      <c r="X596" s="3" t="inlineStr"/>
      <c r="Y596" s="3" t="inlineStr">
        <is>
          <t>67% of this dish's available carbohydrate comes from ingredients with a published, measured GI; the rest uses conventional placeholders (see Ingredients sheet)</t>
        </is>
      </c>
      <c r="Z596" s="2" t="n">
        <v>67</v>
      </c>
      <c r="AA596" s="3" t="inlineStr">
        <is>
          <t>vegan, gluten-free, dairy-free, high-fiber, quick</t>
        </is>
      </c>
      <c r="AB596" s="3" t="inlineStr">
        <is>
          <t>1. Blend avocado, basil, garlic, lemon, oil, pine nuts, salt into pesto.
2. Warm zoodles 2 minutes; toss with pesto.
3. Add beans and tomatoes.</t>
        </is>
      </c>
      <c r="AC596" s="4" t="inlineStr">
        <is>
          <t>["Blend avocado, basil, garlic, lemon, oil, pine nuts, salt into pesto.", "Warm zoodles 2 minutes; toss with pesto.", "Add beans and tomatoes."]</t>
        </is>
      </c>
    </row>
    <row r="597" ht="96" customHeight="1">
      <c r="A597" s="2" t="inlineStr">
        <is>
          <t>DB-0596</t>
        </is>
      </c>
      <c r="B597" s="3" t="inlineStr">
        <is>
          <t>Shakshuka with Chickpeas</t>
        </is>
      </c>
      <c r="C597" s="4" t="inlineStr">
        <is>
          <t>Vegetarian &amp; Vegan</t>
        </is>
      </c>
      <c r="D597" s="4" t="inlineStr">
        <is>
          <t>Middle Eastern</t>
        </is>
      </c>
      <c r="E597" s="2" t="n">
        <v>3</v>
      </c>
      <c r="F597" s="2" t="n">
        <v>10</v>
      </c>
      <c r="G597" s="2" t="n">
        <v>25</v>
      </c>
      <c r="H597" s="2" t="n">
        <v>35</v>
      </c>
      <c r="I597" s="4" t="inlineStr">
        <is>
          <t>shakshuka-with-chickpeas.jpg</t>
        </is>
      </c>
      <c r="J597" s="3" t="inlineStr">
        <is>
          <t>Shakshuka with Chickpeas, healthy food photography, plated, natural light</t>
        </is>
      </c>
      <c r="K597" s="4" t="inlineStr"/>
      <c r="L597" s="3" t="inlineStr">
        <is>
          <t>Egg, large (50 g each) — 300 g (10.6 oz) [6 large eggs]
Chickpeas, cooked — 250 g (8.8 oz)
Crushed tomatoes, canned — 500 g (17.6 oz)
Bell pepper — 150 g (5.3 oz)
Yellow onion — 100 g (3.5 oz)
Garlic — 8 g (0.3 oz)
Ground cumin — 3 g (0.1 oz)
Smoked paprika — 3 g (0.1 oz)
Harissa paste — 10 g (0.4 oz)
Extra-virgin olive oil — 15 g (0.5 oz)
Feta cheese — 50 g (1.8 oz)
Fresh parsley — 8 g (0.3 oz)
Salt — 3 g (0.1 oz)</t>
        </is>
      </c>
      <c r="M597" s="4" t="inlineStr">
        <is>
          <t>[{"ingredient_id": "egg", "name": "Egg, large (50 g each)", "grams": 300.0, "note": "6 large eggs"}, {"ingredient_id": "chickpeas", "name": "Chickpeas, cooked", "grams": 250.0, "note": ""}, {"ingredient_id": "crushed_tomatoes", "name": "Crushed tomatoes, canned", "grams": 500.0, "note": ""}, {"ingredient_id": "bell_pepper", "name": "Bell pepper", "grams": 150.0, "note": ""}, {"ingredient_id": "onion", "name": "Yellow onion", "grams": 100.0, "note": ""}, {"ingredient_id": "garlic", "name": "Garlic", "grams": 8.0, "note": ""}, {"ingredient_id": "cumin", "name": "Ground cumin", "grams": 3.0, "note": ""}, {"ingredient_id": "smoked_paprika", "name": "Smoked paprika", "grams": 3.0, "note": ""}, {"ingredient_id": "harissa", "name": "Harissa paste", "grams": 10.0, "note": ""}, {"ingredient_id": "olive_oil", "name": "Extra-virgin olive oil", "grams": 15.0, "note": ""}, {"ingredient_id": "feta", "name": "Feta cheese", "grams": 50.0, "note": ""}, {"ingredient_id": "parsley", "name": "Fresh parsley", "grams": 8.0, "note": ""}, {"ingredient_id": "salt", "name": "Salt", "grams": 3.0, "note": ""}]</t>
        </is>
      </c>
      <c r="N597" s="2" t="n">
        <v>464</v>
      </c>
      <c r="O597" s="5" t="n">
        <v>26.5</v>
      </c>
      <c r="P597" s="5" t="n">
        <v>21.3</v>
      </c>
      <c r="Q597" s="5" t="n">
        <v>44</v>
      </c>
      <c r="R597" s="5" t="n">
        <v>11.8</v>
      </c>
      <c r="S597" s="5" t="n">
        <v>32.1</v>
      </c>
      <c r="T597" s="2" t="n">
        <v>32</v>
      </c>
      <c r="U597" s="2" t="inlineStr">
        <is>
          <t>low</t>
        </is>
      </c>
      <c r="V597" s="5" t="n">
        <v>10.3</v>
      </c>
      <c r="W597" s="2" t="inlineStr">
        <is>
          <t>medium</t>
        </is>
      </c>
      <c r="X597" s="3" t="inlineStr"/>
      <c r="Y597" s="3" t="inlineStr">
        <is>
          <t>50% of this dish's available carbohydrate comes from ingredients with a published, measured GI; the rest uses conventional placeholders (see Ingredients sheet)</t>
        </is>
      </c>
      <c r="Z597" s="2" t="n">
        <v>50</v>
      </c>
      <c r="AA597" s="3" t="inlineStr">
        <is>
          <t>vegetarian, gluten-free, nut-free, high-protein, high-fiber, one-pan</t>
        </is>
      </c>
      <c r="AB597" s="3" t="inlineStr">
        <is>
          <t>1. Sauté onion, pepper, garlic with spices in oil 7 minutes.
2. Add tomatoes, chickpeas, harissa; simmer 10 minutes.
3. Crack in eggs; cover 7 minutes; top feta, parsley.</t>
        </is>
      </c>
      <c r="AC597" s="4" t="inlineStr">
        <is>
          <t>["Sauté onion, pepper, garlic with spices in oil 7 minutes.", "Add tomatoes, chickpeas, harissa; simmer 10 minutes.", "Crack in eggs; cover 7 minutes; top feta, parsley."]</t>
        </is>
      </c>
    </row>
    <row r="598" ht="96" customHeight="1">
      <c r="A598" s="2" t="inlineStr">
        <is>
          <t>DB-0597</t>
        </is>
      </c>
      <c r="B598" s="3" t="inlineStr">
        <is>
          <t>Greek Stuffed Peppers with Quinoa &amp; Feta</t>
        </is>
      </c>
      <c r="C598" s="4" t="inlineStr">
        <is>
          <t>Vegetarian &amp; Vegan</t>
        </is>
      </c>
      <c r="D598" s="4" t="inlineStr">
        <is>
          <t>Greek</t>
        </is>
      </c>
      <c r="E598" s="2" t="n">
        <v>4</v>
      </c>
      <c r="F598" s="2" t="n">
        <v>15</v>
      </c>
      <c r="G598" s="2" t="n">
        <v>35</v>
      </c>
      <c r="H598" s="2" t="n">
        <v>50</v>
      </c>
      <c r="I598" s="4" t="inlineStr">
        <is>
          <t>greek-stuffed-peppers-with-quinoa-and-feta.jpg</t>
        </is>
      </c>
      <c r="J598" s="3" t="inlineStr">
        <is>
          <t>Greek Stuffed Peppers with Quinoa &amp; Feta, healthy food photography, plated, natural light</t>
        </is>
      </c>
      <c r="K598" s="4" t="inlineStr"/>
      <c r="L598" s="3" t="inlineStr">
        <is>
          <t>Bell pepper — 600 g (21.2 oz)
Quinoa, cooked — 300 g (10.6 oz)
Chickpeas, cooked — 200 g (7.1 oz)
Spinach — 100 g (3.5 oz)
Feta cheese — 80 g (2.8 oz)
Olives (kalamata/green) — 40 g (1.4 oz)
Cherry tomatoes — 150 g (5.3 oz)
Garlic — 6 g (0.2 oz)
Dried oregano — 3 g (0.1 oz)
Lemon (with juice &amp; zest) — 30 g (1.1 oz)
Extra-virgin olive oil — 12 g (0.4 oz)</t>
        </is>
      </c>
      <c r="M598" s="4" t="inlineStr">
        <is>
          <t>[{"ingredient_id": "bell_pepper", "name": "Bell pepper", "grams": 600.0, "note": ""}, {"ingredient_id": "quinoa", "name": "Quinoa, cooked", "grams": 300.0, "note": ""}, {"ingredient_id": "chickpeas", "name": "Chickpeas, cooked", "grams": 200.0, "note": ""}, {"ingredient_id": "spinach", "name": "Spinach", "grams": 100.0, "note": ""}, {"ingredient_id": "feta", "name": "Feta cheese", "grams": 80.0, "note": ""}, {"ingredient_id": "olives", "name": "Olives (kalamata/green)", "grams": 40.0, "note": ""}, {"ingredient_id": "cherry_tomato", "name": "Cherry tomatoes", "grams": 150.0, "note": ""}, {"ingredient_id": "garlic", "name": "Garlic", "grams": 6.0, "note": ""}, {"ingredient_id": "oregano", "name": "Dried oregano", "grams": 3.0, "note": ""}, {"ingredient_id": "lemon", "name": "Lemon (with juice &amp; zest)", "grams": 30.0, "note": ""}, {"ingredient_id": "olive_oil", "name": "Extra-virgin olive oil", "grams": 12.0, "note": ""}]</t>
        </is>
      </c>
      <c r="N598" s="2" t="n">
        <v>328</v>
      </c>
      <c r="O598" s="5" t="n">
        <v>13.4</v>
      </c>
      <c r="P598" s="5" t="n">
        <v>11.7</v>
      </c>
      <c r="Q598" s="5" t="n">
        <v>43.7</v>
      </c>
      <c r="R598" s="5" t="n">
        <v>10.9</v>
      </c>
      <c r="S598" s="5" t="n">
        <v>32.8</v>
      </c>
      <c r="T598" s="2" t="n">
        <v>38</v>
      </c>
      <c r="U598" s="2" t="inlineStr">
        <is>
          <t>low</t>
        </is>
      </c>
      <c r="V598" s="5" t="n">
        <v>12.5</v>
      </c>
      <c r="W598" s="2" t="inlineStr">
        <is>
          <t>medium</t>
        </is>
      </c>
      <c r="X598" s="3" t="inlineStr"/>
      <c r="Y598" s="3" t="inlineStr">
        <is>
          <t>71% of this dish's available carbohydrate comes from ingredients with a published, measured GI; the rest uses conventional placeholders (see Ingredients sheet)</t>
        </is>
      </c>
      <c r="Z598" s="2" t="n">
        <v>71</v>
      </c>
      <c r="AA598" s="3" t="inlineStr">
        <is>
          <t>vegetarian, gluten-free, nut-free, high-fiber, meal-prep</t>
        </is>
      </c>
      <c r="AB598" s="3" t="inlineStr">
        <is>
          <t>1. Halve peppers; roast 10 minutes.
2. Mix quinoa, chickpeas, chopped spinach, olives, tomato, garlic, oregano, lemon, oil, half the feta.
3. Fill peppers; top remaining feta; bake at 400°F 20 minutes.</t>
        </is>
      </c>
      <c r="AC598" s="4" t="inlineStr">
        <is>
          <t>["Halve peppers; roast 10 minutes.", "Mix quinoa, chickpeas, chopped spinach, olives, tomato, garlic, oregano, lemon, oil, half the feta.", "Fill peppers; top remaining feta; bake at 400°F 20 minutes."]</t>
        </is>
      </c>
    </row>
    <row r="599" ht="96" customHeight="1">
      <c r="A599" s="2" t="inlineStr">
        <is>
          <t>DB-0598</t>
        </is>
      </c>
      <c r="B599" s="3" t="inlineStr">
        <is>
          <t>Crispy Baked Tofu with Broccoli &amp; Peanut Sauce</t>
        </is>
      </c>
      <c r="C599" s="4" t="inlineStr">
        <is>
          <t>Vegetarian &amp; Vegan</t>
        </is>
      </c>
      <c r="D599" s="4" t="inlineStr">
        <is>
          <t>Thai</t>
        </is>
      </c>
      <c r="E599" s="2" t="n">
        <v>4</v>
      </c>
      <c r="F599" s="2" t="n">
        <v>10</v>
      </c>
      <c r="G599" s="2" t="n">
        <v>25</v>
      </c>
      <c r="H599" s="2" t="n">
        <v>35</v>
      </c>
      <c r="I599" s="4" t="inlineStr">
        <is>
          <t>crispy-baked-tofu-with-broccoli-and-peanut-sauce.jpg</t>
        </is>
      </c>
      <c r="J599" s="3" t="inlineStr">
        <is>
          <t>Crispy Baked Tofu with Broccoli &amp; Peanut Sauce, healthy food photography, plated, natural light</t>
        </is>
      </c>
      <c r="K599" s="4" t="inlineStr"/>
      <c r="L599" s="3" t="inlineStr">
        <is>
          <t>Tofu, extra-firm — 500 g (17.6 oz)
Broccoli — 500 g (17.6 oz)
Arrowroot starch — 8 g (0.3 oz)
Avocado oil — 15 g (0.5 oz)
Peanut butter, natural — 45 g (1.6 oz)
Tamari (gluten-free soy sauce) — 25 g (0.9 oz)
Lime juice — 20 g (0.7 oz)
Fresh ginger — 6 g (0.2 oz)
Sriracha — 6 g (0.2 oz)
Green onions (scallions) — 15 g (0.5 oz)
Peanuts, dry roasted — 15 g (0.5 oz)</t>
        </is>
      </c>
      <c r="M599" s="4" t="inlineStr">
        <is>
          <t>[{"ingredient_id": "tofu", "name": "Tofu, extra-firm", "grams": 500.0, "note": ""}, {"ingredient_id": "broccoli", "name": "Broccoli", "grams": 500.0, "note": ""}, {"ingredient_id": "arrowroot", "name": "Arrowroot starch", "grams": 8.0, "note": ""}, {"ingredient_id": "avocado_oil", "name": "Avocado oil", "grams": 15.0, "note": ""}, {"ingredient_id": "peanut_butter", "name": "Peanut butter, natural", "grams": 45.0, "note": ""}, {"ingredient_id": "tamari", "name": "Tamari (gluten-free soy sauce)", "grams": 25.0, "note": ""}, {"ingredient_id": "lime_juice", "name": "Lime juice", "grams": 20.0, "note": ""}, {"ingredient_id": "ginger", "name": "Fresh ginger", "grams": 6.0, "note": ""}, {"ingredient_id": "sriracha", "name": "Sriracha", "grams": 6.0, "note": ""}, {"ingredient_id": "green_onion", "name": "Green onions (scallions)", "grams": 15.0, "note": ""}, {"ingredient_id": "peanuts", "name": "Peanuts, dry roasted", "grams": 15.0, "note": ""}]</t>
        </is>
      </c>
      <c r="N599" s="2" t="n">
        <v>359</v>
      </c>
      <c r="O599" s="5" t="n">
        <v>29.3</v>
      </c>
      <c r="P599" s="5" t="n">
        <v>23</v>
      </c>
      <c r="Q599" s="5" t="n">
        <v>18.2</v>
      </c>
      <c r="R599" s="5" t="n">
        <v>7</v>
      </c>
      <c r="S599" s="5" t="n">
        <v>11.1</v>
      </c>
      <c r="T599" s="2" t="n">
        <v>23</v>
      </c>
      <c r="U599" s="2" t="inlineStr">
        <is>
          <t>low</t>
        </is>
      </c>
      <c r="V599" s="5" t="n">
        <v>2.6</v>
      </c>
      <c r="W599" s="2" t="inlineStr">
        <is>
          <t>low</t>
        </is>
      </c>
      <c r="X599" s="3" t="inlineStr"/>
      <c r="Y599" s="3" t="inlineStr">
        <is>
          <t>18% of this dish's available carbohydrate comes from ingredients with a published, measured GI; the rest uses conventional placeholders (see Ingredients sheet)</t>
        </is>
      </c>
      <c r="Z599" s="2" t="n">
        <v>18</v>
      </c>
      <c r="AA599" s="3" t="inlineStr">
        <is>
          <t>vegan, gluten-free, dairy-free, low-carb, high-protein, high-fiber</t>
        </is>
      </c>
      <c r="AB599" s="3" t="inlineStr">
        <is>
          <t>1. Toss tofu cubes with arrowroot and half the oil; roast at 425°F 25 minutes with broccoli tossed in remaining oil.
2. Whisk peanut butter, tamari, lime, ginger, sriracha, warm water.
3. Drizzle sauce; top green onion, peanuts.</t>
        </is>
      </c>
      <c r="AC599" s="4" t="inlineStr">
        <is>
          <t>["Toss tofu cubes with arrowroot and half the oil; roast at 425°F 25 minutes with broccoli tossed in remaining oil.", "Whisk peanut butter, tamari, lime, ginger, sriracha, warm water.", "Drizzle sauce; top green onion, peanuts."]</t>
        </is>
      </c>
    </row>
    <row r="600" ht="96" customHeight="1">
      <c r="A600" s="2" t="inlineStr">
        <is>
          <t>DB-0599</t>
        </is>
      </c>
      <c r="B600" s="3" t="inlineStr">
        <is>
          <t>Lentil Shepherd's Pie with Cauliflower Mash</t>
        </is>
      </c>
      <c r="C600" s="4" t="inlineStr">
        <is>
          <t>Vegetarian &amp; Vegan</t>
        </is>
      </c>
      <c r="D600" s="4" t="inlineStr">
        <is>
          <t>British</t>
        </is>
      </c>
      <c r="E600" s="2" t="n">
        <v>6</v>
      </c>
      <c r="F600" s="2" t="n">
        <v>20</v>
      </c>
      <c r="G600" s="2" t="n">
        <v>45</v>
      </c>
      <c r="H600" s="2" t="n">
        <v>65</v>
      </c>
      <c r="I600" s="4" t="inlineStr">
        <is>
          <t>lentil-shepherd-s-pie-with-cauliflower-mash.jpg</t>
        </is>
      </c>
      <c r="J600" s="3" t="inlineStr">
        <is>
          <t>Lentil Shepherd's Pie with Cauliflower Mash, healthy food photography, plated, natural light</t>
        </is>
      </c>
      <c r="K600" s="4" t="inlineStr"/>
      <c r="L600" s="3" t="inlineStr">
        <is>
          <t>Lentils, cooked — 600 g (21.2 oz)
Mushrooms (cremini/white) — 250 g (8.8 oz)
Yellow onion — 120 g (4.2 oz)
Carrot — 150 g (5.3 oz)
Green peas — 120 g (4.2 oz)
Garlic — 8 g (0.3 oz)
Tomato paste — 30 g (1.1 oz)
Vegetable broth, low sodium — 250 g (8.8 oz)
Fresh thyme — 3 g (0.1 oz)
Cauliflower — 900 g (31.7 oz)
Butter — 15 g (0.5 oz)
Milk, 2% — 50 g (1.8 oz)
Parmesan, grated — 40 g (1.4 oz)
Extra-virgin olive oil — 12 g (0.4 oz)
Salt — 4 g (0.1 oz)</t>
        </is>
      </c>
      <c r="M600" s="4" t="inlineStr">
        <is>
          <t>[{"ingredient_id": "lentils", "name": "Lentils, cooked", "grams": 600.0, "note": ""}, {"ingredient_id": "mushrooms", "name": "Mushrooms (cremini/white)", "grams": 250.0, "note": ""}, {"ingredient_id": "onion", "name": "Yellow onion", "grams": 120.0, "note": ""}, {"ingredient_id": "carrot", "name": "Carrot", "grams": 150.0, "note": ""}, {"ingredient_id": "green_peas", "name": "Green peas", "grams": 120.0, "note": ""}, {"ingredient_id": "garlic", "name": "Garlic", "grams": 8.0, "note": ""}, {"ingredient_id": "tomato_paste", "name": "Tomato paste", "grams": 30.0, "note": ""}, {"ingredient_id": "vegetable_broth", "name": "Vegetable broth, low sodium", "grams": 250.0, "note": ""}, {"ingredient_id": "thyme", "name": "Fresh thyme", "grams": 3.0, "note": ""}, {"ingredient_id": "cauliflower", "name": "Cauliflower", "grams": 900.0, "note": ""}, {"ingredient_id": "butter", "name": "Butter", "grams": 15.0, "note": ""}, {"ingredient_id": "milk", "name": "Milk, 2%", "grams": 50.0, "note": ""}, {"ingredient_id": "parmesan", "name": "Parmesan, grated", "grams": 40.0, "note": ""}, {"ingredient_id": "olive_oil", "name": "Extra-virgin olive oil", "grams": 12.0, "note": ""}, {"ingredient_id": "salt", "name": "Salt", "grams": 4.0, "note": ""}]</t>
        </is>
      </c>
      <c r="N600" s="2" t="n">
        <v>276</v>
      </c>
      <c r="O600" s="5" t="n">
        <v>18</v>
      </c>
      <c r="P600" s="5" t="n">
        <v>7.4</v>
      </c>
      <c r="Q600" s="5" t="n">
        <v>38.7</v>
      </c>
      <c r="R600" s="5" t="n">
        <v>13.8</v>
      </c>
      <c r="S600" s="5" t="n">
        <v>24.9</v>
      </c>
      <c r="T600" s="2" t="n">
        <v>29</v>
      </c>
      <c r="U600" s="2" t="inlineStr">
        <is>
          <t>low</t>
        </is>
      </c>
      <c r="V600" s="5" t="n">
        <v>7.2</v>
      </c>
      <c r="W600" s="2" t="inlineStr">
        <is>
          <t>low</t>
        </is>
      </c>
      <c r="X600" s="3" t="inlineStr"/>
      <c r="Y600" s="3" t="inlineStr">
        <is>
          <t>64% of this dish's available carbohydrate comes from ingredients with a published, measured GI; the rest uses conventional placeholders (see Ingredients sheet)</t>
        </is>
      </c>
      <c r="Z600" s="2" t="n">
        <v>64</v>
      </c>
      <c r="AA600" s="3" t="inlineStr">
        <is>
          <t>vegetarian, gluten-free, nut-free, high-fiber, make-ahead</t>
        </is>
      </c>
      <c r="AB600" s="3" t="inlineStr">
        <is>
          <t>1. Sauté onion, carrot, mushrooms, garlic; add lentils, tomato paste, broth, thyme, peas; simmer 10 minutes.
2. Mash steamed cauliflower with butter, milk, parmesan, salt.
3. Top filling with mash; bake at 400°F 25 minutes.</t>
        </is>
      </c>
      <c r="AC600" s="4" t="inlineStr">
        <is>
          <t>["Sauté onion, carrot, mushrooms, garlic; add lentils, tomato paste, broth, thyme, peas; simmer 10 minutes.", "Mash steamed cauliflower with butter, milk, parmesan, salt.", "Top filling with mash; bake at 400°F 25 minutes."]</t>
        </is>
      </c>
    </row>
    <row r="601" ht="96" customHeight="1">
      <c r="A601" s="2" t="inlineStr">
        <is>
          <t>DB-0600</t>
        </is>
      </c>
      <c r="B601" s="3" t="inlineStr">
        <is>
          <t>Egg Fried Cauliflower Rice with Edamame</t>
        </is>
      </c>
      <c r="C601" s="4" t="inlineStr">
        <is>
          <t>Vegetarian &amp; Vegan</t>
        </is>
      </c>
      <c r="D601" s="4" t="inlineStr">
        <is>
          <t>Chinese-American</t>
        </is>
      </c>
      <c r="E601" s="2" t="n">
        <v>3</v>
      </c>
      <c r="F601" s="2" t="n">
        <v>10</v>
      </c>
      <c r="G601" s="2" t="n">
        <v>12</v>
      </c>
      <c r="H601" s="2" t="n">
        <v>22</v>
      </c>
      <c r="I601" s="4" t="inlineStr">
        <is>
          <t>egg-fried-cauliflower-rice-with-edamame.jpg</t>
        </is>
      </c>
      <c r="J601" s="3" t="inlineStr">
        <is>
          <t>Egg Fried Cauliflower Rice with Edamame, healthy food photography, plated, natural light</t>
        </is>
      </c>
      <c r="K601" s="4" t="inlineStr"/>
      <c r="L601" s="3" t="inlineStr">
        <is>
          <t>Cauliflower rice — 500 g (17.6 oz)
Egg, large (50 g each) — 150 g (5.3 oz)
Edamame, shelled, cooked — 200 g (7.1 oz)
Carrot — 80 g (2.8 oz)
Green onions (scallions) — 25 g (0.9 oz)
Garlic — 8 g (0.3 oz)
Fresh ginger — 6 g (0.2 oz)
Tamari (gluten-free soy sauce) — 25 g (0.9 oz)
Toasted sesame oil — 8 g (0.3 oz)
Avocado oil — 10 g (0.4 oz)</t>
        </is>
      </c>
      <c r="M601" s="4" t="inlineStr">
        <is>
          <t>[{"ingredient_id": "cauliflower_rice", "name": "Cauliflower rice", "grams": 500.0, "note": ""}, {"ingredient_id": "egg", "name": "Egg, large (50 g each)", "grams": 150.0, "note": ""}, {"ingredient_id": "edamame", "name": "Edamame, shelled, cooked", "grams": 200.0, "note": ""}, {"ingredient_id": "carrot", "name": "Carrot", "grams": 80.0, "note": ""}, {"ingredient_id": "green_onion", "name": "Green onions (scallions)", "grams": 25.0, "note": ""}, {"ingredient_id": "garlic", "name": "Garlic", "grams": 8.0, "note": ""}, {"ingredient_id": "ginger", "name": "Fresh ginger", "grams": 6.0, "note": ""}, {"ingredient_id": "tamari", "name": "Tamari (gluten-free soy sauce)", "grams": 25.0, "note": ""}, {"ingredient_id": "sesame_oil", "name": "Toasted sesame oil", "grams": 8.0, "note": ""}, {"ingredient_id": "avocado_oil", "name": "Avocado oil", "grams": 10.0, "note": ""}]</t>
        </is>
      </c>
      <c r="N601" s="2" t="n">
        <v>271</v>
      </c>
      <c r="O601" s="5" t="n">
        <v>18.9</v>
      </c>
      <c r="P601" s="5" t="n">
        <v>14.7</v>
      </c>
      <c r="Q601" s="5" t="n">
        <v>19.5</v>
      </c>
      <c r="R601" s="5" t="n">
        <v>7.8</v>
      </c>
      <c r="S601" s="5" t="n">
        <v>11.7</v>
      </c>
      <c r="T601" s="2" t="n">
        <v>20</v>
      </c>
      <c r="U601" s="2" t="inlineStr">
        <is>
          <t>low</t>
        </is>
      </c>
      <c r="V601" s="5" t="n">
        <v>2.3</v>
      </c>
      <c r="W601" s="2" t="inlineStr">
        <is>
          <t>low</t>
        </is>
      </c>
      <c r="X601" s="3" t="inlineStr"/>
      <c r="Y601" s="3" t="inlineStr">
        <is>
          <t>15% of this dish's available carbohydrate comes from ingredients with a published, measured GI; the rest uses conventional placeholders (see Ingredients sheet)</t>
        </is>
      </c>
      <c r="Z601" s="2" t="n">
        <v>15</v>
      </c>
      <c r="AA601" s="3" t="inlineStr">
        <is>
          <t>vegetarian, gluten-free, dairy-free, nut-free, low-carb, high-fiber, quick</t>
        </is>
      </c>
      <c r="AB601" s="3" t="inlineStr">
        <is>
          <t>1. Scramble eggs in oil; remove.
2. Stir-fry carrot, garlic, ginger, cauliflower rice 5 minutes.
3. Add edamame, eggs, tamari, sesame oil, green onion.</t>
        </is>
      </c>
      <c r="AC601" s="4" t="inlineStr">
        <is>
          <t>["Scramble eggs in oil; remove.", "Stir-fry carrot, garlic, ginger, cauliflower rice 5 minutes.", "Add edamame, eggs, tamari, sesame oil, green onion."]</t>
        </is>
      </c>
    </row>
    <row r="602" ht="96" customHeight="1">
      <c r="A602" s="2" t="inlineStr">
        <is>
          <t>DB-0601</t>
        </is>
      </c>
      <c r="B602" s="3" t="inlineStr">
        <is>
          <t>Baked Falafel with Tahini &amp; Cucumber Salad</t>
        </is>
      </c>
      <c r="C602" s="4" t="inlineStr">
        <is>
          <t>Vegetarian &amp; Vegan</t>
        </is>
      </c>
      <c r="D602" s="4" t="inlineStr">
        <is>
          <t>Middle Eastern</t>
        </is>
      </c>
      <c r="E602" s="2" t="n">
        <v>4</v>
      </c>
      <c r="F602" s="2" t="n">
        <v>20</v>
      </c>
      <c r="G602" s="2" t="n">
        <v>25</v>
      </c>
      <c r="H602" s="2" t="n">
        <v>45</v>
      </c>
      <c r="I602" s="4" t="inlineStr">
        <is>
          <t>baked-falafel-with-tahini-and-cucumber-salad.jpg</t>
        </is>
      </c>
      <c r="J602" s="3" t="inlineStr">
        <is>
          <t>Baked Falafel with Tahini &amp; Cucumber Salad, healthy food photography, plated, natural light</t>
        </is>
      </c>
      <c r="K602" s="4" t="inlineStr"/>
      <c r="L602" s="3" t="inlineStr">
        <is>
          <t>Chickpeas, cooked — 500 g (17.6 oz)
Yellow onion — 60 g (2.1 oz)
Garlic — 8 g (0.3 oz)
Fresh parsley — 30 g (1.1 oz)
Fresh cilantro — 15 g (0.5 oz)
Ground cumin — 4 g (0.1 oz)
Ground coriander — 3 g (0.1 oz)
Baking powder — 3 g (0.1 oz)
Almond flour — 30 g (1.1 oz)
Extra-virgin olive oil — 20 g (0.7 oz)
Tahini — 40 g (1.4 oz)
Lemon juice — 30 g (1.1 oz)
Cucumber — 250 g (8.8 oz)
Tomato — 200 g (7.1 oz)
Salt — 3 g (0.1 oz)</t>
        </is>
      </c>
      <c r="M602" s="4" t="inlineStr">
        <is>
          <t>[{"ingredient_id": "chickpeas", "name": "Chickpeas, cooked", "grams": 500.0, "note": ""}, {"ingredient_id": "onion", "name": "Yellow onion", "grams": 60.0, "note": ""}, {"ingredient_id": "garlic", "name": "Garlic", "grams": 8.0, "note": ""}, {"ingredient_id": "parsley", "name": "Fresh parsley", "grams": 30.0, "note": ""}, {"ingredient_id": "cilantro", "name": "Fresh cilantro", "grams": 15.0, "note": ""}, {"ingredient_id": "cumin", "name": "Ground cumin", "grams": 4.0, "note": ""}, {"ingredient_id": "coriander", "name": "Ground coriander", "grams": 3.0, "note": ""}, {"ingredient_id": "baking_powder", "name": "Baking powder", "grams": 3.0, "note": ""}, {"ingredient_id": "almond_flour", "name": "Almond flour", "grams": 30.0, "note": ""}, {"ingredient_id": "olive_oil", "name": "Extra-virgin olive oil", "grams": 20.0, "note": ""}, {"ingredient_id": "tahini", "name": "Tahini", "grams": 40.0, "note": ""}, {"ingredient_id": "lemon_juice", "name": "Lemon juice", "grams": 30.0, "note": ""}, {"ingredient_id": "cucumber", "name": "Cucumber", "grams": 250.0, "note": ""}, {"ingredient_id": "tomato", "name": "Tomato", "grams": 200.0, "note": ""}, {"ingredient_id": "salt", "name": "Salt", "grams": 3.0, "note": ""}]</t>
        </is>
      </c>
      <c r="N602" s="2" t="n">
        <v>392</v>
      </c>
      <c r="O602" s="5" t="n">
        <v>16.2</v>
      </c>
      <c r="P602" s="5" t="n">
        <v>18</v>
      </c>
      <c r="Q602" s="5" t="n">
        <v>45.9</v>
      </c>
      <c r="R602" s="5" t="n">
        <v>13.3</v>
      </c>
      <c r="S602" s="5" t="n">
        <v>32.6</v>
      </c>
      <c r="T602" s="2" t="n">
        <v>33</v>
      </c>
      <c r="U602" s="2" t="inlineStr">
        <is>
          <t>low</t>
        </is>
      </c>
      <c r="V602" s="5" t="n">
        <v>10.7</v>
      </c>
      <c r="W602" s="2" t="inlineStr">
        <is>
          <t>medium</t>
        </is>
      </c>
      <c r="X602" s="3" t="inlineStr"/>
      <c r="Y602" s="3" t="inlineStr">
        <is>
          <t>74% of this dish's available carbohydrate comes from ingredients with a published, measured GI; the rest uses conventional placeholders (see Ingredients sheet)</t>
        </is>
      </c>
      <c r="Z602" s="2" t="n">
        <v>74</v>
      </c>
      <c r="AA602" s="3" t="inlineStr">
        <is>
          <t>vegan, gluten-free, dairy-free, high-fiber</t>
        </is>
      </c>
      <c r="AB602" s="3" t="inlineStr">
        <is>
          <t>1. Pulse chickpeas, onion, garlic, herbs, spices, baking powder, almond flour, salt; form 16 balls; brush with oil.
2. Bake at 425°F 22 minutes, flipping once.
3. Whisk tahini, lemon, water; serve with cucumber-tomato salad.</t>
        </is>
      </c>
      <c r="AC602" s="4" t="inlineStr">
        <is>
          <t>["Pulse chickpeas, onion, garlic, herbs, spices, baking powder, almond flour, salt; form 16 balls; brush with oil.", "Bake at 425°F 22 minutes, flipping once.", "Whisk tahini, lemon, water; serve with cucumber-tomato salad."]</t>
        </is>
      </c>
    </row>
    <row r="603" ht="96" customHeight="1">
      <c r="A603" s="2" t="inlineStr">
        <is>
          <t>DB-0602</t>
        </is>
      </c>
      <c r="B603" s="3" t="inlineStr">
        <is>
          <t>Spaghetti Squash Primavera</t>
        </is>
      </c>
      <c r="C603" s="4" t="inlineStr">
        <is>
          <t>Vegetarian &amp; Vegan</t>
        </is>
      </c>
      <c r="D603" s="4" t="inlineStr">
        <is>
          <t>Italian</t>
        </is>
      </c>
      <c r="E603" s="2" t="n">
        <v>4</v>
      </c>
      <c r="F603" s="2" t="n">
        <v>10</v>
      </c>
      <c r="G603" s="2" t="n">
        <v>45</v>
      </c>
      <c r="H603" s="2" t="n">
        <v>55</v>
      </c>
      <c r="I603" s="4" t="inlineStr">
        <is>
          <t>spaghetti-squash-primavera.jpg</t>
        </is>
      </c>
      <c r="J603" s="3" t="inlineStr">
        <is>
          <t>Spaghetti Squash Primavera, healthy food photography, plated, natural light</t>
        </is>
      </c>
      <c r="K603" s="4" t="inlineStr"/>
      <c r="L603" s="3" t="inlineStr">
        <is>
          <t>Spaghetti squash, cooked — 1200 g (42.3 oz)
Asparagus — 200 g (7.1 oz)
Zucchini — 200 g (7.1 oz)
Cherry tomatoes — 200 g (7.1 oz)
Green peas — 80 g (2.8 oz)
Garlic — 8 g (0.3 oz)
Extra-virgin olive oil — 20 g (0.7 oz)
Parmesan, grated — 40 g (1.4 oz)
Lemon (with juice &amp; zest) — 30 g (1.1 oz)
Fresh basil — 8 g (0.3 oz)
Cannellini beans, cooked — 200 g (7.1 oz)
Salt — 3 g (0.1 oz)</t>
        </is>
      </c>
      <c r="M603" s="4" t="inlineStr">
        <is>
          <t>[{"ingredient_id": "spaghetti_squash", "name": "Spaghetti squash, cooked", "grams": 1200.0, "note": ""}, {"ingredient_id": "asparagus", "name": "Asparagus", "grams": 200.0, "note": ""}, {"ingredient_id": "zucchini", "name": "Zucchini", "grams": 200.0, "note": ""}, {"ingredient_id": "cherry_tomato", "name": "Cherry tomatoes", "grams": 200.0, "note": ""}, {"ingredient_id": "green_peas", "name": "Green peas", "grams": 80.0, "note": ""}, {"ingredient_id": "garlic", "name": "Garlic", "grams": 8.0, "note": ""}, {"ingredient_id": "olive_oil", "name": "Extra-virgin olive oil", "grams": 20.0, "note": ""}, {"ingredient_id": "parmesan", "name": "Parmesan, grated", "grams": 40.0, "note": ""}, {"ingredient_id": "lemon", "name": "Lemon (with juice &amp; zest)", "grams": 30.0, "note": ""}, {"ingredient_id": "basil", "name": "Fresh basil", "grams": 8.0, "note": ""}, {"ingredient_id": "white_beans", "name": "Cannellini beans, cooked", "grams": 200.0, "note": ""}, {"ingredient_id": "salt", "name": "Salt", "grams": 3.0, "note": ""}]</t>
        </is>
      </c>
      <c r="N603" s="2" t="n">
        <v>299</v>
      </c>
      <c r="O603" s="5" t="n">
        <v>14</v>
      </c>
      <c r="P603" s="5" t="n">
        <v>10.3</v>
      </c>
      <c r="Q603" s="5" t="n">
        <v>43.6</v>
      </c>
      <c r="R603" s="5" t="n">
        <v>11.2</v>
      </c>
      <c r="S603" s="5" t="n">
        <v>32.3</v>
      </c>
      <c r="T603" s="2" t="n">
        <v>24</v>
      </c>
      <c r="U603" s="2" t="inlineStr">
        <is>
          <t>low</t>
        </is>
      </c>
      <c r="V603" s="5" t="n">
        <v>7.8</v>
      </c>
      <c r="W603" s="2" t="inlineStr">
        <is>
          <t>low</t>
        </is>
      </c>
      <c r="X603" s="3" t="inlineStr"/>
      <c r="Y603" s="3" t="inlineStr">
        <is>
          <t>34% of this dish's available carbohydrate comes from ingredients with a published, measured GI; the rest uses conventional placeholders (see Ingredients sheet)</t>
        </is>
      </c>
      <c r="Z603" s="2" t="n">
        <v>34</v>
      </c>
      <c r="AA603" s="3" t="inlineStr">
        <is>
          <t>vegetarian, gluten-free, nut-free, high-fiber</t>
        </is>
      </c>
      <c r="AB603" s="3" t="inlineStr">
        <is>
          <t>1. Roast halved squash 40 minutes; scrape.
2. Sauté garlic and vegetables 5 minutes; add beans.
3. Toss with squash, lemon, parmesan, basil.</t>
        </is>
      </c>
      <c r="AC603" s="4" t="inlineStr">
        <is>
          <t>["Roast halved squash 40 minutes; scrape.", "Sauté garlic and vegetables 5 minutes; add beans.", "Toss with squash, lemon, parmesan, basil."]</t>
        </is>
      </c>
    </row>
    <row r="604" ht="96" customHeight="1">
      <c r="A604" s="2" t="inlineStr">
        <is>
          <t>DB-0603</t>
        </is>
      </c>
      <c r="B604" s="3" t="inlineStr">
        <is>
          <t>Caprese Stuffed Portobellos</t>
        </is>
      </c>
      <c r="C604" s="4" t="inlineStr">
        <is>
          <t>Vegetarian &amp; Vegan</t>
        </is>
      </c>
      <c r="D604" s="4" t="inlineStr">
        <is>
          <t>Italian</t>
        </is>
      </c>
      <c r="E604" s="2" t="n">
        <v>4</v>
      </c>
      <c r="F604" s="2" t="n">
        <v>10</v>
      </c>
      <c r="G604" s="2" t="n">
        <v>18</v>
      </c>
      <c r="H604" s="2" t="n">
        <v>28</v>
      </c>
      <c r="I604" s="4" t="inlineStr">
        <is>
          <t>caprese-stuffed-portobellos.jpg</t>
        </is>
      </c>
      <c r="J604" s="3" t="inlineStr">
        <is>
          <t>Caprese Stuffed Portobellos, healthy food photography, plated, natural light</t>
        </is>
      </c>
      <c r="K604" s="4" t="inlineStr"/>
      <c r="L604" s="3" t="inlineStr">
        <is>
          <t>Portobello mushrooms — 500 g (17.6 oz)
Mozzarella, part-skim — 120 g (4.2 oz)
Cherry tomatoes — 200 g (7.1 oz)
Fresh basil — 10 g (0.4 oz)
Garlic — 5 g (0.2 oz)
Balsamic vinegar — 15 g (0.5 oz)
Extra-virgin olive oil — 15 g (0.5 oz)
Cannellini beans, cooked — 200 g (7.1 oz)
Salt — 2 g (0.1 oz)</t>
        </is>
      </c>
      <c r="M604" s="4" t="inlineStr">
        <is>
          <t>[{"ingredient_id": "portobello", "name": "Portobello mushrooms", "grams": 500.0, "note": ""}, {"ingredient_id": "mozzarella", "name": "Mozzarella, part-skim", "grams": 120.0, "note": ""}, {"ingredient_id": "cherry_tomato", "name": "Cherry tomatoes", "grams": 200.0, "note": ""}, {"ingredient_id": "basil", "name": "Fresh basil", "grams": 10.0, "note": ""}, {"ingredient_id": "garlic", "name": "Garlic", "grams": 5.0, "note": ""}, {"ingredient_id": "balsamic_vinegar", "name": "Balsamic vinegar", "grams": 15.0, "note": ""}, {"ingredient_id": "olive_oil", "name": "Extra-virgin olive oil", "grams": 15.0, "note": ""}, {"ingredient_id": "white_beans", "name": "Cannellini beans, cooked", "grams": 200.0, "note": ""}, {"ingredient_id": "salt", "name": "Salt", "grams": 2.0, "note": ""}]</t>
        </is>
      </c>
      <c r="N604" s="2" t="n">
        <v>221</v>
      </c>
      <c r="O604" s="5" t="n">
        <v>15.3</v>
      </c>
      <c r="P604" s="5" t="n">
        <v>9.4</v>
      </c>
      <c r="Q604" s="5" t="n">
        <v>21.3</v>
      </c>
      <c r="R604" s="5" t="n">
        <v>5.4</v>
      </c>
      <c r="S604" s="5" t="n">
        <v>15.9</v>
      </c>
      <c r="T604" s="2" t="n">
        <v>25</v>
      </c>
      <c r="U604" s="2" t="inlineStr">
        <is>
          <t>low</t>
        </is>
      </c>
      <c r="V604" s="5" t="n">
        <v>4</v>
      </c>
      <c r="W604" s="2" t="inlineStr">
        <is>
          <t>low</t>
        </is>
      </c>
      <c r="X604" s="3" t="inlineStr"/>
      <c r="Y604" s="3" t="inlineStr">
        <is>
          <t>59% of this dish's available carbohydrate comes from ingredients with a published, measured GI; the rest uses conventional placeholders (see Ingredients sheet)</t>
        </is>
      </c>
      <c r="Z604" s="2" t="n">
        <v>59</v>
      </c>
      <c r="AA604" s="3" t="inlineStr">
        <is>
          <t>vegetarian, gluten-free, nut-free</t>
        </is>
      </c>
      <c r="AB604" s="3" t="inlineStr">
        <is>
          <t>1. Brush caps with oil and garlic; roast 8 minutes.
2. Fill with halved tomato, mozzarella, beans; bake 10 minutes.
3. Top basil and balsamic.</t>
        </is>
      </c>
      <c r="AC604" s="4" t="inlineStr">
        <is>
          <t>["Brush caps with oil and garlic; roast 8 minutes.", "Fill with halved tomato, mozzarella, beans; bake 10 minutes.", "Top basil and balsamic."]</t>
        </is>
      </c>
    </row>
    <row r="605" ht="96" customHeight="1">
      <c r="A605" s="2" t="inlineStr">
        <is>
          <t>DB-0604</t>
        </is>
      </c>
      <c r="B605" s="3" t="inlineStr">
        <is>
          <t>Tofu Scramble Burrito Bowl</t>
        </is>
      </c>
      <c r="C605" s="4" t="inlineStr">
        <is>
          <t>Vegetarian &amp; Vegan</t>
        </is>
      </c>
      <c r="D605" s="4" t="inlineStr">
        <is>
          <t>Tex-Mex</t>
        </is>
      </c>
      <c r="E605" s="2" t="n">
        <v>3</v>
      </c>
      <c r="F605" s="2" t="n">
        <v>10</v>
      </c>
      <c r="G605" s="2" t="n">
        <v>12</v>
      </c>
      <c r="H605" s="2" t="n">
        <v>22</v>
      </c>
      <c r="I605" s="4" t="inlineStr">
        <is>
          <t>tofu-scramble-burrito-bowl.jpg</t>
        </is>
      </c>
      <c r="J605" s="3" t="inlineStr">
        <is>
          <t>Tofu Scramble Burrito Bowl, healthy food photography, plated, natural light</t>
        </is>
      </c>
      <c r="K605" s="4" t="inlineStr"/>
      <c r="L605" s="3" t="inlineStr">
        <is>
          <t>Tofu, extra-firm — 400 g (14.1 oz)
Ground turmeric — 2 g (0.1 oz)
Ground cumin — 2 g (0.1 oz)
Nutritional yeast — 10 g (0.4 oz)
Black beans, cooked — 250 g (8.8 oz)
Cauliflower rice — 400 g (14.1 oz)
Salsa, no sugar added — 120 g (4.2 oz)
Avocado — 100 g (3.5 oz)
Bell pepper — 100 g (3.5 oz)
Extra-virgin olive oil — 12 g (0.4 oz)
Fresh cilantro — 6 g (0.2 oz)</t>
        </is>
      </c>
      <c r="M605" s="4" t="inlineStr">
        <is>
          <t>[{"ingredient_id": "tofu", "name": "Tofu, extra-firm", "grams": 400.0, "note": ""}, {"ingredient_id": "turmeric", "name": "Ground turmeric", "grams": 2.0, "note": ""}, {"ingredient_id": "cumin", "name": "Ground cumin", "grams": 2.0, "note": ""}, {"ingredient_id": "nutritional_yeast", "name": "Nutritional yeast", "grams": 10.0, "note": ""}, {"ingredient_id": "black_beans", "name": "Black beans, cooked", "grams": 250.0, "note": ""}, {"ingredient_id": "cauliflower_rice", "name": "Cauliflower rice", "grams": 400.0, "note": ""}, {"ingredient_id": "salsa", "name": "Salsa, no sugar added", "grams": 120.0, "note": ""}, {"ingredient_id": "avocado", "name": "Avocado", "grams": 100.0, "note": ""}, {"ingredient_id": "bell_pepper", "name": "Bell pepper", "grams": 100.0, "note": ""}, {"ingredient_id": "olive_oil", "name": "Extra-virgin olive oil", "grams": 12.0, "note": ""}, {"ingredient_id": "cilantro", "name": "Fresh cilantro", "grams": 6.0, "note": ""}]</t>
        </is>
      </c>
      <c r="N605" s="2" t="n">
        <v>465</v>
      </c>
      <c r="O605" s="5" t="n">
        <v>36.1</v>
      </c>
      <c r="P605" s="5" t="n">
        <v>22.3</v>
      </c>
      <c r="Q605" s="5" t="n">
        <v>40</v>
      </c>
      <c r="R605" s="5" t="n">
        <v>17.2</v>
      </c>
      <c r="S605" s="5" t="n">
        <v>22.8</v>
      </c>
      <c r="T605" s="2" t="n">
        <v>25</v>
      </c>
      <c r="U605" s="2" t="inlineStr">
        <is>
          <t>low</t>
        </is>
      </c>
      <c r="V605" s="5" t="n">
        <v>5.7</v>
      </c>
      <c r="W605" s="2" t="inlineStr">
        <is>
          <t>low</t>
        </is>
      </c>
      <c r="X605" s="3" t="inlineStr"/>
      <c r="Y605" s="3" t="inlineStr">
        <is>
          <t>55% of this dish's available carbohydrate comes from ingredients with a published, measured GI; the rest uses conventional placeholders (see Ingredients sheet)</t>
        </is>
      </c>
      <c r="Z605" s="2" t="n">
        <v>55</v>
      </c>
      <c r="AA605" s="3" t="inlineStr">
        <is>
          <t>vegan, gluten-free, dairy-free, nut-free, high-protein, high-fiber, quick</t>
        </is>
      </c>
      <c r="AB605" s="3" t="inlineStr">
        <is>
          <t>1. Crumble tofu; sauté with turmeric, cumin, nutritional yeast, pepper 6 minutes.
2. Sauté cauliflower rice.
3. Bowl with beans, salsa, avocado, cilantro.</t>
        </is>
      </c>
      <c r="AC605" s="4" t="inlineStr">
        <is>
          <t>["Crumble tofu; sauté with turmeric, cumin, nutritional yeast, pepper 6 minutes.", "Sauté cauliflower rice.", "Bowl with beans, salsa, avocado, cilantro."]</t>
        </is>
      </c>
    </row>
    <row r="606" ht="96" customHeight="1">
      <c r="A606" s="2" t="inlineStr">
        <is>
          <t>DB-0605</t>
        </is>
      </c>
      <c r="B606" s="3" t="inlineStr">
        <is>
          <t>Mushroom Lentil Loaf</t>
        </is>
      </c>
      <c r="C606" s="4" t="inlineStr">
        <is>
          <t>Vegetarian &amp; Vegan</t>
        </is>
      </c>
      <c r="D606" s="4" t="inlineStr">
        <is>
          <t>American</t>
        </is>
      </c>
      <c r="E606" s="2" t="n">
        <v>6</v>
      </c>
      <c r="F606" s="2" t="n">
        <v>20</v>
      </c>
      <c r="G606" s="2" t="n">
        <v>55</v>
      </c>
      <c r="H606" s="2" t="n">
        <v>75</v>
      </c>
      <c r="I606" s="4" t="inlineStr">
        <is>
          <t>mushroom-lentil-loaf.jpg</t>
        </is>
      </c>
      <c r="J606" s="3" t="inlineStr">
        <is>
          <t>Mushroom Lentil Loaf, healthy food photography, plated, natural light</t>
        </is>
      </c>
      <c r="K606" s="4" t="inlineStr"/>
      <c r="L606" s="3" t="inlineStr">
        <is>
          <t>Lentils, cooked — 500 g (17.6 oz)
Mushrooms (cremini/white) — 300 g (10.6 oz)
Yellow onion — 100 g (3.5 oz)
Carrot — 100 g (3.5 oz)
Garlic — 8 g (0.3 oz)
Rolled oats, dry — 80 g (2.8 oz)
Walnuts — 50 g (1.8 oz)
Egg, large (50 g each) — 100 g (3.5 oz)
Tomato paste — 50 g (1.8 oz)
Tamari (gluten-free soy sauce) — 15 g (0.5 oz)
Fresh thyme — 3 g (0.1 oz)
Extra-virgin olive oil — 12 g (0.4 oz)
Salt — 3 g (0.1 oz)</t>
        </is>
      </c>
      <c r="M606" s="4" t="inlineStr">
        <is>
          <t>[{"ingredient_id": "lentils", "name": "Lentils, cooked", "grams": 500.0, "note": ""}, {"ingredient_id": "mushrooms", "name": "Mushrooms (cremini/white)", "grams": 300.0, "note": ""}, {"ingredient_id": "onion", "name": "Yellow onion", "grams": 100.0, "note": ""}, {"ingredient_id": "carrot", "name": "Carrot", "grams": 100.0, "note": ""}, {"ingredient_id": "garlic", "name": "Garlic", "grams": 8.0, "note": ""}, {"ingredient_id": "rolled_oats", "name": "Rolled oats, dry", "grams": 80.0, "note": ""}, {"ingredient_id": "walnuts", "name": "Walnuts", "grams": 50.0, "note": ""}, {"ingredient_id": "egg", "name": "Egg, large (50 g each)", "grams": 100.0, "note": ""}, {"ingredient_id": "tomato_paste", "name": "Tomato paste", "grams": 50.0, "note": ""}, {"ingredient_id": "tamari", "name": "Tamari (gluten-free soy sauce)", "grams": 15.0, "note": ""}, {"ingredient_id": "thyme", "name": "Fresh thyme", "grams": 3.0, "note": ""}, {"ingredient_id": "olive_oil", "name": "Extra-virgin olive oil", "grams": 12.0, "note": ""}, {"ingredient_id": "salt", "name": "Salt", "grams": 3.0, "note": ""}]</t>
        </is>
      </c>
      <c r="N606" s="2" t="n">
        <v>279</v>
      </c>
      <c r="O606" s="5" t="n">
        <v>15.2</v>
      </c>
      <c r="P606" s="5" t="n">
        <v>10.5</v>
      </c>
      <c r="Q606" s="5" t="n">
        <v>34.1</v>
      </c>
      <c r="R606" s="5" t="n">
        <v>10.2</v>
      </c>
      <c r="S606" s="5" t="n">
        <v>23.9</v>
      </c>
      <c r="T606" s="2" t="n">
        <v>40</v>
      </c>
      <c r="U606" s="2" t="inlineStr">
        <is>
          <t>low</t>
        </is>
      </c>
      <c r="V606" s="5" t="n">
        <v>9.6</v>
      </c>
      <c r="W606" s="2" t="inlineStr">
        <is>
          <t>low</t>
        </is>
      </c>
      <c r="X606" s="3" t="inlineStr"/>
      <c r="Y606" s="3" t="inlineStr">
        <is>
          <t>79% of this dish's available carbohydrate comes from ingredients with a published, measured GI; the rest uses conventional placeholders (see Ingredients sheet)</t>
        </is>
      </c>
      <c r="Z606" s="2" t="n">
        <v>79</v>
      </c>
      <c r="AA606" s="3" t="inlineStr">
        <is>
          <t>vegetarian, dairy-free, high-fiber, make-ahead</t>
        </is>
      </c>
      <c r="AB606" s="3" t="inlineStr">
        <is>
          <t>1. Sauté onion, carrot, mushrooms, garlic; pulse with lentils, oats, walnuts, eggs, half the tomato paste, tamari, thyme.
2. Press into a loaf pan; glaze with remaining tomato paste.
3. Bake at 375°F 50 minutes; rest 10.</t>
        </is>
      </c>
      <c r="AC606" s="4" t="inlineStr">
        <is>
          <t>["Sauté onion, carrot, mushrooms, garlic; pulse with lentils, oats, walnuts, eggs, half the tomato paste, tamari, thyme.", "Press into a loaf pan; glaze with remaining tomato paste.", "Bake at 375°F 50 minutes; rest 10."]</t>
        </is>
      </c>
    </row>
    <row r="607" ht="96" customHeight="1">
      <c r="A607" s="2" t="inlineStr">
        <is>
          <t>DB-0606</t>
        </is>
      </c>
      <c r="B607" s="3" t="inlineStr">
        <is>
          <t>Edamame &amp; Vegetable Soba Bowl</t>
        </is>
      </c>
      <c r="C607" s="4" t="inlineStr">
        <is>
          <t>Vegetarian &amp; Vegan</t>
        </is>
      </c>
      <c r="D607" s="4" t="inlineStr">
        <is>
          <t>Japanese</t>
        </is>
      </c>
      <c r="E607" s="2" t="n">
        <v>3</v>
      </c>
      <c r="F607" s="2" t="n">
        <v>10</v>
      </c>
      <c r="G607" s="2" t="n">
        <v>10</v>
      </c>
      <c r="H607" s="2" t="n">
        <v>20</v>
      </c>
      <c r="I607" s="4" t="inlineStr">
        <is>
          <t>edamame-and-vegetable-soba-bowl.jpg</t>
        </is>
      </c>
      <c r="J607" s="3" t="inlineStr">
        <is>
          <t>Edamame &amp; Vegetable Soba Bowl, healthy food photography, plated, natural light</t>
        </is>
      </c>
      <c r="K607" s="4" t="inlineStr"/>
      <c r="L607" s="3" t="inlineStr">
        <is>
          <t>Soba (buckwheat) noodles, cooked — 300 g (10.6 oz)
Edamame, shelled, cooked — 250 g (8.8 oz)
Cucumber — 120 g (4.2 oz)
Carrot — 60 g (2.1 oz)
Red cabbage — 80 g (2.8 oz)
Green onions (scallions) — 20 g (0.7 oz)
Tamari (gluten-free soy sauce) — 20 g (0.7 oz)
Rice vinegar, unseasoned — 20 g (0.7 oz)
Toasted sesame oil — 10 g (0.4 oz)
Fresh ginger — 6 g (0.2 oz)
Sesame seeds — 8 g (0.3 oz)</t>
        </is>
      </c>
      <c r="M607" s="4" t="inlineStr">
        <is>
          <t>[{"ingredient_id": "soba", "name": "Soba (buckwheat) noodles, cooked", "grams": 300.0, "note": ""}, {"ingredient_id": "edamame", "name": "Edamame, shelled, cooked", "grams": 250.0, "note": ""}, {"ingredient_id": "cucumber", "name": "Cucumber", "grams": 120.0, "note": ""}, {"ingredient_id": "carrot", "name": "Carrot", "grams": 60.0, "note": ""}, {"ingredient_id": "red_cabbage", "name": "Red cabbage", "grams": 80.0, "note": ""}, {"ingredient_id": "green_onion", "name": "Green onions (scallions)", "grams": 20.0, "note": ""}, {"ingredient_id": "tamari", "name": "Tamari (gluten-free soy sauce)", "grams": 20.0, "note": ""}, {"ingredient_id": "rice_vinegar", "name": "Rice vinegar, unseasoned", "grams": 20.0, "note": ""}, {"ingredient_id": "sesame_oil", "name": "Toasted sesame oil", "grams": 10.0, "note": ""}, {"ingredient_id": "ginger", "name": "Fresh ginger", "grams": 6.0, "note": ""}, {"ingredient_id": "sesame_seeds", "name": "Sesame seeds", "grams": 8.0, "note": ""}]</t>
        </is>
      </c>
      <c r="N607" s="2" t="n">
        <v>276</v>
      </c>
      <c r="O607" s="5" t="n">
        <v>17.2</v>
      </c>
      <c r="P607" s="5" t="n">
        <v>9.1</v>
      </c>
      <c r="Q607" s="5" t="n">
        <v>36.1</v>
      </c>
      <c r="R607" s="5" t="n">
        <v>7.6</v>
      </c>
      <c r="S607" s="5" t="n">
        <v>28.5</v>
      </c>
      <c r="T607" s="2" t="n">
        <v>38</v>
      </c>
      <c r="U607" s="2" t="inlineStr">
        <is>
          <t>low</t>
        </is>
      </c>
      <c r="V607" s="5" t="n">
        <v>10.8</v>
      </c>
      <c r="W607" s="2" t="inlineStr">
        <is>
          <t>medium</t>
        </is>
      </c>
      <c r="X607" s="3" t="inlineStr"/>
      <c r="Y607" s="3" t="inlineStr">
        <is>
          <t>75% of this dish's available carbohydrate comes from ingredients with a published, measured GI; the rest uses conventional placeholders (see Ingredients sheet)</t>
        </is>
      </c>
      <c r="Z607" s="2" t="n">
        <v>75</v>
      </c>
      <c r="AA607" s="3" t="inlineStr">
        <is>
          <t>vegan, dairy-free, nut-free, high-fiber</t>
        </is>
      </c>
      <c r="AB607" s="3" t="inlineStr">
        <is>
          <t>1. Cook soba; rinse cold.
2. Whisk tamari, vinegar, sesame oil, ginger.
3. Toss soba with edamame, vegetables, dressing; sesame.</t>
        </is>
      </c>
      <c r="AC607" s="4" t="inlineStr">
        <is>
          <t>["Cook soba; rinse cold.", "Whisk tamari, vinegar, sesame oil, ginger.", "Toss soba with edamame, vegetables, dressing; sesame."]</t>
        </is>
      </c>
    </row>
    <row r="608" ht="96" customHeight="1">
      <c r="A608" s="2" t="inlineStr">
        <is>
          <t>DB-0607</t>
        </is>
      </c>
      <c r="B608" s="3" t="inlineStr">
        <is>
          <t>Zucchini Lasagna with Ricotta &amp; Spinach</t>
        </is>
      </c>
      <c r="C608" s="4" t="inlineStr">
        <is>
          <t>Vegetarian &amp; Vegan</t>
        </is>
      </c>
      <c r="D608" s="4" t="inlineStr">
        <is>
          <t>Italian</t>
        </is>
      </c>
      <c r="E608" s="2" t="n">
        <v>6</v>
      </c>
      <c r="F608" s="2" t="n">
        <v>25</v>
      </c>
      <c r="G608" s="2" t="n">
        <v>50</v>
      </c>
      <c r="H608" s="2" t="n">
        <v>75</v>
      </c>
      <c r="I608" s="4" t="inlineStr">
        <is>
          <t>zucchini-lasagna-with-ricotta-and-spinach.jpg</t>
        </is>
      </c>
      <c r="J608" s="3" t="inlineStr">
        <is>
          <t>Zucchini Lasagna with Ricotta &amp; Spinach, healthy food photography, plated, natural light</t>
        </is>
      </c>
      <c r="K608" s="4" t="inlineStr"/>
      <c r="L608" s="3" t="inlineStr">
        <is>
          <t>Zucchini — 1000 g (35.3 oz)
Ricotta, part-skim — 400 g (14.1 oz)
Egg, large (50 g each) — 50 g (1.8 oz)
Spinach — 250 g (8.8 oz)
Marinara sauce, no sugar added — 450 g (15.9 oz)
Mozzarella, part-skim — 150 g (5.3 oz)
Parmesan, grated — 40 g (1.4 oz)
Garlic — 6 g (0.2 oz)
Italian seasoning — 3 g (0.1 oz)
Mushrooms (cremini/white) — 200 g (7.1 oz)
Salt — 3 g (0.1 oz)</t>
        </is>
      </c>
      <c r="M608" s="4" t="inlineStr">
        <is>
          <t>[{"ingredient_id": "zucchini", "name": "Zucchini", "grams": 1000.0, "note": ""}, {"ingredient_id": "ricotta", "name": "Ricotta, part-skim", "grams": 400.0, "note": ""}, {"ingredient_id": "egg", "name": "Egg, large (50 g each)", "grams": 50.0, "note": ""}, {"ingredient_id": "spinach", "name": "Spinach", "grams": 250.0, "note": ""}, {"ingredient_id": "marinara", "name": "Marinara sauce, no sugar added", "grams": 450.0, "note": ""}, {"ingredient_id": "mozzarella", "name": "Mozzarella, part-skim", "grams": 150.0, "note": ""}, {"ingredient_id": "parmesan", "name": "Parmesan, grated", "grams": 40.0, "note": ""}, {"ingredient_id": "garlic", "name": "Garlic", "grams": 6.0, "note": ""}, {"ingredient_id": "italian_seasoning", "name": "Italian seasoning", "grams": 3.0, "note": ""}, {"ingredient_id": "mushrooms", "name": "Mushrooms (cremini/white)", "grams": 200.0, "note": ""}, {"ingredient_id": "salt", "name": "Salt", "grams": 3.0, "note": ""}]</t>
        </is>
      </c>
      <c r="N608" s="2" t="n">
        <v>278</v>
      </c>
      <c r="O608" s="5" t="n">
        <v>22.4</v>
      </c>
      <c r="P608" s="5" t="n">
        <v>14.7</v>
      </c>
      <c r="Q608" s="5" t="n">
        <v>16.6</v>
      </c>
      <c r="R608" s="5" t="n">
        <v>4.3</v>
      </c>
      <c r="S608" s="5" t="n">
        <v>12.3</v>
      </c>
      <c r="T608" s="2" t="n">
        <v>18</v>
      </c>
      <c r="U608" s="2" t="inlineStr">
        <is>
          <t>low</t>
        </is>
      </c>
      <c r="V608" s="5" t="n">
        <v>2.2</v>
      </c>
      <c r="W608" s="2" t="inlineStr">
        <is>
          <t>low</t>
        </is>
      </c>
      <c r="X608" s="3" t="inlineStr"/>
      <c r="Y608" s="3" t="inlineStr">
        <is>
          <t>21% of this dish's available carbohydrate comes from ingredients with a published, measured GI; the rest uses conventional placeholders (see Ingredients sheet)</t>
        </is>
      </c>
      <c r="Z608" s="2" t="n">
        <v>21</v>
      </c>
      <c r="AA608" s="3" t="inlineStr">
        <is>
          <t>vegetarian, gluten-free, nut-free, low-carb, make-ahead</t>
        </is>
      </c>
      <c r="AB608" s="3" t="inlineStr">
        <is>
          <t>1. Slice zucchini; salt, blot, grill briefly. Sauté mushrooms and garlic; add marinara.
2. Mix ricotta, egg, spinach, seasoning.
3. Layer zucchini, ricotta, sauce; top cheeses; bake at 375°F 40 minutes.</t>
        </is>
      </c>
      <c r="AC608" s="4" t="inlineStr">
        <is>
          <t>["Slice zucchini; salt, blot, grill briefly. Sauté mushrooms and garlic; add marinara.", "Mix ricotta, egg, spinach, seasoning.", "Layer zucchini, ricotta, sauce; top cheeses; bake at 375°F 40 minutes."]</t>
        </is>
      </c>
    </row>
    <row r="609" ht="96" customHeight="1">
      <c r="A609" s="2" t="inlineStr">
        <is>
          <t>DB-0608</t>
        </is>
      </c>
      <c r="B609" s="3" t="inlineStr">
        <is>
          <t>Cauliflower Tikka Masala</t>
        </is>
      </c>
      <c r="C609" s="4" t="inlineStr">
        <is>
          <t>Vegetarian &amp; Vegan</t>
        </is>
      </c>
      <c r="D609" s="4" t="inlineStr">
        <is>
          <t>Indian</t>
        </is>
      </c>
      <c r="E609" s="2" t="n">
        <v>4</v>
      </c>
      <c r="F609" s="2" t="n">
        <v>10</v>
      </c>
      <c r="G609" s="2" t="n">
        <v>30</v>
      </c>
      <c r="H609" s="2" t="n">
        <v>40</v>
      </c>
      <c r="I609" s="4" t="inlineStr">
        <is>
          <t>cauliflower-tikka-masala.jpg</t>
        </is>
      </c>
      <c r="J609" s="3" t="inlineStr">
        <is>
          <t>Cauliflower Tikka Masala, healthy food photography, plated, natural light</t>
        </is>
      </c>
      <c r="K609" s="4" t="inlineStr"/>
      <c r="L609" s="3" t="inlineStr">
        <is>
          <t>Cauliflower — 800 g (28.2 oz)
Chickpeas, cooked — 250 g (8.8 oz)
Yellow onion — 120 g (4.2 oz)
Garlic — 8 g (0.3 oz)
Fresh ginger — 10 g (0.4 oz)
Garam masala — 8 g (0.3 oz)
Ground turmeric — 2 g (0.1 oz)
Ground cumin — 3 g (0.1 oz)
Crushed tomatoes, canned — 400 g (14.1 oz)
Coconut milk, canned light — 200 g (7.1 oz)
Greek yogurt, plain 2% — 80 g (2.8 oz)
Extra-virgin olive oil — 15 g (0.5 oz)
Fresh cilantro — 8 g (0.3 oz)
Salt — 3 g (0.1 oz)</t>
        </is>
      </c>
      <c r="M609" s="4" t="inlineStr">
        <is>
          <t>[{"ingredient_id": "cauliflower", "name": "Cauliflower", "grams": 800.0, "note": ""}, {"ingredient_id": "chickpeas", "name": "Chickpeas, cooked", "grams": 250.0, "note": ""}, {"ingredient_id": "onion", "name": "Yellow onion", "grams": 120.0, "note": ""}, {"ingredient_id": "garlic", "name": "Garlic", "grams": 8.0, "note": ""}, {"ingredient_id": "ginger", "name": "Fresh ginger", "grams": 10.0, "note": ""}, {"ingredient_id": "garam_masala", "name": "Garam masala", "grams": 8.0, "note": ""}, {"ingredient_id": "turmeric", "name": "Ground turmeric", "grams": 2.0, "note": ""}, {"ingredient_id": "cumin", "name": "Ground cumin", "grams": 3.0, "note": ""}, {"ingredient_id": "crushed_tomatoes", "name": "Crushed tomatoes, canned", "grams": 400.0, "note": ""}, {"ingredient_id": "coconut_milk_light", "name": "Coconut milk, canned light", "grams": 200.0, "note": ""}, {"ingredient_id": "greek_yogurt", "name": "Greek yogurt, plain 2%", "grams": 80.0, "note": ""}, {"ingredient_id": "olive_oil", "name": "Extra-virgin olive oil", "grams": 15.0, "note": ""}, {"ingredient_id": "cilantro", "name": "Fresh cilantro", "grams": 8.0, "note": ""}, {"ingredient_id": "salt", "name": "Salt", "grams": 3.0, "note": ""}]</t>
        </is>
      </c>
      <c r="N609" s="2" t="n">
        <v>295</v>
      </c>
      <c r="O609" s="5" t="n">
        <v>14.3</v>
      </c>
      <c r="P609" s="5" t="n">
        <v>10.2</v>
      </c>
      <c r="Q609" s="5" t="n">
        <v>41.7</v>
      </c>
      <c r="R609" s="5" t="n">
        <v>12.6</v>
      </c>
      <c r="S609" s="5" t="n">
        <v>29.2</v>
      </c>
      <c r="T609" s="2" t="n">
        <v>29</v>
      </c>
      <c r="U609" s="2" t="inlineStr">
        <is>
          <t>low</t>
        </is>
      </c>
      <c r="V609" s="5" t="n">
        <v>8.5</v>
      </c>
      <c r="W609" s="2" t="inlineStr">
        <is>
          <t>low</t>
        </is>
      </c>
      <c r="X609" s="3" t="inlineStr"/>
      <c r="Y609" s="3" t="inlineStr">
        <is>
          <t>44% of this dish's available carbohydrate comes from ingredients with a published, measured GI; the rest uses conventional placeholders (see Ingredients sheet)</t>
        </is>
      </c>
      <c r="Z609" s="2" t="n">
        <v>44</v>
      </c>
      <c r="AA609" s="3" t="inlineStr">
        <is>
          <t>vegetarian, gluten-free, nut-free, high-fiber</t>
        </is>
      </c>
      <c r="AB609" s="3" t="inlineStr">
        <is>
          <t>1. Roast cauliflower florets with half the oil and half the spices at 425°F 20 minutes.
2. Sauté onion, garlic, ginger, remaining spices; add tomatoes; simmer 10 minutes; add coconut milk.
3. Stir in cauliflower, chickpeas, yogurt; garnish cilantro.</t>
        </is>
      </c>
      <c r="AC609" s="4" t="inlineStr">
        <is>
          <t>["Roast cauliflower florets with half the oil and half the spices at 425°F 20 minutes.", "Sauté onion, garlic, ginger, remaining spices; add tomatoes; simmer 10 minutes; add coconut milk.", "Stir in cauliflower, chickpeas, yogurt; garnish cilantro."]</t>
        </is>
      </c>
    </row>
    <row r="610" ht="96" customHeight="1">
      <c r="A610" s="2" t="inlineStr">
        <is>
          <t>DB-0609</t>
        </is>
      </c>
      <c r="B610" s="3" t="inlineStr">
        <is>
          <t>Greek Zucchini Fritters with Tzatziki</t>
        </is>
      </c>
      <c r="C610" s="4" t="inlineStr">
        <is>
          <t>Vegetarian &amp; Vegan</t>
        </is>
      </c>
      <c r="D610" s="4" t="inlineStr">
        <is>
          <t>Greek</t>
        </is>
      </c>
      <c r="E610" s="2" t="n">
        <v>4</v>
      </c>
      <c r="F610" s="2" t="n">
        <v>15</v>
      </c>
      <c r="G610" s="2" t="n">
        <v>15</v>
      </c>
      <c r="H610" s="2" t="n">
        <v>30</v>
      </c>
      <c r="I610" s="4" t="inlineStr">
        <is>
          <t>greek-zucchini-fritters-with-tzatziki.jpg</t>
        </is>
      </c>
      <c r="J610" s="3" t="inlineStr">
        <is>
          <t>Greek Zucchini Fritters with Tzatziki, healthy food photography, plated, natural light</t>
        </is>
      </c>
      <c r="K610" s="4" t="inlineStr"/>
      <c r="L610" s="3" t="inlineStr">
        <is>
          <t>Zucchini — 600 g (21.2 oz)
Egg, large (50 g each) — 100 g (3.5 oz)
Feta cheese — 60 g (2.1 oz)
Almond flour — 50 g (1.8 oz)
Green onions (scallions) — 20 g (0.7 oz)
Fresh dill — 8 g (0.3 oz)
Fresh mint — 5 g (0.2 oz)
Greek yogurt, plain 2% — 150 g (5.3 oz)
Cucumber — 100 g (3.5 oz)
Garlic — 4 g (0.1 oz)
Extra-virgin olive oil — 25 g (0.9 oz)
Salt — 3 g (0.1 oz)</t>
        </is>
      </c>
      <c r="M610" s="4" t="inlineStr">
        <is>
          <t>[{"ingredient_id": "zucchini", "name": "Zucchini", "grams": 600.0, "note": ""}, {"ingredient_id": "egg", "name": "Egg, large (50 g each)", "grams": 100.0, "note": ""}, {"ingredient_id": "feta", "name": "Feta cheese", "grams": 60.0, "note": ""}, {"ingredient_id": "almond_flour", "name": "Almond flour", "grams": 50.0, "note": ""}, {"ingredient_id": "green_onion", "name": "Green onions (scallions)", "grams": 20.0, "note": ""}, {"ingredient_id": "dill", "name": "Fresh dill", "grams": 8.0, "note": ""}, {"ingredient_id": "mint", "name": "Fresh mint", "grams": 5.0, "note": ""}, {"ingredient_id": "greek_yogurt", "name": "Greek yogurt, plain 2%", "grams": 150.0, "note": ""}, {"ingredient_id": "cucumber", "name": "Cucumber", "grams": 100.0, "note": ""}, {"ingredient_id": "garlic", "name": "Garlic", "grams": 4.0, "note": ""}, {"ingredient_id": "olive_oil", "name": "Extra-virgin olive oil", "grams": 25.0, "note": ""}, {"ingredient_id": "salt", "name": "Salt", "grams": 3.0, "note": ""}]</t>
        </is>
      </c>
      <c r="N610" s="2" t="n">
        <v>265</v>
      </c>
      <c r="O610" s="5" t="n">
        <v>13.9</v>
      </c>
      <c r="P610" s="5" t="n">
        <v>19.3</v>
      </c>
      <c r="Q610" s="5" t="n">
        <v>11.4</v>
      </c>
      <c r="R610" s="5" t="n">
        <v>3.4</v>
      </c>
      <c r="S610" s="5" t="n">
        <v>8</v>
      </c>
      <c r="T610" s="2" t="n">
        <v>13</v>
      </c>
      <c r="U610" s="2" t="inlineStr">
        <is>
          <t>low</t>
        </is>
      </c>
      <c r="V610" s="5" t="n">
        <v>1</v>
      </c>
      <c r="W610" s="2" t="inlineStr">
        <is>
          <t>low</t>
        </is>
      </c>
      <c r="X610" s="3" t="inlineStr"/>
      <c r="Y610" s="3" t="inlineStr">
        <is>
          <t>19% of this dish's available carbohydrate comes from ingredients with a published, measured GI; the rest uses conventional placeholders (see Ingredients sheet)</t>
        </is>
      </c>
      <c r="Z610" s="2" t="n">
        <v>19</v>
      </c>
      <c r="AA610" s="3" t="inlineStr">
        <is>
          <t>vegetarian, gluten-free, low-carb</t>
        </is>
      </c>
      <c r="AB610" s="3" t="inlineStr">
        <is>
          <t>1. Grate zucchini; salt; squeeze very dry. Mix with eggs, feta, almond flour, green onion, herbs.
2. Pan-fry spoonfuls in oil 3 minutes per side.
3. Mix yogurt, grated cucumber, garlic; serve.</t>
        </is>
      </c>
      <c r="AC610" s="4" t="inlineStr">
        <is>
          <t>["Grate zucchini; salt; squeeze very dry. Mix with eggs, feta, almond flour, green onion, herbs.", "Pan-fry spoonfuls in oil 3 minutes per side.", "Mix yogurt, grated cucumber, garlic; serve."]</t>
        </is>
      </c>
    </row>
    <row r="611" ht="96" customHeight="1">
      <c r="A611" s="2" t="inlineStr">
        <is>
          <t>DB-0610</t>
        </is>
      </c>
      <c r="B611" s="3" t="inlineStr">
        <is>
          <t>Buddha Bowl with Roasted Chickpeas &amp; Tahini</t>
        </is>
      </c>
      <c r="C611" s="4" t="inlineStr">
        <is>
          <t>Vegetarian &amp; Vegan</t>
        </is>
      </c>
      <c r="D611" s="4" t="inlineStr">
        <is>
          <t>American</t>
        </is>
      </c>
      <c r="E611" s="2" t="n">
        <v>4</v>
      </c>
      <c r="F611" s="2" t="n">
        <v>15</v>
      </c>
      <c r="G611" s="2" t="n">
        <v>25</v>
      </c>
      <c r="H611" s="2" t="n">
        <v>40</v>
      </c>
      <c r="I611" s="4" t="inlineStr">
        <is>
          <t>buddha-bowl-with-roasted-chickpeas-and-tahini.jpg</t>
        </is>
      </c>
      <c r="J611" s="3" t="inlineStr">
        <is>
          <t>Buddha Bowl with Roasted Chickpeas &amp; Tahini, healthy food photography, plated, natural light</t>
        </is>
      </c>
      <c r="K611" s="4" t="inlineStr"/>
      <c r="L611" s="3" t="inlineStr">
        <is>
          <t>Chickpeas, cooked — 300 g (10.6 oz)
Sweet potato, baked/roasted — 200 g (7.1 oz)
Broccoli — 250 g (8.8 oz)
Quinoa, cooked — 180 g (6.3 oz)
Kale — 100 g (3.5 oz)
Avocado — 100 g (3.5 oz)
Red cabbage — 80 g (2.8 oz)
Tahini — 35 g (1.2 oz)
Lemon juice — 25 g (0.9 oz)
Garlic — 4 g (0.1 oz)
Extra-virgin olive oil — 20 g (0.7 oz)
Smoked paprika — 3 g (0.1 oz)
Salt — 3 g (0.1 oz)</t>
        </is>
      </c>
      <c r="M611" s="4" t="inlineStr">
        <is>
          <t>[{"ingredient_id": "chickpeas", "name": "Chickpeas, cooked", "grams": 300.0, "note": ""}, {"ingredient_id": "sweet_potato_roasted", "name": "Sweet potato, baked/roasted", "grams": 200.0, "note": ""}, {"ingredient_id": "broccoli", "name": "Broccoli", "grams": 250.0, "note": ""}, {"ingredient_id": "quinoa", "name": "Quinoa, cooked", "grams": 180.0, "note": ""}, {"ingredient_id": "kale", "name": "Kale", "grams": 100.0, "note": ""}, {"ingredient_id": "avocado", "name": "Avocado", "grams": 100.0, "note": ""}, {"ingredient_id": "red_cabbage", "name": "Red cabbage", "grams": 80.0, "note": ""}, {"ingredient_id": "tahini", "name": "Tahini", "grams": 35.0, "note": ""}, {"ingredient_id": "lemon_juice", "name": "Lemon juice", "grams": 25.0, "note": ""}, {"ingredient_id": "garlic", "name": "Garlic", "grams": 4.0, "note": ""}, {"ingredient_id": "olive_oil", "name": "Extra-virgin olive oil", "grams": 20.0, "note": ""}, {"ingredient_id": "smoked_paprika", "name": "Smoked paprika", "grams": 3.0, "note": ""}, {"ingredient_id": "salt", "name": "Salt", "grams": 3.0, "note": ""}]</t>
        </is>
      </c>
      <c r="N611" s="2" t="n">
        <v>401</v>
      </c>
      <c r="O611" s="5" t="n">
        <v>14.7</v>
      </c>
      <c r="P611" s="5" t="n">
        <v>17</v>
      </c>
      <c r="Q611" s="5" t="n">
        <v>52.6</v>
      </c>
      <c r="R611" s="5" t="n">
        <v>14.2</v>
      </c>
      <c r="S611" s="5" t="n">
        <v>38.5</v>
      </c>
      <c r="T611" s="2" t="n">
        <v>48</v>
      </c>
      <c r="U611" s="2" t="inlineStr">
        <is>
          <t>low</t>
        </is>
      </c>
      <c r="V611" s="5" t="n">
        <v>18.5</v>
      </c>
      <c r="W611" s="2" t="inlineStr">
        <is>
          <t>medium</t>
        </is>
      </c>
      <c r="X611" s="3" t="inlineStr"/>
      <c r="Y611" s="3" t="inlineStr">
        <is>
          <t>81% of this dish's available carbohydrate comes from ingredients with a published, measured GI; the rest uses conventional placeholders (see Ingredients sheet)</t>
        </is>
      </c>
      <c r="Z611" s="2" t="n">
        <v>81</v>
      </c>
      <c r="AA611" s="3" t="inlineStr">
        <is>
          <t>vegan, gluten-free, dairy-free, nut-free, high-fiber, meal-prep</t>
        </is>
      </c>
      <c r="AB611" s="3" t="inlineStr">
        <is>
          <t>1. Roast chickpeas, sweet potato, broccoli with oil, paprika, salt at 425°F 22 minutes.
2. Whisk tahini, lemon, garlic, water.
3. Bowl quinoa, kale, cabbage, roasted items, avocado; drizzle tahini.</t>
        </is>
      </c>
      <c r="AC611" s="4" t="inlineStr">
        <is>
          <t>["Roast chickpeas, sweet potato, broccoli with oil, paprika, salt at 425°F 22 minutes.", "Whisk tahini, lemon, garlic, water.", "Bowl quinoa, kale, cabbage, roasted items, avocado; drizzle tahini."]</t>
        </is>
      </c>
    </row>
    <row r="612" ht="96" customHeight="1">
      <c r="A612" s="2" t="inlineStr">
        <is>
          <t>DB-0611</t>
        </is>
      </c>
      <c r="B612" s="3" t="inlineStr">
        <is>
          <t>Mushroom Stroganoff (Yogurt) over Zoodles</t>
        </is>
      </c>
      <c r="C612" s="4" t="inlineStr">
        <is>
          <t>Vegetarian &amp; Vegan</t>
        </is>
      </c>
      <c r="D612" s="4" t="inlineStr">
        <is>
          <t>Russian</t>
        </is>
      </c>
      <c r="E612" s="2" t="n">
        <v>4</v>
      </c>
      <c r="F612" s="2" t="n">
        <v>10</v>
      </c>
      <c r="G612" s="2" t="n">
        <v>20</v>
      </c>
      <c r="H612" s="2" t="n">
        <v>30</v>
      </c>
      <c r="I612" s="4" t="inlineStr">
        <is>
          <t>mushroom-stroganoff-yogurt-over-zoodles.jpg</t>
        </is>
      </c>
      <c r="J612" s="3" t="inlineStr">
        <is>
          <t>Mushroom Stroganoff (Yogurt) over Zoodles, healthy food photography, plated, natural light</t>
        </is>
      </c>
      <c r="K612" s="4" t="inlineStr"/>
      <c r="L612" s="3" t="inlineStr">
        <is>
          <t>Mushrooms (cremini/white) — 700 g (24.7 oz)
Yellow onion — 100 g (3.5 oz)
Garlic — 8 g (0.3 oz)
Vegetable broth, low sodium — 200 g (7.1 oz)
Greek yogurt, plain 2% — 150 g (5.3 oz)
Dijon mustard — 10 g (0.4 oz)
Paprika — 3 g (0.1 oz)
Fresh thyme — 2 g (0.1 oz)
Extra-virgin olive oil — 15 g (0.5 oz)
Zucchini noodles (zoodles) — 600 g (21.2 oz)
Fresh parsley — 6 g (0.2 oz)
Salt — 3 g (0.1 oz)</t>
        </is>
      </c>
      <c r="M612" s="4" t="inlineStr">
        <is>
          <t>[{"ingredient_id": "mushrooms", "name": "Mushrooms (cremini/white)", "grams": 700.0, "note": ""}, {"ingredient_id": "onion", "name": "Yellow onion", "grams": 100.0, "note": ""}, {"ingredient_id": "garlic", "name": "Garlic", "grams": 8.0, "note": ""}, {"ingredient_id": "vegetable_broth", "name": "Vegetable broth, low sodium", "grams": 200.0, "note": ""}, {"ingredient_id": "greek_yogurt", "name": "Greek yogurt, plain 2%", "grams": 150.0, "note": ""}, {"ingredient_id": "dijon", "name": "Dijon mustard", "grams": 10.0, "note": ""}, {"ingredient_id": "paprika", "name": "Paprika", "grams": 3.0, "note": ""}, {"ingredient_id": "thyme", "name": "Fresh thyme", "grams": 2.0, "note": ""}, {"ingredient_id": "olive_oil", "name": "Extra-virgin olive oil", "grams": 15.0, "note": ""}, {"ingredient_id": "zucchini_noodles", "name": "Zucchini noodles (zoodles)", "grams": 600.0, "note": ""}, {"ingredient_id": "parsley", "name": "Fresh parsley", "grams": 6.0, "note": ""}, {"ingredient_id": "salt", "name": "Salt", "grams": 3.0, "note": ""}]</t>
        </is>
      </c>
      <c r="N612" s="2" t="n">
        <v>146</v>
      </c>
      <c r="O612" s="5" t="n">
        <v>11.9</v>
      </c>
      <c r="P612" s="5" t="n">
        <v>5.8</v>
      </c>
      <c r="Q612" s="5" t="n">
        <v>16.4</v>
      </c>
      <c r="R612" s="5" t="n">
        <v>4.2</v>
      </c>
      <c r="S612" s="5" t="n">
        <v>12.2</v>
      </c>
      <c r="T612" s="2" t="n">
        <v>14</v>
      </c>
      <c r="U612" s="2" t="inlineStr">
        <is>
          <t>low</t>
        </is>
      </c>
      <c r="V612" s="5" t="n">
        <v>1.7</v>
      </c>
      <c r="W612" s="2" t="inlineStr">
        <is>
          <t>low</t>
        </is>
      </c>
      <c r="X612" s="3" t="inlineStr"/>
      <c r="Y612" s="3" t="inlineStr">
        <is>
          <t>12% of this dish's available carbohydrate comes from ingredients with a published, measured GI; the rest uses conventional placeholders (see Ingredients sheet)</t>
        </is>
      </c>
      <c r="Z612" s="2" t="n">
        <v>12</v>
      </c>
      <c r="AA612" s="3" t="inlineStr">
        <is>
          <t>vegetarian, gluten-free, nut-free, low-carb</t>
        </is>
      </c>
      <c r="AB612" s="3" t="inlineStr">
        <is>
          <t>1. Sear mushrooms in oil until browned; add onion, garlic, thyme, paprika.
2. Add broth; reduce; stir in yogurt and Dijon off heat.
3. Serve over sautéed zoodles with parsley.</t>
        </is>
      </c>
      <c r="AC612" s="4" t="inlineStr">
        <is>
          <t>["Sear mushrooms in oil until browned; add onion, garlic, thyme, paprika.", "Add broth; reduce; stir in yogurt and Dijon off heat.", "Serve over sautéed zoodles with parsley."]</t>
        </is>
      </c>
    </row>
    <row r="613" ht="96" customHeight="1">
      <c r="A613" s="2" t="inlineStr">
        <is>
          <t>DB-0612</t>
        </is>
      </c>
      <c r="B613" s="3" t="inlineStr">
        <is>
          <t>Black Bean &amp; Sweet Potato Enchilada Skillet</t>
        </is>
      </c>
      <c r="C613" s="4" t="inlineStr">
        <is>
          <t>Vegetarian &amp; Vegan</t>
        </is>
      </c>
      <c r="D613" s="4" t="inlineStr">
        <is>
          <t>Tex-Mex</t>
        </is>
      </c>
      <c r="E613" s="2" t="n">
        <v>4</v>
      </c>
      <c r="F613" s="2" t="n">
        <v>10</v>
      </c>
      <c r="G613" s="2" t="n">
        <v>25</v>
      </c>
      <c r="H613" s="2" t="n">
        <v>35</v>
      </c>
      <c r="I613" s="4" t="inlineStr">
        <is>
          <t>black-bean-and-sweet-potato-enchilada-skillet.jpg</t>
        </is>
      </c>
      <c r="J613" s="3" t="inlineStr">
        <is>
          <t>Black Bean &amp; Sweet Potato Enchilada Skillet, healthy food photography, plated, natural light</t>
        </is>
      </c>
      <c r="K613" s="4" t="inlineStr"/>
      <c r="L613" s="3" t="inlineStr">
        <is>
          <t>Black beans, cooked — 400 g (14.1 oz)
Sweet potato, boiled/simmered — 300 g (10.6 oz)
Red enchilada sauce, no sugar added — 300 g (10.6 oz)
Yellow onion — 100 g (3.5 oz)
Bell pepper — 150 g (5.3 oz)
Garlic — 6 g (0.2 oz)
Ground cumin — 3 g (0.1 oz)
Cheddar cheese — 80 g (2.8 oz)
Extra-virgin olive oil — 12 g (0.4 oz)
Greek yogurt, plain 2% — 60 g (2.1 oz)
Fresh cilantro — 6 g (0.2 oz)
Avocado — 80 g (2.8 oz)</t>
        </is>
      </c>
      <c r="M613" s="4" t="inlineStr">
        <is>
          <t>[{"ingredient_id": "black_beans", "name": "Black beans, cooked", "grams": 400.0, "note": ""}, {"ingredient_id": "sweet_potato", "name": "Sweet potato, boiled/simmered", "grams": 300.0, "note": ""}, {"ingredient_id": "enchilada_sauce", "name": "Red enchilada sauce, no sugar added", "grams": 300.0, "note": ""}, {"ingredient_id": "onion", "name": "Yellow onion", "grams": 100.0, "note": ""}, {"ingredient_id": "bell_pepper", "name": "Bell pepper", "grams": 150.0, "note": ""}, {"ingredient_id": "garlic", "name": "Garlic", "grams": 6.0, "note": ""}, {"ingredient_id": "cumin", "name": "Ground cumin", "grams": 3.0, "note": ""}, {"ingredient_id": "cheddar", "name": "Cheddar cheese", "grams": 80.0, "note": ""}, {"ingredient_id": "olive_oil", "name": "Extra-virgin olive oil", "grams": 12.0, "note": ""}, {"ingredient_id": "greek_yogurt", "name": "Greek yogurt, plain 2%", "grams": 60.0, "note": ""}, {"ingredient_id": "cilantro", "name": "Fresh cilantro", "grams": 6.0, "note": ""}, {"ingredient_id": "avocado", "name": "Avocado", "grams": 80.0, "note": ""}]</t>
        </is>
      </c>
      <c r="N613" s="2" t="n">
        <v>404</v>
      </c>
      <c r="O613" s="5" t="n">
        <v>18.3</v>
      </c>
      <c r="P613" s="5" t="n">
        <v>15.3</v>
      </c>
      <c r="Q613" s="5" t="n">
        <v>50.5</v>
      </c>
      <c r="R613" s="5" t="n">
        <v>14.4</v>
      </c>
      <c r="S613" s="5" t="n">
        <v>36.1</v>
      </c>
      <c r="T613" s="2" t="n">
        <v>33</v>
      </c>
      <c r="U613" s="2" t="inlineStr">
        <is>
          <t>low</t>
        </is>
      </c>
      <c r="V613" s="5" t="n">
        <v>11.9</v>
      </c>
      <c r="W613" s="2" t="inlineStr">
        <is>
          <t>medium</t>
        </is>
      </c>
      <c r="X613" s="3" t="inlineStr"/>
      <c r="Y613" s="3" t="inlineStr">
        <is>
          <t>79% of this dish's available carbohydrate comes from ingredients with a published, measured GI; the rest uses conventional placeholders (see Ingredients sheet)</t>
        </is>
      </c>
      <c r="Z613" s="2" t="n">
        <v>79</v>
      </c>
      <c r="AA613" s="3" t="inlineStr">
        <is>
          <t>vegetarian, gluten-free, nut-free, high-fiber, one-pan</t>
        </is>
      </c>
      <c r="AB613" s="3" t="inlineStr">
        <is>
          <t>1. Sauté diced sweet potato in oil covered 8 minutes; add onion, pepper, garlic, cumin.
2. Add beans and enchilada sauce; simmer 8 minutes.
3. Top cheddar; cover to melt; serve with yogurt, avocado, cilantro.</t>
        </is>
      </c>
      <c r="AC613" s="4" t="inlineStr">
        <is>
          <t>["Sauté diced sweet potato in oil covered 8 minutes; add onion, pepper, garlic, cumin.", "Add beans and enchilada sauce; simmer 8 minutes.", "Top cheddar; cover to melt; serve with yogurt, avocado, cilantro."]</t>
        </is>
      </c>
    </row>
    <row r="614" ht="96" customHeight="1">
      <c r="A614" s="2" t="inlineStr">
        <is>
          <t>DB-0613</t>
        </is>
      </c>
      <c r="B614" s="3" t="inlineStr">
        <is>
          <t>Tofu Banh Mi Lettuce Wraps</t>
        </is>
      </c>
      <c r="C614" s="4" t="inlineStr">
        <is>
          <t>Vegetarian &amp; Vegan</t>
        </is>
      </c>
      <c r="D614" s="4" t="inlineStr">
        <is>
          <t>Vietnamese</t>
        </is>
      </c>
      <c r="E614" s="2" t="n">
        <v>4</v>
      </c>
      <c r="F614" s="2" t="n">
        <v>15</v>
      </c>
      <c r="G614" s="2" t="n">
        <v>12</v>
      </c>
      <c r="H614" s="2" t="n">
        <v>27</v>
      </c>
      <c r="I614" s="4" t="inlineStr">
        <is>
          <t>tofu-banh-mi-lettuce-wraps.jpg</t>
        </is>
      </c>
      <c r="J614" s="3" t="inlineStr">
        <is>
          <t>Tofu Banh Mi Lettuce Wraps, healthy food photography, plated, natural light</t>
        </is>
      </c>
      <c r="K614" s="4" t="inlineStr"/>
      <c r="L614" s="3" t="inlineStr">
        <is>
          <t>Tofu, extra-firm — 500 g (17.6 oz)
Tamari (gluten-free soy sauce) — 25 g (0.9 oz)
Garlic — 6 g (0.2 oz)
Chinese five-spice — 2 g (0.1 oz)
Carrot — 120 g (4.2 oz)
Daikon radish — 120 g (4.2 oz)
Rice vinegar, unseasoned — 30 g (1.1 oz)
Cucumber — 150 g (5.3 oz)
Jalapeño — 15 g (0.5 oz)
Fresh cilantro — 10 g (0.4 oz)
Mayonnaise (avocado oil) — 20 g (0.7 oz)
Sriracha — 8 g (0.3 oz)
Butter lettuce — 200 g (7.1 oz)
Avocado oil — 12 g (0.4 oz)</t>
        </is>
      </c>
      <c r="M614" s="4" t="inlineStr">
        <is>
          <t>[{"ingredient_id": "tofu", "name": "Tofu, extra-firm", "grams": 500.0, "note": ""}, {"ingredient_id": "tamari", "name": "Tamari (gluten-free soy sauce)", "grams": 25.0, "note": ""}, {"ingredient_id": "garlic", "name": "Garlic", "grams": 6.0, "note": ""}, {"ingredient_id": "five_spice", "name": "Chinese five-spice", "grams": 2.0, "note": ""}, {"ingredient_id": "carrot", "name": "Carrot", "grams": 120.0, "note": ""}, {"ingredient_id": "daikon", "name": "Daikon radish", "grams": 120.0, "note": ""}, {"ingredient_id": "rice_vinegar", "name": "Rice vinegar, unseasoned", "grams": 30.0, "note": ""}, {"ingredient_id": "cucumber", "name": "Cucumber", "grams": 150.0, "note": ""}, {"ingredient_id": "jalapeno", "name": "Jalapeño", "grams": 15.0, "note": ""}, {"ingredient_id": "cilantro", "name": "Fresh cilantro", "grams": 10.0, "note": ""}, {"ingredient_id": "mayo", "name": "Mayonnaise (avocado oil)", "grams": 20.0, "note": ""}, {"ingredient_id": "sriracha", "name": "Sriracha", "grams": 8.0, "note": ""}, {"ingredient_id": "butter_lettuce", "name": "Butter lettuce", "grams": 200.0, "note": ""}, {"ingredient_id": "avocado_oil", "name": "Avocado oil", "grams": 12.0, "note": ""}]</t>
        </is>
      </c>
      <c r="N614" s="2" t="n">
        <v>284</v>
      </c>
      <c r="O614" s="5" t="n">
        <v>23.6</v>
      </c>
      <c r="P614" s="5" t="n">
        <v>18.5</v>
      </c>
      <c r="Q614" s="5" t="n">
        <v>12.1</v>
      </c>
      <c r="R614" s="5" t="n">
        <v>5</v>
      </c>
      <c r="S614" s="5" t="n">
        <v>7.2</v>
      </c>
      <c r="T614" s="2" t="n">
        <v>24</v>
      </c>
      <c r="U614" s="2" t="inlineStr">
        <is>
          <t>low</t>
        </is>
      </c>
      <c r="V614" s="5" t="n">
        <v>1.7</v>
      </c>
      <c r="W614" s="2" t="inlineStr">
        <is>
          <t>low</t>
        </is>
      </c>
      <c r="X614" s="3" t="inlineStr"/>
      <c r="Y614" s="3" t="inlineStr">
        <is>
          <t>28% of this dish's available carbohydrate comes from ingredients with a published, measured GI; the rest uses conventional placeholders (see Ingredients sheet)</t>
        </is>
      </c>
      <c r="Z614" s="2" t="n">
        <v>28</v>
      </c>
      <c r="AA614" s="3" t="inlineStr">
        <is>
          <t>vegetarian, gluten-free, dairy-free, nut-free, low-carb</t>
        </is>
      </c>
      <c r="AB614" s="3" t="inlineStr">
        <is>
          <t>1. Marinate tofu slabs in tamari, garlic, five-spice; pan-fry in oil until crisp.
2. Quick-pickle carrot and daikon in vinegar 15 minutes.
3. Fill lettuce with tofu, pickles, cucumber, jalapeño, cilantro, sriracha mayo.</t>
        </is>
      </c>
      <c r="AC614" s="4" t="inlineStr">
        <is>
          <t>["Marinate tofu slabs in tamari, garlic, five-spice; pan-fry in oil until crisp.", "Quick-pickle carrot and daikon in vinegar 15 minutes.", "Fill lettuce with tofu, pickles, cucumber, jalapeño, cilantro, sriracha mayo."]</t>
        </is>
      </c>
    </row>
    <row r="615" ht="96" customHeight="1">
      <c r="A615" s="2" t="inlineStr">
        <is>
          <t>DB-0614</t>
        </is>
      </c>
      <c r="B615" s="3" t="inlineStr">
        <is>
          <t>Ratatouille with White Beans</t>
        </is>
      </c>
      <c r="C615" s="4" t="inlineStr">
        <is>
          <t>Vegetarian &amp; Vegan</t>
        </is>
      </c>
      <c r="D615" s="4" t="inlineStr">
        <is>
          <t>French</t>
        </is>
      </c>
      <c r="E615" s="2" t="n">
        <v>4</v>
      </c>
      <c r="F615" s="2" t="n">
        <v>15</v>
      </c>
      <c r="G615" s="2" t="n">
        <v>40</v>
      </c>
      <c r="H615" s="2" t="n">
        <v>55</v>
      </c>
      <c r="I615" s="4" t="inlineStr">
        <is>
          <t>ratatouille-with-white-beans.jpg</t>
        </is>
      </c>
      <c r="J615" s="3" t="inlineStr">
        <is>
          <t>Ratatouille with White Beans, healthy food photography, plated, natural light</t>
        </is>
      </c>
      <c r="K615" s="4" t="inlineStr"/>
      <c r="L615" s="3" t="inlineStr">
        <is>
          <t>Eggplant — 300 g (10.6 oz)
Zucchini — 300 g (10.6 oz)
Bell pepper — 200 g (7.1 oz)
Tomato — 400 g (14.1 oz)
Yellow onion — 120 g (4.2 oz)
Garlic — 10 g (0.4 oz)
Cannellini beans, cooked — 300 g (10.6 oz)
Extra-virgin olive oil — 25 g (0.9 oz)
Fresh thyme — 3 g (0.1 oz)
Fresh basil — 10 g (0.4 oz)
Salt — 3 g (0.1 oz)</t>
        </is>
      </c>
      <c r="M615" s="4" t="inlineStr">
        <is>
          <t>[{"ingredient_id": "eggplant", "name": "Eggplant", "grams": 300.0, "note": ""}, {"ingredient_id": "zucchini", "name": "Zucchini", "grams": 300.0, "note": ""}, {"ingredient_id": "bell_pepper", "name": "Bell pepper", "grams": 200.0, "note": ""}, {"ingredient_id": "tomato", "name": "Tomato", "grams": 400.0, "note": ""}, {"ingredient_id": "onion", "name": "Yellow onion", "grams": 120.0, "note": ""}, {"ingredient_id": "garlic", "name": "Garlic", "grams": 10.0, "note": ""}, {"ingredient_id": "white_beans", "name": "Cannellini beans, cooked", "grams": 300.0, "note": ""}, {"ingredient_id": "olive_oil", "name": "Extra-virgin olive oil", "grams": 25.0, "note": ""}, {"ingredient_id": "thyme", "name": "Fresh thyme", "grams": 3.0, "note": ""}, {"ingredient_id": "basil", "name": "Fresh basil", "grams": 10.0, "note": ""}, {"ingredient_id": "salt", "name": "Salt", "grams": 3.0, "note": ""}]</t>
        </is>
      </c>
      <c r="N615" s="2" t="n">
        <v>242</v>
      </c>
      <c r="O615" s="5" t="n">
        <v>10.9</v>
      </c>
      <c r="P615" s="5" t="n">
        <v>7.3</v>
      </c>
      <c r="Q615" s="5" t="n">
        <v>36.3</v>
      </c>
      <c r="R615" s="5" t="n">
        <v>10.7</v>
      </c>
      <c r="S615" s="5" t="n">
        <v>25.7</v>
      </c>
      <c r="T615" s="2" t="n">
        <v>24</v>
      </c>
      <c r="U615" s="2" t="inlineStr">
        <is>
          <t>low</t>
        </is>
      </c>
      <c r="V615" s="5" t="n">
        <v>6.2</v>
      </c>
      <c r="W615" s="2" t="inlineStr">
        <is>
          <t>low</t>
        </is>
      </c>
      <c r="X615" s="3" t="inlineStr"/>
      <c r="Y615" s="3" t="inlineStr">
        <is>
          <t>55% of this dish's available carbohydrate comes from ingredients with a published, measured GI; the rest uses conventional placeholders (see Ingredients sheet)</t>
        </is>
      </c>
      <c r="Z615" s="2" t="n">
        <v>55</v>
      </c>
      <c r="AA615" s="3" t="inlineStr">
        <is>
          <t>vegan, gluten-free, dairy-free, nut-free, high-fiber, make-ahead</t>
        </is>
      </c>
      <c r="AB615" s="3" t="inlineStr">
        <is>
          <t>1. Sauté onion and garlic in oil; add eggplant, pepper 8 minutes.
2. Add zucchini, tomato, thyme; simmer 20 minutes.
3. Stir in beans; finish basil.</t>
        </is>
      </c>
      <c r="AC615" s="4" t="inlineStr">
        <is>
          <t>["Sauté onion and garlic in oil; add eggplant, pepper 8 minutes.", "Add zucchini, tomato, thyme; simmer 20 minutes.", "Stir in beans; finish basil."]</t>
        </is>
      </c>
    </row>
    <row r="616" ht="96" customHeight="1">
      <c r="A616" s="2" t="inlineStr">
        <is>
          <t>DB-0615</t>
        </is>
      </c>
      <c r="B616" s="3" t="inlineStr">
        <is>
          <t>Cottage Cheese Egg Bake with Veggies</t>
        </is>
      </c>
      <c r="C616" s="4" t="inlineStr">
        <is>
          <t>Vegetarian &amp; Vegan</t>
        </is>
      </c>
      <c r="D616" s="4" t="inlineStr">
        <is>
          <t>American</t>
        </is>
      </c>
      <c r="E616" s="2" t="n">
        <v>6</v>
      </c>
      <c r="F616" s="2" t="n">
        <v>10</v>
      </c>
      <c r="G616" s="2" t="n">
        <v>40</v>
      </c>
      <c r="H616" s="2" t="n">
        <v>50</v>
      </c>
      <c r="I616" s="4" t="inlineStr">
        <is>
          <t>cottage-cheese-egg-bake-with-veggies.jpg</t>
        </is>
      </c>
      <c r="J616" s="3" t="inlineStr">
        <is>
          <t>Cottage Cheese Egg Bake with Veggies, healthy food photography, plated, natural light</t>
        </is>
      </c>
      <c r="K616" s="4" t="inlineStr"/>
      <c r="L616" s="3" t="inlineStr">
        <is>
          <t>Egg, large (50 g each) — 400 g (14.1 oz)
Cottage cheese, low-fat — 300 g (10.6 oz)
Broccoli — 250 g (8.8 oz)
Bell pepper — 150 g (5.3 oz)
Spinach — 100 g (3.5 oz)
Cheddar cheese — 80 g (2.8 oz)
Green onions (scallions) — 20 g (0.7 oz)
Garlic powder — 2 g (0.1 oz)
Salt — 3 g (0.1 oz)
Extra-virgin olive oil — 5 g (0.2 oz)</t>
        </is>
      </c>
      <c r="M616" s="4" t="inlineStr">
        <is>
          <t>[{"ingredient_id": "egg", "name": "Egg, large (50 g each)", "grams": 400.0, "note": ""}, {"ingredient_id": "cottage_cheese", "name": "Cottage cheese, low-fat", "grams": 300.0, "note": ""}, {"ingredient_id": "broccoli", "name": "Broccoli", "grams": 250.0, "note": ""}, {"ingredient_id": "bell_pepper", "name": "Bell pepper", "grams": 150.0, "note": ""}, {"ingredient_id": "spinach", "name": "Spinach", "grams": 100.0, "note": ""}, {"ingredient_id": "cheddar", "name": "Cheddar cheese", "grams": 80.0, "note": ""}, {"ingredient_id": "green_onion", "name": "Green onions (scallions)", "grams": 20.0, "note": ""}, {"ingredient_id": "garlic_powder", "name": "Garlic powder", "grams": 2.0, "note": ""}, {"ingredient_id": "salt", "name": "Salt", "grams": 3.0, "note": ""}, {"ingredient_id": "olive_oil", "name": "Extra-virgin olive oil", "grams": 5.0, "note": ""}]</t>
        </is>
      </c>
      <c r="N616" s="2" t="n">
        <v>226</v>
      </c>
      <c r="O616" s="5" t="n">
        <v>19</v>
      </c>
      <c r="P616" s="5" t="n">
        <v>13</v>
      </c>
      <c r="Q616" s="5" t="n">
        <v>8.1</v>
      </c>
      <c r="R616" s="5" t="n">
        <v>2.1</v>
      </c>
      <c r="S616" s="5" t="n">
        <v>6</v>
      </c>
      <c r="T616" s="2" t="n">
        <v>12</v>
      </c>
      <c r="U616" s="2" t="inlineStr">
        <is>
          <t>low</t>
        </is>
      </c>
      <c r="V616" s="5" t="n">
        <v>0.7</v>
      </c>
      <c r="W616" s="2" t="inlineStr">
        <is>
          <t>low</t>
        </is>
      </c>
      <c r="X616" s="3" t="inlineStr"/>
      <c r="Y616" s="3" t="inlineStr">
        <is>
          <t>0% of this dish's available carbohydrate comes from ingredients with a published, measured GI; the rest uses conventional placeholders (see Ingredients sheet)</t>
        </is>
      </c>
      <c r="Z616" s="2" t="n">
        <v>0</v>
      </c>
      <c r="AA616" s="3" t="inlineStr">
        <is>
          <t>vegetarian, gluten-free, nut-free, low-carb, make-ahead</t>
        </is>
      </c>
      <c r="AB616" s="3" t="inlineStr">
        <is>
          <t>1. Whisk eggs with cottage cheese, garlic powder, salt.
2. Stir in chopped vegetables and half the cheddar; pour into oiled dish.
3. Top remaining cheddar; bake at 350°F 35–40 minutes.</t>
        </is>
      </c>
      <c r="AC616" s="4" t="inlineStr">
        <is>
          <t>["Whisk eggs with cottage cheese, garlic powder, salt.", "Stir in chopped vegetables and half the cheddar; pour into oiled dish.", "Top remaining cheddar; bake at 350°F 35–40 minutes."]</t>
        </is>
      </c>
    </row>
    <row r="617" ht="96" customHeight="1">
      <c r="A617" s="2" t="inlineStr">
        <is>
          <t>DB-0616</t>
        </is>
      </c>
      <c r="B617" s="3" t="inlineStr">
        <is>
          <t>Lentil Tacos with Cabbage Slaw</t>
        </is>
      </c>
      <c r="C617" s="4" t="inlineStr">
        <is>
          <t>Vegetarian &amp; Vegan</t>
        </is>
      </c>
      <c r="D617" s="4" t="inlineStr">
        <is>
          <t>Mexican</t>
        </is>
      </c>
      <c r="E617" s="2" t="n">
        <v>4</v>
      </c>
      <c r="F617" s="2" t="n">
        <v>10</v>
      </c>
      <c r="G617" s="2" t="n">
        <v>15</v>
      </c>
      <c r="H617" s="2" t="n">
        <v>25</v>
      </c>
      <c r="I617" s="4" t="inlineStr">
        <is>
          <t>lentil-tacos-with-cabbage-slaw.jpg</t>
        </is>
      </c>
      <c r="J617" s="3" t="inlineStr">
        <is>
          <t>Lentil Tacos with Cabbage Slaw, healthy food photography, plated, natural light</t>
        </is>
      </c>
      <c r="K617" s="4" t="inlineStr"/>
      <c r="L617" s="3" t="inlineStr">
        <is>
          <t>Lentils, cooked — 500 g (17.6 oz)
Taco seasoning, low sodium — 10 g (0.4 oz)
Tomato paste — 20 g (0.7 oz)
Yellow onion — 80 g (2.8 oz)
Garlic — 6 g (0.2 oz)
Extra-virgin olive oil — 12 g (0.4 oz)
Corn tortilla — 200 g (7.1 oz) [8 small]
Green cabbage — 250 g (8.8 oz)
Lime — 40 g (1.4 oz)
Greek yogurt, plain 2% — 80 g (2.8 oz)
Avocado — 100 g (3.5 oz)
Fresh cilantro — 8 g (0.3 oz)</t>
        </is>
      </c>
      <c r="M617" s="4" t="inlineStr">
        <is>
          <t>[{"ingredient_id": "lentils", "name": "Lentils, cooked", "grams": 500.0, "note": ""}, {"ingredient_id": "taco_seasoning", "name": "Taco seasoning, low sodium", "grams": 10.0, "note": ""}, {"ingredient_id": "tomato_paste", "name": "Tomato paste", "grams": 20.0, "note": ""}, {"ingredient_id": "onion", "name": "Yellow onion", "grams": 80.0, "note": ""}, {"ingredient_id": "garlic", "name": "Garlic", "grams": 6.0, "note": ""}, {"ingredient_id": "olive_oil", "name": "Extra-virgin olive oil", "grams": 12.0, "note": ""}, {"ingredient_id": "corn_tortilla", "name": "Corn tortilla", "grams": 200.0, "note": "8 small"}, {"ingredient_id": "cabbage", "name": "Green cabbage", "grams": 250.0, "note": ""}, {"ingredient_id": "lime", "name": "Lime", "grams": 40.0, "note": ""}, {"ingredient_id": "greek_yogurt", "name": "Greek yogurt, plain 2%", "grams": 80.0, "note": ""}, {"ingredient_id": "avocado", "name": "Avocado", "grams": 100.0, "note": ""}, {"ingredient_id": "cilantro", "name": "Fresh cilantro", "grams": 8.0, "note": ""}]</t>
        </is>
      </c>
      <c r="N617" s="2" t="n">
        <v>376</v>
      </c>
      <c r="O617" s="5" t="n">
        <v>18.3</v>
      </c>
      <c r="P617" s="5" t="n">
        <v>9.4</v>
      </c>
      <c r="Q617" s="5" t="n">
        <v>59.9</v>
      </c>
      <c r="R617" s="5" t="n">
        <v>17.8</v>
      </c>
      <c r="S617" s="5" t="n">
        <v>42.1</v>
      </c>
      <c r="T617" s="2" t="n">
        <v>40</v>
      </c>
      <c r="U617" s="2" t="inlineStr">
        <is>
          <t>low</t>
        </is>
      </c>
      <c r="V617" s="5" t="n">
        <v>16.8</v>
      </c>
      <c r="W617" s="2" t="inlineStr">
        <is>
          <t>medium</t>
        </is>
      </c>
      <c r="X617" s="3" t="inlineStr"/>
      <c r="Y617" s="3" t="inlineStr">
        <is>
          <t>84% of this dish's available carbohydrate comes from ingredients with a published, measured GI; the rest uses conventional placeholders (see Ingredients sheet)</t>
        </is>
      </c>
      <c r="Z617" s="2" t="n">
        <v>84</v>
      </c>
      <c r="AA617" s="3" t="inlineStr">
        <is>
          <t>vegetarian, gluten-free, nut-free, high-fiber</t>
        </is>
      </c>
      <c r="AB617" s="3" t="inlineStr">
        <is>
          <t>1. Sauté onion, garlic; add lentils, seasoning, tomato paste, splash of water; cook 6 minutes.
2. Toss cabbage with lime and half the yogurt.
3. Fill tortillas with lentils, slaw, avocado, yogurt, cilantro.</t>
        </is>
      </c>
      <c r="AC617" s="4" t="inlineStr">
        <is>
          <t>["Sauté onion, garlic; add lentils, seasoning, tomato paste, splash of water; cook 6 minutes.", "Toss cabbage with lime and half the yogurt.", "Fill tortillas with lentils, slaw, avocado, yogurt, cilantro."]</t>
        </is>
      </c>
    </row>
    <row r="618" ht="96" customHeight="1">
      <c r="A618" s="2" t="inlineStr">
        <is>
          <t>DB-0617</t>
        </is>
      </c>
      <c r="B618" s="3" t="inlineStr">
        <is>
          <t>Tempeh Stir-Fry with Bok Choy</t>
        </is>
      </c>
      <c r="C618" s="4" t="inlineStr">
        <is>
          <t>Vegetarian &amp; Vegan</t>
        </is>
      </c>
      <c r="D618" s="4" t="inlineStr">
        <is>
          <t>Asian</t>
        </is>
      </c>
      <c r="E618" s="2" t="n">
        <v>3</v>
      </c>
      <c r="F618" s="2" t="n">
        <v>10</v>
      </c>
      <c r="G618" s="2" t="n">
        <v>12</v>
      </c>
      <c r="H618" s="2" t="n">
        <v>22</v>
      </c>
      <c r="I618" s="4" t="inlineStr">
        <is>
          <t>tempeh-stir-fry-with-bok-choy.jpg</t>
        </is>
      </c>
      <c r="J618" s="3" t="inlineStr">
        <is>
          <t>Tempeh Stir-Fry with Bok Choy, healthy food photography, plated, natural light</t>
        </is>
      </c>
      <c r="K618" s="4" t="inlineStr"/>
      <c r="L618" s="3" t="inlineStr">
        <is>
          <t>Tempeh — 350 g (12.3 oz)
Bok choy — 400 g (14.1 oz)
Shiitake mushrooms — 120 g (4.2 oz)
Garlic — 8 g (0.3 oz)
Fresh ginger — 8 g (0.3 oz)
Tamari (gluten-free soy sauce) — 25 g (0.9 oz)
Rice vinegar, unseasoned — 10 g (0.4 oz)
Toasted sesame oil — 8 g (0.3 oz)
Avocado oil — 12 g (0.4 oz)
Sesame seeds — 6 g (0.2 oz)</t>
        </is>
      </c>
      <c r="M618" s="4" t="inlineStr">
        <is>
          <t>[{"ingredient_id": "tempeh", "name": "Tempeh", "grams": 350.0, "note": ""}, {"ingredient_id": "bok_choy", "name": "Bok choy", "grams": 400.0, "note": ""}, {"ingredient_id": "shiitake", "name": "Shiitake mushrooms", "grams": 120.0, "note": ""}, {"ingredient_id": "garlic", "name": "Garlic", "grams": 8.0, "note": ""}, {"ingredient_id": "ginger", "name": "Fresh ginger", "grams": 8.0, "note": ""}, {"ingredient_id": "tamari", "name": "Tamari (gluten-free soy sauce)", "grams": 25.0, "note": ""}, {"ingredient_id": "rice_vinegar", "name": "Rice vinegar, unseasoned", "grams": 10.0, "note": ""}, {"ingredient_id": "sesame_oil", "name": "Toasted sesame oil", "grams": 8.0, "note": ""}, {"ingredient_id": "avocado_oil", "name": "Avocado oil", "grams": 12.0, "note": ""}, {"ingredient_id": "sesame_seeds", "name": "Sesame seeds", "grams": 6.0, "note": ""}]</t>
        </is>
      </c>
      <c r="N618" s="2" t="n">
        <v>337</v>
      </c>
      <c r="O618" s="5" t="n">
        <v>27.6</v>
      </c>
      <c r="P618" s="5" t="n">
        <v>21</v>
      </c>
      <c r="Q618" s="5" t="n">
        <v>17.2</v>
      </c>
      <c r="R618" s="5" t="n">
        <v>9.699999999999999</v>
      </c>
      <c r="S618" s="5" t="n">
        <v>7.5</v>
      </c>
      <c r="T618" s="2" t="n">
        <v>17</v>
      </c>
      <c r="U618" s="2" t="inlineStr">
        <is>
          <t>low</t>
        </is>
      </c>
      <c r="V618" s="5" t="n">
        <v>1.3</v>
      </c>
      <c r="W618" s="2" t="inlineStr">
        <is>
          <t>low</t>
        </is>
      </c>
      <c r="X618" s="3" t="inlineStr"/>
      <c r="Y618" s="3" t="inlineStr">
        <is>
          <t>0% of this dish's available carbohydrate comes from ingredients with a published, measured GI; the rest uses conventional placeholders (see Ingredients sheet)</t>
        </is>
      </c>
      <c r="Z618" s="2" t="n">
        <v>0</v>
      </c>
      <c r="AA618" s="3" t="inlineStr">
        <is>
          <t>vegan, gluten-free, dairy-free, nut-free, low-carb, high-protein, high-fiber, quick</t>
        </is>
      </c>
      <c r="AB618" s="3" t="inlineStr">
        <is>
          <t>1. Pan-fry tempeh slices in oil until golden; remove.
2. Stir-fry shiitake, garlic, ginger; add bok choy 3 minutes.
3. Return tempeh with tamari, vinegar, sesame oil; sesame.</t>
        </is>
      </c>
      <c r="AC618" s="4" t="inlineStr">
        <is>
          <t>["Pan-fry tempeh slices in oil until golden; remove.", "Stir-fry shiitake, garlic, ginger; add bok choy 3 minutes.", "Return tempeh with tamari, vinegar, sesame oil; sesame."]</t>
        </is>
      </c>
    </row>
    <row r="619" ht="96" customHeight="1">
      <c r="A619" s="2" t="inlineStr">
        <is>
          <t>DB-0618</t>
        </is>
      </c>
      <c r="B619" s="3" t="inlineStr">
        <is>
          <t>Spinach &amp; Feta Stuffed Mushrooms (Meal-Sized)</t>
        </is>
      </c>
      <c r="C619" s="4" t="inlineStr">
        <is>
          <t>Vegetarian &amp; Vegan</t>
        </is>
      </c>
      <c r="D619" s="4" t="inlineStr">
        <is>
          <t>Greek</t>
        </is>
      </c>
      <c r="E619" s="2" t="n">
        <v>4</v>
      </c>
      <c r="F619" s="2" t="n">
        <v>10</v>
      </c>
      <c r="G619" s="2" t="n">
        <v>20</v>
      </c>
      <c r="H619" s="2" t="n">
        <v>30</v>
      </c>
      <c r="I619" s="4" t="inlineStr">
        <is>
          <t>spinach-and-feta-stuffed-mushrooms-meal-sized.jpg</t>
        </is>
      </c>
      <c r="J619" s="3" t="inlineStr">
        <is>
          <t>Spinach &amp; Feta Stuffed Mushrooms (Meal-Sized), healthy food photography, plated, natural light</t>
        </is>
      </c>
      <c r="K619" s="4" t="inlineStr"/>
      <c r="L619" s="3" t="inlineStr">
        <is>
          <t>Portobello mushrooms — 500 g (17.6 oz)
Spinach — 250 g (8.8 oz)
Feta cheese — 100 g (3.5 oz)
Ricotta, part-skim — 150 g (5.3 oz)
Garlic — 6 g (0.2 oz)
Fresh dill — 5 g (0.2 oz)
Extra-virgin olive oil — 12 g (0.4 oz)
Pine nuts — 15 g (0.5 oz)
Cannellini beans, cooked — 200 g (7.1 oz)
Salt — 2 g (0.1 oz)</t>
        </is>
      </c>
      <c r="M619" s="4" t="inlineStr">
        <is>
          <t>[{"ingredient_id": "portobello", "name": "Portobello mushrooms", "grams": 500.0, "note": ""}, {"ingredient_id": "spinach", "name": "Spinach", "grams": 250.0, "note": ""}, {"ingredient_id": "feta", "name": "Feta cheese", "grams": 100.0, "note": ""}, {"ingredient_id": "ricotta", "name": "Ricotta, part-skim", "grams": 150.0, "note": ""}, {"ingredient_id": "garlic", "name": "Garlic", "grams": 6.0, "note": ""}, {"ingredient_id": "dill", "name": "Fresh dill", "grams": 5.0, "note": ""}, {"ingredient_id": "olive_oil", "name": "Extra-virgin olive oil", "grams": 12.0, "note": ""}, {"ingredient_id": "pine_nuts", "name": "Pine nuts", "grams": 15.0, "note": ""}, {"ingredient_id": "white_beans", "name": "Cannellini beans, cooked", "grams": 200.0, "note": ""}, {"ingredient_id": "salt", "name": "Salt", "grams": 2.0, "note": ""}]</t>
        </is>
      </c>
      <c r="N619" s="2" t="n">
        <v>284</v>
      </c>
      <c r="O619" s="5" t="n">
        <v>17.6</v>
      </c>
      <c r="P619" s="5" t="n">
        <v>14.8</v>
      </c>
      <c r="Q619" s="5" t="n">
        <v>23.6</v>
      </c>
      <c r="R619" s="5" t="n">
        <v>6.3</v>
      </c>
      <c r="S619" s="5" t="n">
        <v>17.2</v>
      </c>
      <c r="T619" s="2" t="n">
        <v>23</v>
      </c>
      <c r="U619" s="2" t="inlineStr">
        <is>
          <t>low</t>
        </is>
      </c>
      <c r="V619" s="5" t="n">
        <v>4</v>
      </c>
      <c r="W619" s="2" t="inlineStr">
        <is>
          <t>low</t>
        </is>
      </c>
      <c r="X619" s="3" t="inlineStr"/>
      <c r="Y619" s="3" t="inlineStr">
        <is>
          <t>54% of this dish's available carbohydrate comes from ingredients with a published, measured GI; the rest uses conventional placeholders (see Ingredients sheet)</t>
        </is>
      </c>
      <c r="Z619" s="2" t="n">
        <v>54</v>
      </c>
      <c r="AA619" s="3" t="inlineStr">
        <is>
          <t>vegetarian, gluten-free</t>
        </is>
      </c>
      <c r="AB619" s="3" t="inlineStr">
        <is>
          <t>1. Brush caps with oil; roast 8 minutes.
2. Sauté spinach and garlic; mix with feta, ricotta, dill, beans.
3. Fill; top pine nuts; bake at 400°F 12 minutes.</t>
        </is>
      </c>
      <c r="AC619" s="4" t="inlineStr">
        <is>
          <t>["Brush caps with oil; roast 8 minutes.", "Sauté spinach and garlic; mix with feta, ricotta, dill, beans.", "Fill; top pine nuts; bake at 400°F 12 minutes."]</t>
        </is>
      </c>
    </row>
    <row r="620" ht="96" customHeight="1">
      <c r="A620" s="2" t="inlineStr">
        <is>
          <t>DB-0619</t>
        </is>
      </c>
      <c r="B620" s="3" t="inlineStr">
        <is>
          <t>Quinoa Black Bean Stuffed Zucchini</t>
        </is>
      </c>
      <c r="C620" s="4" t="inlineStr">
        <is>
          <t>Vegetarian &amp; Vegan</t>
        </is>
      </c>
      <c r="D620" s="4" t="inlineStr">
        <is>
          <t>Tex-Mex</t>
        </is>
      </c>
      <c r="E620" s="2" t="n">
        <v>4</v>
      </c>
      <c r="F620" s="2" t="n">
        <v>15</v>
      </c>
      <c r="G620" s="2" t="n">
        <v>30</v>
      </c>
      <c r="H620" s="2" t="n">
        <v>45</v>
      </c>
      <c r="I620" s="4" t="inlineStr">
        <is>
          <t>quinoa-black-bean-stuffed-zucchini.jpg</t>
        </is>
      </c>
      <c r="J620" s="3" t="inlineStr">
        <is>
          <t>Quinoa Black Bean Stuffed Zucchini, healthy food photography, plated, natural light</t>
        </is>
      </c>
      <c r="K620" s="4" t="inlineStr"/>
      <c r="L620" s="3" t="inlineStr">
        <is>
          <t>Zucchini — 800 g (28.2 oz)
Quinoa, cooked — 250 g (8.8 oz)
Black beans, cooked — 250 g (8.8 oz)
Sweet corn kernels — 60 g (2.1 oz)
Salsa, no sugar added — 150 g (5.3 oz)
Ground cumin — 3 g (0.1 oz)
Pepper jack cheese — 80 g (2.8 oz)
Fresh cilantro — 6 g (0.2 oz)
Extra-virgin olive oil — 10 g (0.4 oz)</t>
        </is>
      </c>
      <c r="M620" s="4" t="inlineStr">
        <is>
          <t>[{"ingredient_id": "zucchini", "name": "Zucchini", "grams": 800.0, "note": ""}, {"ingredient_id": "quinoa", "name": "Quinoa, cooked", "grams": 250.0, "note": ""}, {"ingredient_id": "black_beans", "name": "Black beans, cooked", "grams": 250.0, "note": ""}, {"ingredient_id": "corn", "name": "Sweet corn kernels", "grams": 60.0, "note": ""}, {"ingredient_id": "salsa", "name": "Salsa, no sugar added", "grams": 150.0, "note": ""}, {"ingredient_id": "cumin", "name": "Ground cumin", "grams": 3.0, "note": ""}, {"ingredient_id": "pepper_jack", "name": "Pepper jack cheese", "grams": 80.0, "note": ""}, {"ingredient_id": "cilantro", "name": "Fresh cilantro", "grams": 6.0, "note": ""}, {"ingredient_id": "olive_oil", "name": "Extra-virgin olive oil", "grams": 10.0, "note": ""}]</t>
        </is>
      </c>
      <c r="N620" s="2" t="n">
        <v>319</v>
      </c>
      <c r="O620" s="5" t="n">
        <v>16.7</v>
      </c>
      <c r="P620" s="5" t="n">
        <v>11.1</v>
      </c>
      <c r="Q620" s="5" t="n">
        <v>40.3</v>
      </c>
      <c r="R620" s="5" t="n">
        <v>10.3</v>
      </c>
      <c r="S620" s="5" t="n">
        <v>30</v>
      </c>
      <c r="T620" s="2" t="n">
        <v>38</v>
      </c>
      <c r="U620" s="2" t="inlineStr">
        <is>
          <t>low</t>
        </is>
      </c>
      <c r="V620" s="5" t="n">
        <v>11.4</v>
      </c>
      <c r="W620" s="2" t="inlineStr">
        <is>
          <t>medium</t>
        </is>
      </c>
      <c r="X620" s="3" t="inlineStr"/>
      <c r="Y620" s="3" t="inlineStr">
        <is>
          <t>77% of this dish's available carbohydrate comes from ingredients with a published, measured GI; the rest uses conventional placeholders (see Ingredients sheet)</t>
        </is>
      </c>
      <c r="Z620" s="2" t="n">
        <v>77</v>
      </c>
      <c r="AA620" s="3" t="inlineStr">
        <is>
          <t>vegetarian, gluten-free, nut-free, high-fiber</t>
        </is>
      </c>
      <c r="AB620" s="3" t="inlineStr">
        <is>
          <t>1. Halve zucchini; scoop.
2. Mix quinoa, beans, corn, salsa, cumin, chopped zucchini flesh.
3. Fill; top cheese; bake at 400°F 25 minutes; cilantro.</t>
        </is>
      </c>
      <c r="AC620" s="4" t="inlineStr">
        <is>
          <t>["Halve zucchini; scoop.", "Mix quinoa, beans, corn, salsa, cumin, chopped zucchini flesh.", "Fill; top cheese; bake at 400°F 25 minutes; cilantro."]</t>
        </is>
      </c>
    </row>
    <row r="621" ht="96" customHeight="1">
      <c r="A621" s="2" t="inlineStr">
        <is>
          <t>DB-0620</t>
        </is>
      </c>
      <c r="B621" s="3" t="inlineStr">
        <is>
          <t>Egg &amp; Vegetable Curry</t>
        </is>
      </c>
      <c r="C621" s="4" t="inlineStr">
        <is>
          <t>Vegetarian &amp; Vegan</t>
        </is>
      </c>
      <c r="D621" s="4" t="inlineStr">
        <is>
          <t>Indian</t>
        </is>
      </c>
      <c r="E621" s="2" t="n">
        <v>4</v>
      </c>
      <c r="F621" s="2" t="n">
        <v>10</v>
      </c>
      <c r="G621" s="2" t="n">
        <v>25</v>
      </c>
      <c r="H621" s="2" t="n">
        <v>35</v>
      </c>
      <c r="I621" s="4" t="inlineStr">
        <is>
          <t>egg-and-vegetable-curry.jpg</t>
        </is>
      </c>
      <c r="J621" s="3" t="inlineStr">
        <is>
          <t>Egg &amp; Vegetable Curry, healthy food photography, plated, natural light</t>
        </is>
      </c>
      <c r="K621" s="4" t="inlineStr"/>
      <c r="L621" s="3" t="inlineStr">
        <is>
          <t>Egg, large (50 g each) — 400 g (14.1 oz) [8 hard-boiled eggs]
Yellow onion — 120 g (4.2 oz)
Garlic — 8 g (0.3 oz)
Fresh ginger — 10 g (0.4 oz)
Curry powder — 8 g (0.3 oz)
Diced tomatoes, canned — 400 g (14.1 oz)
Coconut milk, canned light — 250 g (8.8 oz)
Green beans — 200 g (7.1 oz)
Cauliflower — 300 g (10.6 oz)
Extra-virgin olive oil — 15 g (0.5 oz)
Fresh cilantro — 8 g (0.3 oz)
Salt — 3 g (0.1 oz)</t>
        </is>
      </c>
      <c r="M621" s="4" t="inlineStr">
        <is>
          <t>[{"ingredient_id": "egg", "name": "Egg, large (50 g each)", "grams": 400.0, "note": "8 hard-boiled eggs"}, {"ingredient_id": "onion", "name": "Yellow onion", "grams": 120.0, "note": ""}, {"ingredient_id": "garlic", "name": "Garlic", "grams": 8.0, "note": ""}, {"ingredient_id": "ginger", "name": "Fresh ginger", "grams": 10.0, "note": ""}, {"ingredient_id": "curry_powder", "name": "Curry powder", "grams": 8.0, "note": ""}, {"ingredient_id": "diced_tomatoes", "name": "Diced tomatoes, canned", "grams": 400.0, "note": ""}, {"ingredient_id": "coconut_milk_light", "name": "Coconut milk, canned light", "grams": 250.0, "note": ""}, {"ingredient_id": "green_beans", "name": "Green beans", "grams": 200.0, "note": ""}, {"ingredient_id": "cauliflower", "name": "Cauliflower", "grams": 300.0, "note": ""}, {"ingredient_id": "olive_oil", "name": "Extra-virgin olive oil", "grams": 15.0, "note": ""}, {"ingredient_id": "cilantro", "name": "Fresh cilantro", "grams": 8.0, "note": ""}, {"ingredient_id": "salt", "name": "Salt", "grams": 3.0, "note": ""}]</t>
        </is>
      </c>
      <c r="N621" s="2" t="n">
        <v>301</v>
      </c>
      <c r="O621" s="5" t="n">
        <v>17.4</v>
      </c>
      <c r="P621" s="5" t="n">
        <v>17.9</v>
      </c>
      <c r="Q621" s="5" t="n">
        <v>19.6</v>
      </c>
      <c r="R621" s="5" t="n">
        <v>6.1</v>
      </c>
      <c r="S621" s="5" t="n">
        <v>13.6</v>
      </c>
      <c r="T621" s="2" t="n">
        <v>22</v>
      </c>
      <c r="U621" s="2" t="inlineStr">
        <is>
          <t>low</t>
        </is>
      </c>
      <c r="V621" s="5" t="n">
        <v>3</v>
      </c>
      <c r="W621" s="2" t="inlineStr">
        <is>
          <t>low</t>
        </is>
      </c>
      <c r="X621" s="3" t="inlineStr"/>
      <c r="Y621" s="3" t="inlineStr">
        <is>
          <t>0% of this dish's available carbohydrate comes from ingredients with a published, measured GI; the rest uses conventional placeholders (see Ingredients sheet)</t>
        </is>
      </c>
      <c r="Z621" s="2" t="n">
        <v>0</v>
      </c>
      <c r="AA621" s="3" t="inlineStr">
        <is>
          <t>vegetarian, gluten-free, dairy-free, nut-free, low-carb</t>
        </is>
      </c>
      <c r="AB621" s="3" t="inlineStr">
        <is>
          <t>1. Sauté onion, garlic, ginger, curry powder in oil.
2. Add tomatoes, coconut milk, cauliflower, green beans; simmer 15 minutes.
3. Add halved eggs; warm; garnish cilantro.</t>
        </is>
      </c>
      <c r="AC621" s="4" t="inlineStr">
        <is>
          <t>["Sauté onion, garlic, ginger, curry powder in oil.", "Add tomatoes, coconut milk, cauliflower, green beans; simmer 15 minutes.", "Add halved eggs; warm; garnish cilantro."]</t>
        </is>
      </c>
    </row>
    <row r="622" ht="96" customHeight="1">
      <c r="A622" s="2" t="inlineStr">
        <is>
          <t>DB-0621</t>
        </is>
      </c>
      <c r="B622" s="3" t="inlineStr">
        <is>
          <t>Broccoli Cheddar Quinoa Bake</t>
        </is>
      </c>
      <c r="C622" s="4" t="inlineStr">
        <is>
          <t>Vegetarian &amp; Vegan</t>
        </is>
      </c>
      <c r="D622" s="4" t="inlineStr">
        <is>
          <t>American</t>
        </is>
      </c>
      <c r="E622" s="2" t="n">
        <v>6</v>
      </c>
      <c r="F622" s="2" t="n">
        <v>10</v>
      </c>
      <c r="G622" s="2" t="n">
        <v>30</v>
      </c>
      <c r="H622" s="2" t="n">
        <v>40</v>
      </c>
      <c r="I622" s="4" t="inlineStr">
        <is>
          <t>broccoli-cheddar-quinoa-bake.jpg</t>
        </is>
      </c>
      <c r="J622" s="3" t="inlineStr">
        <is>
          <t>Broccoli Cheddar Quinoa Bake, healthy food photography, plated, natural light</t>
        </is>
      </c>
      <c r="K622" s="4" t="inlineStr"/>
      <c r="L622" s="3" t="inlineStr">
        <is>
          <t>Quinoa, cooked — 500 g (17.6 oz)
Broccoli — 500 g (17.6 oz)
Cheddar cheese — 120 g (4.2 oz)
Greek yogurt, plain 2% — 150 g (5.3 oz)
Egg, large (50 g each) — 100 g (3.5 oz)
Milk, 2% — 80 g (2.8 oz)
Garlic — 6 g (0.2 oz)
Dijon mustard — 8 g (0.3 oz)
Yellow onion — 80 g (2.8 oz)
Extra-virgin olive oil — 10 g (0.4 oz)
Salt — 3 g (0.1 oz)</t>
        </is>
      </c>
      <c r="M622" s="4" t="inlineStr">
        <is>
          <t>[{"ingredient_id": "quinoa", "name": "Quinoa, cooked", "grams": 500.0, "note": ""}, {"ingredient_id": "broccoli", "name": "Broccoli", "grams": 500.0, "note": ""}, {"ingredient_id": "cheddar", "name": "Cheddar cheese", "grams": 120.0, "note": ""}, {"ingredient_id": "greek_yogurt", "name": "Greek yogurt, plain 2%", "grams": 150.0, "note": ""}, {"ingredient_id": "egg", "name": "Egg, large (50 g each)", "grams": 100.0, "note": ""}, {"ingredient_id": "milk", "name": "Milk, 2%", "grams": 80.0, "note": ""}, {"ingredient_id": "garlic", "name": "Garlic", "grams": 6.0, "note": ""}, {"ingredient_id": "dijon", "name": "Dijon mustard", "grams": 8.0, "note": ""}, {"ingredient_id": "onion", "name": "Yellow onion", "grams": 80.0, "note": ""}, {"ingredient_id": "olive_oil", "name": "Extra-virgin olive oil", "grams": 10.0, "note": ""}, {"ingredient_id": "salt", "name": "Salt", "grams": 3.0, "note": ""}]</t>
        </is>
      </c>
      <c r="N622" s="2" t="n">
        <v>280</v>
      </c>
      <c r="O622" s="5" t="n">
        <v>15.9</v>
      </c>
      <c r="P622" s="5" t="n">
        <v>12.6</v>
      </c>
      <c r="Q622" s="5" t="n">
        <v>26.7</v>
      </c>
      <c r="R622" s="5" t="n">
        <v>4.8</v>
      </c>
      <c r="S622" s="5" t="n">
        <v>21.9</v>
      </c>
      <c r="T622" s="2" t="n">
        <v>41</v>
      </c>
      <c r="U622" s="2" t="inlineStr">
        <is>
          <t>low</t>
        </is>
      </c>
      <c r="V622" s="5" t="n">
        <v>9</v>
      </c>
      <c r="W622" s="2" t="inlineStr">
        <is>
          <t>low</t>
        </is>
      </c>
      <c r="X622" s="3" t="inlineStr"/>
      <c r="Y622" s="3" t="inlineStr">
        <is>
          <t>77% of this dish's available carbohydrate comes from ingredients with a published, measured GI; the rest uses conventional placeholders (see Ingredients sheet)</t>
        </is>
      </c>
      <c r="Z622" s="2" t="n">
        <v>77</v>
      </c>
      <c r="AA622" s="3" t="inlineStr">
        <is>
          <t>vegetarian, gluten-free, nut-free, make-ahead</t>
        </is>
      </c>
      <c r="AB622" s="3" t="inlineStr">
        <is>
          <t>1. Sauté onion and garlic; steam broccoli.
2. Mix quinoa, broccoli, yogurt, eggs, milk, Dijon, half the cheddar, salt.
3. Spread in a dish; top cheddar; bake at 375°F 25 minutes.</t>
        </is>
      </c>
      <c r="AC622" s="4" t="inlineStr">
        <is>
          <t>["Sauté onion and garlic; steam broccoli.", "Mix quinoa, broccoli, yogurt, eggs, milk, Dijon, half the cheddar, salt.", "Spread in a dish; top cheddar; bake at 375°F 25 minutes."]</t>
        </is>
      </c>
    </row>
    <row r="623" ht="96" customHeight="1">
      <c r="A623" s="2" t="inlineStr">
        <is>
          <t>DB-0622</t>
        </is>
      </c>
      <c r="B623" s="3" t="inlineStr">
        <is>
          <t>Mediterranean Chickpea Skillet with Feta</t>
        </is>
      </c>
      <c r="C623" s="4" t="inlineStr">
        <is>
          <t>Vegetarian &amp; Vegan</t>
        </is>
      </c>
      <c r="D623" s="4" t="inlineStr">
        <is>
          <t>Mediterranean</t>
        </is>
      </c>
      <c r="E623" s="2" t="n">
        <v>4</v>
      </c>
      <c r="F623" s="2" t="n">
        <v>10</v>
      </c>
      <c r="G623" s="2" t="n">
        <v>20</v>
      </c>
      <c r="H623" s="2" t="n">
        <v>30</v>
      </c>
      <c r="I623" s="4" t="inlineStr">
        <is>
          <t>mediterranean-chickpea-skillet-with-feta.jpg</t>
        </is>
      </c>
      <c r="J623" s="3" t="inlineStr">
        <is>
          <t>Mediterranean Chickpea Skillet with Feta, healthy food photography, plated, natural light</t>
        </is>
      </c>
      <c r="K623" s="4" t="inlineStr"/>
      <c r="L623" s="3" t="inlineStr">
        <is>
          <t>Chickpeas, cooked — 500 g (17.6 oz)
Diced tomatoes, canned — 400 g (14.1 oz)
Spinach — 200 g (7.1 oz)
Yellow onion — 100 g (3.5 oz)
Garlic — 8 g (0.3 oz)
Olives (kalamata/green) — 40 g (1.4 oz)
Feta cheese — 80 g (2.8 oz)
Dried oregano — 3 g (0.1 oz)
Extra-virgin olive oil — 15 g (0.5 oz)
Lemon (with juice &amp; zest) — 30 g (1.1 oz)
Salt — 2 g (0.1 oz)</t>
        </is>
      </c>
      <c r="M623" s="4" t="inlineStr">
        <is>
          <t>[{"ingredient_id": "chickpeas", "name": "Chickpeas, cooked", "grams": 500.0, "note": ""}, {"ingredient_id": "diced_tomatoes", "name": "Diced tomatoes, canned", "grams": 400.0, "note": ""}, {"ingredient_id": "spinach", "name": "Spinach", "grams": 200.0, "note": ""}, {"ingredient_id": "onion", "name": "Yellow onion", "grams": 100.0, "note": ""}, {"ingredient_id": "garlic", "name": "Garlic", "grams": 8.0, "note": ""}, {"ingredient_id": "olives", "name": "Olives (kalamata/green)", "grams": 40.0, "note": ""}, {"ingredient_id": "feta", "name": "Feta cheese", "grams": 80.0, "note": ""}, {"ingredient_id": "oregano", "name": "Dried oregano", "grams": 3.0, "note": ""}, {"ingredient_id": "olive_oil", "name": "Extra-virgin olive oil", "grams": 15.0, "note": ""}, {"ingredient_id": "lemon", "name": "Lemon (with juice &amp; zest)", "grams": 30.0, "note": ""}, {"ingredient_id": "salt", "name": "Salt", "grams": 2.0, "note": ""}]</t>
        </is>
      </c>
      <c r="N623" s="2" t="n">
        <v>355</v>
      </c>
      <c r="O623" s="5" t="n">
        <v>17.2</v>
      </c>
      <c r="P623" s="5" t="n">
        <v>12.8</v>
      </c>
      <c r="Q623" s="5" t="n">
        <v>46.1</v>
      </c>
      <c r="R623" s="5" t="n">
        <v>13.4</v>
      </c>
      <c r="S623" s="5" t="n">
        <v>32.7</v>
      </c>
      <c r="T623" s="2" t="n">
        <v>34</v>
      </c>
      <c r="U623" s="2" t="inlineStr">
        <is>
          <t>low</t>
        </is>
      </c>
      <c r="V623" s="5" t="n">
        <v>11.1</v>
      </c>
      <c r="W623" s="2" t="inlineStr">
        <is>
          <t>medium</t>
        </is>
      </c>
      <c r="X623" s="3" t="inlineStr"/>
      <c r="Y623" s="3" t="inlineStr">
        <is>
          <t>74% of this dish's available carbohydrate comes from ingredients with a published, measured GI; the rest uses conventional placeholders (see Ingredients sheet)</t>
        </is>
      </c>
      <c r="Z623" s="2" t="n">
        <v>74</v>
      </c>
      <c r="AA623" s="3" t="inlineStr">
        <is>
          <t>vegetarian, gluten-free, nut-free, high-fiber, one-pan, quick</t>
        </is>
      </c>
      <c r="AB623" s="3" t="inlineStr">
        <is>
          <t>1. Sauté onion and garlic in oil; add tomatoes, chickpeas, oregano; simmer 10 minutes.
2. Stir in spinach and olives.
3. Top feta and lemon.</t>
        </is>
      </c>
      <c r="AC623" s="4" t="inlineStr">
        <is>
          <t>["Sauté onion and garlic in oil; add tomatoes, chickpeas, oregano; simmer 10 minutes.", "Stir in spinach and olives.", "Top feta and lemon."]</t>
        </is>
      </c>
    </row>
    <row r="624" ht="96" customHeight="1">
      <c r="A624" s="2" t="inlineStr">
        <is>
          <t>DB-0623</t>
        </is>
      </c>
      <c r="B624" s="3" t="inlineStr">
        <is>
          <t>Tofu Pad Thai (Zoodles)</t>
        </is>
      </c>
      <c r="C624" s="4" t="inlineStr">
        <is>
          <t>Vegetarian &amp; Vegan</t>
        </is>
      </c>
      <c r="D624" s="4" t="inlineStr">
        <is>
          <t>Thai</t>
        </is>
      </c>
      <c r="E624" s="2" t="n">
        <v>3</v>
      </c>
      <c r="F624" s="2" t="n">
        <v>15</v>
      </c>
      <c r="G624" s="2" t="n">
        <v>12</v>
      </c>
      <c r="H624" s="2" t="n">
        <v>27</v>
      </c>
      <c r="I624" s="4" t="inlineStr">
        <is>
          <t>tofu-pad-thai-zoodles.jpg</t>
        </is>
      </c>
      <c r="J624" s="3" t="inlineStr">
        <is>
          <t>Tofu Pad Thai (Zoodles), healthy food photography, plated, natural light</t>
        </is>
      </c>
      <c r="K624" s="4" t="inlineStr"/>
      <c r="L624" s="3" t="inlineStr">
        <is>
          <t>Tofu, extra-firm — 400 g (14.1 oz)
Zucchini noodles (zoodles) — 500 g (17.6 oz)
Egg, large (50 g each) — 100 g (3.5 oz)
Mung bean sprouts — 100 g (3.5 oz)
Green onions (scallions) — 20 g (0.7 oz)
Peanuts, dry roasted — 25 g (0.9 oz)
Tamari (gluten-free soy sauce) — 25 g (0.9 oz)
Lime juice — 25 g (0.9 oz)
Monk fruit/erythritol sweetener — 6 g (0.2 oz)
Garlic — 6 g (0.2 oz)
Sriracha — 6 g (0.2 oz)
Avocado oil — 12 g (0.4 oz)
Fresh cilantro — 6 g (0.2 oz)</t>
        </is>
      </c>
      <c r="M624" s="4" t="inlineStr">
        <is>
          <t>[{"ingredient_id": "tofu", "name": "Tofu, extra-firm", "grams": 400.0, "note": ""}, {"ingredient_id": "zucchini_noodles", "name": "Zucchini noodles (zoodles)", "grams": 500.0, "note": ""}, {"ingredient_id": "egg", "name": "Egg, large (50 g each)", "grams": 100.0, "note": ""}, {"ingredient_id": "bean_sprouts", "name": "Mung bean sprouts", "grams": 100.0, "note": ""}, {"ingredient_id": "green_onion", "name": "Green onions (scallions)", "grams": 20.0, "note": ""}, {"ingredient_id": "peanuts", "name": "Peanuts, dry roasted", "grams": 25.0, "note": ""}, {"ingredient_id": "tamari", "name": "Tamari (gluten-free soy sauce)", "grams": 25.0, "note": ""}, {"ingredient_id": "lime_juice", "name": "Lime juice", "grams": 25.0, "note": ""}, {"ingredient_id": "monk_fruit_sweetener", "name": "Monk fruit/erythritol sweetener", "grams": 6.0, "note": ""}, {"ingredient_id": "garlic", "name": "Garlic", "grams": 6.0, "note": ""}, {"ingredient_id": "sriracha", "name": "Sriracha", "grams": 6.0, "note": ""}, {"ingredient_id": "avocado_oil", "name": "Avocado oil", "grams": 12.0, "note": ""}, {"ingredient_id": "cilantro", "name": "Fresh cilantro", "grams": 6.0, "note": ""}]</t>
        </is>
      </c>
      <c r="N624" s="2" t="n">
        <v>375</v>
      </c>
      <c r="O624" s="5" t="n">
        <v>33.2</v>
      </c>
      <c r="P624" s="5" t="n">
        <v>23.9</v>
      </c>
      <c r="Q624" s="5" t="n">
        <v>15.5</v>
      </c>
      <c r="R624" s="5" t="n">
        <v>6.1</v>
      </c>
      <c r="S624" s="5" t="n">
        <v>9.4</v>
      </c>
      <c r="T624" s="2" t="n">
        <v>17</v>
      </c>
      <c r="U624" s="2" t="inlineStr">
        <is>
          <t>low</t>
        </is>
      </c>
      <c r="V624" s="5" t="n">
        <v>1.6</v>
      </c>
      <c r="W624" s="2" t="inlineStr">
        <is>
          <t>low</t>
        </is>
      </c>
      <c r="X624" s="3" t="inlineStr"/>
      <c r="Y624" s="3" t="inlineStr">
        <is>
          <t>7% of this dish's available carbohydrate comes from ingredients with a published, measured GI; the rest uses conventional placeholders (see Ingredients sheet)</t>
        </is>
      </c>
      <c r="Z624" s="2" t="n">
        <v>7</v>
      </c>
      <c r="AA624" s="3" t="inlineStr">
        <is>
          <t>vegetarian, gluten-free, dairy-free, low-carb, high-protein</t>
        </is>
      </c>
      <c r="AB624" s="3" t="inlineStr">
        <is>
          <t>1. Pan-fry tofu cubes until crisp; push aside; scramble eggs.
2. Add zoodles, garlic, tamari, lime, sweetener, sriracha; toss 2 minutes.
3. Add sprouts, green onion; top peanuts, cilantro.</t>
        </is>
      </c>
      <c r="AC624" s="4" t="inlineStr">
        <is>
          <t>["Pan-fry tofu cubes until crisp; push aside; scramble eggs.", "Add zoodles, garlic, tamari, lime, sweetener, sriracha; toss 2 minutes.", "Add sprouts, green onion; top peanuts, cilantro."]</t>
        </is>
      </c>
    </row>
    <row r="625" ht="96" customHeight="1">
      <c r="A625" s="2" t="inlineStr">
        <is>
          <t>DB-0624</t>
        </is>
      </c>
      <c r="B625" s="3" t="inlineStr">
        <is>
          <t>Cauliflower Fried Rice with Tofu</t>
        </is>
      </c>
      <c r="C625" s="4" t="inlineStr">
        <is>
          <t>Vegetarian &amp; Vegan</t>
        </is>
      </c>
      <c r="D625" s="4" t="inlineStr">
        <is>
          <t>Chinese-American</t>
        </is>
      </c>
      <c r="E625" s="2" t="n">
        <v>3</v>
      </c>
      <c r="F625" s="2" t="n">
        <v>10</v>
      </c>
      <c r="G625" s="2" t="n">
        <v>12</v>
      </c>
      <c r="H625" s="2" t="n">
        <v>22</v>
      </c>
      <c r="I625" s="4" t="inlineStr">
        <is>
          <t>cauliflower-fried-rice-with-tofu.jpg</t>
        </is>
      </c>
      <c r="J625" s="3" t="inlineStr">
        <is>
          <t>Cauliflower Fried Rice with Tofu, healthy food photography, plated, natural light</t>
        </is>
      </c>
      <c r="K625" s="4" t="inlineStr"/>
      <c r="L625" s="3" t="inlineStr">
        <is>
          <t>Tofu, extra-firm — 350 g (12.3 oz)
Cauliflower rice — 500 g (17.6 oz)
Green peas — 80 g (2.8 oz)
Carrot — 80 g (2.8 oz)
Egg, large (50 g each) — 100 g (3.5 oz)
Green onions (scallions) — 20 g (0.7 oz)
Garlic — 8 g (0.3 oz)
Fresh ginger — 6 g (0.2 oz)
Tamari (gluten-free soy sauce) — 25 g (0.9 oz)
Toasted sesame oil — 8 g (0.3 oz)
Avocado oil — 12 g (0.4 oz)</t>
        </is>
      </c>
      <c r="M625" s="4" t="inlineStr">
        <is>
          <t>[{"ingredient_id": "tofu", "name": "Tofu, extra-firm", "grams": 350.0, "note": ""}, {"ingredient_id": "cauliflower_rice", "name": "Cauliflower rice", "grams": 500.0, "note": ""}, {"ingredient_id": "green_peas", "name": "Green peas", "grams": 80.0, "note": ""}, {"ingredient_id": "carrot", "name": "Carrot", "grams": 80.0, "note": ""}, {"ingredient_id": "egg", "name": "Egg, large (50 g each)", "grams": 100.0, "note": ""}, {"ingredient_id": "green_onion", "name": "Green onions (scallions)", "grams": 20.0, "note": ""}, {"ingredient_id": "garlic", "name": "Garlic", "grams": 8.0, "note": ""}, {"ingredient_id": "ginger", "name": "Fresh ginger", "grams": 6.0, "note": ""}, {"ingredient_id": "tamari", "name": "Tamari (gluten-free soy sauce)", "grams": 25.0, "note": ""}, {"ingredient_id": "sesame_oil", "name": "Toasted sesame oil", "grams": 8.0, "note": ""}, {"ingredient_id": "avocado_oil", "name": "Avocado oil", "grams": 12.0, "note": ""}]</t>
        </is>
      </c>
      <c r="N625" s="2" t="n">
        <v>362</v>
      </c>
      <c r="O625" s="5" t="n">
        <v>30</v>
      </c>
      <c r="P625" s="5" t="n">
        <v>21</v>
      </c>
      <c r="Q625" s="5" t="n">
        <v>20.5</v>
      </c>
      <c r="R625" s="5" t="n">
        <v>8.300000000000001</v>
      </c>
      <c r="S625" s="5" t="n">
        <v>12.2</v>
      </c>
      <c r="T625" s="2" t="n">
        <v>24</v>
      </c>
      <c r="U625" s="2" t="inlineStr">
        <is>
          <t>low</t>
        </is>
      </c>
      <c r="V625" s="5" t="n">
        <v>2.9</v>
      </c>
      <c r="W625" s="2" t="inlineStr">
        <is>
          <t>low</t>
        </is>
      </c>
      <c r="X625" s="3" t="inlineStr"/>
      <c r="Y625" s="3" t="inlineStr">
        <is>
          <t>33% of this dish's available carbohydrate comes from ingredients with a published, measured GI; the rest uses conventional placeholders (see Ingredients sheet)</t>
        </is>
      </c>
      <c r="Z625" s="2" t="n">
        <v>33</v>
      </c>
      <c r="AA625" s="3" t="inlineStr">
        <is>
          <t>vegetarian, gluten-free, dairy-free, nut-free, low-carb, high-protein, high-fiber, quick</t>
        </is>
      </c>
      <c r="AB625" s="3" t="inlineStr">
        <is>
          <t>1. Pan-fry tofu cubes until golden; remove.
2. Scramble eggs; add carrot, garlic, ginger, cauliflower rice 5 minutes.
3. Add peas, tofu, tamari, sesame oil, green onion.</t>
        </is>
      </c>
      <c r="AC625" s="4" t="inlineStr">
        <is>
          <t>["Pan-fry tofu cubes until golden; remove.", "Scramble eggs; add carrot, garlic, ginger, cauliflower rice 5 minutes.", "Add peas, tofu, tamari, sesame oil, green onion."]</t>
        </is>
      </c>
    </row>
    <row r="626" ht="96" customHeight="1">
      <c r="A626" s="2" t="inlineStr">
        <is>
          <t>DB-0625</t>
        </is>
      </c>
      <c r="B626" s="3" t="inlineStr">
        <is>
          <t>Vegetarian Chili-Stuffed Sweet Potatoes</t>
        </is>
      </c>
      <c r="C626" s="4" t="inlineStr">
        <is>
          <t>Vegetarian &amp; Vegan</t>
        </is>
      </c>
      <c r="D626" s="4" t="inlineStr">
        <is>
          <t>American</t>
        </is>
      </c>
      <c r="E626" s="2" t="n">
        <v>4</v>
      </c>
      <c r="F626" s="2" t="n">
        <v>10</v>
      </c>
      <c r="G626" s="2" t="n">
        <v>50</v>
      </c>
      <c r="H626" s="2" t="n">
        <v>60</v>
      </c>
      <c r="I626" s="4" t="inlineStr">
        <is>
          <t>vegetarian-chili-stuffed-sweet-potatoes.jpg</t>
        </is>
      </c>
      <c r="J626" s="3" t="inlineStr">
        <is>
          <t>Vegetarian Chili-Stuffed Sweet Potatoes, healthy food photography, plated, natural light</t>
        </is>
      </c>
      <c r="K626" s="4" t="inlineStr"/>
      <c r="L626" s="3" t="inlineStr">
        <is>
          <t>Sweet potato, boiled/simmered — 400 g (14.1 oz) [4 small (100 g each)]
Black beans, cooked — 200 g (7.1 oz)
Kidney beans, cooked — 150 g (5.3 oz)
Diced tomatoes, canned — 400 g (14.1 oz)
Yellow onion — 100 g (3.5 oz)
Bell pepper — 100 g (3.5 oz)
Garlic — 6 g (0.2 oz)
Chili powder — 8 g (0.3 oz)
Ground cumin — 3 g (0.1 oz)
Extra-virgin olive oil — 10 g (0.4 oz)
Greek yogurt, plain 2% — 80 g (2.8 oz)
Cheddar cheese — 60 g (2.1 oz)
Green onions (scallions) — 15 g (0.5 oz)</t>
        </is>
      </c>
      <c r="M626" s="4" t="inlineStr">
        <is>
          <t>[{"ingredient_id": "sweet_potato", "name": "Sweet potato, boiled/simmered", "grams": 400.0, "note": "4 small (100 g each)"}, {"ingredient_id": "black_beans", "name": "Black beans, cooked", "grams": 200.0, "note": ""}, {"ingredient_id": "kidney_beans", "name": "Kidney beans, cooked", "grams": 150.0, "note": ""}, {"ingredient_id": "diced_tomatoes", "name": "Diced tomatoes, canned", "grams": 400.0, "note": ""}, {"ingredient_id": "onion", "name": "Yellow onion", "grams": 100.0, "note": ""}, {"ingredient_id": "bell_pepper", "name": "Bell pepper", "grams": 100.0, "note": ""}, {"ingredient_id": "garlic", "name": "Garlic", "grams": 6.0, "note": ""}, {"ingredient_id": "chili_powder", "name": "Chili powder", "grams": 8.0, "note": ""}, {"ingredient_id": "cumin", "name": "Ground cumin", "grams": 3.0, "note": ""}, {"ingredient_id": "olive_oil", "name": "Extra-virgin olive oil", "grams": 10.0, "note": ""}, {"ingredient_id": "greek_yogurt", "name": "Greek yogurt, plain 2%", "grams": 80.0, "note": ""}, {"ingredient_id": "cheddar", "name": "Cheddar cheese", "grams": 60.0, "note": ""}, {"ingredient_id": "green_onion", "name": "Green onions (scallions)", "grams": 15.0, "note": ""}]</t>
        </is>
      </c>
      <c r="N626" s="2" t="n">
        <v>350</v>
      </c>
      <c r="O626" s="5" t="n">
        <v>17.1</v>
      </c>
      <c r="P626" s="5" t="n">
        <v>9.1</v>
      </c>
      <c r="Q626" s="5" t="n">
        <v>52.3</v>
      </c>
      <c r="R626" s="5" t="n">
        <v>13.1</v>
      </c>
      <c r="S626" s="5" t="n">
        <v>39.2</v>
      </c>
      <c r="T626" s="2" t="n">
        <v>36</v>
      </c>
      <c r="U626" s="2" t="inlineStr">
        <is>
          <t>low</t>
        </is>
      </c>
      <c r="V626" s="5" t="n">
        <v>14.1</v>
      </c>
      <c r="W626" s="2" t="inlineStr">
        <is>
          <t>medium</t>
        </is>
      </c>
      <c r="X626" s="3" t="inlineStr"/>
      <c r="Y626" s="3" t="inlineStr">
        <is>
          <t>80% of this dish's available carbohydrate comes from ingredients with a published, measured GI; the rest uses conventional placeholders (see Ingredients sheet)</t>
        </is>
      </c>
      <c r="Z626" s="2" t="n">
        <v>80</v>
      </c>
      <c r="AA626" s="3" t="inlineStr">
        <is>
          <t>vegetarian, gluten-free, nut-free, high-fiber</t>
        </is>
      </c>
      <c r="AB626" s="3" t="inlineStr">
        <is>
          <t>1. Boil whole sweet potatoes 20–25 minutes until tender (boiling keeps the GI far lower than baking).
2. Sauté onion, pepper, garlic, spices; add beans and tomatoes; simmer 15 minutes.
3. Split potatoes; fill with chili; top yogurt, cheddar, green onion.</t>
        </is>
      </c>
      <c r="AC626" s="4" t="inlineStr">
        <is>
          <t>["Boil whole sweet potatoes 20–25 minutes until tender (boiling keeps the GI far lower than baking).", "Sauté onion, pepper, garlic, spices; add beans and tomatoes; simmer 15 minutes.", "Split potatoes; fill with chili; top yogurt, cheddar, green onion."]</t>
        </is>
      </c>
    </row>
    <row r="627" ht="96" customHeight="1">
      <c r="A627" s="2" t="inlineStr">
        <is>
          <t>DB-0626</t>
        </is>
      </c>
      <c r="B627" s="3" t="inlineStr">
        <is>
          <t>Eggplant Rollatini (Ricotta &amp; Spinach)</t>
        </is>
      </c>
      <c r="C627" s="4" t="inlineStr">
        <is>
          <t>Vegetarian &amp; Vegan</t>
        </is>
      </c>
      <c r="D627" s="4" t="inlineStr">
        <is>
          <t>Italian</t>
        </is>
      </c>
      <c r="E627" s="2" t="n">
        <v>4</v>
      </c>
      <c r="F627" s="2" t="n">
        <v>20</v>
      </c>
      <c r="G627" s="2" t="n">
        <v>40</v>
      </c>
      <c r="H627" s="2" t="n">
        <v>60</v>
      </c>
      <c r="I627" s="4" t="inlineStr">
        <is>
          <t>eggplant-rollatini-ricotta-and-spinach.jpg</t>
        </is>
      </c>
      <c r="J627" s="3" t="inlineStr">
        <is>
          <t>Eggplant Rollatini (Ricotta &amp; Spinach), healthy food photography, plated, natural light</t>
        </is>
      </c>
      <c r="K627" s="4" t="inlineStr"/>
      <c r="L627" s="3" t="inlineStr">
        <is>
          <t>Eggplant — 800 g (28.2 oz)
Ricotta, part-skim — 300 g (10.6 oz)
Egg, large (50 g each) — 50 g (1.8 oz)
Spinach — 150 g (5.3 oz)
Parmesan, grated — 40 g (1.4 oz)
Mozzarella, part-skim — 100 g (3.5 oz)
Marinara sauce, no sugar added — 400 g (14.1 oz)
Garlic — 5 g (0.2 oz)
Fresh basil — 8 g (0.3 oz)
Extra-virgin olive oil — 15 g (0.5 oz)
Salt — 3 g (0.1 oz)</t>
        </is>
      </c>
      <c r="M627" s="4" t="inlineStr">
        <is>
          <t>[{"ingredient_id": "eggplant", "name": "Eggplant", "grams": 800.0, "note": ""}, {"ingredient_id": "ricotta", "name": "Ricotta, part-skim", "grams": 300.0, "note": ""}, {"ingredient_id": "egg", "name": "Egg, large (50 g each)", "grams": 50.0, "note": ""}, {"ingredient_id": "spinach", "name": "Spinach", "grams": 150.0, "note": ""}, {"ingredient_id": "parmesan", "name": "Parmesan, grated", "grams": 40.0, "note": ""}, {"ingredient_id": "mozzarella", "name": "Mozzarella, part-skim", "grams": 100.0, "note": ""}, {"ingredient_id": "marinara", "name": "Marinara sauce, no sugar added", "grams": 400.0, "note": ""}, {"ingredient_id": "garlic", "name": "Garlic", "grams": 5.0, "note": ""}, {"ingredient_id": "basil", "name": "Fresh basil", "grams": 8.0, "note": ""}, {"ingredient_id": "olive_oil", "name": "Extra-virgin olive oil", "grams": 15.0, "note": ""}, {"ingredient_id": "salt", "name": "Salt", "grams": 3.0, "note": ""}]</t>
        </is>
      </c>
      <c r="N627" s="2" t="n">
        <v>367</v>
      </c>
      <c r="O627" s="5" t="n">
        <v>24.4</v>
      </c>
      <c r="P627" s="5" t="n">
        <v>20.9</v>
      </c>
      <c r="Q627" s="5" t="n">
        <v>23.8</v>
      </c>
      <c r="R627" s="5" t="n">
        <v>8.4</v>
      </c>
      <c r="S627" s="5" t="n">
        <v>15.4</v>
      </c>
      <c r="T627" s="2" t="n">
        <v>19</v>
      </c>
      <c r="U627" s="2" t="inlineStr">
        <is>
          <t>low</t>
        </is>
      </c>
      <c r="V627" s="5" t="n">
        <v>2.9</v>
      </c>
      <c r="W627" s="2" t="inlineStr">
        <is>
          <t>low</t>
        </is>
      </c>
      <c r="X627" s="3" t="inlineStr"/>
      <c r="Y627" s="3" t="inlineStr">
        <is>
          <t>23% of this dish's available carbohydrate comes from ingredients with a published, measured GI; the rest uses conventional placeholders (see Ingredients sheet)</t>
        </is>
      </c>
      <c r="Z627" s="2" t="n">
        <v>23</v>
      </c>
      <c r="AA627" s="3" t="inlineStr">
        <is>
          <t>vegetarian, gluten-free, nut-free, high-fiber, make-ahead</t>
        </is>
      </c>
      <c r="AB627" s="3" t="inlineStr">
        <is>
          <t>1. Slice eggplant lengthwise thin; brush with oil; roast at 425°F 12 minutes until pliable.
2. Mix ricotta, egg, spinach, parmesan, garlic; spread on slices and roll.
3. Place in marinara; top mozzarella; bake at 375°F 25 minutes; basil.</t>
        </is>
      </c>
      <c r="AC627" s="4" t="inlineStr">
        <is>
          <t>["Slice eggplant lengthwise thin; brush with oil; roast at 425°F 12 minutes until pliable.", "Mix ricotta, egg, spinach, parmesan, garlic; spread on slices and roll.", "Place in marinara; top mozzarella; bake at 375°F 25 minutes; basil."]</t>
        </is>
      </c>
    </row>
    <row r="628" ht="96" customHeight="1">
      <c r="A628" s="2" t="inlineStr">
        <is>
          <t>DB-0627</t>
        </is>
      </c>
      <c r="B628" s="3" t="inlineStr">
        <is>
          <t>White Bean &amp; Kale Skillet with Poached Eggs</t>
        </is>
      </c>
      <c r="C628" s="4" t="inlineStr">
        <is>
          <t>Vegetarian &amp; Vegan</t>
        </is>
      </c>
      <c r="D628" s="4" t="inlineStr">
        <is>
          <t>Italian</t>
        </is>
      </c>
      <c r="E628" s="2" t="n">
        <v>3</v>
      </c>
      <c r="F628" s="2" t="n">
        <v>10</v>
      </c>
      <c r="G628" s="2" t="n">
        <v>15</v>
      </c>
      <c r="H628" s="2" t="n">
        <v>25</v>
      </c>
      <c r="I628" s="4" t="inlineStr">
        <is>
          <t>white-bean-and-kale-skillet-with-poached-eggs.jpg</t>
        </is>
      </c>
      <c r="J628" s="3" t="inlineStr">
        <is>
          <t>White Bean &amp; Kale Skillet with Poached Eggs, healthy food photography, plated, natural light</t>
        </is>
      </c>
      <c r="K628" s="4" t="inlineStr"/>
      <c r="L628" s="3" t="inlineStr">
        <is>
          <t>Cannellini beans, cooked — 400 g (14.1 oz)
Kale — 250 g (8.8 oz)
Egg, large (50 g each) — 150 g (5.3 oz)
Garlic — 8 g (0.3 oz)
Diced tomatoes, canned — 300 g (10.6 oz)
Extra-virgin olive oil — 15 g (0.5 oz)
Red pepper flakes — 1 g (0.0 oz)
Parmesan, grated — 30 g (1.1 oz)
Lemon (with juice &amp; zest) — 30 g (1.1 oz)</t>
        </is>
      </c>
      <c r="M628" s="4" t="inlineStr">
        <is>
          <t>[{"ingredient_id": "white_beans", "name": "Cannellini beans, cooked", "grams": 400.0, "note": ""}, {"ingredient_id": "kale", "name": "Kale", "grams": 250.0, "note": ""}, {"ingredient_id": "egg", "name": "Egg, large (50 g each)", "grams": 150.0, "note": ""}, {"ingredient_id": "garlic", "name": "Garlic", "grams": 8.0, "note": ""}, {"ingredient_id": "diced_tomatoes", "name": "Diced tomatoes, canned", "grams": 300.0, "note": ""}, {"ingredient_id": "olive_oil", "name": "Extra-virgin olive oil", "grams": 15.0, "note": ""}, {"ingredient_id": "red_pepper_flakes", "name": "Red pepper flakes", "grams": 1.0, "note": ""}, {"ingredient_id": "parmesan", "name": "Parmesan, grated", "grams": 30.0, "note": ""}, {"ingredient_id": "lemon", "name": "Lemon (with juice &amp; zest)", "grams": 30.0, "note": ""}]</t>
        </is>
      </c>
      <c r="N628" s="2" t="n">
        <v>417</v>
      </c>
      <c r="O628" s="5" t="n">
        <v>28.1</v>
      </c>
      <c r="P628" s="5" t="n">
        <v>14.2</v>
      </c>
      <c r="Q628" s="5" t="n">
        <v>48.4</v>
      </c>
      <c r="R628" s="5" t="n">
        <v>13.3</v>
      </c>
      <c r="S628" s="5" t="n">
        <v>35.1</v>
      </c>
      <c r="T628" s="2" t="n">
        <v>28</v>
      </c>
      <c r="U628" s="2" t="inlineStr">
        <is>
          <t>low</t>
        </is>
      </c>
      <c r="V628" s="5" t="n">
        <v>9.800000000000001</v>
      </c>
      <c r="W628" s="2" t="inlineStr">
        <is>
          <t>low</t>
        </is>
      </c>
      <c r="X628" s="3" t="inlineStr"/>
      <c r="Y628" s="3" t="inlineStr">
        <is>
          <t>71% of this dish's available carbohydrate comes from ingredients with a published, measured GI; the rest uses conventional placeholders (see Ingredients sheet)</t>
        </is>
      </c>
      <c r="Z628" s="2" t="n">
        <v>71</v>
      </c>
      <c r="AA628" s="3" t="inlineStr">
        <is>
          <t>vegetarian, gluten-free, nut-free, high-protein, high-fiber, one-pan</t>
        </is>
      </c>
      <c r="AB628" s="3" t="inlineStr">
        <is>
          <t>1. Sauté garlic and pepper flakes in oil; add tomatoes and beans; simmer 5 minutes.
2. Add kale until wilted; make wells; crack eggs; cover 6 minutes.
3. Top parmesan and lemon.</t>
        </is>
      </c>
      <c r="AC628" s="4" t="inlineStr">
        <is>
          <t>["Sauté garlic and pepper flakes in oil; add tomatoes and beans; simmer 5 minutes.", "Add kale until wilted; make wells; crack eggs; cover 6 minutes.", "Top parmesan and lemon."]</t>
        </is>
      </c>
    </row>
    <row r="629" ht="96" customHeight="1">
      <c r="A629" s="2" t="inlineStr">
        <is>
          <t>DB-0628</t>
        </is>
      </c>
      <c r="B629" s="3" t="inlineStr">
        <is>
          <t>Tempeh Bolognese over Chickpea Pasta</t>
        </is>
      </c>
      <c r="C629" s="4" t="inlineStr">
        <is>
          <t>Vegetarian &amp; Vegan</t>
        </is>
      </c>
      <c r="D629" s="4" t="inlineStr">
        <is>
          <t>Italian</t>
        </is>
      </c>
      <c r="E629" s="2" t="n">
        <v>4</v>
      </c>
      <c r="F629" s="2" t="n">
        <v>10</v>
      </c>
      <c r="G629" s="2" t="n">
        <v>30</v>
      </c>
      <c r="H629" s="2" t="n">
        <v>40</v>
      </c>
      <c r="I629" s="4" t="inlineStr">
        <is>
          <t>tempeh-bolognese-over-chickpea-pasta.jpg</t>
        </is>
      </c>
      <c r="J629" s="3" t="inlineStr">
        <is>
          <t>Tempeh Bolognese over Chickpea Pasta, healthy food photography, plated, natural light</t>
        </is>
      </c>
      <c r="K629" s="4" t="inlineStr"/>
      <c r="L629" s="3" t="inlineStr">
        <is>
          <t>Tempeh — 400 g (14.1 oz)
Chickpea pasta, cooked — 320 g (11.3 oz)
Crushed tomatoes, canned — 500 g (17.6 oz)
Yellow onion — 100 g (3.5 oz)
Carrot — 80 g (2.8 oz)
Celery — 60 g (2.1 oz)
Garlic — 8 g (0.3 oz)
Extra-virgin olive oil — 15 g (0.5 oz)
Italian seasoning — 4 g (0.1 oz)
Dry red wine (cooking) — 60 g (2.1 oz)
Parmesan, grated — 30 g (1.1 oz)
Salt — 3 g (0.1 oz)</t>
        </is>
      </c>
      <c r="M629" s="4" t="inlineStr">
        <is>
          <t>[{"ingredient_id": "tempeh", "name": "Tempeh", "grams": 400.0, "note": ""}, {"ingredient_id": "chickpea_pasta", "name": "Chickpea pasta, cooked", "grams": 320.0, "note": ""}, {"ingredient_id": "crushed_tomatoes", "name": "Crushed tomatoes, canned", "grams": 500.0, "note": ""}, {"ingredient_id": "onion", "name": "Yellow onion", "grams": 100.0, "note": ""}, {"ingredient_id": "carrot", "name": "Carrot", "grams": 80.0, "note": ""}, {"ingredient_id": "celery", "name": "Celery", "grams": 60.0, "note": ""}, {"ingredient_id": "garlic", "name": "Garlic", "grams": 8.0, "note": ""}, {"ingredient_id": "olive_oil", "name": "Extra-virgin olive oil", "grams": 15.0, "note": ""}, {"ingredient_id": "italian_seasoning", "name": "Italian seasoning", "grams": 4.0, "note": ""}, {"ingredient_id": "red_wine", "name": "Dry red wine (cooking)", "grams": 60.0, "note": ""}, {"ingredient_id": "parmesan", "name": "Parmesan, grated", "grams": 30.0, "note": ""}, {"ingredient_id": "salt", "name": "Salt", "grams": 3.0, "note": ""}]</t>
        </is>
      </c>
      <c r="N629" s="2" t="n">
        <v>468</v>
      </c>
      <c r="O629" s="5" t="n">
        <v>35.2</v>
      </c>
      <c r="P629" s="5" t="n">
        <v>19.8</v>
      </c>
      <c r="Q629" s="5" t="n">
        <v>45.1</v>
      </c>
      <c r="R629" s="5" t="n">
        <v>14.9</v>
      </c>
      <c r="S629" s="5" t="n">
        <v>30.2</v>
      </c>
      <c r="T629" s="2" t="n">
        <v>29</v>
      </c>
      <c r="U629" s="2" t="inlineStr">
        <is>
          <t>low</t>
        </is>
      </c>
      <c r="V629" s="5" t="n">
        <v>8.800000000000001</v>
      </c>
      <c r="W629" s="2" t="inlineStr">
        <is>
          <t>low</t>
        </is>
      </c>
      <c r="X629" s="3" t="inlineStr"/>
      <c r="Y629" s="3" t="inlineStr">
        <is>
          <t>5% of this dish's available carbohydrate comes from ingredients with a published, measured GI; the rest uses conventional placeholders (see Ingredients sheet)</t>
        </is>
      </c>
      <c r="Z629" s="2" t="n">
        <v>5</v>
      </c>
      <c r="AA629" s="3" t="inlineStr">
        <is>
          <t>vegetarian, gluten-free, nut-free, high-protein, high-fiber</t>
        </is>
      </c>
      <c r="AB629" s="3" t="inlineStr">
        <is>
          <t>1. Crumble tempeh; brown in oil with onion, carrot, celery, garlic.
2. Add wine, tomatoes, seasoning; simmer 20 minutes.
3. Serve over al dente pasta with parmesan.</t>
        </is>
      </c>
      <c r="AC629" s="4" t="inlineStr">
        <is>
          <t>["Crumble tempeh; brown in oil with onion, carrot, celery, garlic.", "Add wine, tomatoes, seasoning; simmer 20 minutes.", "Serve over al dente pasta with parmesan."]</t>
        </is>
      </c>
    </row>
    <row r="630" ht="96" customHeight="1">
      <c r="A630" s="2" t="inlineStr">
        <is>
          <t>DB-0629</t>
        </is>
      </c>
      <c r="B630" s="3" t="inlineStr">
        <is>
          <t>Stuffed Cabbage Rolls with Lentils</t>
        </is>
      </c>
      <c r="C630" s="4" t="inlineStr">
        <is>
          <t>Vegetarian &amp; Vegan</t>
        </is>
      </c>
      <c r="D630" s="4" t="inlineStr">
        <is>
          <t>Eastern European</t>
        </is>
      </c>
      <c r="E630" s="2" t="n">
        <v>5</v>
      </c>
      <c r="F630" s="2" t="n">
        <v>30</v>
      </c>
      <c r="G630" s="2" t="n">
        <v>70</v>
      </c>
      <c r="H630" s="2" t="n">
        <v>100</v>
      </c>
      <c r="I630" s="4" t="inlineStr">
        <is>
          <t>stuffed-cabbage-rolls-with-lentils.jpg</t>
        </is>
      </c>
      <c r="J630" s="3" t="inlineStr">
        <is>
          <t>Stuffed Cabbage Rolls with Lentils, healthy food photography, plated, natural light</t>
        </is>
      </c>
      <c r="K630" s="4" t="inlineStr"/>
      <c r="L630" s="3" t="inlineStr">
        <is>
          <t>Green cabbage — 1000 g (35.3 oz)
Lentils, cooked — 500 g (17.6 oz)
Cauliflower rice — 250 g (8.8 oz)
Yellow onion — 100 g (3.5 oz)
Garlic — 6 g (0.2 oz)
Walnuts — 40 g (1.4 oz)
Paprika — 3 g (0.1 oz)
Tomato sauce, canned, no sugar added — 600 g (21.2 oz)
Diced tomatoes, canned — 300 g (10.6 oz)
Fresh dill — 6 g (0.2 oz)
Extra-virgin olive oil — 12 g (0.4 oz)
Salt — 3 g (0.1 oz)</t>
        </is>
      </c>
      <c r="M630" s="4" t="inlineStr">
        <is>
          <t>[{"ingredient_id": "cabbage", "name": "Green cabbage", "grams": 1000.0, "note": ""}, {"ingredient_id": "lentils", "name": "Lentils, cooked", "grams": 500.0, "note": ""}, {"ingredient_id": "cauliflower_rice", "name": "Cauliflower rice", "grams": 250.0, "note": ""}, {"ingredient_id": "onion", "name": "Yellow onion", "grams": 100.0, "note": ""}, {"ingredient_id": "garlic", "name": "Garlic", "grams": 6.0, "note": ""}, {"ingredient_id": "walnuts", "name": "Walnuts", "grams": 40.0, "note": ""}, {"ingredient_id": "paprika", "name": "Paprika", "grams": 3.0, "note": ""}, {"ingredient_id": "tomato_sauce", "name": "Tomato sauce, canned, no sugar added", "grams": 600.0, "note": ""}, {"ingredient_id": "diced_tomatoes", "name": "Diced tomatoes, canned", "grams": 300.0, "note": ""}, {"ingredient_id": "dill", "name": "Fresh dill", "grams": 6.0, "note": ""}, {"ingredient_id": "olive_oil", "name": "Extra-virgin olive oil", "grams": 12.0, "note": ""}, {"ingredient_id": "salt", "name": "Salt", "grams": 3.0, "note": ""}]</t>
        </is>
      </c>
      <c r="N630" s="2" t="n">
        <v>307</v>
      </c>
      <c r="O630" s="5" t="n">
        <v>16.5</v>
      </c>
      <c r="P630" s="5" t="n">
        <v>8.800000000000001</v>
      </c>
      <c r="Q630" s="5" t="n">
        <v>47.2</v>
      </c>
      <c r="R630" s="5" t="n">
        <v>17.7</v>
      </c>
      <c r="S630" s="5" t="n">
        <v>29.5</v>
      </c>
      <c r="T630" s="2" t="n">
        <v>28</v>
      </c>
      <c r="U630" s="2" t="inlineStr">
        <is>
          <t>low</t>
        </is>
      </c>
      <c r="V630" s="5" t="n">
        <v>8.300000000000001</v>
      </c>
      <c r="W630" s="2" t="inlineStr">
        <is>
          <t>low</t>
        </is>
      </c>
      <c r="X630" s="3" t="inlineStr"/>
      <c r="Y630" s="3" t="inlineStr">
        <is>
          <t>41% of this dish's available carbohydrate comes from ingredients with a published, measured GI; the rest uses conventional placeholders (see Ingredients sheet)</t>
        </is>
      </c>
      <c r="Z630" s="2" t="n">
        <v>41</v>
      </c>
      <c r="AA630" s="3" t="inlineStr">
        <is>
          <t>vegan, gluten-free, dairy-free, high-fiber, make-ahead</t>
        </is>
      </c>
      <c r="AB630" s="3" t="inlineStr">
        <is>
          <t>1. Blanch cabbage leaves. Mix lentils, cauliflower rice, sautéed onion, garlic, walnuts, paprika, salt.
2. Roll filling in leaves; place in a dish; cover with tomato sauce and tomatoes.
3. Bake covered at 350°F 60 minutes; dill.</t>
        </is>
      </c>
      <c r="AC630" s="4" t="inlineStr">
        <is>
          <t>["Blanch cabbage leaves. Mix lentils, cauliflower rice, sautéed onion, garlic, walnuts, paprika, salt.", "Roll filling in leaves; place in a dish; cover with tomato sauce and tomatoes.", "Bake covered at 350°F 60 minutes; dill."]</t>
        </is>
      </c>
    </row>
    <row r="631" ht="96" customHeight="1">
      <c r="A631" s="2" t="inlineStr">
        <is>
          <t>DB-0630</t>
        </is>
      </c>
      <c r="B631" s="3" t="inlineStr">
        <is>
          <t>Grilled Feta &amp; Veggie Skewers</t>
        </is>
      </c>
      <c r="C631" s="4" t="inlineStr">
        <is>
          <t>Vegetarian &amp; Vegan</t>
        </is>
      </c>
      <c r="D631" s="4" t="inlineStr">
        <is>
          <t>Mediterranean</t>
        </is>
      </c>
      <c r="E631" s="2" t="n">
        <v>4</v>
      </c>
      <c r="F631" s="2" t="n">
        <v>15</v>
      </c>
      <c r="G631" s="2" t="n">
        <v>10</v>
      </c>
      <c r="H631" s="2" t="n">
        <v>25</v>
      </c>
      <c r="I631" s="4" t="inlineStr">
        <is>
          <t>grilled-feta-and-veggie-skewers.jpg</t>
        </is>
      </c>
      <c r="J631" s="3" t="inlineStr">
        <is>
          <t>Grilled Feta &amp; Veggie Skewers, healthy food photography, plated, natural light</t>
        </is>
      </c>
      <c r="K631" s="4" t="inlineStr"/>
      <c r="L631" s="3" t="inlineStr">
        <is>
          <t>Feta cheese — 250 g (8.8 oz) [firm block, cubed]
Zucchini — 250 g (8.8 oz)
Bell pepper — 200 g (7.1 oz)
Red onion — 100 g (3.5 oz)
Cherry tomatoes — 200 g (7.1 oz)
Extra-virgin olive oil — 20 g (0.7 oz)
Lemon (with juice &amp; zest) — 30 g (1.1 oz)
Dried oregano — 3 g (0.1 oz)
Chickpeas, cooked — 250 g (8.8 oz)</t>
        </is>
      </c>
      <c r="M631" s="4" t="inlineStr">
        <is>
          <t>[{"ingredient_id": "feta", "name": "Feta cheese", "grams": 250.0, "note": "firm block, cubed"}, {"ingredient_id": "zucchini", "name": "Zucchini", "grams": 250.0, "note": ""}, {"ingredient_id": "bell_pepper", "name": "Bell pepper", "grams": 200.0, "note": ""}, {"ingredient_id": "red_onion", "name": "Red onion", "grams": 100.0, "note": ""}, {"ingredient_id": "cherry_tomato", "name": "Cherry tomatoes", "grams": 200.0, "note": ""}, {"ingredient_id": "olive_oil", "name": "Extra-virgin olive oil", "grams": 20.0, "note": ""}, {"ingredient_id": "lemon", "name": "Lemon (with juice &amp; zest)", "grams": 30.0, "note": ""}, {"ingredient_id": "oregano", "name": "Dried oregano", "grams": 3.0, "note": ""}, {"ingredient_id": "chickpeas", "name": "Chickpeas, cooked", "grams": 250.0, "note": ""}]</t>
        </is>
      </c>
      <c r="N631" s="2" t="n">
        <v>361</v>
      </c>
      <c r="O631" s="5" t="n">
        <v>16.4</v>
      </c>
      <c r="P631" s="5" t="n">
        <v>20.3</v>
      </c>
      <c r="Q631" s="5" t="n">
        <v>29.8</v>
      </c>
      <c r="R631" s="5" t="n">
        <v>8</v>
      </c>
      <c r="S631" s="5" t="n">
        <v>21.8</v>
      </c>
      <c r="T631" s="2" t="n">
        <v>26</v>
      </c>
      <c r="U631" s="2" t="inlineStr">
        <is>
          <t>low</t>
        </is>
      </c>
      <c r="V631" s="5" t="n">
        <v>5.7</v>
      </c>
      <c r="W631" s="2" t="inlineStr">
        <is>
          <t>low</t>
        </is>
      </c>
      <c r="X631" s="3" t="inlineStr"/>
      <c r="Y631" s="3" t="inlineStr">
        <is>
          <t>56% of this dish's available carbohydrate comes from ingredients with a published, measured GI; the rest uses conventional placeholders (see Ingredients sheet)</t>
        </is>
      </c>
      <c r="Z631" s="2" t="n">
        <v>56</v>
      </c>
      <c r="AA631" s="3" t="inlineStr">
        <is>
          <t>vegetarian, gluten-free, nut-free, high-fiber</t>
        </is>
      </c>
      <c r="AB631" s="3" t="inlineStr">
        <is>
          <t>1. Thread feta cubes and vegetables on skewers; brush with oil and oregano.
2. Grill 8–10 minutes, turning gently.
3. Serve over chickpeas dressed with lemon.</t>
        </is>
      </c>
      <c r="AC631" s="4" t="inlineStr">
        <is>
          <t>["Thread feta cubes and vegetables on skewers; brush with oil and oregano.", "Grill 8–10 minutes, turning gently.", "Serve over chickpeas dressed with lemon."]</t>
        </is>
      </c>
    </row>
    <row r="632" ht="96" customHeight="1">
      <c r="A632" s="2" t="inlineStr">
        <is>
          <t>DB-0631</t>
        </is>
      </c>
      <c r="B632" s="3" t="inlineStr">
        <is>
          <t>Cauliflower Steaks with Chimichurri &amp; White Beans</t>
        </is>
      </c>
      <c r="C632" s="4" t="inlineStr">
        <is>
          <t>Vegetarian &amp; Vegan</t>
        </is>
      </c>
      <c r="D632" s="4" t="inlineStr">
        <is>
          <t>Argentinian</t>
        </is>
      </c>
      <c r="E632" s="2" t="n">
        <v>4</v>
      </c>
      <c r="F632" s="2" t="n">
        <v>10</v>
      </c>
      <c r="G632" s="2" t="n">
        <v>30</v>
      </c>
      <c r="H632" s="2" t="n">
        <v>40</v>
      </c>
      <c r="I632" s="4" t="inlineStr">
        <is>
          <t>cauliflower-steaks-with-chimichurri-and-white-beans.jpg</t>
        </is>
      </c>
      <c r="J632" s="3" t="inlineStr">
        <is>
          <t>Cauliflower Steaks with Chimichurri &amp; White Beans, healthy food photography, plated, natural light</t>
        </is>
      </c>
      <c r="K632" s="4" t="inlineStr"/>
      <c r="L632" s="3" t="inlineStr">
        <is>
          <t>Cauliflower — 1000 g (35.3 oz) [2 heads]
Cannellini beans, cooked — 400 g (14.1 oz)
Fresh parsley — 30 g (1.1 oz)
Fresh cilantro — 10 g (0.4 oz)
Garlic — 8 g (0.3 oz)
Red wine vinegar — 15 g (0.5 oz)
Extra-virgin olive oil — 45 g (1.6 oz)
Dried oregano — 2 g (0.1 oz)
Red pepper flakes — 1 g (0.0 oz)
Salt — 3 g (0.1 oz)</t>
        </is>
      </c>
      <c r="M632" s="4" t="inlineStr">
        <is>
          <t>[{"ingredient_id": "cauliflower", "name": "Cauliflower", "grams": 1000.0, "note": "2 heads"}, {"ingredient_id": "white_beans", "name": "Cannellini beans, cooked", "grams": 400.0,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45.0, "note": ""}, {"ingredient_id": "oregano", "name": "Dried oregano", "grams": 2.0, "note": ""}, {"ingredient_id": "red_pepper_flakes", "name": "Red pepper flakes", "grams": 1.0, "note": ""}, {"ingredient_id": "salt", "name": "Salt", "grams": 3.0, "note": ""}]</t>
        </is>
      </c>
      <c r="N632" s="2" t="n">
        <v>310</v>
      </c>
      <c r="O632" s="5" t="n">
        <v>14.9</v>
      </c>
      <c r="P632" s="5" t="n">
        <v>12.5</v>
      </c>
      <c r="Q632" s="5" t="n">
        <v>39.2</v>
      </c>
      <c r="R632" s="5" t="n">
        <v>11.9</v>
      </c>
      <c r="S632" s="5" t="n">
        <v>27.3</v>
      </c>
      <c r="T632" s="2" t="n">
        <v>26</v>
      </c>
      <c r="U632" s="2" t="inlineStr">
        <is>
          <t>low</t>
        </is>
      </c>
      <c r="V632" s="5" t="n">
        <v>7.1</v>
      </c>
      <c r="W632" s="2" t="inlineStr">
        <is>
          <t>low</t>
        </is>
      </c>
      <c r="X632" s="3" t="inlineStr"/>
      <c r="Y632" s="3" t="inlineStr">
        <is>
          <t>69% of this dish's available carbohydrate comes from ingredients with a published, measured GI; the rest uses conventional placeholders (see Ingredients sheet)</t>
        </is>
      </c>
      <c r="Z632" s="2" t="n">
        <v>69</v>
      </c>
      <c r="AA632" s="3" t="inlineStr">
        <is>
          <t>vegan, gluten-free, dairy-free, nut-free, high-fiber</t>
        </is>
      </c>
      <c r="AB632" s="3" t="inlineStr">
        <is>
          <t>1. Cut cauliflower into 1-inch steaks; brush with a third of the oil; roast at 425°F 25 minutes, flipping once.
2. Blend remaining oil, herbs, garlic, vinegar, oregano, pepper flakes.
3. Serve steaks over warm beans with chimichurri.</t>
        </is>
      </c>
      <c r="AC632" s="4" t="inlineStr">
        <is>
          <t>["Cut cauliflower into 1-inch steaks; brush with a third of the oil; roast at 425°F 25 minutes, flipping once.", "Blend remaining oil, herbs, garlic, vinegar, oregano, pepper flakes.", "Serve steaks over warm beans with chimichurri."]</t>
        </is>
      </c>
    </row>
    <row r="633" ht="96" customHeight="1">
      <c r="A633" s="2" t="inlineStr">
        <is>
          <t>DB-0632</t>
        </is>
      </c>
      <c r="B633" s="3" t="inlineStr">
        <is>
          <t>Tofu Tikka Masala</t>
        </is>
      </c>
      <c r="C633" s="4" t="inlineStr">
        <is>
          <t>Vegetarian &amp; Vegan</t>
        </is>
      </c>
      <c r="D633" s="4" t="inlineStr">
        <is>
          <t>Indian</t>
        </is>
      </c>
      <c r="E633" s="2" t="n">
        <v>4</v>
      </c>
      <c r="F633" s="2" t="n">
        <v>15</v>
      </c>
      <c r="G633" s="2" t="n">
        <v>30</v>
      </c>
      <c r="H633" s="2" t="n">
        <v>45</v>
      </c>
      <c r="I633" s="4" t="inlineStr">
        <is>
          <t>tofu-tikka-masala.jpg</t>
        </is>
      </c>
      <c r="J633" s="3" t="inlineStr">
        <is>
          <t>Tofu Tikka Masala, healthy food photography, plated, natural light</t>
        </is>
      </c>
      <c r="K633" s="4" t="inlineStr"/>
      <c r="L633" s="3" t="inlineStr">
        <is>
          <t>Tofu, extra-firm — 500 g (17.6 oz)
Greek yogurt, plain 2% — 120 g (4.2 oz)
Garam masala — 8 g (0.3 oz)
Ground turmeric — 2 g (0.1 oz)
Ground cumin — 3 g (0.1 oz)
Fresh ginger — 10 g (0.4 oz)
Garlic — 8 g (0.3 oz)
Yellow onion — 120 g (4.2 oz)
Crushed tomatoes, canned — 400 g (14.1 oz)
Coconut milk, canned light — 200 g (7.1 oz)
Extra-virgin olive oil — 15 g (0.5 oz)
Fresh cilantro — 8 g (0.3 oz)
Cauliflower rice — 500 g (17.6 oz)
Salt — 3 g (0.1 oz)</t>
        </is>
      </c>
      <c r="M633" s="4" t="inlineStr">
        <is>
          <t>[{"ingredient_id": "tofu", "name": "Tofu, extra-firm", "grams": 500.0, "note": ""}, {"ingredient_id": "greek_yogurt", "name": "Greek yogurt, plain 2%", "grams": 120.0, "note": ""}, {"ingredient_id": "garam_masala", "name": "Garam masala", "grams": 8.0, "note": ""}, {"ingredient_id": "turmeric", "name": "Ground turmeric", "grams": 2.0, "note": ""}, {"ingredient_id": "cumin", "name": "Ground cumin", "grams": 3.0, "note": ""}, {"ingredient_id": "ginger", "name": "Fresh ginger", "grams": 10.0, "note": ""}, {"ingredient_id": "garlic", "name": "Garlic", "grams": 8.0, "note": ""}, {"ingredient_id": "onion", "name": "Yellow onion", "grams": 120.0, "note": ""}, {"ingredient_id": "crushed_tomatoes", "name": "Crushed tomatoes, canned", "grams": 400.0, "note": ""}, {"ingredient_id": "coconut_milk_light", "name": "Coconut milk, canned light", "grams": 200.0, "note": ""}, {"ingredient_id": "olive_oil", "name": "Extra-virgin olive oil", "grams": 15.0, "note": ""}, {"ingredient_id": "cilantro", "name": "Fresh cilantro", "grams": 8.0, "note": ""}, {"ingredient_id": "cauliflower_rice", "name": "Cauliflower rice", "grams": 500.0, "note": ""}, {"ingredient_id": "salt", "name": "Salt", "grams": 3.0, "note": ""}]</t>
        </is>
      </c>
      <c r="N633" s="2" t="n">
        <v>361</v>
      </c>
      <c r="O633" s="5" t="n">
        <v>29.6</v>
      </c>
      <c r="P633" s="5" t="n">
        <v>19.8</v>
      </c>
      <c r="Q633" s="5" t="n">
        <v>25.2</v>
      </c>
      <c r="R633" s="5" t="n">
        <v>8.800000000000001</v>
      </c>
      <c r="S633" s="5" t="n">
        <v>16.4</v>
      </c>
      <c r="T633" s="2" t="n">
        <v>23</v>
      </c>
      <c r="U633" s="2" t="inlineStr">
        <is>
          <t>low</t>
        </is>
      </c>
      <c r="V633" s="5" t="n">
        <v>3.8</v>
      </c>
      <c r="W633" s="2" t="inlineStr">
        <is>
          <t>low</t>
        </is>
      </c>
      <c r="X633" s="3" t="inlineStr"/>
      <c r="Y633" s="3" t="inlineStr">
        <is>
          <t>7% of this dish's available carbohydrate comes from ingredients with a published, measured GI; the rest uses conventional placeholders (see Ingredients sheet)</t>
        </is>
      </c>
      <c r="Z633" s="2" t="n">
        <v>7</v>
      </c>
      <c r="AA633" s="3" t="inlineStr">
        <is>
          <t>vegetarian, gluten-free, nut-free, high-protein, high-fiber</t>
        </is>
      </c>
      <c r="AB633" s="3" t="inlineStr">
        <is>
          <t>1. Toss tofu cubes with half the yogurt and spices; roast at 425°F 20 minutes.
2. Sauté onion, ginger, garlic, remaining spices; add tomatoes, simmer 10 minutes; add coconut milk and yogurt.
3. Add tofu; serve over cauliflower rice with cilantro.</t>
        </is>
      </c>
      <c r="AC633" s="4" t="inlineStr">
        <is>
          <t>["Toss tofu cubes with half the yogurt and spices; roast at 425°F 20 minutes.", "Sauté onion, ginger, garlic, remaining spices; add tomatoes, simmer 10 minutes; add coconut milk and yogurt.", "Add tofu; serve over cauliflower rice with cilantro."]</t>
        </is>
      </c>
    </row>
    <row r="634" ht="96" customHeight="1">
      <c r="A634" s="2" t="inlineStr">
        <is>
          <t>DB-0633</t>
        </is>
      </c>
      <c r="B634" s="3" t="inlineStr">
        <is>
          <t>Spinach Artichoke Stuffed Spaghetti Squash</t>
        </is>
      </c>
      <c r="C634" s="4" t="inlineStr">
        <is>
          <t>Vegetarian &amp; Vegan</t>
        </is>
      </c>
      <c r="D634" s="4" t="inlineStr">
        <is>
          <t>American</t>
        </is>
      </c>
      <c r="E634" s="2" t="n">
        <v>4</v>
      </c>
      <c r="F634" s="2" t="n">
        <v>15</v>
      </c>
      <c r="G634" s="2" t="n">
        <v>50</v>
      </c>
      <c r="H634" s="2" t="n">
        <v>65</v>
      </c>
      <c r="I634" s="4" t="inlineStr">
        <is>
          <t>spinach-artichoke-stuffed-spaghetti-squash.jpg</t>
        </is>
      </c>
      <c r="J634" s="3" t="inlineStr">
        <is>
          <t>Spinach Artichoke Stuffed Spaghetti Squash, healthy food photography, plated, natural light</t>
        </is>
      </c>
      <c r="K634" s="4" t="inlineStr"/>
      <c r="L634" s="3" t="inlineStr">
        <is>
          <t>Spaghetti squash, cooked — 1200 g (42.3 oz)
Spinach — 250 g (8.8 oz)
Artichoke hearts, canned in water — 250 g (8.8 oz)
Cream cheese — 60 g (2.1 oz)
Greek yogurt, plain 2% — 120 g (4.2 oz)
Mozzarella, part-skim — 100 g (3.5 oz)
Parmesan, grated — 40 g (1.4 oz)
Garlic — 8 g (0.3 oz)
Cannellini beans, cooked — 200 g (7.1 oz)
Extra-virgin olive oil — 10 g (0.4 oz)
Salt — 3 g (0.1 oz)</t>
        </is>
      </c>
      <c r="M634" s="4" t="inlineStr">
        <is>
          <t>[{"ingredient_id": "spaghetti_squash", "name": "Spaghetti squash, cooked", "grams": 1200.0, "note": ""}, {"ingredient_id": "spinach", "name": "Spinach", "grams": 250.0, "note": ""}, {"ingredient_id": "artichoke_hearts", "name": "Artichoke hearts, canned in water", "grams": 250.0, "note": ""}, {"ingredient_id": "cream_cheese", "name": "Cream cheese", "grams": 60.0, "note": ""}, {"ingredient_id": "greek_yogurt", "name": "Greek yogurt, plain 2%", "grams": 120.0, "note": ""}, {"ingredient_id": "mozzarella", "name": "Mozzarella, part-skim", "grams": 100.0, "note": ""}, {"ingredient_id": "parmesan", "name": "Parmesan, grated", "grams": 40.0, "note": ""}, {"ingredient_id": "garlic", "name": "Garlic", "grams": 8.0, "note": ""}, {"ingredient_id": "white_beans", "name": "Cannellini beans, cooked", "grams": 200.0, "note": ""}, {"ingredient_id": "olive_oil", "name": "Extra-virgin olive oil", "grams": 10.0, "note": ""}, {"ingredient_id": "salt", "name": "Salt", "grams": 3.0, "note": ""}]</t>
        </is>
      </c>
      <c r="N634" s="2" t="n">
        <v>411</v>
      </c>
      <c r="O634" s="5" t="n">
        <v>24.4</v>
      </c>
      <c r="P634" s="5" t="n">
        <v>17.5</v>
      </c>
      <c r="Q634" s="5" t="n">
        <v>45.9</v>
      </c>
      <c r="R634" s="5" t="n">
        <v>12.4</v>
      </c>
      <c r="S634" s="5" t="n">
        <v>33.5</v>
      </c>
      <c r="T634" s="2" t="n">
        <v>21</v>
      </c>
      <c r="U634" s="2" t="inlineStr">
        <is>
          <t>low</t>
        </is>
      </c>
      <c r="V634" s="5" t="n">
        <v>7</v>
      </c>
      <c r="W634" s="2" t="inlineStr">
        <is>
          <t>low</t>
        </is>
      </c>
      <c r="X634" s="3" t="inlineStr"/>
      <c r="Y634" s="3" t="inlineStr">
        <is>
          <t>32% of this dish's available carbohydrate comes from ingredients with a published, measured GI; the rest uses conventional placeholders (see Ingredients sheet)</t>
        </is>
      </c>
      <c r="Z634" s="2" t="n">
        <v>32</v>
      </c>
      <c r="AA634" s="3" t="inlineStr">
        <is>
          <t>vegetarian, gluten-free, nut-free, high-fiber</t>
        </is>
      </c>
      <c r="AB634" s="3" t="inlineStr">
        <is>
          <t>1. Roast halved squash 40 minutes; scrape strands.
2. Mix strands with sautéed spinach and garlic, artichokes, cream cheese, yogurt, beans, half the cheeses.
3. Return to shells; top remaining cheese; broil 4 minutes.</t>
        </is>
      </c>
      <c r="AC634" s="4" t="inlineStr">
        <is>
          <t>["Roast halved squash 40 minutes; scrape strands.", "Mix strands with sautéed spinach and garlic, artichokes, cream cheese, yogurt, beans, half the cheeses.", "Return to shells; top remaining cheese; broil 4 minutes."]</t>
        </is>
      </c>
    </row>
    <row r="635" ht="96" customHeight="1">
      <c r="A635" s="2" t="inlineStr">
        <is>
          <t>DB-0634</t>
        </is>
      </c>
      <c r="B635" s="3" t="inlineStr">
        <is>
          <t>Moroccan Vegetable Tagine with Chickpeas</t>
        </is>
      </c>
      <c r="C635" s="4" t="inlineStr">
        <is>
          <t>Vegetarian &amp; Vegan</t>
        </is>
      </c>
      <c r="D635" s="4" t="inlineStr">
        <is>
          <t>Moroccan</t>
        </is>
      </c>
      <c r="E635" s="2" t="n">
        <v>5</v>
      </c>
      <c r="F635" s="2" t="n">
        <v>15</v>
      </c>
      <c r="G635" s="2" t="n">
        <v>40</v>
      </c>
      <c r="H635" s="2" t="n">
        <v>55</v>
      </c>
      <c r="I635" s="4" t="inlineStr">
        <is>
          <t>moroccan-vegetable-tagine-with-chickpeas.jpg</t>
        </is>
      </c>
      <c r="J635" s="3" t="inlineStr">
        <is>
          <t>Moroccan Vegetable Tagine with Chickpeas, healthy food photography, plated, natural light</t>
        </is>
      </c>
      <c r="K635" s="4" t="inlineStr"/>
      <c r="L635" s="3" t="inlineStr">
        <is>
          <t>Chickpeas, cooked — 400 g (14.1 oz)
Eggplant — 250 g (8.8 oz)
Zucchini — 250 g (8.8 oz)
Carrot — 150 g (5.3 oz)
Bell pepper — 150 g (5.3 oz)
Yellow onion — 120 g (4.2 oz)
Garlic — 10 g (0.4 oz)
Diced tomatoes, canned — 400 g (14.1 oz)
Ground cumin — 4 g (0.1 oz)
Ground coriander — 3 g (0.1 oz)
Ground cinnamon — 2 g (0.1 oz)
Ground turmeric — 2 g (0.1 oz)
Harissa paste — 10 g (0.4 oz)
Extra-virgin olive oil — 20 g (0.7 oz)
Fresh cilantro — 10 g (0.4 oz)
Almonds — 25 g (0.9 oz)
Salt — 3 g (0.1 oz)</t>
        </is>
      </c>
      <c r="M635" s="4" t="inlineStr">
        <is>
          <t>[{"ingredient_id": "chickpeas", "name": "Chickpeas, cooked", "grams": 400.0, "note": ""}, {"ingredient_id": "eggplant", "name": "Eggplant", "grams": 250.0, "note": ""}, {"ingredient_id": "zucchini", "name": "Zucchini", "grams": 250.0, "note": ""}, {"ingredient_id": "carrot", "name": "Carrot", "grams": 150.0, "note": ""}, {"ingredient_id": "bell_pepper", "name": "Bell pepper", "grams": 150.0, "note": ""}, {"ingredient_id": "onion", "name": "Yellow onion", "grams": 120.0, "note": ""}, {"ingredient_id": "garlic", "name": "Garlic", "grams": 10.0, "note": ""}, {"ingredient_id": "diced_tomatoes", "name": "Diced tomatoes, canned", "grams": 400.0, "note": ""}, {"ingredient_id": "cumin", "name": "Ground cumin", "grams": 4.0, "note": ""}, {"ingredient_id": "coriander", "name": "Ground coriander", "grams": 3.0, "note": ""}, {"ingredient_id": "cinnamon", "name": "Ground cinnamon", "grams": 2.0, "note": ""}, {"ingredient_id": "turmeric", "name": "Ground turmeric", "grams": 2.0, "note": ""}, {"ingredient_id": "harissa", "name": "Harissa paste", "grams": 10.0, "note": ""}, {"ingredient_id": "olive_oil", "name": "Extra-virgin olive oil", "grams": 20.0, "note": ""}, {"ingredient_id": "cilantro", "name": "Fresh cilantro", "grams": 10.0, "note": ""}, {"ingredient_id": "almonds", "name": "Almonds", "grams": 25.0, "note": ""}, {"ingredient_id": "salt", "name": "Salt", "grams": 3.0, "note": ""}]</t>
        </is>
      </c>
      <c r="N635" s="2" t="n">
        <v>279</v>
      </c>
      <c r="O635" s="5" t="n">
        <v>11.5</v>
      </c>
      <c r="P635" s="5" t="n">
        <v>9.5</v>
      </c>
      <c r="Q635" s="5" t="n">
        <v>40.4</v>
      </c>
      <c r="R635" s="5" t="n">
        <v>12.6</v>
      </c>
      <c r="S635" s="5" t="n">
        <v>27.8</v>
      </c>
      <c r="T635" s="2" t="n">
        <v>32</v>
      </c>
      <c r="U635" s="2" t="inlineStr">
        <is>
          <t>low</t>
        </is>
      </c>
      <c r="V635" s="5" t="n">
        <v>8.9</v>
      </c>
      <c r="W635" s="2" t="inlineStr">
        <is>
          <t>low</t>
        </is>
      </c>
      <c r="X635" s="3" t="inlineStr"/>
      <c r="Y635" s="3" t="inlineStr">
        <is>
          <t>63% of this dish's available carbohydrate comes from ingredients with a published, measured GI; the rest uses conventional placeholders (see Ingredients sheet)</t>
        </is>
      </c>
      <c r="Z635" s="2" t="n">
        <v>63</v>
      </c>
      <c r="AA635" s="3" t="inlineStr">
        <is>
          <t>vegan, gluten-free, dairy-free, high-fiber, make-ahead</t>
        </is>
      </c>
      <c r="AB635" s="3" t="inlineStr">
        <is>
          <t>1. Sauté onion, garlic, spices in oil.
2. Add vegetables, tomatoes, chickpeas, harissa; simmer covered 25 minutes.
3. Top cilantro and toasted almonds.</t>
        </is>
      </c>
      <c r="AC635" s="4" t="inlineStr">
        <is>
          <t>["Sauté onion, garlic, spices in oil.", "Add vegetables, tomatoes, chickpeas, harissa; simmer covered 25 minutes.", "Top cilantro and toasted almonds."]</t>
        </is>
      </c>
    </row>
    <row r="636" ht="96" customHeight="1">
      <c r="A636" s="2" t="inlineStr">
        <is>
          <t>DB-0635</t>
        </is>
      </c>
      <c r="B636" s="3" t="inlineStr">
        <is>
          <t>Egg White Veggie Frittata with Goat Cheese</t>
        </is>
      </c>
      <c r="C636" s="4" t="inlineStr">
        <is>
          <t>Vegetarian &amp; Vegan</t>
        </is>
      </c>
      <c r="D636" s="4" t="inlineStr">
        <is>
          <t>American</t>
        </is>
      </c>
      <c r="E636" s="2" t="n">
        <v>4</v>
      </c>
      <c r="F636" s="2" t="n">
        <v>10</v>
      </c>
      <c r="G636" s="2" t="n">
        <v>20</v>
      </c>
      <c r="H636" s="2" t="n">
        <v>30</v>
      </c>
      <c r="I636" s="4" t="inlineStr">
        <is>
          <t>egg-white-veggie-frittata-with-goat-cheese.jpg</t>
        </is>
      </c>
      <c r="J636" s="3" t="inlineStr">
        <is>
          <t>Egg White Veggie Frittata with Goat Cheese, healthy food photography, plated, natural light</t>
        </is>
      </c>
      <c r="K636" s="4" t="inlineStr"/>
      <c r="L636" s="3" t="inlineStr">
        <is>
          <t>Egg whites — 400 g (14.1 oz)
Egg, large (50 g each) — 100 g (3.5 oz)
Asparagus — 200 g (7.1 oz)
Cherry tomatoes — 150 g (5.3 oz)
Spinach — 80 g (2.8 oz)
Goat cheese — 60 g (2.1 oz)
Fresh chives — 5 g (0.2 oz)
Extra-virgin olive oil — 10 g (0.4 oz)
Salt — 2 g (0.1 oz)</t>
        </is>
      </c>
      <c r="M636" s="4" t="inlineStr">
        <is>
          <t>[{"ingredient_id": "egg_white", "name": "Egg whites", "grams": 400.0, "note": ""}, {"ingredient_id": "egg", "name": "Egg, large (50 g each)", "grams": 100.0, "note": ""}, {"ingredient_id": "asparagus", "name": "Asparagus", "grams": 200.0, "note": ""}, {"ingredient_id": "cherry_tomato", "name": "Cherry tomatoes", "grams": 150.0, "note": ""}, {"ingredient_id": "spinach", "name": "Spinach", "grams": 80.0, "note": ""}, {"ingredient_id": "goat_cheese", "name": "Goat cheese", "grams": 60.0, "note": ""}, {"ingredient_id": "chives", "name": "Fresh chives", "grams": 5.0, "note": ""}, {"ingredient_id": "olive_oil", "name": "Extra-virgin olive oil", "grams": 10.0, "note": ""}, {"ingredient_id": "salt", "name": "Salt", "grams": 2.0, "note": ""}]</t>
        </is>
      </c>
      <c r="N636" s="2" t="n">
        <v>186</v>
      </c>
      <c r="O636" s="5" t="n">
        <v>19.5</v>
      </c>
      <c r="P636" s="5" t="n">
        <v>9.800000000000001</v>
      </c>
      <c r="Q636" s="5" t="n">
        <v>5.1</v>
      </c>
      <c r="R636" s="5" t="n">
        <v>2</v>
      </c>
      <c r="S636" s="5" t="n">
        <v>3.1</v>
      </c>
      <c r="T636" s="2" t="n">
        <v>11</v>
      </c>
      <c r="U636" s="2" t="inlineStr">
        <is>
          <t>low</t>
        </is>
      </c>
      <c r="V636" s="5" t="n">
        <v>0.3</v>
      </c>
      <c r="W636" s="2" t="inlineStr">
        <is>
          <t>low</t>
        </is>
      </c>
      <c r="X636" s="3" t="inlineStr">
        <is>
          <t>Negligible carbohydrate (&lt;5 g net/serving): GI has little practical meaning, glycemic load is what matters.</t>
        </is>
      </c>
      <c r="Y636" s="3" t="inlineStr">
        <is>
          <t>0% of this dish's available carbohydrate comes from ingredients with a published, measured GI; the rest uses conventional placeholders (see Ingredients sheet)</t>
        </is>
      </c>
      <c r="Z636" s="2" t="n">
        <v>0</v>
      </c>
      <c r="AA636" s="3" t="inlineStr">
        <is>
          <t>vegetarian, gluten-free, nut-free, low-carb</t>
        </is>
      </c>
      <c r="AB636" s="3" t="inlineStr">
        <is>
          <t>1. Sauté asparagus in oil in an ovenproof skillet 4 minutes; add spinach.
2. Pour in whisked egg whites and eggs with salt; add tomatoes, dot goat cheese.
3. Bake at 375°F 15 minutes; chives.</t>
        </is>
      </c>
      <c r="AC636" s="4" t="inlineStr">
        <is>
          <t>["Sauté asparagus in oil in an ovenproof skillet 4 minutes; add spinach.", "Pour in whisked egg whites and eggs with salt; add tomatoes, dot goat cheese.", "Bake at 375°F 15 minutes; chives."]</t>
        </is>
      </c>
    </row>
    <row r="637" ht="96" customHeight="1">
      <c r="A637" s="2" t="inlineStr">
        <is>
          <t>DB-0636</t>
        </is>
      </c>
      <c r="B637" s="3" t="inlineStr">
        <is>
          <t>Peanut Tofu Lettuce Wraps</t>
        </is>
      </c>
      <c r="C637" s="4" t="inlineStr">
        <is>
          <t>Vegetarian &amp; Vegan</t>
        </is>
      </c>
      <c r="D637" s="4" t="inlineStr">
        <is>
          <t>Thai</t>
        </is>
      </c>
      <c r="E637" s="2" t="n">
        <v>4</v>
      </c>
      <c r="F637" s="2" t="n">
        <v>10</v>
      </c>
      <c r="G637" s="2" t="n">
        <v>10</v>
      </c>
      <c r="H637" s="2" t="n">
        <v>20</v>
      </c>
      <c r="I637" s="4" t="inlineStr">
        <is>
          <t>peanut-tofu-lettuce-wraps.jpg</t>
        </is>
      </c>
      <c r="J637" s="3" t="inlineStr">
        <is>
          <t>Peanut Tofu Lettuce Wraps, healthy food photography, plated, natural light</t>
        </is>
      </c>
      <c r="K637" s="4" t="inlineStr"/>
      <c r="L637" s="3" t="inlineStr">
        <is>
          <t>Tofu, extra-firm — 500 g (17.6 oz)
Peanut butter, natural — 40 g (1.4 oz)
Tamari (gluten-free soy sauce) — 25 g (0.9 oz)
Lime juice — 20 g (0.7 oz)
Sriracha — 6 g (0.2 oz)
Garlic — 6 g (0.2 oz)
Carrot — 100 g (3.5 oz)
Cucumber — 100 g (3.5 oz)
Red cabbage — 80 g (2.8 oz)
Fresh cilantro — 8 g (0.3 oz)
Butter lettuce — 200 g (7.1 oz)
Peanuts, dry roasted — 15 g (0.5 oz)
Avocado oil — 12 g (0.4 oz)</t>
        </is>
      </c>
      <c r="M637" s="4" t="inlineStr">
        <is>
          <t>[{"ingredient_id": "tofu", "name": "Tofu, extra-firm", "grams": 500.0, "note": ""}, {"ingredient_id": "peanut_butter", "name": "Peanut butter, natural", "grams": 40.0, "note": ""}, {"ingredient_id": "tamari", "name": "Tamari (gluten-free soy sauce)", "grams": 25.0, "note": ""}, {"ingredient_id": "lime_juice", "name": "Lime juice", "grams": 20.0, "note": ""}, {"ingredient_id": "sriracha", "name": "Sriracha", "grams": 6.0, "note": ""}, {"ingredient_id": "garlic", "name": "Garlic", "grams": 6.0, "note": ""}, {"ingredient_id": "carrot", "name": "Carrot", "grams": 100.0, "note": ""}, {"ingredient_id": "cucumber", "name": "Cucumber", "grams": 100.0, "note": ""}, {"ingredient_id": "red_cabbage", "name": "Red cabbage", "grams": 80.0, "note": ""}, {"ingredient_id": "cilantro", "name": "Fresh cilantro", "grams": 8.0, "note": ""}, {"ingredient_id": "butter_lettuce", "name": "Butter lettuce", "grams": 200.0, "note": ""}, {"ingredient_id": "peanuts", "name": "Peanuts, dry roasted", "grams": 15.0, "note": ""}, {"ingredient_id": "avocado_oil", "name": "Avocado oil", "grams": 12.0, "note": ""}]</t>
        </is>
      </c>
      <c r="N637" s="2" t="n">
        <v>322</v>
      </c>
      <c r="O637" s="5" t="n">
        <v>26.9</v>
      </c>
      <c r="P637" s="5" t="n">
        <v>21.3</v>
      </c>
      <c r="Q637" s="5" t="n">
        <v>13.8</v>
      </c>
      <c r="R637" s="5" t="n">
        <v>5.4</v>
      </c>
      <c r="S637" s="5" t="n">
        <v>8.4</v>
      </c>
      <c r="T637" s="2" t="n">
        <v>21</v>
      </c>
      <c r="U637" s="2" t="inlineStr">
        <is>
          <t>low</t>
        </is>
      </c>
      <c r="V637" s="5" t="n">
        <v>1.8</v>
      </c>
      <c r="W637" s="2" t="inlineStr">
        <is>
          <t>low</t>
        </is>
      </c>
      <c r="X637" s="3" t="inlineStr"/>
      <c r="Y637" s="3" t="inlineStr">
        <is>
          <t>24% of this dish's available carbohydrate comes from ingredients with a published, measured GI; the rest uses conventional placeholders (see Ingredients sheet)</t>
        </is>
      </c>
      <c r="Z637" s="2" t="n">
        <v>24</v>
      </c>
      <c r="AA637" s="3" t="inlineStr">
        <is>
          <t>vegan, gluten-free, dairy-free, low-carb, high-protein</t>
        </is>
      </c>
      <c r="AB637" s="3" t="inlineStr">
        <is>
          <t>1. Crumble tofu; pan-fry in oil 8 minutes until browned.
2. Whisk peanut butter, tamari, lime, sriracha, garlic, water; toss half with tofu.
3. Fill lettuce; add vegetables; drizzle remaining sauce; peanuts.</t>
        </is>
      </c>
      <c r="AC637" s="4" t="inlineStr">
        <is>
          <t>["Crumble tofu; pan-fry in oil 8 minutes until browned.", "Whisk peanut butter, tamari, lime, sriracha, garlic, water; toss half with tofu.", "Fill lettuce; add vegetables; drizzle remaining sauce; peanuts."]</t>
        </is>
      </c>
    </row>
    <row r="638" ht="96" customHeight="1">
      <c r="A638" s="2" t="inlineStr">
        <is>
          <t>DB-0637</t>
        </is>
      </c>
      <c r="B638" s="3" t="inlineStr">
        <is>
          <t>Greek Lentil Moussaka-Style Bake</t>
        </is>
      </c>
      <c r="C638" s="4" t="inlineStr">
        <is>
          <t>Vegetarian &amp; Vegan</t>
        </is>
      </c>
      <c r="D638" s="4" t="inlineStr">
        <is>
          <t>Greek</t>
        </is>
      </c>
      <c r="E638" s="2" t="n">
        <v>6</v>
      </c>
      <c r="F638" s="2" t="n">
        <v>20</v>
      </c>
      <c r="G638" s="2" t="n">
        <v>55</v>
      </c>
      <c r="H638" s="2" t="n">
        <v>75</v>
      </c>
      <c r="I638" s="4" t="inlineStr">
        <is>
          <t>greek-lentil-moussaka-style-bake.jpg</t>
        </is>
      </c>
      <c r="J638" s="3" t="inlineStr">
        <is>
          <t>Greek Lentil Moussaka-Style Bake, healthy food photography, plated, natural light</t>
        </is>
      </c>
      <c r="K638" s="4" t="inlineStr"/>
      <c r="L638" s="3" t="inlineStr">
        <is>
          <t>Eggplant — 800 g (28.2 oz)
Lentils, cooked — 500 g (17.6 oz)
Yellow onion — 120 g (4.2 oz)
Garlic — 8 g (0.3 oz)
Crushed tomatoes, canned — 400 g (14.1 oz)
Ground cinnamon — 2 g (0.1 oz)
Dried oregano — 2 g (0.1 oz)
Extra-virgin olive oil — 25 g (0.9 oz)
Greek yogurt, plain 2% — 300 g (10.6 oz)
Egg, large (50 g each) — 100 g (3.5 oz)
Parmesan, grated — 50 g (1.8 oz)
Ground nutmeg — 0.3 g (0.0 oz)
Salt — 3 g (0.1 oz)</t>
        </is>
      </c>
      <c r="M638" s="4" t="inlineStr">
        <is>
          <t>[{"ingredient_id": "eggplant", "name": "Eggplant", "grams": 800.0, "note": ""}, {"ingredient_id": "lentils", "name": "Lentils, cooked", "grams": 500.0, "note": ""}, {"ingredient_id": "onion", "name": "Yellow onion", "grams": 120.0, "note": ""}, {"ingredient_id": "garlic", "name": "Garlic", "grams": 8.0, "note": ""}, {"ingredient_id": "crushed_tomatoes", "name": "Crushed tomatoes, canned", "grams": 400.0, "note": ""}, {"ingredient_id": "cinnamon", "name": "Ground cinnamon", "grams": 2.0, "note": ""}, {"ingredient_id": "oregano", "name": "Dried oregano", "grams": 2.0, "note": ""}, {"ingredient_id": "olive_oil", "name": "Extra-virgin olive oil", "grams": 25.0, "note": ""}, {"ingredient_id": "greek_yogurt", "name": "Greek yogurt, plain 2%", "grams": 300.0, "note": ""}, {"ingredient_id": "egg", "name": "Egg, large (50 g each)", "grams": 100.0, "note": ""}, {"ingredient_id": "parmesan", "name": "Parmesan, grated", "grams": 50.0, "note": ""}, {"ingredient_id": "nutmeg", "name": "Ground nutmeg", "grams": 0.3, "note": ""}, {"ingredient_id": "salt", "name": "Salt", "grams": 3.0, "note": ""}]</t>
        </is>
      </c>
      <c r="N638" s="2" t="n">
        <v>296</v>
      </c>
      <c r="O638" s="5" t="n">
        <v>20.5</v>
      </c>
      <c r="P638" s="5" t="n">
        <v>10</v>
      </c>
      <c r="Q638" s="5" t="n">
        <v>34.6</v>
      </c>
      <c r="R638" s="5" t="n">
        <v>12.5</v>
      </c>
      <c r="S638" s="5" t="n">
        <v>22.1</v>
      </c>
      <c r="T638" s="2" t="n">
        <v>27</v>
      </c>
      <c r="U638" s="2" t="inlineStr">
        <is>
          <t>low</t>
        </is>
      </c>
      <c r="V638" s="5" t="n">
        <v>6</v>
      </c>
      <c r="W638" s="2" t="inlineStr">
        <is>
          <t>low</t>
        </is>
      </c>
      <c r="X638" s="3" t="inlineStr"/>
      <c r="Y638" s="3" t="inlineStr">
        <is>
          <t>55% of this dish's available carbohydrate comes from ingredients with a published, measured GI; the rest uses conventional placeholders (see Ingredients sheet)</t>
        </is>
      </c>
      <c r="Z638" s="2" t="n">
        <v>55</v>
      </c>
      <c r="AA638" s="3" t="inlineStr">
        <is>
          <t>vegetarian, gluten-free, nut-free, high-fiber, make-ahead</t>
        </is>
      </c>
      <c r="AB638" s="3" t="inlineStr">
        <is>
          <t>1. Roast eggplant slices with oil 20 minutes.
2. Simmer lentils with onion, garlic, tomatoes, cinnamon, oregano 10 minutes.
3. Layer; top yogurt whisked with eggs, parmesan, nutmeg; bake at 375°F 30 minutes.</t>
        </is>
      </c>
      <c r="AC638" s="4" t="inlineStr">
        <is>
          <t>["Roast eggplant slices with oil 20 minutes.", "Simmer lentils with onion, garlic, tomatoes, cinnamon, oregano 10 minutes.", "Layer; top yogurt whisked with eggs, parmesan, nutmeg; bake at 375°F 30 minutes."]</t>
        </is>
      </c>
    </row>
    <row r="639" ht="96" customHeight="1">
      <c r="A639" s="2" t="inlineStr">
        <is>
          <t>DB-0638</t>
        </is>
      </c>
      <c r="B639" s="3" t="inlineStr">
        <is>
          <t>Veggie Burger Bowls with Hummus</t>
        </is>
      </c>
      <c r="C639" s="4" t="inlineStr">
        <is>
          <t>Vegetarian &amp; Vegan</t>
        </is>
      </c>
      <c r="D639" s="4" t="inlineStr">
        <is>
          <t>American</t>
        </is>
      </c>
      <c r="E639" s="2" t="n">
        <v>4</v>
      </c>
      <c r="F639" s="2" t="n">
        <v>15</v>
      </c>
      <c r="G639" s="2" t="n">
        <v>15</v>
      </c>
      <c r="H639" s="2" t="n">
        <v>30</v>
      </c>
      <c r="I639" s="4" t="inlineStr">
        <is>
          <t>veggie-burger-bowls-with-hummus.jpg</t>
        </is>
      </c>
      <c r="J639" s="3" t="inlineStr">
        <is>
          <t>Veggie Burger Bowls with Hummus, healthy food photography, plated, natural light</t>
        </is>
      </c>
      <c r="K639" s="4" t="inlineStr"/>
      <c r="L639" s="3" t="inlineStr">
        <is>
          <t>Chickpeas, cooked — 400 g (14.1 oz)
Rolled oats, dry — 50 g (1.8 oz)
Egg, large (50 g each) — 50 g (1.8 oz)
Garlic — 6 g (0.2 oz)
Ground cumin — 3 g (0.1 oz)
Fresh parsley — 10 g (0.4 oz)
Extra-virgin olive oil — 15 g (0.5 oz)
Hummus — 150 g (5.3 oz)
Mixed salad greens — 200 g (7.1 oz)
Cucumber — 150 g (5.3 oz)
Cherry tomatoes — 150 g (5.3 oz)
Olives (kalamata/green) — 30 g (1.1 oz)
Lemon (with juice &amp; zest) — 30 g (1.1 oz)
Salt — 3 g (0.1 oz)</t>
        </is>
      </c>
      <c r="M639" s="4" t="inlineStr">
        <is>
          <t>[{"ingredient_id": "chickpeas", "name": "Chickpeas, cooked", "grams": 400.0, "note": ""}, {"ingredient_id": "rolled_oats", "name": "Rolled oats, dry", "grams": 50.0, "note": ""}, {"ingredient_id": "egg", "name": "Egg, large (50 g each)", "grams": 50.0, "note": ""}, {"ingredient_id": "garlic", "name": "Garlic", "grams": 6.0, "note": ""}, {"ingredient_id": "cumin", "name": "Ground cumin", "grams": 3.0, "note": ""}, {"ingredient_id": "parsley", "name": "Fresh parsley", "grams": 10.0, "note": ""}, {"ingredient_id": "olive_oil", "name": "Extra-virgin olive oil", "grams": 15.0, "note": ""}, {"ingredient_id": "hummus", "name": "Hummus", "grams": 150.0, "note": ""}, {"ingredient_id": "mixed_greens", "name": "Mixed salad greens", "grams": 200.0, "note": ""}, {"ingredient_id": "cucumber", "name": "Cucumber", "grams": 150.0, "note": ""}, {"ingredient_id": "cherry_tomato", "name": "Cherry tomatoes", "grams": 150.0, "note": ""}, {"ingredient_id": "olives", "name": "Olives (kalamata/green)", "grams": 30.0, "note": ""}, {"ingredient_id": "lemon", "name": "Lemon (with juice &amp; zest)", "grams": 30.0, "note": ""}, {"ingredient_id": "salt", "name": "Salt", "grams": 3.0, "note": ""}]</t>
        </is>
      </c>
      <c r="N639" s="2" t="n">
        <v>364</v>
      </c>
      <c r="O639" s="5" t="n">
        <v>17.1</v>
      </c>
      <c r="P639" s="5" t="n">
        <v>13.3</v>
      </c>
      <c r="Q639" s="5" t="n">
        <v>47.5</v>
      </c>
      <c r="R639" s="5" t="n">
        <v>13.4</v>
      </c>
      <c r="S639" s="5" t="n">
        <v>34.1</v>
      </c>
      <c r="T639" s="2" t="n">
        <v>37</v>
      </c>
      <c r="U639" s="2" t="inlineStr">
        <is>
          <t>low</t>
        </is>
      </c>
      <c r="V639" s="5" t="n">
        <v>12.6</v>
      </c>
      <c r="W639" s="2" t="inlineStr">
        <is>
          <t>medium</t>
        </is>
      </c>
      <c r="X639" s="3" t="inlineStr"/>
      <c r="Y639" s="3" t="inlineStr">
        <is>
          <t>87% of this dish's available carbohydrate comes from ingredients with a published, measured GI; the rest uses conventional placeholders (see Ingredients sheet)</t>
        </is>
      </c>
      <c r="Z639" s="2" t="n">
        <v>87</v>
      </c>
      <c r="AA639" s="3" t="inlineStr">
        <is>
          <t>vegetarian, dairy-free, nut-free, high-fiber</t>
        </is>
      </c>
      <c r="AB639" s="3" t="inlineStr">
        <is>
          <t>1. Mash chickpeas with oats, egg, garlic, cumin, parsley, salt; form patties; pan-fry 5 minutes per side.
2. Bowl greens, cucumber, tomato, olives.
3. Add patties and hummus; lemon.</t>
        </is>
      </c>
      <c r="AC639" s="4" t="inlineStr">
        <is>
          <t>["Mash chickpeas with oats, egg, garlic, cumin, parsley, salt; form patties; pan-fry 5 minutes per side.", "Bowl greens, cucumber, tomato, olives.", "Add patties and hummus; lemon."]</t>
        </is>
      </c>
    </row>
    <row r="640" ht="96" customHeight="1">
      <c r="A640" s="2" t="inlineStr">
        <is>
          <t>DB-0639</t>
        </is>
      </c>
      <c r="B640" s="3" t="inlineStr">
        <is>
          <t>Tofu &amp; Vegetable Skewers with Chimichurri</t>
        </is>
      </c>
      <c r="C640" s="4" t="inlineStr">
        <is>
          <t>Vegetarian &amp; Vegan</t>
        </is>
      </c>
      <c r="D640" s="4" t="inlineStr">
        <is>
          <t>Argentinian</t>
        </is>
      </c>
      <c r="E640" s="2" t="n">
        <v>4</v>
      </c>
      <c r="F640" s="2" t="n">
        <v>15</v>
      </c>
      <c r="G640" s="2" t="n">
        <v>12</v>
      </c>
      <c r="H640" s="2" t="n">
        <v>27</v>
      </c>
      <c r="I640" s="4" t="inlineStr">
        <is>
          <t>tofu-and-vegetable-skewers-with-chimichurri.jpg</t>
        </is>
      </c>
      <c r="J640" s="3" t="inlineStr">
        <is>
          <t>Tofu &amp; Vegetable Skewers with Chimichurri, healthy food photography, plated, natural light</t>
        </is>
      </c>
      <c r="K640" s="4" t="inlineStr"/>
      <c r="L640" s="3" t="inlineStr">
        <is>
          <t>Tofu, extra-firm — 500 g (17.6 oz)
Zucchini — 250 g (8.8 oz)
Bell pepper — 200 g (7.1 oz)
Mushrooms (cremini/white) — 200 g (7.1 oz)
Red onion — 100 g (3.5 oz)
Fresh parsley — 30 g (1.1 oz)
Fresh cilantro — 10 g (0.4 oz)
Garlic — 8 g (0.3 oz)
Red wine vinegar — 15 g (0.5 oz)
Extra-virgin olive oil — 40 g (1.4 oz)
Dried oregano — 2 g (0.1 oz)
Salt — 3 g (0.1 oz)</t>
        </is>
      </c>
      <c r="M640" s="4" t="inlineStr">
        <is>
          <t>[{"ingredient_id": "tofu", "name": "Tofu, extra-firm", "grams": 500.0, "note": ""}, {"ingredient_id": "zucchini", "name": "Zucchini", "grams": 250.0, "note": ""}, {"ingredient_id": "bell_pepper", "name": "Bell pepper", "grams": 200.0, "note": ""}, {"ingredient_id": "mushrooms", "name": "Mushrooms (cremini/white)", "grams": 200.0, "note": ""}, {"ingredient_id": "red_onion", "name": "Red onion", "grams": 100.0, "note": ""}, {"ingredient_id": "parsley", "name": "Fresh parsley", "grams": 30.0, "note": ""}, {"ingredient_id": "cilantro", "name": "Fresh cilantro", "grams": 10.0, "note": ""}, {"ingredient_id": "garlic", "name": "Garlic", "grams": 8.0, "note": ""}, {"ingredient_id": "red_wine_vinegar", "name": "Red wine vinegar", "grams": 15.0, "note": ""}, {"ingredient_id": "olive_oil", "name": "Extra-virgin olive oil", "grams": 40.0, "note": ""}, {"ingredient_id": "oregano", "name": "Dried oregano", "grams": 2.0, "note": ""}, {"ingredient_id": "salt", "name": "Salt", "grams": 3.0, "note": ""}]</t>
        </is>
      </c>
      <c r="N640" s="2" t="n">
        <v>324</v>
      </c>
      <c r="O640" s="5" t="n">
        <v>24.8</v>
      </c>
      <c r="P640" s="5" t="n">
        <v>21.9</v>
      </c>
      <c r="Q640" s="5" t="n">
        <v>14.2</v>
      </c>
      <c r="R640" s="5" t="n">
        <v>5.7</v>
      </c>
      <c r="S640" s="5" t="n">
        <v>8.6</v>
      </c>
      <c r="T640" s="2" t="n">
        <v>16</v>
      </c>
      <c r="U640" s="2" t="inlineStr">
        <is>
          <t>low</t>
        </is>
      </c>
      <c r="V640" s="5" t="n">
        <v>1.4</v>
      </c>
      <c r="W640" s="2" t="inlineStr">
        <is>
          <t>low</t>
        </is>
      </c>
      <c r="X640" s="3" t="inlineStr"/>
      <c r="Y640" s="3" t="inlineStr">
        <is>
          <t>0% of this dish's available carbohydrate comes from ingredients with a published, measured GI; the rest uses conventional placeholders (see Ingredients sheet)</t>
        </is>
      </c>
      <c r="Z640" s="2" t="n">
        <v>0</v>
      </c>
      <c r="AA640" s="3" t="inlineStr">
        <is>
          <t>vegan, gluten-free, dairy-free, nut-free, low-carb</t>
        </is>
      </c>
      <c r="AB640" s="3" t="inlineStr">
        <is>
          <t>1. Thread pressed tofu and vegetables; brush with a third of the oil; grill 10–12 minutes.
2. Blend remaining oil, herbs, garlic, vinegar, oregano, salt.
3. Spoon over skewers.</t>
        </is>
      </c>
      <c r="AC640" s="4" t="inlineStr">
        <is>
          <t>["Thread pressed tofu and vegetables; brush with a third of the oil; grill 10–12 minutes.", "Blend remaining oil, herbs, garlic, vinegar, oregano, salt.", "Spoon over skewers."]</t>
        </is>
      </c>
    </row>
    <row r="641" ht="96" customHeight="1">
      <c r="A641" s="2" t="inlineStr">
        <is>
          <t>DB-0640</t>
        </is>
      </c>
      <c r="B641" s="3" t="inlineStr">
        <is>
          <t>Cabbage &amp; Mushroom Stir-Fry with Eggs</t>
        </is>
      </c>
      <c r="C641" s="4" t="inlineStr">
        <is>
          <t>Vegetarian &amp; Vegan</t>
        </is>
      </c>
      <c r="D641" s="4" t="inlineStr">
        <is>
          <t>Chinese</t>
        </is>
      </c>
      <c r="E641" s="2" t="n">
        <v>3</v>
      </c>
      <c r="F641" s="2" t="n">
        <v>10</v>
      </c>
      <c r="G641" s="2" t="n">
        <v>12</v>
      </c>
      <c r="H641" s="2" t="n">
        <v>22</v>
      </c>
      <c r="I641" s="4" t="inlineStr">
        <is>
          <t>cabbage-and-mushroom-stir-fry-with-eggs.jpg</t>
        </is>
      </c>
      <c r="J641" s="3" t="inlineStr">
        <is>
          <t>Cabbage &amp; Mushroom Stir-Fry with Eggs, healthy food photography, plated, natural light</t>
        </is>
      </c>
      <c r="K641" s="4" t="inlineStr"/>
      <c r="L641" s="3" t="inlineStr">
        <is>
          <t>Green cabbage — 500 g (17.6 oz)
Mushrooms (cremini/white) — 250 g (8.8 oz)
Egg, large (50 g each) — 200 g (7.1 oz)
Garlic — 8 g (0.3 oz)
Fresh ginger — 6 g (0.2 oz)
Tamari (gluten-free soy sauce) — 25 g (0.9 oz)
Rice vinegar, unseasoned — 10 g (0.4 oz)
Toasted sesame oil — 8 g (0.3 oz)
Avocado oil — 12 g (0.4 oz)
Green onions (scallions) — 15 g (0.5 oz)
Chili crisp (small amount) — 8 g (0.3 oz)</t>
        </is>
      </c>
      <c r="M641" s="4" t="inlineStr">
        <is>
          <t>[{"ingredient_id": "cabbage", "name": "Green cabbage", "grams": 500.0, "note": ""}, {"ingredient_id": "mushrooms", "name": "Mushrooms (cremini/white)", "grams": 250.0, "note": ""}, {"ingredient_id": "egg", "name": "Egg, large (50 g each)", "grams": 200.0, "note": ""}, {"ingredient_id": "garlic", "name": "Garlic", "grams": 8.0, "note": ""}, {"ingredient_id": "ginger", "name": "Fresh ginger", "grams": 6.0, "note": ""}, {"ingredient_id": "tamari", "name": "Tamari (gluten-free soy sauce)", "grams": 25.0, "note": ""}, {"ingredient_id": "rice_vinegar", "name": "Rice vinegar, unseasoned", "grams": 10.0, "note": ""}, {"ingredient_id": "sesame_oil", "name": "Toasted sesame oil", "grams": 8.0, "note": ""}, {"ingredient_id": "avocado_oil", "name": "Avocado oil", "grams": 12.0, "note": ""}, {"ingredient_id": "green_onion", "name": "Green onions (scallions)", "grams": 15.0, "note": ""}, {"ingredient_id": "chili_crisp", "name": "Chili crisp (small amount)", "grams": 8.0, "note": ""}]</t>
        </is>
      </c>
      <c r="N641" s="2" t="n">
        <v>240</v>
      </c>
      <c r="O641" s="5" t="n">
        <v>14.4</v>
      </c>
      <c r="P641" s="5" t="n">
        <v>14.8</v>
      </c>
      <c r="Q641" s="5" t="n">
        <v>15.2</v>
      </c>
      <c r="R641" s="5" t="n">
        <v>5.4</v>
      </c>
      <c r="S641" s="5" t="n">
        <v>9.800000000000001</v>
      </c>
      <c r="T641" s="2" t="n">
        <v>16</v>
      </c>
      <c r="U641" s="2" t="inlineStr">
        <is>
          <t>low</t>
        </is>
      </c>
      <c r="V641" s="5" t="n">
        <v>1.6</v>
      </c>
      <c r="W641" s="2" t="inlineStr">
        <is>
          <t>low</t>
        </is>
      </c>
      <c r="X641" s="3" t="inlineStr"/>
      <c r="Y641" s="3" t="inlineStr">
        <is>
          <t>0% of this dish's available carbohydrate comes from ingredients with a published, measured GI; the rest uses conventional placeholders (see Ingredients sheet)</t>
        </is>
      </c>
      <c r="Z641" s="2" t="n">
        <v>0</v>
      </c>
      <c r="AA641" s="3" t="inlineStr">
        <is>
          <t>vegetarian, gluten-free, dairy-free, nut-free, low-carb, quick</t>
        </is>
      </c>
      <c r="AB641" s="3" t="inlineStr">
        <is>
          <t>1. Scramble eggs in oil; remove.
2. Stir-fry mushrooms until browned; add garlic, ginger, cabbage 5 minutes.
3. Return eggs; add tamari, vinegar, sesame oil, green onion, chili crisp.</t>
        </is>
      </c>
      <c r="AC641" s="4" t="inlineStr">
        <is>
          <t>["Scramble eggs in oil; remove.", "Stir-fry mushrooms until browned; add garlic, ginger, cabbage 5 minutes.", "Return eggs; add tamari, vinegar, sesame oil, green onion, chili crisp."]</t>
        </is>
      </c>
    </row>
    <row r="642" ht="96" customHeight="1">
      <c r="A642" s="2" t="inlineStr">
        <is>
          <t>DB-0641</t>
        </is>
      </c>
      <c r="B642" s="3" t="inlineStr">
        <is>
          <t>Mediterranean Baked Feta with Chickpeas &amp; Tomatoes</t>
        </is>
      </c>
      <c r="C642" s="4" t="inlineStr">
        <is>
          <t>Vegetarian &amp; Vegan</t>
        </is>
      </c>
      <c r="D642" s="4" t="inlineStr">
        <is>
          <t>Greek</t>
        </is>
      </c>
      <c r="E642" s="2" t="n">
        <v>4</v>
      </c>
      <c r="F642" s="2" t="n">
        <v>5</v>
      </c>
      <c r="G642" s="2" t="n">
        <v>25</v>
      </c>
      <c r="H642" s="2" t="n">
        <v>30</v>
      </c>
      <c r="I642" s="4" t="inlineStr">
        <is>
          <t>mediterranean-baked-feta-with-chickpeas-and-tomatoes.jpg</t>
        </is>
      </c>
      <c r="J642" s="3" t="inlineStr">
        <is>
          <t>Mediterranean Baked Feta with Chickpeas &amp; Tomatoes, healthy food photography, plated, natural light</t>
        </is>
      </c>
      <c r="K642" s="4" t="inlineStr"/>
      <c r="L642" s="3" t="inlineStr">
        <is>
          <t>Feta cheese — 200 g (7.1 oz) [block]
Chickpeas, cooked — 400 g (14.1 oz)
Cherry tomatoes — 400 g (14.1 oz)
Olives (kalamata/green) — 40 g (1.4 oz)
Garlic — 8 g (0.3 oz)
Extra-virgin olive oil — 25 g (0.9 oz)
Dried oregano — 3 g (0.1 oz)
Red pepper flakes — 1 g (0.0 oz)
Fresh basil — 8 g (0.3 oz)
Spinach — 150 g (5.3 oz)</t>
        </is>
      </c>
      <c r="M642" s="4" t="inlineStr">
        <is>
          <t>[{"ingredient_id": "feta", "name": "Feta cheese", "grams": 200.0, "note": "block"}, {"ingredient_id": "chickpeas", "name": "Chickpeas, cooked", "grams": 400.0, "note": ""}, {"ingredient_id": "cherry_tomato", "name": "Cherry tomatoes", "grams": 400.0, "note": ""}, {"ingredient_id": "olives", "name": "Olives (kalamata/green)", "grams": 40.0, "note": ""}, {"ingredient_id": "garlic", "name": "Garlic", "grams": 8.0, "note": ""}, {"ingredient_id": "olive_oil", "name": "Extra-virgin olive oil", "grams": 25.0, "note": ""}, {"ingredient_id": "oregano", "name": "Dried oregano", "grams": 3.0, "note": ""}, {"ingredient_id": "red_pepper_flakes", "name": "Red pepper flakes", "grams": 1.0, "note": ""}, {"ingredient_id": "basil", "name": "Fresh basil", "grams": 8.0, "note": ""}, {"ingredient_id": "spinach", "name": "Spinach", "grams": 150.0, "note": ""}]</t>
        </is>
      </c>
      <c r="N642" s="2" t="n">
        <v>396</v>
      </c>
      <c r="O642" s="5" t="n">
        <v>18.3</v>
      </c>
      <c r="P642" s="5" t="n">
        <v>20.9</v>
      </c>
      <c r="Q642" s="5" t="n">
        <v>36.2</v>
      </c>
      <c r="R642" s="5" t="n">
        <v>10.4</v>
      </c>
      <c r="S642" s="5" t="n">
        <v>25.8</v>
      </c>
      <c r="T642" s="2" t="n">
        <v>31</v>
      </c>
      <c r="U642" s="2" t="inlineStr">
        <is>
          <t>low</t>
        </is>
      </c>
      <c r="V642" s="5" t="n">
        <v>8</v>
      </c>
      <c r="W642" s="2" t="inlineStr">
        <is>
          <t>low</t>
        </is>
      </c>
      <c r="X642" s="3" t="inlineStr"/>
      <c r="Y642" s="3" t="inlineStr">
        <is>
          <t>75% of this dish's available carbohydrate comes from ingredients with a published, measured GI; the rest uses conventional placeholders (see Ingredients sheet)</t>
        </is>
      </c>
      <c r="Z642" s="2" t="n">
        <v>75</v>
      </c>
      <c r="AA642" s="3" t="inlineStr">
        <is>
          <t>vegetarian, gluten-free, nut-free, high-fiber, one-pan</t>
        </is>
      </c>
      <c r="AB642" s="3" t="inlineStr">
        <is>
          <t>1. Place feta in a dish surrounded by tomatoes, chickpeas, olives, garlic; drizzle oil, oregano, pepper flakes.
2. Bake at 400°F 25 minutes until tomatoes burst.
3. Stir in spinach and basil; mash feta into the sauce.</t>
        </is>
      </c>
      <c r="AC642" s="4" t="inlineStr">
        <is>
          <t>["Place feta in a dish surrounded by tomatoes, chickpeas, olives, garlic; drizzle oil, oregano, pepper flakes.", "Bake at 400°F 25 minutes until tomatoes burst.", "Stir in spinach and basil; mash feta into the sauce."]</t>
        </is>
      </c>
    </row>
    <row r="643" ht="96" customHeight="1">
      <c r="A643" s="2" t="inlineStr">
        <is>
          <t>DB-0642</t>
        </is>
      </c>
      <c r="B643" s="3" t="inlineStr">
        <is>
          <t>Edamame Fried Cauliflower Rice</t>
        </is>
      </c>
      <c r="C643" s="4" t="inlineStr">
        <is>
          <t>Vegetarian &amp; Vegan</t>
        </is>
      </c>
      <c r="D643" s="4" t="inlineStr">
        <is>
          <t>Japanese</t>
        </is>
      </c>
      <c r="E643" s="2" t="n">
        <v>3</v>
      </c>
      <c r="F643" s="2" t="n">
        <v>10</v>
      </c>
      <c r="G643" s="2" t="n">
        <v>10</v>
      </c>
      <c r="H643" s="2" t="n">
        <v>20</v>
      </c>
      <c r="I643" s="4" t="inlineStr">
        <is>
          <t>edamame-fried-cauliflower-rice.jpg</t>
        </is>
      </c>
      <c r="J643" s="3" t="inlineStr">
        <is>
          <t>Edamame Fried Cauliflower Rice, healthy food photography, plated, natural light</t>
        </is>
      </c>
      <c r="K643" s="4" t="inlineStr"/>
      <c r="L643" s="3" t="inlineStr">
        <is>
          <t>Cauliflower rice — 500 g (17.6 oz)
Edamame, shelled, cooked — 300 g (10.6 oz)
Egg, large (50 g each) — 100 g (3.5 oz)
Carrot — 60 g (2.1 oz)
Green onions (scallions) — 20 g (0.7 oz)
Garlic — 6 g (0.2 oz)
Fresh ginger — 6 g (0.2 oz)
Tamari (gluten-free soy sauce) — 25 g (0.9 oz)
Toasted sesame oil — 8 g (0.3 oz)
Avocado oil — 10 g (0.4 oz)
Nori seaweed sheets — 2 g (0.1 oz)</t>
        </is>
      </c>
      <c r="M643" s="4" t="inlineStr">
        <is>
          <t>[{"ingredient_id": "cauliflower_rice", "name": "Cauliflower rice", "grams": 500.0, "note": ""}, {"ingredient_id": "edamame", "name": "Edamame, shelled, cooked", "grams": 300.0, "note": ""}, {"ingredient_id": "egg", "name": "Egg, large (50 g each)", "grams": 100.0, "note": ""}, {"ingredient_id": "carrot", "name": "Carrot", "grams": 60.0, "note": ""}, {"ingredient_id": "green_onion", "name": "Green onions (scallions)", "grams": 20.0, "note": ""}, {"ingredient_id": "garlic", "name": "Garlic", "grams": 6.0, "note": ""}, {"ingredient_id": "ginger", "name": "Fresh ginger", "grams": 6.0, "note": ""}, {"ingredient_id": "tamari", "name": "Tamari (gluten-free soy sauce)", "grams": 25.0, "note": ""}, {"ingredient_id": "sesame_oil", "name": "Toasted sesame oil", "grams": 8.0, "note": ""}, {"ingredient_id": "avocado_oil", "name": "Avocado oil", "grams": 10.0, "note": ""}, {"ingredient_id": "nori", "name": "Nori seaweed sheets", "grams": 2.0, "note": ""}]</t>
        </is>
      </c>
      <c r="N643" s="2" t="n">
        <v>284</v>
      </c>
      <c r="O643" s="5" t="n">
        <v>20.7</v>
      </c>
      <c r="P643" s="5" t="n">
        <v>14.7</v>
      </c>
      <c r="Q643" s="5" t="n">
        <v>21.4</v>
      </c>
      <c r="R643" s="5" t="n">
        <v>9.199999999999999</v>
      </c>
      <c r="S643" s="5" t="n">
        <v>12.2</v>
      </c>
      <c r="T643" s="2" t="n">
        <v>19</v>
      </c>
      <c r="U643" s="2" t="inlineStr">
        <is>
          <t>low</t>
        </is>
      </c>
      <c r="V643" s="5" t="n">
        <v>2.3</v>
      </c>
      <c r="W643" s="2" t="inlineStr">
        <is>
          <t>low</t>
        </is>
      </c>
      <c r="X643" s="3" t="inlineStr"/>
      <c r="Y643" s="3" t="inlineStr">
        <is>
          <t>11% of this dish's available carbohydrate comes from ingredients with a published, measured GI; the rest uses conventional placeholders (see Ingredients sheet)</t>
        </is>
      </c>
      <c r="Z643" s="2" t="n">
        <v>11</v>
      </c>
      <c r="AA643" s="3" t="inlineStr">
        <is>
          <t>vegetarian, gluten-free, dairy-free, nut-free, low-carb, high-fiber, quick</t>
        </is>
      </c>
      <c r="AB643" s="3" t="inlineStr">
        <is>
          <t>1. Scramble eggs; remove.
2. Stir-fry carrot, garlic, ginger, cauliflower rice 5 minutes; add edamame.
3. Return eggs; add tamari, sesame oil, green onion, torn nori.</t>
        </is>
      </c>
      <c r="AC643" s="4" t="inlineStr">
        <is>
          <t>["Scramble eggs; remove.", "Stir-fry carrot, garlic, ginger, cauliflower rice 5 minutes; add edamame.", "Return eggs; add tamari, sesame oil, green onion, torn nori."]</t>
        </is>
      </c>
    </row>
    <row r="644" ht="96" customHeight="1">
      <c r="A644" s="2" t="inlineStr">
        <is>
          <t>DB-0643</t>
        </is>
      </c>
      <c r="B644" s="3" t="inlineStr">
        <is>
          <t>Zucchini &amp; Corn Fritters with Yogurt</t>
        </is>
      </c>
      <c r="C644" s="4" t="inlineStr">
        <is>
          <t>Vegetarian &amp; Vegan</t>
        </is>
      </c>
      <c r="D644" s="4" t="inlineStr">
        <is>
          <t>American</t>
        </is>
      </c>
      <c r="E644" s="2" t="n">
        <v>4</v>
      </c>
      <c r="F644" s="2" t="n">
        <v>15</v>
      </c>
      <c r="G644" s="2" t="n">
        <v>15</v>
      </c>
      <c r="H644" s="2" t="n">
        <v>30</v>
      </c>
      <c r="I644" s="4" t="inlineStr">
        <is>
          <t>zucchini-and-corn-fritters-with-yogurt.jpg</t>
        </is>
      </c>
      <c r="J644" s="3" t="inlineStr">
        <is>
          <t>Zucchini &amp; Corn Fritters with Yogurt, healthy food photography, plated, natural light</t>
        </is>
      </c>
      <c r="K644" s="4" t="inlineStr"/>
      <c r="L644" s="3" t="inlineStr">
        <is>
          <t>Zucchini — 500 g (17.6 oz)
Sweet corn kernels — 100 g (3.5 oz)
Egg, large (50 g each) — 100 g (3.5 oz)
Almond flour — 60 g (2.1 oz)
Parmesan, grated — 30 g (1.1 oz)
Green onions (scallions) — 20 g (0.7 oz)
Greek yogurt, plain 2% — 120 g (4.2 oz)
Lime — 30 g (1.1 oz)
Fresh cilantro — 6 g (0.2 oz)
Extra-virgin olive oil — 25 g (0.9 oz)
Salt — 3 g (0.1 oz)</t>
        </is>
      </c>
      <c r="M644" s="4" t="inlineStr">
        <is>
          <t>[{"ingredient_id": "zucchini", "name": "Zucchini", "grams": 500.0, "note": ""}, {"ingredient_id": "corn", "name": "Sweet corn kernels", "grams": 100.0, "note": ""}, {"ingredient_id": "egg", "name": "Egg, large (50 g each)", "grams": 100.0, "note": ""}, {"ingredient_id": "almond_flour", "name": "Almond flour", "grams": 60.0, "note": ""}, {"ingredient_id": "parmesan", "name": "Parmesan, grated", "grams": 30.0, "note": ""}, {"ingredient_id": "green_onion", "name": "Green onions (scallions)", "grams": 20.0, "note": ""}, {"ingredient_id": "greek_yogurt", "name": "Greek yogurt, plain 2%", "grams": 120.0, "note": ""}, {"ingredient_id": "lime", "name": "Lime", "grams": 30.0, "note": ""}, {"ingredient_id": "cilantro", "name": "Fresh cilantro", "grams": 6.0, "note": ""}, {"ingredient_id": "olive_oil", "name": "Extra-virgin olive oil", "grams": 25.0, "note": ""}, {"ingredient_id": "salt", "name": "Salt", "grams": 3.0, "note": ""}]</t>
        </is>
      </c>
      <c r="N644" s="2" t="n">
        <v>281</v>
      </c>
      <c r="O644" s="5" t="n">
        <v>14.6</v>
      </c>
      <c r="P644" s="5" t="n">
        <v>19.7</v>
      </c>
      <c r="Q644" s="5" t="n">
        <v>14.7</v>
      </c>
      <c r="R644" s="5" t="n">
        <v>4.1</v>
      </c>
      <c r="S644" s="5" t="n">
        <v>10.6</v>
      </c>
      <c r="T644" s="2" t="n">
        <v>28</v>
      </c>
      <c r="U644" s="2" t="inlineStr">
        <is>
          <t>low</t>
        </is>
      </c>
      <c r="V644" s="5" t="n">
        <v>3</v>
      </c>
      <c r="W644" s="2" t="inlineStr">
        <is>
          <t>low</t>
        </is>
      </c>
      <c r="X644" s="3" t="inlineStr"/>
      <c r="Y644" s="3" t="inlineStr">
        <is>
          <t>50% of this dish's available carbohydrate comes from ingredients with a published, measured GI; the rest uses conventional placeholders (see Ingredients sheet)</t>
        </is>
      </c>
      <c r="Z644" s="2" t="n">
        <v>50</v>
      </c>
      <c r="AA644" s="3" t="inlineStr">
        <is>
          <t>vegetarian, gluten-free, low-carb</t>
        </is>
      </c>
      <c r="AB644" s="3" t="inlineStr">
        <is>
          <t>1. Grate zucchini; salt; squeeze dry; mix with corn, eggs, almond flour, parmesan, green onion.
2. Pan-fry spoonfuls in oil 3 minutes per side.
3. Serve with yogurt, lime, cilantro.</t>
        </is>
      </c>
      <c r="AC644" s="4" t="inlineStr">
        <is>
          <t>["Grate zucchini; salt; squeeze dry; mix with corn, eggs, almond flour, parmesan, green onion.", "Pan-fry spoonfuls in oil 3 minutes per side.", "Serve with yogurt, lime, cilantro."]</t>
        </is>
      </c>
    </row>
    <row r="645" ht="96" customHeight="1">
      <c r="A645" s="2" t="inlineStr">
        <is>
          <t>DB-0644</t>
        </is>
      </c>
      <c r="B645" s="3" t="inlineStr">
        <is>
          <t>Portobello 'Steaks' with Cauliflower Mash</t>
        </is>
      </c>
      <c r="C645" s="4" t="inlineStr">
        <is>
          <t>Vegetarian &amp; Vegan</t>
        </is>
      </c>
      <c r="D645" s="4" t="inlineStr">
        <is>
          <t>American</t>
        </is>
      </c>
      <c r="E645" s="2" t="n">
        <v>4</v>
      </c>
      <c r="F645" s="2" t="n">
        <v>10</v>
      </c>
      <c r="G645" s="2" t="n">
        <v>25</v>
      </c>
      <c r="H645" s="2" t="n">
        <v>35</v>
      </c>
      <c r="I645" s="4" t="inlineStr">
        <is>
          <t>portobello-steaks-with-cauliflower-mash.jpg</t>
        </is>
      </c>
      <c r="J645" s="3" t="inlineStr">
        <is>
          <t>Portobello 'Steaks' with Cauliflower Mash, healthy food photography, plated, natural light</t>
        </is>
      </c>
      <c r="K645" s="4" t="inlineStr"/>
      <c r="L645" s="3" t="inlineStr">
        <is>
          <t>Portobello mushrooms — 600 g (21.2 oz)
Balsamic vinegar — 20 g (0.7 oz)
Tamari (gluten-free soy sauce) — 15 g (0.5 oz)
Garlic — 8 g (0.3 oz)
Extra-virgin olive oil — 20 g (0.7 oz)
Cauliflower — 800 g (28.2 oz)
Butter — 15 g (0.5 oz)
Milk, 2% — 50 g (1.8 oz)
Parmesan, grated — 30 g (1.1 oz)
Fresh thyme — 2 g (0.1 oz)
Cannellini beans, cooked — 250 g (8.8 oz)
Salt — 3 g (0.1 oz)</t>
        </is>
      </c>
      <c r="M645" s="4" t="inlineStr">
        <is>
          <t>[{"ingredient_id": "portobello", "name": "Portobello mushrooms", "grams": 600.0, "note": ""}, {"ingredient_id": "balsamic_vinegar", "name": "Balsamic vinegar", "grams": 20.0, "note": ""}, {"ingredient_id": "tamari", "name": "Tamari (gluten-free soy sauce)", "grams": 15.0, "note": ""}, {"ingredient_id": "garlic", "name": "Garlic", "grams": 8.0, "note": ""}, {"ingredient_id": "olive_oil", "name": "Extra-virgin olive oil", "grams": 20.0, "note": ""}, {"ingredient_id": "cauliflower", "name": "Cauliflower", "grams": 800.0, "note": ""}, {"ingredient_id": "butter", "name": "Butter", "grams": 15.0, "note": ""}, {"ingredient_id": "milk", "name": "Milk, 2%", "grams": 50.0, "note": ""}, {"ingredient_id": "parmesan", "name": "Parmesan, grated", "grams": 30.0, "note": ""}, {"ingredient_id": "thyme", "name": "Fresh thyme", "grams": 2.0, "note": ""}, {"ingredient_id": "white_beans", "name": "Cannellini beans, cooked", "grams": 250.0, "note": ""}, {"ingredient_id": "salt", "name": "Salt", "grams": 3.0, "note": ""}]</t>
        </is>
      </c>
      <c r="N645" s="2" t="n">
        <v>290</v>
      </c>
      <c r="O645" s="5" t="n">
        <v>16.9</v>
      </c>
      <c r="P645" s="5" t="n">
        <v>11.9</v>
      </c>
      <c r="Q645" s="5" t="n">
        <v>34.2</v>
      </c>
      <c r="R645" s="5" t="n">
        <v>10</v>
      </c>
      <c r="S645" s="5" t="n">
        <v>24.2</v>
      </c>
      <c r="T645" s="2" t="n">
        <v>24</v>
      </c>
      <c r="U645" s="2" t="inlineStr">
        <is>
          <t>low</t>
        </is>
      </c>
      <c r="V645" s="5" t="n">
        <v>5.8</v>
      </c>
      <c r="W645" s="2" t="inlineStr">
        <is>
          <t>low</t>
        </is>
      </c>
      <c r="X645" s="3" t="inlineStr"/>
      <c r="Y645" s="3" t="inlineStr">
        <is>
          <t>51% of this dish's available carbohydrate comes from ingredients with a published, measured GI; the rest uses conventional placeholders (see Ingredients sheet)</t>
        </is>
      </c>
      <c r="Z645" s="2" t="n">
        <v>51</v>
      </c>
      <c r="AA645" s="3" t="inlineStr">
        <is>
          <t>vegetarian, gluten-free, nut-free, high-fiber</t>
        </is>
      </c>
      <c r="AB645" s="3" t="inlineStr">
        <is>
          <t>1. Marinate caps in balsamic, tamari, garlic, half the oil; roast at 425°F 18 minutes.
2. Mash steamed cauliflower with butter, milk, parmesan, salt.
3. Serve mushrooms over mash with warm beans and thyme.</t>
        </is>
      </c>
      <c r="AC645" s="4" t="inlineStr">
        <is>
          <t>["Marinate caps in balsamic, tamari, garlic, half the oil; roast at 425°F 18 minutes.", "Mash steamed cauliflower with butter, milk, parmesan, salt.", "Serve mushrooms over mash with warm beans and thyme."]</t>
        </is>
      </c>
    </row>
    <row r="646" ht="96" customHeight="1">
      <c r="A646" s="2" t="inlineStr">
        <is>
          <t>DB-0645</t>
        </is>
      </c>
      <c r="B646" s="3" t="inlineStr">
        <is>
          <t>Thai Peanut Tempeh Bowls</t>
        </is>
      </c>
      <c r="C646" s="4" t="inlineStr">
        <is>
          <t>Vegetarian &amp; Vegan</t>
        </is>
      </c>
      <c r="D646" s="4" t="inlineStr">
        <is>
          <t>Thai</t>
        </is>
      </c>
      <c r="E646" s="2" t="n">
        <v>4</v>
      </c>
      <c r="F646" s="2" t="n">
        <v>10</v>
      </c>
      <c r="G646" s="2" t="n">
        <v>15</v>
      </c>
      <c r="H646" s="2" t="n">
        <v>25</v>
      </c>
      <c r="I646" s="4" t="inlineStr">
        <is>
          <t>thai-peanut-tempeh-bowls.jpg</t>
        </is>
      </c>
      <c r="J646" s="3" t="inlineStr">
        <is>
          <t>Thai Peanut Tempeh Bowls, healthy food photography, plated, natural light</t>
        </is>
      </c>
      <c r="K646" s="4" t="inlineStr"/>
      <c r="L646" s="3" t="inlineStr">
        <is>
          <t>Tempeh — 400 g (14.1 oz)
Cauliflower rice — 500 g (17.6 oz)
Broccoli — 250 g (8.8 oz)
Red cabbage — 100 g (3.5 oz)
Carrot — 80 g (2.8 oz)
Edamame, shelled, cooked — 100 g (3.5 oz)
Peanut butter, natural — 45 g (1.6 oz)
Tamari (gluten-free soy sauce) — 25 g (0.9 oz)
Lime juice — 20 g (0.7 oz)
Fresh ginger — 6 g (0.2 oz)
Sriracha — 6 g (0.2 oz)
Avocado oil — 12 g (0.4 oz)
Peanuts, dry roasted — 15 g (0.5 oz)</t>
        </is>
      </c>
      <c r="M646" s="4" t="inlineStr">
        <is>
          <t>[{"ingredient_id": "tempeh", "name": "Tempeh", "grams": 400.0, "note": ""}, {"ingredient_id": "cauliflower_rice", "name": "Cauliflower rice", "grams": 500.0, "note": ""}, {"ingredient_id": "broccoli", "name": "Broccoli", "grams": 250.0, "note": ""}, {"ingredient_id": "red_cabbage", "name": "Red cabbage", "grams": 100.0, "note": ""}, {"ingredient_id": "carrot", "name": "Carrot", "grams": 80.0, "note": ""}, {"ingredient_id": "edamame", "name": "Edamame, shelled, cooked", "grams": 100.0, "note": ""}, {"ingredient_id": "peanut_butter", "name": "Peanut butter, natural", "grams": 45.0, "note": ""}, {"ingredient_id": "tamari", "name": "Tamari (gluten-free soy sauce)", "grams": 25.0, "note": ""}, {"ingredient_id": "lime_juice", "name": "Lime juice", "grams": 20.0, "note": ""}, {"ingredient_id": "ginger", "name": "Fresh ginger", "grams": 6.0, "note": ""}, {"ingredient_id": "sriracha", "name": "Sriracha", "grams": 6.0, "note": ""}, {"ingredient_id": "avocado_oil", "name": "Avocado oil", "grams": 12.0, "note": ""}, {"ingredient_id": "peanuts", "name": "Peanuts, dry roasted", "grams": 15.0, "note": ""}]</t>
        </is>
      </c>
      <c r="N646" s="2" t="n">
        <v>412</v>
      </c>
      <c r="O646" s="5" t="n">
        <v>32.1</v>
      </c>
      <c r="P646" s="5" t="n">
        <v>23.5</v>
      </c>
      <c r="Q646" s="5" t="n">
        <v>28.5</v>
      </c>
      <c r="R646" s="5" t="n">
        <v>13.6</v>
      </c>
      <c r="S646" s="5" t="n">
        <v>14.9</v>
      </c>
      <c r="T646" s="2" t="n">
        <v>18</v>
      </c>
      <c r="U646" s="2" t="inlineStr">
        <is>
          <t>low</t>
        </is>
      </c>
      <c r="V646" s="5" t="n">
        <v>2.7</v>
      </c>
      <c r="W646" s="2" t="inlineStr">
        <is>
          <t>low</t>
        </is>
      </c>
      <c r="X646" s="3" t="inlineStr"/>
      <c r="Y646" s="3" t="inlineStr">
        <is>
          <t>11% of this dish's available carbohydrate comes from ingredients with a published, measured GI; the rest uses conventional placeholders (see Ingredients sheet)</t>
        </is>
      </c>
      <c r="Z646" s="2" t="n">
        <v>11</v>
      </c>
      <c r="AA646" s="3" t="inlineStr">
        <is>
          <t>vegan, gluten-free, dairy-free, low-carb, high-protein, high-fiber</t>
        </is>
      </c>
      <c r="AB646" s="3" t="inlineStr">
        <is>
          <t>1. Pan-fry tempeh cubes in oil; steam broccoli.
2. Whisk peanut butter, tamari, lime, ginger, sriracha, water.
3. Bowl cauliflower rice, vegetables, tempeh; sauce; peanuts.</t>
        </is>
      </c>
      <c r="AC646" s="4" t="inlineStr">
        <is>
          <t>["Pan-fry tempeh cubes in oil; steam broccoli.", "Whisk peanut butter, tamari, lime, ginger, sriracha, water.", "Bowl cauliflower rice, vegetables, tempeh; sauce; peanuts."]</t>
        </is>
      </c>
    </row>
    <row r="647" ht="96" customHeight="1">
      <c r="A647" s="2" t="inlineStr">
        <is>
          <t>DB-0646</t>
        </is>
      </c>
      <c r="B647" s="3" t="inlineStr">
        <is>
          <t>Caprese Zucchini Noodle Bowl with Chickpeas</t>
        </is>
      </c>
      <c r="C647" s="4" t="inlineStr">
        <is>
          <t>Vegetarian &amp; Vegan</t>
        </is>
      </c>
      <c r="D647" s="4" t="inlineStr">
        <is>
          <t>Italian</t>
        </is>
      </c>
      <c r="E647" s="2" t="n">
        <v>3</v>
      </c>
      <c r="F647" s="2" t="n">
        <v>10</v>
      </c>
      <c r="G647" s="2" t="n">
        <v>5</v>
      </c>
      <c r="H647" s="2" t="n">
        <v>15</v>
      </c>
      <c r="I647" s="4" t="inlineStr">
        <is>
          <t>caprese-zucchini-noodle-bowl-with-chickpeas.jpg</t>
        </is>
      </c>
      <c r="J647" s="3" t="inlineStr">
        <is>
          <t>Caprese Zucchini Noodle Bowl with Chickpeas, healthy food photography, plated, natural light</t>
        </is>
      </c>
      <c r="K647" s="4" t="inlineStr"/>
      <c r="L647" s="3" t="inlineStr">
        <is>
          <t>Zucchini noodles (zoodles) — 600 g (21.2 oz)
Chickpeas, cooked — 300 g (10.6 oz)
Cherry tomatoes — 250 g (8.8 oz)
Mozzarella, part-skim — 120 g (4.2 oz)
Fresh basil — 12 g (0.4 oz)
Extra-virgin olive oil — 18 g (0.6 oz)
Balsamic vinegar — 12 g (0.4 oz)
Garlic — 4 g (0.1 oz)
Salt — 2 g (0.1 oz)</t>
        </is>
      </c>
      <c r="M647" s="4" t="inlineStr">
        <is>
          <t>[{"ingredient_id": "zucchini_noodles", "name": "Zucchini noodles (zoodles)", "grams": 600.0, "note": ""}, {"ingredient_id": "chickpeas", "name": "Chickpeas, cooked", "grams": 300.0, "note": ""}, {"ingredient_id": "cherry_tomato", "name": "Cherry tomatoes", "grams": 250.0, "note": ""}, {"ingredient_id": "mozzarella", "name": "Mozzarella, part-skim", "grams": 120.0, "note": ""}, {"ingredient_id": "basil", "name": "Fresh basil", "grams": 12.0, "note": ""}, {"ingredient_id": "olive_oil", "name": "Extra-virgin olive oil", "grams": 18.0, "note": ""}, {"ingredient_id": "balsamic_vinegar", "name": "Balsamic vinegar", "grams": 12.0, "note": ""}, {"ingredient_id": "garlic", "name": "Garlic", "grams": 4.0, "note": ""}, {"ingredient_id": "salt", "name": "Salt", "grams": 2.0, "note": ""}]</t>
        </is>
      </c>
      <c r="N647" s="2" t="n">
        <v>374</v>
      </c>
      <c r="O647" s="5" t="n">
        <v>21.9</v>
      </c>
      <c r="P647" s="5" t="n">
        <v>15.8</v>
      </c>
      <c r="Q647" s="5" t="n">
        <v>38.9</v>
      </c>
      <c r="R647" s="5" t="n">
        <v>10.7</v>
      </c>
      <c r="S647" s="5" t="n">
        <v>28.2</v>
      </c>
      <c r="T647" s="2" t="n">
        <v>31</v>
      </c>
      <c r="U647" s="2" t="inlineStr">
        <is>
          <t>low</t>
        </is>
      </c>
      <c r="V647" s="5" t="n">
        <v>8.699999999999999</v>
      </c>
      <c r="W647" s="2" t="inlineStr">
        <is>
          <t>low</t>
        </is>
      </c>
      <c r="X647" s="3" t="inlineStr"/>
      <c r="Y647" s="3" t="inlineStr">
        <is>
          <t>69% of this dish's available carbohydrate comes from ingredients with a published, measured GI; the rest uses conventional placeholders (see Ingredients sheet)</t>
        </is>
      </c>
      <c r="Z647" s="2" t="n">
        <v>69</v>
      </c>
      <c r="AA647" s="3" t="inlineStr">
        <is>
          <t>vegetarian, gluten-free, nut-free, high-fiber, quick</t>
        </is>
      </c>
      <c r="AB647" s="3" t="inlineStr">
        <is>
          <t>1. Warm zoodles with garlic in oil 2 minutes.
2. Toss with chickpeas, tomato, mozzarella.
3. Balsamic, basil, salt.</t>
        </is>
      </c>
      <c r="AC647" s="4" t="inlineStr">
        <is>
          <t>["Warm zoodles with garlic in oil 2 minutes.", "Toss with chickpeas, tomato, mozzarella.", "Balsamic, basil, salt."]</t>
        </is>
      </c>
    </row>
    <row r="648" ht="96" customHeight="1">
      <c r="A648" s="2" t="inlineStr">
        <is>
          <t>DB-0647</t>
        </is>
      </c>
      <c r="B648" s="3" t="inlineStr">
        <is>
          <t>Black Bean Enchilada Casserole (Low-Carb Tortillas)</t>
        </is>
      </c>
      <c r="C648" s="4" t="inlineStr">
        <is>
          <t>Vegetarian &amp; Vegan</t>
        </is>
      </c>
      <c r="D648" s="4" t="inlineStr">
        <is>
          <t>Tex-Mex</t>
        </is>
      </c>
      <c r="E648" s="2" t="n">
        <v>6</v>
      </c>
      <c r="F648" s="2" t="n">
        <v>15</v>
      </c>
      <c r="G648" s="2" t="n">
        <v>30</v>
      </c>
      <c r="H648" s="2" t="n">
        <v>45</v>
      </c>
      <c r="I648" s="4" t="inlineStr">
        <is>
          <t>black-bean-enchilada-casserole-low-carb-tortillas.jpg</t>
        </is>
      </c>
      <c r="J648" s="3" t="inlineStr">
        <is>
          <t>Black Bean Enchilada Casserole (Low-Carb Tortillas), healthy food photography, plated, natural light</t>
        </is>
      </c>
      <c r="K648" s="4" t="inlineStr"/>
      <c r="L648" s="3" t="inlineStr">
        <is>
          <t>Black beans, cooked — 600 g (21.2 oz)
Low-carb high-fiber tortilla — 210 g (7.4 oz) [5 tortillas]
Red enchilada sauce, no sugar added — 350 g (12.3 oz)
Bell pepper — 150 g (5.3 oz)
Yellow onion — 100 g (3.5 oz)
Sweet corn kernels — 80 g (2.8 oz)
Diced green chiles, canned — 100 g (3.5 oz)
Cheddar cheese — 120 g (4.2 oz)
Ground cumin — 3 g (0.1 oz)
Greek yogurt, plain 2% — 100 g (3.5 oz)
Fresh cilantro — 6 g (0.2 oz)
Extra-virgin olive oil — 10 g (0.4 oz)</t>
        </is>
      </c>
      <c r="M648" s="4" t="inlineStr">
        <is>
          <t>[{"ingredient_id": "black_beans", "name": "Black beans, cooked", "grams": 600.0, "note": ""}, {"ingredient_id": "low_carb_tortilla", "name": "Low-carb high-fiber tortilla", "grams": 210.0, "note": "5 tortillas"}, {"ingredient_id": "enchilada_sauce", "name": "Red enchilada sauce, no sugar added", "grams": 350.0, "note": ""}, {"ingredient_id": "bell_pepper", "name": "Bell pepper", "grams": 150.0, "note": ""}, {"ingredient_id": "onion", "name": "Yellow onion", "grams": 100.0, "note": ""}, {"ingredient_id": "corn", "name": "Sweet corn kernels", "grams": 80.0, "note": ""}, {"ingredient_id": "green_chiles", "name": "Diced green chiles, canned", "grams": 100.0, "note": ""}, {"ingredient_id": "cheddar", "name": "Cheddar cheese", "grams": 120.0, "note": ""}, {"ingredient_id": "cumin", "name": "Ground cumin", "grams": 3.0, "note": ""}, {"ingredient_id": "greek_yogurt", "name": "Greek yogurt, plain 2%", "grams": 100.0, "note": ""}, {"ingredient_id": "cilantro", "name": "Fresh cilantro", "grams": 6.0, "note": ""}, {"ingredient_id": "olive_oil", "name": "Extra-virgin olive oil", "grams": 10.0, "note": ""}]</t>
        </is>
      </c>
      <c r="N648" s="2" t="n">
        <v>382</v>
      </c>
      <c r="O648" s="5" t="n">
        <v>21.1</v>
      </c>
      <c r="P648" s="5" t="n">
        <v>13.5</v>
      </c>
      <c r="Q648" s="5" t="n">
        <v>48.1</v>
      </c>
      <c r="R648" s="5" t="n">
        <v>19.5</v>
      </c>
      <c r="S648" s="5" t="n">
        <v>28.6</v>
      </c>
      <c r="T648" s="2" t="n">
        <v>29</v>
      </c>
      <c r="U648" s="2" t="inlineStr">
        <is>
          <t>low</t>
        </is>
      </c>
      <c r="V648" s="5" t="n">
        <v>8.300000000000001</v>
      </c>
      <c r="W648" s="2" t="inlineStr">
        <is>
          <t>low</t>
        </is>
      </c>
      <c r="X648" s="3" t="inlineStr"/>
      <c r="Y648" s="3" t="inlineStr">
        <is>
          <t>62% of this dish's available carbohydrate comes from ingredients with a published, measured GI; the rest uses conventional placeholders (see Ingredients sheet)</t>
        </is>
      </c>
      <c r="Z648" s="2" t="n">
        <v>62</v>
      </c>
      <c r="AA648" s="3" t="inlineStr">
        <is>
          <t>vegetarian, nut-free, high-fiber, make-ahead</t>
        </is>
      </c>
      <c r="AB648" s="3" t="inlineStr">
        <is>
          <t>1. Sauté onion, pepper, cumin; mix with beans, corn, chiles.
2. Layer tortillas, filling, sauce, cheese.
3. Bake at 375°F 25 minutes; yogurt, cilantro.</t>
        </is>
      </c>
      <c r="AC648" s="4" t="inlineStr">
        <is>
          <t>["Sauté onion, pepper, cumin; mix with beans, corn, chiles.", "Layer tortillas, filling, sauce, cheese.", "Bake at 375°F 25 minutes; yogurt, cilantro."]</t>
        </is>
      </c>
    </row>
    <row r="649" ht="96" customHeight="1">
      <c r="A649" s="2" t="inlineStr">
        <is>
          <t>DB-0648</t>
        </is>
      </c>
      <c r="B649" s="3" t="inlineStr">
        <is>
          <t>Miso Glazed Eggplant with Edamame</t>
        </is>
      </c>
      <c r="C649" s="4" t="inlineStr">
        <is>
          <t>Vegetarian &amp; Vegan</t>
        </is>
      </c>
      <c r="D649" s="4" t="inlineStr">
        <is>
          <t>Japanese</t>
        </is>
      </c>
      <c r="E649" s="2" t="n">
        <v>4</v>
      </c>
      <c r="F649" s="2" t="n">
        <v>10</v>
      </c>
      <c r="G649" s="2" t="n">
        <v>25</v>
      </c>
      <c r="H649" s="2" t="n">
        <v>35</v>
      </c>
      <c r="I649" s="4" t="inlineStr">
        <is>
          <t>miso-glazed-eggplant-with-edamame.jpg</t>
        </is>
      </c>
      <c r="J649" s="3" t="inlineStr">
        <is>
          <t>Miso Glazed Eggplant with Edamame, healthy food photography, plated, natural light</t>
        </is>
      </c>
      <c r="K649" s="4" t="inlineStr"/>
      <c r="L649" s="3" t="inlineStr">
        <is>
          <t>Eggplant — 800 g (28.2 oz)
White miso paste — 35 g (1.2 oz)
Tamari (gluten-free soy sauce) — 15 g (0.5 oz)
Rice vinegar, unseasoned — 15 g (0.5 oz)
Toasted sesame oil — 10 g (0.4 oz)
Fresh ginger — 6 g (0.2 oz)
Monk fruit/erythritol sweetener — 6 g (0.2 oz)
Edamame, shelled, cooked — 300 g (10.6 oz)
Green onions (scallions) — 20 g (0.7 oz)
Sesame seeds — 8 g (0.3 oz)
Avocado oil — 12 g (0.4 oz)</t>
        </is>
      </c>
      <c r="M649" s="4" t="inlineStr">
        <is>
          <t>[{"ingredient_id": "eggplant", "name": "Eggplant", "grams": 800.0, "note": ""}, {"ingredient_id": "miso", "name": "White miso paste", "grams": 35.0, "note": ""}, {"ingredient_id": "tamari", "name": "Tamari (gluten-free soy sauce)", "grams": 15.0, "note": ""}, {"ingredient_id": "rice_vinegar", "name": "Rice vinegar, unseasoned", "grams": 15.0, "note": ""}, {"ingredient_id": "sesame_oil", "name": "Toasted sesame oil", "grams": 10.0, "note": ""}, {"ingredient_id": "ginger", "name": "Fresh ginger", "grams": 6.0, "note": ""}, {"ingredient_id": "monk_fruit_sweetener", "name": "Monk fruit/erythritol sweetener", "grams": 6.0, "note": ""}, {"ingredient_id": "edamame", "name": "Edamame, shelled, cooked", "grams": 300.0, "note": ""}, {"ingredient_id": "green_onion", "name": "Green onions (scallions)", "grams": 20.0, "note": ""}, {"ingredient_id": "sesame_seeds", "name": "Sesame seeds", "grams": 8.0, "note": ""}, {"ingredient_id": "avocado_oil", "name": "Avocado oil", "grams": 12.0, "note": ""}]</t>
        </is>
      </c>
      <c r="N649" s="2" t="n">
        <v>224</v>
      </c>
      <c r="O649" s="5" t="n">
        <v>12.9</v>
      </c>
      <c r="P649" s="5" t="n">
        <v>11.2</v>
      </c>
      <c r="Q649" s="5" t="n">
        <v>22.3</v>
      </c>
      <c r="R649" s="5" t="n">
        <v>10.6</v>
      </c>
      <c r="S649" s="5" t="n">
        <v>11.7</v>
      </c>
      <c r="T649" s="2" t="n">
        <v>19</v>
      </c>
      <c r="U649" s="2" t="inlineStr">
        <is>
          <t>low</t>
        </is>
      </c>
      <c r="V649" s="5" t="n">
        <v>2.2</v>
      </c>
      <c r="W649" s="2" t="inlineStr">
        <is>
          <t>low</t>
        </is>
      </c>
      <c r="X649" s="3" t="inlineStr"/>
      <c r="Y649" s="3" t="inlineStr">
        <is>
          <t>0% of this dish's available carbohydrate comes from ingredients with a published, measured GI; the rest uses conventional placeholders (see Ingredients sheet)</t>
        </is>
      </c>
      <c r="Z649" s="2" t="n">
        <v>0</v>
      </c>
      <c r="AA649" s="3" t="inlineStr">
        <is>
          <t>vegan, dairy-free, nut-free, low-carb, high-fiber</t>
        </is>
      </c>
      <c r="AB649" s="3" t="inlineStr">
        <is>
          <t>1. Halve eggplants; score; brush with avocado oil; roast at 425°F 20 minutes.
2. Whisk miso, tamari, vinegar, sesame oil, ginger, sweetener; brush on; broil 3 minutes.
3. Serve with edamame, green onion, sesame.</t>
        </is>
      </c>
      <c r="AC649" s="4" t="inlineStr">
        <is>
          <t>["Halve eggplants; score; brush with avocado oil; roast at 425°F 20 minutes.", "Whisk miso, tamari, vinegar, sesame oil, ginger, sweetener; brush on; broil 3 minutes.", "Serve with edamame, green onion, sesame."]</t>
        </is>
      </c>
    </row>
    <row r="650" ht="96" customHeight="1">
      <c r="A650" s="2" t="inlineStr">
        <is>
          <t>DB-0649</t>
        </is>
      </c>
      <c r="B650" s="3" t="inlineStr">
        <is>
          <t>Egg Roll Bowl with Tofu</t>
        </is>
      </c>
      <c r="C650" s="4" t="inlineStr">
        <is>
          <t>Vegetarian &amp; Vegan</t>
        </is>
      </c>
      <c r="D650" s="4" t="inlineStr">
        <is>
          <t>Chinese-American</t>
        </is>
      </c>
      <c r="E650" s="2" t="n">
        <v>4</v>
      </c>
      <c r="F650" s="2" t="n">
        <v>10</v>
      </c>
      <c r="G650" s="2" t="n">
        <v>15</v>
      </c>
      <c r="H650" s="2" t="n">
        <v>25</v>
      </c>
      <c r="I650" s="4" t="inlineStr">
        <is>
          <t>egg-roll-bowl-with-tofu.jpg</t>
        </is>
      </c>
      <c r="J650" s="3" t="inlineStr">
        <is>
          <t>Egg Roll Bowl with Tofu, healthy food photography, plated, natural light</t>
        </is>
      </c>
      <c r="K650" s="4" t="inlineStr"/>
      <c r="L650" s="3" t="inlineStr">
        <is>
          <t>Tofu, extra-firm — 500 g (17.6 oz)
Coleslaw mix (cabbage &amp; carrot) — 500 g (17.6 oz)
Garlic — 8 g (0.3 oz)
Fresh ginger — 8 g (0.3 oz)
Tamari (gluten-free soy sauce) — 30 g (1.1 oz)
Rice vinegar, unseasoned — 12 g (0.4 oz)
Toasted sesame oil — 10 g (0.4 oz)
Green onions (scallions) — 25 g (0.9 oz)
Avocado oil — 12 g (0.4 oz)
Sriracha — 6 g (0.2 oz)</t>
        </is>
      </c>
      <c r="M650" s="4" t="inlineStr">
        <is>
          <t>[{"ingredient_id": "tofu", "name": "Tofu, extra-firm", "grams": 500.0, "note": ""}, {"ingredient_id": "coleslaw_mix", "name": "Coleslaw mix (cabbage &amp; carrot)", "grams": 500.0,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10.0, "note": ""}, {"ingredient_id": "green_onion", "name": "Green onions (scallions)", "grams": 25.0, "note": ""}, {"ingredient_id": "avocado_oil", "name": "Avocado oil", "grams": 12.0, "note": ""}, {"ingredient_id": "sriracha", "name": "Sriracha", "grams": 6.0, "note": ""}]</t>
        </is>
      </c>
      <c r="N650" s="2" t="n">
        <v>275</v>
      </c>
      <c r="O650" s="5" t="n">
        <v>23.9</v>
      </c>
      <c r="P650" s="5" t="n">
        <v>16.9</v>
      </c>
      <c r="Q650" s="5" t="n">
        <v>13.4</v>
      </c>
      <c r="R650" s="5" t="n">
        <v>5.8</v>
      </c>
      <c r="S650" s="5" t="n">
        <v>7.6</v>
      </c>
      <c r="T650" s="2" t="n">
        <v>17</v>
      </c>
      <c r="U650" s="2" t="inlineStr">
        <is>
          <t>low</t>
        </is>
      </c>
      <c r="V650" s="5" t="n">
        <v>1.3</v>
      </c>
      <c r="W650" s="2" t="inlineStr">
        <is>
          <t>low</t>
        </is>
      </c>
      <c r="X650" s="3" t="inlineStr"/>
      <c r="Y650" s="3" t="inlineStr">
        <is>
          <t>0% of this dish's available carbohydrate comes from ingredients with a published, measured GI; the rest uses conventional placeholders (see Ingredients sheet)</t>
        </is>
      </c>
      <c r="Z650" s="2" t="n">
        <v>0</v>
      </c>
      <c r="AA650" s="3" t="inlineStr">
        <is>
          <t>vegan, gluten-free, dairy-free, nut-free, low-carb, quick</t>
        </is>
      </c>
      <c r="AB650" s="3" t="inlineStr">
        <is>
          <t>1. Crumble tofu; brown in oil 8 minutes.
2. Add garlic, ginger, slaw, tamari, vinegar; cook 5 minutes.
3. Sesame oil, green onion, sriracha.</t>
        </is>
      </c>
      <c r="AC650" s="4" t="inlineStr">
        <is>
          <t>["Crumble tofu; brown in oil 8 minutes.", "Add garlic, ginger, slaw, tamari, vinegar; cook 5 minutes.", "Sesame oil, green onion, sriracha."]</t>
        </is>
      </c>
    </row>
    <row r="651" ht="96" customHeight="1">
      <c r="A651" s="2" t="inlineStr">
        <is>
          <t>DB-0650</t>
        </is>
      </c>
      <c r="B651" s="3" t="inlineStr">
        <is>
          <t>Roasted Vegetable &amp; Goat Cheese Frittata</t>
        </is>
      </c>
      <c r="C651" s="4" t="inlineStr">
        <is>
          <t>Vegetarian &amp; Vegan</t>
        </is>
      </c>
      <c r="D651" s="4" t="inlineStr">
        <is>
          <t>French</t>
        </is>
      </c>
      <c r="E651" s="2" t="n">
        <v>4</v>
      </c>
      <c r="F651" s="2" t="n">
        <v>10</v>
      </c>
      <c r="G651" s="2" t="n">
        <v>35</v>
      </c>
      <c r="H651" s="2" t="n">
        <v>45</v>
      </c>
      <c r="I651" s="4" t="inlineStr">
        <is>
          <t>roasted-vegetable-and-goat-cheese-frittata.jpg</t>
        </is>
      </c>
      <c r="J651" s="3" t="inlineStr">
        <is>
          <t>Roasted Vegetable &amp; Goat Cheese Frittata, healthy food photography, plated, natural light</t>
        </is>
      </c>
      <c r="K651" s="4" t="inlineStr"/>
      <c r="L651" s="3" t="inlineStr">
        <is>
          <t>Egg, large (50 g each) — 350 g (12.3 oz)
Zucchini — 200 g (7.1 oz)
Bell pepper — 150 g (5.3 oz)
Red onion — 80 g (2.8 oz)
Cherry tomatoes — 150 g (5.3 oz)
Goat cheese — 80 g (2.8 oz)
Fresh thyme — 2 g (0.1 oz)
Extra-virgin olive oil — 15 g (0.5 oz)
Milk, 2% — 60 g (2.1 oz)
Salt — 3 g (0.1 oz)</t>
        </is>
      </c>
      <c r="M651" s="4" t="inlineStr">
        <is>
          <t>[{"ingredient_id": "egg", "name": "Egg, large (50 g each)", "grams": 350.0, "note": ""}, {"ingredient_id": "zucchini", "name": "Zucchini", "grams": 200.0, "note": ""}, {"ingredient_id": "bell_pepper", "name": "Bell pepper", "grams": 150.0, "note": ""}, {"ingredient_id": "red_onion", "name": "Red onion", "grams": 80.0, "note": ""}, {"ingredient_id": "cherry_tomato", "name": "Cherry tomatoes", "grams": 150.0, "note": ""}, {"ingredient_id": "goat_cheese", "name": "Goat cheese", "grams": 80.0, "note": ""}, {"ingredient_id": "thyme", "name": "Fresh thyme", "grams": 2.0, "note": ""}, {"ingredient_id": "olive_oil", "name": "Extra-virgin olive oil", "grams": 15.0, "note": ""}, {"ingredient_id": "milk", "name": "Milk, 2%", "grams": 60.0, "note": ""}, {"ingredient_id": "salt", "name": "Salt", "grams": 3.0, "note": ""}]</t>
        </is>
      </c>
      <c r="N651" s="2" t="n">
        <v>274</v>
      </c>
      <c r="O651" s="5" t="n">
        <v>17.5</v>
      </c>
      <c r="P651" s="5" t="n">
        <v>18.7</v>
      </c>
      <c r="Q651" s="5" t="n">
        <v>8.6</v>
      </c>
      <c r="R651" s="5" t="n">
        <v>2.1</v>
      </c>
      <c r="S651" s="5" t="n">
        <v>6.4</v>
      </c>
      <c r="T651" s="2" t="n">
        <v>15</v>
      </c>
      <c r="U651" s="2" t="inlineStr">
        <is>
          <t>low</t>
        </is>
      </c>
      <c r="V651" s="5" t="n">
        <v>1</v>
      </c>
      <c r="W651" s="2" t="inlineStr">
        <is>
          <t>low</t>
        </is>
      </c>
      <c r="X651" s="3" t="inlineStr"/>
      <c r="Y651" s="3" t="inlineStr">
        <is>
          <t>11% of this dish's available carbohydrate comes from ingredients with a published, measured GI; the rest uses conventional placeholders (see Ingredients sheet)</t>
        </is>
      </c>
      <c r="Z651" s="2" t="n">
        <v>11</v>
      </c>
      <c r="AA651" s="3" t="inlineStr">
        <is>
          <t>vegetarian, gluten-free, nut-free, low-carb, make-ahead</t>
        </is>
      </c>
      <c r="AB651" s="3" t="inlineStr">
        <is>
          <t>1. Roast vegetables with oil at 425°F 15 minutes.
2. Whisk eggs, milk, salt; pour over vegetables in an ovenproof skillet; dot goat cheese, thyme.
3. Bake at 375°F 18 minutes.</t>
        </is>
      </c>
      <c r="AC651" s="4" t="inlineStr">
        <is>
          <t>["Roast vegetables with oil at 425°F 15 minutes.", "Whisk eggs, milk, salt; pour over vegetables in an ovenproof skillet; dot goat cheese, thyme.", "Bake at 375°F 18 minutes."]</t>
        </is>
      </c>
    </row>
    <row r="652" ht="96" customHeight="1">
      <c r="A652" s="2" t="inlineStr">
        <is>
          <t>DB-0651</t>
        </is>
      </c>
      <c r="B652" s="3" t="inlineStr">
        <is>
          <t>Chickpea 'Tuna' Salad Lettuce Wraps</t>
        </is>
      </c>
      <c r="C652" s="4" t="inlineStr">
        <is>
          <t>Vegetarian &amp; Vegan</t>
        </is>
      </c>
      <c r="D652" s="4" t="inlineStr">
        <is>
          <t>American</t>
        </is>
      </c>
      <c r="E652" s="2" t="n">
        <v>3</v>
      </c>
      <c r="F652" s="2" t="n">
        <v>10</v>
      </c>
      <c r="G652" s="2" t="n">
        <v>0</v>
      </c>
      <c r="H652" s="2" t="n">
        <v>10</v>
      </c>
      <c r="I652" s="4" t="inlineStr">
        <is>
          <t>chickpea-tuna-salad-lettuce-wraps.jpg</t>
        </is>
      </c>
      <c r="J652" s="3" t="inlineStr">
        <is>
          <t>Chickpea 'Tuna' Salad Lettuce Wraps, healthy food photography, plated, natural light</t>
        </is>
      </c>
      <c r="K652" s="4" t="inlineStr"/>
      <c r="L652" s="3" t="inlineStr">
        <is>
          <t>Chickpeas, cooked — 400 g (14.1 oz)
Celery — 80 g (2.8 oz)
Red onion — 30 g (1.1 oz)
Dill pickles — 40 g (1.4 oz)
Mayonnaise (avocado oil) — 20 g (0.7 oz)
Greek yogurt, plain 2% — 40 g (1.4 oz)
Dijon mustard — 10 g (0.4 oz)
Lemon juice — 10 g (0.4 oz)
Nori seaweed sheets — 2 g (0.1 oz)
Butter lettuce — 150 g (5.3 oz)
Fresh dill — 4 g (0.1 oz)</t>
        </is>
      </c>
      <c r="M652" s="4" t="inlineStr">
        <is>
          <t>[{"ingredient_id": "chickpeas", "name": "Chickpeas, cooked", "grams": 400.0, "note": ""}, {"ingredient_id": "celery", "name": "Celery", "grams": 80.0, "note": ""}, {"ingredient_id": "red_onion", "name": "Red onion", "grams": 30.0, "note": ""}, {"ingredient_id": "dill_pickle", "name": "Dill pickles", "grams": 40.0, "note": ""}, {"ingredient_id": "mayo", "name": "Mayonnaise (avocado oil)", "grams": 20.0, "note": ""}, {"ingredient_id": "greek_yogurt", "name": "Greek yogurt, plain 2%", "grams": 40.0, "note": ""}, {"ingredient_id": "dijon", "name": "Dijon mustard", "grams": 10.0, "note": ""}, {"ingredient_id": "lemon_juice", "name": "Lemon juice", "grams": 10.0, "note": ""}, {"ingredient_id": "nori", "name": "Nori seaweed sheets", "grams": 2.0, "note": ""}, {"ingredient_id": "butter_lettuce", "name": "Butter lettuce", "grams": 150.0, "note": ""}, {"ingredient_id": "dill", "name": "Fresh dill", "grams": 4.0, "note": ""}]</t>
        </is>
      </c>
      <c r="N652" s="2" t="n">
        <v>295</v>
      </c>
      <c r="O652" s="5" t="n">
        <v>14.5</v>
      </c>
      <c r="P652" s="5" t="n">
        <v>9.300000000000001</v>
      </c>
      <c r="Q652" s="5" t="n">
        <v>40.2</v>
      </c>
      <c r="R652" s="5" t="n">
        <v>11.6</v>
      </c>
      <c r="S652" s="5" t="n">
        <v>28.6</v>
      </c>
      <c r="T652" s="2" t="n">
        <v>36</v>
      </c>
      <c r="U652" s="2" t="inlineStr">
        <is>
          <t>low</t>
        </is>
      </c>
      <c r="V652" s="5" t="n">
        <v>10.3</v>
      </c>
      <c r="W652" s="2" t="inlineStr">
        <is>
          <t>medium</t>
        </is>
      </c>
      <c r="X652" s="3" t="inlineStr"/>
      <c r="Y652" s="3" t="inlineStr">
        <is>
          <t>92% of this dish's available carbohydrate comes from ingredients with a published, measured GI; the rest uses conventional placeholders (see Ingredients sheet)</t>
        </is>
      </c>
      <c r="Z652" s="2" t="n">
        <v>92</v>
      </c>
      <c r="AA652" s="3" t="inlineStr">
        <is>
          <t>vegetarian, gluten-free, nut-free, high-fiber, no-cook</t>
        </is>
      </c>
      <c r="AB652" s="3" t="inlineStr">
        <is>
          <t>1. Mash chickpeas roughly.
2. Mix with celery, onion, pickle, mayo, yogurt, Dijon, lemon, crumbled nori, dill.
3. Serve in lettuce cups.</t>
        </is>
      </c>
      <c r="AC652" s="4" t="inlineStr">
        <is>
          <t>["Mash chickpeas roughly.", "Mix with celery, onion, pickle, mayo, yogurt, Dijon, lemon, crumbled nori, dill.", "Serve in lettuce cups."]</t>
        </is>
      </c>
    </row>
    <row r="653" ht="96" customHeight="1">
      <c r="A653" s="2" t="inlineStr">
        <is>
          <t>DB-0652</t>
        </is>
      </c>
      <c r="B653" s="3" t="inlineStr">
        <is>
          <t>Loaded Cauliflower Casserole</t>
        </is>
      </c>
      <c r="C653" s="4" t="inlineStr">
        <is>
          <t>Vegetarian &amp; Vegan</t>
        </is>
      </c>
      <c r="D653" s="4" t="inlineStr">
        <is>
          <t>American</t>
        </is>
      </c>
      <c r="E653" s="2" t="n">
        <v>6</v>
      </c>
      <c r="F653" s="2" t="n">
        <v>10</v>
      </c>
      <c r="G653" s="2" t="n">
        <v>30</v>
      </c>
      <c r="H653" s="2" t="n">
        <v>40</v>
      </c>
      <c r="I653" s="4" t="inlineStr">
        <is>
          <t>loaded-cauliflower-casserole.jpg</t>
        </is>
      </c>
      <c r="J653" s="3" t="inlineStr">
        <is>
          <t>Loaded Cauliflower Casserole, healthy food photography, plated, natural light</t>
        </is>
      </c>
      <c r="K653" s="4" t="inlineStr"/>
      <c r="L653" s="3" t="inlineStr">
        <is>
          <t>Cauliflower — 1000 g (35.3 oz)
Greek yogurt, plain 2% — 200 g (7.1 oz)
Cream cheese — 60 g (2.1 oz)
Cheddar cheese — 120 g (4.2 oz)
Green onions (scallions) — 25 g (0.9 oz)
Garlic powder — 2 g (0.1 oz)
Egg, large (50 g each) — 100 g (3.5 oz)
Salt — 3 g (0.1 oz)</t>
        </is>
      </c>
      <c r="M653" s="4" t="inlineStr">
        <is>
          <t>[{"ingredient_id": "cauliflower", "name": "Cauliflower", "grams": 1000.0, "note": ""}, {"ingredient_id": "greek_yogurt", "name": "Greek yogurt, plain 2%", "grams": 200.0, "note": ""}, {"ingredient_id": "cream_cheese", "name": "Cream cheese", "grams": 60.0, "note": ""}, {"ingredient_id": "cheddar", "name": "Cheddar cheese", "grams": 120.0, "note": ""}, {"ingredient_id": "green_onion", "name": "Green onions (scallions)", "grams": 25.0, "note": ""}, {"ingredient_id": "garlic_powder", "name": "Garlic powder", "grams": 2.0, "note": ""}, {"ingredient_id": "egg", "name": "Egg, large (50 g each)", "grams": 100.0, "note": ""}, {"ingredient_id": "salt", "name": "Salt", "grams": 3.0, "note": ""}]</t>
        </is>
      </c>
      <c r="N653" s="2" t="n">
        <v>207</v>
      </c>
      <c r="O653" s="5" t="n">
        <v>13.9</v>
      </c>
      <c r="P653" s="5" t="n">
        <v>12.8</v>
      </c>
      <c r="Q653" s="5" t="n">
        <v>11</v>
      </c>
      <c r="R653" s="5" t="n">
        <v>3.5</v>
      </c>
      <c r="S653" s="5" t="n">
        <v>7.5</v>
      </c>
      <c r="T653" s="2" t="n">
        <v>13</v>
      </c>
      <c r="U653" s="2" t="inlineStr">
        <is>
          <t>low</t>
        </is>
      </c>
      <c r="V653" s="5" t="n">
        <v>1</v>
      </c>
      <c r="W653" s="2" t="inlineStr">
        <is>
          <t>low</t>
        </is>
      </c>
      <c r="X653" s="3" t="inlineStr"/>
      <c r="Y653" s="3" t="inlineStr">
        <is>
          <t>18% of this dish's available carbohydrate comes from ingredients with a published, measured GI; the rest uses conventional placeholders (see Ingredients sheet)</t>
        </is>
      </c>
      <c r="Z653" s="2" t="n">
        <v>18</v>
      </c>
      <c r="AA653" s="3" t="inlineStr">
        <is>
          <t>vegetarian, gluten-free, nut-free, low-carb, make-ahead</t>
        </is>
      </c>
      <c r="AB653" s="3" t="inlineStr">
        <is>
          <t>1. Steam cauliflower; chop.
2. Mix yogurt, cream cheese, eggs, garlic powder, half the cheddar, salt; fold in cauliflower.
3. Top cheddar; bake at 375°F 25 minutes; green onion.</t>
        </is>
      </c>
      <c r="AC653" s="4" t="inlineStr">
        <is>
          <t>["Steam cauliflower; chop.", "Mix yogurt, cream cheese, eggs, garlic powder, half the cheddar, salt; fold in cauliflower.", "Top cheddar; bake at 375°F 25 minutes; green onion."]</t>
        </is>
      </c>
    </row>
    <row r="654" ht="96" customHeight="1">
      <c r="A654" s="2" t="inlineStr">
        <is>
          <t>DB-0653</t>
        </is>
      </c>
      <c r="B654" s="3" t="inlineStr">
        <is>
          <t>Sesame Tofu Noodle Bowl (Shirataki)</t>
        </is>
      </c>
      <c r="C654" s="4" t="inlineStr">
        <is>
          <t>Vegetarian &amp; Vegan</t>
        </is>
      </c>
      <c r="D654" s="4" t="inlineStr">
        <is>
          <t>Asian</t>
        </is>
      </c>
      <c r="E654" s="2" t="n">
        <v>3</v>
      </c>
      <c r="F654" s="2" t="n">
        <v>10</v>
      </c>
      <c r="G654" s="2" t="n">
        <v>12</v>
      </c>
      <c r="H654" s="2" t="n">
        <v>22</v>
      </c>
      <c r="I654" s="4" t="inlineStr">
        <is>
          <t>sesame-tofu-noodle-bowl-shirataki.jpg</t>
        </is>
      </c>
      <c r="J654" s="3" t="inlineStr">
        <is>
          <t>Sesame Tofu Noodle Bowl (Shirataki), healthy food photography, plated, natural light</t>
        </is>
      </c>
      <c r="K654" s="4" t="inlineStr"/>
      <c r="L654" s="3" t="inlineStr">
        <is>
          <t>Tofu, extra-firm — 400 g (14.1 oz)
Shirataki noodles — 400 g (14.1 oz)
Sugar snap peas — 150 g (5.3 oz)
Carrot — 60 g (2.1 oz)
Bell pepper — 100 g (3.5 oz)
Tahini — 25 g (0.9 oz)
Tamari (gluten-free soy sauce) — 25 g (0.9 oz)
Rice vinegar, unseasoned — 12 g (0.4 oz)
Toasted sesame oil — 8 g (0.3 oz)
Garlic — 5 g (0.2 oz)
Fresh ginger — 5 g (0.2 oz)
Avocado oil — 12 g (0.4 oz)
Sesame seeds — 6 g (0.2 oz)</t>
        </is>
      </c>
      <c r="M654" s="4" t="inlineStr">
        <is>
          <t>[{"ingredient_id": "tofu", "name": "Tofu, extra-firm", "grams": 400.0, "note": ""}, {"ingredient_id": "shirataki", "name": "Shirataki noodles", "grams": 400.0, "note": ""}, {"ingredient_id": "snap_peas", "name": "Sugar snap peas", "grams": 150.0, "note": ""}, {"ingredient_id": "carrot", "name": "Carrot", "grams": 60.0, "note": ""}, {"ingredient_id": "bell_pepper", "name": "Bell pepper", "grams": 100.0, "note": ""}, {"ingredient_id": "tahini", "name": "Tahini", "grams": 25.0, "note": ""}, {"ingredient_id": "tamari", "name": "Tamari (gluten-free soy sauce)", "grams": 25.0, "note": ""}, {"ingredient_id": "rice_vinegar", "name": "Rice vinegar, unseasoned", "grams": 12.0, "note": ""}, {"ingredient_id": "sesame_oil", "name": "Toasted sesame oil", "grams": 8.0, "note": ""}, {"ingredient_id": "garlic", "name": "Garlic", "grams": 5.0, "note": ""}, {"ingredient_id": "ginger", "name": "Fresh ginger", "grams": 5.0, "note": ""}, {"ingredient_id": "avocado_oil", "name": "Avocado oil", "grams": 12.0, "note": ""}, {"ingredient_id": "sesame_seeds", "name": "Sesame seeds", "grams": 6.0, "note": ""}]</t>
        </is>
      </c>
      <c r="N654" s="2" t="n">
        <v>374</v>
      </c>
      <c r="O654" s="5" t="n">
        <v>27.3</v>
      </c>
      <c r="P654" s="5" t="n">
        <v>24.4</v>
      </c>
      <c r="Q654" s="5" t="n">
        <v>19.2</v>
      </c>
      <c r="R654" s="5" t="n">
        <v>10.4</v>
      </c>
      <c r="S654" s="5" t="n">
        <v>8.800000000000001</v>
      </c>
      <c r="T654" s="2" t="n">
        <v>23</v>
      </c>
      <c r="U654" s="2" t="inlineStr">
        <is>
          <t>low</t>
        </is>
      </c>
      <c r="V654" s="5" t="n">
        <v>2</v>
      </c>
      <c r="W654" s="2" t="inlineStr">
        <is>
          <t>low</t>
        </is>
      </c>
      <c r="X654" s="3" t="inlineStr"/>
      <c r="Y654" s="3" t="inlineStr">
        <is>
          <t>15% of this dish's available carbohydrate comes from ingredients with a published, measured GI; the rest uses conventional placeholders (see Ingredients sheet)</t>
        </is>
      </c>
      <c r="Z654" s="2" t="n">
        <v>15</v>
      </c>
      <c r="AA654" s="3" t="inlineStr">
        <is>
          <t>vegan, gluten-free, dairy-free, nut-free, low-carb, high-protein, high-fiber</t>
        </is>
      </c>
      <c r="AB654" s="3" t="inlineStr">
        <is>
          <t>1. Pan-fry tofu until crisp.
2. Rinse and dry-fry shirataki; stir-fry vegetables 3 minutes.
3. Whisk tahini, tamari, vinegar, sesame oil, garlic, ginger, water; toss everything; sesame.</t>
        </is>
      </c>
      <c r="AC654" s="4" t="inlineStr">
        <is>
          <t>["Pan-fry tofu until crisp.", "Rinse and dry-fry shirataki; stir-fry vegetables 3 minutes.", "Whisk tahini, tamari, vinegar, sesame oil, garlic, ginger, water; toss everything; sesame."]</t>
        </is>
      </c>
    </row>
    <row r="655" ht="96" customHeight="1">
      <c r="A655" s="2" t="inlineStr">
        <is>
          <t>DB-0654</t>
        </is>
      </c>
      <c r="B655" s="3" t="inlineStr">
        <is>
          <t>Chipotle Black Bean Lettuce Tacos</t>
        </is>
      </c>
      <c r="C655" s="4" t="inlineStr">
        <is>
          <t>Vegetarian &amp; Vegan</t>
        </is>
      </c>
      <c r="D655" s="4" t="inlineStr">
        <is>
          <t>Mexican</t>
        </is>
      </c>
      <c r="E655" s="2" t="n">
        <v>4</v>
      </c>
      <c r="F655" s="2" t="n">
        <v>10</v>
      </c>
      <c r="G655" s="2" t="n">
        <v>12</v>
      </c>
      <c r="H655" s="2" t="n">
        <v>22</v>
      </c>
      <c r="I655" s="4" t="inlineStr">
        <is>
          <t>chipotle-black-bean-lettuce-tacos.jpg</t>
        </is>
      </c>
      <c r="J655" s="3" t="inlineStr">
        <is>
          <t>Chipotle Black Bean Lettuce Tacos, healthy food photography, plated, natural light</t>
        </is>
      </c>
      <c r="K655" s="4" t="inlineStr"/>
      <c r="L655" s="3" t="inlineStr">
        <is>
          <t>Black beans, cooked — 500 g (17.6 oz)
Chipotle peppers in adobo — 15 g (0.5 oz)
Yellow onion — 80 g (2.8 oz)
Garlic — 6 g (0.2 oz)
Ground cumin — 3 g (0.1 oz)
Lime — 40 g (1.4 oz)
Romaine lettuce — 200 g (7.1 oz)
Avocado — 120 g (4.2 oz)
Pico de gallo — 200 g (7.1 oz)
Cotija cheese — 40 g (1.4 oz)
Extra-virgin olive oil — 10 g (0.4 oz)
Fresh cilantro — 6 g (0.2 oz)</t>
        </is>
      </c>
      <c r="M655" s="4" t="inlineStr">
        <is>
          <t>[{"ingredient_id": "black_beans", "name": "Black beans, cooked", "grams": 500.0, "note": ""}, {"ingredient_id": "chipotle_adobo", "name": "Chipotle peppers in adobo", "grams": 15.0, "note": ""}, {"ingredient_id": "onion", "name": "Yellow onion", "grams": 80.0, "note": ""}, {"ingredient_id": "garlic", "name": "Garlic", "grams": 6.0, "note": ""}, {"ingredient_id": "cumin", "name": "Ground cumin", "grams": 3.0, "note": ""}, {"ingredient_id": "lime", "name": "Lime", "grams": 40.0, "note": ""}, {"ingredient_id": "romaine", "name": "Romaine lettuce", "grams": 200.0, "note": ""}, {"ingredient_id": "avocado", "name": "Avocado", "grams": 120.0, "note": ""}, {"ingredient_id": "pico_de_gallo", "name": "Pico de gallo", "grams": 200.0, "note": ""}, {"ingredient_id": "cotija", "name": "Cotija cheese", "grams": 40.0, "note": ""}, {"ingredient_id": "olive_oil", "name": "Extra-virgin olive oil", "grams": 10.0, "note": ""}, {"ingredient_id": "cilantro", "name": "Fresh cilantro", "grams": 6.0, "note": ""}]</t>
        </is>
      </c>
      <c r="N655" s="2" t="n">
        <v>309</v>
      </c>
      <c r="O655" s="5" t="n">
        <v>15.4</v>
      </c>
      <c r="P655" s="5" t="n">
        <v>11.1</v>
      </c>
      <c r="Q655" s="5" t="n">
        <v>40.8</v>
      </c>
      <c r="R655" s="5" t="n">
        <v>15.5</v>
      </c>
      <c r="S655" s="5" t="n">
        <v>25.3</v>
      </c>
      <c r="T655" s="2" t="n">
        <v>27</v>
      </c>
      <c r="U655" s="2" t="inlineStr">
        <is>
          <t>low</t>
        </is>
      </c>
      <c r="V655" s="5" t="n">
        <v>6.8</v>
      </c>
      <c r="W655" s="2" t="inlineStr">
        <is>
          <t>low</t>
        </is>
      </c>
      <c r="X655" s="3" t="inlineStr"/>
      <c r="Y655" s="3" t="inlineStr">
        <is>
          <t>74% of this dish's available carbohydrate comes from ingredients with a published, measured GI; the rest uses conventional placeholders (see Ingredients sheet)</t>
        </is>
      </c>
      <c r="Z655" s="2" t="n">
        <v>74</v>
      </c>
      <c r="AA655" s="3" t="inlineStr">
        <is>
          <t>vegetarian, gluten-free, nut-free, high-fiber, quick</t>
        </is>
      </c>
      <c r="AB655" s="3" t="inlineStr">
        <is>
          <t>1. Sauté onion, garlic, cumin; add beans, chipotle, splash of water; mash lightly; cook 6 minutes.
2. Fill romaine leaves.
3. Top avocado, pico, cotija, cilantro, lime.</t>
        </is>
      </c>
      <c r="AC655" s="4" t="inlineStr">
        <is>
          <t>["Sauté onion, garlic, cumin; add beans, chipotle, splash of water; mash lightly; cook 6 minutes.", "Fill romaine leaves.", "Top avocado, pico, cotija, cilantro, lime."]</t>
        </is>
      </c>
    </row>
    <row r="656" ht="96" customHeight="1">
      <c r="A656" s="2" t="inlineStr">
        <is>
          <t>DB-0655</t>
        </is>
      </c>
      <c r="B656" s="3" t="inlineStr">
        <is>
          <t>Spinach Ricotta Stuffed Zucchini Boats</t>
        </is>
      </c>
      <c r="C656" s="4" t="inlineStr">
        <is>
          <t>Vegetarian &amp; Vegan</t>
        </is>
      </c>
      <c r="D656" s="4" t="inlineStr">
        <is>
          <t>Italian</t>
        </is>
      </c>
      <c r="E656" s="2" t="n">
        <v>4</v>
      </c>
      <c r="F656" s="2" t="n">
        <v>15</v>
      </c>
      <c r="G656" s="2" t="n">
        <v>30</v>
      </c>
      <c r="H656" s="2" t="n">
        <v>45</v>
      </c>
      <c r="I656" s="4" t="inlineStr">
        <is>
          <t>spinach-ricotta-stuffed-zucchini-boats.jpg</t>
        </is>
      </c>
      <c r="J656" s="3" t="inlineStr">
        <is>
          <t>Spinach Ricotta Stuffed Zucchini Boats, healthy food photography, plated, natural light</t>
        </is>
      </c>
      <c r="K656" s="4" t="inlineStr"/>
      <c r="L656" s="3" t="inlineStr">
        <is>
          <t>Zucchini — 800 g (28.2 oz)
Ricotta, part-skim — 250 g (8.8 oz)
Spinach — 150 g (5.3 oz)
Egg, large (50 g each) — 50 g (1.8 oz)
Parmesan, grated — 40 g (1.4 oz)
Garlic — 6 g (0.2 oz)
Marinara sauce, no sugar added — 200 g (7.1 oz)
Mozzarella, part-skim — 80 g (2.8 oz)
Ground nutmeg — 0.2 g (0.0 oz)
Salt — 2 g (0.1 oz)</t>
        </is>
      </c>
      <c r="M656" s="4" t="inlineStr">
        <is>
          <t>[{"ingredient_id": "zucchini", "name": "Zucchini", "grams": 800.0, "note": ""}, {"ingredient_id": "ricotta", "name": "Ricotta, part-skim", "grams": 250.0, "note": ""}, {"ingredient_id": "spinach", "name": "Spinach", "grams": 150.0, "note": ""}, {"ingredient_id": "egg", "name": "Egg, large (50 g each)", "grams": 50.0, "note": ""}, {"ingredient_id": "parmesan", "name": "Parmesan, grated", "grams": 40.0, "note": ""}, {"ingredient_id": "garlic", "name": "Garlic", "grams": 6.0, "note": ""}, {"ingredient_id": "marinara", "name": "Marinara sauce, no sugar added", "grams": 200.0, "note": ""}, {"ingredient_id": "mozzarella", "name": "Mozzarella, part-skim", "grams": 80.0, "note": ""}, {"ingredient_id": "nutmeg", "name": "Ground nutmeg", "grams": 0.2, "note": ""}, {"ingredient_id": "salt", "name": "Salt", "grams": 2.0, "note": ""}]</t>
        </is>
      </c>
      <c r="N656" s="2" t="n">
        <v>266</v>
      </c>
      <c r="O656" s="5" t="n">
        <v>21.4</v>
      </c>
      <c r="P656" s="5" t="n">
        <v>14.3</v>
      </c>
      <c r="Q656" s="5" t="n">
        <v>14.8</v>
      </c>
      <c r="R656" s="5" t="n">
        <v>3.6</v>
      </c>
      <c r="S656" s="5" t="n">
        <v>11.2</v>
      </c>
      <c r="T656" s="2" t="n">
        <v>17</v>
      </c>
      <c r="U656" s="2" t="inlineStr">
        <is>
          <t>low</t>
        </is>
      </c>
      <c r="V656" s="5" t="n">
        <v>1.9</v>
      </c>
      <c r="W656" s="2" t="inlineStr">
        <is>
          <t>low</t>
        </is>
      </c>
      <c r="X656" s="3" t="inlineStr"/>
      <c r="Y656" s="3" t="inlineStr">
        <is>
          <t>16% of this dish's available carbohydrate comes from ingredients with a published, measured GI; the rest uses conventional placeholders (see Ingredients sheet)</t>
        </is>
      </c>
      <c r="Z656" s="2" t="n">
        <v>16</v>
      </c>
      <c r="AA656" s="3" t="inlineStr">
        <is>
          <t>vegetarian, gluten-free, nut-free, low-carb</t>
        </is>
      </c>
      <c r="AB656" s="3" t="inlineStr">
        <is>
          <t>1. Halve zucchini; scoop.
2. Mix ricotta, spinach, egg, parmesan, garlic, nutmeg, salt; fill.
3. Spoon marinara over; top mozzarella; bake at 400°F 25 minutes.</t>
        </is>
      </c>
      <c r="AC656" s="4" t="inlineStr">
        <is>
          <t>["Halve zucchini; scoop.", "Mix ricotta, spinach, egg, parmesan, garlic, nutmeg, salt; fill.", "Spoon marinara over; top mozzarella; bake at 400°F 25 minutes."]</t>
        </is>
      </c>
    </row>
    <row r="657" ht="96" customHeight="1">
      <c r="A657" s="2" t="inlineStr">
        <is>
          <t>DB-0656</t>
        </is>
      </c>
      <c r="B657" s="3" t="inlineStr">
        <is>
          <t>Lentil Sloppy Joes (Lettuce or Muffin)</t>
        </is>
      </c>
      <c r="C657" s="4" t="inlineStr">
        <is>
          <t>Vegetarian &amp; Vegan</t>
        </is>
      </c>
      <c r="D657" s="4" t="inlineStr">
        <is>
          <t>American</t>
        </is>
      </c>
      <c r="E657" s="2" t="n">
        <v>4</v>
      </c>
      <c r="F657" s="2" t="n">
        <v>10</v>
      </c>
      <c r="G657" s="2" t="n">
        <v>20</v>
      </c>
      <c r="H657" s="2" t="n">
        <v>30</v>
      </c>
      <c r="I657" s="4" t="inlineStr">
        <is>
          <t>lentil-sloppy-joes-lettuce-or-muffin.jpg</t>
        </is>
      </c>
      <c r="J657" s="3" t="inlineStr">
        <is>
          <t>Lentil Sloppy Joes (Lettuce or Muffin), healthy food photography, plated, natural light</t>
        </is>
      </c>
      <c r="K657" s="4" t="inlineStr"/>
      <c r="L657" s="3" t="inlineStr">
        <is>
          <t>Lentils, cooked — 500 g (17.6 oz)
Yellow onion — 100 g (3.5 oz)
Bell pepper — 150 g (5.3 oz)
Garlic — 6 g (0.2 oz)
Tomato sauce, canned, no sugar added — 300 g (10.6 oz)
Tomato paste — 30 g (1.1 oz)
Apple cider vinegar — 15 g (0.5 oz)
Dijon mustard — 10 g (0.4 oz)
Smoked paprika — 3 g (0.1 oz)
Monk fruit/erythritol sweetener — 6 g (0.2 oz)
Extra-virgin olive oil — 10 g (0.4 oz)
Whole wheat English muffin — 114 g (4.0 oz) [2, split]
Butter lettuce — 100 g (3.5 oz)</t>
        </is>
      </c>
      <c r="M657" s="4" t="inlineStr">
        <is>
          <t>[{"ingredient_id": "lentils", "name": "Lentils, cooked", "grams": 500.0, "note": ""}, {"ingredient_id": "onion", "name": "Yellow onion", "grams": 100.0, "note": ""}, {"ingredient_id": "bell_pepper", "name": "Bell pepper", "grams": 150.0, "note": ""}, {"ingredient_id": "garlic", "name": "Garlic", "grams": 6.0, "note": ""}, {"ingredient_id": "tomato_sauce", "name": "Tomato sauce, canned, no sugar added", "grams": 300.0, "note": ""}, {"ingredient_id": "tomato_paste", "name": "Tomato paste", "grams": 30.0, "note": ""}, {"ingredient_id": "apple_cider_vinegar", "name": "Apple cider vinegar", "grams": 15.0, "note": ""}, {"ingredient_id": "dijon", "name": "Dijon mustard", "grams": 10.0, "note": ""}, {"ingredient_id": "smoked_paprika", "name": "Smoked paprika", "grams": 3.0, "note": ""}, {"ingredient_id": "monk_fruit_sweetener", "name": "Monk fruit/erythritol sweetener", "grams": 6.0, "note": ""}, {"ingredient_id": "olive_oil", "name": "Extra-virgin olive oil", "grams": 10.0, "note": ""}, {"ingredient_id": "whole_wheat_english_muffin", "name": "Whole wheat English muffin", "grams": 114.0, "note": "2, split"}, {"ingredient_id": "butter_lettuce", "name": "Butter lettuce", "grams": 100.0, "note": ""}]</t>
        </is>
      </c>
      <c r="N657" s="2" t="n">
        <v>286</v>
      </c>
      <c r="O657" s="5" t="n">
        <v>16.4</v>
      </c>
      <c r="P657" s="5" t="n">
        <v>4.1</v>
      </c>
      <c r="Q657" s="5" t="n">
        <v>49.4</v>
      </c>
      <c r="R657" s="5" t="n">
        <v>15.2</v>
      </c>
      <c r="S657" s="5" t="n">
        <v>34.3</v>
      </c>
      <c r="T657" s="2" t="n">
        <v>36</v>
      </c>
      <c r="U657" s="2" t="inlineStr">
        <is>
          <t>low</t>
        </is>
      </c>
      <c r="V657" s="5" t="n">
        <v>12.3</v>
      </c>
      <c r="W657" s="2" t="inlineStr">
        <is>
          <t>medium</t>
        </is>
      </c>
      <c r="X657" s="3" t="inlineStr"/>
      <c r="Y657" s="3" t="inlineStr">
        <is>
          <t>76% of this dish's available carbohydrate comes from ingredients with a published, measured GI; the rest uses conventional placeholders (see Ingredients sheet)</t>
        </is>
      </c>
      <c r="Z657" s="2" t="n">
        <v>76</v>
      </c>
      <c r="AA657" s="3" t="inlineStr">
        <is>
          <t>vegan, dairy-free, nut-free, high-fiber</t>
        </is>
      </c>
      <c r="AB657" s="3" t="inlineStr">
        <is>
          <t>1. Sauté onion, pepper, garlic in oil.
2. Add lentils, sauce, paste, vinegar, Dijon, paprika, sweetener; simmer 10 minutes.
3. Serve on toasted muffin halves or lettuce.</t>
        </is>
      </c>
      <c r="AC657" s="4" t="inlineStr">
        <is>
          <t>["Sauté onion, pepper, garlic in oil.", "Add lentils, sauce, paste, vinegar, Dijon, paprika, sweetener; simmer 10 minutes.", "Serve on toasted muffin halves or lettuce."]</t>
        </is>
      </c>
    </row>
    <row r="658" ht="96" customHeight="1">
      <c r="A658" s="2" t="inlineStr">
        <is>
          <t>DB-0657</t>
        </is>
      </c>
      <c r="B658" s="3" t="inlineStr">
        <is>
          <t>Tofu Shakshuka</t>
        </is>
      </c>
      <c r="C658" s="4" t="inlineStr">
        <is>
          <t>Vegetarian &amp; Vegan</t>
        </is>
      </c>
      <c r="D658" s="4" t="inlineStr">
        <is>
          <t>Middle Eastern</t>
        </is>
      </c>
      <c r="E658" s="2" t="n">
        <v>3</v>
      </c>
      <c r="F658" s="2" t="n">
        <v>10</v>
      </c>
      <c r="G658" s="2" t="n">
        <v>25</v>
      </c>
      <c r="H658" s="2" t="n">
        <v>35</v>
      </c>
      <c r="I658" s="4" t="inlineStr">
        <is>
          <t>tofu-shakshuka.jpg</t>
        </is>
      </c>
      <c r="J658" s="3" t="inlineStr">
        <is>
          <t>Tofu Shakshuka, healthy food photography, plated, natural light</t>
        </is>
      </c>
      <c r="K658" s="4" t="inlineStr"/>
      <c r="L658" s="3" t="inlineStr">
        <is>
          <t>Tofu, extra-firm — 400 g (14.1 oz)
Crushed tomatoes, canned — 500 g (17.6 oz)
Bell pepper — 150 g (5.3 oz)
Yellow onion — 100 g (3.5 oz)
Garlic — 8 g (0.3 oz)
Ground cumin — 3 g (0.1 oz)
Smoked paprika — 3 g (0.1 oz)
Harissa paste — 10 g (0.4 oz)
Extra-virgin olive oil — 15 g (0.5 oz)
Fresh parsley — 8 g (0.3 oz)
Salt — 3 g (0.1 oz)</t>
        </is>
      </c>
      <c r="M658" s="4" t="inlineStr">
        <is>
          <t>[{"ingredient_id": "tofu", "name": "Tofu, extra-firm", "grams": 400.0, "note": ""}, {"ingredient_id": "crushed_tomatoes", "name": "Crushed tomatoes, canned", "grams": 500.0, "note": ""}, {"ingredient_id": "bell_pepper", "name": "Bell pepper", "grams": 150.0, "note": ""}, {"ingredient_id": "onion", "name": "Yellow onion", "grams": 100.0, "note": ""}, {"ingredient_id": "garlic", "name": "Garlic", "grams": 8.0, "note": ""}, {"ingredient_id": "cumin", "name": "Ground cumin", "grams": 3.0, "note": ""}, {"ingredient_id": "smoked_paprika", "name": "Smoked paprika", "grams": 3.0, "note": ""}, {"ingredient_id": "harissa", "name": "Harissa paste", "grams": 10.0, "note": ""}, {"ingredient_id": "olive_oil", "name": "Extra-virgin olive oil", "grams": 15.0, "note": ""}, {"ingredient_id": "parsley", "name": "Fresh parsley", "grams": 8.0, "note": ""}, {"ingredient_id": "salt", "name": "Salt", "grams": 3.0, "note": ""}]</t>
        </is>
      </c>
      <c r="N658" s="2" t="n">
        <v>332</v>
      </c>
      <c r="O658" s="5" t="n">
        <v>26.8</v>
      </c>
      <c r="P658" s="5" t="n">
        <v>18.2</v>
      </c>
      <c r="Q658" s="5" t="n">
        <v>24.1</v>
      </c>
      <c r="R658" s="5" t="n">
        <v>8.1</v>
      </c>
      <c r="S658" s="5" t="n">
        <v>15.9</v>
      </c>
      <c r="T658" s="2" t="n">
        <v>26</v>
      </c>
      <c r="U658" s="2" t="inlineStr">
        <is>
          <t>low</t>
        </is>
      </c>
      <c r="V658" s="5" t="n">
        <v>4.1</v>
      </c>
      <c r="W658" s="2" t="inlineStr">
        <is>
          <t>low</t>
        </is>
      </c>
      <c r="X658" s="3" t="inlineStr"/>
      <c r="Y658" s="3" t="inlineStr">
        <is>
          <t>0% of this dish's available carbohydrate comes from ingredients with a published, measured GI; the rest uses conventional placeholders (see Ingredients sheet)</t>
        </is>
      </c>
      <c r="Z658" s="2" t="n">
        <v>0</v>
      </c>
      <c r="AA658" s="3" t="inlineStr">
        <is>
          <t>vegan, gluten-free, dairy-free, nut-free, high-protein, high-fiber</t>
        </is>
      </c>
      <c r="AB658" s="3" t="inlineStr">
        <is>
          <t>1. Sauté onion, pepper, garlic, spices in oil.
2. Add tomatoes and harissa; simmer 10 minutes.
3. Nestle tofu slabs into the sauce; cover 8 minutes; parsley.</t>
        </is>
      </c>
      <c r="AC658" s="4" t="inlineStr">
        <is>
          <t>["Sauté onion, pepper, garlic, spices in oil.", "Add tomatoes and harissa; simmer 10 minutes.", "Nestle tofu slabs into the sauce; cover 8 minutes; parsley."]</t>
        </is>
      </c>
    </row>
    <row r="659" ht="96" customHeight="1">
      <c r="A659" s="2" t="inlineStr">
        <is>
          <t>DB-0658</t>
        </is>
      </c>
      <c r="B659" s="3" t="inlineStr">
        <is>
          <t>Broccoli Tofu Stir-Fry with Garlic Sauce</t>
        </is>
      </c>
      <c r="C659" s="4" t="inlineStr">
        <is>
          <t>Vegetarian &amp; Vegan</t>
        </is>
      </c>
      <c r="D659" s="4" t="inlineStr">
        <is>
          <t>Chinese-American</t>
        </is>
      </c>
      <c r="E659" s="2" t="n">
        <v>3</v>
      </c>
      <c r="F659" s="2" t="n">
        <v>10</v>
      </c>
      <c r="G659" s="2" t="n">
        <v>12</v>
      </c>
      <c r="H659" s="2" t="n">
        <v>22</v>
      </c>
      <c r="I659" s="4" t="inlineStr">
        <is>
          <t>broccoli-tofu-stir-fry-with-garlic-sauce.jpg</t>
        </is>
      </c>
      <c r="J659" s="3" t="inlineStr">
        <is>
          <t>Broccoli Tofu Stir-Fry with Garlic Sauce, healthy food photography, plated, natural light</t>
        </is>
      </c>
      <c r="K659" s="4" t="inlineStr"/>
      <c r="L659" s="3" t="inlineStr">
        <is>
          <t>Tofu, extra-firm — 400 g (14.1 oz)
Broccoli — 500 g (17.6 oz)
Garlic — 12 g (0.4 oz)
Fresh ginger — 8 g (0.3 oz)
Tamari (gluten-free soy sauce) — 30 g (1.1 oz)
Rice vinegar, unseasoned — 12 g (0.4 oz)
Toasted sesame oil — 8 g (0.3 oz)
Arrowroot starch — 5 g (0.2 oz)
Vegetable broth, low sodium — 80 g (2.8 oz)
Avocado oil — 12 g (0.4 oz)
Red pepper flakes — 1 g (0.0 oz)</t>
        </is>
      </c>
      <c r="M659" s="4" t="inlineStr">
        <is>
          <t>[{"ingredient_id": "tofu", "name": "Tofu, extra-firm", "grams": 400.0, "note": ""}, {"ingredient_id": "broccoli", "name": "Broccoli", "grams": 500.0, "note": ""}, {"ingredient_id": "garlic", "name": "Garlic", "grams": 12.0, "note": ""}, {"ingredient_id": "ginger", "name": "Fresh ginger", "grams": 8.0, "note": ""}, {"ingredient_id": "tamari", "name": "Tamari (gluten-free soy sauce)", "grams": 30.0, "note": ""}, {"ingredient_id": "rice_vinegar", "name": "Rice vinegar, unseasoned", "grams": 12.0, "note": ""}, {"ingredient_id": "sesame_oil", "name": "Toasted sesame oil", "grams": 8.0, "note": ""}, {"ingredient_id": "arrowroot", "name": "Arrowroot starch", "grams": 5.0, "note": ""}, {"ingredient_id": "vegetable_broth", "name": "Vegetable broth, low sodium", "grams": 80.0, "note": ""}, {"ingredient_id": "avocado_oil", "name": "Avocado oil", "grams": 12.0, "note": ""}, {"ingredient_id": "red_pepper_flakes", "name": "Red pepper flakes", "grams": 1.0, "note": ""}]</t>
        </is>
      </c>
      <c r="N659" s="2" t="n">
        <v>332</v>
      </c>
      <c r="O659" s="5" t="n">
        <v>28.8</v>
      </c>
      <c r="P659" s="5" t="n">
        <v>19.5</v>
      </c>
      <c r="Q659" s="5" t="n">
        <v>19.4</v>
      </c>
      <c r="R659" s="5" t="n">
        <v>7.4</v>
      </c>
      <c r="S659" s="5" t="n">
        <v>12</v>
      </c>
      <c r="T659" s="2" t="n">
        <v>22</v>
      </c>
      <c r="U659" s="2" t="inlineStr">
        <is>
          <t>low</t>
        </is>
      </c>
      <c r="V659" s="5" t="n">
        <v>2.6</v>
      </c>
      <c r="W659" s="2" t="inlineStr">
        <is>
          <t>low</t>
        </is>
      </c>
      <c r="X659" s="3" t="inlineStr"/>
      <c r="Y659" s="3" t="inlineStr">
        <is>
          <t>12% of this dish's available carbohydrate comes from ingredients with a published, measured GI; the rest uses conventional placeholders (see Ingredients sheet)</t>
        </is>
      </c>
      <c r="Z659" s="2" t="n">
        <v>12</v>
      </c>
      <c r="AA659" s="3" t="inlineStr">
        <is>
          <t>vegan, gluten-free, dairy-free, nut-free, low-carb, high-protein, high-fiber, quick</t>
        </is>
      </c>
      <c r="AB659" s="3" t="inlineStr">
        <is>
          <t>1. Pan-fry tofu cubes until golden; remove.
2. Stir-fry broccoli, garlic, ginger; add broth, cover 2 minutes.
3. Add tamari, vinegar, arrowroot slurry, sesame oil, tofu, pepper flakes.</t>
        </is>
      </c>
      <c r="AC659" s="4" t="inlineStr">
        <is>
          <t>["Pan-fry tofu cubes until golden; remove.", "Stir-fry broccoli, garlic, ginger; add broth, cover 2 minutes.", "Add tamari, vinegar, arrowroot slurry, sesame oil, tofu, pepper flakes."]</t>
        </is>
      </c>
    </row>
    <row r="660" ht="96" customHeight="1">
      <c r="A660" s="2" t="inlineStr">
        <is>
          <t>DB-0659</t>
        </is>
      </c>
      <c r="B660" s="3" t="inlineStr">
        <is>
          <t>Greek Chickpea Stuffed Eggplant</t>
        </is>
      </c>
      <c r="C660" s="4" t="inlineStr">
        <is>
          <t>Vegetarian &amp; Vegan</t>
        </is>
      </c>
      <c r="D660" s="4" t="inlineStr">
        <is>
          <t>Greek</t>
        </is>
      </c>
      <c r="E660" s="2" t="n">
        <v>4</v>
      </c>
      <c r="F660" s="2" t="n">
        <v>15</v>
      </c>
      <c r="G660" s="2" t="n">
        <v>45</v>
      </c>
      <c r="H660" s="2" t="n">
        <v>60</v>
      </c>
      <c r="I660" s="4" t="inlineStr">
        <is>
          <t>greek-chickpea-stuffed-eggplant.jpg</t>
        </is>
      </c>
      <c r="J660" s="3" t="inlineStr">
        <is>
          <t>Greek Chickpea Stuffed Eggplant, healthy food photography, plated, natural light</t>
        </is>
      </c>
      <c r="K660" s="4" t="inlineStr"/>
      <c r="L660" s="3" t="inlineStr">
        <is>
          <t>Eggplant — 800 g (28.2 oz) [2 large, halved]
Chickpeas, cooked — 300 g (10.6 oz)
Tomato — 250 g (8.8 oz)
Yellow onion — 100 g (3.5 oz)
Garlic — 8 g (0.3 oz)
Dried oregano — 3 g (0.1 oz)
Feta cheese — 80 g (2.8 oz)
Extra-virgin olive oil — 20 g (0.7 oz)
Fresh parsley — 8 g (0.3 oz)
Ground cinnamon — 1 g (0.0 oz)
Salt — 3 g (0.1 oz)</t>
        </is>
      </c>
      <c r="M660" s="4" t="inlineStr">
        <is>
          <t>[{"ingredient_id": "eggplant", "name": "Eggplant", "grams": 800.0, "note": "2 large, halved"}, {"ingredient_id": "chickpeas", "name": "Chickpeas, cooked", "grams": 300.0, "note": ""}, {"ingredient_id": "tomato", "name": "Tomato", "grams": 250.0, "note": ""}, {"ingredient_id": "onion", "name": "Yellow onion", "grams": 100.0, "note": ""}, {"ingredient_id": "garlic", "name": "Garlic", "grams": 8.0, "note": ""}, {"ingredient_id": "oregano", "name": "Dried oregano", "grams": 3.0, "note": ""}, {"ingredient_id": "feta", "name": "Feta cheese", "grams": 80.0, "note": ""}, {"ingredient_id": "olive_oil", "name": "Extra-virgin olive oil", "grams": 20.0, "note": ""}, {"ingredient_id": "parsley", "name": "Fresh parsley", "grams": 8.0, "note": ""}, {"ingredient_id": "cinnamon", "name": "Ground cinnamon", "grams": 1.0, "note": ""}, {"ingredient_id": "salt", "name": "Salt", "grams": 3.0, "note": ""}]</t>
        </is>
      </c>
      <c r="N660" s="2" t="n">
        <v>298</v>
      </c>
      <c r="O660" s="5" t="n">
        <v>12.6</v>
      </c>
      <c r="P660" s="5" t="n">
        <v>11.8</v>
      </c>
      <c r="Q660" s="5" t="n">
        <v>39.3</v>
      </c>
      <c r="R660" s="5" t="n">
        <v>13.4</v>
      </c>
      <c r="S660" s="5" t="n">
        <v>25.9</v>
      </c>
      <c r="T660" s="2" t="n">
        <v>28</v>
      </c>
      <c r="U660" s="2" t="inlineStr">
        <is>
          <t>low</t>
        </is>
      </c>
      <c r="V660" s="5" t="n">
        <v>7.2</v>
      </c>
      <c r="W660" s="2" t="inlineStr">
        <is>
          <t>low</t>
        </is>
      </c>
      <c r="X660" s="3" t="inlineStr"/>
      <c r="Y660" s="3" t="inlineStr">
        <is>
          <t>56% of this dish's available carbohydrate comes from ingredients with a published, measured GI; the rest uses conventional placeholders (see Ingredients sheet)</t>
        </is>
      </c>
      <c r="Z660" s="2" t="n">
        <v>56</v>
      </c>
      <c r="AA660" s="3" t="inlineStr">
        <is>
          <t>vegetarian, gluten-free, nut-free, high-fiber</t>
        </is>
      </c>
      <c r="AB660" s="3" t="inlineStr">
        <is>
          <t>1. Score and roast eggplant halves with half the oil at 400°F 25 minutes; scoop flesh.
2. Sauté onion, garlic, flesh, tomato, chickpeas, oregano, cinnamon.
3. Refill shells; top feta; bake 15 minutes; parsley.</t>
        </is>
      </c>
      <c r="AC660" s="4" t="inlineStr">
        <is>
          <t>["Score and roast eggplant halves with half the oil at 400°F 25 minutes; scoop flesh.", "Sauté onion, garlic, flesh, tomato, chickpeas, oregano, cinnamon.", "Refill shells; top feta; bake 15 minutes; parsley."]</t>
        </is>
      </c>
    </row>
    <row r="661" ht="96" customHeight="1">
      <c r="A661" s="2" t="inlineStr">
        <is>
          <t>DB-0660</t>
        </is>
      </c>
      <c r="B661" s="3" t="inlineStr">
        <is>
          <t>Cauliflower Mac &amp; Cheese (Chickpea Pasta)</t>
        </is>
      </c>
      <c r="C661" s="4" t="inlineStr">
        <is>
          <t>Vegetarian &amp; Vegan</t>
        </is>
      </c>
      <c r="D661" s="4" t="inlineStr">
        <is>
          <t>American</t>
        </is>
      </c>
      <c r="E661" s="2" t="n">
        <v>5</v>
      </c>
      <c r="F661" s="2" t="n">
        <v>10</v>
      </c>
      <c r="G661" s="2" t="n">
        <v>25</v>
      </c>
      <c r="H661" s="2" t="n">
        <v>35</v>
      </c>
      <c r="I661" s="4" t="inlineStr">
        <is>
          <t>cauliflower-mac-and-cheese-chickpea-pasta.jpg</t>
        </is>
      </c>
      <c r="J661" s="3" t="inlineStr">
        <is>
          <t>Cauliflower Mac &amp; Cheese (Chickpea Pasta), healthy food photography, plated, natural light</t>
        </is>
      </c>
      <c r="K661" s="4" t="inlineStr"/>
      <c r="L661" s="3" t="inlineStr">
        <is>
          <t>Chickpea pasta, cooked — 300 g (10.6 oz)
Cauliflower — 600 g (21.2 oz)
Cheddar cheese — 120 g (4.2 oz)
Milk, 2% — 150 g (5.3 oz)
Cream cheese — 40 g (1.4 oz)
Dijon mustard — 8 g (0.3 oz)
Garlic powder — 2 g (0.1 oz)
Nutritional yeast — 10 g (0.4 oz)
Salt — 3 g (0.1 oz)</t>
        </is>
      </c>
      <c r="M661" s="4" t="inlineStr">
        <is>
          <t>[{"ingredient_id": "chickpea_pasta", "name": "Chickpea pasta, cooked", "grams": 300.0, "note": ""}, {"ingredient_id": "cauliflower", "name": "Cauliflower", "grams": 600.0, "note": ""}, {"ingredient_id": "cheddar", "name": "Cheddar cheese", "grams": 120.0, "note": ""}, {"ingredient_id": "milk", "name": "Milk, 2%", "grams": 150.0, "note": ""}, {"ingredient_id": "cream_cheese", "name": "Cream cheese", "grams": 40.0, "note": ""}, {"ingredient_id": "dijon", "name": "Dijon mustard", "grams": 8.0, "note": ""}, {"ingredient_id": "garlic_powder", "name": "Garlic powder", "grams": 2.0, "note": ""}, {"ingredient_id": "nutritional_yeast", "name": "Nutritional yeast", "grams": 10.0, "note": ""}, {"ingredient_id": "salt", "name": "Salt", "grams": 3.0, "note": ""}]</t>
        </is>
      </c>
      <c r="N661" s="2" t="n">
        <v>277</v>
      </c>
      <c r="O661" s="5" t="n">
        <v>17.6</v>
      </c>
      <c r="P661" s="5" t="n">
        <v>13.6</v>
      </c>
      <c r="Q661" s="5" t="n">
        <v>25.3</v>
      </c>
      <c r="R661" s="5" t="n">
        <v>6.6</v>
      </c>
      <c r="S661" s="5" t="n">
        <v>18.8</v>
      </c>
      <c r="T661" s="2" t="n">
        <v>25</v>
      </c>
      <c r="U661" s="2" t="inlineStr">
        <is>
          <t>low</t>
        </is>
      </c>
      <c r="V661" s="5" t="n">
        <v>4.7</v>
      </c>
      <c r="W661" s="2" t="inlineStr">
        <is>
          <t>low</t>
        </is>
      </c>
      <c r="X661" s="3" t="inlineStr"/>
      <c r="Y661" s="3" t="inlineStr">
        <is>
          <t>8% of this dish's available carbohydrate comes from ingredients with a published, measured GI; the rest uses conventional placeholders (see Ingredients sheet)</t>
        </is>
      </c>
      <c r="Z661" s="2" t="n">
        <v>8</v>
      </c>
      <c r="AA661" s="3" t="inlineStr">
        <is>
          <t>vegetarian, gluten-free, nut-free</t>
        </is>
      </c>
      <c r="AB661" s="3" t="inlineStr">
        <is>
          <t>1. Cook pasta al dente; steam cauliflower.
2. Blend half the cauliflower with milk, cream cheese, Dijon, garlic powder, nutritional yeast, salt; warm with cheddar.
3. Toss with pasta and remaining florets.</t>
        </is>
      </c>
      <c r="AC661" s="4" t="inlineStr">
        <is>
          <t>["Cook pasta al dente; steam cauliflower.", "Blend half the cauliflower with milk, cream cheese, Dijon, garlic powder, nutritional yeast, salt; warm with cheddar.", "Toss with pasta and remaining florets."]</t>
        </is>
      </c>
    </row>
    <row r="662" ht="96" customHeight="1">
      <c r="A662" s="2" t="inlineStr">
        <is>
          <t>DB-0661</t>
        </is>
      </c>
      <c r="B662" s="3" t="inlineStr">
        <is>
          <t>Tempeh 'Sausage' &amp; Peppers</t>
        </is>
      </c>
      <c r="C662" s="4" t="inlineStr">
        <is>
          <t>Vegetarian &amp; Vegan</t>
        </is>
      </c>
      <c r="D662" s="4" t="inlineStr">
        <is>
          <t>Italian-American</t>
        </is>
      </c>
      <c r="E662" s="2" t="n">
        <v>4</v>
      </c>
      <c r="F662" s="2" t="n">
        <v>10</v>
      </c>
      <c r="G662" s="2" t="n">
        <v>18</v>
      </c>
      <c r="H662" s="2" t="n">
        <v>28</v>
      </c>
      <c r="I662" s="4" t="inlineStr">
        <is>
          <t>tempeh-sausage-and-peppers.jpg</t>
        </is>
      </c>
      <c r="J662" s="3" t="inlineStr">
        <is>
          <t>Tempeh 'Sausage' &amp; Peppers, healthy food photography, plated, natural light</t>
        </is>
      </c>
      <c r="K662" s="4" t="inlineStr"/>
      <c r="L662" s="3" t="inlineStr">
        <is>
          <t>Tempeh — 400 g (14.1 oz)
Italian seasoning — 4 g (0.1 oz)
Dried spices/herbs (generic) — 3 g (0.1 oz) [fennel seeds]
Smoked paprika — 2 g (0.1 oz)
Tamari (gluten-free soy sauce) — 15 g (0.5 oz)
Bell pepper — 300 g (10.6 oz)
Yellow onion — 120 g (4.2 oz)
Garlic — 8 g (0.3 oz)
Marinara sauce, no sugar added — 250 g (8.8 oz)
Extra-virgin olive oil — 15 g (0.5 oz)
Parmesan, grated — 20 g (0.7 oz)</t>
        </is>
      </c>
      <c r="M662" s="4" t="inlineStr">
        <is>
          <t>[{"ingredient_id": "tempeh", "name": "Tempeh", "grams": 400.0, "note": ""}, {"ingredient_id": "italian_seasoning", "name": "Italian seasoning", "grams": 4.0, "note": ""}, {"ingredient_id": "spice", "name": "Dried spices/herbs (generic)", "grams": 3.0, "note": "fennel seeds"}, {"ingredient_id": "smoked_paprika", "name": "Smoked paprika", "grams": 2.0, "note": ""}, {"ingredient_id": "tamari", "name": "Tamari (gluten-free soy sauce)", "grams": 15.0, "note": ""}, {"ingredient_id": "bell_pepper", "name": "Bell pepper", "grams": 300.0, "note": ""}, {"ingredient_id": "onion", "name": "Yellow onion", "grams": 120.0, "note": ""}, {"ingredient_id": "garlic", "name": "Garlic", "grams": 8.0, "note": ""}, {"ingredient_id": "marinara", "name": "Marinara sauce, no sugar added", "grams": 250.0, "note": ""}, {"ingredient_id": "olive_oil", "name": "Extra-virgin olive oil", "grams": 15.0, "note": ""}, {"ingredient_id": "parmesan", "name": "Parmesan, grated", "grams": 20.0, "note": ""}]</t>
        </is>
      </c>
      <c r="N662" s="2" t="n">
        <v>322</v>
      </c>
      <c r="O662" s="5" t="n">
        <v>24.7</v>
      </c>
      <c r="P662" s="5" t="n">
        <v>18.2</v>
      </c>
      <c r="Q662" s="5" t="n">
        <v>20.8</v>
      </c>
      <c r="R662" s="5" t="n">
        <v>9.9</v>
      </c>
      <c r="S662" s="5" t="n">
        <v>11</v>
      </c>
      <c r="T662" s="2" t="n">
        <v>20</v>
      </c>
      <c r="U662" s="2" t="inlineStr">
        <is>
          <t>low</t>
        </is>
      </c>
      <c r="V662" s="5" t="n">
        <v>2.2</v>
      </c>
      <c r="W662" s="2" t="inlineStr">
        <is>
          <t>low</t>
        </is>
      </c>
      <c r="X662" s="3" t="inlineStr"/>
      <c r="Y662" s="3" t="inlineStr">
        <is>
          <t>20% of this dish's available carbohydrate comes from ingredients with a published, measured GI; the rest uses conventional placeholders (see Ingredients sheet)</t>
        </is>
      </c>
      <c r="Z662" s="2" t="n">
        <v>20</v>
      </c>
      <c r="AA662" s="3" t="inlineStr">
        <is>
          <t>vegetarian, gluten-free, nut-free, low-carb, high-fiber</t>
        </is>
      </c>
      <c r="AB662" s="3" t="inlineStr">
        <is>
          <t>1. Crumble tempeh; sauté in oil with seasoning, fennel, paprika, tamari until browned.
2. Add peppers, onion, garlic; cook 8 minutes; add marinara.
3. Simmer 5 minutes; parmesan.</t>
        </is>
      </c>
      <c r="AC662" s="4" t="inlineStr">
        <is>
          <t>["Crumble tempeh; sauté in oil with seasoning, fennel, paprika, tamari until browned.", "Add peppers, onion, garlic; cook 8 minutes; add marinara.", "Simmer 5 minutes; parmesan."]</t>
        </is>
      </c>
    </row>
    <row r="663" ht="96" customHeight="1">
      <c r="A663" s="2" t="inlineStr">
        <is>
          <t>DB-0662</t>
        </is>
      </c>
      <c r="B663" s="3" t="inlineStr">
        <is>
          <t>Herbed Cottage Cheese Stuffed Peppers</t>
        </is>
      </c>
      <c r="C663" s="4" t="inlineStr">
        <is>
          <t>Vegetarian &amp; Vegan</t>
        </is>
      </c>
      <c r="D663" s="4" t="inlineStr">
        <is>
          <t>American</t>
        </is>
      </c>
      <c r="E663" s="2" t="n">
        <v>4</v>
      </c>
      <c r="F663" s="2" t="n">
        <v>10</v>
      </c>
      <c r="G663" s="2" t="n">
        <v>25</v>
      </c>
      <c r="H663" s="2" t="n">
        <v>35</v>
      </c>
      <c r="I663" s="4" t="inlineStr">
        <is>
          <t>herbed-cottage-cheese-stuffed-peppers.jpg</t>
        </is>
      </c>
      <c r="J663" s="3" t="inlineStr">
        <is>
          <t>Herbed Cottage Cheese Stuffed Peppers, healthy food photography, plated, natural light</t>
        </is>
      </c>
      <c r="K663" s="4" t="inlineStr"/>
      <c r="L663" s="3" t="inlineStr">
        <is>
          <t>Bell pepper — 600 g (21.2 oz)
Cottage cheese, low-fat — 400 g (14.1 oz)
Egg, large (50 g each) — 100 g (3.5 oz)
Spinach — 100 g (3.5 oz)
Parmesan, grated — 40 g (1.4 oz)
Fresh chives — 8 g (0.3 oz)
Fresh dill — 5 g (0.2 oz)
Garlic — 5 g (0.2 oz)
Cherry tomatoes — 100 g (3.5 oz)
Salt — 2 g (0.1 oz)</t>
        </is>
      </c>
      <c r="M663" s="4" t="inlineStr">
        <is>
          <t>[{"ingredient_id": "bell_pepper", "name": "Bell pepper", "grams": 600.0, "note": ""}, {"ingredient_id": "cottage_cheese", "name": "Cottage cheese, low-fat", "grams": 400.0, "note": ""}, {"ingredient_id": "egg", "name": "Egg, large (50 g each)", "grams": 100.0, "note": ""}, {"ingredient_id": "spinach", "name": "Spinach", "grams": 100.0, "note": ""}, {"ingredient_id": "parmesan", "name": "Parmesan, grated", "grams": 40.0, "note": ""}, {"ingredient_id": "chives", "name": "Fresh chives", "grams": 8.0, "note": ""}, {"ingredient_id": "dill", "name": "Fresh dill", "grams": 5.0, "note": ""}, {"ingredient_id": "garlic", "name": "Garlic", "grams": 5.0, "note": ""}, {"ingredient_id": "cherry_tomato", "name": "Cherry tomatoes", "grams": 100.0, "note": ""}, {"ingredient_id": "salt", "name": "Salt", "grams": 2.0, "note": ""}]</t>
        </is>
      </c>
      <c r="N663" s="2" t="n">
        <v>223</v>
      </c>
      <c r="O663" s="5" t="n">
        <v>20.6</v>
      </c>
      <c r="P663" s="5" t="n">
        <v>8.199999999999999</v>
      </c>
      <c r="Q663" s="5" t="n">
        <v>16.3</v>
      </c>
      <c r="R663" s="5" t="n">
        <v>4.1</v>
      </c>
      <c r="S663" s="5" t="n">
        <v>12.2</v>
      </c>
      <c r="T663" s="2" t="n">
        <v>13</v>
      </c>
      <c r="U663" s="2" t="inlineStr">
        <is>
          <t>low</t>
        </is>
      </c>
      <c r="V663" s="5" t="n">
        <v>1.6</v>
      </c>
      <c r="W663" s="2" t="inlineStr">
        <is>
          <t>low</t>
        </is>
      </c>
      <c r="X663" s="3" t="inlineStr"/>
      <c r="Y663" s="3" t="inlineStr">
        <is>
          <t>0% of this dish's available carbohydrate comes from ingredients with a published, measured GI; the rest uses conventional placeholders (see Ingredients sheet)</t>
        </is>
      </c>
      <c r="Z663" s="2" t="n">
        <v>0</v>
      </c>
      <c r="AA663" s="3" t="inlineStr">
        <is>
          <t>vegetarian, gluten-free, nut-free, low-carb</t>
        </is>
      </c>
      <c r="AB663" s="3" t="inlineStr">
        <is>
          <t>1. Halve peppers; roast 10 minutes.
2. Mix cottage cheese, eggs, spinach, parmesan, herbs, garlic, salt; fill.
3. Top tomato; bake at 375°F 20 minutes until set.</t>
        </is>
      </c>
      <c r="AC663" s="4" t="inlineStr">
        <is>
          <t>["Halve peppers; roast 10 minutes.", "Mix cottage cheese, eggs, spinach, parmesan, herbs, garlic, salt; fill.", "Top tomato; bake at 375°F 20 minutes until set."]</t>
        </is>
      </c>
    </row>
    <row r="664" ht="96" customHeight="1">
      <c r="A664" s="2" t="inlineStr">
        <is>
          <t>DB-0663</t>
        </is>
      </c>
      <c r="B664" s="3" t="inlineStr">
        <is>
          <t>Cuban Black Beans with Cauliflower Rice</t>
        </is>
      </c>
      <c r="C664" s="4" t="inlineStr">
        <is>
          <t>Vegetarian &amp; Vegan</t>
        </is>
      </c>
      <c r="D664" s="4" t="inlineStr">
        <is>
          <t>Cuban</t>
        </is>
      </c>
      <c r="E664" s="2" t="n">
        <v>4</v>
      </c>
      <c r="F664" s="2" t="n">
        <v>10</v>
      </c>
      <c r="G664" s="2" t="n">
        <v>25</v>
      </c>
      <c r="H664" s="2" t="n">
        <v>35</v>
      </c>
      <c r="I664" s="4" t="inlineStr">
        <is>
          <t>cuban-black-beans-with-cauliflower-rice.jpg</t>
        </is>
      </c>
      <c r="J664" s="3" t="inlineStr">
        <is>
          <t>Cuban Black Beans with Cauliflower Rice, healthy food photography, plated, natural light</t>
        </is>
      </c>
      <c r="K664" s="4" t="inlineStr"/>
      <c r="L664" s="3" t="inlineStr">
        <is>
          <t>Black beans, cooked — 600 g (21.2 oz)
Yellow onion — 120 g (4.2 oz)
Bell pepper — 150 g (5.3 oz)
Garlic — 10 g (0.4 oz)
Ground cumin — 4 g (0.1 oz)
Dried oregano — 2 g (0.1 oz)
Bay leaves — 1 g (0.0 oz)
Vegetable broth, low sodium — 250 g (8.8 oz)
Red wine vinegar — 15 g (0.5 oz)
Extra-virgin olive oil — 15 g (0.5 oz)
Cauliflower rice — 500 g (17.6 oz)
Avocado — 100 g (3.5 oz)
Fresh cilantro — 6 g (0.2 oz)
Salt — 3 g (0.1 oz)</t>
        </is>
      </c>
      <c r="M664" s="4" t="inlineStr">
        <is>
          <t>[{"ingredient_id": "black_beans", "name": "Black beans, cooked", "grams": 600.0, "note": ""}, {"ingredient_id": "onion", "name": "Yellow onion", "grams": 120.0, "note": ""}, {"ingredient_id": "bell_pepper", "name": "Bell pepper", "grams": 150.0, "note": ""}, {"ingredient_id": "garlic", "name": "Garlic", "grams": 10.0, "note": ""}, {"ingredient_id": "cumin", "name": "Ground cumin", "grams": 4.0, "note": ""}, {"ingredient_id": "oregano", "name": "Dried oregano", "grams": 2.0, "note": ""}, {"ingredient_id": "bay_leaf", "name": "Bay leaves", "grams": 1.0, "note": ""}, {"ingredient_id": "vegetable_broth", "name": "Vegetable broth, low sodium", "grams": 250.0, "note": ""}, {"ingredient_id": "red_wine_vinegar", "name": "Red wine vinegar", "grams": 15.0, "note": ""}, {"ingredient_id": "olive_oil", "name": "Extra-virgin olive oil", "grams": 15.0, "note": ""}, {"ingredient_id": "cauliflower_rice", "name": "Cauliflower rice", "grams": 500.0, "note": ""}, {"ingredient_id": "avocado", "name": "Avocado", "grams": 100.0, "note": ""}, {"ingredient_id": "cilantro", "name": "Fresh cilantro", "grams": 6.0, "note": ""}, {"ingredient_id": "salt", "name": "Salt", "grams": 3.0, "note": ""}]</t>
        </is>
      </c>
      <c r="N664" s="2" t="n">
        <v>342</v>
      </c>
      <c r="O664" s="5" t="n">
        <v>17.7</v>
      </c>
      <c r="P664" s="5" t="n">
        <v>9.199999999999999</v>
      </c>
      <c r="Q664" s="5" t="n">
        <v>51.8</v>
      </c>
      <c r="R664" s="5" t="n">
        <v>19</v>
      </c>
      <c r="S664" s="5" t="n">
        <v>32.8</v>
      </c>
      <c r="T664" s="2" t="n">
        <v>25</v>
      </c>
      <c r="U664" s="2" t="inlineStr">
        <is>
          <t>low</t>
        </is>
      </c>
      <c r="V664" s="5" t="n">
        <v>8.199999999999999</v>
      </c>
      <c r="W664" s="2" t="inlineStr">
        <is>
          <t>low</t>
        </is>
      </c>
      <c r="X664" s="3" t="inlineStr"/>
      <c r="Y664" s="3" t="inlineStr">
        <is>
          <t>69% of this dish's available carbohydrate comes from ingredients with a published, measured GI; the rest uses conventional placeholders (see Ingredients sheet)</t>
        </is>
      </c>
      <c r="Z664" s="2" t="n">
        <v>69</v>
      </c>
      <c r="AA664" s="3" t="inlineStr">
        <is>
          <t>vegan, gluten-free, dairy-free, nut-free, high-fiber, make-ahead</t>
        </is>
      </c>
      <c r="AB664" s="3" t="inlineStr">
        <is>
          <t>1. Sauté onion, pepper, garlic, spices in oil.
2. Add beans, broth, bay; simmer 15 minutes; mash some; add vinegar.
3. Serve over cauliflower rice with avocado, cilantro.</t>
        </is>
      </c>
      <c r="AC664" s="4" t="inlineStr">
        <is>
          <t>["Sauté onion, pepper, garlic, spices in oil.", "Add beans, broth, bay; simmer 15 minutes; mash some; add vinegar.", "Serve over cauliflower rice with avocado, cilantro."]</t>
        </is>
      </c>
    </row>
    <row r="665" ht="96" customHeight="1">
      <c r="A665" s="2" t="inlineStr">
        <is>
          <t>DB-0664</t>
        </is>
      </c>
      <c r="B665" s="3" t="inlineStr">
        <is>
          <t>Roasted Veggie Hummus Bowl</t>
        </is>
      </c>
      <c r="C665" s="4" t="inlineStr">
        <is>
          <t>Vegetarian &amp; Vegan</t>
        </is>
      </c>
      <c r="D665" s="4" t="inlineStr">
        <is>
          <t>Mediterranean</t>
        </is>
      </c>
      <c r="E665" s="2" t="n">
        <v>3</v>
      </c>
      <c r="F665" s="2" t="n">
        <v>10</v>
      </c>
      <c r="G665" s="2" t="n">
        <v>25</v>
      </c>
      <c r="H665" s="2" t="n">
        <v>35</v>
      </c>
      <c r="I665" s="4" t="inlineStr">
        <is>
          <t>roasted-veggie-hummus-bowl.jpg</t>
        </is>
      </c>
      <c r="J665" s="3" t="inlineStr">
        <is>
          <t>Roasted Veggie Hummus Bowl, healthy food photography, plated, natural light</t>
        </is>
      </c>
      <c r="K665" s="4" t="inlineStr"/>
      <c r="L665" s="3" t="inlineStr">
        <is>
          <t>Hummus — 200 g (7.1 oz)
Cauliflower — 300 g (10.6 oz)
Broccoli — 250 g (8.8 oz)
Bell pepper — 150 g (5.3 oz)
Red onion — 80 g (2.8 oz)
Chickpeas, cooked — 200 g (7.1 oz)
Extra-virgin olive oil — 20 g (0.7 oz)
Za'atar — 5 g (0.2 oz)
Cucumber — 150 g (5.3 oz)
Cherry tomatoes — 150 g (5.3 oz)
Lemon (with juice &amp; zest) — 30 g (1.1 oz)
Fresh parsley — 6 g (0.2 oz)</t>
        </is>
      </c>
      <c r="M665" s="4" t="inlineStr">
        <is>
          <t>[{"ingredient_id": "hummus", "name": "Hummus", "grams": 200.0, "note": ""}, {"ingredient_id": "cauliflower", "name": "Cauliflower", "grams": 300.0, "note": ""}, {"ingredient_id": "broccoli", "name": "Broccoli", "grams": 250.0, "note": ""}, {"ingredient_id": "bell_pepper", "name": "Bell pepper", "grams": 150.0, "note": ""}, {"ingredient_id": "red_onion", "name": "Red onion", "grams": 80.0, "note": ""}, {"ingredient_id": "chickpeas", "name": "Chickpeas, cooked", "grams": 200.0, "note": ""}, {"ingredient_id": "olive_oil", "name": "Extra-virgin olive oil", "grams": 20.0, "note": ""}, {"ingredient_id": "zaatar", "name": "Za'atar", "grams": 5.0, "note": ""}, {"ingredient_id": "cucumber", "name": "Cucumber", "grams": 150.0, "note": ""}, {"ingredient_id": "cherry_tomato", "name": "Cherry tomatoes", "grams": 150.0, "note": ""}, {"ingredient_id": "lemon", "name": "Lemon (with juice &amp; zest)", "grams": 30.0, "note": ""}, {"ingredient_id": "parsley", "name": "Fresh parsley", "grams": 6.0, "note": ""}]</t>
        </is>
      </c>
      <c r="N665" s="2" t="n">
        <v>384</v>
      </c>
      <c r="O665" s="5" t="n">
        <v>17.4</v>
      </c>
      <c r="P665" s="5" t="n">
        <v>15.9</v>
      </c>
      <c r="Q665" s="5" t="n">
        <v>49</v>
      </c>
      <c r="R665" s="5" t="n">
        <v>16.3</v>
      </c>
      <c r="S665" s="5" t="n">
        <v>32.7</v>
      </c>
      <c r="T665" s="2" t="n">
        <v>24</v>
      </c>
      <c r="U665" s="2" t="inlineStr">
        <is>
          <t>low</t>
        </is>
      </c>
      <c r="V665" s="5" t="n">
        <v>7.8</v>
      </c>
      <c r="W665" s="2" t="inlineStr">
        <is>
          <t>low</t>
        </is>
      </c>
      <c r="X665" s="3" t="inlineStr"/>
      <c r="Y665" s="3" t="inlineStr">
        <is>
          <t>56% of this dish's available carbohydrate comes from ingredients with a published, measured GI; the rest uses conventional placeholders (see Ingredients sheet)</t>
        </is>
      </c>
      <c r="Z665" s="2" t="n">
        <v>56</v>
      </c>
      <c r="AA665" s="3" t="inlineStr">
        <is>
          <t>vegan, gluten-free, dairy-free, nut-free, high-fiber</t>
        </is>
      </c>
      <c r="AB665" s="3" t="inlineStr">
        <is>
          <t>1. Roast cauliflower, broccoli, pepper, onion, chickpeas with oil and za'atar at 425°F 22 minutes.
2. Spread hummus in bowls.
3. Top roasted vegetables, cucumber, tomato, lemon, parsley.</t>
        </is>
      </c>
      <c r="AC665" s="4" t="inlineStr">
        <is>
          <t>["Roast cauliflower, broccoli, pepper, onion, chickpeas with oil and za'atar at 425°F 22 minutes.", "Spread hummus in bowls.", "Top roasted vegetables, cucumber, tomato, lemon, parsley."]</t>
        </is>
      </c>
    </row>
    <row r="666" ht="96" customHeight="1">
      <c r="A666" s="2" t="inlineStr">
        <is>
          <t>DB-0665</t>
        </is>
      </c>
      <c r="B666" s="3" t="inlineStr">
        <is>
          <t>Deviled Eggs (Greek Yogurt)</t>
        </is>
      </c>
      <c r="C666" s="4" t="inlineStr">
        <is>
          <t>Snack &amp; Appetizer</t>
        </is>
      </c>
      <c r="D666" s="4" t="inlineStr">
        <is>
          <t>American</t>
        </is>
      </c>
      <c r="E666" s="2" t="n">
        <v>6</v>
      </c>
      <c r="F666" s="2" t="n">
        <v>15</v>
      </c>
      <c r="G666" s="2" t="n">
        <v>10</v>
      </c>
      <c r="H666" s="2" t="n">
        <v>25</v>
      </c>
      <c r="I666" s="4" t="inlineStr">
        <is>
          <t>deviled-eggs-greek-yogurt.jpg</t>
        </is>
      </c>
      <c r="J666" s="3" t="inlineStr">
        <is>
          <t>Deviled Eggs (Greek Yogurt), healthy food photography, plated, natural light</t>
        </is>
      </c>
      <c r="K666" s="4" t="inlineStr"/>
      <c r="L666" s="3" t="inlineStr">
        <is>
          <t>Egg, large (50 g each) — 300 g (10.6 oz) [6 large eggs]
Greek yogurt, plain 2% — 40 g (1.4 oz)
Mayonnaise (avocado oil) — 15 g (0.5 oz)
Dijon mustard — 10 g (0.4 oz)
Paprika — 1 g (0.0 oz)
Fresh chives — 4 g (0.1 oz)
Salt — 1 g (0.0 oz)</t>
        </is>
      </c>
      <c r="M666" s="4" t="inlineStr">
        <is>
          <t>[{"ingredient_id": "egg", "name": "Egg, large (50 g each)", "grams": 300.0, "note": "6 large eggs"}, {"ingredient_id": "greek_yogurt", "name": "Greek yogurt, plain 2%", "grams": 40.0, "note": ""}, {"ingredient_id": "mayo", "name": "Mayonnaise (avocado oil)", "grams": 15.0, "note": ""}, {"ingredient_id": "dijon", "name": "Dijon mustard", "grams": 10.0, "note": ""}, {"ingredient_id": "paprika", "name": "Paprika", "grams": 1.0, "note": ""}, {"ingredient_id": "chives", "name": "Fresh chives", "grams": 4.0, "note": ""}, {"ingredient_id": "salt", "name": "Salt", "grams": 1.0, "note": ""}]</t>
        </is>
      </c>
      <c r="N666" s="2" t="n">
        <v>96</v>
      </c>
      <c r="O666" s="5" t="n">
        <v>7.1</v>
      </c>
      <c r="P666" s="5" t="n">
        <v>6.9</v>
      </c>
      <c r="Q666" s="5" t="n">
        <v>0.8</v>
      </c>
      <c r="R666" s="5" t="n">
        <v>0.1</v>
      </c>
      <c r="S666" s="5" t="n">
        <v>0.7</v>
      </c>
      <c r="T666" s="2" t="n">
        <v>6</v>
      </c>
      <c r="U666" s="2" t="inlineStr">
        <is>
          <t>low</t>
        </is>
      </c>
      <c r="V666" s="5" t="n">
        <v>0</v>
      </c>
      <c r="W666" s="2" t="inlineStr">
        <is>
          <t>low</t>
        </is>
      </c>
      <c r="X666" s="3" t="inlineStr">
        <is>
          <t>Negligible carbohydrate (&lt;5 g net/serving): GI has little practical meaning, glycemic load is what matters.</t>
        </is>
      </c>
      <c r="Y666" s="3" t="inlineStr">
        <is>
          <t>38% of this dish's available carbohydrate comes from ingredients with a published, measured GI; the rest uses conventional placeholders (see Ingredients sheet)</t>
        </is>
      </c>
      <c r="Z666" s="2" t="n">
        <v>38</v>
      </c>
      <c r="AA666" s="3" t="inlineStr">
        <is>
          <t>vegetarian, gluten-free, nut-free, low-carb, make-ahead</t>
        </is>
      </c>
      <c r="AB666" s="3" t="inlineStr">
        <is>
          <t>1. Hard-boil eggs; cool; halve; remove yolks.
2. Mash yolks with yogurt, mayo, Dijon, salt.
3. Pipe into whites; paprika, chives.</t>
        </is>
      </c>
      <c r="AC666" s="4" t="inlineStr">
        <is>
          <t>["Hard-boil eggs; cool; halve; remove yolks.", "Mash yolks with yogurt, mayo, Dijon, salt.", "Pipe into whites; paprika, chives."]</t>
        </is>
      </c>
    </row>
    <row r="667" ht="96" customHeight="1">
      <c r="A667" s="2" t="inlineStr">
        <is>
          <t>DB-0666</t>
        </is>
      </c>
      <c r="B667" s="3" t="inlineStr">
        <is>
          <t>Roasted Chickpeas (Smoky)</t>
        </is>
      </c>
      <c r="C667" s="4" t="inlineStr">
        <is>
          <t>Snack &amp; Appetizer</t>
        </is>
      </c>
      <c r="D667" s="4" t="inlineStr">
        <is>
          <t>American</t>
        </is>
      </c>
      <c r="E667" s="2" t="n">
        <v>4</v>
      </c>
      <c r="F667" s="2" t="n">
        <v>5</v>
      </c>
      <c r="G667" s="2" t="n">
        <v>35</v>
      </c>
      <c r="H667" s="2" t="n">
        <v>40</v>
      </c>
      <c r="I667" s="4" t="inlineStr">
        <is>
          <t>roasted-chickpeas-smoky.jpg</t>
        </is>
      </c>
      <c r="J667" s="3" t="inlineStr">
        <is>
          <t>Roasted Chickpeas (Smoky), healthy food photography, plated, natural light</t>
        </is>
      </c>
      <c r="K667" s="4" t="inlineStr"/>
      <c r="L667" s="3" t="inlineStr">
        <is>
          <t>Chickpeas, cooked — 400 g (14.1 oz)
Extra-virgin olive oil — 15 g (0.5 oz)
Smoked paprika — 4 g (0.1 oz)
Garlic powder — 2 g (0.1 oz)
Ground cumin — 2 g (0.1 oz)
Salt — 2 g (0.1 oz)</t>
        </is>
      </c>
      <c r="M667" s="4" t="inlineStr">
        <is>
          <t>[{"ingredient_id": "chickpeas", "name": "Chickpeas, cooked", "grams": 400.0, "note": ""}, {"ingredient_id": "olive_oil", "name": "Extra-virgin olive oil", "grams": 15.0, "note": ""}, {"ingredient_id": "smoked_paprika", "name": "Smoked paprika", "grams": 4.0, "note": ""}, {"ingredient_id": "garlic_powder", "name": "Garlic powder", "grams": 2.0, "note": ""}, {"ingredient_id": "cumin", "name": "Ground cumin", "grams": 2.0, "note": ""}, {"ingredient_id": "salt", "name": "Salt", "grams": 2.0, "note": ""}]</t>
        </is>
      </c>
      <c r="N667" s="2" t="n">
        <v>204</v>
      </c>
      <c r="O667" s="5" t="n">
        <v>9.199999999999999</v>
      </c>
      <c r="P667" s="5" t="n">
        <v>6.6</v>
      </c>
      <c r="Q667" s="5" t="n">
        <v>28.1</v>
      </c>
      <c r="R667" s="5" t="n">
        <v>8</v>
      </c>
      <c r="S667" s="5" t="n">
        <v>20.1</v>
      </c>
      <c r="T667" s="2" t="n">
        <v>37</v>
      </c>
      <c r="U667" s="2" t="inlineStr">
        <is>
          <t>low</t>
        </is>
      </c>
      <c r="V667" s="5" t="n">
        <v>7.4</v>
      </c>
      <c r="W667" s="2" t="inlineStr">
        <is>
          <t>low</t>
        </is>
      </c>
      <c r="X667" s="3" t="inlineStr"/>
      <c r="Y667" s="3" t="inlineStr">
        <is>
          <t>97% of this dish's available carbohydrate comes from ingredients with a published, measured GI; the rest uses conventional placeholders (see Ingredients sheet)</t>
        </is>
      </c>
      <c r="Z667" s="2" t="n">
        <v>97</v>
      </c>
      <c r="AA667" s="3" t="inlineStr">
        <is>
          <t>vegan, gluten-free, dairy-free, nut-free, high-fiber, make-ahead</t>
        </is>
      </c>
      <c r="AB667" s="3" t="inlineStr">
        <is>
          <t>1. Pat chickpeas very dry.
2. Toss with oil, spices, salt.
3. Roast at 400°F 30–35 minutes, shaking twice; cool to crisp.</t>
        </is>
      </c>
      <c r="AC667" s="4" t="inlineStr">
        <is>
          <t>["Pat chickpeas very dry.", "Toss with oil, spices, salt.", "Roast at 400°F 30–35 minutes, shaking twice; cool to crisp."]</t>
        </is>
      </c>
    </row>
    <row r="668" ht="96" customHeight="1">
      <c r="A668" s="2" t="inlineStr">
        <is>
          <t>DB-0667</t>
        </is>
      </c>
      <c r="B668" s="3" t="inlineStr">
        <is>
          <t>Cucumber Hummus Bites</t>
        </is>
      </c>
      <c r="C668" s="4" t="inlineStr">
        <is>
          <t>Snack &amp; Appetizer</t>
        </is>
      </c>
      <c r="D668" s="4" t="inlineStr">
        <is>
          <t>Mediterranean</t>
        </is>
      </c>
      <c r="E668" s="2" t="n">
        <v>2</v>
      </c>
      <c r="F668" s="2" t="n">
        <v>5</v>
      </c>
      <c r="G668" s="2" t="n">
        <v>0</v>
      </c>
      <c r="H668" s="2" t="n">
        <v>5</v>
      </c>
      <c r="I668" s="4" t="inlineStr">
        <is>
          <t>cucumber-hummus-bites.jpg</t>
        </is>
      </c>
      <c r="J668" s="3" t="inlineStr">
        <is>
          <t>Cucumber Hummus Bites, healthy food photography, plated, natural light</t>
        </is>
      </c>
      <c r="K668" s="4" t="inlineStr"/>
      <c r="L668" s="3" t="inlineStr">
        <is>
          <t>Cucumber — 200 g (7.1 oz)
Hummus — 80 g (2.8 oz)
Cherry tomatoes — 60 g (2.1 oz)
Za'atar — 2 g (0.1 oz)
Extra-virgin olive oil — 4 g (0.1 oz)</t>
        </is>
      </c>
      <c r="M668" s="4" t="inlineStr">
        <is>
          <t>[{"ingredient_id": "cucumber", "name": "Cucumber", "grams": 200.0, "note": ""}, {"ingredient_id": "hummus", "name": "Hummus", "grams": 80.0, "note": ""}, {"ingredient_id": "cherry_tomato", "name": "Cherry tomatoes", "grams": 60.0, "note": ""}, {"ingredient_id": "zaatar", "name": "Za'atar", "grams": 2.0, "note": ""}, {"ingredient_id": "olive_oil", "name": "Extra-virgin olive oil", "grams": 4.0, "note": ""}]</t>
        </is>
      </c>
      <c r="N668" s="2" t="n">
        <v>107</v>
      </c>
      <c r="O668" s="5" t="n">
        <v>4.3</v>
      </c>
      <c r="P668" s="5" t="n">
        <v>6.1</v>
      </c>
      <c r="Q668" s="5" t="n">
        <v>10.9</v>
      </c>
      <c r="R668" s="5" t="n">
        <v>3.5</v>
      </c>
      <c r="S668" s="5" t="n">
        <v>7.4</v>
      </c>
      <c r="T668" s="2" t="n">
        <v>15</v>
      </c>
      <c r="U668" s="2" t="inlineStr">
        <is>
          <t>low</t>
        </is>
      </c>
      <c r="V668" s="5" t="n">
        <v>1.1</v>
      </c>
      <c r="W668" s="2" t="inlineStr">
        <is>
          <t>low</t>
        </is>
      </c>
      <c r="X668" s="3" t="inlineStr"/>
      <c r="Y668" s="3" t="inlineStr">
        <is>
          <t>43% of this dish's available carbohydrate comes from ingredients with a published, measured GI; the rest uses conventional placeholders (see Ingredients sheet)</t>
        </is>
      </c>
      <c r="Z668" s="2" t="n">
        <v>43</v>
      </c>
      <c r="AA668" s="3" t="inlineStr">
        <is>
          <t>vegan, gluten-free, dairy-free, nut-free, low-carb, no-cook, quick</t>
        </is>
      </c>
      <c r="AB668" s="3" t="inlineStr">
        <is>
          <t>1. Slice cucumber into thick rounds.
2. Top each with hummus and a tomato half.
3. Sprinkle za'atar; drizzle oil.</t>
        </is>
      </c>
      <c r="AC668" s="4" t="inlineStr">
        <is>
          <t>["Slice cucumber into thick rounds.", "Top each with hummus and a tomato half.", "Sprinkle za'atar; drizzle oil."]</t>
        </is>
      </c>
    </row>
    <row r="669" ht="96" customHeight="1">
      <c r="A669" s="2" t="inlineStr">
        <is>
          <t>DB-0668</t>
        </is>
      </c>
      <c r="B669" s="3" t="inlineStr">
        <is>
          <t>Greek Yogurt Ranch Dip with Veggies</t>
        </is>
      </c>
      <c r="C669" s="4" t="inlineStr">
        <is>
          <t>Snack &amp; Appetizer</t>
        </is>
      </c>
      <c r="D669" s="4" t="inlineStr">
        <is>
          <t>American</t>
        </is>
      </c>
      <c r="E669" s="2" t="n">
        <v>4</v>
      </c>
      <c r="F669" s="2" t="n">
        <v>10</v>
      </c>
      <c r="G669" s="2" t="n">
        <v>0</v>
      </c>
      <c r="H669" s="2" t="n">
        <v>10</v>
      </c>
      <c r="I669" s="4" t="inlineStr">
        <is>
          <t>greek-yogurt-ranch-dip-with-veggies.jpg</t>
        </is>
      </c>
      <c r="J669" s="3" t="inlineStr">
        <is>
          <t>Greek Yogurt Ranch Dip with Veggies, healthy food photography, plated, natural light</t>
        </is>
      </c>
      <c r="K669" s="4" t="inlineStr"/>
      <c r="L669" s="3" t="inlineStr">
        <is>
          <t>Greek yogurt, plain 2% — 250 g (8.8 oz)
Ranch seasoning (dry) — 6 g (0.2 oz)
Lemon juice — 8 g (0.3 oz)
Fresh chives — 4 g (0.1 oz)
Carrot — 150 g (5.3 oz)
Celery — 150 g (5.3 oz)
Bell pepper — 150 g (5.3 oz)
Cucumber — 150 g (5.3 oz)</t>
        </is>
      </c>
      <c r="M669" s="4" t="inlineStr">
        <is>
          <t>[{"ingredient_id": "greek_yogurt", "name": "Greek yogurt, plain 2%", "grams": 250.0, "note": ""}, {"ingredient_id": "ranch_seasoning", "name": "Ranch seasoning (dry)", "grams": 6.0, "note": ""}, {"ingredient_id": "lemon_juice", "name": "Lemon juice", "grams": 8.0, "note": ""}, {"ingredient_id": "chives", "name": "Fresh chives", "grams": 4.0, "note": ""}, {"ingredient_id": "carrot", "name": "Carrot", "grams": 150.0, "note": ""}, {"ingredient_id": "celery", "name": "Celery", "grams": 150.0, "note": ""}, {"ingredient_id": "bell_pepper", "name": "Bell pepper", "grams": 150.0, "note": ""}, {"ingredient_id": "cucumber", "name": "Cucumber", "grams": 150.0, "note": ""}]</t>
        </is>
      </c>
      <c r="N669" s="2" t="n">
        <v>89</v>
      </c>
      <c r="O669" s="5" t="n">
        <v>7.7</v>
      </c>
      <c r="P669" s="5" t="n">
        <v>1.7</v>
      </c>
      <c r="Q669" s="5" t="n">
        <v>11.8</v>
      </c>
      <c r="R669" s="5" t="n">
        <v>3</v>
      </c>
      <c r="S669" s="5" t="n">
        <v>8.800000000000001</v>
      </c>
      <c r="T669" s="2" t="n">
        <v>21</v>
      </c>
      <c r="U669" s="2" t="inlineStr">
        <is>
          <t>low</t>
        </is>
      </c>
      <c r="V669" s="5" t="n">
        <v>1.8</v>
      </c>
      <c r="W669" s="2" t="inlineStr">
        <is>
          <t>low</t>
        </is>
      </c>
      <c r="X669" s="3" t="inlineStr"/>
      <c r="Y669" s="3" t="inlineStr">
        <is>
          <t>57% of this dish's available carbohydrate comes from ingredients with a published, measured GI; the rest uses conventional placeholders (see Ingredients sheet)</t>
        </is>
      </c>
      <c r="Z669" s="2" t="n">
        <v>57</v>
      </c>
      <c r="AA669" s="3" t="inlineStr">
        <is>
          <t>vegetarian, gluten-free, nut-free, low-carb, no-cook</t>
        </is>
      </c>
      <c r="AB669" s="3" t="inlineStr">
        <is>
          <t>1. Mix yogurt, ranch seasoning, lemon, chives.
2. Cut vegetables into sticks.
3. Serve together.</t>
        </is>
      </c>
      <c r="AC669" s="4" t="inlineStr">
        <is>
          <t>["Mix yogurt, ranch seasoning, lemon, chives.", "Cut vegetables into sticks.", "Serve together."]</t>
        </is>
      </c>
    </row>
    <row r="670" ht="96" customHeight="1">
      <c r="A670" s="2" t="inlineStr">
        <is>
          <t>DB-0669</t>
        </is>
      </c>
      <c r="B670" s="3" t="inlineStr">
        <is>
          <t>Turkey Roll-Ups with Avocado</t>
        </is>
      </c>
      <c r="C670" s="4" t="inlineStr">
        <is>
          <t>Snack &amp; Appetizer</t>
        </is>
      </c>
      <c r="D670" s="4" t="inlineStr">
        <is>
          <t>American</t>
        </is>
      </c>
      <c r="E670" s="2" t="n">
        <v>2</v>
      </c>
      <c r="F670" s="2" t="n">
        <v>5</v>
      </c>
      <c r="G670" s="2" t="n">
        <v>0</v>
      </c>
      <c r="H670" s="2" t="n">
        <v>5</v>
      </c>
      <c r="I670" s="4" t="inlineStr">
        <is>
          <t>turkey-roll-ups-with-avocado.jpg</t>
        </is>
      </c>
      <c r="J670" s="3" t="inlineStr">
        <is>
          <t>Turkey Roll-Ups with Avocado, healthy food photography, plated, natural light</t>
        </is>
      </c>
      <c r="K670" s="4" t="inlineStr"/>
      <c r="L670" s="3" t="inlineStr">
        <is>
          <t>Deli turkey breast, low sodium — 120 g (4.2 oz)
Avocado — 60 g (2.1 oz)
Cream cheese — 20 g (0.7 oz)
Cucumber — 60 g (2.1 oz)
Everything bagel seasoning — 2 g (0.1 oz)</t>
        </is>
      </c>
      <c r="M670" s="4" t="inlineStr">
        <is>
          <t>[{"ingredient_id": "deli_turkey", "name": "Deli turkey breast, low sodium", "grams": 120.0, "note": ""}, {"ingredient_id": "avocado", "name": "Avocado", "grams": 60.0, "note": ""}, {"ingredient_id": "cream_cheese", "name": "Cream cheese", "grams": 20.0, "note": ""}, {"ingredient_id": "cucumber", "name": "Cucumber", "grams": 60.0, "note": ""}, {"ingredient_id": "everything_seasoning", "name": "Everything bagel seasoning", "grams": 2.0, "note": ""}]</t>
        </is>
      </c>
      <c r="N670" s="2" t="n">
        <v>153</v>
      </c>
      <c r="O670" s="5" t="n">
        <v>11.8</v>
      </c>
      <c r="P670" s="5" t="n">
        <v>9</v>
      </c>
      <c r="Q670" s="5" t="n">
        <v>6.7</v>
      </c>
      <c r="R670" s="5" t="n">
        <v>2.3</v>
      </c>
      <c r="S670" s="5" t="n">
        <v>4.5</v>
      </c>
      <c r="T670" s="2" t="n">
        <v>6</v>
      </c>
      <c r="U670" s="2" t="inlineStr">
        <is>
          <t>low</t>
        </is>
      </c>
      <c r="V670" s="5" t="n">
        <v>0.3</v>
      </c>
      <c r="W670" s="2" t="inlineStr">
        <is>
          <t>low</t>
        </is>
      </c>
      <c r="X670" s="3" t="inlineStr">
        <is>
          <t>Negligible carbohydrate (&lt;5 g net/serving): GI has little practical meaning, glycemic load is what matters.</t>
        </is>
      </c>
      <c r="Y670" s="3" t="inlineStr">
        <is>
          <t>0% of this dish's available carbohydrate comes from ingredients with a published, measured GI; the rest uses conventional placeholders (see Ingredients sheet)</t>
        </is>
      </c>
      <c r="Z670" s="2" t="n">
        <v>0</v>
      </c>
      <c r="AA670" s="3" t="inlineStr">
        <is>
          <t>gluten-free, nut-free, low-carb, no-cook, quick</t>
        </is>
      </c>
      <c r="AB670" s="3" t="inlineStr">
        <is>
          <t>1. Spread turkey slices with cream cheese.
2. Add avocado and cucumber sticks.
3. Roll; sprinkle seasoning.</t>
        </is>
      </c>
      <c r="AC670" s="4" t="inlineStr">
        <is>
          <t>["Spread turkey slices with cream cheese.", "Add avocado and cucumber sticks.", "Roll; sprinkle seasoning."]</t>
        </is>
      </c>
    </row>
    <row r="671" ht="96" customHeight="1">
      <c r="A671" s="2" t="inlineStr">
        <is>
          <t>DB-0670</t>
        </is>
      </c>
      <c r="B671" s="3" t="inlineStr">
        <is>
          <t>Cottage Cheese with Everything Seasoning &amp; Tomatoes</t>
        </is>
      </c>
      <c r="C671" s="4" t="inlineStr">
        <is>
          <t>Snack &amp; Appetizer</t>
        </is>
      </c>
      <c r="D671" s="4" t="inlineStr">
        <is>
          <t>American</t>
        </is>
      </c>
      <c r="E671" s="2" t="n">
        <v>1</v>
      </c>
      <c r="F671" s="2" t="n">
        <v>3</v>
      </c>
      <c r="G671" s="2" t="n">
        <v>0</v>
      </c>
      <c r="H671" s="2" t="n">
        <v>3</v>
      </c>
      <c r="I671" s="4" t="inlineStr">
        <is>
          <t>cottage-cheese-with-everything-seasoning-and-tomatoes.jpg</t>
        </is>
      </c>
      <c r="J671" s="3" t="inlineStr">
        <is>
          <t>Cottage Cheese with Everything Seasoning &amp; Tomatoes, healthy food photography, plated, natural light</t>
        </is>
      </c>
      <c r="K671" s="4" t="inlineStr"/>
      <c r="L671" s="3" t="inlineStr">
        <is>
          <t>Cottage cheese, low-fat — 150 g (5.3 oz)
Cherry tomatoes — 80 g (2.8 oz)
Everything bagel seasoning — 3 g (0.1 oz)
Extra-virgin olive oil — 4 g (0.1 oz)</t>
        </is>
      </c>
      <c r="M671" s="4" t="inlineStr">
        <is>
          <t>[{"ingredient_id": "cottage_cheese", "name": "Cottage cheese, low-fat", "grams": 150.0, "note": ""}, {"ingredient_id": "cherry_tomato", "name": "Cherry tomatoes", "grams": 80.0, "note": ""}, {"ingredient_id": "everything_seasoning", "name": "Everything bagel seasoning", "grams": 3.0, "note": ""}, {"ingredient_id": "olive_oil", "name": "Extra-virgin olive oil", "grams": 4.0, "note": ""}]</t>
        </is>
      </c>
      <c r="N671" s="2" t="n">
        <v>186</v>
      </c>
      <c r="O671" s="5" t="n">
        <v>17.7</v>
      </c>
      <c r="P671" s="5" t="n">
        <v>8.199999999999999</v>
      </c>
      <c r="Q671" s="5" t="n">
        <v>10.5</v>
      </c>
      <c r="R671" s="5" t="n">
        <v>1.3</v>
      </c>
      <c r="S671" s="5" t="n">
        <v>9.199999999999999</v>
      </c>
      <c r="T671" s="2" t="n">
        <v>11</v>
      </c>
      <c r="U671" s="2" t="inlineStr">
        <is>
          <t>low</t>
        </is>
      </c>
      <c r="V671" s="5" t="n">
        <v>1</v>
      </c>
      <c r="W671" s="2" t="inlineStr">
        <is>
          <t>low</t>
        </is>
      </c>
      <c r="X671" s="3" t="inlineStr"/>
      <c r="Y671" s="3" t="inlineStr">
        <is>
          <t>0% of this dish's available carbohydrate comes from ingredients with a published, measured GI; the rest uses conventional placeholders (see Ingredients sheet)</t>
        </is>
      </c>
      <c r="Z671" s="2" t="n">
        <v>0</v>
      </c>
      <c r="AA671" s="3" t="inlineStr">
        <is>
          <t>vegetarian, gluten-free, nut-free, low-carb, no-cook, quick</t>
        </is>
      </c>
      <c r="AB671" s="3" t="inlineStr">
        <is>
          <t>1. Spoon cottage cheese into a bowl.
2. Top with halved tomatoes.
3. Seasoning and oil.</t>
        </is>
      </c>
      <c r="AC671" s="4" t="inlineStr">
        <is>
          <t>["Spoon cottage cheese into a bowl.", "Top with halved tomatoes.", "Seasoning and oil."]</t>
        </is>
      </c>
    </row>
    <row r="672" ht="96" customHeight="1">
      <c r="A672" s="2" t="inlineStr">
        <is>
          <t>DB-0671</t>
        </is>
      </c>
      <c r="B672" s="3" t="inlineStr">
        <is>
          <t>Apple Slices with Almond Butter &amp; Cinnamon</t>
        </is>
      </c>
      <c r="C672" s="4" t="inlineStr">
        <is>
          <t>Snack &amp; Appetizer</t>
        </is>
      </c>
      <c r="D672" s="4" t="inlineStr">
        <is>
          <t>American</t>
        </is>
      </c>
      <c r="E672" s="2" t="n">
        <v>1</v>
      </c>
      <c r="F672" s="2" t="n">
        <v>3</v>
      </c>
      <c r="G672" s="2" t="n">
        <v>0</v>
      </c>
      <c r="H672" s="2" t="n">
        <v>3</v>
      </c>
      <c r="I672" s="4" t="inlineStr">
        <is>
          <t>apple-slices-with-almond-butter-and-cinnamon.jpg</t>
        </is>
      </c>
      <c r="J672" s="3" t="inlineStr">
        <is>
          <t>Apple Slices with Almond Butter &amp; Cinnamon, healthy food photography, plated, natural light</t>
        </is>
      </c>
      <c r="K672" s="4" t="inlineStr"/>
      <c r="L672" s="3" t="inlineStr">
        <is>
          <t>Apple — 120 g (4.2 oz)
Almond butter — 20 g (0.7 oz)
Ground cinnamon — 1 g (0.0 oz)
Hemp seeds — 5 g (0.2 oz)</t>
        </is>
      </c>
      <c r="M672" s="4" t="inlineStr">
        <is>
          <t>[{"ingredient_id": "apple", "name": "Apple", "grams": 120.0, "note": ""}, {"ingredient_id": "almond_butter", "name": "Almond butter", "grams": 20.0, "note": ""}, {"ingredient_id": "cinnamon", "name": "Ground cinnamon", "grams": 1.0, "note": ""}, {"ingredient_id": "hemp_seeds", "name": "Hemp seeds", "grams": 5.0, "note": ""}]</t>
        </is>
      </c>
      <c r="N672" s="2" t="n">
        <v>215</v>
      </c>
      <c r="O672" s="5" t="n">
        <v>6.2</v>
      </c>
      <c r="P672" s="5" t="n">
        <v>13.9</v>
      </c>
      <c r="Q672" s="5" t="n">
        <v>21.8</v>
      </c>
      <c r="R672" s="5" t="n">
        <v>5.6</v>
      </c>
      <c r="S672" s="5" t="n">
        <v>16.2</v>
      </c>
      <c r="T672" s="2" t="n">
        <v>33</v>
      </c>
      <c r="U672" s="2" t="inlineStr">
        <is>
          <t>low</t>
        </is>
      </c>
      <c r="V672" s="5" t="n">
        <v>5.4</v>
      </c>
      <c r="W672" s="2" t="inlineStr">
        <is>
          <t>low</t>
        </is>
      </c>
      <c r="X672" s="3" t="inlineStr"/>
      <c r="Y672" s="3" t="inlineStr">
        <is>
          <t>86% of this dish's available carbohydrate comes from ingredients with a published, measured GI; the rest uses conventional placeholders (see Ingredients sheet)</t>
        </is>
      </c>
      <c r="Z672" s="2" t="n">
        <v>86</v>
      </c>
      <c r="AA672" s="3" t="inlineStr">
        <is>
          <t>vegan, gluten-free, dairy-free, no-cook, quick</t>
        </is>
      </c>
      <c r="AB672" s="3" t="inlineStr">
        <is>
          <t>1. Slice apple.
2. Spread or dip in almond butter.
3. Sprinkle cinnamon and hemp seeds.</t>
        </is>
      </c>
      <c r="AC672" s="4" t="inlineStr">
        <is>
          <t>["Slice apple.", "Spread or dip in almond butter.", "Sprinkle cinnamon and hemp seeds."]</t>
        </is>
      </c>
    </row>
    <row r="673" ht="96" customHeight="1">
      <c r="A673" s="2" t="inlineStr">
        <is>
          <t>DB-0672</t>
        </is>
      </c>
      <c r="B673" s="3" t="inlineStr">
        <is>
          <t>Spicy Edamame</t>
        </is>
      </c>
      <c r="C673" s="4" t="inlineStr">
        <is>
          <t>Snack &amp; Appetizer</t>
        </is>
      </c>
      <c r="D673" s="4" t="inlineStr">
        <is>
          <t>Japanese</t>
        </is>
      </c>
      <c r="E673" s="2" t="n">
        <v>2</v>
      </c>
      <c r="F673" s="2" t="n">
        <v>2</v>
      </c>
      <c r="G673" s="2" t="n">
        <v>5</v>
      </c>
      <c r="H673" s="2" t="n">
        <v>7</v>
      </c>
      <c r="I673" s="4" t="inlineStr">
        <is>
          <t>spicy-edamame.jpg</t>
        </is>
      </c>
      <c r="J673" s="3" t="inlineStr">
        <is>
          <t>Spicy Edamame, healthy food photography, plated, natural light</t>
        </is>
      </c>
      <c r="K673" s="4" t="inlineStr"/>
      <c r="L673" s="3" t="inlineStr">
        <is>
          <t>Edamame, shelled, cooked — 250 g (8.8 oz) [in pods]
Tamari (gluten-free soy sauce) — 8 g (0.3 oz)
Toasted sesame oil — 4 g (0.1 oz)
Red pepper flakes — 1 g (0.0 oz)
Garlic — 3 g (0.1 oz)
Sesame seeds — 3 g (0.1 oz)</t>
        </is>
      </c>
      <c r="M673" s="4" t="inlineStr">
        <is>
          <t>[{"ingredient_id": "edamame", "name": "Edamame, shelled, cooked", "grams": 250.0, "note": "in pods"}, {"ingredient_id": "tamari", "name": "Tamari (gluten-free soy sauce)", "grams": 8.0, "note": ""}, {"ingredient_id": "sesame_oil", "name": "Toasted sesame oil", "grams": 4.0, "note": ""}, {"ingredient_id": "red_pepper_flakes", "name": "Red pepper flakes", "grams": 1.0, "note": ""}, {"ingredient_id": "garlic", "name": "Garlic", "grams": 3.0, "note": ""}, {"ingredient_id": "sesame_seeds", "name": "Sesame seeds", "grams": 3.0, "note": ""}]</t>
        </is>
      </c>
      <c r="N673" s="2" t="n">
        <v>184</v>
      </c>
      <c r="O673" s="5" t="n">
        <v>15.8</v>
      </c>
      <c r="P673" s="5" t="n">
        <v>9.1</v>
      </c>
      <c r="Q673" s="5" t="n">
        <v>12.6</v>
      </c>
      <c r="R673" s="5" t="n">
        <v>6.6</v>
      </c>
      <c r="S673" s="5" t="n">
        <v>5.9</v>
      </c>
      <c r="T673" s="2" t="n">
        <v>19</v>
      </c>
      <c r="U673" s="2" t="inlineStr">
        <is>
          <t>low</t>
        </is>
      </c>
      <c r="V673" s="5" t="n">
        <v>1.1</v>
      </c>
      <c r="W673" s="2" t="inlineStr">
        <is>
          <t>low</t>
        </is>
      </c>
      <c r="X673" s="3" t="inlineStr"/>
      <c r="Y673" s="3" t="inlineStr">
        <is>
          <t>0% of this dish's available carbohydrate comes from ingredients with a published, measured GI; the rest uses conventional placeholders (see Ingredients sheet)</t>
        </is>
      </c>
      <c r="Z673" s="2" t="n">
        <v>0</v>
      </c>
      <c r="AA673" s="3" t="inlineStr">
        <is>
          <t>vegan, gluten-free, dairy-free, nut-free, low-carb, quick</t>
        </is>
      </c>
      <c r="AB673" s="3" t="inlineStr">
        <is>
          <t>1. Boil or steam edamame pods 4 minutes.
2. Toss with tamari, sesame oil, garlic, pepper flakes.
3. Sesame seeds.</t>
        </is>
      </c>
      <c r="AC673" s="4" t="inlineStr">
        <is>
          <t>["Boil or steam edamame pods 4 minutes.", "Toss with tamari, sesame oil, garlic, pepper flakes.", "Sesame seeds."]</t>
        </is>
      </c>
    </row>
    <row r="674" ht="96" customHeight="1">
      <c r="A674" s="2" t="inlineStr">
        <is>
          <t>DB-0673</t>
        </is>
      </c>
      <c r="B674" s="3" t="inlineStr">
        <is>
          <t>Caprese Skewers</t>
        </is>
      </c>
      <c r="C674" s="4" t="inlineStr">
        <is>
          <t>Snack &amp; Appetizer</t>
        </is>
      </c>
      <c r="D674" s="4" t="inlineStr">
        <is>
          <t>Italian</t>
        </is>
      </c>
      <c r="E674" s="2" t="n">
        <v>4</v>
      </c>
      <c r="F674" s="2" t="n">
        <v>10</v>
      </c>
      <c r="G674" s="2" t="n">
        <v>0</v>
      </c>
      <c r="H674" s="2" t="n">
        <v>10</v>
      </c>
      <c r="I674" s="4" t="inlineStr">
        <is>
          <t>caprese-skewers.jpg</t>
        </is>
      </c>
      <c r="J674" s="3" t="inlineStr">
        <is>
          <t>Caprese Skewers, healthy food photography, plated, natural light</t>
        </is>
      </c>
      <c r="K674" s="4" t="inlineStr"/>
      <c r="L674" s="3" t="inlineStr">
        <is>
          <t>Cherry tomatoes — 200 g (7.1 oz)
Mozzarella, part-skim — 150 g (5.3 oz)
Fresh basil — 10 g (0.4 oz)
Balsamic vinegar — 10 g (0.4 oz)
Extra-virgin olive oil — 8 g (0.3 oz)</t>
        </is>
      </c>
      <c r="M674" s="4" t="inlineStr">
        <is>
          <t>[{"ingredient_id": "cherry_tomato", "name": "Cherry tomatoes", "grams": 200.0, "note": ""}, {"ingredient_id": "mozzarella", "name": "Mozzarella, part-skim", "grams": 150.0, "note": ""}, {"ingredient_id": "basil", "name": "Fresh basil", "grams": 10.0, "note": ""}, {"ingredient_id": "balsamic_vinegar", "name": "Balsamic vinegar", "grams": 10.0, "note": ""}, {"ingredient_id": "olive_oil", "name": "Extra-virgin olive oil", "grams": 8.0, "note": ""}]</t>
        </is>
      </c>
      <c r="N674" s="2" t="n">
        <v>125</v>
      </c>
      <c r="O674" s="5" t="n">
        <v>9.5</v>
      </c>
      <c r="P674" s="5" t="n">
        <v>8.1</v>
      </c>
      <c r="Q674" s="5" t="n">
        <v>3.6</v>
      </c>
      <c r="R674" s="5" t="n">
        <v>0.6</v>
      </c>
      <c r="S674" s="5" t="n">
        <v>2.9</v>
      </c>
      <c r="T674" s="2" t="n">
        <v>12</v>
      </c>
      <c r="U674" s="2" t="inlineStr">
        <is>
          <t>low</t>
        </is>
      </c>
      <c r="V674" s="5" t="n">
        <v>0.4</v>
      </c>
      <c r="W674" s="2" t="inlineStr">
        <is>
          <t>low</t>
        </is>
      </c>
      <c r="X674" s="3" t="inlineStr">
        <is>
          <t>Negligible carbohydrate (&lt;5 g net/serving): GI has little practical meaning, glycemic load is what matters.</t>
        </is>
      </c>
      <c r="Y674" s="3" t="inlineStr">
        <is>
          <t>0% of this dish's available carbohydrate comes from ingredients with a published, measured GI; the rest uses conventional placeholders (see Ingredients sheet)</t>
        </is>
      </c>
      <c r="Z674" s="2" t="n">
        <v>0</v>
      </c>
      <c r="AA674" s="3" t="inlineStr">
        <is>
          <t>vegetarian, gluten-free, nut-free, low-carb, no-cook, quick</t>
        </is>
      </c>
      <c r="AB674" s="3" t="inlineStr">
        <is>
          <t>1. Thread tomato, mozzarella, basil onto picks.
2. Drizzle balsamic and oil.
3. Serve.</t>
        </is>
      </c>
      <c r="AC674" s="4" t="inlineStr">
        <is>
          <t>["Thread tomato, mozzarella, basil onto picks.", "Drizzle balsamic and oil.", "Serve."]</t>
        </is>
      </c>
    </row>
    <row r="675" ht="96" customHeight="1">
      <c r="A675" s="2" t="inlineStr">
        <is>
          <t>DB-0674</t>
        </is>
      </c>
      <c r="B675" s="3" t="inlineStr">
        <is>
          <t>Smoked Salmon Cucumber Rounds</t>
        </is>
      </c>
      <c r="C675" s="4" t="inlineStr">
        <is>
          <t>Snack &amp; Appetizer</t>
        </is>
      </c>
      <c r="D675" s="4" t="inlineStr">
        <is>
          <t>Scandinavian</t>
        </is>
      </c>
      <c r="E675" s="2" t="n">
        <v>2</v>
      </c>
      <c r="F675" s="2" t="n">
        <v>5</v>
      </c>
      <c r="G675" s="2" t="n">
        <v>0</v>
      </c>
      <c r="H675" s="2" t="n">
        <v>5</v>
      </c>
      <c r="I675" s="4" t="inlineStr">
        <is>
          <t>smoked-salmon-cucumber-rounds.jpg</t>
        </is>
      </c>
      <c r="J675" s="3" t="inlineStr">
        <is>
          <t>Smoked Salmon Cucumber Rounds, healthy food photography, plated, natural light</t>
        </is>
      </c>
      <c r="K675" s="4" t="inlineStr"/>
      <c r="L675" s="3" t="inlineStr">
        <is>
          <t>Cucumber — 200 g (7.1 oz)
Smoked salmon — 80 g (2.8 oz)
Cream cheese — 30 g (1.1 oz)
Fresh dill — 3 g (0.1 oz)
Capers — 5 g (0.2 oz)
Lemon (with juice &amp; zest) — 10 g (0.4 oz)</t>
        </is>
      </c>
      <c r="M675" s="4" t="inlineStr">
        <is>
          <t>[{"ingredient_id": "cucumber", "name": "Cucumber", "grams": 200.0, "note": ""}, {"ingredient_id": "smoked_salmon", "name": "Smoked salmon", "grams": 80.0, "note": ""}, {"ingredient_id": "cream_cheese", "name": "Cream cheese", "grams": 30.0, "note": ""}, {"ingredient_id": "dill", "name": "Fresh dill", "grams": 3.0, "note": ""}, {"ingredient_id": "capers", "name": "Capers", "grams": 5.0, "note": ""}, {"ingredient_id": "lemon", "name": "Lemon (with juice &amp; zest)", "grams": 10.0, "note": ""}]</t>
        </is>
      </c>
      <c r="N675" s="2" t="n">
        <v>116</v>
      </c>
      <c r="O675" s="5" t="n">
        <v>9</v>
      </c>
      <c r="P675" s="5" t="n">
        <v>7</v>
      </c>
      <c r="Q675" s="5" t="n">
        <v>4.9</v>
      </c>
      <c r="R675" s="5" t="n">
        <v>0.8</v>
      </c>
      <c r="S675" s="5" t="n">
        <v>4.1</v>
      </c>
      <c r="T675" s="2" t="n">
        <v>13</v>
      </c>
      <c r="U675" s="2" t="inlineStr">
        <is>
          <t>low</t>
        </is>
      </c>
      <c r="V675" s="5" t="n">
        <v>0.5</v>
      </c>
      <c r="W675" s="2" t="inlineStr">
        <is>
          <t>low</t>
        </is>
      </c>
      <c r="X675" s="3" t="inlineStr">
        <is>
          <t>Negligible carbohydrate (&lt;5 g net/serving): GI has little practical meaning, glycemic load is what matters.</t>
        </is>
      </c>
      <c r="Y675" s="3" t="inlineStr">
        <is>
          <t>0% of this dish's available carbohydrate comes from ingredients with a published, measured GI; the rest uses conventional placeholders (see Ingredients sheet)</t>
        </is>
      </c>
      <c r="Z675" s="2" t="n">
        <v>0</v>
      </c>
      <c r="AA675" s="3" t="inlineStr">
        <is>
          <t>pescatarian, gluten-free, nut-free, low-carb, no-cook, quick, omega-3</t>
        </is>
      </c>
      <c r="AB675" s="3" t="inlineStr">
        <is>
          <t>1. Slice cucumber into rounds.
2. Top with cream cheese and salmon.
3. Dill, capers, lemon zest.</t>
        </is>
      </c>
      <c r="AC675" s="4" t="inlineStr">
        <is>
          <t>["Slice cucumber into rounds.", "Top with cream cheese and salmon.", "Dill, capers, lemon zest."]</t>
        </is>
      </c>
    </row>
    <row r="676" ht="96" customHeight="1">
      <c r="A676" s="2" t="inlineStr">
        <is>
          <t>DB-0675</t>
        </is>
      </c>
      <c r="B676" s="3" t="inlineStr">
        <is>
          <t>Guacamole with Jicama Chips</t>
        </is>
      </c>
      <c r="C676" s="4" t="inlineStr">
        <is>
          <t>Snack &amp; Appetizer</t>
        </is>
      </c>
      <c r="D676" s="4" t="inlineStr">
        <is>
          <t>Mexican</t>
        </is>
      </c>
      <c r="E676" s="2" t="n">
        <v>4</v>
      </c>
      <c r="F676" s="2" t="n">
        <v>10</v>
      </c>
      <c r="G676" s="2" t="n">
        <v>0</v>
      </c>
      <c r="H676" s="2" t="n">
        <v>10</v>
      </c>
      <c r="I676" s="4" t="inlineStr">
        <is>
          <t>guacamole-with-jicama-chips.jpg</t>
        </is>
      </c>
      <c r="J676" s="3" t="inlineStr">
        <is>
          <t>Guacamole with Jicama Chips, healthy food photography, plated, natural light</t>
        </is>
      </c>
      <c r="K676" s="4" t="inlineStr"/>
      <c r="L676" s="3" t="inlineStr">
        <is>
          <t>Avocado — 280 g (9.9 oz)
Lime juice — 20 g (0.7 oz)
Red onion — 30 g (1.1 oz)
Fresh cilantro — 8 g (0.3 oz)
Jalapeño — 8 g (0.3 oz)
Tomato — 80 g (2.8 oz)
Jicama — 300 g (10.6 oz)
Salt — 2 g (0.1 oz)</t>
        </is>
      </c>
      <c r="M676" s="4" t="inlineStr">
        <is>
          <t>[{"ingredient_id": "avocado", "name": "Avocado", "grams": 280.0, "note": ""}, {"ingredient_id": "lime_juice", "name": "Lime juice", "grams": 20.0, "note": ""}, {"ingredient_id": "red_onion", "name": "Red onion", "grams": 30.0, "note": ""}, {"ingredient_id": "cilantro", "name": "Fresh cilantro", "grams": 8.0, "note": ""}, {"ingredient_id": "jalapeno", "name": "Jalapeño", "grams": 8.0, "note": ""}, {"ingredient_id": "tomato", "name": "Tomato", "grams": 80.0, "note": ""}, {"ingredient_id": "jicama", "name": "Jicama", "grams": 300.0, "note": ""}, {"ingredient_id": "salt", "name": "Salt", "grams": 2.0, "note": ""}]</t>
        </is>
      </c>
      <c r="N676" s="2" t="n">
        <v>149</v>
      </c>
      <c r="O676" s="5" t="n">
        <v>2.3</v>
      </c>
      <c r="P676" s="5" t="n">
        <v>10.6</v>
      </c>
      <c r="Q676" s="5" t="n">
        <v>14.7</v>
      </c>
      <c r="R676" s="5" t="n">
        <v>8.9</v>
      </c>
      <c r="S676" s="5" t="n">
        <v>5.8</v>
      </c>
      <c r="T676" s="2" t="n">
        <v>15</v>
      </c>
      <c r="U676" s="2" t="inlineStr">
        <is>
          <t>low</t>
        </is>
      </c>
      <c r="V676" s="5" t="n">
        <v>0.9</v>
      </c>
      <c r="W676" s="2" t="inlineStr">
        <is>
          <t>low</t>
        </is>
      </c>
      <c r="X676" s="3" t="inlineStr"/>
      <c r="Y676" s="3" t="inlineStr">
        <is>
          <t>0% of this dish's available carbohydrate comes from ingredients with a published, measured GI; the rest uses conventional placeholders (see Ingredients sheet)</t>
        </is>
      </c>
      <c r="Z676" s="2" t="n">
        <v>0</v>
      </c>
      <c r="AA676" s="3" t="inlineStr">
        <is>
          <t>vegan, gluten-free, dairy-free, nut-free, low-carb, high-fiber, no-cook</t>
        </is>
      </c>
      <c r="AB676" s="3" t="inlineStr">
        <is>
          <t>1. Mash avocado with lime, salt.
2. Fold in onion, cilantro, jalapeño, tomato.
3. Serve with jicama sticks.</t>
        </is>
      </c>
      <c r="AC676" s="4" t="inlineStr">
        <is>
          <t>["Mash avocado with lime, salt.", "Fold in onion, cilantro, jalapeño, tomato.", "Serve with jicama sticks."]</t>
        </is>
      </c>
    </row>
    <row r="677" ht="96" customHeight="1">
      <c r="A677" s="2" t="inlineStr">
        <is>
          <t>DB-0676</t>
        </is>
      </c>
      <c r="B677" s="3" t="inlineStr">
        <is>
          <t>Hard-Boiled Eggs with Everything Seasoning</t>
        </is>
      </c>
      <c r="C677" s="4" t="inlineStr">
        <is>
          <t>Snack &amp; Appetizer</t>
        </is>
      </c>
      <c r="D677" s="4" t="inlineStr">
        <is>
          <t>American</t>
        </is>
      </c>
      <c r="E677" s="2" t="n">
        <v>1</v>
      </c>
      <c r="F677" s="2" t="n">
        <v>2</v>
      </c>
      <c r="G677" s="2" t="n">
        <v>10</v>
      </c>
      <c r="H677" s="2" t="n">
        <v>12</v>
      </c>
      <c r="I677" s="4" t="inlineStr">
        <is>
          <t>hard-boiled-eggs-with-everything-seasoning.jpg</t>
        </is>
      </c>
      <c r="J677" s="3" t="inlineStr">
        <is>
          <t>Hard-Boiled Eggs with Everything Seasoning, healthy food photography, plated, natural light</t>
        </is>
      </c>
      <c r="K677" s="4" t="inlineStr"/>
      <c r="L677" s="3" t="inlineStr">
        <is>
          <t>Egg, large (50 g each) — 100 g (3.5 oz) [2 large eggs]
Everything bagel seasoning — 2 g (0.1 oz)
Hot sauce (Tabasco/Frank's) — 3 g (0.1 oz)</t>
        </is>
      </c>
      <c r="M677" s="4" t="inlineStr">
        <is>
          <t>[{"ingredient_id": "egg", "name": "Egg, large (50 g each)", "grams": 100.0, "note": "2 large eggs"}, {"ingredient_id": "everything_seasoning", "name": "Everything bagel seasoning", "grams": 2.0, "note": ""}, {"ingredient_id": "hot_sauce", "name": "Hot sauce (Tabasco/Frank's)", "grams": 3.0, "note": ""}]</t>
        </is>
      </c>
      <c r="N677" s="2" t="n">
        <v>150</v>
      </c>
      <c r="O677" s="5" t="n">
        <v>12.9</v>
      </c>
      <c r="P677" s="5" t="n">
        <v>9.9</v>
      </c>
      <c r="Q677" s="5" t="n">
        <v>1.4</v>
      </c>
      <c r="R677" s="5" t="n">
        <v>0.2</v>
      </c>
      <c r="S677" s="5" t="n">
        <v>1.1</v>
      </c>
      <c r="T677" s="2" t="n">
        <v>6</v>
      </c>
      <c r="U677" s="2" t="inlineStr">
        <is>
          <t>low</t>
        </is>
      </c>
      <c r="V677" s="5" t="n">
        <v>0.1</v>
      </c>
      <c r="W677" s="2" t="inlineStr">
        <is>
          <t>low</t>
        </is>
      </c>
      <c r="X677" s="3" t="inlineStr">
        <is>
          <t>Negligible carbohydrate (&lt;5 g net/serving): GI has little practical meaning, glycemic load is what matters.</t>
        </is>
      </c>
      <c r="Y677" s="3" t="inlineStr">
        <is>
          <t>0% of this dish's available carbohydrate comes from ingredients with a published, measured GI; the rest uses conventional placeholders (see Ingredients sheet)</t>
        </is>
      </c>
      <c r="Z677" s="2" t="n">
        <v>0</v>
      </c>
      <c r="AA677" s="3" t="inlineStr">
        <is>
          <t>vegetarian, gluten-free, dairy-free, nut-free, low-carb, quick</t>
        </is>
      </c>
      <c r="AB677" s="3" t="inlineStr">
        <is>
          <t>1. Boil eggs 9–10 minutes; cool in ice water.
2. Peel and halve.
3. Sprinkle seasoning; dash hot sauce.</t>
        </is>
      </c>
      <c r="AC677" s="4" t="inlineStr">
        <is>
          <t>["Boil eggs 9–10 minutes; cool in ice water.", "Peel and halve.", "Sprinkle seasoning; dash hot sauce."]</t>
        </is>
      </c>
    </row>
    <row r="678" ht="96" customHeight="1">
      <c r="A678" s="2" t="inlineStr">
        <is>
          <t>DB-0677</t>
        </is>
      </c>
      <c r="B678" s="3" t="inlineStr">
        <is>
          <t>Trail Mix (No Added Sugar)</t>
        </is>
      </c>
      <c r="C678" s="4" t="inlineStr">
        <is>
          <t>Snack &amp; Appetizer</t>
        </is>
      </c>
      <c r="D678" s="4" t="inlineStr">
        <is>
          <t>American</t>
        </is>
      </c>
      <c r="E678" s="2" t="n">
        <v>6</v>
      </c>
      <c r="F678" s="2" t="n">
        <v>5</v>
      </c>
      <c r="G678" s="2" t="n">
        <v>0</v>
      </c>
      <c r="H678" s="2" t="n">
        <v>5</v>
      </c>
      <c r="I678" s="4" t="inlineStr">
        <is>
          <t>trail-mix-no-added-sugar.jpg</t>
        </is>
      </c>
      <c r="J678" s="3" t="inlineStr">
        <is>
          <t>Trail Mix (No Added Sugar), healthy food photography, plated, natural light</t>
        </is>
      </c>
      <c r="K678" s="4" t="inlineStr"/>
      <c r="L678" s="3" t="inlineStr">
        <is>
          <t>Almonds — 80 g (2.8 oz)
Walnuts — 60 g (2.1 oz)
Pumpkin seeds (pepitas) — 50 g (1.8 oz)
Sunflower seeds — 40 g (1.4 oz)
Coconut, unsweetened shredded — 20 g (0.7 oz)
Dark chocolate 85% — 30 g (1.1 oz)</t>
        </is>
      </c>
      <c r="M678" s="4" t="inlineStr">
        <is>
          <t>[{"ingredient_id": "almonds", "name": "Almonds", "grams": 80.0, "note": ""}, {"ingredient_id": "walnuts", "name": "Walnuts", "grams": 60.0, "note": ""}, {"ingredient_id": "pumpkin_seeds", "name": "Pumpkin seeds (pepitas)", "grams": 50.0, "note": ""}, {"ingredient_id": "sunflower_seeds", "name": "Sunflower seeds", "grams": 40.0, "note": ""}, {"ingredient_id": "coconut_shredded", "name": "Coconut, unsweetened shredded", "grams": 20.0, "note": ""}, {"ingredient_id": "dark_chocolate", "name": "Dark chocolate 85%", "grams": 30.0, "note": ""}]</t>
        </is>
      </c>
      <c r="N678" s="2" t="n">
        <v>280</v>
      </c>
      <c r="O678" s="5" t="n">
        <v>9</v>
      </c>
      <c r="P678" s="5" t="n">
        <v>25.1</v>
      </c>
      <c r="Q678" s="5" t="n">
        <v>8.9</v>
      </c>
      <c r="R678" s="5" t="n">
        <v>4.5</v>
      </c>
      <c r="S678" s="5" t="n">
        <v>4.3</v>
      </c>
      <c r="T678" s="2" t="n">
        <v>19</v>
      </c>
      <c r="U678" s="2" t="inlineStr">
        <is>
          <t>low</t>
        </is>
      </c>
      <c r="V678" s="5" t="n">
        <v>0.8</v>
      </c>
      <c r="W678" s="2" t="inlineStr">
        <is>
          <t>low</t>
        </is>
      </c>
      <c r="X678" s="3" t="inlineStr">
        <is>
          <t>Negligible carbohydrate (&lt;5 g net/serving): GI has little practical meaning, glycemic load is what matters.</t>
        </is>
      </c>
      <c r="Y678" s="3" t="inlineStr">
        <is>
          <t>21% of this dish's available carbohydrate comes from ingredients with a published, measured GI; the rest uses conventional placeholders (see Ingredients sheet)</t>
        </is>
      </c>
      <c r="Z678" s="2" t="n">
        <v>21</v>
      </c>
      <c r="AA678" s="3" t="inlineStr">
        <is>
          <t>vegan, gluten-free, dairy-free, low-carb, no-cook, make-ahead</t>
        </is>
      </c>
      <c r="AB678" s="3" t="inlineStr">
        <is>
          <t>1. Combine nuts and seeds.
2. Add coconut and chopped dark chocolate.
3. Portion into 40 g servings.</t>
        </is>
      </c>
      <c r="AC678" s="4" t="inlineStr">
        <is>
          <t>["Combine nuts and seeds.", "Add coconut and chopped dark chocolate.", "Portion into 40 g servings."]</t>
        </is>
      </c>
    </row>
    <row r="679" ht="96" customHeight="1">
      <c r="A679" s="2" t="inlineStr">
        <is>
          <t>DB-0678</t>
        </is>
      </c>
      <c r="B679" s="3" t="inlineStr">
        <is>
          <t>Celery with Peanut Butter</t>
        </is>
      </c>
      <c r="C679" s="4" t="inlineStr">
        <is>
          <t>Snack &amp; Appetizer</t>
        </is>
      </c>
      <c r="D679" s="4" t="inlineStr">
        <is>
          <t>American</t>
        </is>
      </c>
      <c r="E679" s="2" t="n">
        <v>1</v>
      </c>
      <c r="F679" s="2" t="n">
        <v>3</v>
      </c>
      <c r="G679" s="2" t="n">
        <v>0</v>
      </c>
      <c r="H679" s="2" t="n">
        <v>3</v>
      </c>
      <c r="I679" s="4" t="inlineStr">
        <is>
          <t>celery-with-peanut-butter.jpg</t>
        </is>
      </c>
      <c r="J679" s="3" t="inlineStr">
        <is>
          <t>Celery with Peanut Butter, healthy food photography, plated, natural light</t>
        </is>
      </c>
      <c r="K679" s="4" t="inlineStr"/>
      <c r="L679" s="3" t="inlineStr">
        <is>
          <t>Celery — 100 g (3.5 oz)
Peanut butter, natural — 20 g (0.7 oz)
Chia seeds — 3 g (0.1 oz)</t>
        </is>
      </c>
      <c r="M679" s="4" t="inlineStr">
        <is>
          <t>[{"ingredient_id": "celery", "name": "Celery", "grams": 100.0, "note": ""}, {"ingredient_id": "peanut_butter", "name": "Peanut butter, natural", "grams": 20.0, "note": ""}, {"ingredient_id": "chia_seeds", "name": "Chia seeds", "grams": 3.0, "note": ""}]</t>
        </is>
      </c>
      <c r="N679" s="2" t="n">
        <v>148</v>
      </c>
      <c r="O679" s="5" t="n">
        <v>6.2</v>
      </c>
      <c r="P679" s="5" t="n">
        <v>11.1</v>
      </c>
      <c r="Q679" s="5" t="n">
        <v>8.300000000000001</v>
      </c>
      <c r="R679" s="5" t="n">
        <v>3.8</v>
      </c>
      <c r="S679" s="5" t="n">
        <v>4.4</v>
      </c>
      <c r="T679" s="2" t="n">
        <v>14</v>
      </c>
      <c r="U679" s="2" t="inlineStr">
        <is>
          <t>low</t>
        </is>
      </c>
      <c r="V679" s="5" t="n">
        <v>0.6</v>
      </c>
      <c r="W679" s="2" t="inlineStr">
        <is>
          <t>low</t>
        </is>
      </c>
      <c r="X679" s="3" t="inlineStr">
        <is>
          <t>Negligible carbohydrate (&lt;5 g net/serving): GI has little practical meaning, glycemic load is what matters.</t>
        </is>
      </c>
      <c r="Y679" s="3" t="inlineStr">
        <is>
          <t>0% of this dish's available carbohydrate comes from ingredients with a published, measured GI; the rest uses conventional placeholders (see Ingredients sheet)</t>
        </is>
      </c>
      <c r="Z679" s="2" t="n">
        <v>0</v>
      </c>
      <c r="AA679" s="3" t="inlineStr">
        <is>
          <t>vegan, gluten-free, dairy-free, low-carb, no-cook, quick</t>
        </is>
      </c>
      <c r="AB679" s="3" t="inlineStr">
        <is>
          <t>1. Cut celery into sticks.
2. Fill with peanut butter.
3. Sprinkle chia.</t>
        </is>
      </c>
      <c r="AC679" s="4" t="inlineStr">
        <is>
          <t>["Cut celery into sticks.", "Fill with peanut butter.", "Sprinkle chia."]</t>
        </is>
      </c>
    </row>
    <row r="680" ht="96" customHeight="1">
      <c r="A680" s="2" t="inlineStr">
        <is>
          <t>DB-0679</t>
        </is>
      </c>
      <c r="B680" s="3" t="inlineStr">
        <is>
          <t>Baked Zucchini Chips with Parmesan</t>
        </is>
      </c>
      <c r="C680" s="4" t="inlineStr">
        <is>
          <t>Snack &amp; Appetizer</t>
        </is>
      </c>
      <c r="D680" s="4" t="inlineStr">
        <is>
          <t>Italian</t>
        </is>
      </c>
      <c r="E680" s="2" t="n">
        <v>3</v>
      </c>
      <c r="F680" s="2" t="n">
        <v>10</v>
      </c>
      <c r="G680" s="2" t="n">
        <v>30</v>
      </c>
      <c r="H680" s="2" t="n">
        <v>40</v>
      </c>
      <c r="I680" s="4" t="inlineStr">
        <is>
          <t>baked-zucchini-chips-with-parmesan.jpg</t>
        </is>
      </c>
      <c r="J680" s="3" t="inlineStr">
        <is>
          <t>Baked Zucchini Chips with Parmesan, healthy food photography, plated, natural light</t>
        </is>
      </c>
      <c r="K680" s="4" t="inlineStr"/>
      <c r="L680" s="3" t="inlineStr">
        <is>
          <t>Zucchini — 500 g (17.6 oz)
Parmesan, grated — 30 g (1.1 oz)
Extra-virgin olive oil — 12 g (0.4 oz)
Garlic powder — 2 g (0.1 oz)
Italian seasoning — 1 g (0.0 oz)
Salt — 1 g (0.0 oz)</t>
        </is>
      </c>
      <c r="M680" s="4" t="inlineStr">
        <is>
          <t>[{"ingredient_id": "zucchini", "name": "Zucchini", "grams": 500.0, "note": ""}, {"ingredient_id": "parmesan", "name": "Parmesan, grated", "grams": 30.0, "note": ""}, {"ingredient_id": "olive_oil", "name": "Extra-virgin olive oil", "grams": 12.0, "note": ""}, {"ingredient_id": "garlic_powder", "name": "Garlic powder", "grams": 2.0, "note": ""}, {"ingredient_id": "italian_seasoning", "name": "Italian seasoning", "grams": 1.0, "note": ""}, {"ingredient_id": "salt", "name": "Salt", "grams": 1.0, "note": ""}]</t>
        </is>
      </c>
      <c r="N680" s="2" t="n">
        <v>110</v>
      </c>
      <c r="O680" s="5" t="n">
        <v>5.9</v>
      </c>
      <c r="P680" s="5" t="n">
        <v>7.4</v>
      </c>
      <c r="Q680" s="5" t="n">
        <v>6.3</v>
      </c>
      <c r="R680" s="5" t="n">
        <v>1.9</v>
      </c>
      <c r="S680" s="5" t="n">
        <v>4.4</v>
      </c>
      <c r="T680" s="2" t="n">
        <v>14</v>
      </c>
      <c r="U680" s="2" t="inlineStr">
        <is>
          <t>low</t>
        </is>
      </c>
      <c r="V680" s="5" t="n">
        <v>0.6</v>
      </c>
      <c r="W680" s="2" t="inlineStr">
        <is>
          <t>low</t>
        </is>
      </c>
      <c r="X680" s="3" t="inlineStr">
        <is>
          <t>Negligible carbohydrate (&lt;5 g net/serving): GI has little practical meaning, glycemic load is what matters.</t>
        </is>
      </c>
      <c r="Y680" s="3" t="inlineStr">
        <is>
          <t>0% of this dish's available carbohydrate comes from ingredients with a published, measured GI; the rest uses conventional placeholders (see Ingredients sheet)</t>
        </is>
      </c>
      <c r="Z680" s="2" t="n">
        <v>0</v>
      </c>
      <c r="AA680" s="3" t="inlineStr">
        <is>
          <t>vegetarian, gluten-free, nut-free, low-carb</t>
        </is>
      </c>
      <c r="AB680" s="3" t="inlineStr">
        <is>
          <t>1. Slice zucchini thin; blot dry.
2. Toss with oil, parmesan, seasonings.
3. Bake on racks at 400°F 25–30 minutes until crisp.</t>
        </is>
      </c>
      <c r="AC680" s="4" t="inlineStr">
        <is>
          <t>["Slice zucchini thin; blot dry.", "Toss with oil, parmesan, seasonings.", "Bake on racks at 400°F 25–30 minutes until crisp."]</t>
        </is>
      </c>
    </row>
    <row r="681" ht="96" customHeight="1">
      <c r="A681" s="2" t="inlineStr">
        <is>
          <t>DB-0680</t>
        </is>
      </c>
      <c r="B681" s="3" t="inlineStr">
        <is>
          <t>Shrimp Cocktail with Avocado</t>
        </is>
      </c>
      <c r="C681" s="4" t="inlineStr">
        <is>
          <t>Snack &amp; Appetizer</t>
        </is>
      </c>
      <c r="D681" s="4" t="inlineStr">
        <is>
          <t>American</t>
        </is>
      </c>
      <c r="E681" s="2" t="n">
        <v>4</v>
      </c>
      <c r="F681" s="2" t="n">
        <v>10</v>
      </c>
      <c r="G681" s="2" t="n">
        <v>4</v>
      </c>
      <c r="H681" s="2" t="n">
        <v>14</v>
      </c>
      <c r="I681" s="4" t="inlineStr">
        <is>
          <t>shrimp-cocktail-with-avocado.jpg</t>
        </is>
      </c>
      <c r="J681" s="3" t="inlineStr">
        <is>
          <t>Shrimp Cocktail with Avocado, healthy food photography, plated, natural light</t>
        </is>
      </c>
      <c r="K681" s="4" t="inlineStr"/>
      <c r="L681" s="3" t="inlineStr">
        <is>
          <t>Shrimp, peeled — 400 g (14.1 oz)
Tomato paste — 30 g (1.1 oz)
Hot sauce (Tabasco/Frank's) — 8 g (0.3 oz)
Lemon juice — 15 g (0.5 oz)
Dijon mustard — 5 g (0.2 oz)
Avocado — 100 g (3.5 oz)
Old Bay seasoning — 2 g (0.1 oz)</t>
        </is>
      </c>
      <c r="M681" s="4" t="inlineStr">
        <is>
          <t>[{"ingredient_id": "shrimp", "name": "Shrimp, peeled", "grams": 400.0, "note": ""}, {"ingredient_id": "tomato_paste", "name": "Tomato paste", "grams": 30.0, "note": ""}, {"ingredient_id": "hot_sauce", "name": "Hot sauce (Tabasco/Frank's)", "grams": 8.0, "note": ""}, {"ingredient_id": "lemon_juice", "name": "Lemon juice", "grams": 15.0, "note": ""}, {"ingredient_id": "dijon", "name": "Dijon mustard", "grams": 5.0, "note": ""}, {"ingredient_id": "avocado", "name": "Avocado", "grams": 100.0, "note": ""}, {"ingredient_id": "old_bay", "name": "Old Bay seasoning", "grams": 2.0, "note": ""}]</t>
        </is>
      </c>
      <c r="N681" s="2" t="n">
        <v>135</v>
      </c>
      <c r="O681" s="5" t="n">
        <v>20.9</v>
      </c>
      <c r="P681" s="5" t="n">
        <v>4.4</v>
      </c>
      <c r="Q681" s="5" t="n">
        <v>4.2</v>
      </c>
      <c r="R681" s="5" t="n">
        <v>2.2</v>
      </c>
      <c r="S681" s="5" t="n">
        <v>2</v>
      </c>
      <c r="T681" s="2" t="n">
        <v>27</v>
      </c>
      <c r="U681" s="2" t="inlineStr">
        <is>
          <t>low</t>
        </is>
      </c>
      <c r="V681" s="5" t="n">
        <v>0.5</v>
      </c>
      <c r="W681" s="2" t="inlineStr">
        <is>
          <t>low</t>
        </is>
      </c>
      <c r="X681" s="3" t="inlineStr">
        <is>
          <t>Negligible carbohydrate (&lt;5 g net/serving): GI has little practical meaning, glycemic load is what matters.</t>
        </is>
      </c>
      <c r="Y681" s="3" t="inlineStr">
        <is>
          <t>0% of this dish's available carbohydrate comes from ingredients with a published, measured GI; the rest uses conventional placeholders (see Ingredients sheet)</t>
        </is>
      </c>
      <c r="Z681" s="2" t="n">
        <v>0</v>
      </c>
      <c r="AA681" s="3" t="inlineStr">
        <is>
          <t>pescatarian, gluten-free, dairy-free, nut-free, low-carb, quick</t>
        </is>
      </c>
      <c r="AB681" s="3" t="inlineStr">
        <is>
          <t>1. Poach shrimp with Old Bay 3 minutes; chill.
2. Mix tomato paste, hot sauce, lemon, Dijon, a little water for cocktail sauce.
3. Serve shrimp with sauce and avocado slices.</t>
        </is>
      </c>
      <c r="AC681" s="4" t="inlineStr">
        <is>
          <t>["Poach shrimp with Old Bay 3 minutes; chill.", "Mix tomato paste, hot sauce, lemon, Dijon, a little water for cocktail sauce.", "Serve shrimp with sauce and avocado slices."]</t>
        </is>
      </c>
    </row>
    <row r="682" ht="96" customHeight="1">
      <c r="A682" s="2" t="inlineStr">
        <is>
          <t>DB-0681</t>
        </is>
      </c>
      <c r="B682" s="3" t="inlineStr">
        <is>
          <t>Buffalo Cauliflower Bites</t>
        </is>
      </c>
      <c r="C682" s="4" t="inlineStr">
        <is>
          <t>Snack &amp; Appetizer</t>
        </is>
      </c>
      <c r="D682" s="4" t="inlineStr">
        <is>
          <t>American</t>
        </is>
      </c>
      <c r="E682" s="2" t="n">
        <v>4</v>
      </c>
      <c r="F682" s="2" t="n">
        <v>10</v>
      </c>
      <c r="G682" s="2" t="n">
        <v>30</v>
      </c>
      <c r="H682" s="2" t="n">
        <v>40</v>
      </c>
      <c r="I682" s="4" t="inlineStr">
        <is>
          <t>buffalo-cauliflower-bites.jpg</t>
        </is>
      </c>
      <c r="J682" s="3" t="inlineStr">
        <is>
          <t>Buffalo Cauliflower Bites, healthy food photography, plated, natural light</t>
        </is>
      </c>
      <c r="K682" s="4" t="inlineStr"/>
      <c r="L682" s="3" t="inlineStr">
        <is>
          <t>Cauliflower — 600 g (21.2 oz)
Extra-virgin olive oil — 15 g (0.5 oz)
Hot sauce (Tabasco/Frank's) — 50 g (1.8 oz)
Butter — 10 g (0.4 oz)
Garlic powder — 2 g (0.1 oz)
Greek yogurt, plain 2% — 100 g (3.5 oz)
Blue cheese, crumbled — 30 g (1.1 oz)
Celery — 100 g (3.5 oz)</t>
        </is>
      </c>
      <c r="M682" s="4" t="inlineStr">
        <is>
          <t>[{"ingredient_id": "cauliflower", "name": "Cauliflower", "grams": 600.0, "note": ""}, {"ingredient_id": "olive_oil", "name": "Extra-virgin olive oil", "grams": 15.0, "note": ""}, {"ingredient_id": "hot_sauce", "name": "Hot sauce (Tabasco/Frank's)", "grams": 50.0, "note": ""}, {"ingredient_id": "butter", "name": "Butter", "grams": 10.0, "note": ""}, {"ingredient_id": "garlic_powder", "name": "Garlic powder", "grams": 2.0, "note": ""}, {"ingredient_id": "greek_yogurt", "name": "Greek yogurt, plain 2%", "grams": 100.0, "note": ""}, {"ingredient_id": "blue_cheese", "name": "Blue cheese, crumbled", "grams": 30.0, "note": ""}, {"ingredient_id": "celery", "name": "Celery", "grams": 100.0, "note": ""}]</t>
        </is>
      </c>
      <c r="N682" s="2" t="n">
        <v>140</v>
      </c>
      <c r="O682" s="5" t="n">
        <v>7.3</v>
      </c>
      <c r="P682" s="5" t="n">
        <v>9</v>
      </c>
      <c r="Q682" s="5" t="n">
        <v>10</v>
      </c>
      <c r="R682" s="5" t="n">
        <v>3.5</v>
      </c>
      <c r="S682" s="5" t="n">
        <v>6.5</v>
      </c>
      <c r="T682" s="2" t="n">
        <v>14</v>
      </c>
      <c r="U682" s="2" t="inlineStr">
        <is>
          <t>low</t>
        </is>
      </c>
      <c r="V682" s="5" t="n">
        <v>0.9</v>
      </c>
      <c r="W682" s="2" t="inlineStr">
        <is>
          <t>low</t>
        </is>
      </c>
      <c r="X682" s="3" t="inlineStr"/>
      <c r="Y682" s="3" t="inlineStr">
        <is>
          <t>15% of this dish's available carbohydrate comes from ingredients with a published, measured GI; the rest uses conventional placeholders (see Ingredients sheet)</t>
        </is>
      </c>
      <c r="Z682" s="2" t="n">
        <v>15</v>
      </c>
      <c r="AA682" s="3" t="inlineStr">
        <is>
          <t>vegetarian, gluten-free, nut-free, low-carb</t>
        </is>
      </c>
      <c r="AB682" s="3" t="inlineStr">
        <is>
          <t>1. Toss florets with oil and garlic powder; roast at 425°F 22 minutes.
2. Toss in hot sauce melted with butter; roast 6 minutes.
3. Serve with yogurt-blue cheese dip and celery.</t>
        </is>
      </c>
      <c r="AC682" s="4" t="inlineStr">
        <is>
          <t>["Toss florets with oil and garlic powder; roast at 425°F 22 minutes.", "Toss in hot sauce melted with butter; roast 6 minutes.", "Serve with yogurt-blue cheese dip and celery."]</t>
        </is>
      </c>
    </row>
    <row r="683" ht="96" customHeight="1">
      <c r="A683" s="2" t="inlineStr">
        <is>
          <t>DB-0682</t>
        </is>
      </c>
      <c r="B683" s="3" t="inlineStr">
        <is>
          <t>Greek Yogurt with Berries &amp; Chia</t>
        </is>
      </c>
      <c r="C683" s="4" t="inlineStr">
        <is>
          <t>Snack &amp; Appetizer</t>
        </is>
      </c>
      <c r="D683" s="4" t="inlineStr">
        <is>
          <t>American</t>
        </is>
      </c>
      <c r="E683" s="2" t="n">
        <v>1</v>
      </c>
      <c r="F683" s="2" t="n">
        <v>3</v>
      </c>
      <c r="G683" s="2" t="n">
        <v>0</v>
      </c>
      <c r="H683" s="2" t="n">
        <v>3</v>
      </c>
      <c r="I683" s="4" t="inlineStr">
        <is>
          <t>greek-yogurt-with-berries-and-chia.jpg</t>
        </is>
      </c>
      <c r="J683" s="3" t="inlineStr">
        <is>
          <t>Greek Yogurt with Berries &amp; Chia, healthy food photography, plated, natural light</t>
        </is>
      </c>
      <c r="K683" s="4" t="inlineStr"/>
      <c r="L683" s="3" t="inlineStr">
        <is>
          <t>Greek yogurt, plain 2% — 170 g (6.0 oz)
Mixed berries, frozen — 70 g (2.5 oz)
Chia seeds — 6 g (0.2 oz)
Ground cinnamon — 0.5 g (0.0 oz)</t>
        </is>
      </c>
      <c r="M683" s="4" t="inlineStr">
        <is>
          <t>[{"ingredient_id": "greek_yogurt", "name": "Greek yogurt, plain 2%", "grams": 170.0, "note": ""}, {"ingredient_id": "mixed_berries", "name": "Mixed berries, frozen", "grams": 70.0, "note": ""}, {"ingredient_id": "chia_seeds", "name": "Chia seeds", "grams": 6.0, "note": ""}, {"ingredient_id": "cinnamon", "name": "Ground cinnamon", "grams": 0.5, "note": ""}]</t>
        </is>
      </c>
      <c r="N683" s="2" t="n">
        <v>186</v>
      </c>
      <c r="O683" s="5" t="n">
        <v>18.6</v>
      </c>
      <c r="P683" s="5" t="n">
        <v>5.5</v>
      </c>
      <c r="Q683" s="5" t="n">
        <v>17.4</v>
      </c>
      <c r="R683" s="5" t="n">
        <v>5.1</v>
      </c>
      <c r="S683" s="5" t="n">
        <v>12.3</v>
      </c>
      <c r="T683" s="2" t="n">
        <v>23</v>
      </c>
      <c r="U683" s="2" t="inlineStr">
        <is>
          <t>low</t>
        </is>
      </c>
      <c r="V683" s="5" t="n">
        <v>2.8</v>
      </c>
      <c r="W683" s="2" t="inlineStr">
        <is>
          <t>low</t>
        </is>
      </c>
      <c r="X683" s="3" t="inlineStr"/>
      <c r="Y683" s="3" t="inlineStr">
        <is>
          <t>55% of this dish's available carbohydrate comes from ingredients with a published, measured GI; the rest uses conventional placeholders (see Ingredients sheet)</t>
        </is>
      </c>
      <c r="Z683" s="2" t="n">
        <v>55</v>
      </c>
      <c r="AA683" s="3" t="inlineStr">
        <is>
          <t>vegetarian, gluten-free, nut-free, low-carb, no-cook, quick</t>
        </is>
      </c>
      <c r="AB683" s="3" t="inlineStr">
        <is>
          <t>1. Spoon yogurt into a bowl.
2. Top berries and chia.
3. Cinnamon.</t>
        </is>
      </c>
      <c r="AC683" s="4" t="inlineStr">
        <is>
          <t>["Spoon yogurt into a bowl.", "Top berries and chia.", "Cinnamon."]</t>
        </is>
      </c>
    </row>
    <row r="684" ht="96" customHeight="1">
      <c r="A684" s="2" t="inlineStr">
        <is>
          <t>DB-0683</t>
        </is>
      </c>
      <c r="B684" s="3" t="inlineStr">
        <is>
          <t>Tuna Cucumber Boats</t>
        </is>
      </c>
      <c r="C684" s="4" t="inlineStr">
        <is>
          <t>Snack &amp; Appetizer</t>
        </is>
      </c>
      <c r="D684" s="4" t="inlineStr">
        <is>
          <t>American</t>
        </is>
      </c>
      <c r="E684" s="2" t="n">
        <v>2</v>
      </c>
      <c r="F684" s="2" t="n">
        <v>8</v>
      </c>
      <c r="G684" s="2" t="n">
        <v>0</v>
      </c>
      <c r="H684" s="2" t="n">
        <v>8</v>
      </c>
      <c r="I684" s="4" t="inlineStr">
        <is>
          <t>tuna-cucumber-boats.jpg</t>
        </is>
      </c>
      <c r="J684" s="3" t="inlineStr">
        <is>
          <t>Tuna Cucumber Boats, healthy food photography, plated, natural light</t>
        </is>
      </c>
      <c r="K684" s="4" t="inlineStr"/>
      <c r="L684" s="3" t="inlineStr">
        <is>
          <t>Tuna, canned in water — 120 g (4.2 oz)
Cucumber — 300 g (10.6 oz)
Greek yogurt, plain 2% — 30 g (1.1 oz)
Dijon mustard — 5 g (0.2 oz)
Celery — 30 g (1.1 oz)
Fresh dill — 3 g (0.1 oz)
Lemon juice — 5 g (0.2 oz)</t>
        </is>
      </c>
      <c r="M684" s="4" t="inlineStr">
        <is>
          <t>[{"ingredient_id": "tuna_canned", "name": "Tuna, canned in water", "grams": 120.0, "note": ""}, {"ingredient_id": "cucumber", "name": "Cucumber", "grams": 300.0, "note": ""}, {"ingredient_id": "greek_yogurt", "name": "Greek yogurt, plain 2%", "grams": 30.0, "note": ""}, {"ingredient_id": "dijon", "name": "Dijon mustard", "grams": 5.0, "note": ""}, {"ingredient_id": "celery", "name": "Celery", "grams": 30.0, "note": ""}, {"ingredient_id": "dill", "name": "Fresh dill", "grams": 3.0, "note": ""}, {"ingredient_id": "lemon_juice", "name": "Lemon juice", "grams": 5.0, "note": ""}]</t>
        </is>
      </c>
      <c r="N684" s="2" t="n">
        <v>108</v>
      </c>
      <c r="O684" s="5" t="n">
        <v>18.4</v>
      </c>
      <c r="P684" s="5" t="n">
        <v>1.2</v>
      </c>
      <c r="Q684" s="5" t="n">
        <v>6.9</v>
      </c>
      <c r="R684" s="5" t="n">
        <v>1.1</v>
      </c>
      <c r="S684" s="5" t="n">
        <v>5.7</v>
      </c>
      <c r="T684" s="2" t="n">
        <v>15</v>
      </c>
      <c r="U684" s="2" t="inlineStr">
        <is>
          <t>low</t>
        </is>
      </c>
      <c r="V684" s="5" t="n">
        <v>0.9</v>
      </c>
      <c r="W684" s="2" t="inlineStr">
        <is>
          <t>low</t>
        </is>
      </c>
      <c r="X684" s="3" t="inlineStr"/>
      <c r="Y684" s="3" t="inlineStr">
        <is>
          <t>10% of this dish's available carbohydrate comes from ingredients with a published, measured GI; the rest uses conventional placeholders (see Ingredients sheet)</t>
        </is>
      </c>
      <c r="Z684" s="2" t="n">
        <v>10</v>
      </c>
      <c r="AA684" s="3" t="inlineStr">
        <is>
          <t>pescatarian, gluten-free, nut-free, low-carb, no-cook, quick</t>
        </is>
      </c>
      <c r="AB684" s="3" t="inlineStr">
        <is>
          <t>1. Halve cucumber lengthwise; scoop seeds.
2. Mix tuna, yogurt, Dijon, celery, dill, lemon.
3. Fill boats.</t>
        </is>
      </c>
      <c r="AC684" s="4" t="inlineStr">
        <is>
          <t>["Halve cucumber lengthwise; scoop seeds.", "Mix tuna, yogurt, Dijon, celery, dill, lemon.", "Fill boats."]</t>
        </is>
      </c>
    </row>
    <row r="685" ht="96" customHeight="1">
      <c r="A685" s="2" t="inlineStr">
        <is>
          <t>DB-0684</t>
        </is>
      </c>
      <c r="B685" s="3" t="inlineStr">
        <is>
          <t>Stuffed Mini Peppers with Herbed Goat Cheese</t>
        </is>
      </c>
      <c r="C685" s="4" t="inlineStr">
        <is>
          <t>Snack &amp; Appetizer</t>
        </is>
      </c>
      <c r="D685" s="4" t="inlineStr">
        <is>
          <t>American</t>
        </is>
      </c>
      <c r="E685" s="2" t="n">
        <v>4</v>
      </c>
      <c r="F685" s="2" t="n">
        <v>10</v>
      </c>
      <c r="G685" s="2" t="n">
        <v>0</v>
      </c>
      <c r="H685" s="2" t="n">
        <v>10</v>
      </c>
      <c r="I685" s="4" t="inlineStr">
        <is>
          <t>stuffed-mini-peppers-with-herbed-goat-cheese.jpg</t>
        </is>
      </c>
      <c r="J685" s="3" t="inlineStr">
        <is>
          <t>Stuffed Mini Peppers with Herbed Goat Cheese, healthy food photography, plated, natural light</t>
        </is>
      </c>
      <c r="K685" s="4" t="inlineStr"/>
      <c r="L685" s="3" t="inlineStr">
        <is>
          <t>Bell pepper — 300 g (10.6 oz) [mini sweet peppers]
Goat cheese — 100 g (3.5 oz)
Greek yogurt, plain 2% — 40 g (1.4 oz)
Fresh chives — 5 g (0.2 oz)
Fresh dill — 3 g (0.1 oz)
Garlic — 2 g (0.1 oz)
Black pepper — 1 g (0.0 oz)</t>
        </is>
      </c>
      <c r="M685" s="4" t="inlineStr">
        <is>
          <t>[{"ingredient_id": "bell_pepper", "name": "Bell pepper", "grams": 300.0, "note": "mini sweet peppers"}, {"ingredient_id": "goat_cheese", "name": "Goat cheese", "grams": 100.0, "note": ""}, {"ingredient_id": "greek_yogurt", "name": "Greek yogurt, plain 2%", "grams": 40.0, "note": ""}, {"ingredient_id": "chives", "name": "Fresh chives", "grams": 5.0, "note": ""}, {"ingredient_id": "dill", "name": "Fresh dill", "grams": 3.0, "note": ""}, {"ingredient_id": "garlic", "name": "Garlic", "grams": 2.0, "note": ""}, {"ingredient_id": "black_pepper", "name": "Black pepper", "grams": 1.0, "note": ""}]</t>
        </is>
      </c>
      <c r="N685" s="2" t="n">
        <v>124</v>
      </c>
      <c r="O685" s="5" t="n">
        <v>7.4</v>
      </c>
      <c r="P685" s="5" t="n">
        <v>8</v>
      </c>
      <c r="Q685" s="5" t="n">
        <v>5.3</v>
      </c>
      <c r="R685" s="5" t="n">
        <v>1.7</v>
      </c>
      <c r="S685" s="5" t="n">
        <v>3.6</v>
      </c>
      <c r="T685" s="2" t="n">
        <v>15</v>
      </c>
      <c r="U685" s="2" t="inlineStr">
        <is>
          <t>low</t>
        </is>
      </c>
      <c r="V685" s="5" t="n">
        <v>0.5</v>
      </c>
      <c r="W685" s="2" t="inlineStr">
        <is>
          <t>low</t>
        </is>
      </c>
      <c r="X685" s="3" t="inlineStr">
        <is>
          <t>Negligible carbohydrate (&lt;5 g net/serving): GI has little practical meaning, glycemic load is what matters.</t>
        </is>
      </c>
      <c r="Y685" s="3" t="inlineStr">
        <is>
          <t>11% of this dish's available carbohydrate comes from ingredients with a published, measured GI; the rest uses conventional placeholders (see Ingredients sheet)</t>
        </is>
      </c>
      <c r="Z685" s="2" t="n">
        <v>11</v>
      </c>
      <c r="AA685" s="3" t="inlineStr">
        <is>
          <t>vegetarian, gluten-free, nut-free, low-carb, no-cook</t>
        </is>
      </c>
      <c r="AB685" s="3" t="inlineStr">
        <is>
          <t>1. Halve and seed mini peppers.
2. Mix goat cheese, yogurt, herbs, garlic, pepper.
3. Pipe into peppers.</t>
        </is>
      </c>
      <c r="AC685" s="4" t="inlineStr">
        <is>
          <t>["Halve and seed mini peppers.", "Mix goat cheese, yogurt, herbs, garlic, pepper.", "Pipe into peppers."]</t>
        </is>
      </c>
    </row>
    <row r="686" ht="96" customHeight="1">
      <c r="A686" s="2" t="inlineStr">
        <is>
          <t>DB-0685</t>
        </is>
      </c>
      <c r="B686" s="3" t="inlineStr">
        <is>
          <t>Kale Chips</t>
        </is>
      </c>
      <c r="C686" s="4" t="inlineStr">
        <is>
          <t>Snack &amp; Appetizer</t>
        </is>
      </c>
      <c r="D686" s="4" t="inlineStr">
        <is>
          <t>American</t>
        </is>
      </c>
      <c r="E686" s="2" t="n">
        <v>3</v>
      </c>
      <c r="F686" s="2" t="n">
        <v>5</v>
      </c>
      <c r="G686" s="2" t="n">
        <v>15</v>
      </c>
      <c r="H686" s="2" t="n">
        <v>20</v>
      </c>
      <c r="I686" s="4" t="inlineStr">
        <is>
          <t>kale-chips.jpg</t>
        </is>
      </c>
      <c r="J686" s="3" t="inlineStr">
        <is>
          <t>Kale Chips, healthy food photography, plated, natural light</t>
        </is>
      </c>
      <c r="K686" s="4" t="inlineStr"/>
      <c r="L686" s="3" t="inlineStr">
        <is>
          <t>Kale — 250 g (8.8 oz)
Extra-virgin olive oil — 12 g (0.4 oz)
Nutritional yeast — 8 g (0.3 oz)
Salt — 1 g (0.0 oz)
Smoked paprika — 1 g (0.0 oz)</t>
        </is>
      </c>
      <c r="M686" s="4" t="inlineStr">
        <is>
          <t>[{"ingredient_id": "kale", "name": "Kale", "grams": 250.0, "note": ""}, {"ingredient_id": "olive_oil", "name": "Extra-virgin olive oil", "grams": 12.0, "note": ""}, {"ingredient_id": "nutritional_yeast", "name": "Nutritional yeast", "grams": 8.0, "note": ""}, {"ingredient_id": "salt", "name": "Salt", "grams": 1.0, "note": ""}, {"ingredient_id": "smoked_paprika", "name": "Smoked paprika", "grams": 1.0, "note": ""}]</t>
        </is>
      </c>
      <c r="N686" s="2" t="n">
        <v>86</v>
      </c>
      <c r="O686" s="5" t="n">
        <v>5</v>
      </c>
      <c r="P686" s="5" t="n">
        <v>4.9</v>
      </c>
      <c r="Q686" s="5" t="n">
        <v>8.4</v>
      </c>
      <c r="R686" s="5" t="n">
        <v>3.8</v>
      </c>
      <c r="S686" s="5" t="n">
        <v>4.7</v>
      </c>
      <c r="T686" s="2" t="n">
        <v>15</v>
      </c>
      <c r="U686" s="2" t="inlineStr">
        <is>
          <t>low</t>
        </is>
      </c>
      <c r="V686" s="5" t="n">
        <v>0.7</v>
      </c>
      <c r="W686" s="2" t="inlineStr">
        <is>
          <t>low</t>
        </is>
      </c>
      <c r="X686" s="3" t="inlineStr">
        <is>
          <t>Negligible carbohydrate (&lt;5 g net/serving): GI has little practical meaning, glycemic load is what matters.</t>
        </is>
      </c>
      <c r="Y686" s="3" t="inlineStr">
        <is>
          <t>0% of this dish's available carbohydrate comes from ingredients with a published, measured GI; the rest uses conventional placeholders (see Ingredients sheet)</t>
        </is>
      </c>
      <c r="Z686" s="2" t="n">
        <v>0</v>
      </c>
      <c r="AA686" s="3" t="inlineStr">
        <is>
          <t>vegan, gluten-free, dairy-free, nut-free, low-carb</t>
        </is>
      </c>
      <c r="AB686" s="3" t="inlineStr">
        <is>
          <t>1. Tear kale; dry thoroughly; massage with oil.
2. Sprinkle nutritional yeast, salt, paprika.
3. Bake at 300°F 12–15 minutes until crisp.</t>
        </is>
      </c>
      <c r="AC686" s="4" t="inlineStr">
        <is>
          <t>["Tear kale; dry thoroughly; massage with oil.", "Sprinkle nutritional yeast, salt, paprika.", "Bake at 300°F 12–15 minutes until crisp."]</t>
        </is>
      </c>
    </row>
    <row r="687" ht="96" customHeight="1">
      <c r="A687" s="2" t="inlineStr">
        <is>
          <t>DB-0686</t>
        </is>
      </c>
      <c r="B687" s="3" t="inlineStr">
        <is>
          <t>Cheese &amp; Nut Snack Plate</t>
        </is>
      </c>
      <c r="C687" s="4" t="inlineStr">
        <is>
          <t>Snack &amp; Appetizer</t>
        </is>
      </c>
      <c r="D687" s="4" t="inlineStr">
        <is>
          <t>American</t>
        </is>
      </c>
      <c r="E687" s="2" t="n">
        <v>1</v>
      </c>
      <c r="F687" s="2" t="n">
        <v>3</v>
      </c>
      <c r="G687" s="2" t="n">
        <v>0</v>
      </c>
      <c r="H687" s="2" t="n">
        <v>3</v>
      </c>
      <c r="I687" s="4" t="inlineStr">
        <is>
          <t>cheese-and-nut-snack-plate.jpg</t>
        </is>
      </c>
      <c r="J687" s="3" t="inlineStr">
        <is>
          <t>Cheese &amp; Nut Snack Plate, healthy food photography, plated, natural light</t>
        </is>
      </c>
      <c r="K687" s="4" t="inlineStr"/>
      <c r="L687" s="3" t="inlineStr">
        <is>
          <t>Cheddar cheese — 30 g (1.1 oz)
Almonds — 20 g (0.7 oz)
Cucumber — 80 g (2.8 oz)
Olives (kalamata/green) — 20 g (0.7 oz)
Dill pickles — 30 g (1.1 oz)</t>
        </is>
      </c>
      <c r="M687" s="4" t="inlineStr">
        <is>
          <t>[{"ingredient_id": "cheddar", "name": "Cheddar cheese", "grams": 30.0, "note": ""}, {"ingredient_id": "almonds", "name": "Almonds", "grams": 20.0, "note": ""}, {"ingredient_id": "cucumber", "name": "Cucumber", "grams": 80.0, "note": ""}, {"ingredient_id": "olives", "name": "Olives (kalamata/green)", "grams": 20.0, "note": ""}, {"ingredient_id": "dill_pickle", "name": "Dill pickles", "grams": 30.0, "note": ""}]</t>
        </is>
      </c>
      <c r="N687" s="2" t="n">
        <v>275</v>
      </c>
      <c r="O687" s="5" t="n">
        <v>12</v>
      </c>
      <c r="P687" s="5" t="n">
        <v>22.2</v>
      </c>
      <c r="Q687" s="5" t="n">
        <v>9.6</v>
      </c>
      <c r="R687" s="5" t="n">
        <v>3.9</v>
      </c>
      <c r="S687" s="5" t="n">
        <v>5.7</v>
      </c>
      <c r="T687" s="2" t="n">
        <v>14</v>
      </c>
      <c r="U687" s="2" t="inlineStr">
        <is>
          <t>low</t>
        </is>
      </c>
      <c r="V687" s="5" t="n">
        <v>0.8</v>
      </c>
      <c r="W687" s="2" t="inlineStr">
        <is>
          <t>low</t>
        </is>
      </c>
      <c r="X687" s="3" t="inlineStr"/>
      <c r="Y687" s="3" t="inlineStr">
        <is>
          <t>0% of this dish's available carbohydrate comes from ingredients with a published, measured GI; the rest uses conventional placeholders (see Ingredients sheet)</t>
        </is>
      </c>
      <c r="Z687" s="2" t="n">
        <v>0</v>
      </c>
      <c r="AA687" s="3" t="inlineStr">
        <is>
          <t>vegetarian, gluten-free, low-carb, no-cook, quick</t>
        </is>
      </c>
      <c r="AB687" s="3" t="inlineStr">
        <is>
          <t>1. Slice cheese and cucumber.
2. Arrange with almonds, olives, pickle.
3. Serve.</t>
        </is>
      </c>
      <c r="AC687" s="4" t="inlineStr">
        <is>
          <t>["Slice cheese and cucumber.", "Arrange with almonds, olives, pickle.", "Serve."]</t>
        </is>
      </c>
    </row>
    <row r="688" ht="96" customHeight="1">
      <c r="A688" s="2" t="inlineStr">
        <is>
          <t>DB-0687</t>
        </is>
      </c>
      <c r="B688" s="3" t="inlineStr">
        <is>
          <t>Chocolate Peanut Butter Protein Balls</t>
        </is>
      </c>
      <c r="C688" s="4" t="inlineStr">
        <is>
          <t>Snack &amp; Appetizer</t>
        </is>
      </c>
      <c r="D688" s="4" t="inlineStr">
        <is>
          <t>American</t>
        </is>
      </c>
      <c r="E688" s="2" t="n">
        <v>8</v>
      </c>
      <c r="F688" s="2" t="n">
        <v>10</v>
      </c>
      <c r="G688" s="2" t="n">
        <v>0</v>
      </c>
      <c r="H688" s="2" t="n">
        <v>10</v>
      </c>
      <c r="I688" s="4" t="inlineStr">
        <is>
          <t>chocolate-peanut-butter-protein-balls.jpg</t>
        </is>
      </c>
      <c r="J688" s="3" t="inlineStr">
        <is>
          <t>Chocolate Peanut Butter Protein Balls, healthy food photography, plated, natural light</t>
        </is>
      </c>
      <c r="K688" s="4" t="inlineStr"/>
      <c r="L688" s="3" t="inlineStr">
        <is>
          <t>Rolled oats, dry — 80 g (2.8 oz)
Peanut butter, natural — 100 g (3.5 oz)
Whey protein powder, unsweetened — 40 g (1.4 oz)
Cocoa powder, unsweetened — 10 g (0.4 oz)
Chia seeds — 15 g (0.5 oz)
Monk fruit/erythritol sweetener — 12 g (0.4 oz)
Almond milk, unsweetened — 30 g (1.1 oz)
Stevia-sweetened dark chocolate chips — 25 g (0.9 oz)</t>
        </is>
      </c>
      <c r="M688" s="4" t="inlineStr">
        <is>
          <t>[{"ingredient_id": "rolled_oats", "name": "Rolled oats, dry", "grams": 80.0, "note": ""}, {"ingredient_id": "peanut_butter", "name": "Peanut butter, natural", "grams": 100.0, "note": ""}, {"ingredient_id": "whey_protein", "name": "Whey protein powder, unsweetened", "grams": 40.0, "note": ""}, {"ingredient_id": "cocoa_powder", "name": "Cocoa powder, unsweetened", "grams": 10.0, "note": ""}, {"ingredient_id": "chia_seeds", "name": "Chia seeds", "grams": 15.0, "note": ""}, {"ingredient_id": "monk_fruit_sweetener", "name": "Monk fruit/erythritol sweetener", "grams": 12.0, "note": ""}, {"ingredient_id": "almond_milk", "name": "Almond milk, unsweetened", "grams": 30.0, "note": ""}, {"ingredient_id": "sugar_free_chocolate_chips", "name": "Stevia-sweetened dark chocolate chips", "grams": 25.0, "note": ""}]</t>
        </is>
      </c>
      <c r="N688" s="2" t="n">
        <v>158</v>
      </c>
      <c r="O688" s="5" t="n">
        <v>9.1</v>
      </c>
      <c r="P688" s="5" t="n">
        <v>9.300000000000001</v>
      </c>
      <c r="Q688" s="5" t="n">
        <v>11.9</v>
      </c>
      <c r="R688" s="5" t="n">
        <v>3.2</v>
      </c>
      <c r="S688" s="5" t="n">
        <v>8.6</v>
      </c>
      <c r="T688" s="2" t="n">
        <v>44</v>
      </c>
      <c r="U688" s="2" t="inlineStr">
        <is>
          <t>low</t>
        </is>
      </c>
      <c r="V688" s="5" t="n">
        <v>3.8</v>
      </c>
      <c r="W688" s="2" t="inlineStr">
        <is>
          <t>low</t>
        </is>
      </c>
      <c r="X688" s="3" t="inlineStr"/>
      <c r="Y688" s="3" t="inlineStr">
        <is>
          <t>74% of this dish's available carbohydrate comes from ingredients with a published, measured GI; the rest uses conventional placeholders (see Ingredients sheet)</t>
        </is>
      </c>
      <c r="Z688" s="2" t="n">
        <v>74</v>
      </c>
      <c r="AA688" s="3" t="inlineStr">
        <is>
          <t>vegetarian, low-carb, make-ahead, no-cook</t>
        </is>
      </c>
      <c r="AB688" s="3" t="inlineStr">
        <is>
          <t>1. Mix all ingredients into a stiff dough, adding almond milk as needed.
2. Roll into 16 balls.
3. Chill 30 minutes; store refrigerated up to 1 week.</t>
        </is>
      </c>
      <c r="AC688" s="4" t="inlineStr">
        <is>
          <t>["Mix all ingredients into a stiff dough, adding almond milk as needed.", "Roll into 16 balls.", "Chill 30 minutes; store refrigerated up to 1 week."]</t>
        </is>
      </c>
    </row>
    <row r="689" ht="96" customHeight="1">
      <c r="A689" s="2" t="inlineStr">
        <is>
          <t>DB-0688</t>
        </is>
      </c>
      <c r="B689" s="3" t="inlineStr">
        <is>
          <t>Cinnamon Roasted Almonds</t>
        </is>
      </c>
      <c r="C689" s="4" t="inlineStr">
        <is>
          <t>Snack &amp; Appetizer</t>
        </is>
      </c>
      <c r="D689" s="4" t="inlineStr">
        <is>
          <t>American</t>
        </is>
      </c>
      <c r="E689" s="2" t="n">
        <v>6</v>
      </c>
      <c r="F689" s="2" t="n">
        <v>5</v>
      </c>
      <c r="G689" s="2" t="n">
        <v>15</v>
      </c>
      <c r="H689" s="2" t="n">
        <v>20</v>
      </c>
      <c r="I689" s="4" t="inlineStr">
        <is>
          <t>cinnamon-roasted-almonds.jpg</t>
        </is>
      </c>
      <c r="J689" s="3" t="inlineStr">
        <is>
          <t>Cinnamon Roasted Almonds, healthy food photography, plated, natural light</t>
        </is>
      </c>
      <c r="K689" s="4" t="inlineStr"/>
      <c r="L689" s="3" t="inlineStr">
        <is>
          <t>Almonds — 200 g (7.1 oz)
Egg whites — 30 g (1.1 oz)
Ground cinnamon — 4 g (0.1 oz)
Monk fruit/erythritol sweetener — 15 g (0.5 oz)
Vanilla extract — 2 g (0.1 oz)
Salt — 1 g (0.0 oz)</t>
        </is>
      </c>
      <c r="M689" s="4" t="inlineStr">
        <is>
          <t>[{"ingredient_id": "almonds", "name": "Almonds", "grams": 200.0, "note": ""}, {"ingredient_id": "egg_white", "name": "Egg whites", "grams": 30.0, "note": ""}, {"ingredient_id": "cinnamon", "name": "Ground cinnamon", "grams": 4.0, "note": ""}, {"ingredient_id": "monk_fruit_sweetener", "name": "Monk fruit/erythritol sweetener", "grams": 15.0, "note": ""}, {"ingredient_id": "vanilla_extract", "name": "Vanilla extract", "grams": 2.0, "note": ""}, {"ingredient_id": "salt", "name": "Salt", "grams": 1.0, "note": ""}]</t>
        </is>
      </c>
      <c r="N689" s="2" t="n">
        <v>198</v>
      </c>
      <c r="O689" s="5" t="n">
        <v>7.6</v>
      </c>
      <c r="P689" s="5" t="n">
        <v>16.7</v>
      </c>
      <c r="Q689" s="5" t="n">
        <v>8</v>
      </c>
      <c r="R689" s="5" t="n">
        <v>4.5</v>
      </c>
      <c r="S689" s="5" t="n">
        <v>3.4</v>
      </c>
      <c r="T689" s="2" t="n">
        <v>14</v>
      </c>
      <c r="U689" s="2" t="inlineStr">
        <is>
          <t>low</t>
        </is>
      </c>
      <c r="V689" s="5" t="n">
        <v>0.5</v>
      </c>
      <c r="W689" s="2" t="inlineStr">
        <is>
          <t>low</t>
        </is>
      </c>
      <c r="X689" s="3" t="inlineStr">
        <is>
          <t>Negligible carbohydrate (&lt;5 g net/serving): GI has little practical meaning, glycemic load is what matters.</t>
        </is>
      </c>
      <c r="Y689" s="3" t="inlineStr">
        <is>
          <t>0% of this dish's available carbohydrate comes from ingredients with a published, measured GI; the rest uses conventional placeholders (see Ingredients sheet)</t>
        </is>
      </c>
      <c r="Z689" s="2" t="n">
        <v>0</v>
      </c>
      <c r="AA689" s="3" t="inlineStr">
        <is>
          <t>vegetarian, gluten-free, dairy-free, low-carb, make-ahead</t>
        </is>
      </c>
      <c r="AB689" s="3" t="inlineStr">
        <is>
          <t>1. Whisk egg white with vanilla; toss almonds to coat.
2. Toss with cinnamon, sweetener, salt.
3. Bake at 325°F 15 minutes; cool.</t>
        </is>
      </c>
      <c r="AC689" s="4" t="inlineStr">
        <is>
          <t>["Whisk egg white with vanilla; toss almonds to coat.", "Toss with cinnamon, sweetener, salt.", "Bake at 325°F 15 minutes; cool."]</t>
        </is>
      </c>
    </row>
    <row r="690" ht="96" customHeight="1">
      <c r="A690" s="2" t="inlineStr">
        <is>
          <t>DB-0689</t>
        </is>
      </c>
      <c r="B690" s="3" t="inlineStr">
        <is>
          <t>Egg Salad Cucumber Cups</t>
        </is>
      </c>
      <c r="C690" s="4" t="inlineStr">
        <is>
          <t>Snack &amp; Appetizer</t>
        </is>
      </c>
      <c r="D690" s="4" t="inlineStr">
        <is>
          <t>American</t>
        </is>
      </c>
      <c r="E690" s="2" t="n">
        <v>2</v>
      </c>
      <c r="F690" s="2" t="n">
        <v>10</v>
      </c>
      <c r="G690" s="2" t="n">
        <v>10</v>
      </c>
      <c r="H690" s="2" t="n">
        <v>20</v>
      </c>
      <c r="I690" s="4" t="inlineStr">
        <is>
          <t>egg-salad-cucumber-cups.jpg</t>
        </is>
      </c>
      <c r="J690" s="3" t="inlineStr">
        <is>
          <t>Egg Salad Cucumber Cups, healthy food photography, plated, natural light</t>
        </is>
      </c>
      <c r="K690" s="4" t="inlineStr"/>
      <c r="L690" s="3" t="inlineStr">
        <is>
          <t>Egg, large (50 g each) — 100 g (3.5 oz)
Cucumber — 250 g (8.8 oz)
Greek yogurt, plain 2% — 25 g (0.9 oz)
Dijon mustard — 5 g (0.2 oz)
Fresh chives — 3 g (0.1 oz)
Paprika — 0.5 g (0.0 oz)
Salt — 1 g (0.0 oz)</t>
        </is>
      </c>
      <c r="M690" s="4" t="inlineStr">
        <is>
          <t>[{"ingredient_id": "egg", "name": "Egg, large (50 g each)", "grams": 100.0, "note": ""}, {"ingredient_id": "cucumber", "name": "Cucumber", "grams": 250.0, "note": ""}, {"ingredient_id": "greek_yogurt", "name": "Greek yogurt, plain 2%", "grams": 25.0, "note": ""}, {"ingredient_id": "dijon", "name": "Dijon mustard", "grams": 5.0, "note": ""}, {"ingredient_id": "chives", "name": "Fresh chives", "grams": 3.0, "note": ""}, {"ingredient_id": "paprika", "name": "Paprika", "grams": 0.5, "note": ""}, {"ingredient_id": "salt", "name": "Salt", "grams": 1.0, "note": ""}]</t>
        </is>
      </c>
      <c r="N690" s="2" t="n">
        <v>102</v>
      </c>
      <c r="O690" s="5" t="n">
        <v>8.6</v>
      </c>
      <c r="P690" s="5" t="n">
        <v>5.3</v>
      </c>
      <c r="Q690" s="5" t="n">
        <v>5.7</v>
      </c>
      <c r="R690" s="5" t="n">
        <v>0.8</v>
      </c>
      <c r="S690" s="5" t="n">
        <v>4.9</v>
      </c>
      <c r="T690" s="2" t="n">
        <v>14</v>
      </c>
      <c r="U690" s="2" t="inlineStr">
        <is>
          <t>low</t>
        </is>
      </c>
      <c r="V690" s="5" t="n">
        <v>0.7</v>
      </c>
      <c r="W690" s="2" t="inlineStr">
        <is>
          <t>low</t>
        </is>
      </c>
      <c r="X690" s="3" t="inlineStr">
        <is>
          <t>Negligible carbohydrate (&lt;5 g net/serving): GI has little practical meaning, glycemic load is what matters.</t>
        </is>
      </c>
      <c r="Y690" s="3" t="inlineStr">
        <is>
          <t>10% of this dish's available carbohydrate comes from ingredients with a published, measured GI; the rest uses conventional placeholders (see Ingredients sheet)</t>
        </is>
      </c>
      <c r="Z690" s="2" t="n">
        <v>10</v>
      </c>
      <c r="AA690" s="3" t="inlineStr">
        <is>
          <t>vegetarian, gluten-free, nut-free, low-carb</t>
        </is>
      </c>
      <c r="AB690" s="3" t="inlineStr">
        <is>
          <t>1. Hard-boil and chop eggs; mix with yogurt, Dijon, chives, salt.
2. Cut cucumber into thick rounds; scoop centers.
3. Fill; paprika.</t>
        </is>
      </c>
      <c r="AC690" s="4" t="inlineStr">
        <is>
          <t>["Hard-boil and chop eggs; mix with yogurt, Dijon, chives, salt.", "Cut cucumber into thick rounds; scoop centers.", "Fill; paprika."]</t>
        </is>
      </c>
    </row>
    <row r="691" ht="96" customHeight="1">
      <c r="A691" s="2" t="inlineStr">
        <is>
          <t>DB-0690</t>
        </is>
      </c>
      <c r="B691" s="3" t="inlineStr">
        <is>
          <t>Prosciutto-Wrapped Asparagus</t>
        </is>
      </c>
      <c r="C691" s="4" t="inlineStr">
        <is>
          <t>Snack &amp; Appetizer</t>
        </is>
      </c>
      <c r="D691" s="4" t="inlineStr">
        <is>
          <t>Italian</t>
        </is>
      </c>
      <c r="E691" s="2" t="n">
        <v>4</v>
      </c>
      <c r="F691" s="2" t="n">
        <v>10</v>
      </c>
      <c r="G691" s="2" t="n">
        <v>12</v>
      </c>
      <c r="H691" s="2" t="n">
        <v>22</v>
      </c>
      <c r="I691" s="4" t="inlineStr">
        <is>
          <t>prosciutto-wrapped-asparagus.jpg</t>
        </is>
      </c>
      <c r="J691" s="3" t="inlineStr">
        <is>
          <t>Prosciutto-Wrapped Asparagus, healthy food photography, plated, natural light</t>
        </is>
      </c>
      <c r="K691" s="4" t="inlineStr"/>
      <c r="L691" s="3" t="inlineStr">
        <is>
          <t>Asparagus — 400 g (14.1 oz)
Prosciutto — 80 g (2.8 oz)
Extra-virgin olive oil — 8 g (0.3 oz)
Parmesan, grated — 15 g (0.5 oz)
Black pepper — 1 g (0.0 oz)</t>
        </is>
      </c>
      <c r="M691" s="4" t="inlineStr">
        <is>
          <t>[{"ingredient_id": "asparagus", "name": "Asparagus", "grams": 400.0, "note": ""}, {"ingredient_id": "prosciutto", "name": "Prosciutto", "grams": 80.0, "note": ""}, {"ingredient_id": "olive_oil", "name": "Extra-virgin olive oil", "grams": 8.0, "note": ""}, {"ingredient_id": "parmesan", "name": "Parmesan, grated", "grams": 15.0, "note": ""}, {"ingredient_id": "black_pepper", "name": "Black pepper", "grams": 1.0, "note": ""}]</t>
        </is>
      </c>
      <c r="N691" s="2" t="n">
        <v>104</v>
      </c>
      <c r="O691" s="5" t="n">
        <v>8.9</v>
      </c>
      <c r="P691" s="5" t="n">
        <v>6.4</v>
      </c>
      <c r="Q691" s="5" t="n">
        <v>4.2</v>
      </c>
      <c r="R691" s="5" t="n">
        <v>2.2</v>
      </c>
      <c r="S691" s="5" t="n">
        <v>2</v>
      </c>
      <c r="T691" s="2" t="n">
        <v>14</v>
      </c>
      <c r="U691" s="2" t="inlineStr">
        <is>
          <t>low</t>
        </is>
      </c>
      <c r="V691" s="5" t="n">
        <v>0.3</v>
      </c>
      <c r="W691" s="2" t="inlineStr">
        <is>
          <t>low</t>
        </is>
      </c>
      <c r="X691" s="3" t="inlineStr">
        <is>
          <t>Negligible carbohydrate (&lt;5 g net/serving): GI has little practical meaning, glycemic load is what matters.</t>
        </is>
      </c>
      <c r="Y691" s="3" t="inlineStr">
        <is>
          <t>0% of this dish's available carbohydrate comes from ingredients with a published, measured GI; the rest uses conventional placeholders (see Ingredients sheet)</t>
        </is>
      </c>
      <c r="Z691" s="2" t="n">
        <v>0</v>
      </c>
      <c r="AA691" s="3" t="inlineStr">
        <is>
          <t>gluten-free, nut-free, low-carb, quick</t>
        </is>
      </c>
      <c r="AB691" s="3" t="inlineStr">
        <is>
          <t>1. Wrap 2–3 spears in half a prosciutto slice.
2. Brush with oil; roast at 425°F 10–12 minutes.
3. Parmesan, pepper.</t>
        </is>
      </c>
      <c r="AC691" s="4" t="inlineStr">
        <is>
          <t>["Wrap 2–3 spears in half a prosciutto slice.", "Brush with oil; roast at 425°F 10–12 minutes.", "Parmesan, pepper."]</t>
        </is>
      </c>
    </row>
    <row r="692" ht="96" customHeight="1">
      <c r="A692" s="2" t="inlineStr">
        <is>
          <t>DB-0691</t>
        </is>
      </c>
      <c r="B692" s="3" t="inlineStr">
        <is>
          <t>Spinach Artichoke Dip (Yogurt) with Veggies</t>
        </is>
      </c>
      <c r="C692" s="4" t="inlineStr">
        <is>
          <t>Snack &amp; Appetizer</t>
        </is>
      </c>
      <c r="D692" s="4" t="inlineStr">
        <is>
          <t>American</t>
        </is>
      </c>
      <c r="E692" s="2" t="n">
        <v>6</v>
      </c>
      <c r="F692" s="2" t="n">
        <v>10</v>
      </c>
      <c r="G692" s="2" t="n">
        <v>20</v>
      </c>
      <c r="H692" s="2" t="n">
        <v>30</v>
      </c>
      <c r="I692" s="4" t="inlineStr">
        <is>
          <t>spinach-artichoke-dip-yogurt-with-veggies.jpg</t>
        </is>
      </c>
      <c r="J692" s="3" t="inlineStr">
        <is>
          <t>Spinach Artichoke Dip (Yogurt) with Veggies, healthy food photography, plated, natural light</t>
        </is>
      </c>
      <c r="K692" s="4" t="inlineStr"/>
      <c r="L692" s="3" t="inlineStr">
        <is>
          <t>Spinach — 250 g (8.8 oz)
Artichoke hearts, canned in water — 250 g (8.8 oz)
Greek yogurt, plain 2% — 200 g (7.1 oz)
Cream cheese — 60 g (2.1 oz)
Mozzarella, part-skim — 80 g (2.8 oz)
Parmesan, grated — 30 g (1.1 oz)
Garlic — 6 g (0.2 oz)
Bell pepper — 200 g (7.1 oz)
Cucumber — 200 g (7.1 oz)
Salt — 2 g (0.1 oz)</t>
        </is>
      </c>
      <c r="M692" s="4" t="inlineStr">
        <is>
          <t>[{"ingredient_id": "spinach", "name": "Spinach", "grams": 250.0, "note": ""}, {"ingredient_id": "artichoke_hearts", "name": "Artichoke hearts, canned in water", "grams": 250.0, "note": ""}, {"ingredient_id": "greek_yogurt", "name": "Greek yogurt, plain 2%", "grams": 200.0, "note": ""}, {"ingredient_id": "cream_cheese", "name": "Cream cheese", "grams": 60.0, "note": ""}, {"ingredient_id": "mozzarella", "name": "Mozzarella, part-skim", "grams": 80.0, "note": ""}, {"ingredient_id": "parmesan", "name": "Parmesan, grated", "grams": 30.0, "note": ""}, {"ingredient_id": "garlic", "name": "Garlic", "grams": 6.0, "note": ""}, {"ingredient_id": "bell_pepper", "name": "Bell pepper", "grams": 200.0, "note": ""}, {"ingredient_id": "cucumber", "name": "Cucumber", "grams": 200.0, "note": ""}, {"ingredient_id": "salt", "name": "Salt", "grams": 2.0, "note": ""}]</t>
        </is>
      </c>
      <c r="N692" s="2" t="n">
        <v>160</v>
      </c>
      <c r="O692" s="5" t="n">
        <v>12.2</v>
      </c>
      <c r="P692" s="5" t="n">
        <v>8</v>
      </c>
      <c r="Q692" s="5" t="n">
        <v>11.7</v>
      </c>
      <c r="R692" s="5" t="n">
        <v>4.1</v>
      </c>
      <c r="S692" s="5" t="n">
        <v>7.7</v>
      </c>
      <c r="T692" s="2" t="n">
        <v>13</v>
      </c>
      <c r="U692" s="2" t="inlineStr">
        <is>
          <t>low</t>
        </is>
      </c>
      <c r="V692" s="5" t="n">
        <v>1</v>
      </c>
      <c r="W692" s="2" t="inlineStr">
        <is>
          <t>low</t>
        </is>
      </c>
      <c r="X692" s="3" t="inlineStr"/>
      <c r="Y692" s="3" t="inlineStr">
        <is>
          <t>17% of this dish's available carbohydrate comes from ingredients with a published, measured GI; the rest uses conventional placeholders (see Ingredients sheet)</t>
        </is>
      </c>
      <c r="Z692" s="2" t="n">
        <v>17</v>
      </c>
      <c r="AA692" s="3" t="inlineStr">
        <is>
          <t>vegetarian, gluten-free, nut-free, low-carb</t>
        </is>
      </c>
      <c r="AB692" s="3" t="inlineStr">
        <is>
          <t>1. Wilt spinach; squeeze dry; chop artichokes.
2. Mix with yogurt, cream cheese, half the cheeses, garlic, salt; top remaining cheese.
3. Bake at 375°F 18 minutes; serve with vegetable dippers.</t>
        </is>
      </c>
      <c r="AC692" s="4" t="inlineStr">
        <is>
          <t>["Wilt spinach; squeeze dry; chop artichokes.", "Mix with yogurt, cream cheese, half the cheeses, garlic, salt; top remaining cheese.", "Bake at 375°F 18 minutes; serve with vegetable dippers."]</t>
        </is>
      </c>
    </row>
    <row r="693" ht="96" customHeight="1">
      <c r="A693" s="2" t="inlineStr">
        <is>
          <t>DB-0692</t>
        </is>
      </c>
      <c r="B693" s="3" t="inlineStr">
        <is>
          <t>Avocado Deviled Eggs</t>
        </is>
      </c>
      <c r="C693" s="4" t="inlineStr">
        <is>
          <t>Snack &amp; Appetizer</t>
        </is>
      </c>
      <c r="D693" s="4" t="inlineStr">
        <is>
          <t>American</t>
        </is>
      </c>
      <c r="E693" s="2" t="n">
        <v>4</v>
      </c>
      <c r="F693" s="2" t="n">
        <v>10</v>
      </c>
      <c r="G693" s="2" t="n">
        <v>10</v>
      </c>
      <c r="H693" s="2" t="n">
        <v>20</v>
      </c>
      <c r="I693" s="4" t="inlineStr">
        <is>
          <t>avocado-deviled-eggs.jpg</t>
        </is>
      </c>
      <c r="J693" s="3" t="inlineStr">
        <is>
          <t>Avocado Deviled Eggs, healthy food photography, plated, natural light</t>
        </is>
      </c>
      <c r="K693" s="4" t="inlineStr"/>
      <c r="L693" s="3" t="inlineStr">
        <is>
          <t>Egg, large (50 g each) — 200 g (7.1 oz)
Avocado — 70 g (2.5 oz)
Lime juice — 8 g (0.3 oz)
Fresh cilantro — 4 g (0.1 oz)
Jalapeño — 5 g (0.2 oz)
Salt — 1 g (0.0 oz)
Paprika — 0.5 g (0.0 oz)</t>
        </is>
      </c>
      <c r="M693" s="4" t="inlineStr">
        <is>
          <t>[{"ingredient_id": "egg", "name": "Egg, large (50 g each)", "grams": 200.0, "note": ""}, {"ingredient_id": "avocado", "name": "Avocado", "grams": 70.0, "note": ""}, {"ingredient_id": "lime_juice", "name": "Lime juice", "grams": 8.0, "note": ""}, {"ingredient_id": "cilantro", "name": "Fresh cilantro", "grams": 4.0, "note": ""}, {"ingredient_id": "jalapeno", "name": "Jalapeño", "grams": 5.0, "note": ""}, {"ingredient_id": "salt", "name": "Salt", "grams": 1.0, "note": ""}, {"ingredient_id": "paprika", "name": "Paprika", "grams": 0.5, "note": ""}]</t>
        </is>
      </c>
      <c r="N693" s="2" t="n">
        <v>101</v>
      </c>
      <c r="O693" s="5" t="n">
        <v>6.7</v>
      </c>
      <c r="P693" s="5" t="n">
        <v>7.4</v>
      </c>
      <c r="Q693" s="5" t="n">
        <v>2.2</v>
      </c>
      <c r="R693" s="5" t="n">
        <v>1.3</v>
      </c>
      <c r="S693" s="5" t="n">
        <v>0.9</v>
      </c>
      <c r="T693" s="2" t="n">
        <v>10</v>
      </c>
      <c r="U693" s="2" t="inlineStr">
        <is>
          <t>low</t>
        </is>
      </c>
      <c r="V693" s="5" t="n">
        <v>0.1</v>
      </c>
      <c r="W693" s="2" t="inlineStr">
        <is>
          <t>low</t>
        </is>
      </c>
      <c r="X693" s="3" t="inlineStr">
        <is>
          <t>Negligible carbohydrate (&lt;5 g net/serving): GI has little practical meaning, glycemic load is what matters.</t>
        </is>
      </c>
      <c r="Y693" s="3" t="inlineStr">
        <is>
          <t>0% of this dish's available carbohydrate comes from ingredients with a published, measured GI; the rest uses conventional placeholders (see Ingredients sheet)</t>
        </is>
      </c>
      <c r="Z693" s="2" t="n">
        <v>0</v>
      </c>
      <c r="AA693" s="3" t="inlineStr">
        <is>
          <t>vegetarian, gluten-free, dairy-free, nut-free, low-carb</t>
        </is>
      </c>
      <c r="AB693" s="3" t="inlineStr">
        <is>
          <t>1. Hard-boil eggs; halve; remove yolks.
2. Mash yolks with avocado, lime, cilantro, jalapeño, salt.
3. Fill whites; paprika.</t>
        </is>
      </c>
      <c r="AC693" s="4" t="inlineStr">
        <is>
          <t>["Hard-boil eggs; halve; remove yolks.", "Mash yolks with avocado, lime, cilantro, jalapeño, salt.", "Fill whites; paprika."]</t>
        </is>
      </c>
    </row>
    <row r="694" ht="96" customHeight="1">
      <c r="A694" s="2" t="inlineStr">
        <is>
          <t>DB-0693</t>
        </is>
      </c>
      <c r="B694" s="3" t="inlineStr">
        <is>
          <t>Nori Wraps with Tuna &amp; Avocado</t>
        </is>
      </c>
      <c r="C694" s="4" t="inlineStr">
        <is>
          <t>Snack &amp; Appetizer</t>
        </is>
      </c>
      <c r="D694" s="4" t="inlineStr">
        <is>
          <t>Japanese</t>
        </is>
      </c>
      <c r="E694" s="2" t="n">
        <v>2</v>
      </c>
      <c r="F694" s="2" t="n">
        <v>8</v>
      </c>
      <c r="G694" s="2" t="n">
        <v>0</v>
      </c>
      <c r="H694" s="2" t="n">
        <v>8</v>
      </c>
      <c r="I694" s="4" t="inlineStr">
        <is>
          <t>nori-wraps-with-tuna-and-avocado.jpg</t>
        </is>
      </c>
      <c r="J694" s="3" t="inlineStr">
        <is>
          <t>Nori Wraps with Tuna &amp; Avocado, healthy food photography, plated, natural light</t>
        </is>
      </c>
      <c r="K694" s="4" t="inlineStr"/>
      <c r="L694" s="3" t="inlineStr">
        <is>
          <t>Nori seaweed sheets — 6 g (0.2 oz) [2 sheets]
Tuna, canned in water — 120 g (4.2 oz)
Avocado — 60 g (2.1 oz)
Cucumber — 60 g (2.1 oz)
Mayonnaise (avocado oil) — 10 g (0.4 oz)
Sriracha — 4 g (0.1 oz)
Sesame seeds — 3 g (0.1 oz)</t>
        </is>
      </c>
      <c r="M694" s="4" t="inlineStr">
        <is>
          <t>[{"ingredient_id": "nori", "name": "Nori seaweed sheets", "grams": 6.0, "note": "2 sheets"}, {"ingredient_id": "tuna_canned", "name": "Tuna, canned in water", "grams": 120.0, "note": ""}, {"ingredient_id": "avocado", "name": "Avocado", "grams": 60.0, "note": ""}, {"ingredient_id": "cucumber", "name": "Cucumber", "grams": 60.0, "note": ""}, {"ingredient_id": "mayo", "name": "Mayonnaise (avocado oil)", "grams": 10.0, "note": ""}, {"ingredient_id": "sriracha", "name": "Sriracha", "grams": 4.0, "note": ""}, {"ingredient_id": "sesame_seeds", "name": "Sesame seeds", "grams": 3.0, "note": ""}]</t>
        </is>
      </c>
      <c r="N694" s="2" t="n">
        <v>169</v>
      </c>
      <c r="O694" s="5" t="n">
        <v>16.9</v>
      </c>
      <c r="P694" s="5" t="n">
        <v>9.800000000000001</v>
      </c>
      <c r="Q694" s="5" t="n">
        <v>4.5</v>
      </c>
      <c r="R694" s="5" t="n">
        <v>2.4</v>
      </c>
      <c r="S694" s="5" t="n">
        <v>2.1</v>
      </c>
      <c r="T694" s="2" t="n">
        <v>20</v>
      </c>
      <c r="U694" s="2" t="inlineStr">
        <is>
          <t>low</t>
        </is>
      </c>
      <c r="V694" s="5" t="n">
        <v>0.4</v>
      </c>
      <c r="W694" s="2" t="inlineStr">
        <is>
          <t>low</t>
        </is>
      </c>
      <c r="X694" s="3" t="inlineStr">
        <is>
          <t>Negligible carbohydrate (&lt;5 g net/serving): GI has little practical meaning, glycemic load is what matters.</t>
        </is>
      </c>
      <c r="Y694" s="3" t="inlineStr">
        <is>
          <t>0% of this dish's available carbohydrate comes from ingredients with a published, measured GI; the rest uses conventional placeholders (see Ingredients sheet)</t>
        </is>
      </c>
      <c r="Z694" s="2" t="n">
        <v>0</v>
      </c>
      <c r="AA694" s="3" t="inlineStr">
        <is>
          <t>pescatarian, gluten-free, dairy-free, nut-free, low-carb, no-cook, quick</t>
        </is>
      </c>
      <c r="AB694" s="3" t="inlineStr">
        <is>
          <t>1. Mix tuna with mayo and sriracha.
2. Lay on nori with avocado and cucumber.
3. Roll; slice; sesame.</t>
        </is>
      </c>
      <c r="AC694" s="4" t="inlineStr">
        <is>
          <t>["Mix tuna with mayo and sriracha.", "Lay on nori with avocado and cucumber.", "Roll; slice; sesame."]</t>
        </is>
      </c>
    </row>
    <row r="695" ht="96" customHeight="1">
      <c r="A695" s="2" t="inlineStr">
        <is>
          <t>DB-0694</t>
        </is>
      </c>
      <c r="B695" s="3" t="inlineStr">
        <is>
          <t>Roasted Pumpkin Seeds with Chili Lime</t>
        </is>
      </c>
      <c r="C695" s="4" t="inlineStr">
        <is>
          <t>Snack &amp; Appetizer</t>
        </is>
      </c>
      <c r="D695" s="4" t="inlineStr">
        <is>
          <t>Mexican</t>
        </is>
      </c>
      <c r="E695" s="2" t="n">
        <v>6</v>
      </c>
      <c r="F695" s="2" t="n">
        <v>5</v>
      </c>
      <c r="G695" s="2" t="n">
        <v>15</v>
      </c>
      <c r="H695" s="2" t="n">
        <v>20</v>
      </c>
      <c r="I695" s="4" t="inlineStr">
        <is>
          <t>roasted-pumpkin-seeds-with-chili-lime.jpg</t>
        </is>
      </c>
      <c r="J695" s="3" t="inlineStr">
        <is>
          <t>Roasted Pumpkin Seeds with Chili Lime, healthy food photography, plated, natural light</t>
        </is>
      </c>
      <c r="K695" s="4" t="inlineStr"/>
      <c r="L695" s="3" t="inlineStr">
        <is>
          <t>Pumpkin seeds (pepitas) — 200 g (7.1 oz)
Extra-virgin olive oil — 10 g (0.4 oz)
Chili powder — 4 g (0.1 oz)
Lime — 20 g (0.7 oz) [zest]
Salt — 2 g (0.1 oz)</t>
        </is>
      </c>
      <c r="M695" s="4" t="inlineStr">
        <is>
          <t>[{"ingredient_id": "pumpkin_seeds", "name": "Pumpkin seeds (pepitas)", "grams": 200.0, "note": ""}, {"ingredient_id": "olive_oil", "name": "Extra-virgin olive oil", "grams": 10.0, "note": ""}, {"ingredient_id": "chili_powder", "name": "Chili powder", "grams": 4.0, "note": ""}, {"ingredient_id": "lime", "name": "Lime", "grams": 20.0, "note": "zest"}, {"ingredient_id": "salt", "name": "Salt", "grams": 2.0, "note": ""}]</t>
        </is>
      </c>
      <c r="N695" s="2" t="n">
        <v>204</v>
      </c>
      <c r="O695" s="5" t="n">
        <v>10.1</v>
      </c>
      <c r="P695" s="5" t="n">
        <v>18.1</v>
      </c>
      <c r="Q695" s="5" t="n">
        <v>4.4</v>
      </c>
      <c r="R695" s="5" t="n">
        <v>2.3</v>
      </c>
      <c r="S695" s="5" t="n">
        <v>2</v>
      </c>
      <c r="T695" s="2" t="n">
        <v>16</v>
      </c>
      <c r="U695" s="2" t="inlineStr">
        <is>
          <t>low</t>
        </is>
      </c>
      <c r="V695" s="5" t="n">
        <v>0.3</v>
      </c>
      <c r="W695" s="2" t="inlineStr">
        <is>
          <t>low</t>
        </is>
      </c>
      <c r="X695" s="3" t="inlineStr">
        <is>
          <t>Negligible carbohydrate (&lt;5 g net/serving): GI has little practical meaning, glycemic load is what matters.</t>
        </is>
      </c>
      <c r="Y695" s="3" t="inlineStr">
        <is>
          <t>0% of this dish's available carbohydrate comes from ingredients with a published, measured GI; the rest uses conventional placeholders (see Ingredients sheet)</t>
        </is>
      </c>
      <c r="Z695" s="2" t="n">
        <v>0</v>
      </c>
      <c r="AA695" s="3" t="inlineStr">
        <is>
          <t>vegan, gluten-free, dairy-free, nut-free, low-carb, make-ahead</t>
        </is>
      </c>
      <c r="AB695" s="3" t="inlineStr">
        <is>
          <t>1. Toss seeds with oil, chili powder, lime zest, salt.
2. Roast at 325°F 15 minutes, stirring once.
3. Cool.</t>
        </is>
      </c>
      <c r="AC695" s="4" t="inlineStr">
        <is>
          <t>["Toss seeds with oil, chili powder, lime zest, salt.", "Roast at 325°F 15 minutes, stirring once.", "Cool."]</t>
        </is>
      </c>
    </row>
    <row r="696" ht="96" customHeight="1">
      <c r="A696" s="2" t="inlineStr">
        <is>
          <t>DB-0695</t>
        </is>
      </c>
      <c r="B696" s="3" t="inlineStr">
        <is>
          <t>Turkey &amp; Cheese Lettuce Roll</t>
        </is>
      </c>
      <c r="C696" s="4" t="inlineStr">
        <is>
          <t>Snack &amp; Appetizer</t>
        </is>
      </c>
      <c r="D696" s="4" t="inlineStr">
        <is>
          <t>American</t>
        </is>
      </c>
      <c r="E696" s="2" t="n">
        <v>1</v>
      </c>
      <c r="F696" s="2" t="n">
        <v>3</v>
      </c>
      <c r="G696" s="2" t="n">
        <v>0</v>
      </c>
      <c r="H696" s="2" t="n">
        <v>3</v>
      </c>
      <c r="I696" s="4" t="inlineStr">
        <is>
          <t>turkey-and-cheese-lettuce-roll.jpg</t>
        </is>
      </c>
      <c r="J696" s="3" t="inlineStr">
        <is>
          <t>Turkey &amp; Cheese Lettuce Roll, healthy food photography, plated, natural light</t>
        </is>
      </c>
      <c r="K696" s="4" t="inlineStr"/>
      <c r="L696" s="3" t="inlineStr">
        <is>
          <t>Deli turkey breast, low sodium — 80 g (2.8 oz)
Swiss cheese — 25 g (0.9 oz)
Romaine lettuce — 60 g (2.1 oz)
Dijon mustard — 5 g (0.2 oz)
Tomato — 40 g (1.4 oz)</t>
        </is>
      </c>
      <c r="M696" s="4" t="inlineStr">
        <is>
          <t>[{"ingredient_id": "deli_turkey", "name": "Deli turkey breast, low sodium", "grams": 80.0, "note": ""}, {"ingredient_id": "swiss_cheese", "name": "Swiss cheese", "grams": 25.0, "note": ""}, {"ingredient_id": "romaine", "name": "Romaine lettuce", "grams": 60.0, "note": ""}, {"ingredient_id": "dijon", "name": "Dijon mustard", "grams": 5.0, "note": ""}, {"ingredient_id": "tomato", "name": "Tomato", "grams": 40.0, "note": ""}]</t>
        </is>
      </c>
      <c r="N696" s="2" t="n">
        <v>199</v>
      </c>
      <c r="O696" s="5" t="n">
        <v>21.6</v>
      </c>
      <c r="P696" s="5" t="n">
        <v>8.6</v>
      </c>
      <c r="Q696" s="5" t="n">
        <v>7.4</v>
      </c>
      <c r="R696" s="5" t="n">
        <v>1.9</v>
      </c>
      <c r="S696" s="5" t="n">
        <v>5.5</v>
      </c>
      <c r="T696" s="2" t="n">
        <v>5</v>
      </c>
      <c r="U696" s="2" t="inlineStr">
        <is>
          <t>low</t>
        </is>
      </c>
      <c r="V696" s="5" t="n">
        <v>0.3</v>
      </c>
      <c r="W696" s="2" t="inlineStr">
        <is>
          <t>low</t>
        </is>
      </c>
      <c r="X696" s="3" t="inlineStr"/>
      <c r="Y696" s="3" t="inlineStr">
        <is>
          <t>0% of this dish's available carbohydrate comes from ingredients with a published, measured GI; the rest uses conventional placeholders (see Ingredients sheet)</t>
        </is>
      </c>
      <c r="Z696" s="2" t="n">
        <v>0</v>
      </c>
      <c r="AA696" s="3" t="inlineStr">
        <is>
          <t>gluten-free, nut-free, low-carb, no-cook, quick</t>
        </is>
      </c>
      <c r="AB696" s="3" t="inlineStr">
        <is>
          <t>1. Layer turkey and cheese on romaine leaves.
2. Add Dijon and tomato.
3. Roll and eat.</t>
        </is>
      </c>
      <c r="AC696" s="4" t="inlineStr">
        <is>
          <t>["Layer turkey and cheese on romaine leaves.", "Add Dijon and tomato.", "Roll and eat."]</t>
        </is>
      </c>
    </row>
    <row r="697" ht="96" customHeight="1">
      <c r="A697" s="2" t="inlineStr">
        <is>
          <t>DB-0696</t>
        </is>
      </c>
      <c r="B697" s="3" t="inlineStr">
        <is>
          <t>Ricotta &amp; Berry Bowl</t>
        </is>
      </c>
      <c r="C697" s="4" t="inlineStr">
        <is>
          <t>Snack &amp; Appetizer</t>
        </is>
      </c>
      <c r="D697" s="4" t="inlineStr">
        <is>
          <t>Italian</t>
        </is>
      </c>
      <c r="E697" s="2" t="n">
        <v>1</v>
      </c>
      <c r="F697" s="2" t="n">
        <v>3</v>
      </c>
      <c r="G697" s="2" t="n">
        <v>0</v>
      </c>
      <c r="H697" s="2" t="n">
        <v>3</v>
      </c>
      <c r="I697" s="4" t="inlineStr">
        <is>
          <t>ricotta-and-berry-bowl.jpg</t>
        </is>
      </c>
      <c r="J697" s="3" t="inlineStr">
        <is>
          <t>Ricotta &amp; Berry Bowl, healthy food photography, plated, natural light</t>
        </is>
      </c>
      <c r="K697" s="4" t="inlineStr"/>
      <c r="L697" s="3" t="inlineStr">
        <is>
          <t>Ricotta, part-skim — 120 g (4.2 oz)
Raspberries — 60 g (2.1 oz)
Almonds — 10 g (0.4 oz)
Vanilla extract — 1 g (0.0 oz)
Stevia (liquid) — 1 g (0.0 oz)</t>
        </is>
      </c>
      <c r="M697" s="4" t="inlineStr">
        <is>
          <t>[{"ingredient_id": "ricotta", "name": "Ricotta, part-skim", "grams": 120.0, "note": ""}, {"ingredient_id": "raspberries", "name": "Raspberries", "grams": 60.0, "note": ""}, {"ingredient_id": "almonds", "name": "Almonds", "grams": 10.0, "note": ""}, {"ingredient_id": "vanilla_extract", "name": "Vanilla extract", "grams": 1.0, "note": ""}, {"ingredient_id": "stevia", "name": "Stevia (liquid)", "grams": 1.0, "note": ""}]</t>
        </is>
      </c>
      <c r="N697" s="2" t="n">
        <v>258</v>
      </c>
      <c r="O697" s="5" t="n">
        <v>16</v>
      </c>
      <c r="P697" s="5" t="n">
        <v>15</v>
      </c>
      <c r="Q697" s="5" t="n">
        <v>15.5</v>
      </c>
      <c r="R697" s="5" t="n">
        <v>5.2</v>
      </c>
      <c r="S697" s="5" t="n">
        <v>10.4</v>
      </c>
      <c r="T697" s="2" t="n">
        <v>20</v>
      </c>
      <c r="U697" s="2" t="inlineStr">
        <is>
          <t>low</t>
        </is>
      </c>
      <c r="V697" s="5" t="n">
        <v>2.1</v>
      </c>
      <c r="W697" s="2" t="inlineStr">
        <is>
          <t>low</t>
        </is>
      </c>
      <c r="X697" s="3" t="inlineStr"/>
      <c r="Y697" s="3" t="inlineStr">
        <is>
          <t>0% of this dish's available carbohydrate comes from ingredients with a published, measured GI; the rest uses conventional placeholders (see Ingredients sheet)</t>
        </is>
      </c>
      <c r="Z697" s="2" t="n">
        <v>0</v>
      </c>
      <c r="AA697" s="3" t="inlineStr">
        <is>
          <t>vegetarian, gluten-free, low-carb, no-cook, quick</t>
        </is>
      </c>
      <c r="AB697" s="3" t="inlineStr">
        <is>
          <t>1. Whisk ricotta with vanilla and stevia.
2. Top raspberries.
3. Almonds.</t>
        </is>
      </c>
      <c r="AC697" s="4" t="inlineStr">
        <is>
          <t>["Whisk ricotta with vanilla and stevia.", "Top raspberries.", "Almonds."]</t>
        </is>
      </c>
    </row>
    <row r="698" ht="96" customHeight="1">
      <c r="A698" s="2" t="inlineStr">
        <is>
          <t>DB-0697</t>
        </is>
      </c>
      <c r="B698" s="3" t="inlineStr">
        <is>
          <t>Baba Ganoush with Vegetable Dippers</t>
        </is>
      </c>
      <c r="C698" s="4" t="inlineStr">
        <is>
          <t>Snack &amp; Appetizer</t>
        </is>
      </c>
      <c r="D698" s="4" t="inlineStr">
        <is>
          <t>Middle Eastern</t>
        </is>
      </c>
      <c r="E698" s="2" t="n">
        <v>6</v>
      </c>
      <c r="F698" s="2" t="n">
        <v>10</v>
      </c>
      <c r="G698" s="2" t="n">
        <v>40</v>
      </c>
      <c r="H698" s="2" t="n">
        <v>50</v>
      </c>
      <c r="I698" s="4" t="inlineStr">
        <is>
          <t>baba-ganoush-with-vegetable-dippers.jpg</t>
        </is>
      </c>
      <c r="J698" s="3" t="inlineStr">
        <is>
          <t>Baba Ganoush with Vegetable Dippers, healthy food photography, plated, natural light</t>
        </is>
      </c>
      <c r="K698" s="4" t="inlineStr"/>
      <c r="L698" s="3" t="inlineStr">
        <is>
          <t>Eggplant — 800 g (28.2 oz)
Tahini — 50 g (1.8 oz)
Lemon juice — 30 g (1.1 oz)
Garlic — 6 g (0.2 oz)
Extra-virgin olive oil — 20 g (0.7 oz)
Ground cumin — 2 g (0.1 oz)
Fresh parsley — 6 g (0.2 oz)
Bell pepper — 200 g (7.1 oz)
Cucumber — 200 g (7.1 oz)
Carrot — 150 g (5.3 oz)
Salt — 3 g (0.1 oz)</t>
        </is>
      </c>
      <c r="M698" s="4" t="inlineStr">
        <is>
          <t>[{"ingredient_id": "eggplant", "name": "Eggplant", "grams": 800.0, "note": ""}, {"ingredient_id": "tahini", "name": "Tahini", "grams": 50.0, "note": ""}, {"ingredient_id": "lemon_juice", "name": "Lemon juice", "grams": 30.0, "note": ""}, {"ingredient_id": "garlic", "name": "Garlic", "grams": 6.0, "note": ""}, {"ingredient_id": "olive_oil", "name": "Extra-virgin olive oil", "grams": 20.0, "note": ""}, {"ingredient_id": "cumin", "name": "Ground cumin", "grams": 2.0, "note": ""}, {"ingredient_id": "parsley", "name": "Fresh parsley", "grams": 6.0, "note": ""}, {"ingredient_id": "bell_pepper", "name": "Bell pepper", "grams": 200.0, "note": ""}, {"ingredient_id": "cucumber", "name": "Cucumber", "grams": 200.0, "note": ""}, {"ingredient_id": "carrot", "name": "Carrot", "grams": 150.0, "note": ""}, {"ingredient_id": "salt", "name": "Salt", "grams": 3.0, "note": ""}]</t>
        </is>
      </c>
      <c r="N698" s="2" t="n">
        <v>142</v>
      </c>
      <c r="O698" s="5" t="n">
        <v>3.7</v>
      </c>
      <c r="P698" s="5" t="n">
        <v>8.4</v>
      </c>
      <c r="Q698" s="5" t="n">
        <v>16.2</v>
      </c>
      <c r="R698" s="5" t="n">
        <v>6.4</v>
      </c>
      <c r="S698" s="5" t="n">
        <v>9.800000000000001</v>
      </c>
      <c r="T698" s="2" t="n">
        <v>22</v>
      </c>
      <c r="U698" s="2" t="inlineStr">
        <is>
          <t>low</t>
        </is>
      </c>
      <c r="V698" s="5" t="n">
        <v>2.2</v>
      </c>
      <c r="W698" s="2" t="inlineStr">
        <is>
          <t>low</t>
        </is>
      </c>
      <c r="X698" s="3" t="inlineStr"/>
      <c r="Y698" s="3" t="inlineStr">
        <is>
          <t>17% of this dish's available carbohydrate comes from ingredients with a published, measured GI; the rest uses conventional placeholders (see Ingredients sheet)</t>
        </is>
      </c>
      <c r="Z698" s="2" t="n">
        <v>17</v>
      </c>
      <c r="AA698" s="3" t="inlineStr">
        <is>
          <t>vegan, gluten-free, dairy-free, nut-free, low-carb, make-ahead</t>
        </is>
      </c>
      <c r="AB698" s="3" t="inlineStr">
        <is>
          <t>1. Roast whole eggplants at 425°F 40 minutes; cool; scoop flesh.
2. Blend with tahini, lemon, garlic, half the oil, cumin, salt.
3. Drizzle oil, parsley; serve with vegetables.</t>
        </is>
      </c>
      <c r="AC698" s="4" t="inlineStr">
        <is>
          <t>["Roast whole eggplants at 425°F 40 minutes; cool; scoop flesh.", "Blend with tahini, lemon, garlic, half the oil, cumin, salt.", "Drizzle oil, parsley; serve with vegetables."]</t>
        </is>
      </c>
    </row>
    <row r="699" ht="96" customHeight="1">
      <c r="A699" s="2" t="inlineStr">
        <is>
          <t>DB-0698</t>
        </is>
      </c>
      <c r="B699" s="3" t="inlineStr">
        <is>
          <t>Mozzarella &amp; Tomato Bites with Pesto</t>
        </is>
      </c>
      <c r="C699" s="4" t="inlineStr">
        <is>
          <t>Snack &amp; Appetizer</t>
        </is>
      </c>
      <c r="D699" s="4" t="inlineStr">
        <is>
          <t>Italian</t>
        </is>
      </c>
      <c r="E699" s="2" t="n">
        <v>3</v>
      </c>
      <c r="F699" s="2" t="n">
        <v>5</v>
      </c>
      <c r="G699" s="2" t="n">
        <v>0</v>
      </c>
      <c r="H699" s="2" t="n">
        <v>5</v>
      </c>
      <c r="I699" s="4" t="inlineStr">
        <is>
          <t>mozzarella-and-tomato-bites-with-pesto.jpg</t>
        </is>
      </c>
      <c r="J699" s="3" t="inlineStr">
        <is>
          <t>Mozzarella &amp; Tomato Bites with Pesto, healthy food photography, plated, natural light</t>
        </is>
      </c>
      <c r="K699" s="4" t="inlineStr"/>
      <c r="L699" s="3" t="inlineStr">
        <is>
          <t>Mozzarella, part-skim — 120 g (4.2 oz)
Cherry tomatoes — 150 g (5.3 oz)
Basil pesto — 20 g (0.7 oz)
Fresh basil — 4 g (0.1 oz)</t>
        </is>
      </c>
      <c r="M699" s="4" t="inlineStr">
        <is>
          <t>[{"ingredient_id": "mozzarella", "name": "Mozzarella, part-skim", "grams": 120.0, "note": ""}, {"ingredient_id": "cherry_tomato", "name": "Cherry tomatoes", "grams": 150.0, "note": ""}, {"ingredient_id": "pesto", "name": "Basil pesto", "grams": 20.0, "note": ""}, {"ingredient_id": "basil", "name": "Fresh basil", "grams": 4.0, "note": ""}]</t>
        </is>
      </c>
      <c r="N699" s="2" t="n">
        <v>138</v>
      </c>
      <c r="O699" s="5" t="n">
        <v>10.4</v>
      </c>
      <c r="P699" s="5" t="n">
        <v>9.199999999999999</v>
      </c>
      <c r="Q699" s="5" t="n">
        <v>3.6</v>
      </c>
      <c r="R699" s="5" t="n">
        <v>0.8</v>
      </c>
      <c r="S699" s="5" t="n">
        <v>2.8</v>
      </c>
      <c r="T699" s="2" t="n">
        <v>9</v>
      </c>
      <c r="U699" s="2" t="inlineStr">
        <is>
          <t>low</t>
        </is>
      </c>
      <c r="V699" s="5" t="n">
        <v>0.3</v>
      </c>
      <c r="W699" s="2" t="inlineStr">
        <is>
          <t>low</t>
        </is>
      </c>
      <c r="X699" s="3" t="inlineStr">
        <is>
          <t>Negligible carbohydrate (&lt;5 g net/serving): GI has little practical meaning, glycemic load is what matters.</t>
        </is>
      </c>
      <c r="Y699" s="3" t="inlineStr">
        <is>
          <t>0% of this dish's available carbohydrate comes from ingredients with a published, measured GI; the rest uses conventional placeholders (see Ingredients sheet)</t>
        </is>
      </c>
      <c r="Z699" s="2" t="n">
        <v>0</v>
      </c>
      <c r="AA699" s="3" t="inlineStr">
        <is>
          <t>vegetarian, gluten-free, low-carb, no-cook, quick</t>
        </is>
      </c>
      <c r="AB699" s="3" t="inlineStr">
        <is>
          <t>1. Halve tomatoes; cube mozzarella.
2. Toss with pesto.
3. Basil.</t>
        </is>
      </c>
      <c r="AC699" s="4" t="inlineStr">
        <is>
          <t>["Halve tomatoes; cube mozzarella.", "Toss with pesto.", "Basil."]</t>
        </is>
      </c>
    </row>
    <row r="700" ht="96" customHeight="1">
      <c r="A700" s="2" t="inlineStr">
        <is>
          <t>DB-0699</t>
        </is>
      </c>
      <c r="B700" s="3" t="inlineStr">
        <is>
          <t>Cottage Cheese Stuffed Cherry Tomatoes</t>
        </is>
      </c>
      <c r="C700" s="4" t="inlineStr">
        <is>
          <t>Snack &amp; Appetizer</t>
        </is>
      </c>
      <c r="D700" s="4" t="inlineStr">
        <is>
          <t>American</t>
        </is>
      </c>
      <c r="E700" s="2" t="n">
        <v>3</v>
      </c>
      <c r="F700" s="2" t="n">
        <v>10</v>
      </c>
      <c r="G700" s="2" t="n">
        <v>0</v>
      </c>
      <c r="H700" s="2" t="n">
        <v>10</v>
      </c>
      <c r="I700" s="4" t="inlineStr">
        <is>
          <t>cottage-cheese-stuffed-cherry-tomatoes.jpg</t>
        </is>
      </c>
      <c r="J700" s="3" t="inlineStr">
        <is>
          <t>Cottage Cheese Stuffed Cherry Tomatoes, healthy food photography, plated, natural light</t>
        </is>
      </c>
      <c r="K700" s="4" t="inlineStr"/>
      <c r="L700" s="3" t="inlineStr">
        <is>
          <t>Cherry tomatoes — 250 g (8.8 oz)
Cottage cheese, low-fat — 150 g (5.3 oz)
Fresh chives — 4 g (0.1 oz)
Fresh basil — 3 g (0.1 oz)
Black pepper — 1 g (0.0 oz)</t>
        </is>
      </c>
      <c r="M700" s="4" t="inlineStr">
        <is>
          <t>[{"ingredient_id": "cherry_tomato", "name": "Cherry tomatoes", "grams": 250.0, "note": ""}, {"ingredient_id": "cottage_cheese", "name": "Cottage cheese, low-fat", "grams": 150.0, "note": ""}, {"ingredient_id": "chives", "name": "Fresh chives", "grams": 4.0, "note": ""}, {"ingredient_id": "basil", "name": "Fresh basil", "grams": 3.0, "note": ""}, {"ingredient_id": "black_pepper", "name": "Black pepper", "grams": 1.0, "note": ""}]</t>
        </is>
      </c>
      <c r="N700" s="2" t="n">
        <v>58</v>
      </c>
      <c r="O700" s="5" t="n">
        <v>6.4</v>
      </c>
      <c r="P700" s="5" t="n">
        <v>1.3</v>
      </c>
      <c r="Q700" s="5" t="n">
        <v>5.7</v>
      </c>
      <c r="R700" s="5" t="n">
        <v>1.1</v>
      </c>
      <c r="S700" s="5" t="n">
        <v>4.6</v>
      </c>
      <c r="T700" s="2" t="n">
        <v>13</v>
      </c>
      <c r="U700" s="2" t="inlineStr">
        <is>
          <t>low</t>
        </is>
      </c>
      <c r="V700" s="5" t="n">
        <v>0.6</v>
      </c>
      <c r="W700" s="2" t="inlineStr">
        <is>
          <t>low</t>
        </is>
      </c>
      <c r="X700" s="3" t="inlineStr">
        <is>
          <t>Negligible carbohydrate (&lt;5 g net/serving): GI has little practical meaning, glycemic load is what matters.</t>
        </is>
      </c>
      <c r="Y700" s="3" t="inlineStr">
        <is>
          <t>0% of this dish's available carbohydrate comes from ingredients with a published, measured GI; the rest uses conventional placeholders (see Ingredients sheet)</t>
        </is>
      </c>
      <c r="Z700" s="2" t="n">
        <v>0</v>
      </c>
      <c r="AA700" s="3" t="inlineStr">
        <is>
          <t>vegetarian, gluten-free, nut-free, low-carb, no-cook</t>
        </is>
      </c>
      <c r="AB700" s="3" t="inlineStr">
        <is>
          <t>1. Slice tops off tomatoes; scoop seeds.
2. Mix cottage cheese with herbs and pepper.
3. Fill tomatoes.</t>
        </is>
      </c>
      <c r="AC700" s="4" t="inlineStr">
        <is>
          <t>["Slice tops off tomatoes; scoop seeds.", "Mix cottage cheese with herbs and pepper.", "Fill tomatoes."]</t>
        </is>
      </c>
    </row>
    <row r="701" ht="96" customHeight="1">
      <c r="A701" s="2" t="inlineStr">
        <is>
          <t>DB-0700</t>
        </is>
      </c>
      <c r="B701" s="3" t="inlineStr">
        <is>
          <t>Seaweed Snack &amp; Edamame Plate</t>
        </is>
      </c>
      <c r="C701" s="4" t="inlineStr">
        <is>
          <t>Snack &amp; Appetizer</t>
        </is>
      </c>
      <c r="D701" s="4" t="inlineStr">
        <is>
          <t>Japanese</t>
        </is>
      </c>
      <c r="E701" s="2" t="n">
        <v>1</v>
      </c>
      <c r="F701" s="2" t="n">
        <v>3</v>
      </c>
      <c r="G701" s="2" t="n">
        <v>4</v>
      </c>
      <c r="H701" s="2" t="n">
        <v>7</v>
      </c>
      <c r="I701" s="4" t="inlineStr">
        <is>
          <t>seaweed-snack-and-edamame-plate.jpg</t>
        </is>
      </c>
      <c r="J701" s="3" t="inlineStr">
        <is>
          <t>Seaweed Snack &amp; Edamame Plate, healthy food photography, plated, natural light</t>
        </is>
      </c>
      <c r="K701" s="4" t="inlineStr"/>
      <c r="L701" s="3" t="inlineStr">
        <is>
          <t>Nori seaweed sheets — 8 g (0.3 oz) [1 pack roasted seaweed]
Edamame, shelled, cooked — 120 g (4.2 oz)
Tamari (gluten-free soy sauce) — 5 g (0.2 oz)
Sesame seeds — 2 g (0.1 oz)</t>
        </is>
      </c>
      <c r="M701" s="4" t="inlineStr">
        <is>
          <t>[{"ingredient_id": "nori", "name": "Nori seaweed sheets", "grams": 8.0, "note": "1 pack roasted seaweed"}, {"ingredient_id": "edamame", "name": "Edamame, shelled, cooked", "grams": 120.0, "note": ""}, {"ingredient_id": "tamari", "name": "Tamari (gluten-free soy sauce)", "grams": 5.0, "note": ""}, {"ingredient_id": "sesame_seeds", "name": "Sesame seeds", "grams": 2.0, "note": ""}]</t>
        </is>
      </c>
      <c r="N701" s="2" t="n">
        <v>162</v>
      </c>
      <c r="O701" s="5" t="n">
        <v>15.7</v>
      </c>
      <c r="P701" s="5" t="n">
        <v>7</v>
      </c>
      <c r="Q701" s="5" t="n">
        <v>11.9</v>
      </c>
      <c r="R701" s="5" t="n">
        <v>6.3</v>
      </c>
      <c r="S701" s="5" t="n">
        <v>5.6</v>
      </c>
      <c r="T701" s="2" t="n">
        <v>19</v>
      </c>
      <c r="U701" s="2" t="inlineStr">
        <is>
          <t>low</t>
        </is>
      </c>
      <c r="V701" s="5" t="n">
        <v>1.1</v>
      </c>
      <c r="W701" s="2" t="inlineStr">
        <is>
          <t>low</t>
        </is>
      </c>
      <c r="X701" s="3" t="inlineStr"/>
      <c r="Y701" s="3" t="inlineStr">
        <is>
          <t>0% of this dish's available carbohydrate comes from ingredients with a published, measured GI; the rest uses conventional placeholders (see Ingredients sheet)</t>
        </is>
      </c>
      <c r="Z701" s="2" t="n">
        <v>0</v>
      </c>
      <c r="AA701" s="3" t="inlineStr">
        <is>
          <t>vegan, gluten-free, dairy-free, nut-free, low-carb, quick</t>
        </is>
      </c>
      <c r="AB701" s="3" t="inlineStr">
        <is>
          <t>1. Steam edamame 4 minutes.
2. Plate with roasted seaweed.
3. Tamari, sesame.</t>
        </is>
      </c>
      <c r="AC701" s="4" t="inlineStr">
        <is>
          <t>["Steam edamame 4 minutes.", "Plate with roasted seaweed.", "Tamari, sesame."]</t>
        </is>
      </c>
    </row>
    <row r="702" ht="96" customHeight="1">
      <c r="A702" s="2" t="inlineStr">
        <is>
          <t>DB-0701</t>
        </is>
      </c>
      <c r="B702" s="3" t="inlineStr">
        <is>
          <t>Pizza Cucumber Bites</t>
        </is>
      </c>
      <c r="C702" s="4" t="inlineStr">
        <is>
          <t>Snack &amp; Appetizer</t>
        </is>
      </c>
      <c r="D702" s="4" t="inlineStr">
        <is>
          <t>Italian</t>
        </is>
      </c>
      <c r="E702" s="2" t="n">
        <v>2</v>
      </c>
      <c r="F702" s="2" t="n">
        <v>5</v>
      </c>
      <c r="G702" s="2" t="n">
        <v>3</v>
      </c>
      <c r="H702" s="2" t="n">
        <v>8</v>
      </c>
      <c r="I702" s="4" t="inlineStr">
        <is>
          <t>pizza-cucumber-bites.jpg</t>
        </is>
      </c>
      <c r="J702" s="3" t="inlineStr">
        <is>
          <t>Pizza Cucumber Bites, healthy food photography, plated, natural light</t>
        </is>
      </c>
      <c r="K702" s="4" t="inlineStr"/>
      <c r="L702" s="3" t="inlineStr">
        <is>
          <t>Cucumber — 200 g (7.1 oz)
Marinara sauce, no sugar added — 40 g (1.4 oz)
Mozzarella, part-skim — 50 g (1.8 oz)
Italian seasoning — 1 g (0.0 oz)
Olives (kalamata/green) — 15 g (0.5 oz)</t>
        </is>
      </c>
      <c r="M702" s="4" t="inlineStr">
        <is>
          <t>[{"ingredient_id": "cucumber", "name": "Cucumber", "grams": 200.0, "note": ""}, {"ingredient_id": "marinara", "name": "Marinara sauce, no sugar added", "grams": 40.0, "note": ""}, {"ingredient_id": "mozzarella", "name": "Mozzarella, part-skim", "grams": 50.0, "note": ""}, {"ingredient_id": "italian_seasoning", "name": "Italian seasoning", "grams": 1.0, "note": ""}, {"ingredient_id": "olives", "name": "Olives (kalamata/green)", "grams": 15.0, "note": ""}]</t>
        </is>
      </c>
      <c r="N702" s="2" t="n">
        <v>97</v>
      </c>
      <c r="O702" s="5" t="n">
        <v>7.1</v>
      </c>
      <c r="P702" s="5" t="n">
        <v>5.4</v>
      </c>
      <c r="Q702" s="5" t="n">
        <v>6.1</v>
      </c>
      <c r="R702" s="5" t="n">
        <v>1.3</v>
      </c>
      <c r="S702" s="5" t="n">
        <v>4.9</v>
      </c>
      <c r="T702" s="2" t="n">
        <v>16</v>
      </c>
      <c r="U702" s="2" t="inlineStr">
        <is>
          <t>low</t>
        </is>
      </c>
      <c r="V702" s="5" t="n">
        <v>0.8</v>
      </c>
      <c r="W702" s="2" t="inlineStr">
        <is>
          <t>low</t>
        </is>
      </c>
      <c r="X702" s="3" t="inlineStr">
        <is>
          <t>Negligible carbohydrate (&lt;5 g net/serving): GI has little practical meaning, glycemic load is what matters.</t>
        </is>
      </c>
      <c r="Y702" s="3" t="inlineStr">
        <is>
          <t>14% of this dish's available carbohydrate comes from ingredients with a published, measured GI; the rest uses conventional placeholders (see Ingredients sheet)</t>
        </is>
      </c>
      <c r="Z702" s="2" t="n">
        <v>14</v>
      </c>
      <c r="AA702" s="3" t="inlineStr">
        <is>
          <t>vegetarian, gluten-free, nut-free, low-carb, quick</t>
        </is>
      </c>
      <c r="AB702" s="3" t="inlineStr">
        <is>
          <t>1. Slice cucumber into rounds.
2. Top with marinara, mozzarella, olives, seasoning.
3. Broil 2–3 minutes.</t>
        </is>
      </c>
      <c r="AC702" s="4" t="inlineStr">
        <is>
          <t>["Slice cucumber into rounds.", "Top with marinara, mozzarella, olives, seasoning.", "Broil 2–3 minutes."]</t>
        </is>
      </c>
    </row>
    <row r="703" ht="96" customHeight="1">
      <c r="A703" s="2" t="inlineStr">
        <is>
          <t>DB-0702</t>
        </is>
      </c>
      <c r="B703" s="3" t="inlineStr">
        <is>
          <t>Almond Flour Crackers with Cheese</t>
        </is>
      </c>
      <c r="C703" s="4" t="inlineStr">
        <is>
          <t>Snack &amp; Appetizer</t>
        </is>
      </c>
      <c r="D703" s="4" t="inlineStr">
        <is>
          <t>American</t>
        </is>
      </c>
      <c r="E703" s="2" t="n">
        <v>6</v>
      </c>
      <c r="F703" s="2" t="n">
        <v>10</v>
      </c>
      <c r="G703" s="2" t="n">
        <v>15</v>
      </c>
      <c r="H703" s="2" t="n">
        <v>25</v>
      </c>
      <c r="I703" s="4" t="inlineStr">
        <is>
          <t>almond-flour-crackers-with-cheese.jpg</t>
        </is>
      </c>
      <c r="J703" s="3" t="inlineStr">
        <is>
          <t>Almond Flour Crackers with Cheese, healthy food photography, plated, natural light</t>
        </is>
      </c>
      <c r="K703" s="4" t="inlineStr"/>
      <c r="L703" s="3" t="inlineStr">
        <is>
          <t>Almond flour — 150 g (5.3 oz)
Egg, large (50 g each) — 50 g (1.8 oz)
Parmesan, grated — 30 g (1.1 oz)
Fresh rosemary — 2 g (0.1 oz)
Salt — 2 g (0.1 oz)
Cheddar cheese — 90 g (3.2 oz)</t>
        </is>
      </c>
      <c r="M703" s="4" t="inlineStr">
        <is>
          <t>[{"ingredient_id": "almond_flour", "name": "Almond flour", "grams": 150.0, "note": ""}, {"ingredient_id": "egg", "name": "Egg, large (50 g each)", "grams": 50.0, "note": ""}, {"ingredient_id": "parmesan", "name": "Parmesan, grated", "grams": 30.0, "note": ""}, {"ingredient_id": "rosemary", "name": "Fresh rosemary", "grams": 2.0, "note": ""}, {"ingredient_id": "salt", "name": "Salt", "grams": 2.0, "note": ""}, {"ingredient_id": "cheddar", "name": "Cheddar cheese", "grams": 90.0, "note": ""}]</t>
        </is>
      </c>
      <c r="N703" s="2" t="n">
        <v>242</v>
      </c>
      <c r="O703" s="5" t="n">
        <v>11.7</v>
      </c>
      <c r="P703" s="5" t="n">
        <v>19.7</v>
      </c>
      <c r="Q703" s="5" t="n">
        <v>5.8</v>
      </c>
      <c r="R703" s="5" t="n">
        <v>3</v>
      </c>
      <c r="S703" s="5" t="n">
        <v>2.7</v>
      </c>
      <c r="T703" s="2" t="n">
        <v>13</v>
      </c>
      <c r="U703" s="2" t="inlineStr">
        <is>
          <t>low</t>
        </is>
      </c>
      <c r="V703" s="5" t="n">
        <v>0.4</v>
      </c>
      <c r="W703" s="2" t="inlineStr">
        <is>
          <t>low</t>
        </is>
      </c>
      <c r="X703" s="3" t="inlineStr">
        <is>
          <t>Negligible carbohydrate (&lt;5 g net/serving): GI has little practical meaning, glycemic load is what matters.</t>
        </is>
      </c>
      <c r="Y703" s="3" t="inlineStr">
        <is>
          <t>0% of this dish's available carbohydrate comes from ingredients with a published, measured GI; the rest uses conventional placeholders (see Ingredients sheet)</t>
        </is>
      </c>
      <c r="Z703" s="2" t="n">
        <v>0</v>
      </c>
      <c r="AA703" s="3" t="inlineStr">
        <is>
          <t>vegetarian, gluten-free, low-carb, make-ahead</t>
        </is>
      </c>
      <c r="AB703" s="3" t="inlineStr">
        <is>
          <t>1. Mix almond flour, egg, parmesan, rosemary, salt into a dough; roll thin between parchment.
2. Cut into squares; bake at 350°F 12–15 minutes.
3. Serve with cheddar slices.</t>
        </is>
      </c>
      <c r="AC703" s="4" t="inlineStr">
        <is>
          <t>["Mix almond flour, egg, parmesan, rosemary, salt into a dough; roll thin between parchment.", "Cut into squares; bake at 350°F 12–15 minutes.", "Serve with cheddar slices."]</t>
        </is>
      </c>
    </row>
    <row r="704" ht="96" customHeight="1">
      <c r="A704" s="2" t="inlineStr">
        <is>
          <t>DB-0703</t>
        </is>
      </c>
      <c r="B704" s="3" t="inlineStr">
        <is>
          <t>Peanut Butter Yogurt Dip with Apple</t>
        </is>
      </c>
      <c r="C704" s="4" t="inlineStr">
        <is>
          <t>Snack &amp; Appetizer</t>
        </is>
      </c>
      <c r="D704" s="4" t="inlineStr">
        <is>
          <t>American</t>
        </is>
      </c>
      <c r="E704" s="2" t="n">
        <v>2</v>
      </c>
      <c r="F704" s="2" t="n">
        <v>5</v>
      </c>
      <c r="G704" s="2" t="n">
        <v>0</v>
      </c>
      <c r="H704" s="2" t="n">
        <v>5</v>
      </c>
      <c r="I704" s="4" t="inlineStr">
        <is>
          <t>peanut-butter-yogurt-dip-with-apple.jpg</t>
        </is>
      </c>
      <c r="J704" s="3" t="inlineStr">
        <is>
          <t>Peanut Butter Yogurt Dip with Apple, healthy food photography, plated, natural light</t>
        </is>
      </c>
      <c r="K704" s="4" t="inlineStr"/>
      <c r="L704" s="3" t="inlineStr">
        <is>
          <t>Greek yogurt, plain 2% — 150 g (5.3 oz)
Peanut butter, natural — 25 g (0.9 oz)
Ground cinnamon — 1 g (0.0 oz)
Vanilla extract — 1 g (0.0 oz)
Apple — 150 g (5.3 oz)</t>
        </is>
      </c>
      <c r="M704" s="4" t="inlineStr">
        <is>
          <t>[{"ingredient_id": "greek_yogurt", "name": "Greek yogurt, plain 2%", "grams": 150.0, "note": ""}, {"ingredient_id": "peanut_butter", "name": "Peanut butter, natural", "grams": 25.0, "note": ""}, {"ingredient_id": "cinnamon", "name": "Ground cinnamon", "grams": 1.0, "note": ""}, {"ingredient_id": "vanilla_extract", "name": "Vanilla extract", "grams": 1.0, "note": ""}, {"ingredient_id": "apple", "name": "Apple", "grams": 150.0, "note": ""}]</t>
        </is>
      </c>
      <c r="N704" s="2" t="n">
        <v>170</v>
      </c>
      <c r="O704" s="5" t="n">
        <v>10.9</v>
      </c>
      <c r="P704" s="5" t="n">
        <v>7.9</v>
      </c>
      <c r="Q704" s="5" t="n">
        <v>16.5</v>
      </c>
      <c r="R704" s="5" t="n">
        <v>2.8</v>
      </c>
      <c r="S704" s="5" t="n">
        <v>13.7</v>
      </c>
      <c r="T704" s="2" t="n">
        <v>27</v>
      </c>
      <c r="U704" s="2" t="inlineStr">
        <is>
          <t>low</t>
        </is>
      </c>
      <c r="V704" s="5" t="n">
        <v>3.7</v>
      </c>
      <c r="W704" s="2" t="inlineStr">
        <is>
          <t>low</t>
        </is>
      </c>
      <c r="X704" s="3" t="inlineStr"/>
      <c r="Y704" s="3" t="inlineStr">
        <is>
          <t>86% of this dish's available carbohydrate comes from ingredients with a published, measured GI; the rest uses conventional placeholders (see Ingredients sheet)</t>
        </is>
      </c>
      <c r="Z704" s="2" t="n">
        <v>86</v>
      </c>
      <c r="AA704" s="3" t="inlineStr">
        <is>
          <t>vegetarian, gluten-free, low-carb, no-cook, quick</t>
        </is>
      </c>
      <c r="AB704" s="3" t="inlineStr">
        <is>
          <t>1. Whisk yogurt, peanut butter, cinnamon, vanilla.
2. Slice apple.
3. Dip.</t>
        </is>
      </c>
      <c r="AC704" s="4" t="inlineStr">
        <is>
          <t>["Whisk yogurt, peanut butter, cinnamon, vanilla.", "Slice apple.", "Dip."]</t>
        </is>
      </c>
    </row>
    <row r="705" ht="96" customHeight="1">
      <c r="A705" s="2" t="inlineStr">
        <is>
          <t>DB-0704</t>
        </is>
      </c>
      <c r="B705" s="3" t="inlineStr">
        <is>
          <t>Salmon Salad Romaine Boats</t>
        </is>
      </c>
      <c r="C705" s="4" t="inlineStr">
        <is>
          <t>Snack &amp; Appetizer</t>
        </is>
      </c>
      <c r="D705" s="4" t="inlineStr">
        <is>
          <t>American</t>
        </is>
      </c>
      <c r="E705" s="2" t="n">
        <v>3</v>
      </c>
      <c r="F705" s="2" t="n">
        <v>10</v>
      </c>
      <c r="G705" s="2" t="n">
        <v>0</v>
      </c>
      <c r="H705" s="2" t="n">
        <v>10</v>
      </c>
      <c r="I705" s="4" t="inlineStr">
        <is>
          <t>salmon-salad-romaine-boats.jpg</t>
        </is>
      </c>
      <c r="J705" s="3" t="inlineStr">
        <is>
          <t>Salmon Salad Romaine Boats, healthy food photography, plated, natural light</t>
        </is>
      </c>
      <c r="K705" s="4" t="inlineStr"/>
      <c r="L705" s="3" t="inlineStr">
        <is>
          <t>Canned salmon — 200 g (7.1 oz)
Greek yogurt, plain 2% — 50 g (1.8 oz)
Fresh dill — 4 g (0.1 oz)
Lemon juice — 10 g (0.4 oz)
Celery — 40 g (1.4 oz)
Romaine lettuce — 120 g (4.2 oz) [inner leaves]
Capers — 6 g (0.2 oz)</t>
        </is>
      </c>
      <c r="M705" s="4" t="inlineStr">
        <is>
          <t>[{"ingredient_id": "canned_salmon", "name": "Canned salmon", "grams": 200.0, "note": ""}, {"ingredient_id": "greek_yogurt", "name": "Greek yogurt, plain 2%", "grams": 50.0, "note": ""}, {"ingredient_id": "dill", "name": "Fresh dill", "grams": 4.0, "note": ""}, {"ingredient_id": "lemon_juice", "name": "Lemon juice", "grams": 10.0, "note": ""}, {"ingredient_id": "celery", "name": "Celery", "grams": 40.0, "note": ""}, {"ingredient_id": "romaine", "name": "Romaine lettuce", "grams": 120.0, "note": "inner leaves"}, {"ingredient_id": "capers", "name": "Capers", "grams": 6.0, "note": ""}]</t>
        </is>
      </c>
      <c r="N705" s="2" t="n">
        <v>116</v>
      </c>
      <c r="O705" s="5" t="n">
        <v>15.7</v>
      </c>
      <c r="P705" s="5" t="n">
        <v>4.5</v>
      </c>
      <c r="Q705" s="5" t="n">
        <v>2.8</v>
      </c>
      <c r="R705" s="5" t="n">
        <v>1.2</v>
      </c>
      <c r="S705" s="5" t="n">
        <v>1.7</v>
      </c>
      <c r="T705" s="2" t="n">
        <v>14</v>
      </c>
      <c r="U705" s="2" t="inlineStr">
        <is>
          <t>low</t>
        </is>
      </c>
      <c r="V705" s="5" t="n">
        <v>0.2</v>
      </c>
      <c r="W705" s="2" t="inlineStr">
        <is>
          <t>low</t>
        </is>
      </c>
      <c r="X705" s="3" t="inlineStr">
        <is>
          <t>Negligible carbohydrate (&lt;5 g net/serving): GI has little practical meaning, glycemic load is what matters.</t>
        </is>
      </c>
      <c r="Y705" s="3" t="inlineStr">
        <is>
          <t>40% of this dish's available carbohydrate comes from ingredients with a published, measured GI; the rest uses conventional placeholders (see Ingredients sheet)</t>
        </is>
      </c>
      <c r="Z705" s="2" t="n">
        <v>40</v>
      </c>
      <c r="AA705" s="3" t="inlineStr">
        <is>
          <t>pescatarian, gluten-free, nut-free, low-carb, no-cook, omega-3</t>
        </is>
      </c>
      <c r="AB705" s="3" t="inlineStr">
        <is>
          <t>1. Mix salmon, yogurt, dill, lemon, celery, capers.
2. Spoon into romaine leaves.
3. Serve.</t>
        </is>
      </c>
      <c r="AC705" s="4" t="inlineStr">
        <is>
          <t>["Mix salmon, yogurt, dill, lemon, celery, capers.", "Spoon into romaine leaves.", "Serve."]</t>
        </is>
      </c>
    </row>
    <row r="706" ht="96" customHeight="1">
      <c r="A706" s="2" t="inlineStr">
        <is>
          <t>DB-0705</t>
        </is>
      </c>
      <c r="B706" s="3" t="inlineStr">
        <is>
          <t>Baked Parmesan Crisps</t>
        </is>
      </c>
      <c r="C706" s="4" t="inlineStr">
        <is>
          <t>Snack &amp; Appetizer</t>
        </is>
      </c>
      <c r="D706" s="4" t="inlineStr">
        <is>
          <t>Italian</t>
        </is>
      </c>
      <c r="E706" s="2" t="n">
        <v>4</v>
      </c>
      <c r="F706" s="2" t="n">
        <v>3</v>
      </c>
      <c r="G706" s="2" t="n">
        <v>6</v>
      </c>
      <c r="H706" s="2" t="n">
        <v>9</v>
      </c>
      <c r="I706" s="4" t="inlineStr">
        <is>
          <t>baked-parmesan-crisps.jpg</t>
        </is>
      </c>
      <c r="J706" s="3" t="inlineStr">
        <is>
          <t>Baked Parmesan Crisps, healthy food photography, plated, natural light</t>
        </is>
      </c>
      <c r="K706" s="4" t="inlineStr"/>
      <c r="L706" s="3" t="inlineStr">
        <is>
          <t>Parmesan, grated — 120 g (4.2 oz)
Black pepper — 1 g (0.0 oz)
Italian seasoning — 1 g (0.0 oz)</t>
        </is>
      </c>
      <c r="M706" s="4" t="inlineStr">
        <is>
          <t>[{"ingredient_id": "parmesan", "name": "Parmesan, grated", "grams": 120.0, "note": ""}, {"ingredient_id": "black_pepper", "name": "Black pepper", "grams": 1.0, "note": ""}, {"ingredient_id": "italian_seasoning", "name": "Italian seasoning", "grams": 1.0, "note": ""}]</t>
        </is>
      </c>
      <c r="N706" s="2" t="n">
        <v>131</v>
      </c>
      <c r="O706" s="5" t="n">
        <v>11.4</v>
      </c>
      <c r="P706" s="5" t="n">
        <v>8.699999999999999</v>
      </c>
      <c r="Q706" s="5" t="n">
        <v>1.5</v>
      </c>
      <c r="R706" s="5" t="n">
        <v>0.2</v>
      </c>
      <c r="S706" s="5" t="n">
        <v>1.4</v>
      </c>
      <c r="T706" s="2" t="n">
        <v>2</v>
      </c>
      <c r="U706" s="2" t="inlineStr">
        <is>
          <t>low</t>
        </is>
      </c>
      <c r="V706" s="5" t="n">
        <v>0</v>
      </c>
      <c r="W706" s="2" t="inlineStr">
        <is>
          <t>low</t>
        </is>
      </c>
      <c r="X706" s="3" t="inlineStr">
        <is>
          <t>Negligible carbohydrate (&lt;5 g net/serving): GI has little practical meaning, glycemic load is what matters.</t>
        </is>
      </c>
      <c r="Y706" s="3" t="inlineStr">
        <is>
          <t>0% of this dish's available carbohydrate comes from ingredients with a published, measured GI; the rest uses conventional placeholders (see Ingredients sheet)</t>
        </is>
      </c>
      <c r="Z706" s="2" t="n">
        <v>0</v>
      </c>
      <c r="AA706" s="3" t="inlineStr">
        <is>
          <t>vegetarian, gluten-free, nut-free, low-carb, quick</t>
        </is>
      </c>
      <c r="AB706" s="3" t="inlineStr">
        <is>
          <t>1. Spoon tablespoon mounds of parmesan on parchment.
2. Sprinkle pepper and seasoning.
3. Bake at 400°F 5–6 minutes until golden; cool to crisp.</t>
        </is>
      </c>
      <c r="AC706" s="4" t="inlineStr">
        <is>
          <t>["Spoon tablespoon mounds of parmesan on parchment.", "Sprinkle pepper and seasoning.", "Bake at 400°F 5–6 minutes until golden; cool to crisp."]</t>
        </is>
      </c>
    </row>
    <row r="707" ht="96" customHeight="1">
      <c r="A707" s="2" t="inlineStr">
        <is>
          <t>DB-0706</t>
        </is>
      </c>
      <c r="B707" s="3" t="inlineStr">
        <is>
          <t>Jalapeño Poppers (Baked, Turkey Bacon)</t>
        </is>
      </c>
      <c r="C707" s="4" t="inlineStr">
        <is>
          <t>Snack &amp; Appetizer</t>
        </is>
      </c>
      <c r="D707" s="4" t="inlineStr">
        <is>
          <t>Tex-Mex</t>
        </is>
      </c>
      <c r="E707" s="2" t="n">
        <v>6</v>
      </c>
      <c r="F707" s="2" t="n">
        <v>15</v>
      </c>
      <c r="G707" s="2" t="n">
        <v>20</v>
      </c>
      <c r="H707" s="2" t="n">
        <v>35</v>
      </c>
      <c r="I707" s="4" t="inlineStr">
        <is>
          <t>jalape-o-poppers-baked-turkey-bacon.jpg</t>
        </is>
      </c>
      <c r="J707" s="3" t="inlineStr">
        <is>
          <t>Jalapeño Poppers (Baked, Turkey Bacon), healthy food photography, plated, natural light</t>
        </is>
      </c>
      <c r="K707" s="4" t="inlineStr"/>
      <c r="L707" s="3" t="inlineStr">
        <is>
          <t>Jalapeño — 300 g (10.6 oz) [12 peppers]
Cream cheese — 120 g (4.2 oz)
Cheddar cheese — 60 g (2.1 oz)
Turkey bacon — 90 g (3.2 oz)
Garlic powder — 2 g (0.1 oz)
Green onions (scallions) — 10 g (0.4 oz)</t>
        </is>
      </c>
      <c r="M707" s="4" t="inlineStr">
        <is>
          <t>[{"ingredient_id": "jalapeno", "name": "Jalapeño", "grams": 300.0, "note": "12 peppers"}, {"ingredient_id": "cream_cheese", "name": "Cream cheese", "grams": 120.0, "note": ""}, {"ingredient_id": "cheddar", "name": "Cheddar cheese", "grams": 60.0, "note": ""}, {"ingredient_id": "turkey_bacon", "name": "Turkey bacon", "grams": 90.0, "note": ""}, {"ingredient_id": "garlic_powder", "name": "Garlic powder", "grams": 2.0, "note": ""}, {"ingredient_id": "green_onion", "name": "Green onions (scallions)", "grams": 10.0, "note": ""}]</t>
        </is>
      </c>
      <c r="N707" s="2" t="n">
        <v>158</v>
      </c>
      <c r="O707" s="5" t="n">
        <v>6.7</v>
      </c>
      <c r="P707" s="5" t="n">
        <v>12.6</v>
      </c>
      <c r="Q707" s="5" t="n">
        <v>4.8</v>
      </c>
      <c r="R707" s="5" t="n">
        <v>1.5</v>
      </c>
      <c r="S707" s="5" t="n">
        <v>3.4</v>
      </c>
      <c r="T707" s="2" t="n">
        <v>10</v>
      </c>
      <c r="U707" s="2" t="inlineStr">
        <is>
          <t>low</t>
        </is>
      </c>
      <c r="V707" s="5" t="n">
        <v>0.3</v>
      </c>
      <c r="W707" s="2" t="inlineStr">
        <is>
          <t>low</t>
        </is>
      </c>
      <c r="X707" s="3" t="inlineStr">
        <is>
          <t>Negligible carbohydrate (&lt;5 g net/serving): GI has little practical meaning, glycemic load is what matters.</t>
        </is>
      </c>
      <c r="Y707" s="3" t="inlineStr">
        <is>
          <t>0% of this dish's available carbohydrate comes from ingredients with a published, measured GI; the rest uses conventional placeholders (see Ingredients sheet)</t>
        </is>
      </c>
      <c r="Z707" s="2" t="n">
        <v>0</v>
      </c>
      <c r="AA707" s="3" t="inlineStr">
        <is>
          <t>gluten-free, nut-free, low-carb</t>
        </is>
      </c>
      <c r="AB707" s="3" t="inlineStr">
        <is>
          <t>1. Halve and seed jalapeños.
2. Mix cream cheese, cheddar, garlic powder; fill peppers; wrap each in half a slice of turkey bacon.
3. Bake at 400°F 18–20 minutes; green onion.</t>
        </is>
      </c>
      <c r="AC707" s="4" t="inlineStr">
        <is>
          <t>["Halve and seed jalapeños.", "Mix cream cheese, cheddar, garlic powder; fill peppers; wrap each in half a slice of turkey bacon.", "Bake at 400°F 18–20 minutes; green onion."]</t>
        </is>
      </c>
    </row>
    <row r="708" ht="96" customHeight="1">
      <c r="A708" s="2" t="inlineStr">
        <is>
          <t>DB-0707</t>
        </is>
      </c>
      <c r="B708" s="3" t="inlineStr">
        <is>
          <t>Chia Pudding Snack Cups</t>
        </is>
      </c>
      <c r="C708" s="4" t="inlineStr">
        <is>
          <t>Snack &amp; Appetizer</t>
        </is>
      </c>
      <c r="D708" s="4" t="inlineStr">
        <is>
          <t>American</t>
        </is>
      </c>
      <c r="E708" s="2" t="n">
        <v>4</v>
      </c>
      <c r="F708" s="2" t="n">
        <v>5</v>
      </c>
      <c r="G708" s="2" t="n">
        <v>0</v>
      </c>
      <c r="H708" s="2" t="n">
        <v>5</v>
      </c>
      <c r="I708" s="4" t="inlineStr">
        <is>
          <t>chia-pudding-snack-cups.jpg</t>
        </is>
      </c>
      <c r="J708" s="3" t="inlineStr">
        <is>
          <t>Chia Pudding Snack Cups, healthy food photography, plated, natural light</t>
        </is>
      </c>
      <c r="K708" s="4" t="inlineStr"/>
      <c r="L708" s="3" t="inlineStr">
        <is>
          <t>Chia seeds — 60 g (2.1 oz)
Almond milk, unsweetened — 450 g (15.9 oz)
Vanilla extract — 4 g (0.1 oz)
Monk fruit/erythritol sweetener — 10 g (0.4 oz)
Blueberries — 120 g (4.2 oz)</t>
        </is>
      </c>
      <c r="M708" s="4" t="inlineStr">
        <is>
          <t>[{"ingredient_id": "chia_seeds", "name": "Chia seeds", "grams": 60.0, "note": ""}, {"ingredient_id": "almond_milk", "name": "Almond milk, unsweetened", "grams": 450.0, "note": ""}, {"ingredient_id": "vanilla_extract", "name": "Vanilla extract", "grams": 4.0, "note": ""}, {"ingredient_id": "monk_fruit_sweetener", "name": "Monk fruit/erythritol sweetener", "grams": 10.0, "note": ""}, {"ingredient_id": "blueberries", "name": "Blueberries", "grams": 120.0, "note": ""}]</t>
        </is>
      </c>
      <c r="N708" s="2" t="n">
        <v>110</v>
      </c>
      <c r="O708" s="5" t="n">
        <v>3.4</v>
      </c>
      <c r="P708" s="5" t="n">
        <v>6.1</v>
      </c>
      <c r="Q708" s="5" t="n">
        <v>11.5</v>
      </c>
      <c r="R708" s="5" t="n">
        <v>5.8</v>
      </c>
      <c r="S708" s="5" t="n">
        <v>5.6</v>
      </c>
      <c r="T708" s="2" t="n">
        <v>40</v>
      </c>
      <c r="U708" s="2" t="inlineStr">
        <is>
          <t>low</t>
        </is>
      </c>
      <c r="V708" s="5" t="n">
        <v>2.3</v>
      </c>
      <c r="W708" s="2" t="inlineStr">
        <is>
          <t>low</t>
        </is>
      </c>
      <c r="X708" s="3" t="inlineStr"/>
      <c r="Y708" s="3" t="inlineStr">
        <is>
          <t>64% of this dish's available carbohydrate comes from ingredients with a published, measured GI; the rest uses conventional placeholders (see Ingredients sheet)</t>
        </is>
      </c>
      <c r="Z708" s="2" t="n">
        <v>64</v>
      </c>
      <c r="AA708" s="3" t="inlineStr">
        <is>
          <t>vegan, gluten-free, dairy-free, low-carb, make-ahead</t>
        </is>
      </c>
      <c r="AB708" s="3" t="inlineStr">
        <is>
          <t>1. Whisk chia, milk, vanilla, sweetener.
2. Divide into 4 jars; refrigerate overnight.
3. Top blueberries.</t>
        </is>
      </c>
      <c r="AC708" s="4" t="inlineStr">
        <is>
          <t>["Whisk chia, milk, vanilla, sweetener.", "Divide into 4 jars; refrigerate overnight.", "Top blueberries."]</t>
        </is>
      </c>
    </row>
    <row r="709" ht="96" customHeight="1">
      <c r="A709" s="2" t="inlineStr">
        <is>
          <t>DB-0708</t>
        </is>
      </c>
      <c r="B709" s="3" t="inlineStr">
        <is>
          <t>Cauliflower Hummus</t>
        </is>
      </c>
      <c r="C709" s="4" t="inlineStr">
        <is>
          <t>Snack &amp; Appetizer</t>
        </is>
      </c>
      <c r="D709" s="4" t="inlineStr">
        <is>
          <t>Middle Eastern</t>
        </is>
      </c>
      <c r="E709" s="2" t="n">
        <v>6</v>
      </c>
      <c r="F709" s="2" t="n">
        <v>10</v>
      </c>
      <c r="G709" s="2" t="n">
        <v>20</v>
      </c>
      <c r="H709" s="2" t="n">
        <v>30</v>
      </c>
      <c r="I709" s="4" t="inlineStr">
        <is>
          <t>cauliflower-hummus.jpg</t>
        </is>
      </c>
      <c r="J709" s="3" t="inlineStr">
        <is>
          <t>Cauliflower Hummus, healthy food photography, plated, natural light</t>
        </is>
      </c>
      <c r="K709" s="4" t="inlineStr"/>
      <c r="L709" s="3" t="inlineStr">
        <is>
          <t>Cauliflower — 600 g (21.2 oz)
Tahini — 50 g (1.8 oz)
Lemon juice — 30 g (1.1 oz)
Garlic — 6 g (0.2 oz)
Extra-virgin olive oil — 25 g (0.9 oz)
Ground cumin — 2 g (0.1 oz)
Smoked paprika — 1 g (0.0 oz)
Cucumber — 200 g (7.1 oz)
Bell pepper — 200 g (7.1 oz)
Salt — 3 g (0.1 oz)</t>
        </is>
      </c>
      <c r="M709" s="4" t="inlineStr">
        <is>
          <t>[{"ingredient_id": "cauliflower", "name": "Cauliflower", "grams": 600.0, "note": ""}, {"ingredient_id": "tahini", "name": "Tahini", "grams": 50.0, "note": ""}, {"ingredient_id": "lemon_juice", "name": "Lemon juice", "grams": 30.0, "note": ""}, {"ingredient_id": "garlic", "name": "Garlic", "grams": 6.0, "note": ""}, {"ingredient_id": "olive_oil", "name": "Extra-virgin olive oil", "grams": 25.0, "note": ""}, {"ingredient_id": "cumin", "name": "Ground cumin", "grams": 2.0, "note": ""}, {"ingredient_id": "smoked_paprika", "name": "Smoked paprika", "grams": 1.0, "note": ""}, {"ingredient_id": "cucumber", "name": "Cucumber", "grams": 200.0, "note": ""}, {"ingredient_id": "bell_pepper", "name": "Bell pepper", "grams": 200.0, "note": ""}, {"ingredient_id": "salt", "name": "Salt", "grams": 3.0, "note": ""}]</t>
        </is>
      </c>
      <c r="N709" s="2" t="n">
        <v>131</v>
      </c>
      <c r="O709" s="5" t="n">
        <v>4.1</v>
      </c>
      <c r="P709" s="5" t="n">
        <v>9.199999999999999</v>
      </c>
      <c r="Q709" s="5" t="n">
        <v>10.9</v>
      </c>
      <c r="R709" s="5" t="n">
        <v>3.7</v>
      </c>
      <c r="S709" s="5" t="n">
        <v>7.1</v>
      </c>
      <c r="T709" s="2" t="n">
        <v>19</v>
      </c>
      <c r="U709" s="2" t="inlineStr">
        <is>
          <t>low</t>
        </is>
      </c>
      <c r="V709" s="5" t="n">
        <v>1.4</v>
      </c>
      <c r="W709" s="2" t="inlineStr">
        <is>
          <t>low</t>
        </is>
      </c>
      <c r="X709" s="3" t="inlineStr"/>
      <c r="Y709" s="3" t="inlineStr">
        <is>
          <t>0% of this dish's available carbohydrate comes from ingredients with a published, measured GI; the rest uses conventional placeholders (see Ingredients sheet)</t>
        </is>
      </c>
      <c r="Z709" s="2" t="n">
        <v>0</v>
      </c>
      <c r="AA709" s="3" t="inlineStr">
        <is>
          <t>vegan, gluten-free, dairy-free, nut-free, low-carb, make-ahead</t>
        </is>
      </c>
      <c r="AB709" s="3" t="inlineStr">
        <is>
          <t>1. Roast cauliflower with half the oil at 425°F 20 minutes.
2. Blend with tahini, lemon, garlic, remaining oil, cumin, salt until smooth.
3. Paprika; serve with vegetables.</t>
        </is>
      </c>
      <c r="AC709" s="4" t="inlineStr">
        <is>
          <t>["Roast cauliflower with half the oil at 425°F 20 minutes.", "Blend with tahini, lemon, garlic, remaining oil, cumin, salt until smooth.", "Paprika; serve with vegetables."]</t>
        </is>
      </c>
    </row>
    <row r="710" ht="96" customHeight="1">
      <c r="A710" s="2" t="inlineStr">
        <is>
          <t>DB-0709</t>
        </is>
      </c>
      <c r="B710" s="3" t="inlineStr">
        <is>
          <t>Turkey Meatball Snack Skewers</t>
        </is>
      </c>
      <c r="C710" s="4" t="inlineStr">
        <is>
          <t>Snack &amp; Appetizer</t>
        </is>
      </c>
      <c r="D710" s="4" t="inlineStr">
        <is>
          <t>Mediterranean</t>
        </is>
      </c>
      <c r="E710" s="2" t="n">
        <v>6</v>
      </c>
      <c r="F710" s="2" t="n">
        <v>15</v>
      </c>
      <c r="G710" s="2" t="n">
        <v>18</v>
      </c>
      <c r="H710" s="2" t="n">
        <v>33</v>
      </c>
      <c r="I710" s="4" t="inlineStr">
        <is>
          <t>turkey-meatball-snack-skewers.jpg</t>
        </is>
      </c>
      <c r="J710" s="3" t="inlineStr">
        <is>
          <t>Turkey Meatball Snack Skewers, healthy food photography, plated, natural light</t>
        </is>
      </c>
      <c r="K710" s="4" t="inlineStr"/>
      <c r="L710" s="3" t="inlineStr">
        <is>
          <t>Ground turkey 93% lean — 500 g (17.6 oz)
Egg, large (50 g each) — 50 g (1.8 oz)
Almond flour — 30 g (1.1 oz)
Garlic — 6 g (0.2 oz)
Dried oregano — 3 g (0.1 oz)
Feta cheese — 40 g (1.4 oz)
Cherry tomatoes — 200 g (7.1 oz)
Cucumber — 200 g (7.1 oz)
Greek yogurt, plain 2% — 120 g (4.2 oz)
Fresh dill — 4 g (0.1 oz)
Salt — 3 g (0.1 oz)</t>
        </is>
      </c>
      <c r="M710" s="4" t="inlineStr">
        <is>
          <t>[{"ingredient_id": "ground_turkey", "name": "Ground turkey 93% lean", "grams": 500.0, "note": ""}, {"ingredient_id": "egg", "name": "Egg, large (50 g each)", "grams": 50.0, "note": ""}, {"ingredient_id": "almond_flour", "name": "Almond flour", "grams": 30.0, "note": ""}, {"ingredient_id": "garlic", "name": "Garlic", "grams": 6.0, "note": ""}, {"ingredient_id": "oregano", "name": "Dried oregano", "grams": 3.0, "note": ""}, {"ingredient_id": "feta", "name": "Feta cheese", "grams": 40.0, "note": ""}, {"ingredient_id": "cherry_tomato", "name": "Cherry tomatoes", "grams": 200.0, "note": ""}, {"ingredient_id": "cucumber", "name": "Cucumber", "grams": 200.0, "note": ""}, {"ingredient_id": "greek_yogurt", "name": "Greek yogurt, plain 2%", "grams": 120.0, "note": ""}, {"ingredient_id": "dill", "name": "Fresh dill", "grams": 4.0, "note": ""}, {"ingredient_id": "salt", "name": "Salt", "grams": 3.0, "note": ""}]</t>
        </is>
      </c>
      <c r="N710" s="2" t="n">
        <v>213</v>
      </c>
      <c r="O710" s="5" t="n">
        <v>21.3</v>
      </c>
      <c r="P710" s="5" t="n">
        <v>11.9</v>
      </c>
      <c r="Q710" s="5" t="n">
        <v>5.4</v>
      </c>
      <c r="R710" s="5" t="n">
        <v>1.4</v>
      </c>
      <c r="S710" s="5" t="n">
        <v>4</v>
      </c>
      <c r="T710" s="2" t="n">
        <v>14</v>
      </c>
      <c r="U710" s="2" t="inlineStr">
        <is>
          <t>low</t>
        </is>
      </c>
      <c r="V710" s="5" t="n">
        <v>0.6</v>
      </c>
      <c r="W710" s="2" t="inlineStr">
        <is>
          <t>low</t>
        </is>
      </c>
      <c r="X710" s="3" t="inlineStr">
        <is>
          <t>Negligible carbohydrate (&lt;5 g net/serving): GI has little practical meaning, glycemic load is what matters.</t>
        </is>
      </c>
      <c r="Y710" s="3" t="inlineStr">
        <is>
          <t>20% of this dish's available carbohydrate comes from ingredients with a published, measured GI; the rest uses conventional placeholders (see Ingredients sheet)</t>
        </is>
      </c>
      <c r="Z710" s="2" t="n">
        <v>20</v>
      </c>
      <c r="AA710" s="3" t="inlineStr">
        <is>
          <t>gluten-free, low-carb, make-ahead</t>
        </is>
      </c>
      <c r="AB710" s="3" t="inlineStr">
        <is>
          <t>1. Mix turkey, egg, almond flour, garlic, oregano, feta, salt; form small meatballs; bake at 400°F 18 minutes.
2. Thread meatballs with tomato and cucumber onto picks.
3. Serve with yogurt-dill dip.</t>
        </is>
      </c>
      <c r="AC710" s="4" t="inlineStr">
        <is>
          <t>["Mix turkey, egg, almond flour, garlic, oregano, feta, salt; form small meatballs; bake at 400°F 18 minutes.", "Thread meatballs with tomato and cucumber onto picks.", "Serve with yogurt-dill dip."]</t>
        </is>
      </c>
    </row>
    <row r="711" ht="96" customHeight="1">
      <c r="A711" s="2" t="inlineStr">
        <is>
          <t>DB-0710</t>
        </is>
      </c>
      <c r="B711" s="3" t="inlineStr">
        <is>
          <t>Cucumber Avocado Sushi Bites</t>
        </is>
      </c>
      <c r="C711" s="4" t="inlineStr">
        <is>
          <t>Snack &amp; Appetizer</t>
        </is>
      </c>
      <c r="D711" s="4" t="inlineStr">
        <is>
          <t>Japanese</t>
        </is>
      </c>
      <c r="E711" s="2" t="n">
        <v>2</v>
      </c>
      <c r="F711" s="2" t="n">
        <v>8</v>
      </c>
      <c r="G711" s="2" t="n">
        <v>0</v>
      </c>
      <c r="H711" s="2" t="n">
        <v>8</v>
      </c>
      <c r="I711" s="4" t="inlineStr">
        <is>
          <t>cucumber-avocado-sushi-bites.jpg</t>
        </is>
      </c>
      <c r="J711" s="3" t="inlineStr">
        <is>
          <t>Cucumber Avocado Sushi Bites, healthy food photography, plated, natural light</t>
        </is>
      </c>
      <c r="K711" s="4" t="inlineStr"/>
      <c r="L711" s="3" t="inlineStr">
        <is>
          <t>Cucumber — 250 g (8.8 oz)
Avocado — 70 g (2.5 oz)
Smoked salmon — 50 g (1.8 oz)
Nori seaweed sheets — 2 g (0.1 oz)
Sesame seeds — 3 g (0.1 oz)
Tamari (gluten-free soy sauce) — 5 g (0.2 oz)</t>
        </is>
      </c>
      <c r="M711" s="4" t="inlineStr">
        <is>
          <t>[{"ingredient_id": "cucumber", "name": "Cucumber", "grams": 250.0, "note": ""}, {"ingredient_id": "avocado", "name": "Avocado", "grams": 70.0, "note": ""}, {"ingredient_id": "smoked_salmon", "name": "Smoked salmon", "grams": 50.0, "note": ""}, {"ingredient_id": "nori", "name": "Nori seaweed sheets", "grams": 2.0, "note": ""}, {"ingredient_id": "sesame_seeds", "name": "Sesame seeds", "grams": 3.0, "note": ""}, {"ingredient_id": "tamari", "name": "Tamari (gluten-free soy sauce)", "grams": 5.0, "note": ""}]</t>
        </is>
      </c>
      <c r="N711" s="2" t="n">
        <v>114</v>
      </c>
      <c r="O711" s="5" t="n">
        <v>6.7</v>
      </c>
      <c r="P711" s="5" t="n">
        <v>7.2</v>
      </c>
      <c r="Q711" s="5" t="n">
        <v>8</v>
      </c>
      <c r="R711" s="5" t="n">
        <v>3.2</v>
      </c>
      <c r="S711" s="5" t="n">
        <v>4.8</v>
      </c>
      <c r="T711" s="2" t="n">
        <v>16</v>
      </c>
      <c r="U711" s="2" t="inlineStr">
        <is>
          <t>low</t>
        </is>
      </c>
      <c r="V711" s="5" t="n">
        <v>0.8</v>
      </c>
      <c r="W711" s="2" t="inlineStr">
        <is>
          <t>low</t>
        </is>
      </c>
      <c r="X711" s="3" t="inlineStr">
        <is>
          <t>Negligible carbohydrate (&lt;5 g net/serving): GI has little practical meaning, glycemic load is what matters.</t>
        </is>
      </c>
      <c r="Y711" s="3" t="inlineStr">
        <is>
          <t>0% of this dish's available carbohydrate comes from ingredients with a published, measured GI; the rest uses conventional placeholders (see Ingredients sheet)</t>
        </is>
      </c>
      <c r="Z711" s="2" t="n">
        <v>0</v>
      </c>
      <c r="AA711" s="3" t="inlineStr">
        <is>
          <t>pescatarian, gluten-free, dairy-free, nut-free, low-carb, no-cook, quick</t>
        </is>
      </c>
      <c r="AB711" s="3" t="inlineStr">
        <is>
          <t>1. Cut cucumber into thick rounds; scoop centers.
2. Fill with mashed avocado and a piece of salmon.
3. Nori strip, sesame, tamari.</t>
        </is>
      </c>
      <c r="AC711" s="4" t="inlineStr">
        <is>
          <t>["Cut cucumber into thick rounds; scoop centers.", "Fill with mashed avocado and a piece of salmon.", "Nori strip, sesame, tamari."]</t>
        </is>
      </c>
    </row>
    <row r="712" ht="96" customHeight="1">
      <c r="A712" s="2" t="inlineStr">
        <is>
          <t>DB-0711</t>
        </is>
      </c>
      <c r="B712" s="3" t="inlineStr">
        <is>
          <t>Crunchy Roasted Edamame</t>
        </is>
      </c>
      <c r="C712" s="4" t="inlineStr">
        <is>
          <t>Snack &amp; Appetizer</t>
        </is>
      </c>
      <c r="D712" s="4" t="inlineStr">
        <is>
          <t>American</t>
        </is>
      </c>
      <c r="E712" s="2" t="n">
        <v>4</v>
      </c>
      <c r="F712" s="2" t="n">
        <v>5</v>
      </c>
      <c r="G712" s="2" t="n">
        <v>30</v>
      </c>
      <c r="H712" s="2" t="n">
        <v>35</v>
      </c>
      <c r="I712" s="4" t="inlineStr">
        <is>
          <t>crunchy-roasted-edamame.jpg</t>
        </is>
      </c>
      <c r="J712" s="3" t="inlineStr">
        <is>
          <t>Crunchy Roasted Edamame, healthy food photography, plated, natural light</t>
        </is>
      </c>
      <c r="K712" s="4" t="inlineStr"/>
      <c r="L712" s="3" t="inlineStr">
        <is>
          <t>Edamame, shelled, cooked — 400 g (14.1 oz)
Extra-virgin olive oil — 12 g (0.4 oz)
Garlic powder — 2 g (0.1 oz)
Smoked paprika — 2 g (0.1 oz)
Salt — 2 g (0.1 oz)</t>
        </is>
      </c>
      <c r="M712" s="4" t="inlineStr">
        <is>
          <t>[{"ingredient_id": "edamame", "name": "Edamame, shelled, cooked", "grams": 400.0, "note": ""}, {"ingredient_id": "olive_oil", "name": "Extra-virgin olive oil", "grams": 12.0, "note": ""}, {"ingredient_id": "garlic_powder", "name": "Garlic powder", "grams": 2.0, "note": ""}, {"ingredient_id": "smoked_paprika", "name": "Smoked paprika", "grams": 2.0, "note": ""}, {"ingredient_id": "salt", "name": "Salt", "grams": 2.0, "note": ""}]</t>
        </is>
      </c>
      <c r="N712" s="2" t="n">
        <v>151</v>
      </c>
      <c r="O712" s="5" t="n">
        <v>12.2</v>
      </c>
      <c r="P712" s="5" t="n">
        <v>8.1</v>
      </c>
      <c r="Q712" s="5" t="n">
        <v>9.6</v>
      </c>
      <c r="R712" s="5" t="n">
        <v>5.2</v>
      </c>
      <c r="S712" s="5" t="n">
        <v>4.4</v>
      </c>
      <c r="T712" s="2" t="n">
        <v>18</v>
      </c>
      <c r="U712" s="2" t="inlineStr">
        <is>
          <t>low</t>
        </is>
      </c>
      <c r="V712" s="5" t="n">
        <v>0.8</v>
      </c>
      <c r="W712" s="2" t="inlineStr">
        <is>
          <t>low</t>
        </is>
      </c>
      <c r="X712" s="3" t="inlineStr">
        <is>
          <t>Negligible carbohydrate (&lt;5 g net/serving): GI has little practical meaning, glycemic load is what matters.</t>
        </is>
      </c>
      <c r="Y712" s="3" t="inlineStr">
        <is>
          <t>0% of this dish's available carbohydrate comes from ingredients with a published, measured GI; the rest uses conventional placeholders (see Ingredients sheet)</t>
        </is>
      </c>
      <c r="Z712" s="2" t="n">
        <v>0</v>
      </c>
      <c r="AA712" s="3" t="inlineStr">
        <is>
          <t>vegan, gluten-free, dairy-free, nut-free, low-carb, make-ahead</t>
        </is>
      </c>
      <c r="AB712" s="3" t="inlineStr">
        <is>
          <t>1. Pat shelled edamame dry; toss with oil and spices.
2. Roast at 400°F 25–30 minutes until crunchy.
3. Cool.</t>
        </is>
      </c>
      <c r="AC712" s="4" t="inlineStr">
        <is>
          <t>["Pat shelled edamame dry; toss with oil and spices.", "Roast at 400°F 25–30 minutes until crunchy.", "Cool."]</t>
        </is>
      </c>
    </row>
    <row r="713" ht="96" customHeight="1">
      <c r="A713" s="2" t="inlineStr">
        <is>
          <t>DB-0712</t>
        </is>
      </c>
      <c r="B713" s="3" t="inlineStr">
        <is>
          <t>Mini Frittata Bites (Spinach &amp; Feta)</t>
        </is>
      </c>
      <c r="C713" s="4" t="inlineStr">
        <is>
          <t>Snack &amp; Appetizer</t>
        </is>
      </c>
      <c r="D713" s="4" t="inlineStr">
        <is>
          <t>Greek</t>
        </is>
      </c>
      <c r="E713" s="2" t="n">
        <v>6</v>
      </c>
      <c r="F713" s="2" t="n">
        <v>10</v>
      </c>
      <c r="G713" s="2" t="n">
        <v>18</v>
      </c>
      <c r="H713" s="2" t="n">
        <v>28</v>
      </c>
      <c r="I713" s="4" t="inlineStr">
        <is>
          <t>mini-frittata-bites-spinach-and-feta.jpg</t>
        </is>
      </c>
      <c r="J713" s="3" t="inlineStr">
        <is>
          <t>Mini Frittata Bites (Spinach &amp; Feta), healthy food photography, plated, natural light</t>
        </is>
      </c>
      <c r="K713" s="4" t="inlineStr"/>
      <c r="L713" s="3" t="inlineStr">
        <is>
          <t>Egg, large (50 g each) — 300 g (10.6 oz)
Spinach — 100 g (3.5 oz)
Feta cheese — 60 g (2.1 oz)
Green onions (scallions) — 15 g (0.5 oz)
Milk, 2% — 40 g (1.4 oz)
Fresh dill — 3 g (0.1 oz)
Salt — 1 g (0.0 oz)</t>
        </is>
      </c>
      <c r="M713" s="4" t="inlineStr">
        <is>
          <t>[{"ingredient_id": "egg", "name": "Egg, large (50 g each)", "grams": 300.0, "note": ""}, {"ingredient_id": "spinach", "name": "Spinach", "grams": 100.0, "note": ""}, {"ingredient_id": "feta", "name": "Feta cheese", "grams": 60.0, "note": ""}, {"ingredient_id": "green_onion", "name": "Green onions (scallions)", "grams": 15.0, "note": ""}, {"ingredient_id": "milk", "name": "Milk, 2%", "grams": 40.0, "note": ""}, {"ingredient_id": "dill", "name": "Fresh dill", "grams": 3.0, "note": ""}, {"ingredient_id": "salt", "name": "Salt", "grams": 1.0, "note": ""}]</t>
        </is>
      </c>
      <c r="N713" s="2" t="n">
        <v>106</v>
      </c>
      <c r="O713" s="5" t="n">
        <v>8.5</v>
      </c>
      <c r="P713" s="5" t="n">
        <v>7.1</v>
      </c>
      <c r="Q713" s="5" t="n">
        <v>1.9</v>
      </c>
      <c r="R713" s="5" t="n">
        <v>0.4</v>
      </c>
      <c r="S713" s="5" t="n">
        <v>1.4</v>
      </c>
      <c r="T713" s="2" t="n">
        <v>10</v>
      </c>
      <c r="U713" s="2" t="inlineStr">
        <is>
          <t>low</t>
        </is>
      </c>
      <c r="V713" s="5" t="n">
        <v>0.1</v>
      </c>
      <c r="W713" s="2" t="inlineStr">
        <is>
          <t>low</t>
        </is>
      </c>
      <c r="X713" s="3" t="inlineStr">
        <is>
          <t>Negligible carbohydrate (&lt;5 g net/serving): GI has little practical meaning, glycemic load is what matters.</t>
        </is>
      </c>
      <c r="Y713" s="3" t="inlineStr">
        <is>
          <t>22% of this dish's available carbohydrate comes from ingredients with a published, measured GI; the rest uses conventional placeholders (see Ingredients sheet)</t>
        </is>
      </c>
      <c r="Z713" s="2" t="n">
        <v>22</v>
      </c>
      <c r="AA713" s="3" t="inlineStr">
        <is>
          <t>vegetarian, gluten-free, nut-free, low-carb, make-ahead</t>
        </is>
      </c>
      <c r="AB713" s="3" t="inlineStr">
        <is>
          <t>1. Whisk eggs, milk, salt; stir in spinach, feta, green onion, dill.
2. Pour into oiled mini muffin cups.
3. Bake at 350°F 15–18 minutes.</t>
        </is>
      </c>
      <c r="AC713" s="4" t="inlineStr">
        <is>
          <t>["Whisk eggs, milk, salt; stir in spinach, feta, green onion, dill.", "Pour into oiled mini muffin cups.", "Bake at 350°F 15–18 minutes."]</t>
        </is>
      </c>
    </row>
    <row r="714" ht="96" customHeight="1">
      <c r="A714" s="2" t="inlineStr">
        <is>
          <t>DB-0713</t>
        </is>
      </c>
      <c r="B714" s="3" t="inlineStr">
        <is>
          <t>Cheese-Stuffed Olives &amp; Cucumber Plate</t>
        </is>
      </c>
      <c r="C714" s="4" t="inlineStr">
        <is>
          <t>Snack &amp; Appetizer</t>
        </is>
      </c>
      <c r="D714" s="4" t="inlineStr">
        <is>
          <t>Mediterranean</t>
        </is>
      </c>
      <c r="E714" s="2" t="n">
        <v>2</v>
      </c>
      <c r="F714" s="2" t="n">
        <v>5</v>
      </c>
      <c r="G714" s="2" t="n">
        <v>0</v>
      </c>
      <c r="H714" s="2" t="n">
        <v>5</v>
      </c>
      <c r="I714" s="4" t="inlineStr">
        <is>
          <t>cheese-stuffed-olives-and-cucumber-plate.jpg</t>
        </is>
      </c>
      <c r="J714" s="3" t="inlineStr">
        <is>
          <t>Cheese-Stuffed Olives &amp; Cucumber Plate, healthy food photography, plated, natural light</t>
        </is>
      </c>
      <c r="K714" s="4" t="inlineStr"/>
      <c r="L714" s="3" t="inlineStr">
        <is>
          <t>Olives (kalamata/green) — 60 g (2.1 oz)
Feta cheese — 40 g (1.4 oz)
Cucumber — 150 g (5.3 oz)
Cherry tomatoes — 100 g (3.5 oz)
Extra-virgin olive oil — 6 g (0.2 oz)
Dried oregano — 1 g (0.0 oz)</t>
        </is>
      </c>
      <c r="M714" s="4" t="inlineStr">
        <is>
          <t>[{"ingredient_id": "olives", "name": "Olives (kalamata/green)", "grams": 60.0, "note": ""}, {"ingredient_id": "feta", "name": "Feta cheese", "grams": 40.0, "note": ""}, {"ingredient_id": "cucumber", "name": "Cucumber", "grams": 150.0, "note": ""}, {"ingredient_id": "cherry_tomato", "name": "Cherry tomatoes", "grams": 100.0, "note": ""}, {"ingredient_id": "olive_oil", "name": "Extra-virgin olive oil", "grams": 6.0, "note": ""}, {"ingredient_id": "oregano", "name": "Dried oregano", "grams": 1.0, "note": ""}]</t>
        </is>
      </c>
      <c r="N714" s="2" t="n">
        <v>135</v>
      </c>
      <c r="O714" s="5" t="n">
        <v>4.1</v>
      </c>
      <c r="P714" s="5" t="n">
        <v>10.7</v>
      </c>
      <c r="Q714" s="5" t="n">
        <v>7.6</v>
      </c>
      <c r="R714" s="5" t="n">
        <v>2.1</v>
      </c>
      <c r="S714" s="5" t="n">
        <v>5.4</v>
      </c>
      <c r="T714" s="2" t="n">
        <v>13</v>
      </c>
      <c r="U714" s="2" t="inlineStr">
        <is>
          <t>low</t>
        </is>
      </c>
      <c r="V714" s="5" t="n">
        <v>0.7</v>
      </c>
      <c r="W714" s="2" t="inlineStr">
        <is>
          <t>low</t>
        </is>
      </c>
      <c r="X714" s="3" t="inlineStr"/>
      <c r="Y714" s="3" t="inlineStr">
        <is>
          <t>0% of this dish's available carbohydrate comes from ingredients with a published, measured GI; the rest uses conventional placeholders (see Ingredients sheet)</t>
        </is>
      </c>
      <c r="Z714" s="2" t="n">
        <v>0</v>
      </c>
      <c r="AA714" s="3" t="inlineStr">
        <is>
          <t>vegetarian, gluten-free, nut-free, low-carb, no-cook, quick</t>
        </is>
      </c>
      <c r="AB714" s="3" t="inlineStr">
        <is>
          <t>1. Arrange olives, feta, cucumber and tomato on a plate.
2. Drizzle oil.
3. Oregano.</t>
        </is>
      </c>
      <c r="AC714" s="4" t="inlineStr">
        <is>
          <t>["Arrange olives, feta, cucumber and tomato on a plate.", "Drizzle oil.", "Oregano."]</t>
        </is>
      </c>
    </row>
    <row r="715" ht="96" customHeight="1">
      <c r="A715" s="2" t="inlineStr">
        <is>
          <t>DB-0714</t>
        </is>
      </c>
      <c r="B715" s="3" t="inlineStr">
        <is>
          <t>Peanut Butter Celery Boats with Hemp</t>
        </is>
      </c>
      <c r="C715" s="4" t="inlineStr">
        <is>
          <t>Snack &amp; Appetizer</t>
        </is>
      </c>
      <c r="D715" s="4" t="inlineStr">
        <is>
          <t>American</t>
        </is>
      </c>
      <c r="E715" s="2" t="n">
        <v>2</v>
      </c>
      <c r="F715" s="2" t="n">
        <v>5</v>
      </c>
      <c r="G715" s="2" t="n">
        <v>0</v>
      </c>
      <c r="H715" s="2" t="n">
        <v>5</v>
      </c>
      <c r="I715" s="4" t="inlineStr">
        <is>
          <t>peanut-butter-celery-boats-with-hemp.jpg</t>
        </is>
      </c>
      <c r="J715" s="3" t="inlineStr">
        <is>
          <t>Peanut Butter Celery Boats with Hemp, healthy food photography, plated, natural light</t>
        </is>
      </c>
      <c r="K715" s="4" t="inlineStr"/>
      <c r="L715" s="3" t="inlineStr">
        <is>
          <t>Celery — 200 g (7.1 oz)
Peanut butter, natural — 30 g (1.1 oz)
Hemp seeds — 8 g (0.3 oz)
Ground cinnamon — 0.5 g (0.0 oz)</t>
        </is>
      </c>
      <c r="M715" s="4" t="inlineStr">
        <is>
          <t>[{"ingredient_id": "celery", "name": "Celery", "grams": 200.0, "note": ""}, {"ingredient_id": "peanut_butter", "name": "Peanut butter, natural", "grams": 30.0, "note": ""}, {"ingredient_id": "hemp_seeds", "name": "Hemp seeds", "grams": 8.0, "note": ""}, {"ingredient_id": "cinnamon", "name": "Ground cinnamon", "grams": 0.5, "note": ""}]</t>
        </is>
      </c>
      <c r="N715" s="2" t="n">
        <v>127</v>
      </c>
      <c r="O715" s="5" t="n">
        <v>5.7</v>
      </c>
      <c r="P715" s="5" t="n">
        <v>9.699999999999999</v>
      </c>
      <c r="Q715" s="5" t="n">
        <v>6.6</v>
      </c>
      <c r="R715" s="5" t="n">
        <v>2.8</v>
      </c>
      <c r="S715" s="5" t="n">
        <v>3.8</v>
      </c>
      <c r="T715" s="2" t="n">
        <v>14</v>
      </c>
      <c r="U715" s="2" t="inlineStr">
        <is>
          <t>low</t>
        </is>
      </c>
      <c r="V715" s="5" t="n">
        <v>0.5</v>
      </c>
      <c r="W715" s="2" t="inlineStr">
        <is>
          <t>low</t>
        </is>
      </c>
      <c r="X715" s="3" t="inlineStr">
        <is>
          <t>Negligible carbohydrate (&lt;5 g net/serving): GI has little practical meaning, glycemic load is what matters.</t>
        </is>
      </c>
      <c r="Y715" s="3" t="inlineStr">
        <is>
          <t>0% of this dish's available carbohydrate comes from ingredients with a published, measured GI; the rest uses conventional placeholders (see Ingredients sheet)</t>
        </is>
      </c>
      <c r="Z715" s="2" t="n">
        <v>0</v>
      </c>
      <c r="AA715" s="3" t="inlineStr">
        <is>
          <t>vegan, gluten-free, dairy-free, low-carb, no-cook, quick</t>
        </is>
      </c>
      <c r="AB715" s="3" t="inlineStr">
        <is>
          <t>1. Cut celery into boats.
2. Fill with peanut butter.
3. Hemp seeds, cinnamon.</t>
        </is>
      </c>
      <c r="AC715" s="4" t="inlineStr">
        <is>
          <t>["Cut celery into boats.", "Fill with peanut butter.", "Hemp seeds, cinnamon."]</t>
        </is>
      </c>
    </row>
    <row r="716" ht="96" customHeight="1">
      <c r="A716" s="2" t="inlineStr">
        <is>
          <t>DB-0715</t>
        </is>
      </c>
      <c r="B716" s="3" t="inlineStr">
        <is>
          <t>Greek Yogurt Tzatziki with Veggie Sticks</t>
        </is>
      </c>
      <c r="C716" s="4" t="inlineStr">
        <is>
          <t>Snack &amp; Appetizer</t>
        </is>
      </c>
      <c r="D716" s="4" t="inlineStr">
        <is>
          <t>Greek</t>
        </is>
      </c>
      <c r="E716" s="2" t="n">
        <v>4</v>
      </c>
      <c r="F716" s="2" t="n">
        <v>10</v>
      </c>
      <c r="G716" s="2" t="n">
        <v>0</v>
      </c>
      <c r="H716" s="2" t="n">
        <v>10</v>
      </c>
      <c r="I716" s="4" t="inlineStr">
        <is>
          <t>greek-yogurt-tzatziki-with-veggie-sticks.jpg</t>
        </is>
      </c>
      <c r="J716" s="3" t="inlineStr">
        <is>
          <t>Greek Yogurt Tzatziki with Veggie Sticks, healthy food photography, plated, natural light</t>
        </is>
      </c>
      <c r="K716" s="4" t="inlineStr"/>
      <c r="L716" s="3" t="inlineStr">
        <is>
          <t>Greek yogurt, plain 2% — 250 g (8.8 oz)
Cucumber — 150 g (5.3 oz)
Garlic — 4 g (0.1 oz)
Fresh dill — 6 g (0.2 oz)
Lemon juice — 10 g (0.4 oz)
Extra-virgin olive oil — 8 g (0.3 oz)
Carrot — 150 g (5.3 oz)
Bell pepper — 150 g (5.3 oz)
Celery — 100 g (3.5 oz)
Salt — 1 g (0.0 oz)</t>
        </is>
      </c>
      <c r="M716" s="4" t="inlineStr">
        <is>
          <t>[{"ingredient_id": "greek_yogurt", "name": "Greek yogurt, plain 2%", "grams": 250.0, "note": ""}, {"ingredient_id": "cucumber", "name": "Cucumber", "grams": 150.0, "note": ""}, {"ingredient_id": "garlic", "name": "Garlic", "grams": 4.0, "note": ""}, {"ingredient_id": "dill", "name": "Fresh dill", "grams": 6.0, "note": ""}, {"ingredient_id": "lemon_juice", "name": "Lemon juice", "grams": 10.0, "note": ""}, {"ingredient_id": "olive_oil", "name": "Extra-virgin olive oil", "grams": 8.0, "note": ""}, {"ingredient_id": "carrot", "name": "Carrot", "grams": 150.0, "note": ""}, {"ingredient_id": "bell_pepper", "name": "Bell pepper", "grams": 150.0, "note": ""}, {"ingredient_id": "celery", "name": "Celery", "grams": 100.0, "note": ""}, {"ingredient_id": "salt", "name": "Salt", "grams": 1.0, "note": ""}]</t>
        </is>
      </c>
      <c r="N716" s="2" t="n">
        <v>103</v>
      </c>
      <c r="O716" s="5" t="n">
        <v>7.5</v>
      </c>
      <c r="P716" s="5" t="n">
        <v>3.6</v>
      </c>
      <c r="Q716" s="5" t="n">
        <v>11.1</v>
      </c>
      <c r="R716" s="5" t="n">
        <v>2.5</v>
      </c>
      <c r="S716" s="5" t="n">
        <v>8.6</v>
      </c>
      <c r="T716" s="2" t="n">
        <v>22</v>
      </c>
      <c r="U716" s="2" t="inlineStr">
        <is>
          <t>low</t>
        </is>
      </c>
      <c r="V716" s="5" t="n">
        <v>1.9</v>
      </c>
      <c r="W716" s="2" t="inlineStr">
        <is>
          <t>low</t>
        </is>
      </c>
      <c r="X716" s="3" t="inlineStr"/>
      <c r="Y716" s="3" t="inlineStr">
        <is>
          <t>59% of this dish's available carbohydrate comes from ingredients with a published, measured GI; the rest uses conventional placeholders (see Ingredients sheet)</t>
        </is>
      </c>
      <c r="Z716" s="2" t="n">
        <v>59</v>
      </c>
      <c r="AA716" s="3" t="inlineStr">
        <is>
          <t>vegetarian, gluten-free, nut-free, low-carb, no-cook</t>
        </is>
      </c>
      <c r="AB716" s="3" t="inlineStr">
        <is>
          <t>1. Grate cucumber; squeeze dry.
2. Mix with yogurt, garlic, dill, lemon, oil, salt.
3. Serve with vegetable sticks.</t>
        </is>
      </c>
      <c r="AC716" s="4" t="inlineStr">
        <is>
          <t>["Grate cucumber; squeeze dry.", "Mix with yogurt, garlic, dill, lemon, oil, salt.", "Serve with vegetable sticks."]</t>
        </is>
      </c>
    </row>
    <row r="717" ht="96" customHeight="1">
      <c r="A717" s="2" t="inlineStr">
        <is>
          <t>DB-0716</t>
        </is>
      </c>
      <c r="B717" s="3" t="inlineStr">
        <is>
          <t>Roasted Seaweed Tuna Salad Cups</t>
        </is>
      </c>
      <c r="C717" s="4" t="inlineStr">
        <is>
          <t>Snack &amp; Appetizer</t>
        </is>
      </c>
      <c r="D717" s="4" t="inlineStr">
        <is>
          <t>Japanese</t>
        </is>
      </c>
      <c r="E717" s="2" t="n">
        <v>2</v>
      </c>
      <c r="F717" s="2" t="n">
        <v>8</v>
      </c>
      <c r="G717" s="2" t="n">
        <v>0</v>
      </c>
      <c r="H717" s="2" t="n">
        <v>8</v>
      </c>
      <c r="I717" s="4" t="inlineStr">
        <is>
          <t>roasted-seaweed-tuna-salad-cups.jpg</t>
        </is>
      </c>
      <c r="J717" s="3" t="inlineStr">
        <is>
          <t>Roasted Seaweed Tuna Salad Cups, healthy food photography, plated, natural light</t>
        </is>
      </c>
      <c r="K717" s="4" t="inlineStr"/>
      <c r="L717" s="3" t="inlineStr">
        <is>
          <t>Tuna, canned in water — 120 g (4.2 oz)
Mayonnaise (avocado oil) — 12 g (0.4 oz)
Sriracha — 4 g (0.1 oz)
Green onions (scallions) — 8 g (0.3 oz)
Nori seaweed sheets — 6 g (0.2 oz)
Cucumber — 60 g (2.1 oz)</t>
        </is>
      </c>
      <c r="M717" s="4" t="inlineStr">
        <is>
          <t>[{"ingredient_id": "tuna_canned", "name": "Tuna, canned in water", "grams": 120.0, "note": ""}, {"ingredient_id": "mayo", "name": "Mayonnaise (avocado oil)", "grams": 12.0, "note": ""}, {"ingredient_id": "sriracha", "name": "Sriracha", "grams": 4.0, "note": ""}, {"ingredient_id": "green_onion", "name": "Green onions (scallions)", "grams": 8.0, "note": ""}, {"ingredient_id": "nori", "name": "Nori seaweed sheets", "grams": 6.0, "note": ""}, {"ingredient_id": "cucumber", "name": "Cucumber", "grams": 60.0, "note": ""}]</t>
        </is>
      </c>
      <c r="N717" s="2" t="n">
        <v>120</v>
      </c>
      <c r="O717" s="5" t="n">
        <v>16.1</v>
      </c>
      <c r="P717" s="5" t="n">
        <v>5.3</v>
      </c>
      <c r="Q717" s="5" t="n">
        <v>1.9</v>
      </c>
      <c r="R717" s="5" t="n">
        <v>0.3</v>
      </c>
      <c r="S717" s="5" t="n">
        <v>1.6</v>
      </c>
      <c r="T717" s="2" t="n">
        <v>19</v>
      </c>
      <c r="U717" s="2" t="inlineStr">
        <is>
          <t>low</t>
        </is>
      </c>
      <c r="V717" s="5" t="n">
        <v>0.3</v>
      </c>
      <c r="W717" s="2" t="inlineStr">
        <is>
          <t>low</t>
        </is>
      </c>
      <c r="X717" s="3" t="inlineStr">
        <is>
          <t>Negligible carbohydrate (&lt;5 g net/serving): GI has little practical meaning, glycemic load is what matters.</t>
        </is>
      </c>
      <c r="Y717" s="3" t="inlineStr">
        <is>
          <t>0% of this dish's available carbohydrate comes from ingredients with a published, measured GI; the rest uses conventional placeholders (see Ingredients sheet)</t>
        </is>
      </c>
      <c r="Z717" s="2" t="n">
        <v>0</v>
      </c>
      <c r="AA717" s="3" t="inlineStr">
        <is>
          <t>pescatarian, gluten-free, dairy-free, nut-free, low-carb, no-cook, quick</t>
        </is>
      </c>
      <c r="AB717" s="3" t="inlineStr">
        <is>
          <t>1. Mix tuna, mayo, sriracha, green onion.
2. Spoon onto seaweed sheets with cucumber.
3. Fold and eat.</t>
        </is>
      </c>
      <c r="AC717" s="4" t="inlineStr">
        <is>
          <t>["Mix tuna, mayo, sriracha, green onion.", "Spoon onto seaweed sheets with cucumber.", "Fold and eat."]</t>
        </is>
      </c>
    </row>
    <row r="718" ht="96" customHeight="1">
      <c r="A718" s="2" t="inlineStr">
        <is>
          <t>DB-0717</t>
        </is>
      </c>
      <c r="B718" s="3" t="inlineStr">
        <is>
          <t>Cottage Cheese Protein Bowl with Pistachios</t>
        </is>
      </c>
      <c r="C718" s="4" t="inlineStr">
        <is>
          <t>Snack &amp; Appetizer</t>
        </is>
      </c>
      <c r="D718" s="4" t="inlineStr">
        <is>
          <t>American</t>
        </is>
      </c>
      <c r="E718" s="2" t="n">
        <v>1</v>
      </c>
      <c r="F718" s="2" t="n">
        <v>3</v>
      </c>
      <c r="G718" s="2" t="n">
        <v>0</v>
      </c>
      <c r="H718" s="2" t="n">
        <v>3</v>
      </c>
      <c r="I718" s="4" t="inlineStr">
        <is>
          <t>cottage-cheese-protein-bowl-with-pistachios.jpg</t>
        </is>
      </c>
      <c r="J718" s="3" t="inlineStr">
        <is>
          <t>Cottage Cheese Protein Bowl with Pistachios, healthy food photography, plated, natural light</t>
        </is>
      </c>
      <c r="K718" s="4" t="inlineStr"/>
      <c r="L718" s="3" t="inlineStr">
        <is>
          <t>Cottage cheese, low-fat — 170 g (6.0 oz)
Pistachios, shelled — 15 g (0.5 oz)
Blackberries — 60 g (2.1 oz)
Ground cinnamon — 0.5 g (0.0 oz)</t>
        </is>
      </c>
      <c r="M718" s="4" t="inlineStr">
        <is>
          <t>[{"ingredient_id": "cottage_cheese", "name": "Cottage cheese, low-fat", "grams": 170.0, "note": ""}, {"ingredient_id": "pistachios", "name": "Pistachios, shelled", "grams": 15.0, "note": ""}, {"ingredient_id": "blackberries", "name": "Blackberries", "grams": 60.0, "note": ""}, {"ingredient_id": "cinnamon", "name": "Ground cinnamon", "grams": 0.5, "note": ""}]</t>
        </is>
      </c>
      <c r="N718" s="2" t="n">
        <v>254</v>
      </c>
      <c r="O718" s="5" t="n">
        <v>22.6</v>
      </c>
      <c r="P718" s="5" t="n">
        <v>11</v>
      </c>
      <c r="Q718" s="5" t="n">
        <v>17.7</v>
      </c>
      <c r="R718" s="5" t="n">
        <v>5</v>
      </c>
      <c r="S718" s="5" t="n">
        <v>12.6</v>
      </c>
      <c r="T718" s="2" t="n">
        <v>17</v>
      </c>
      <c r="U718" s="2" t="inlineStr">
        <is>
          <t>low</t>
        </is>
      </c>
      <c r="V718" s="5" t="n">
        <v>2.1</v>
      </c>
      <c r="W718" s="2" t="inlineStr">
        <is>
          <t>low</t>
        </is>
      </c>
      <c r="X718" s="3" t="inlineStr"/>
      <c r="Y718" s="3" t="inlineStr">
        <is>
          <t>21% of this dish's available carbohydrate comes from ingredients with a published, measured GI; the rest uses conventional placeholders (see Ingredients sheet)</t>
        </is>
      </c>
      <c r="Z718" s="2" t="n">
        <v>21</v>
      </c>
      <c r="AA718" s="3" t="inlineStr">
        <is>
          <t>vegetarian, gluten-free, low-carb, no-cook, quick</t>
        </is>
      </c>
      <c r="AB718" s="3" t="inlineStr">
        <is>
          <t>1. Bowl the cottage cheese.
2. Top berries and pistachios.
3. Cinnamon.</t>
        </is>
      </c>
      <c r="AC718" s="4" t="inlineStr">
        <is>
          <t>["Bowl the cottage cheese.", "Top berries and pistachios.", "Cinnamon."]</t>
        </is>
      </c>
    </row>
    <row r="719" ht="96" customHeight="1">
      <c r="A719" s="2" t="inlineStr">
        <is>
          <t>DB-0718</t>
        </is>
      </c>
      <c r="B719" s="3" t="inlineStr">
        <is>
          <t>Herbed White Bean Dip with Crudités</t>
        </is>
      </c>
      <c r="C719" s="4" t="inlineStr">
        <is>
          <t>Snack &amp; Appetizer</t>
        </is>
      </c>
      <c r="D719" s="4" t="inlineStr">
        <is>
          <t>Italian</t>
        </is>
      </c>
      <c r="E719" s="2" t="n">
        <v>6</v>
      </c>
      <c r="F719" s="2" t="n">
        <v>10</v>
      </c>
      <c r="G719" s="2" t="n">
        <v>0</v>
      </c>
      <c r="H719" s="2" t="n">
        <v>10</v>
      </c>
      <c r="I719" s="4" t="inlineStr">
        <is>
          <t>herbed-white-bean-dip-with-crudit-s.jpg</t>
        </is>
      </c>
      <c r="J719" s="3" t="inlineStr">
        <is>
          <t>Herbed White Bean Dip with Crudités, healthy food photography, plated, natural light</t>
        </is>
      </c>
      <c r="K719" s="4" t="inlineStr"/>
      <c r="L719" s="3" t="inlineStr">
        <is>
          <t>Cannellini beans, cooked — 400 g (14.1 oz)
Extra-virgin olive oil — 30 g (1.1 oz)
Lemon juice — 25 g (0.9 oz)
Garlic — 5 g (0.2 oz)
Fresh rosemary — 2 g (0.1 oz)
Fresh parsley — 6 g (0.2 oz)
Carrot — 150 g (5.3 oz)
Cucumber — 150 g (5.3 oz)
Bell pepper — 150 g (5.3 oz)
Salt — 2 g (0.1 oz)</t>
        </is>
      </c>
      <c r="M719" s="4" t="inlineStr">
        <is>
          <t>[{"ingredient_id": "white_beans", "name": "Cannellini beans, cooked", "grams": 400.0, "note": ""}, {"ingredient_id": "olive_oil", "name": "Extra-virgin olive oil", "grams": 30.0, "note": ""}, {"ingredient_id": "lemon_juice", "name": "Lemon juice", "grams": 25.0, "note": ""}, {"ingredient_id": "garlic", "name": "Garlic", "grams": 5.0, "note": ""}, {"ingredient_id": "rosemary", "name": "Fresh rosemary", "grams": 2.0, "note": ""}, {"ingredient_id": "parsley", "name": "Fresh parsley", "grams": 6.0, "note": ""}, {"ingredient_id": "carrot", "name": "Carrot", "grams": 150.0, "note": ""}, {"ingredient_id": "cucumber", "name": "Cucumber", "grams": 150.0, "note": ""}, {"ingredient_id": "bell_pepper", "name": "Bell pepper", "grams": 150.0, "note": ""}, {"ingredient_id": "salt", "name": "Salt", "grams": 2.0, "note": ""}]</t>
        </is>
      </c>
      <c r="N719" s="2" t="n">
        <v>162</v>
      </c>
      <c r="O719" s="5" t="n">
        <v>7.2</v>
      </c>
      <c r="P719" s="5" t="n">
        <v>5.5</v>
      </c>
      <c r="Q719" s="5" t="n">
        <v>22.2</v>
      </c>
      <c r="R719" s="5" t="n">
        <v>5.7</v>
      </c>
      <c r="S719" s="5" t="n">
        <v>16.5</v>
      </c>
      <c r="T719" s="2" t="n">
        <v>30</v>
      </c>
      <c r="U719" s="2" t="inlineStr">
        <is>
          <t>low</t>
        </is>
      </c>
      <c r="V719" s="5" t="n">
        <v>5</v>
      </c>
      <c r="W719" s="2" t="inlineStr">
        <is>
          <t>low</t>
        </is>
      </c>
      <c r="X719" s="3" t="inlineStr"/>
      <c r="Y719" s="3" t="inlineStr">
        <is>
          <t>86% of this dish's available carbohydrate comes from ingredients with a published, measured GI; the rest uses conventional placeholders (see Ingredients sheet)</t>
        </is>
      </c>
      <c r="Z719" s="2" t="n">
        <v>86</v>
      </c>
      <c r="AA719" s="3" t="inlineStr">
        <is>
          <t>vegan, gluten-free, dairy-free, nut-free, no-cook, make-ahead</t>
        </is>
      </c>
      <c r="AB719" s="3" t="inlineStr">
        <is>
          <t>1. Blend beans, oil, lemon, garlic, rosemary, salt.
2. Top parsley and extra oil.
3. Serve with vegetables.</t>
        </is>
      </c>
      <c r="AC719" s="4" t="inlineStr">
        <is>
          <t>["Blend beans, oil, lemon, garlic, rosemary, salt.", "Top parsley and extra oil.", "Serve with vegetables."]</t>
        </is>
      </c>
    </row>
    <row r="720" ht="96" customHeight="1">
      <c r="A720" s="2" t="inlineStr">
        <is>
          <t>DB-0719</t>
        </is>
      </c>
      <c r="B720" s="3" t="inlineStr">
        <is>
          <t>Mini Caprese Egg Bites</t>
        </is>
      </c>
      <c r="C720" s="4" t="inlineStr">
        <is>
          <t>Snack &amp; Appetizer</t>
        </is>
      </c>
      <c r="D720" s="4" t="inlineStr">
        <is>
          <t>Italian</t>
        </is>
      </c>
      <c r="E720" s="2" t="n">
        <v>6</v>
      </c>
      <c r="F720" s="2" t="n">
        <v>10</v>
      </c>
      <c r="G720" s="2" t="n">
        <v>18</v>
      </c>
      <c r="H720" s="2" t="n">
        <v>28</v>
      </c>
      <c r="I720" s="4" t="inlineStr">
        <is>
          <t>mini-caprese-egg-bites.jpg</t>
        </is>
      </c>
      <c r="J720" s="3" t="inlineStr">
        <is>
          <t>Mini Caprese Egg Bites, healthy food photography, plated, natural light</t>
        </is>
      </c>
      <c r="K720" s="4" t="inlineStr"/>
      <c r="L720" s="3" t="inlineStr">
        <is>
          <t>Egg, large (50 g each) — 300 g (10.6 oz)
Cherry tomatoes — 120 g (4.2 oz)
Mozzarella, part-skim — 80 g (2.8 oz)
Fresh basil — 8 g (0.3 oz)
Milk, 2% — 40 g (1.4 oz)
Salt — 1 g (0.0 oz)</t>
        </is>
      </c>
      <c r="M720" s="4" t="inlineStr">
        <is>
          <t>[{"ingredient_id": "egg", "name": "Egg, large (50 g each)", "grams": 300.0, "note": ""}, {"ingredient_id": "cherry_tomato", "name": "Cherry tomatoes", "grams": 120.0, "note": ""}, {"ingredient_id": "mozzarella", "name": "Mozzarella, part-skim", "grams": 80.0, "note": ""}, {"ingredient_id": "basil", "name": "Fresh basil", "grams": 8.0, "note": ""}, {"ingredient_id": "milk", "name": "Milk, 2%", "grams": 40.0, "note": ""}, {"ingredient_id": "salt", "name": "Salt", "grams": 1.0, "note": ""}]</t>
        </is>
      </c>
      <c r="N720" s="2" t="n">
        <v>113</v>
      </c>
      <c r="O720" s="5" t="n">
        <v>9.9</v>
      </c>
      <c r="P720" s="5" t="n">
        <v>7.1</v>
      </c>
      <c r="Q720" s="5" t="n">
        <v>1.9</v>
      </c>
      <c r="R720" s="5" t="n">
        <v>0.3</v>
      </c>
      <c r="S720" s="5" t="n">
        <v>1.6</v>
      </c>
      <c r="T720" s="2" t="n">
        <v>10</v>
      </c>
      <c r="U720" s="2" t="inlineStr">
        <is>
          <t>low</t>
        </is>
      </c>
      <c r="V720" s="5" t="n">
        <v>0.2</v>
      </c>
      <c r="W720" s="2" t="inlineStr">
        <is>
          <t>low</t>
        </is>
      </c>
      <c r="X720" s="3" t="inlineStr">
        <is>
          <t>Negligible carbohydrate (&lt;5 g net/serving): GI has little practical meaning, glycemic load is what matters.</t>
        </is>
      </c>
      <c r="Y720" s="3" t="inlineStr">
        <is>
          <t>20% of this dish's available carbohydrate comes from ingredients with a published, measured GI; the rest uses conventional placeholders (see Ingredients sheet)</t>
        </is>
      </c>
      <c r="Z720" s="2" t="n">
        <v>20</v>
      </c>
      <c r="AA720" s="3" t="inlineStr">
        <is>
          <t>vegetarian, gluten-free, nut-free, low-carb, make-ahead</t>
        </is>
      </c>
      <c r="AB720" s="3" t="inlineStr">
        <is>
          <t>1. Whisk eggs, milk, salt.
2. Divide tomato, mozzarella, basil into mini muffin cups; pour eggs.
3. Bake at 350°F 15–18 minutes.</t>
        </is>
      </c>
      <c r="AC720" s="4" t="inlineStr">
        <is>
          <t>["Whisk eggs, milk, salt.", "Divide tomato, mozzarella, basil into mini muffin cups; pour eggs.", "Bake at 350°F 15–18 minutes."]</t>
        </is>
      </c>
    </row>
    <row r="721" ht="96" customHeight="1">
      <c r="A721" s="2" t="inlineStr">
        <is>
          <t>DB-0720</t>
        </is>
      </c>
      <c r="B721" s="3" t="inlineStr">
        <is>
          <t>Spiced Walnuts</t>
        </is>
      </c>
      <c r="C721" s="4" t="inlineStr">
        <is>
          <t>Snack &amp; Appetizer</t>
        </is>
      </c>
      <c r="D721" s="4" t="inlineStr">
        <is>
          <t>American</t>
        </is>
      </c>
      <c r="E721" s="2" t="n">
        <v>6</v>
      </c>
      <c r="F721" s="2" t="n">
        <v>5</v>
      </c>
      <c r="G721" s="2" t="n">
        <v>12</v>
      </c>
      <c r="H721" s="2" t="n">
        <v>17</v>
      </c>
      <c r="I721" s="4" t="inlineStr">
        <is>
          <t>spiced-walnuts.jpg</t>
        </is>
      </c>
      <c r="J721" s="3" t="inlineStr">
        <is>
          <t>Spiced Walnuts, healthy food photography, plated, natural light</t>
        </is>
      </c>
      <c r="K721" s="4" t="inlineStr"/>
      <c r="L721" s="3" t="inlineStr">
        <is>
          <t>Walnuts — 200 g (7.1 oz)
Extra-virgin olive oil — 8 g (0.3 oz)
Smoked paprika — 3 g (0.1 oz)
Ground cumin — 2 g (0.1 oz)
Cayenne pepper — 0.5 g (0.0 oz)
Salt — 2 g (0.1 oz)
Monk fruit/erythritol sweetener — 6 g (0.2 oz)</t>
        </is>
      </c>
      <c r="M721" s="4" t="inlineStr">
        <is>
          <t>[{"ingredient_id": "walnuts", "name": "Walnuts", "grams": 200.0, "note": ""}, {"ingredient_id": "olive_oil", "name": "Extra-virgin olive oil", "grams": 8.0, "note": ""}, {"ingredient_id": "smoked_paprika", "name": "Smoked paprika", "grams": 3.0, "note": ""}, {"ingredient_id": "cumin", "name": "Ground cumin", "grams": 2.0, "note": ""}, {"ingredient_id": "cayenne", "name": "Cayenne pepper", "grams": 0.5, "note": ""}, {"ingredient_id": "salt", "name": "Salt", "grams": 2.0, "note": ""}, {"ingredient_id": "monk_fruit_sweetener", "name": "Monk fruit/erythritol sweetener", "grams": 6.0, "note": ""}]</t>
        </is>
      </c>
      <c r="N721" s="2" t="n">
        <v>233</v>
      </c>
      <c r="O721" s="5" t="n">
        <v>5.1</v>
      </c>
      <c r="P721" s="5" t="n">
        <v>23.2</v>
      </c>
      <c r="Q721" s="5" t="n">
        <v>5.1</v>
      </c>
      <c r="R721" s="5" t="n">
        <v>2.5</v>
      </c>
      <c r="S721" s="5" t="n">
        <v>2.7</v>
      </c>
      <c r="T721" s="2" t="n">
        <v>15</v>
      </c>
      <c r="U721" s="2" t="inlineStr">
        <is>
          <t>low</t>
        </is>
      </c>
      <c r="V721" s="5" t="n">
        <v>0.4</v>
      </c>
      <c r="W721" s="2" t="inlineStr">
        <is>
          <t>low</t>
        </is>
      </c>
      <c r="X721" s="3" t="inlineStr">
        <is>
          <t>Negligible carbohydrate (&lt;5 g net/serving): GI has little practical meaning, glycemic load is what matters.</t>
        </is>
      </c>
      <c r="Y721" s="3" t="inlineStr">
        <is>
          <t>0% of this dish's available carbohydrate comes from ingredients with a published, measured GI; the rest uses conventional placeholders (see Ingredients sheet)</t>
        </is>
      </c>
      <c r="Z721" s="2" t="n">
        <v>0</v>
      </c>
      <c r="AA721" s="3" t="inlineStr">
        <is>
          <t>vegan, gluten-free, dairy-free, low-carb, make-ahead</t>
        </is>
      </c>
      <c r="AB721" s="3" t="inlineStr">
        <is>
          <t>1. Toss walnuts with oil, spices, sweetener, salt.
2. Roast at 350°F 10–12 minutes.
3. Cool.</t>
        </is>
      </c>
      <c r="AC721" s="4" t="inlineStr">
        <is>
          <t>["Toss walnuts with oil, spices, sweetener, salt.", "Roast at 350°F 10–12 minutes.", "Cool."]</t>
        </is>
      </c>
    </row>
    <row r="722" ht="96" customHeight="1">
      <c r="A722" s="2" t="inlineStr">
        <is>
          <t>DB-0721</t>
        </is>
      </c>
      <c r="B722" s="3" t="inlineStr">
        <is>
          <t>Smoked Trout Pâté with Cucumber</t>
        </is>
      </c>
      <c r="C722" s="4" t="inlineStr">
        <is>
          <t>Snack &amp; Appetizer</t>
        </is>
      </c>
      <c r="D722" s="4" t="inlineStr">
        <is>
          <t>Scandinavian</t>
        </is>
      </c>
      <c r="E722" s="2" t="n">
        <v>4</v>
      </c>
      <c r="F722" s="2" t="n">
        <v>10</v>
      </c>
      <c r="G722" s="2" t="n">
        <v>0</v>
      </c>
      <c r="H722" s="2" t="n">
        <v>10</v>
      </c>
      <c r="I722" s="4" t="inlineStr">
        <is>
          <t>smoked-trout-p-t-with-cucumber.jpg</t>
        </is>
      </c>
      <c r="J722" s="3" t="inlineStr">
        <is>
          <t>Smoked Trout Pâté with Cucumber, healthy food photography, plated, natural light</t>
        </is>
      </c>
      <c r="K722" s="4" t="inlineStr"/>
      <c r="L722" s="3" t="inlineStr">
        <is>
          <t>Rainbow trout fillet — 200 g (7.1 oz) [smoked]
Cream cheese — 80 g (2.8 oz)
Greek yogurt, plain 2% — 60 g (2.1 oz)
Lemon juice — 15 g (0.5 oz)
Fresh dill — 6 g (0.2 oz)
Fresh chives — 4 g (0.1 oz)
Cucumber — 300 g (10.6 oz)
Black pepper — 1 g (0.0 oz)</t>
        </is>
      </c>
      <c r="M722" s="4" t="inlineStr">
        <is>
          <t>[{"ingredient_id": "trout", "name": "Rainbow trout fillet", "grams": 200.0, "note": "smoked"}, {"ingredient_id": "cream_cheese", "name": "Cream cheese", "grams": 80.0, "note": ""}, {"ingredient_id": "greek_yogurt", "name": "Greek yogurt, plain 2%", "grams": 60.0, "note": ""}, {"ingredient_id": "lemon_juice", "name": "Lemon juice", "grams": 15.0, "note": ""}, {"ingredient_id": "dill", "name": "Fresh dill", "grams": 6.0, "note": ""}, {"ingredient_id": "chives", "name": "Fresh chives", "grams": 4.0, "note": ""}, {"ingredient_id": "cucumber", "name": "Cucumber", "grams": 300.0, "note": ""}, {"ingredient_id": "black_pepper", "name": "Black pepper", "grams": 1.0, "note": ""}]</t>
        </is>
      </c>
      <c r="N722" s="2" t="n">
        <v>152</v>
      </c>
      <c r="O722" s="5" t="n">
        <v>13.4</v>
      </c>
      <c r="P722" s="5" t="n">
        <v>9</v>
      </c>
      <c r="Q722" s="5" t="n">
        <v>4.7</v>
      </c>
      <c r="R722" s="5" t="n">
        <v>0.5</v>
      </c>
      <c r="S722" s="5" t="n">
        <v>4.2</v>
      </c>
      <c r="T722" s="2" t="n">
        <v>12</v>
      </c>
      <c r="U722" s="2" t="inlineStr">
        <is>
          <t>low</t>
        </is>
      </c>
      <c r="V722" s="5" t="n">
        <v>0.5</v>
      </c>
      <c r="W722" s="2" t="inlineStr">
        <is>
          <t>low</t>
        </is>
      </c>
      <c r="X722" s="3" t="inlineStr">
        <is>
          <t>Negligible carbohydrate (&lt;5 g net/serving): GI has little practical meaning, glycemic load is what matters.</t>
        </is>
      </c>
      <c r="Y722" s="3" t="inlineStr">
        <is>
          <t>14% of this dish's available carbohydrate comes from ingredients with a published, measured GI; the rest uses conventional placeholders (see Ingredients sheet)</t>
        </is>
      </c>
      <c r="Z722" s="2" t="n">
        <v>14</v>
      </c>
      <c r="AA722" s="3" t="inlineStr">
        <is>
          <t>pescatarian, gluten-free, nut-free, low-carb, no-cook, omega-3</t>
        </is>
      </c>
      <c r="AB722" s="3" t="inlineStr">
        <is>
          <t>1. Blend trout, cream cheese, yogurt, lemon, dill, pepper.
2. Slice cucumber.
3. Serve pâté on cucumber rounds with chives.</t>
        </is>
      </c>
      <c r="AC722" s="4" t="inlineStr">
        <is>
          <t>["Blend trout, cream cheese, yogurt, lemon, dill, pepper.", "Slice cucumber.", "Serve pâté on cucumber rounds with chives."]</t>
        </is>
      </c>
    </row>
    <row r="723" ht="96" customHeight="1">
      <c r="A723" s="2" t="inlineStr">
        <is>
          <t>DB-0722</t>
        </is>
      </c>
      <c r="B723" s="3" t="inlineStr">
        <is>
          <t>Cinnamon Apple Chips (Baked)</t>
        </is>
      </c>
      <c r="C723" s="4" t="inlineStr">
        <is>
          <t>Snack &amp; Appetizer</t>
        </is>
      </c>
      <c r="D723" s="4" t="inlineStr">
        <is>
          <t>American</t>
        </is>
      </c>
      <c r="E723" s="2" t="n">
        <v>3</v>
      </c>
      <c r="F723" s="2" t="n">
        <v>5</v>
      </c>
      <c r="G723" s="2" t="n">
        <v>120</v>
      </c>
      <c r="H723" s="2" t="n">
        <v>125</v>
      </c>
      <c r="I723" s="4" t="inlineStr">
        <is>
          <t>cinnamon-apple-chips-baked.jpg</t>
        </is>
      </c>
      <c r="J723" s="3" t="inlineStr">
        <is>
          <t>Cinnamon Apple Chips (Baked), healthy food photography, plated, natural light</t>
        </is>
      </c>
      <c r="K723" s="4" t="inlineStr"/>
      <c r="L723" s="3" t="inlineStr">
        <is>
          <t>Apple — 400 g (14.1 oz)
Ground cinnamon — 3 g (0.1 oz)</t>
        </is>
      </c>
      <c r="M723" s="4" t="inlineStr">
        <is>
          <t>[{"ingredient_id": "apple", "name": "Apple", "grams": 400.0, "note": ""}, {"ingredient_id": "cinnamon", "name": "Ground cinnamon", "grams": 3.0, "note": ""}]</t>
        </is>
      </c>
      <c r="N723" s="2" t="n">
        <v>72</v>
      </c>
      <c r="O723" s="5" t="n">
        <v>0.4</v>
      </c>
      <c r="P723" s="5" t="n">
        <v>0.3</v>
      </c>
      <c r="Q723" s="5" t="n">
        <v>19.5</v>
      </c>
      <c r="R723" s="5" t="n">
        <v>3.7</v>
      </c>
      <c r="S723" s="5" t="n">
        <v>15.7</v>
      </c>
      <c r="T723" s="2" t="n">
        <v>35</v>
      </c>
      <c r="U723" s="2" t="inlineStr">
        <is>
          <t>low</t>
        </is>
      </c>
      <c r="V723" s="5" t="n">
        <v>5.5</v>
      </c>
      <c r="W723" s="2" t="inlineStr">
        <is>
          <t>low</t>
        </is>
      </c>
      <c r="X723" s="3" t="inlineStr"/>
      <c r="Y723" s="3" t="inlineStr">
        <is>
          <t>98% of this dish's available carbohydrate comes from ingredients with a published, measured GI; the rest uses conventional placeholders (see Ingredients sheet)</t>
        </is>
      </c>
      <c r="Z723" s="2" t="n">
        <v>98</v>
      </c>
      <c r="AA723" s="3" t="inlineStr">
        <is>
          <t>vegan, gluten-free, dairy-free, nut-free, make-ahead</t>
        </is>
      </c>
      <c r="AB723" s="3" t="inlineStr">
        <is>
          <t>1. Slice apples paper-thin; toss with cinnamon.
2. Bake on racks at 200°F 2 hours, flipping once.
3. Cool to crisp.</t>
        </is>
      </c>
      <c r="AC723" s="4" t="inlineStr">
        <is>
          <t>["Slice apples paper-thin; toss with cinnamon.", "Bake on racks at 200°F 2 hours, flipping once.", "Cool to crisp."]</t>
        </is>
      </c>
    </row>
    <row r="724" ht="96" customHeight="1">
      <c r="A724" s="2" t="inlineStr">
        <is>
          <t>DB-0723</t>
        </is>
      </c>
      <c r="B724" s="3" t="inlineStr">
        <is>
          <t>Turkey Pinwheels (Low-Carb Tortilla)</t>
        </is>
      </c>
      <c r="C724" s="4" t="inlineStr">
        <is>
          <t>Snack &amp; Appetizer</t>
        </is>
      </c>
      <c r="D724" s="4" t="inlineStr">
        <is>
          <t>American</t>
        </is>
      </c>
      <c r="E724" s="2" t="n">
        <v>4</v>
      </c>
      <c r="F724" s="2" t="n">
        <v>10</v>
      </c>
      <c r="G724" s="2" t="n">
        <v>0</v>
      </c>
      <c r="H724" s="2" t="n">
        <v>10</v>
      </c>
      <c r="I724" s="4" t="inlineStr">
        <is>
          <t>turkey-pinwheels-low-carb-tortilla.jpg</t>
        </is>
      </c>
      <c r="J724" s="3" t="inlineStr">
        <is>
          <t>Turkey Pinwheels (Low-Carb Tortilla), healthy food photography, plated, natural light</t>
        </is>
      </c>
      <c r="K724" s="4" t="inlineStr"/>
      <c r="L724" s="3" t="inlineStr">
        <is>
          <t>Low-carb high-fiber tortilla — 168 g (5.9 oz) [4 tortillas]
Deli turkey breast, low sodium — 200 g (7.1 oz)
Cream cheese — 80 g (2.8 oz)
Spinach — 60 g (2.1 oz)
Roasted red peppers, jarred — 60 g (2.1 oz)
Dijon mustard — 10 g (0.4 oz)</t>
        </is>
      </c>
      <c r="M724" s="4" t="inlineStr">
        <is>
          <t>[{"ingredient_id": "low_carb_tortilla", "name": "Low-carb high-fiber tortilla", "grams": 168.0, "note": "4 tortillas"}, {"ingredient_id": "deli_turkey", "name": "Deli turkey breast, low sodium", "grams": 200.0, "note": ""}, {"ingredient_id": "cream_cheese", "name": "Cream cheese", "grams": 80.0, "note": ""}, {"ingredient_id": "spinach", "name": "Spinach", "grams": 60.0, "note": ""}, {"ingredient_id": "roasted_red_pepper", "name": "Roasted red peppers, jarred", "grams": 60.0, "note": ""}, {"ingredient_id": "dijon", "name": "Dijon mustard", "grams": 10.0, "note": ""}]</t>
        </is>
      </c>
      <c r="N724" s="2" t="n">
        <v>235</v>
      </c>
      <c r="O724" s="5" t="n">
        <v>15.4</v>
      </c>
      <c r="P724" s="5" t="n">
        <v>11.1</v>
      </c>
      <c r="Q724" s="5" t="n">
        <v>21.2</v>
      </c>
      <c r="R724" s="5" t="n">
        <v>11.2</v>
      </c>
      <c r="S724" s="5" t="n">
        <v>10</v>
      </c>
      <c r="T724" s="2" t="n">
        <v>20</v>
      </c>
      <c r="U724" s="2" t="inlineStr">
        <is>
          <t>low</t>
        </is>
      </c>
      <c r="V724" s="5" t="n">
        <v>2</v>
      </c>
      <c r="W724" s="2" t="inlineStr">
        <is>
          <t>low</t>
        </is>
      </c>
      <c r="X724" s="3" t="inlineStr"/>
      <c r="Y724" s="3" t="inlineStr">
        <is>
          <t>0% of this dish's available carbohydrate comes from ingredients with a published, measured GI; the rest uses conventional placeholders (see Ingredients sheet)</t>
        </is>
      </c>
      <c r="Z724" s="2" t="n">
        <v>0</v>
      </c>
      <c r="AA724" s="3" t="inlineStr">
        <is>
          <t>nut-free, low-carb, high-fiber, no-cook, make-ahead</t>
        </is>
      </c>
      <c r="AB724" s="3" t="inlineStr">
        <is>
          <t>1. Spread tortillas with cream cheese and Dijon.
2. Layer turkey, spinach, peppers; roll tightly.
3. Slice into pinwheels.</t>
        </is>
      </c>
      <c r="AC724" s="4" t="inlineStr">
        <is>
          <t>["Spread tortillas with cream cheese and Dijon.", "Layer turkey, spinach, peppers; roll tightly.", "Slice into pinwheels."]</t>
        </is>
      </c>
    </row>
    <row r="725" ht="96" customHeight="1">
      <c r="A725" s="2" t="inlineStr">
        <is>
          <t>DB-0724</t>
        </is>
      </c>
      <c r="B725" s="3" t="inlineStr">
        <is>
          <t>Marinated Mozzarella &amp; Olives</t>
        </is>
      </c>
      <c r="C725" s="4" t="inlineStr">
        <is>
          <t>Snack &amp; Appetizer</t>
        </is>
      </c>
      <c r="D725" s="4" t="inlineStr">
        <is>
          <t>Italian</t>
        </is>
      </c>
      <c r="E725" s="2" t="n">
        <v>4</v>
      </c>
      <c r="F725" s="2" t="n">
        <v>5</v>
      </c>
      <c r="G725" s="2" t="n">
        <v>0</v>
      </c>
      <c r="H725" s="2" t="n">
        <v>5</v>
      </c>
      <c r="I725" s="4" t="inlineStr">
        <is>
          <t>marinated-mozzarella-and-olives.jpg</t>
        </is>
      </c>
      <c r="J725" s="3" t="inlineStr">
        <is>
          <t>Marinated Mozzarella &amp; Olives, healthy food photography, plated, natural light</t>
        </is>
      </c>
      <c r="K725" s="4" t="inlineStr"/>
      <c r="L725" s="3" t="inlineStr">
        <is>
          <t>Mozzarella, part-skim — 200 g (7.1 oz)
Olives (kalamata/green) — 80 g (2.8 oz)
Extra-virgin olive oil — 20 g (0.7 oz)
Red pepper flakes — 1 g (0.0 oz)
Italian seasoning — 2 g (0.1 oz)
Lemon (with juice &amp; zest) — 20 g (0.7 oz) [zest]
Garlic — 3 g (0.1 oz)</t>
        </is>
      </c>
      <c r="M725" s="4" t="inlineStr">
        <is>
          <t>[{"ingredient_id": "mozzarella", "name": "Mozzarella, part-skim", "grams": 200.0, "note": ""}, {"ingredient_id": "olives", "name": "Olives (kalamata/green)", "grams": 80.0, "note": ""}, {"ingredient_id": "olive_oil", "name": "Extra-virgin olive oil", "grams": 20.0, "note": ""}, {"ingredient_id": "red_pepper_flakes", "name": "Red pepper flakes", "grams": 1.0, "note": ""}, {"ingredient_id": "italian_seasoning", "name": "Italian seasoning", "grams": 2.0, "note": ""}, {"ingredient_id": "lemon", "name": "Lemon (with juice &amp; zest)", "grams": 20.0, "note": "zest"}, {"ingredient_id": "garlic", "name": "Garlic", "grams": 3.0, "note": ""}]</t>
        </is>
      </c>
      <c r="N725" s="2" t="n">
        <v>199</v>
      </c>
      <c r="O725" s="5" t="n">
        <v>12.3</v>
      </c>
      <c r="P725" s="5" t="n">
        <v>15.3</v>
      </c>
      <c r="Q725" s="5" t="n">
        <v>3.9</v>
      </c>
      <c r="R725" s="5" t="n">
        <v>1.1</v>
      </c>
      <c r="S725" s="5" t="n">
        <v>2.8</v>
      </c>
      <c r="T725" s="2" t="n">
        <v>9</v>
      </c>
      <c r="U725" s="2" t="inlineStr">
        <is>
          <t>low</t>
        </is>
      </c>
      <c r="V725" s="5" t="n">
        <v>0.3</v>
      </c>
      <c r="W725" s="2" t="inlineStr">
        <is>
          <t>low</t>
        </is>
      </c>
      <c r="X725" s="3" t="inlineStr">
        <is>
          <t>Negligible carbohydrate (&lt;5 g net/serving): GI has little practical meaning, glycemic load is what matters.</t>
        </is>
      </c>
      <c r="Y725" s="3" t="inlineStr">
        <is>
          <t>0% of this dish's available carbohydrate comes from ingredients with a published, measured GI; the rest uses conventional placeholders (see Ingredients sheet)</t>
        </is>
      </c>
      <c r="Z725" s="2" t="n">
        <v>0</v>
      </c>
      <c r="AA725" s="3" t="inlineStr">
        <is>
          <t>vegetarian, gluten-free, nut-free, low-carb, no-cook, make-ahead</t>
        </is>
      </c>
      <c r="AB725" s="3" t="inlineStr">
        <is>
          <t>1. Cube mozzarella.
2. Toss with olives, oil, pepper flakes, seasoning, lemon zest, garlic.
3. Marinate 1 hour.</t>
        </is>
      </c>
      <c r="AC725" s="4" t="inlineStr">
        <is>
          <t>["Cube mozzarella.", "Toss with olives, oil, pepper flakes, seasoning, lemon zest, garlic.", "Marinate 1 hour."]</t>
        </is>
      </c>
    </row>
    <row r="726" ht="96" customHeight="1">
      <c r="A726" s="2" t="inlineStr">
        <is>
          <t>DB-0725</t>
        </is>
      </c>
      <c r="B726" s="3" t="inlineStr">
        <is>
          <t>Protein Yogurt Bark</t>
        </is>
      </c>
      <c r="C726" s="4" t="inlineStr">
        <is>
          <t>Snack &amp; Appetizer</t>
        </is>
      </c>
      <c r="D726" s="4" t="inlineStr">
        <is>
          <t>American</t>
        </is>
      </c>
      <c r="E726" s="2" t="n">
        <v>6</v>
      </c>
      <c r="F726" s="2" t="n">
        <v>10</v>
      </c>
      <c r="G726" s="2" t="n">
        <v>0</v>
      </c>
      <c r="H726" s="2" t="n">
        <v>10</v>
      </c>
      <c r="I726" s="4" t="inlineStr">
        <is>
          <t>protein-yogurt-bark.jpg</t>
        </is>
      </c>
      <c r="J726" s="3" t="inlineStr">
        <is>
          <t>Protein Yogurt Bark, healthy food photography, plated, natural light</t>
        </is>
      </c>
      <c r="K726" s="4" t="inlineStr"/>
      <c r="L726" s="3" t="inlineStr">
        <is>
          <t>Greek yogurt, plain 2% — 400 g (14.1 oz)
Whey protein powder, unsweetened — 30 g (1.1 oz)
Strawberries — 100 g (3.5 oz)
Blueberries — 80 g (2.8 oz)
Almonds — 30 g (1.1 oz)
Stevia-sweetened dark chocolate chips — 20 g (0.7 oz)
Vanilla extract — 3 g (0.1 oz)</t>
        </is>
      </c>
      <c r="M726" s="4" t="inlineStr">
        <is>
          <t>[{"ingredient_id": "greek_yogurt", "name": "Greek yogurt, plain 2%", "grams": 400.0, "note": ""}, {"ingredient_id": "whey_protein", "name": "Whey protein powder, unsweetened", "grams": 30.0, "note": ""}, {"ingredient_id": "strawberries", "name": "Strawberries", "grams": 100.0, "note": ""}, {"ingredient_id": "blueberries", "name": "Blueberries", "grams": 80.0, "note": ""}, {"ingredient_id": "almonds", "name": "Almonds", "grams": 30.0, "note": ""}, {"ingredient_id": "sugar_free_chocolate_chips", "name": "Stevia-sweetened dark chocolate chips", "grams": 20.0, "note": ""}, {"ingredient_id": "vanilla_extract", "name": "Vanilla extract", "grams": 3.0, "note": ""}]</t>
        </is>
      </c>
      <c r="N726" s="2" t="n">
        <v>127</v>
      </c>
      <c r="O726" s="5" t="n">
        <v>12</v>
      </c>
      <c r="P726" s="5" t="n">
        <v>5.6</v>
      </c>
      <c r="Q726" s="5" t="n">
        <v>8.1</v>
      </c>
      <c r="R726" s="5" t="n">
        <v>1.7</v>
      </c>
      <c r="S726" s="5" t="n">
        <v>6.4</v>
      </c>
      <c r="T726" s="2" t="n">
        <v>28</v>
      </c>
      <c r="U726" s="2" t="inlineStr">
        <is>
          <t>low</t>
        </is>
      </c>
      <c r="V726" s="5" t="n">
        <v>1.8</v>
      </c>
      <c r="W726" s="2" t="inlineStr">
        <is>
          <t>low</t>
        </is>
      </c>
      <c r="X726" s="3" t="inlineStr"/>
      <c r="Y726" s="3" t="inlineStr">
        <is>
          <t>92% of this dish's available carbohydrate comes from ingredients with a published, measured GI; the rest uses conventional placeholders (see Ingredients sheet)</t>
        </is>
      </c>
      <c r="Z726" s="2" t="n">
        <v>92</v>
      </c>
      <c r="AA726" s="3" t="inlineStr">
        <is>
          <t>vegetarian, gluten-free, low-carb, make-ahead</t>
        </is>
      </c>
      <c r="AB726" s="3" t="inlineStr">
        <is>
          <t>1. Whisk yogurt, protein, vanilla; spread on parchment-lined tray.
2. Top berries, almonds, chocolate chips.
3. Freeze 3 hours; break into pieces.</t>
        </is>
      </c>
      <c r="AC726" s="4" t="inlineStr">
        <is>
          <t>["Whisk yogurt, protein, vanilla; spread on parchment-lined tray.", "Top berries, almonds, chocolate chips.", "Freeze 3 hours; break into pieces."]</t>
        </is>
      </c>
    </row>
    <row r="727" ht="96" customHeight="1">
      <c r="A727" s="2" t="inlineStr">
        <is>
          <t>DB-0726</t>
        </is>
      </c>
      <c r="B727" s="3" t="inlineStr">
        <is>
          <t>Roasted Garlic Green Beans</t>
        </is>
      </c>
      <c r="C727" s="4" t="inlineStr">
        <is>
          <t>Side Dish</t>
        </is>
      </c>
      <c r="D727" s="4" t="inlineStr">
        <is>
          <t>American</t>
        </is>
      </c>
      <c r="E727" s="2" t="n">
        <v>4</v>
      </c>
      <c r="F727" s="2" t="n">
        <v>5</v>
      </c>
      <c r="G727" s="2" t="n">
        <v>18</v>
      </c>
      <c r="H727" s="2" t="n">
        <v>23</v>
      </c>
      <c r="I727" s="4" t="inlineStr">
        <is>
          <t>roasted-garlic-green-beans.jpg</t>
        </is>
      </c>
      <c r="J727" s="3" t="inlineStr">
        <is>
          <t>Roasted Garlic Green Beans, healthy food photography, plated, natural light</t>
        </is>
      </c>
      <c r="K727" s="4" t="inlineStr"/>
      <c r="L727" s="3" t="inlineStr">
        <is>
          <t>Green beans — 500 g (17.6 oz)
Extra-virgin olive oil — 15 g (0.5 oz)
Garlic — 10 g (0.4 oz)
Lemon (with juice &amp; zest) — 20 g (0.7 oz)
Almonds — 20 g (0.7 oz)
Salt — 2 g (0.1 oz)</t>
        </is>
      </c>
      <c r="M727" s="4" t="inlineStr">
        <is>
          <t>[{"ingredient_id": "green_beans", "name": "Green beans", "grams": 500.0, "note": ""}, {"ingredient_id": "olive_oil", "name": "Extra-virgin olive oil", "grams": 15.0, "note": ""}, {"ingredient_id": "garlic", "name": "Garlic", "grams": 10.0, "note": ""}, {"ingredient_id": "lemon", "name": "Lemon (with juice &amp; zest)", "grams": 20.0, "note": ""}, {"ingredient_id": "almonds", "name": "Almonds", "grams": 20.0, "note": ""}, {"ingredient_id": "salt", "name": "Salt", "grams": 2.0, "note": ""}]</t>
        </is>
      </c>
      <c r="N727" s="2" t="n">
        <v>106</v>
      </c>
      <c r="O727" s="5" t="n">
        <v>3.5</v>
      </c>
      <c r="P727" s="5" t="n">
        <v>6.5</v>
      </c>
      <c r="Q727" s="5" t="n">
        <v>11.1</v>
      </c>
      <c r="R727" s="5" t="n">
        <v>4.2</v>
      </c>
      <c r="S727" s="5" t="n">
        <v>6.9</v>
      </c>
      <c r="T727" s="2" t="n">
        <v>17</v>
      </c>
      <c r="U727" s="2" t="inlineStr">
        <is>
          <t>low</t>
        </is>
      </c>
      <c r="V727" s="5" t="n">
        <v>1.2</v>
      </c>
      <c r="W727" s="2" t="inlineStr">
        <is>
          <t>low</t>
        </is>
      </c>
      <c r="X727" s="3" t="inlineStr"/>
      <c r="Y727" s="3" t="inlineStr">
        <is>
          <t>0% of this dish's available carbohydrate comes from ingredients with a published, measured GI; the rest uses conventional placeholders (see Ingredients sheet)</t>
        </is>
      </c>
      <c r="Z727" s="2" t="n">
        <v>0</v>
      </c>
      <c r="AA727" s="3" t="inlineStr">
        <is>
          <t>vegan, gluten-free, dairy-free, low-carb, quick</t>
        </is>
      </c>
      <c r="AB727" s="3" t="inlineStr">
        <is>
          <t>1. Toss beans with oil, garlic, salt.
2. Roast at 425°F 15–18 minutes.
3. Lemon and toasted almonds.</t>
        </is>
      </c>
      <c r="AC727" s="4" t="inlineStr">
        <is>
          <t>["Toss beans with oil, garlic, salt.", "Roast at 425°F 15–18 minutes.", "Lemon and toasted almonds."]</t>
        </is>
      </c>
    </row>
    <row r="728" ht="96" customHeight="1">
      <c r="A728" s="2" t="inlineStr">
        <is>
          <t>DB-0727</t>
        </is>
      </c>
      <c r="B728" s="3" t="inlineStr">
        <is>
          <t>Cauliflower Mash</t>
        </is>
      </c>
      <c r="C728" s="4" t="inlineStr">
        <is>
          <t>Side Dish</t>
        </is>
      </c>
      <c r="D728" s="4" t="inlineStr">
        <is>
          <t>American</t>
        </is>
      </c>
      <c r="E728" s="2" t="n">
        <v>4</v>
      </c>
      <c r="F728" s="2" t="n">
        <v>5</v>
      </c>
      <c r="G728" s="2" t="n">
        <v>15</v>
      </c>
      <c r="H728" s="2" t="n">
        <v>20</v>
      </c>
      <c r="I728" s="4" t="inlineStr">
        <is>
          <t>cauliflower-mash.jpg</t>
        </is>
      </c>
      <c r="J728" s="3" t="inlineStr">
        <is>
          <t>Cauliflower Mash, healthy food photography, plated, natural light</t>
        </is>
      </c>
      <c r="K728" s="4" t="inlineStr"/>
      <c r="L728" s="3" t="inlineStr">
        <is>
          <t>Cauliflower — 800 g (28.2 oz)
Butter — 15 g (0.5 oz)
Milk, 2% — 50 g (1.8 oz)
Garlic — 5 g (0.2 oz)
Parmesan, grated — 30 g (1.1 oz)
Fresh chives — 4 g (0.1 oz)
Salt — 2 g (0.1 oz)</t>
        </is>
      </c>
      <c r="M728" s="4" t="inlineStr">
        <is>
          <t>[{"ingredient_id": "cauliflower", "name": "Cauliflower", "grams": 800.0, "note": ""}, {"ingredient_id": "butter", "name": "Butter", "grams": 15.0, "note": ""}, {"ingredient_id": "milk", "name": "Milk, 2%", "grams": 50.0, "note": ""}, {"ingredient_id": "garlic", "name": "Garlic", "grams": 5.0, "note": ""}, {"ingredient_id": "parmesan", "name": "Parmesan, grated", "grams": 30.0, "note": ""}, {"ingredient_id": "chives", "name": "Fresh chives", "grams": 4.0, "note": ""}, {"ingredient_id": "salt", "name": "Salt", "grams": 2.0, "note": ""}]</t>
        </is>
      </c>
      <c r="N728" s="2" t="n">
        <v>118</v>
      </c>
      <c r="O728" s="5" t="n">
        <v>7.2</v>
      </c>
      <c r="P728" s="5" t="n">
        <v>6.1</v>
      </c>
      <c r="Q728" s="5" t="n">
        <v>11.4</v>
      </c>
      <c r="R728" s="5" t="n">
        <v>4.1</v>
      </c>
      <c r="S728" s="5" t="n">
        <v>7.3</v>
      </c>
      <c r="T728" s="2" t="n">
        <v>16</v>
      </c>
      <c r="U728" s="2" t="inlineStr">
        <is>
          <t>low</t>
        </is>
      </c>
      <c r="V728" s="5" t="n">
        <v>1.2</v>
      </c>
      <c r="W728" s="2" t="inlineStr">
        <is>
          <t>low</t>
        </is>
      </c>
      <c r="X728" s="3" t="inlineStr"/>
      <c r="Y728" s="3" t="inlineStr">
        <is>
          <t>8% of this dish's available carbohydrate comes from ingredients with a published, measured GI; the rest uses conventional placeholders (see Ingredients sheet)</t>
        </is>
      </c>
      <c r="Z728" s="2" t="n">
        <v>8</v>
      </c>
      <c r="AA728" s="3" t="inlineStr">
        <is>
          <t>vegetarian, gluten-free, nut-free, low-carb</t>
        </is>
      </c>
      <c r="AB728" s="3" t="inlineStr">
        <is>
          <t>1. Steam cauliflower and garlic 12 minutes.
2. Blend with butter, milk, parmesan, salt.
3. Chives.</t>
        </is>
      </c>
      <c r="AC728" s="4" t="inlineStr">
        <is>
          <t>["Steam cauliflower and garlic 12 minutes.", "Blend with butter, milk, parmesan, salt.", "Chives."]</t>
        </is>
      </c>
    </row>
    <row r="729" ht="96" customHeight="1">
      <c r="A729" s="2" t="inlineStr">
        <is>
          <t>DB-0728</t>
        </is>
      </c>
      <c r="B729" s="3" t="inlineStr">
        <is>
          <t>Roasted Brussels Sprouts with Balsamic</t>
        </is>
      </c>
      <c r="C729" s="4" t="inlineStr">
        <is>
          <t>Side Dish</t>
        </is>
      </c>
      <c r="D729" s="4" t="inlineStr">
        <is>
          <t>American</t>
        </is>
      </c>
      <c r="E729" s="2" t="n">
        <v>4</v>
      </c>
      <c r="F729" s="2" t="n">
        <v>5</v>
      </c>
      <c r="G729" s="2" t="n">
        <v>25</v>
      </c>
      <c r="H729" s="2" t="n">
        <v>30</v>
      </c>
      <c r="I729" s="4" t="inlineStr">
        <is>
          <t>roasted-brussels-sprouts-with-balsamic.jpg</t>
        </is>
      </c>
      <c r="J729" s="3" t="inlineStr">
        <is>
          <t>Roasted Brussels Sprouts with Balsamic, healthy food photography, plated, natural light</t>
        </is>
      </c>
      <c r="K729" s="4" t="inlineStr"/>
      <c r="L729" s="3" t="inlineStr">
        <is>
          <t>Brussels sprouts — 600 g (21.2 oz)
Extra-virgin olive oil — 18 g (0.6 oz)
Balsamic vinegar — 15 g (0.5 oz)
Garlic — 6 g (0.2 oz)
Parmesan, grated — 20 g (0.7 oz)
Salt — 2 g (0.1 oz)</t>
        </is>
      </c>
      <c r="M729" s="4" t="inlineStr">
        <is>
          <t>[{"ingredient_id": "brussels_sprouts", "name": "Brussels sprouts", "grams": 600.0, "note": ""}, {"ingredient_id": "olive_oil", "name": "Extra-virgin olive oil", "grams": 18.0, "note": ""}, {"ingredient_id": "balsamic_vinegar", "name": "Balsamic vinegar", "grams": 15.0, "note": ""}, {"ingredient_id": "garlic", "name": "Garlic", "grams": 6.0, "note": ""}, {"ingredient_id": "parmesan", "name": "Parmesan, grated", "grams": 20.0, "note": ""}, {"ingredient_id": "salt", "name": "Salt", "grams": 2.0, "note": ""}]</t>
        </is>
      </c>
      <c r="N729" s="2" t="n">
        <v>131</v>
      </c>
      <c r="O729" s="5" t="n">
        <v>7.1</v>
      </c>
      <c r="P729" s="5" t="n">
        <v>6.4</v>
      </c>
      <c r="Q729" s="5" t="n">
        <v>14.8</v>
      </c>
      <c r="R729" s="5" t="n">
        <v>5.7</v>
      </c>
      <c r="S729" s="5" t="n">
        <v>9.1</v>
      </c>
      <c r="T729" s="2" t="n">
        <v>17</v>
      </c>
      <c r="U729" s="2" t="inlineStr">
        <is>
          <t>low</t>
        </is>
      </c>
      <c r="V729" s="5" t="n">
        <v>1.5</v>
      </c>
      <c r="W729" s="2" t="inlineStr">
        <is>
          <t>low</t>
        </is>
      </c>
      <c r="X729" s="3" t="inlineStr"/>
      <c r="Y729" s="3" t="inlineStr">
        <is>
          <t>0% of this dish's available carbohydrate comes from ingredients with a published, measured GI; the rest uses conventional placeholders (see Ingredients sheet)</t>
        </is>
      </c>
      <c r="Z729" s="2" t="n">
        <v>0</v>
      </c>
      <c r="AA729" s="3" t="inlineStr">
        <is>
          <t>vegetarian, gluten-free, nut-free, low-carb</t>
        </is>
      </c>
      <c r="AB729" s="3" t="inlineStr">
        <is>
          <t>1. Halve sprouts; toss with oil, garlic, salt.
2. Roast at 425°F 22 minutes.
3. Balsamic, parmesan.</t>
        </is>
      </c>
      <c r="AC729" s="4" t="inlineStr">
        <is>
          <t>["Halve sprouts; toss with oil, garlic, salt.", "Roast at 425°F 22 minutes.", "Balsamic, parmesan."]</t>
        </is>
      </c>
    </row>
    <row r="730" ht="96" customHeight="1">
      <c r="A730" s="2" t="inlineStr">
        <is>
          <t>DB-0729</t>
        </is>
      </c>
      <c r="B730" s="3" t="inlineStr">
        <is>
          <t>Garlic Sautéed Spinach</t>
        </is>
      </c>
      <c r="C730" s="4" t="inlineStr">
        <is>
          <t>Side Dish</t>
        </is>
      </c>
      <c r="D730" s="4" t="inlineStr">
        <is>
          <t>Italian</t>
        </is>
      </c>
      <c r="E730" s="2" t="n">
        <v>3</v>
      </c>
      <c r="F730" s="2" t="n">
        <v>3</v>
      </c>
      <c r="G730" s="2" t="n">
        <v>5</v>
      </c>
      <c r="H730" s="2" t="n">
        <v>8</v>
      </c>
      <c r="I730" s="4" t="inlineStr">
        <is>
          <t>garlic-saut-ed-spinach.jpg</t>
        </is>
      </c>
      <c r="J730" s="3" t="inlineStr">
        <is>
          <t>Garlic Sautéed Spinach, healthy food photography, plated, natural light</t>
        </is>
      </c>
      <c r="K730" s="4" t="inlineStr"/>
      <c r="L730" s="3" t="inlineStr">
        <is>
          <t>Spinach — 400 g (14.1 oz)
Extra-virgin olive oil — 12 g (0.4 oz)
Garlic — 8 g (0.3 oz)
Lemon (with juice &amp; zest) — 15 g (0.5 oz)
Red pepper flakes — 0.5 g (0.0 oz)
Salt — 1 g (0.0 oz)</t>
        </is>
      </c>
      <c r="M730" s="4" t="inlineStr">
        <is>
          <t>[{"ingredient_id": "spinach", "name": "Spinach", "grams": 400.0, "note": ""}, {"ingredient_id": "olive_oil", "name": "Extra-virgin olive oil", "grams": 12.0, "note": ""}, {"ingredient_id": "garlic", "name": "Garlic", "grams": 8.0, "note": ""}, {"ingredient_id": "lemon", "name": "Lemon (with juice &amp; zest)", "grams": 15.0, "note": ""}, {"ingredient_id": "red_pepper_flakes", "name": "Red pepper flakes", "grams": 0.5, "note": ""}, {"ingredient_id": "salt", "name": "Salt", "grams": 1.0, "note": ""}]</t>
        </is>
      </c>
      <c r="N730" s="2" t="n">
        <v>72</v>
      </c>
      <c r="O730" s="5" t="n">
        <v>4.1</v>
      </c>
      <c r="P730" s="5" t="n">
        <v>4.6</v>
      </c>
      <c r="Q730" s="5" t="n">
        <v>6.2</v>
      </c>
      <c r="R730" s="5" t="n">
        <v>3.2</v>
      </c>
      <c r="S730" s="5" t="n">
        <v>3.1</v>
      </c>
      <c r="T730" s="2" t="n">
        <v>20</v>
      </c>
      <c r="U730" s="2" t="inlineStr">
        <is>
          <t>low</t>
        </is>
      </c>
      <c r="V730" s="5" t="n">
        <v>0.6</v>
      </c>
      <c r="W730" s="2" t="inlineStr">
        <is>
          <t>low</t>
        </is>
      </c>
      <c r="X730" s="3" t="inlineStr">
        <is>
          <t>Negligible carbohydrate (&lt;5 g net/serving): GI has little practical meaning, glycemic load is what matters.</t>
        </is>
      </c>
      <c r="Y730" s="3" t="inlineStr">
        <is>
          <t>0% of this dish's available carbohydrate comes from ingredients with a published, measured GI; the rest uses conventional placeholders (see Ingredients sheet)</t>
        </is>
      </c>
      <c r="Z730" s="2" t="n">
        <v>0</v>
      </c>
      <c r="AA730" s="3" t="inlineStr">
        <is>
          <t>vegan, gluten-free, dairy-free, nut-free, low-carb, quick</t>
        </is>
      </c>
      <c r="AB730" s="3" t="inlineStr">
        <is>
          <t>1. Sizzle garlic in oil 30 seconds.
2. Add spinach; toss until wilted.
3. Lemon, pepper flakes, salt.</t>
        </is>
      </c>
      <c r="AC730" s="4" t="inlineStr">
        <is>
          <t>["Sizzle garlic in oil 30 seconds.", "Add spinach; toss until wilted.", "Lemon, pepper flakes, salt."]</t>
        </is>
      </c>
    </row>
    <row r="731" ht="96" customHeight="1">
      <c r="A731" s="2" t="inlineStr">
        <is>
          <t>DB-0730</t>
        </is>
      </c>
      <c r="B731" s="3" t="inlineStr">
        <is>
          <t>Cilantro Lime Cauliflower Rice</t>
        </is>
      </c>
      <c r="C731" s="4" t="inlineStr">
        <is>
          <t>Side Dish</t>
        </is>
      </c>
      <c r="D731" s="4" t="inlineStr">
        <is>
          <t>Mexican</t>
        </is>
      </c>
      <c r="E731" s="2" t="n">
        <v>4</v>
      </c>
      <c r="F731" s="2" t="n">
        <v>5</v>
      </c>
      <c r="G731" s="2" t="n">
        <v>8</v>
      </c>
      <c r="H731" s="2" t="n">
        <v>13</v>
      </c>
      <c r="I731" s="4" t="inlineStr">
        <is>
          <t>cilantro-lime-cauliflower-rice.jpg</t>
        </is>
      </c>
      <c r="J731" s="3" t="inlineStr">
        <is>
          <t>Cilantro Lime Cauliflower Rice, healthy food photography, plated, natural light</t>
        </is>
      </c>
      <c r="K731" s="4" t="inlineStr"/>
      <c r="L731" s="3" t="inlineStr">
        <is>
          <t>Cauliflower rice — 600 g (21.2 oz)
Extra-virgin olive oil — 12 g (0.4 oz)
Lime — 30 g (1.1 oz)
Fresh cilantro — 12 g (0.4 oz)
Garlic — 5 g (0.2 oz)
Salt — 2 g (0.1 oz)</t>
        </is>
      </c>
      <c r="M731" s="4" t="inlineStr">
        <is>
          <t>[{"ingredient_id": "cauliflower_rice", "name": "Cauliflower rice", "grams": 600.0, "note": ""}, {"ingredient_id": "olive_oil", "name": "Extra-virgin olive oil", "grams": 12.0, "note": ""}, {"ingredient_id": "lime", "name": "Lime", "grams": 30.0, "note": ""}, {"ingredient_id": "cilantro", "name": "Fresh cilantro", "grams": 12.0, "note": ""}, {"ingredient_id": "garlic", "name": "Garlic", "grams": 5.0, "note": ""}, {"ingredient_id": "salt", "name": "Salt", "grams": 2.0, "note": ""}]</t>
        </is>
      </c>
      <c r="N731" s="2" t="n">
        <v>69</v>
      </c>
      <c r="O731" s="5" t="n">
        <v>3</v>
      </c>
      <c r="P731" s="5" t="n">
        <v>3.5</v>
      </c>
      <c r="Q731" s="5" t="n">
        <v>8.800000000000001</v>
      </c>
      <c r="R731" s="5" t="n">
        <v>3.3</v>
      </c>
      <c r="S731" s="5" t="n">
        <v>5.5</v>
      </c>
      <c r="T731" s="2" t="n">
        <v>17</v>
      </c>
      <c r="U731" s="2" t="inlineStr">
        <is>
          <t>low</t>
        </is>
      </c>
      <c r="V731" s="5" t="n">
        <v>0.9</v>
      </c>
      <c r="W731" s="2" t="inlineStr">
        <is>
          <t>low</t>
        </is>
      </c>
      <c r="X731" s="3" t="inlineStr"/>
      <c r="Y731" s="3" t="inlineStr">
        <is>
          <t>0% of this dish's available carbohydrate comes from ingredients with a published, measured GI; the rest uses conventional placeholders (see Ingredients sheet)</t>
        </is>
      </c>
      <c r="Z731" s="2" t="n">
        <v>0</v>
      </c>
      <c r="AA731" s="3" t="inlineStr">
        <is>
          <t>vegan, gluten-free, dairy-free, nut-free, low-carb, quick</t>
        </is>
      </c>
      <c r="AB731" s="3" t="inlineStr">
        <is>
          <t>1. Sauté garlic in oil; add cauliflower rice 5 minutes.
2. Lime juice and zest.
3. Cilantro, salt.</t>
        </is>
      </c>
      <c r="AC731" s="4" t="inlineStr">
        <is>
          <t>["Sauté garlic in oil; add cauliflower rice 5 minutes.", "Lime juice and zest.", "Cilantro, salt."]</t>
        </is>
      </c>
    </row>
    <row r="732" ht="96" customHeight="1">
      <c r="A732" s="2" t="inlineStr">
        <is>
          <t>DB-0731</t>
        </is>
      </c>
      <c r="B732" s="3" t="inlineStr">
        <is>
          <t>Quinoa Pilaf with Herbs</t>
        </is>
      </c>
      <c r="C732" s="4" t="inlineStr">
        <is>
          <t>Side Dish</t>
        </is>
      </c>
      <c r="D732" s="4" t="inlineStr">
        <is>
          <t>Mediterranean</t>
        </is>
      </c>
      <c r="E732" s="2" t="n">
        <v>4</v>
      </c>
      <c r="F732" s="2" t="n">
        <v>5</v>
      </c>
      <c r="G732" s="2" t="n">
        <v>20</v>
      </c>
      <c r="H732" s="2" t="n">
        <v>25</v>
      </c>
      <c r="I732" s="4" t="inlineStr">
        <is>
          <t>quinoa-pilaf-with-herbs.jpg</t>
        </is>
      </c>
      <c r="J732" s="3" t="inlineStr">
        <is>
          <t>Quinoa Pilaf with Herbs, healthy food photography, plated, natural light</t>
        </is>
      </c>
      <c r="K732" s="4" t="inlineStr"/>
      <c r="L732" s="3" t="inlineStr">
        <is>
          <t>Quinoa, cooked — 500 g (17.6 oz)
Yellow onion — 60 g (2.1 oz)
Garlic — 5 g (0.2 oz)
Extra-virgin olive oil — 12 g (0.4 oz)
Fresh parsley — 10 g (0.4 oz)
Lemon (with juice &amp; zest) — 25 g (0.9 oz)
Almonds — 20 g (0.7 oz)
Salt — 2 g (0.1 oz)</t>
        </is>
      </c>
      <c r="M732" s="4" t="inlineStr">
        <is>
          <t>[{"ingredient_id": "quinoa", "name": "Quinoa, cooked", "grams": 500.0, "note": ""}, {"ingredient_id": "onion", "name": "Yellow onion", "grams": 60.0, "note": ""}, {"ingredient_id": "garlic", "name": "Garlic", "grams": 5.0, "note": ""}, {"ingredient_id": "olive_oil", "name": "Extra-virgin olive oil", "grams": 12.0, "note": ""}, {"ingredient_id": "parsley", "name": "Fresh parsley", "grams": 10.0, "note": ""}, {"ingredient_id": "lemon", "name": "Lemon (with juice &amp; zest)", "grams": 25.0, "note": ""}, {"ingredient_id": "almonds", "name": "Almonds", "grams": 20.0, "note": ""}, {"ingredient_id": "salt", "name": "Salt", "grams": 2.0, "note": ""}]</t>
        </is>
      </c>
      <c r="N732" s="2" t="n">
        <v>216</v>
      </c>
      <c r="O732" s="5" t="n">
        <v>6.9</v>
      </c>
      <c r="P732" s="5" t="n">
        <v>7.9</v>
      </c>
      <c r="Q732" s="5" t="n">
        <v>29.9</v>
      </c>
      <c r="R732" s="5" t="n">
        <v>4.7</v>
      </c>
      <c r="S732" s="5" t="n">
        <v>25.2</v>
      </c>
      <c r="T732" s="2" t="n">
        <v>50</v>
      </c>
      <c r="U732" s="2" t="inlineStr">
        <is>
          <t>low</t>
        </is>
      </c>
      <c r="V732" s="5" t="n">
        <v>12.6</v>
      </c>
      <c r="W732" s="2" t="inlineStr">
        <is>
          <t>medium</t>
        </is>
      </c>
      <c r="X732" s="3" t="inlineStr"/>
      <c r="Y732" s="3" t="inlineStr">
        <is>
          <t>90% of this dish's available carbohydrate comes from ingredients with a published, measured GI; the rest uses conventional placeholders (see Ingredients sheet)</t>
        </is>
      </c>
      <c r="Z732" s="2" t="n">
        <v>90</v>
      </c>
      <c r="AA732" s="3" t="inlineStr">
        <is>
          <t>vegan, gluten-free, dairy-free</t>
        </is>
      </c>
      <c r="AB732" s="3" t="inlineStr">
        <is>
          <t>1. Sauté onion and garlic in oil.
2. Stir in cooked quinoa; heat through.
3. Parsley, lemon, almonds.</t>
        </is>
      </c>
      <c r="AC732" s="4" t="inlineStr">
        <is>
          <t>["Sauté onion and garlic in oil.", "Stir in cooked quinoa; heat through.", "Parsley, lemon, almonds."]</t>
        </is>
      </c>
    </row>
    <row r="733" ht="96" customHeight="1">
      <c r="A733" s="2" t="inlineStr">
        <is>
          <t>DB-0732</t>
        </is>
      </c>
      <c r="B733" s="3" t="inlineStr">
        <is>
          <t>Roasted Broccoli with Parmesan</t>
        </is>
      </c>
      <c r="C733" s="4" t="inlineStr">
        <is>
          <t>Side Dish</t>
        </is>
      </c>
      <c r="D733" s="4" t="inlineStr">
        <is>
          <t>Italian</t>
        </is>
      </c>
      <c r="E733" s="2" t="n">
        <v>4</v>
      </c>
      <c r="F733" s="2" t="n">
        <v>5</v>
      </c>
      <c r="G733" s="2" t="n">
        <v>20</v>
      </c>
      <c r="H733" s="2" t="n">
        <v>25</v>
      </c>
      <c r="I733" s="4" t="inlineStr">
        <is>
          <t>roasted-broccoli-with-parmesan.jpg</t>
        </is>
      </c>
      <c r="J733" s="3" t="inlineStr">
        <is>
          <t>Roasted Broccoli with Parmesan, healthy food photography, plated, natural light</t>
        </is>
      </c>
      <c r="K733" s="4" t="inlineStr"/>
      <c r="L733" s="3" t="inlineStr">
        <is>
          <t>Broccoli — 600 g (21.2 oz)
Extra-virgin olive oil — 15 g (0.5 oz)
Garlic — 6 g (0.2 oz)
Parmesan, grated — 25 g (0.9 oz)
Lemon (with juice &amp; zest) — 20 g (0.7 oz)
Red pepper flakes — 0.5 g (0.0 oz)
Salt — 2 g (0.1 oz)</t>
        </is>
      </c>
      <c r="M733" s="4" t="inlineStr">
        <is>
          <t>[{"ingredient_id": "broccoli", "name": "Broccoli", "grams": 600.0, "note": ""}, {"ingredient_id": "olive_oil", "name": "Extra-virgin olive oil", "grams": 15.0, "note": ""}, {"ingredient_id": "garlic", "name": "Garlic", "grams": 6.0, "note": ""}, {"ingredient_id": "parmesan", "name": "Parmesan, grated", "grams": 25.0, "note": ""}, {"ingredient_id": "lemon", "name": "Lemon (with juice &amp; zest)", "grams": 20.0, "note": ""}, {"ingredient_id": "red_pepper_flakes", "name": "Red pepper flakes", "grams": 0.5, "note": ""}, {"ingredient_id": "salt", "name": "Salt", "grams": 2.0, "note": ""}]</t>
        </is>
      </c>
      <c r="N733" s="2" t="n">
        <v>115</v>
      </c>
      <c r="O733" s="5" t="n">
        <v>6.7</v>
      </c>
      <c r="P733" s="5" t="n">
        <v>6.2</v>
      </c>
      <c r="Q733" s="5" t="n">
        <v>11.2</v>
      </c>
      <c r="R733" s="5" t="n">
        <v>4.1</v>
      </c>
      <c r="S733" s="5" t="n">
        <v>7.1</v>
      </c>
      <c r="T733" s="2" t="n">
        <v>16</v>
      </c>
      <c r="U733" s="2" t="inlineStr">
        <is>
          <t>low</t>
        </is>
      </c>
      <c r="V733" s="5" t="n">
        <v>1.1</v>
      </c>
      <c r="W733" s="2" t="inlineStr">
        <is>
          <t>low</t>
        </is>
      </c>
      <c r="X733" s="3" t="inlineStr"/>
      <c r="Y733" s="3" t="inlineStr">
        <is>
          <t>0% of this dish's available carbohydrate comes from ingredients with a published, measured GI; the rest uses conventional placeholders (see Ingredients sheet)</t>
        </is>
      </c>
      <c r="Z733" s="2" t="n">
        <v>0</v>
      </c>
      <c r="AA733" s="3" t="inlineStr">
        <is>
          <t>vegetarian, gluten-free, nut-free, low-carb</t>
        </is>
      </c>
      <c r="AB733" s="3" t="inlineStr">
        <is>
          <t>1. Toss florets with oil, garlic, salt.
2. Roast at 425°F 18–20 minutes.
3. Parmesan, lemon, pepper flakes.</t>
        </is>
      </c>
      <c r="AC733" s="4" t="inlineStr">
        <is>
          <t>["Toss florets with oil, garlic, salt.", "Roast at 425°F 18–20 minutes.", "Parmesan, lemon, pepper flakes."]</t>
        </is>
      </c>
    </row>
    <row r="734" ht="96" customHeight="1">
      <c r="A734" s="2" t="inlineStr">
        <is>
          <t>DB-0733</t>
        </is>
      </c>
      <c r="B734" s="3" t="inlineStr">
        <is>
          <t>Zucchini Noodles with Garlic &amp; Herbs</t>
        </is>
      </c>
      <c r="C734" s="4" t="inlineStr">
        <is>
          <t>Side Dish</t>
        </is>
      </c>
      <c r="D734" s="4" t="inlineStr">
        <is>
          <t>Italian</t>
        </is>
      </c>
      <c r="E734" s="2" t="n">
        <v>3</v>
      </c>
      <c r="F734" s="2" t="n">
        <v>5</v>
      </c>
      <c r="G734" s="2" t="n">
        <v>4</v>
      </c>
      <c r="H734" s="2" t="n">
        <v>9</v>
      </c>
      <c r="I734" s="4" t="inlineStr">
        <is>
          <t>zucchini-noodles-with-garlic-and-herbs.jpg</t>
        </is>
      </c>
      <c r="J734" s="3" t="inlineStr">
        <is>
          <t>Zucchini Noodles with Garlic &amp; Herbs, healthy food photography, plated, natural light</t>
        </is>
      </c>
      <c r="K734" s="4" t="inlineStr"/>
      <c r="L734" s="3" t="inlineStr">
        <is>
          <t>Zucchini noodles (zoodles) — 500 g (17.6 oz)
Extra-virgin olive oil — 12 g (0.4 oz)
Garlic — 6 g (0.2 oz)
Fresh basil — 6 g (0.2 oz)
Parmesan, grated — 15 g (0.5 oz)
Salt — 1 g (0.0 oz)</t>
        </is>
      </c>
      <c r="M734" s="4" t="inlineStr">
        <is>
          <t>[{"ingredient_id": "zucchini_noodles", "name": "Zucchini noodles (zoodles)", "grams": 500.0, "note": ""}, {"ingredient_id": "olive_oil", "name": "Extra-virgin olive oil", "grams": 12.0, "note": ""}, {"ingredient_id": "garlic", "name": "Garlic", "grams": 6.0, "note": ""}, {"ingredient_id": "basil", "name": "Fresh basil", "grams": 6.0, "note": ""}, {"ingredient_id": "parmesan", "name": "Parmesan, grated", "grams": 15.0, "note": ""}, {"ingredient_id": "salt", "name": "Salt", "grams": 1.0, "note": ""}]</t>
        </is>
      </c>
      <c r="N734" s="2" t="n">
        <v>89</v>
      </c>
      <c r="O734" s="5" t="n">
        <v>4.1</v>
      </c>
      <c r="P734" s="5" t="n">
        <v>6</v>
      </c>
      <c r="Q734" s="5" t="n">
        <v>6.1</v>
      </c>
      <c r="R734" s="5" t="n">
        <v>1.7</v>
      </c>
      <c r="S734" s="5" t="n">
        <v>4.3</v>
      </c>
      <c r="T734" s="2" t="n">
        <v>16</v>
      </c>
      <c r="U734" s="2" t="inlineStr">
        <is>
          <t>low</t>
        </is>
      </c>
      <c r="V734" s="5" t="n">
        <v>0.7</v>
      </c>
      <c r="W734" s="2" t="inlineStr">
        <is>
          <t>low</t>
        </is>
      </c>
      <c r="X734" s="3" t="inlineStr">
        <is>
          <t>Negligible carbohydrate (&lt;5 g net/serving): GI has little practical meaning, glycemic load is what matters.</t>
        </is>
      </c>
      <c r="Y734" s="3" t="inlineStr">
        <is>
          <t>0% of this dish's available carbohydrate comes from ingredients with a published, measured GI; the rest uses conventional placeholders (see Ingredients sheet)</t>
        </is>
      </c>
      <c r="Z734" s="2" t="n">
        <v>0</v>
      </c>
      <c r="AA734" s="3" t="inlineStr">
        <is>
          <t>vegetarian, gluten-free, nut-free, low-carb, quick</t>
        </is>
      </c>
      <c r="AB734" s="3" t="inlineStr">
        <is>
          <t>1. Sauté garlic in oil.
2. Add zoodles; toss 2–3 minutes.
3. Basil, parmesan, salt.</t>
        </is>
      </c>
      <c r="AC734" s="4" t="inlineStr">
        <is>
          <t>["Sauté garlic in oil.", "Add zoodles; toss 2–3 minutes.", "Basil, parmesan, salt."]</t>
        </is>
      </c>
    </row>
    <row r="735" ht="96" customHeight="1">
      <c r="A735" s="2" t="inlineStr">
        <is>
          <t>DB-0734</t>
        </is>
      </c>
      <c r="B735" s="3" t="inlineStr">
        <is>
          <t>Lemon Roasted Asparagus</t>
        </is>
      </c>
      <c r="C735" s="4" t="inlineStr">
        <is>
          <t>Side Dish</t>
        </is>
      </c>
      <c r="D735" s="4" t="inlineStr">
        <is>
          <t>American</t>
        </is>
      </c>
      <c r="E735" s="2" t="n">
        <v>4</v>
      </c>
      <c r="F735" s="2" t="n">
        <v>5</v>
      </c>
      <c r="G735" s="2" t="n">
        <v>12</v>
      </c>
      <c r="H735" s="2" t="n">
        <v>17</v>
      </c>
      <c r="I735" s="4" t="inlineStr">
        <is>
          <t>lemon-roasted-asparagus.jpg</t>
        </is>
      </c>
      <c r="J735" s="3" t="inlineStr">
        <is>
          <t>Lemon Roasted Asparagus, healthy food photography, plated, natural light</t>
        </is>
      </c>
      <c r="K735" s="4" t="inlineStr"/>
      <c r="L735" s="3" t="inlineStr">
        <is>
          <t>Asparagus — 500 g (17.6 oz)
Extra-virgin olive oil — 12 g (0.4 oz)
Lemon (with juice &amp; zest) — 30 g (1.1 oz)
Garlic — 5 g (0.2 oz)
Salt — 2 g (0.1 oz)</t>
        </is>
      </c>
      <c r="M735" s="4" t="inlineStr">
        <is>
          <t>[{"ingredient_id": "asparagus", "name": "Asparagus", "grams": 500.0, "note": ""}, {"ingredient_id": "olive_oil", "name": "Extra-virgin olive oil", "grams": 12.0, "note": ""}, {"ingredient_id": "lemon", "name": "Lemon (with juice &amp; zest)", "grams": 30.0, "note": ""}, {"ingredient_id": "garlic", "name": "Garlic", "grams": 5.0, "note": ""}, {"ingredient_id": "salt", "name": "Salt", "grams": 2.0, "note": ""}]</t>
        </is>
      </c>
      <c r="N735" s="2" t="n">
        <v>56</v>
      </c>
      <c r="O735" s="5" t="n">
        <v>2.9</v>
      </c>
      <c r="P735" s="5" t="n">
        <v>3.2</v>
      </c>
      <c r="Q735" s="5" t="n">
        <v>6</v>
      </c>
      <c r="R735" s="5" t="n">
        <v>2.9</v>
      </c>
      <c r="S735" s="5" t="n">
        <v>3.1</v>
      </c>
      <c r="T735" s="2" t="n">
        <v>18</v>
      </c>
      <c r="U735" s="2" t="inlineStr">
        <is>
          <t>low</t>
        </is>
      </c>
      <c r="V735" s="5" t="n">
        <v>0.6</v>
      </c>
      <c r="W735" s="2" t="inlineStr">
        <is>
          <t>low</t>
        </is>
      </c>
      <c r="X735" s="3" t="inlineStr">
        <is>
          <t>Negligible carbohydrate (&lt;5 g net/serving): GI has little practical meaning, glycemic load is what matters.</t>
        </is>
      </c>
      <c r="Y735" s="3" t="inlineStr">
        <is>
          <t>0% of this dish's available carbohydrate comes from ingredients with a published, measured GI; the rest uses conventional placeholders (see Ingredients sheet)</t>
        </is>
      </c>
      <c r="Z735" s="2" t="n">
        <v>0</v>
      </c>
      <c r="AA735" s="3" t="inlineStr">
        <is>
          <t>vegan, gluten-free, dairy-free, nut-free, low-carb, quick</t>
        </is>
      </c>
      <c r="AB735" s="3" t="inlineStr">
        <is>
          <t>1. Toss asparagus with oil, garlic, salt.
2. Roast at 425°F 10–12 minutes.
3. Lemon zest and juice.</t>
        </is>
      </c>
      <c r="AC735" s="4" t="inlineStr">
        <is>
          <t>["Toss asparagus with oil, garlic, salt.", "Roast at 425°F 10–12 minutes.", "Lemon zest and juice."]</t>
        </is>
      </c>
    </row>
    <row r="736" ht="96" customHeight="1">
      <c r="A736" s="2" t="inlineStr">
        <is>
          <t>DB-0735</t>
        </is>
      </c>
      <c r="B736" s="3" t="inlineStr">
        <is>
          <t>Cucumber Dill Salad</t>
        </is>
      </c>
      <c r="C736" s="4" t="inlineStr">
        <is>
          <t>Side Dish</t>
        </is>
      </c>
      <c r="D736" s="4" t="inlineStr">
        <is>
          <t>Scandinavian</t>
        </is>
      </c>
      <c r="E736" s="2" t="n">
        <v>4</v>
      </c>
      <c r="F736" s="2" t="n">
        <v>10</v>
      </c>
      <c r="G736" s="2" t="n">
        <v>0</v>
      </c>
      <c r="H736" s="2" t="n">
        <v>10</v>
      </c>
      <c r="I736" s="4" t="inlineStr">
        <is>
          <t>cucumber-dill-salad.jpg</t>
        </is>
      </c>
      <c r="J736" s="3" t="inlineStr">
        <is>
          <t>Cucumber Dill Salad, healthy food photography, plated, natural light</t>
        </is>
      </c>
      <c r="K736" s="4" t="inlineStr"/>
      <c r="L736" s="3" t="inlineStr">
        <is>
          <t>Cucumber — 500 g (17.6 oz)
Red onion — 40 g (1.4 oz)
Greek yogurt, plain 2% — 80 g (2.8 oz)
Fresh dill — 8 g (0.3 oz)
White wine vinegar — 12 g (0.4 oz)
Salt — 2 g (0.1 oz)</t>
        </is>
      </c>
      <c r="M736" s="4" t="inlineStr">
        <is>
          <t>[{"ingredient_id": "cucumber", "name": "Cucumber", "grams": 500.0, "note": ""}, {"ingredient_id": "red_onion", "name": "Red onion", "grams": 40.0, "note": ""}, {"ingredient_id": "greek_yogurt", "name": "Greek yogurt, plain 2%", "grams": 80.0, "note": ""}, {"ingredient_id": "dill", "name": "Fresh dill", "grams": 8.0, "note": ""}, {"ingredient_id": "white_wine_vinegar", "name": "White wine vinegar", "grams": 12.0, "note": ""}, {"ingredient_id": "salt", "name": "Salt", "grams": 2.0, "note": ""}]</t>
        </is>
      </c>
      <c r="N736" s="2" t="n">
        <v>39</v>
      </c>
      <c r="O736" s="5" t="n">
        <v>3.1</v>
      </c>
      <c r="P736" s="5" t="n">
        <v>0.6</v>
      </c>
      <c r="Q736" s="5" t="n">
        <v>6.4</v>
      </c>
      <c r="R736" s="5" t="n">
        <v>0.8</v>
      </c>
      <c r="S736" s="5" t="n">
        <v>5.5</v>
      </c>
      <c r="T736" s="2" t="n">
        <v>14</v>
      </c>
      <c r="U736" s="2" t="inlineStr">
        <is>
          <t>low</t>
        </is>
      </c>
      <c r="V736" s="5" t="n">
        <v>0.8</v>
      </c>
      <c r="W736" s="2" t="inlineStr">
        <is>
          <t>low</t>
        </is>
      </c>
      <c r="X736" s="3" t="inlineStr"/>
      <c r="Y736" s="3" t="inlineStr">
        <is>
          <t>14% of this dish's available carbohydrate comes from ingredients with a published, measured GI; the rest uses conventional placeholders (see Ingredients sheet)</t>
        </is>
      </c>
      <c r="Z736" s="2" t="n">
        <v>14</v>
      </c>
      <c r="AA736" s="3" t="inlineStr">
        <is>
          <t>vegetarian, gluten-free, nut-free, low-carb, no-cook</t>
        </is>
      </c>
      <c r="AB736" s="3" t="inlineStr">
        <is>
          <t>1. Slice cucumber thin; salt 10 minutes; drain.
2. Mix yogurt, dill, vinegar.
3. Toss with cucumber and onion.</t>
        </is>
      </c>
      <c r="AC736" s="4" t="inlineStr">
        <is>
          <t>["Slice cucumber thin; salt 10 minutes; drain.", "Mix yogurt, dill, vinegar.", "Toss with cucumber and onion."]</t>
        </is>
      </c>
    </row>
    <row r="737" ht="96" customHeight="1">
      <c r="A737" s="2" t="inlineStr">
        <is>
          <t>DB-0736</t>
        </is>
      </c>
      <c r="B737" s="3" t="inlineStr">
        <is>
          <t>Roasted Cauliflower with Turmeric</t>
        </is>
      </c>
      <c r="C737" s="4" t="inlineStr">
        <is>
          <t>Side Dish</t>
        </is>
      </c>
      <c r="D737" s="4" t="inlineStr">
        <is>
          <t>Indian</t>
        </is>
      </c>
      <c r="E737" s="2" t="n">
        <v>4</v>
      </c>
      <c r="F737" s="2" t="n">
        <v>5</v>
      </c>
      <c r="G737" s="2" t="n">
        <v>25</v>
      </c>
      <c r="H737" s="2" t="n">
        <v>30</v>
      </c>
      <c r="I737" s="4" t="inlineStr">
        <is>
          <t>roasted-cauliflower-with-turmeric.jpg</t>
        </is>
      </c>
      <c r="J737" s="3" t="inlineStr">
        <is>
          <t>Roasted Cauliflower with Turmeric, healthy food photography, plated, natural light</t>
        </is>
      </c>
      <c r="K737" s="4" t="inlineStr"/>
      <c r="L737" s="3" t="inlineStr">
        <is>
          <t>Cauliflower — 700 g (24.7 oz)
Extra-virgin olive oil — 15 g (0.5 oz)
Ground turmeric — 3 g (0.1 oz)
Ground cumin — 2 g (0.1 oz)
Garlic powder — 2 g (0.1 oz)
Fresh cilantro — 6 g (0.2 oz)
Lemon (with juice &amp; zest) — 20 g (0.7 oz)
Salt — 2 g (0.1 oz)</t>
        </is>
      </c>
      <c r="M737" s="4" t="inlineStr">
        <is>
          <t>[{"ingredient_id": "cauliflower", "name": "Cauliflower", "grams": 700.0, "note": ""}, {"ingredient_id": "olive_oil", "name": "Extra-virgin olive oil", "grams": 15.0, "note": ""}, {"ingredient_id": "turmeric", "name": "Ground turmeric", "grams": 3.0, "note": ""}, {"ingredient_id": "cumin", "name": "Ground cumin", "grams": 2.0, "note": ""}, {"ingredient_id": "garlic_powder", "name": "Garlic powder", "grams": 2.0, "note": ""}, {"ingredient_id": "cilantro", "name": "Fresh cilantro", "grams": 6.0, "note": ""}, {"ingredient_id": "lemon", "name": "Lemon (with juice &amp; zest)", "grams": 20.0, "note": ""}, {"ingredient_id": "salt", "name": "Salt", "grams": 2.0, "note": ""}]</t>
        </is>
      </c>
      <c r="N737" s="2" t="n">
        <v>85</v>
      </c>
      <c r="O737" s="5" t="n">
        <v>3.7</v>
      </c>
      <c r="P737" s="5" t="n">
        <v>4.4</v>
      </c>
      <c r="Q737" s="5" t="n">
        <v>10.4</v>
      </c>
      <c r="R737" s="5" t="n">
        <v>3.9</v>
      </c>
      <c r="S737" s="5" t="n">
        <v>6.4</v>
      </c>
      <c r="T737" s="2" t="n">
        <v>15</v>
      </c>
      <c r="U737" s="2" t="inlineStr">
        <is>
          <t>low</t>
        </is>
      </c>
      <c r="V737" s="5" t="n">
        <v>1</v>
      </c>
      <c r="W737" s="2" t="inlineStr">
        <is>
          <t>low</t>
        </is>
      </c>
      <c r="X737" s="3" t="inlineStr"/>
      <c r="Y737" s="3" t="inlineStr">
        <is>
          <t>0% of this dish's available carbohydrate comes from ingredients with a published, measured GI; the rest uses conventional placeholders (see Ingredients sheet)</t>
        </is>
      </c>
      <c r="Z737" s="2" t="n">
        <v>0</v>
      </c>
      <c r="AA737" s="3" t="inlineStr">
        <is>
          <t>vegan, gluten-free, dairy-free, nut-free, low-carb</t>
        </is>
      </c>
      <c r="AB737" s="3" t="inlineStr">
        <is>
          <t>1. Toss florets with oil and spices.
2. Roast at 425°F 22–25 minutes.
3. Cilantro, lemon.</t>
        </is>
      </c>
      <c r="AC737" s="4" t="inlineStr">
        <is>
          <t>["Toss florets with oil and spices.", "Roast at 425°F 22–25 minutes.", "Cilantro, lemon."]</t>
        </is>
      </c>
    </row>
    <row r="738" ht="96" customHeight="1">
      <c r="A738" s="2" t="inlineStr">
        <is>
          <t>DB-0737</t>
        </is>
      </c>
      <c r="B738" s="3" t="inlineStr">
        <is>
          <t>Sautéed Mushrooms with Thyme</t>
        </is>
      </c>
      <c r="C738" s="4" t="inlineStr">
        <is>
          <t>Side Dish</t>
        </is>
      </c>
      <c r="D738" s="4" t="inlineStr">
        <is>
          <t>French</t>
        </is>
      </c>
      <c r="E738" s="2" t="n">
        <v>4</v>
      </c>
      <c r="F738" s="2" t="n">
        <v>5</v>
      </c>
      <c r="G738" s="2" t="n">
        <v>10</v>
      </c>
      <c r="H738" s="2" t="n">
        <v>15</v>
      </c>
      <c r="I738" s="4" t="inlineStr">
        <is>
          <t>saut-ed-mushrooms-with-thyme.jpg</t>
        </is>
      </c>
      <c r="J738" s="3" t="inlineStr">
        <is>
          <t>Sautéed Mushrooms with Thyme, healthy food photography, plated, natural light</t>
        </is>
      </c>
      <c r="K738" s="4" t="inlineStr"/>
      <c r="L738" s="3" t="inlineStr">
        <is>
          <t>Mushrooms (cremini/white) — 500 g (17.6 oz)
Extra-virgin olive oil — 12 g (0.4 oz)
Butter — 8 g (0.3 oz)
Garlic — 6 g (0.2 oz)
Fresh thyme — 2 g (0.1 oz)
Fresh parsley — 4 g (0.1 oz)
Salt — 2 g (0.1 oz)</t>
        </is>
      </c>
      <c r="M738" s="4" t="inlineStr">
        <is>
          <t>[{"ingredient_id": "mushrooms", "name": "Mushrooms (cremini/white)", "grams": 500.0, "note": ""}, {"ingredient_id": "olive_oil", "name": "Extra-virgin olive oil", "grams": 12.0, "note": ""}, {"ingredient_id": "butter", "name": "Butter", "grams": 8.0, "note": ""}, {"ingredient_id": "garlic", "name": "Garlic", "grams": 6.0, "note": ""}, {"ingredient_id": "thyme", "name": "Fresh thyme", "grams": 2.0, "note": ""}, {"ingredient_id": "parsley", "name": "Fresh parsley", "grams": 4.0, "note": ""}, {"ingredient_id": "salt", "name": "Salt", "grams": 2.0, "note": ""}]</t>
        </is>
      </c>
      <c r="N738" s="2" t="n">
        <v>71</v>
      </c>
      <c r="O738" s="5" t="n">
        <v>4</v>
      </c>
      <c r="P738" s="5" t="n">
        <v>5</v>
      </c>
      <c r="Q738" s="5" t="n">
        <v>4.8</v>
      </c>
      <c r="R738" s="5" t="n">
        <v>1.4</v>
      </c>
      <c r="S738" s="5" t="n">
        <v>3.4</v>
      </c>
      <c r="T738" s="2" t="n">
        <v>17</v>
      </c>
      <c r="U738" s="2" t="inlineStr">
        <is>
          <t>low</t>
        </is>
      </c>
      <c r="V738" s="5" t="n">
        <v>0.6</v>
      </c>
      <c r="W738" s="2" t="inlineStr">
        <is>
          <t>low</t>
        </is>
      </c>
      <c r="X738" s="3" t="inlineStr">
        <is>
          <t>Negligible carbohydrate (&lt;5 g net/serving): GI has little practical meaning, glycemic load is what matters.</t>
        </is>
      </c>
      <c r="Y738" s="3" t="inlineStr">
        <is>
          <t>0% of this dish's available carbohydrate comes from ingredients with a published, measured GI; the rest uses conventional placeholders (see Ingredients sheet)</t>
        </is>
      </c>
      <c r="Z738" s="2" t="n">
        <v>0</v>
      </c>
      <c r="AA738" s="3" t="inlineStr">
        <is>
          <t>vegetarian, gluten-free, nut-free, low-carb, quick</t>
        </is>
      </c>
      <c r="AB738" s="3" t="inlineStr">
        <is>
          <t>1. Sear mushrooms in oil over high heat 6 minutes without stirring much.
2. Add butter, garlic, thyme 2 minutes.
3. Parsley, salt.</t>
        </is>
      </c>
      <c r="AC738" s="4" t="inlineStr">
        <is>
          <t>["Sear mushrooms in oil over high heat 6 minutes without stirring much.", "Add butter, garlic, thyme 2 minutes.", "Parsley, salt."]</t>
        </is>
      </c>
    </row>
    <row r="739" ht="96" customHeight="1">
      <c r="A739" s="2" t="inlineStr">
        <is>
          <t>DB-0738</t>
        </is>
      </c>
      <c r="B739" s="3" t="inlineStr">
        <is>
          <t>Braised Red Cabbage with Apple</t>
        </is>
      </c>
      <c r="C739" s="4" t="inlineStr">
        <is>
          <t>Side Dish</t>
        </is>
      </c>
      <c r="D739" s="4" t="inlineStr">
        <is>
          <t>German</t>
        </is>
      </c>
      <c r="E739" s="2" t="n">
        <v>6</v>
      </c>
      <c r="F739" s="2" t="n">
        <v>10</v>
      </c>
      <c r="G739" s="2" t="n">
        <v>40</v>
      </c>
      <c r="H739" s="2" t="n">
        <v>50</v>
      </c>
      <c r="I739" s="4" t="inlineStr">
        <is>
          <t>braised-red-cabbage-with-apple.jpg</t>
        </is>
      </c>
      <c r="J739" s="3" t="inlineStr">
        <is>
          <t>Braised Red Cabbage with Apple, healthy food photography, plated, natural light</t>
        </is>
      </c>
      <c r="K739" s="4" t="inlineStr"/>
      <c r="L739" s="3" t="inlineStr">
        <is>
          <t>Red cabbage — 800 g (28.2 oz)
Apple — 150 g (5.3 oz)
Yellow onion — 80 g (2.8 oz)
Apple cider vinegar — 30 g (1.1 oz)
Extra-virgin olive oil — 12 g (0.4 oz)
Bay leaves — 1 g (0.0 oz)
Monk fruit/erythritol sweetener — 5 g (0.2 oz)
Salt — 2 g (0.1 oz)</t>
        </is>
      </c>
      <c r="M739" s="4" t="inlineStr">
        <is>
          <t>[{"ingredient_id": "red_cabbage", "name": "Red cabbage", "grams": 800.0, "note": ""}, {"ingredient_id": "apple", "name": "Apple", "grams": 150.0, "note": ""}, {"ingredient_id": "onion", "name": "Yellow onion", "grams": 80.0, "note": ""}, {"ingredient_id": "apple_cider_vinegar", "name": "Apple cider vinegar", "grams": 30.0, "note": ""}, {"ingredient_id": "olive_oil", "name": "Extra-virgin olive oil", "grams": 12.0, "note": ""}, {"ingredient_id": "bay_leaf", "name": "Bay leaves", "grams": 1.0, "note": ""}, {"ingredient_id": "monk_fruit_sweetener", "name": "Monk fruit/erythritol sweetener", "grams": 5.0, "note": ""}, {"ingredient_id": "salt", "name": "Salt", "grams": 2.0, "note": ""}]</t>
        </is>
      </c>
      <c r="N739" s="2" t="n">
        <v>79</v>
      </c>
      <c r="O739" s="5" t="n">
        <v>2.1</v>
      </c>
      <c r="P739" s="5" t="n">
        <v>2.3</v>
      </c>
      <c r="Q739" s="5" t="n">
        <v>14.8</v>
      </c>
      <c r="R739" s="5" t="n">
        <v>3.7</v>
      </c>
      <c r="S739" s="5" t="n">
        <v>11.1</v>
      </c>
      <c r="T739" s="2" t="n">
        <v>20</v>
      </c>
      <c r="U739" s="2" t="inlineStr">
        <is>
          <t>low</t>
        </is>
      </c>
      <c r="V739" s="5" t="n">
        <v>2.2</v>
      </c>
      <c r="W739" s="2" t="inlineStr">
        <is>
          <t>low</t>
        </is>
      </c>
      <c r="X739" s="3" t="inlineStr"/>
      <c r="Y739" s="3" t="inlineStr">
        <is>
          <t>26% of this dish's available carbohydrate comes from ingredients with a published, measured GI; the rest uses conventional placeholders (see Ingredients sheet)</t>
        </is>
      </c>
      <c r="Z739" s="2" t="n">
        <v>26</v>
      </c>
      <c r="AA739" s="3" t="inlineStr">
        <is>
          <t>vegan, gluten-free, dairy-free, nut-free, low-carb, make-ahead</t>
        </is>
      </c>
      <c r="AB739" s="3" t="inlineStr">
        <is>
          <t>1. Sauté onion in oil; add shredded cabbage and apple.
2. Add vinegar, bay, sweetener, salt, 100 ml water; cover.
3. Simmer 35 minutes.</t>
        </is>
      </c>
      <c r="AC739" s="4" t="inlineStr">
        <is>
          <t>["Sauté onion in oil; add shredded cabbage and apple.", "Add vinegar, bay, sweetener, salt, 100 ml water; cover.", "Simmer 35 minutes."]</t>
        </is>
      </c>
    </row>
    <row r="740" ht="96" customHeight="1">
      <c r="A740" s="2" t="inlineStr">
        <is>
          <t>DB-0739</t>
        </is>
      </c>
      <c r="B740" s="3" t="inlineStr">
        <is>
          <t>Greek Green Beans (Fasolakia)</t>
        </is>
      </c>
      <c r="C740" s="4" t="inlineStr">
        <is>
          <t>Side Dish</t>
        </is>
      </c>
      <c r="D740" s="4" t="inlineStr">
        <is>
          <t>Greek</t>
        </is>
      </c>
      <c r="E740" s="2" t="n">
        <v>4</v>
      </c>
      <c r="F740" s="2" t="n">
        <v>10</v>
      </c>
      <c r="G740" s="2" t="n">
        <v>35</v>
      </c>
      <c r="H740" s="2" t="n">
        <v>45</v>
      </c>
      <c r="I740" s="4" t="inlineStr">
        <is>
          <t>greek-green-beans-fasolakia.jpg</t>
        </is>
      </c>
      <c r="J740" s="3" t="inlineStr">
        <is>
          <t>Greek Green Beans (Fasolakia), healthy food photography, plated, natural light</t>
        </is>
      </c>
      <c r="K740" s="4" t="inlineStr"/>
      <c r="L740" s="3" t="inlineStr">
        <is>
          <t>Green beans — 600 g (21.2 oz)
Diced tomatoes, canned — 400 g (14.1 oz)
Yellow onion — 100 g (3.5 oz)
Garlic — 6 g (0.2 oz)
Extra-virgin olive oil — 25 g (0.9 oz)
Fresh dill — 6 g (0.2 oz)
Salt — 2 g (0.1 oz)</t>
        </is>
      </c>
      <c r="M740" s="4" t="inlineStr">
        <is>
          <t>[{"ingredient_id": "green_beans", "name": "Green beans", "grams": 600.0, "note": ""}, {"ingredient_id": "diced_tomatoes", "name": "Diced tomatoes, canned", "grams": 400.0, "note": ""}, {"ingredient_id": "onion", "name": "Yellow onion", "grams": 100.0, "note": ""}, {"ingredient_id": "garlic", "name": "Garlic", "grams": 6.0, "note": ""}, {"ingredient_id": "olive_oil", "name": "Extra-virgin olive oil", "grams": 25.0, "note": ""}, {"ingredient_id": "dill", "name": "Fresh dill", "grams": 6.0, "note": ""}, {"ingredient_id": "salt", "name": "Salt", "grams": 2.0, "note": ""}]</t>
        </is>
      </c>
      <c r="N740" s="2" t="n">
        <v>139</v>
      </c>
      <c r="O740" s="5" t="n">
        <v>4.3</v>
      </c>
      <c r="P740" s="5" t="n">
        <v>6.8</v>
      </c>
      <c r="Q740" s="5" t="n">
        <v>18.4</v>
      </c>
      <c r="R740" s="5" t="n">
        <v>6</v>
      </c>
      <c r="S740" s="5" t="n">
        <v>12.4</v>
      </c>
      <c r="T740" s="2" t="n">
        <v>21</v>
      </c>
      <c r="U740" s="2" t="inlineStr">
        <is>
          <t>low</t>
        </is>
      </c>
      <c r="V740" s="5" t="n">
        <v>2.6</v>
      </c>
      <c r="W740" s="2" t="inlineStr">
        <is>
          <t>low</t>
        </is>
      </c>
      <c r="X740" s="3" t="inlineStr"/>
      <c r="Y740" s="3" t="inlineStr">
        <is>
          <t>0% of this dish's available carbohydrate comes from ingredients with a published, measured GI; the rest uses conventional placeholders (see Ingredients sheet)</t>
        </is>
      </c>
      <c r="Z740" s="2" t="n">
        <v>0</v>
      </c>
      <c r="AA740" s="3" t="inlineStr">
        <is>
          <t>vegan, gluten-free, dairy-free, nut-free, low-carb, make-ahead</t>
        </is>
      </c>
      <c r="AB740" s="3" t="inlineStr">
        <is>
          <t>1. Sauté onion and garlic in oil.
2. Add beans and tomatoes; simmer covered 30 minutes.
3. Dill, salt.</t>
        </is>
      </c>
      <c r="AC740" s="4" t="inlineStr">
        <is>
          <t>["Sauté onion and garlic in oil.", "Add beans and tomatoes; simmer covered 30 minutes.", "Dill, salt."]</t>
        </is>
      </c>
    </row>
    <row r="741" ht="96" customHeight="1">
      <c r="A741" s="2" t="inlineStr">
        <is>
          <t>DB-0740</t>
        </is>
      </c>
      <c r="B741" s="3" t="inlineStr">
        <is>
          <t>Mashed Sweet Potato with Cinnamon (Small Portion)</t>
        </is>
      </c>
      <c r="C741" s="4" t="inlineStr">
        <is>
          <t>Side Dish</t>
        </is>
      </c>
      <c r="D741" s="4" t="inlineStr">
        <is>
          <t>American</t>
        </is>
      </c>
      <c r="E741" s="2" t="n">
        <v>6</v>
      </c>
      <c r="F741" s="2" t="n">
        <v>5</v>
      </c>
      <c r="G741" s="2" t="n">
        <v>25</v>
      </c>
      <c r="H741" s="2" t="n">
        <v>30</v>
      </c>
      <c r="I741" s="4" t="inlineStr">
        <is>
          <t>mashed-sweet-potato-with-cinnamon-small-portion.jpg</t>
        </is>
      </c>
      <c r="J741" s="3" t="inlineStr">
        <is>
          <t>Mashed Sweet Potato with Cinnamon (Small Portion), healthy food photography, plated, natural light</t>
        </is>
      </c>
      <c r="K741" s="4" t="inlineStr"/>
      <c r="L741" s="3" t="inlineStr">
        <is>
          <t>Sweet potato, boiled/simmered — 600 g (21.2 oz)
Greek yogurt, plain 2% — 60 g (2.1 oz)
Butter — 10 g (0.4 oz)
Ground cinnamon — 2 g (0.1 oz)
Salt — 1 g (0.0 oz)
Pecans — 20 g (0.7 oz)</t>
        </is>
      </c>
      <c r="M741" s="4" t="inlineStr">
        <is>
          <t>[{"ingredient_id": "sweet_potato", "name": "Sweet potato, boiled/simmered", "grams": 600.0, "note": ""}, {"ingredient_id": "greek_yogurt", "name": "Greek yogurt, plain 2%", "grams": 60.0, "note": ""}, {"ingredient_id": "butter", "name": "Butter", "grams": 10.0, "note": ""}, {"ingredient_id": "cinnamon", "name": "Ground cinnamon", "grams": 2.0, "note": ""}, {"ingredient_id": "salt", "name": "Salt", "grams": 1.0, "note": ""}, {"ingredient_id": "pecans", "name": "Pecans", "grams": 20.0, "note": ""}]</t>
        </is>
      </c>
      <c r="N741" s="2" t="n">
        <v>129</v>
      </c>
      <c r="O741" s="5" t="n">
        <v>2.9</v>
      </c>
      <c r="P741" s="5" t="n">
        <v>4.1</v>
      </c>
      <c r="Q741" s="5" t="n">
        <v>21.1</v>
      </c>
      <c r="R741" s="5" t="n">
        <v>3.5</v>
      </c>
      <c r="S741" s="5" t="n">
        <v>17.6</v>
      </c>
      <c r="T741" s="2" t="n">
        <v>45</v>
      </c>
      <c r="U741" s="2" t="inlineStr">
        <is>
          <t>low</t>
        </is>
      </c>
      <c r="V741" s="5" t="n">
        <v>7.9</v>
      </c>
      <c r="W741" s="2" t="inlineStr">
        <is>
          <t>low</t>
        </is>
      </c>
      <c r="X741" s="3" t="inlineStr"/>
      <c r="Y741" s="3" t="inlineStr">
        <is>
          <t>99% of this dish's available carbohydrate comes from ingredients with a published, measured GI; the rest uses conventional placeholders (see Ingredients sheet)</t>
        </is>
      </c>
      <c r="Z741" s="2" t="n">
        <v>99</v>
      </c>
      <c r="AA741" s="3" t="inlineStr">
        <is>
          <t>vegetarian, gluten-free</t>
        </is>
      </c>
      <c r="AB741" s="3" t="inlineStr">
        <is>
          <t>1. Boil cubed sweet potato 20 minutes; drain.
2. Mash with yogurt, butter, cinnamon, salt.
3. Pecans.</t>
        </is>
      </c>
      <c r="AC741" s="4" t="inlineStr">
        <is>
          <t>["Boil cubed sweet potato 20 minutes; drain.", "Mash with yogurt, butter, cinnamon, salt.", "Pecans."]</t>
        </is>
      </c>
    </row>
    <row r="742" ht="96" customHeight="1">
      <c r="A742" s="2" t="inlineStr">
        <is>
          <t>DB-0741</t>
        </is>
      </c>
      <c r="B742" s="3" t="inlineStr">
        <is>
          <t>Roasted Radishes</t>
        </is>
      </c>
      <c r="C742" s="4" t="inlineStr">
        <is>
          <t>Side Dish</t>
        </is>
      </c>
      <c r="D742" s="4" t="inlineStr">
        <is>
          <t>American</t>
        </is>
      </c>
      <c r="E742" s="2" t="n">
        <v>4</v>
      </c>
      <c r="F742" s="2" t="n">
        <v>5</v>
      </c>
      <c r="G742" s="2" t="n">
        <v>25</v>
      </c>
      <c r="H742" s="2" t="n">
        <v>30</v>
      </c>
      <c r="I742" s="4" t="inlineStr">
        <is>
          <t>roasted-radishes.jpg</t>
        </is>
      </c>
      <c r="J742" s="3" t="inlineStr">
        <is>
          <t>Roasted Radishes, healthy food photography, plated, natural light</t>
        </is>
      </c>
      <c r="K742" s="4" t="inlineStr"/>
      <c r="L742" s="3" t="inlineStr">
        <is>
          <t>Radishes — 500 g (17.6 oz)
Extra-virgin olive oil — 12 g (0.4 oz)
Garlic — 5 g (0.2 oz)
Fresh thyme — 2 g (0.1 oz)
Salt — 2 g (0.1 oz)
Lemon (with juice &amp; zest) — 15 g (0.5 oz)</t>
        </is>
      </c>
      <c r="M742" s="4" t="inlineStr">
        <is>
          <t>[{"ingredient_id": "radish", "name": "Radishes", "grams": 500.0, "note": ""}, {"ingredient_id": "olive_oil", "name": "Extra-virgin olive oil", "grams": 12.0, "note": ""}, {"ingredient_id": "garlic", "name": "Garlic", "grams": 5.0, "note": ""}, {"ingredient_id": "thyme", "name": "Fresh thyme", "grams": 2.0, "note": ""}, {"ingredient_id": "salt", "name": "Salt", "grams": 2.0, "note": ""}, {"ingredient_id": "lemon", "name": "Lemon (with juice &amp; zest)", "grams": 15.0, "note": ""}]</t>
        </is>
      </c>
      <c r="N742" s="2" t="n">
        <v>50</v>
      </c>
      <c r="O742" s="5" t="n">
        <v>1</v>
      </c>
      <c r="P742" s="5" t="n">
        <v>3.2</v>
      </c>
      <c r="Q742" s="5" t="n">
        <v>5.1</v>
      </c>
      <c r="R742" s="5" t="n">
        <v>2.2</v>
      </c>
      <c r="S742" s="5" t="n">
        <v>2.9</v>
      </c>
      <c r="T742" s="2" t="n">
        <v>17</v>
      </c>
      <c r="U742" s="2" t="inlineStr">
        <is>
          <t>low</t>
        </is>
      </c>
      <c r="V742" s="5" t="n">
        <v>0.5</v>
      </c>
      <c r="W742" s="2" t="inlineStr">
        <is>
          <t>low</t>
        </is>
      </c>
      <c r="X742" s="3" t="inlineStr">
        <is>
          <t>Negligible carbohydrate (&lt;5 g net/serving): GI has little practical meaning, glycemic load is what matters.</t>
        </is>
      </c>
      <c r="Y742" s="3" t="inlineStr">
        <is>
          <t>0% of this dish's available carbohydrate comes from ingredients with a published, measured GI; the rest uses conventional placeholders (see Ingredients sheet)</t>
        </is>
      </c>
      <c r="Z742" s="2" t="n">
        <v>0</v>
      </c>
      <c r="AA742" s="3" t="inlineStr">
        <is>
          <t>vegan, gluten-free, dairy-free, nut-free, low-carb</t>
        </is>
      </c>
      <c r="AB742" s="3" t="inlineStr">
        <is>
          <t>1. Halve radishes; toss with oil, garlic, thyme, salt.
2. Roast at 425°F 22 minutes.
3. Lemon.</t>
        </is>
      </c>
      <c r="AC742" s="4" t="inlineStr">
        <is>
          <t>["Halve radishes; toss with oil, garlic, thyme, salt.", "Roast at 425°F 22 minutes.", "Lemon."]</t>
        </is>
      </c>
    </row>
    <row r="743" ht="96" customHeight="1">
      <c r="A743" s="2" t="inlineStr">
        <is>
          <t>DB-0742</t>
        </is>
      </c>
      <c r="B743" s="3" t="inlineStr">
        <is>
          <t>Creamed Spinach (Yogurt)</t>
        </is>
      </c>
      <c r="C743" s="4" t="inlineStr">
        <is>
          <t>Side Dish</t>
        </is>
      </c>
      <c r="D743" s="4" t="inlineStr">
        <is>
          <t>American</t>
        </is>
      </c>
      <c r="E743" s="2" t="n">
        <v>4</v>
      </c>
      <c r="F743" s="2" t="n">
        <v>5</v>
      </c>
      <c r="G743" s="2" t="n">
        <v>12</v>
      </c>
      <c r="H743" s="2" t="n">
        <v>17</v>
      </c>
      <c r="I743" s="4" t="inlineStr">
        <is>
          <t>creamed-spinach-yogurt.jpg</t>
        </is>
      </c>
      <c r="J743" s="3" t="inlineStr">
        <is>
          <t>Creamed Spinach (Yogurt), healthy food photography, plated, natural light</t>
        </is>
      </c>
      <c r="K743" s="4" t="inlineStr"/>
      <c r="L743" s="3" t="inlineStr">
        <is>
          <t>Spinach — 600 g (21.2 oz)
Cream cheese — 50 g (1.8 oz)
Greek yogurt, plain 2% — 80 g (2.8 oz)
Garlic — 5 g (0.2 oz)
Parmesan, grated — 25 g (0.9 oz)
Ground nutmeg — 0.3 g (0.0 oz)
Extra-virgin olive oil — 8 g (0.3 oz)
Salt — 2 g (0.1 oz)</t>
        </is>
      </c>
      <c r="M743" s="4" t="inlineStr">
        <is>
          <t>[{"ingredient_id": "spinach", "name": "Spinach", "grams": 600.0, "note": ""}, {"ingredient_id": "cream_cheese", "name": "Cream cheese", "grams": 50.0, "note": ""}, {"ingredient_id": "greek_yogurt", "name": "Greek yogurt, plain 2%", "grams": 80.0, "note": ""}, {"ingredient_id": "garlic", "name": "Garlic", "grams": 5.0, "note": ""}, {"ingredient_id": "parmesan", "name": "Parmesan, grated", "grams": 25.0, "note": ""}, {"ingredient_id": "nutmeg", "name": "Ground nutmeg", "grams": 0.3, "note": ""}, {"ingredient_id": "olive_oil", "name": "Extra-virgin olive oil", "grams": 8.0, "note": ""}, {"ingredient_id": "salt", "name": "Salt", "grams": 2.0, "note": ""}]</t>
        </is>
      </c>
      <c r="N743" s="2" t="n">
        <v>139</v>
      </c>
      <c r="O743" s="5" t="n">
        <v>9.6</v>
      </c>
      <c r="P743" s="5" t="n">
        <v>9.1</v>
      </c>
      <c r="Q743" s="5" t="n">
        <v>7.4</v>
      </c>
      <c r="R743" s="5" t="n">
        <v>3.3</v>
      </c>
      <c r="S743" s="5" t="n">
        <v>4.1</v>
      </c>
      <c r="T743" s="2" t="n">
        <v>13</v>
      </c>
      <c r="U743" s="2" t="inlineStr">
        <is>
          <t>low</t>
        </is>
      </c>
      <c r="V743" s="5" t="n">
        <v>0.5</v>
      </c>
      <c r="W743" s="2" t="inlineStr">
        <is>
          <t>low</t>
        </is>
      </c>
      <c r="X743" s="3" t="inlineStr">
        <is>
          <t>Negligible carbohydrate (&lt;5 g net/serving): GI has little practical meaning, glycemic load is what matters.</t>
        </is>
      </c>
      <c r="Y743" s="3" t="inlineStr">
        <is>
          <t>20% of this dish's available carbohydrate comes from ingredients with a published, measured GI; the rest uses conventional placeholders (see Ingredients sheet)</t>
        </is>
      </c>
      <c r="Z743" s="2" t="n">
        <v>20</v>
      </c>
      <c r="AA743" s="3" t="inlineStr">
        <is>
          <t>vegetarian, gluten-free, nut-free, low-carb</t>
        </is>
      </c>
      <c r="AB743" s="3" t="inlineStr">
        <is>
          <t>1. Sauté garlic in oil; wilt spinach; squeeze out excess liquid.
2. Stir in cream cheese, yogurt, parmesan, nutmeg.
3. Heat gently; salt.</t>
        </is>
      </c>
      <c r="AC743" s="4" t="inlineStr">
        <is>
          <t>["Sauté garlic in oil; wilt spinach; squeeze out excess liquid.", "Stir in cream cheese, yogurt, parmesan, nutmeg.", "Heat gently; salt."]</t>
        </is>
      </c>
    </row>
    <row r="744" ht="96" customHeight="1">
      <c r="A744" s="2" t="inlineStr">
        <is>
          <t>DB-0743</t>
        </is>
      </c>
      <c r="B744" s="3" t="inlineStr">
        <is>
          <t>Lentil Salad Side with Lemon &amp; Parsley</t>
        </is>
      </c>
      <c r="C744" s="4" t="inlineStr">
        <is>
          <t>Side Dish</t>
        </is>
      </c>
      <c r="D744" s="4" t="inlineStr">
        <is>
          <t>French</t>
        </is>
      </c>
      <c r="E744" s="2" t="n">
        <v>6</v>
      </c>
      <c r="F744" s="2" t="n">
        <v>10</v>
      </c>
      <c r="G744" s="2" t="n">
        <v>0</v>
      </c>
      <c r="H744" s="2" t="n">
        <v>10</v>
      </c>
      <c r="I744" s="4" t="inlineStr">
        <is>
          <t>lentil-salad-side-with-lemon-and-parsley.jpg</t>
        </is>
      </c>
      <c r="J744" s="3" t="inlineStr">
        <is>
          <t>Lentil Salad Side with Lemon &amp; Parsley, healthy food photography, plated, natural light</t>
        </is>
      </c>
      <c r="K744" s="4" t="inlineStr"/>
      <c r="L744" s="3" t="inlineStr">
        <is>
          <t>Lentils, cooked — 600 g (21.2 oz)
Shallot — 40 g (1.4 oz)
Fresh parsley — 15 g (0.5 oz)
Dijon mustard — 10 g (0.4 oz)
Lemon juice — 25 g (0.9 oz)
Extra-virgin olive oil — 25 g (0.9 oz)
Salt — 2 g (0.1 oz)</t>
        </is>
      </c>
      <c r="M744" s="4" t="inlineStr">
        <is>
          <t>[{"ingredient_id": "lentils", "name": "Lentils, cooked", "grams": 600.0, "note": ""}, {"ingredient_id": "shallot", "name": "Shallot", "grams": 40.0, "note": ""}, {"ingredient_id": "parsley", "name": "Fresh parsley", "grams": 15.0, "note": ""}, {"ingredient_id": "dijon", "name": "Dijon mustard", "grams": 10.0, "note": ""}, {"ingredient_id": "lemon_juice", "name": "Lemon juice", "grams": 25.0, "note": ""}, {"ingredient_id": "olive_oil", "name": "Extra-virgin olive oil", "grams": 25.0, "note": ""}, {"ingredient_id": "salt", "name": "Salt", "grams": 2.0, "note": ""}]</t>
        </is>
      </c>
      <c r="N744" s="2" t="n">
        <v>161</v>
      </c>
      <c r="O744" s="5" t="n">
        <v>9.300000000000001</v>
      </c>
      <c r="P744" s="5" t="n">
        <v>4.7</v>
      </c>
      <c r="Q744" s="5" t="n">
        <v>21.7</v>
      </c>
      <c r="R744" s="5" t="n">
        <v>8.300000000000001</v>
      </c>
      <c r="S744" s="5" t="n">
        <v>13.4</v>
      </c>
      <c r="T744" s="2" t="n">
        <v>34</v>
      </c>
      <c r="U744" s="2" t="inlineStr">
        <is>
          <t>low</t>
        </is>
      </c>
      <c r="V744" s="5" t="n">
        <v>4.6</v>
      </c>
      <c r="W744" s="2" t="inlineStr">
        <is>
          <t>low</t>
        </is>
      </c>
      <c r="X744" s="3" t="inlineStr"/>
      <c r="Y744" s="3" t="inlineStr">
        <is>
          <t>90% of this dish's available carbohydrate comes from ingredients with a published, measured GI; the rest uses conventional placeholders (see Ingredients sheet)</t>
        </is>
      </c>
      <c r="Z744" s="2" t="n">
        <v>90</v>
      </c>
      <c r="AA744" s="3" t="inlineStr">
        <is>
          <t>vegan, gluten-free, dairy-free, nut-free, low-carb, high-fiber, no-cook, make-ahead</t>
        </is>
      </c>
      <c r="AB744" s="3" t="inlineStr">
        <is>
          <t>1. Whisk Dijon, lemon, oil, salt.
2. Toss with lentils, shallot, parsley.
3. Serve at room temperature.</t>
        </is>
      </c>
      <c r="AC744" s="4" t="inlineStr">
        <is>
          <t>["Whisk Dijon, lemon, oil, salt.", "Toss with lentils, shallot, parsley.", "Serve at room temperature."]</t>
        </is>
      </c>
    </row>
    <row r="745" ht="96" customHeight="1">
      <c r="A745" s="2" t="inlineStr">
        <is>
          <t>DB-0744</t>
        </is>
      </c>
      <c r="B745" s="3" t="inlineStr">
        <is>
          <t>Grilled Zucchini with Feta &amp; Mint</t>
        </is>
      </c>
      <c r="C745" s="4" t="inlineStr">
        <is>
          <t>Side Dish</t>
        </is>
      </c>
      <c r="D745" s="4" t="inlineStr">
        <is>
          <t>Greek</t>
        </is>
      </c>
      <c r="E745" s="2" t="n">
        <v>4</v>
      </c>
      <c r="F745" s="2" t="n">
        <v>5</v>
      </c>
      <c r="G745" s="2" t="n">
        <v>8</v>
      </c>
      <c r="H745" s="2" t="n">
        <v>13</v>
      </c>
      <c r="I745" s="4" t="inlineStr">
        <is>
          <t>grilled-zucchini-with-feta-and-mint.jpg</t>
        </is>
      </c>
      <c r="J745" s="3" t="inlineStr">
        <is>
          <t>Grilled Zucchini with Feta &amp; Mint, healthy food photography, plated, natural light</t>
        </is>
      </c>
      <c r="K745" s="4" t="inlineStr"/>
      <c r="L745" s="3" t="inlineStr">
        <is>
          <t>Zucchini — 600 g (21.2 oz)
Extra-virgin olive oil — 15 g (0.5 oz)
Feta cheese — 40 g (1.4 oz)
Fresh mint — 6 g (0.2 oz)
Lemon (with juice &amp; zest) — 20 g (0.7 oz)
Salt — 2 g (0.1 oz)</t>
        </is>
      </c>
      <c r="M745" s="4" t="inlineStr">
        <is>
          <t>[{"ingredient_id": "zucchini", "name": "Zucchini", "grams": 600.0, "note": ""}, {"ingredient_id": "olive_oil", "name": "Extra-virgin olive oil", "grams": 15.0, "note": ""}, {"ingredient_id": "feta", "name": "Feta cheese", "grams": 40.0, "note": ""}, {"ingredient_id": "mint", "name": "Fresh mint", "grams": 6.0, "note": ""}, {"ingredient_id": "lemon", "name": "Lemon (with juice &amp; zest)", "grams": 20.0, "note": ""}, {"ingredient_id": "salt", "name": "Salt", "grams": 2.0, "note": ""}]</t>
        </is>
      </c>
      <c r="N745" s="2" t="n">
        <v>87</v>
      </c>
      <c r="O745" s="5" t="n">
        <v>3.3</v>
      </c>
      <c r="P745" s="5" t="n">
        <v>6.3</v>
      </c>
      <c r="Q745" s="5" t="n">
        <v>5.6</v>
      </c>
      <c r="R745" s="5" t="n">
        <v>1.7</v>
      </c>
      <c r="S745" s="5" t="n">
        <v>3.9</v>
      </c>
      <c r="T745" s="2" t="n">
        <v>14</v>
      </c>
      <c r="U745" s="2" t="inlineStr">
        <is>
          <t>low</t>
        </is>
      </c>
      <c r="V745" s="5" t="n">
        <v>0.5</v>
      </c>
      <c r="W745" s="2" t="inlineStr">
        <is>
          <t>low</t>
        </is>
      </c>
      <c r="X745" s="3" t="inlineStr">
        <is>
          <t>Negligible carbohydrate (&lt;5 g net/serving): GI has little practical meaning, glycemic load is what matters.</t>
        </is>
      </c>
      <c r="Y745" s="3" t="inlineStr">
        <is>
          <t>0% of this dish's available carbohydrate comes from ingredients with a published, measured GI; the rest uses conventional placeholders (see Ingredients sheet)</t>
        </is>
      </c>
      <c r="Z745" s="2" t="n">
        <v>0</v>
      </c>
      <c r="AA745" s="3" t="inlineStr">
        <is>
          <t>vegetarian, gluten-free, nut-free, low-carb, quick</t>
        </is>
      </c>
      <c r="AB745" s="3" t="inlineStr">
        <is>
          <t>1. Slice zucchini lengthwise; brush oil; salt.
2. Grill 3–4 minutes per side.
3. Feta, mint, lemon.</t>
        </is>
      </c>
      <c r="AC745" s="4" t="inlineStr">
        <is>
          <t>["Slice zucchini lengthwise; brush oil; salt.", "Grill 3–4 minutes per side.", "Feta, mint, lemon."]</t>
        </is>
      </c>
    </row>
    <row r="746" ht="96" customHeight="1">
      <c r="A746" s="2" t="inlineStr">
        <is>
          <t>DB-0745</t>
        </is>
      </c>
      <c r="B746" s="3" t="inlineStr">
        <is>
          <t>Cauliflower 'Couscous' with Herbs</t>
        </is>
      </c>
      <c r="C746" s="4" t="inlineStr">
        <is>
          <t>Side Dish</t>
        </is>
      </c>
      <c r="D746" s="4" t="inlineStr">
        <is>
          <t>Moroccan</t>
        </is>
      </c>
      <c r="E746" s="2" t="n">
        <v>4</v>
      </c>
      <c r="F746" s="2" t="n">
        <v>5</v>
      </c>
      <c r="G746" s="2" t="n">
        <v>6</v>
      </c>
      <c r="H746" s="2" t="n">
        <v>11</v>
      </c>
      <c r="I746" s="4" t="inlineStr">
        <is>
          <t>cauliflower-couscous-with-herbs.jpg</t>
        </is>
      </c>
      <c r="J746" s="3" t="inlineStr">
        <is>
          <t>Cauliflower 'Couscous' with Herbs, healthy food photography, plated, natural light</t>
        </is>
      </c>
      <c r="K746" s="4" t="inlineStr"/>
      <c r="L746" s="3" t="inlineStr">
        <is>
          <t>Cauliflower rice — 600 g (21.2 oz)
Extra-virgin olive oil — 12 g (0.4 oz)
Fresh parsley — 10 g (0.4 oz)
Fresh mint — 5 g (0.2 oz)
Lemon (with juice &amp; zest) — 25 g (0.9 oz)
Almonds — 20 g (0.7 oz)
Ground cumin — 1 g (0.0 oz)
Salt — 2 g (0.1 oz)</t>
        </is>
      </c>
      <c r="M746" s="4" t="inlineStr">
        <is>
          <t>[{"ingredient_id": "cauliflower_rice", "name": "Cauliflower rice", "grams": 600.0, "note": ""}, {"ingredient_id": "olive_oil", "name": "Extra-virgin olive oil", "grams": 12.0, "note": ""}, {"ingredient_id": "parsley", "name": "Fresh parsley", "grams": 10.0, "note": ""}, {"ingredient_id": "mint", "name": "Fresh mint", "grams": 5.0, "note": ""}, {"ingredient_id": "lemon", "name": "Lemon (with juice &amp; zest)", "grams": 25.0, "note": ""}, {"ingredient_id": "almonds", "name": "Almonds", "grams": 20.0, "note": ""}, {"ingredient_id": "cumin", "name": "Ground cumin", "grams": 1.0, "note": ""}, {"ingredient_id": "salt", "name": "Salt", "grams": 2.0, "note": ""}]</t>
        </is>
      </c>
      <c r="N746" s="2" t="n">
        <v>97</v>
      </c>
      <c r="O746" s="5" t="n">
        <v>4.1</v>
      </c>
      <c r="P746" s="5" t="n">
        <v>6.1</v>
      </c>
      <c r="Q746" s="5" t="n">
        <v>9.6</v>
      </c>
      <c r="R746" s="5" t="n">
        <v>4</v>
      </c>
      <c r="S746" s="5" t="n">
        <v>5.6</v>
      </c>
      <c r="T746" s="2" t="n">
        <v>15</v>
      </c>
      <c r="U746" s="2" t="inlineStr">
        <is>
          <t>low</t>
        </is>
      </c>
      <c r="V746" s="5" t="n">
        <v>0.8</v>
      </c>
      <c r="W746" s="2" t="inlineStr">
        <is>
          <t>low</t>
        </is>
      </c>
      <c r="X746" s="3" t="inlineStr"/>
      <c r="Y746" s="3" t="inlineStr">
        <is>
          <t>0% of this dish's available carbohydrate comes from ingredients with a published, measured GI; the rest uses conventional placeholders (see Ingredients sheet)</t>
        </is>
      </c>
      <c r="Z746" s="2" t="n">
        <v>0</v>
      </c>
      <c r="AA746" s="3" t="inlineStr">
        <is>
          <t>vegan, gluten-free, dairy-free, low-carb, quick</t>
        </is>
      </c>
      <c r="AB746" s="3" t="inlineStr">
        <is>
          <t>1. Sauté cauliflower rice with cumin in oil 5 minutes.
2. Toss with herbs and lemon.
3. Almonds, salt.</t>
        </is>
      </c>
      <c r="AC746" s="4" t="inlineStr">
        <is>
          <t>["Sauté cauliflower rice with cumin in oil 5 minutes.", "Toss with herbs and lemon.", "Almonds, salt."]</t>
        </is>
      </c>
    </row>
    <row r="747" ht="96" customHeight="1">
      <c r="A747" s="2" t="inlineStr">
        <is>
          <t>DB-0746</t>
        </is>
      </c>
      <c r="B747" s="3" t="inlineStr">
        <is>
          <t>Roasted Bell Peppers with Garlic</t>
        </is>
      </c>
      <c r="C747" s="4" t="inlineStr">
        <is>
          <t>Side Dish</t>
        </is>
      </c>
      <c r="D747" s="4" t="inlineStr">
        <is>
          <t>Spanish</t>
        </is>
      </c>
      <c r="E747" s="2" t="n">
        <v>4</v>
      </c>
      <c r="F747" s="2" t="n">
        <v>5</v>
      </c>
      <c r="G747" s="2" t="n">
        <v>25</v>
      </c>
      <c r="H747" s="2" t="n">
        <v>30</v>
      </c>
      <c r="I747" s="4" t="inlineStr">
        <is>
          <t>roasted-bell-peppers-with-garlic.jpg</t>
        </is>
      </c>
      <c r="J747" s="3" t="inlineStr">
        <is>
          <t>Roasted Bell Peppers with Garlic, healthy food photography, plated, natural light</t>
        </is>
      </c>
      <c r="K747" s="4" t="inlineStr"/>
      <c r="L747" s="3" t="inlineStr">
        <is>
          <t>Bell pepper — 600 g (21.2 oz)
Extra-virgin olive oil — 15 g (0.5 oz)
Garlic — 8 g (0.3 oz)
Smoked paprika — 2 g (0.1 oz)
Fresh parsley — 4 g (0.1 oz)
Salt — 2 g (0.1 oz)</t>
        </is>
      </c>
      <c r="M747" s="4" t="inlineStr">
        <is>
          <t>[{"ingredient_id": "bell_pepper", "name": "Bell pepper", "grams": 600.0, "note": ""}, {"ingredient_id": "olive_oil", "name": "Extra-virgin olive oil", "grams": 15.0, "note": ""}, {"ingredient_id": "garlic", "name": "Garlic", "grams": 8.0, "note": ""}, {"ingredient_id": "smoked_paprika", "name": "Smoked paprika", "grams": 2.0, "note": ""}, {"ingredient_id": "parsley", "name": "Fresh parsley", "grams": 4.0, "note": ""}, {"ingredient_id": "salt", "name": "Salt", "grams": 2.0, "note": ""}]</t>
        </is>
      </c>
      <c r="N747" s="2" t="n">
        <v>84</v>
      </c>
      <c r="O747" s="5" t="n">
        <v>1.7</v>
      </c>
      <c r="P747" s="5" t="n">
        <v>4.3</v>
      </c>
      <c r="Q747" s="5" t="n">
        <v>10</v>
      </c>
      <c r="R747" s="5" t="n">
        <v>3.4</v>
      </c>
      <c r="S747" s="5" t="n">
        <v>6.6</v>
      </c>
      <c r="T747" s="2" t="n">
        <v>16</v>
      </c>
      <c r="U747" s="2" t="inlineStr">
        <is>
          <t>low</t>
        </is>
      </c>
      <c r="V747" s="5" t="n">
        <v>1.1</v>
      </c>
      <c r="W747" s="2" t="inlineStr">
        <is>
          <t>low</t>
        </is>
      </c>
      <c r="X747" s="3" t="inlineStr"/>
      <c r="Y747" s="3" t="inlineStr">
        <is>
          <t>0% of this dish's available carbohydrate comes from ingredients with a published, measured GI; the rest uses conventional placeholders (see Ingredients sheet)</t>
        </is>
      </c>
      <c r="Z747" s="2" t="n">
        <v>0</v>
      </c>
      <c r="AA747" s="3" t="inlineStr">
        <is>
          <t>vegan, gluten-free, dairy-free, nut-free, low-carb</t>
        </is>
      </c>
      <c r="AB747" s="3" t="inlineStr">
        <is>
          <t>1. Cut peppers into strips; toss with oil, garlic, paprika, salt.
2. Roast at 425°F 22 minutes.
3. Parsley.</t>
        </is>
      </c>
      <c r="AC747" s="4" t="inlineStr">
        <is>
          <t>["Cut peppers into strips; toss with oil, garlic, paprika, salt.", "Roast at 425°F 22 minutes.", "Parsley."]</t>
        </is>
      </c>
    </row>
    <row r="748" ht="96" customHeight="1">
      <c r="A748" s="2" t="inlineStr">
        <is>
          <t>DB-0747</t>
        </is>
      </c>
      <c r="B748" s="3" t="inlineStr">
        <is>
          <t>Barley Pilaf with Mushrooms</t>
        </is>
      </c>
      <c r="C748" s="4" t="inlineStr">
        <is>
          <t>Side Dish</t>
        </is>
      </c>
      <c r="D748" s="4" t="inlineStr">
        <is>
          <t>American</t>
        </is>
      </c>
      <c r="E748" s="2" t="n">
        <v>6</v>
      </c>
      <c r="F748" s="2" t="n">
        <v>5</v>
      </c>
      <c r="G748" s="2" t="n">
        <v>15</v>
      </c>
      <c r="H748" s="2" t="n">
        <v>20</v>
      </c>
      <c r="I748" s="4" t="inlineStr">
        <is>
          <t>barley-pilaf-with-mushrooms.jpg</t>
        </is>
      </c>
      <c r="J748" s="3" t="inlineStr">
        <is>
          <t>Barley Pilaf with Mushrooms, healthy food photography, plated, natural light</t>
        </is>
      </c>
      <c r="K748" s="4" t="inlineStr"/>
      <c r="L748" s="3" t="inlineStr">
        <is>
          <t>Pearl barley, cooked — 600 g (21.2 oz)
Mushrooms (cremini/white) — 250 g (8.8 oz)
Yellow onion — 80 g (2.8 oz)
Garlic — 5 g (0.2 oz)
Extra-virgin olive oil — 12 g (0.4 oz)
Fresh thyme — 2 g (0.1 oz)
Fresh parsley — 6 g (0.2 oz)
Salt — 2 g (0.1 oz)</t>
        </is>
      </c>
      <c r="M748" s="4" t="inlineStr">
        <is>
          <t>[{"ingredient_id": "barley", "name": "Pearl barley, cooked", "grams": 600.0, "note": ""}, {"ingredient_id": "mushrooms", "name": "Mushrooms (cremini/white)", "grams": 250.0, "note": ""}, {"ingredient_id": "onion", "name": "Yellow onion", "grams": 80.0, "note": ""}, {"ingredient_id": "garlic", "name": "Garlic", "grams": 5.0, "note": ""}, {"ingredient_id": "olive_oil", "name": "Extra-virgin olive oil", "grams": 12.0, "note": ""}, {"ingredient_id": "thyme", "name": "Fresh thyme", "grams": 2.0, "note": ""}, {"ingredient_id": "parsley", "name": "Fresh parsley", "grams": 6.0, "note": ""}, {"ingredient_id": "salt", "name": "Salt", "grams": 2.0, "note": ""}]</t>
        </is>
      </c>
      <c r="N748" s="2" t="n">
        <v>157</v>
      </c>
      <c r="O748" s="5" t="n">
        <v>3.8</v>
      </c>
      <c r="P748" s="5" t="n">
        <v>2.6</v>
      </c>
      <c r="Q748" s="5" t="n">
        <v>31</v>
      </c>
      <c r="R748" s="5" t="n">
        <v>4.5</v>
      </c>
      <c r="S748" s="5" t="n">
        <v>26.5</v>
      </c>
      <c r="T748" s="2" t="n">
        <v>42</v>
      </c>
      <c r="U748" s="2" t="inlineStr">
        <is>
          <t>low</t>
        </is>
      </c>
      <c r="V748" s="5" t="n">
        <v>11.1</v>
      </c>
      <c r="W748" s="2" t="inlineStr">
        <is>
          <t>medium</t>
        </is>
      </c>
      <c r="X748" s="3" t="inlineStr"/>
      <c r="Y748" s="3" t="inlineStr">
        <is>
          <t>91% of this dish's available carbohydrate comes from ingredients with a published, measured GI; the rest uses conventional placeholders (see Ingredients sheet)</t>
        </is>
      </c>
      <c r="Z748" s="2" t="n">
        <v>91</v>
      </c>
      <c r="AA748" s="3" t="inlineStr">
        <is>
          <t>vegan, dairy-free, nut-free</t>
        </is>
      </c>
      <c r="AB748" s="3" t="inlineStr">
        <is>
          <t>1. Sauté mushrooms, onion, garlic, thyme in oil 8 minutes.
2. Stir in cooked barley; heat through.
3. Parsley, salt.</t>
        </is>
      </c>
      <c r="AC748" s="4" t="inlineStr">
        <is>
          <t>["Sauté mushrooms, onion, garlic, thyme in oil 8 minutes.", "Stir in cooked barley; heat through.", "Parsley, salt."]</t>
        </is>
      </c>
    </row>
    <row r="749" ht="96" customHeight="1">
      <c r="A749" s="2" t="inlineStr">
        <is>
          <t>DB-0748</t>
        </is>
      </c>
      <c r="B749" s="3" t="inlineStr">
        <is>
          <t>Steamed Broccolini with Sesame</t>
        </is>
      </c>
      <c r="C749" s="4" t="inlineStr">
        <is>
          <t>Side Dish</t>
        </is>
      </c>
      <c r="D749" s="4" t="inlineStr">
        <is>
          <t>Japanese</t>
        </is>
      </c>
      <c r="E749" s="2" t="n">
        <v>4</v>
      </c>
      <c r="F749" s="2" t="n">
        <v>3</v>
      </c>
      <c r="G749" s="2" t="n">
        <v>6</v>
      </c>
      <c r="H749" s="2" t="n">
        <v>9</v>
      </c>
      <c r="I749" s="4" t="inlineStr">
        <is>
          <t>steamed-broccolini-with-sesame.jpg</t>
        </is>
      </c>
      <c r="J749" s="3" t="inlineStr">
        <is>
          <t>Steamed Broccolini with Sesame, healthy food photography, plated, natural light</t>
        </is>
      </c>
      <c r="K749" s="4" t="inlineStr"/>
      <c r="L749" s="3" t="inlineStr">
        <is>
          <t>Broccolini — 500 g (17.6 oz)
Toasted sesame oil — 8 g (0.3 oz)
Tamari (gluten-free soy sauce) — 10 g (0.4 oz)
Sesame seeds — 6 g (0.2 oz)
Garlic — 3 g (0.1 oz)</t>
        </is>
      </c>
      <c r="M749" s="4" t="inlineStr">
        <is>
          <t>[{"ingredient_id": "broccolini", "name": "Broccolini", "grams": 500.0, "note": ""}, {"ingredient_id": "sesame_oil", "name": "Toasted sesame oil", "grams": 8.0, "note": ""}, {"ingredient_id": "tamari", "name": "Tamari (gluten-free soy sauce)", "grams": 10.0, "note": ""}, {"ingredient_id": "sesame_seeds", "name": "Sesame seeds", "grams": 6.0, "note": ""}, {"ingredient_id": "garlic", "name": "Garlic", "grams": 3.0, "note": ""}]</t>
        </is>
      </c>
      <c r="N749" s="2" t="n">
        <v>73</v>
      </c>
      <c r="O749" s="5" t="n">
        <v>4.3</v>
      </c>
      <c r="P749" s="5" t="n">
        <v>3.4</v>
      </c>
      <c r="Q749" s="5" t="n">
        <v>8.800000000000001</v>
      </c>
      <c r="R749" s="5" t="n">
        <v>3.3</v>
      </c>
      <c r="S749" s="5" t="n">
        <v>5.5</v>
      </c>
      <c r="T749" s="2" t="n">
        <v>16</v>
      </c>
      <c r="U749" s="2" t="inlineStr">
        <is>
          <t>low</t>
        </is>
      </c>
      <c r="V749" s="5" t="n">
        <v>0.9</v>
      </c>
      <c r="W749" s="2" t="inlineStr">
        <is>
          <t>low</t>
        </is>
      </c>
      <c r="X749" s="3" t="inlineStr"/>
      <c r="Y749" s="3" t="inlineStr">
        <is>
          <t>0% of this dish's available carbohydrate comes from ingredients with a published, measured GI; the rest uses conventional placeholders (see Ingredients sheet)</t>
        </is>
      </c>
      <c r="Z749" s="2" t="n">
        <v>0</v>
      </c>
      <c r="AA749" s="3" t="inlineStr">
        <is>
          <t>vegan, gluten-free, dairy-free, nut-free, low-carb, quick</t>
        </is>
      </c>
      <c r="AB749" s="3" t="inlineStr">
        <is>
          <t>1. Steam broccolini 4–5 minutes.
2. Toss with sesame oil, tamari, garlic.
3. Sesame seeds.</t>
        </is>
      </c>
      <c r="AC749" s="4" t="inlineStr">
        <is>
          <t>["Steam broccolini 4–5 minutes.", "Toss with sesame oil, tamari, garlic.", "Sesame seeds."]</t>
        </is>
      </c>
    </row>
    <row r="750" ht="96" customHeight="1">
      <c r="A750" s="2" t="inlineStr">
        <is>
          <t>DB-0749</t>
        </is>
      </c>
      <c r="B750" s="3" t="inlineStr">
        <is>
          <t>Eggplant Caponata</t>
        </is>
      </c>
      <c r="C750" s="4" t="inlineStr">
        <is>
          <t>Side Dish</t>
        </is>
      </c>
      <c r="D750" s="4" t="inlineStr">
        <is>
          <t>Sicilian</t>
        </is>
      </c>
      <c r="E750" s="2" t="n">
        <v>6</v>
      </c>
      <c r="F750" s="2" t="n">
        <v>15</v>
      </c>
      <c r="G750" s="2" t="n">
        <v>35</v>
      </c>
      <c r="H750" s="2" t="n">
        <v>50</v>
      </c>
      <c r="I750" s="4" t="inlineStr">
        <is>
          <t>eggplant-caponata.jpg</t>
        </is>
      </c>
      <c r="J750" s="3" t="inlineStr">
        <is>
          <t>Eggplant Caponata, healthy food photography, plated, natural light</t>
        </is>
      </c>
      <c r="K750" s="4" t="inlineStr"/>
      <c r="L750" s="3" t="inlineStr">
        <is>
          <t>Eggplant — 700 g (24.7 oz)
Celery — 100 g (3.5 oz)
Yellow onion — 100 g (3.5 oz)
Diced tomatoes, canned — 300 g (10.6 oz)
Olives (kalamata/green) — 50 g (1.8 oz)
Capers — 15 g (0.5 oz)
Red wine vinegar — 20 g (0.7 oz)
Extra-virgin olive oil — 30 g (1.1 oz)
Monk fruit/erythritol sweetener — 4 g (0.1 oz)
Fresh basil — 6 g (0.2 oz)
Salt — 2 g (0.1 oz)</t>
        </is>
      </c>
      <c r="M750" s="4" t="inlineStr">
        <is>
          <t>[{"ingredient_id": "eggplant", "name": "Eggplant", "grams": 700.0, "note": ""}, {"ingredient_id": "celery", "name": "Celery", "grams": 100.0, "note": ""}, {"ingredient_id": "onion", "name": "Yellow onion", "grams": 100.0, "note": ""}, {"ingredient_id": "diced_tomatoes", "name": "Diced tomatoes, canned", "grams": 300.0, "note": ""}, {"ingredient_id": "olives", "name": "Olives (kalamata/green)", "grams": 50.0, "note": ""}, {"ingredient_id": "capers", "name": "Capers", "grams": 15.0, "note": ""}, {"ingredient_id": "red_wine_vinegar", "name": "Red wine vinegar", "grams": 20.0, "note": ""}, {"ingredient_id": "olive_oil", "name": "Extra-virgin olive oil", "grams": 30.0, "note": ""}, {"ingredient_id": "monk_fruit_sweetener", "name": "Monk fruit/erythritol sweetener", "grams": 4.0, "note": ""}, {"ingredient_id": "basil", "name": "Fresh basil", "grams": 6.0, "note": ""}, {"ingredient_id": "salt", "name": "Salt", "grams": 2.0, "note": ""}]</t>
        </is>
      </c>
      <c r="N750" s="2" t="n">
        <v>106</v>
      </c>
      <c r="O750" s="5" t="n">
        <v>2.2</v>
      </c>
      <c r="P750" s="5" t="n">
        <v>6.3</v>
      </c>
      <c r="Q750" s="5" t="n">
        <v>12.2</v>
      </c>
      <c r="R750" s="5" t="n">
        <v>5.2</v>
      </c>
      <c r="S750" s="5" t="n">
        <v>7</v>
      </c>
      <c r="T750" s="2" t="n">
        <v>20</v>
      </c>
      <c r="U750" s="2" t="inlineStr">
        <is>
          <t>low</t>
        </is>
      </c>
      <c r="V750" s="5" t="n">
        <v>1.4</v>
      </c>
      <c r="W750" s="2" t="inlineStr">
        <is>
          <t>low</t>
        </is>
      </c>
      <c r="X750" s="3" t="inlineStr"/>
      <c r="Y750" s="3" t="inlineStr">
        <is>
          <t>0% of this dish's available carbohydrate comes from ingredients with a published, measured GI; the rest uses conventional placeholders (see Ingredients sheet)</t>
        </is>
      </c>
      <c r="Z750" s="2" t="n">
        <v>0</v>
      </c>
      <c r="AA750" s="3" t="inlineStr">
        <is>
          <t>vegan, gluten-free, dairy-free, nut-free, low-carb, make-ahead</t>
        </is>
      </c>
      <c r="AB750" s="3" t="inlineStr">
        <is>
          <t>1. Sauté eggplant in oil until golden; remove.
2. Sauté onion, celery; add tomatoes, olives, capers, vinegar, sweetener; simmer 10 minutes.
3. Return eggplant; simmer 10 minutes; basil.</t>
        </is>
      </c>
      <c r="AC750" s="4" t="inlineStr">
        <is>
          <t>["Sauté eggplant in oil until golden; remove.", "Sauté onion, celery; add tomatoes, olives, capers, vinegar, sweetener; simmer 10 minutes.", "Return eggplant; simmer 10 minutes; basil."]</t>
        </is>
      </c>
    </row>
    <row r="751" ht="96" customHeight="1">
      <c r="A751" s="2" t="inlineStr">
        <is>
          <t>DB-0750</t>
        </is>
      </c>
      <c r="B751" s="3" t="inlineStr">
        <is>
          <t>Roasted Butternut Squash (Small Portion)</t>
        </is>
      </c>
      <c r="C751" s="4" t="inlineStr">
        <is>
          <t>Side Dish</t>
        </is>
      </c>
      <c r="D751" s="4" t="inlineStr">
        <is>
          <t>American</t>
        </is>
      </c>
      <c r="E751" s="2" t="n">
        <v>6</v>
      </c>
      <c r="F751" s="2" t="n">
        <v>10</v>
      </c>
      <c r="G751" s="2" t="n">
        <v>30</v>
      </c>
      <c r="H751" s="2" t="n">
        <v>40</v>
      </c>
      <c r="I751" s="4" t="inlineStr">
        <is>
          <t>roasted-butternut-squash-small-portion.jpg</t>
        </is>
      </c>
      <c r="J751" s="3" t="inlineStr">
        <is>
          <t>Roasted Butternut Squash (Small Portion), healthy food photography, plated, natural light</t>
        </is>
      </c>
      <c r="K751" s="4" t="inlineStr"/>
      <c r="L751" s="3" t="inlineStr">
        <is>
          <t>Butternut squash — 700 g (24.7 oz)
Extra-virgin olive oil — 15 g (0.5 oz)
Ground cinnamon — 1 g (0.0 oz)
Smoked paprika — 1 g (0.0 oz)
Fresh sage — 2 g (0.1 oz)
Salt — 2 g (0.1 oz)</t>
        </is>
      </c>
      <c r="M751" s="4" t="inlineStr">
        <is>
          <t>[{"ingredient_id": "butternut_squash", "name": "Butternut squash", "grams": 700.0, "note": ""}, {"ingredient_id": "olive_oil", "name": "Extra-virgin olive oil", "grams": 15.0, "note": ""}, {"ingredient_id": "cinnamon", "name": "Ground cinnamon", "grams": 1.0, "note": ""}, {"ingredient_id": "smoked_paprika", "name": "Smoked paprika", "grams": 1.0, "note": ""}, {"ingredient_id": "sage", "name": "Fresh sage", "grams": 2.0, "note": ""}, {"ingredient_id": "salt", "name": "Salt", "grams": 2.0, "note": ""}]</t>
        </is>
      </c>
      <c r="N751" s="2" t="n">
        <v>77</v>
      </c>
      <c r="O751" s="5" t="n">
        <v>1.2</v>
      </c>
      <c r="P751" s="5" t="n">
        <v>2.7</v>
      </c>
      <c r="Q751" s="5" t="n">
        <v>14.4</v>
      </c>
      <c r="R751" s="5" t="n">
        <v>2.6</v>
      </c>
      <c r="S751" s="5" t="n">
        <v>11.8</v>
      </c>
      <c r="T751" s="2" t="n">
        <v>51</v>
      </c>
      <c r="U751" s="2" t="inlineStr">
        <is>
          <t>low</t>
        </is>
      </c>
      <c r="V751" s="5" t="n">
        <v>6</v>
      </c>
      <c r="W751" s="2" t="inlineStr">
        <is>
          <t>low</t>
        </is>
      </c>
      <c r="X751" s="3" t="inlineStr"/>
      <c r="Y751" s="3" t="inlineStr">
        <is>
          <t>99% of this dish's available carbohydrate comes from ingredients with a published, measured GI; the rest uses conventional placeholders (see Ingredients sheet)</t>
        </is>
      </c>
      <c r="Z751" s="2" t="n">
        <v>99</v>
      </c>
      <c r="AA751" s="3" t="inlineStr">
        <is>
          <t>vegan, gluten-free, dairy-free, nut-free, low-carb</t>
        </is>
      </c>
      <c r="AB751" s="3" t="inlineStr">
        <is>
          <t>1. Cube squash; toss with oil, spices, salt.
2. Roast at 425°F 28–30 minutes.
3. Sage.</t>
        </is>
      </c>
      <c r="AC751" s="4" t="inlineStr">
        <is>
          <t>["Cube squash; toss with oil, spices, salt.", "Roast at 425°F 28–30 minutes.", "Sage."]</t>
        </is>
      </c>
    </row>
    <row r="752" ht="96" customHeight="1">
      <c r="A752" s="2" t="inlineStr">
        <is>
          <t>DB-0751</t>
        </is>
      </c>
      <c r="B752" s="3" t="inlineStr">
        <is>
          <t>Kale Salad with Lemon &amp; Parmesan</t>
        </is>
      </c>
      <c r="C752" s="4" t="inlineStr">
        <is>
          <t>Side Dish</t>
        </is>
      </c>
      <c r="D752" s="4" t="inlineStr">
        <is>
          <t>Italian</t>
        </is>
      </c>
      <c r="E752" s="2" t="n">
        <v>4</v>
      </c>
      <c r="F752" s="2" t="n">
        <v>10</v>
      </c>
      <c r="G752" s="2" t="n">
        <v>0</v>
      </c>
      <c r="H752" s="2" t="n">
        <v>10</v>
      </c>
      <c r="I752" s="4" t="inlineStr">
        <is>
          <t>kale-salad-with-lemon-and-parmesan.jpg</t>
        </is>
      </c>
      <c r="J752" s="3" t="inlineStr">
        <is>
          <t>Kale Salad with Lemon &amp; Parmesan, healthy food photography, plated, natural light</t>
        </is>
      </c>
      <c r="K752" s="4" t="inlineStr"/>
      <c r="L752" s="3" t="inlineStr">
        <is>
          <t>Kale — 300 g (10.6 oz)
Extra-virgin olive oil — 18 g (0.6 oz)
Lemon juice — 20 g (0.7 oz)
Parmesan, grated — 30 g (1.1 oz)
Garlic — 3 g (0.1 oz)
Pine nuts — 15 g (0.5 oz)
Salt — 1 g (0.0 oz)</t>
        </is>
      </c>
      <c r="M752" s="4" t="inlineStr">
        <is>
          <t>[{"ingredient_id": "kale", "name": "Kale", "grams": 300.0, "note": ""}, {"ingredient_id": "olive_oil", "name": "Extra-virgin olive oil", "grams": 18.0, "note": ""}, {"ingredient_id": "lemon_juice", "name": "Lemon juice", "grams": 20.0, "note": ""}, {"ingredient_id": "parmesan", "name": "Parmesan, grated", "grams": 30.0, "note": ""}, {"ingredient_id": "garlic", "name": "Garlic", "grams": 3.0, "note": ""}, {"ingredient_id": "pine_nuts", "name": "Pine nuts", "grams": 15.0, "note": ""}, {"ingredient_id": "salt", "name": "Salt", "grams": 1.0, "note": ""}]</t>
        </is>
      </c>
      <c r="N752" s="2" t="n">
        <v>136</v>
      </c>
      <c r="O752" s="5" t="n">
        <v>6.7</v>
      </c>
      <c r="P752" s="5" t="n">
        <v>9.9</v>
      </c>
      <c r="Q752" s="5" t="n">
        <v>8</v>
      </c>
      <c r="R752" s="5" t="n">
        <v>2.9</v>
      </c>
      <c r="S752" s="5" t="n">
        <v>5.1</v>
      </c>
      <c r="T752" s="2" t="n">
        <v>15</v>
      </c>
      <c r="U752" s="2" t="inlineStr">
        <is>
          <t>low</t>
        </is>
      </c>
      <c r="V752" s="5" t="n">
        <v>0.8</v>
      </c>
      <c r="W752" s="2" t="inlineStr">
        <is>
          <t>low</t>
        </is>
      </c>
      <c r="X752" s="3" t="inlineStr"/>
      <c r="Y752" s="3" t="inlineStr">
        <is>
          <t>0% of this dish's available carbohydrate comes from ingredients with a published, measured GI; the rest uses conventional placeholders (see Ingredients sheet)</t>
        </is>
      </c>
      <c r="Z752" s="2" t="n">
        <v>0</v>
      </c>
      <c r="AA752" s="3" t="inlineStr">
        <is>
          <t>vegetarian, gluten-free, low-carb, no-cook</t>
        </is>
      </c>
      <c r="AB752" s="3" t="inlineStr">
        <is>
          <t>1. Massage chopped kale with oil, lemon, garlic, salt 1 minute.
2. Rest 10 minutes.
3. Parmesan, pine nuts.</t>
        </is>
      </c>
      <c r="AC752" s="4" t="inlineStr">
        <is>
          <t>["Massage chopped kale with oil, lemon, garlic, salt 1 minute.", "Rest 10 minutes.", "Parmesan, pine nuts."]</t>
        </is>
      </c>
    </row>
    <row r="753" ht="96" customHeight="1">
      <c r="A753" s="2" t="inlineStr">
        <is>
          <t>DB-0752</t>
        </is>
      </c>
      <c r="B753" s="3" t="inlineStr">
        <is>
          <t>Cauliflower Tabbouleh</t>
        </is>
      </c>
      <c r="C753" s="4" t="inlineStr">
        <is>
          <t>Side Dish</t>
        </is>
      </c>
      <c r="D753" s="4" t="inlineStr">
        <is>
          <t>Middle Eastern</t>
        </is>
      </c>
      <c r="E753" s="2" t="n">
        <v>4</v>
      </c>
      <c r="F753" s="2" t="n">
        <v>15</v>
      </c>
      <c r="G753" s="2" t="n">
        <v>0</v>
      </c>
      <c r="H753" s="2" t="n">
        <v>15</v>
      </c>
      <c r="I753" s="4" t="inlineStr">
        <is>
          <t>cauliflower-tabbouleh.jpg</t>
        </is>
      </c>
      <c r="J753" s="3" t="inlineStr">
        <is>
          <t>Cauliflower Tabbouleh, healthy food photography, plated, natural light</t>
        </is>
      </c>
      <c r="K753" s="4" t="inlineStr"/>
      <c r="L753" s="3" t="inlineStr">
        <is>
          <t>Cauliflower rice — 400 g (14.1 oz)
Fresh parsley — 60 g (2.1 oz)
Fresh mint — 10 g (0.4 oz)
Tomato — 200 g (7.1 oz)
Cucumber — 150 g (5.3 oz)
Green onions (scallions) — 30 g (1.1 oz)
Lemon juice — 30 g (1.1 oz)
Extra-virgin olive oil — 25 g (0.9 oz)
Salt — 2 g (0.1 oz)</t>
        </is>
      </c>
      <c r="M753" s="4" t="inlineStr">
        <is>
          <t>[{"ingredient_id": "cauliflower_rice", "name": "Cauliflower rice", "grams": 400.0, "note": ""}, {"ingredient_id": "parsley", "name": "Fresh parsley", "grams": 60.0, "note": ""}, {"ingredient_id": "mint", "name": "Fresh mint", "grams": 10.0, "note": ""}, {"ingredient_id": "tomato", "name": "Tomato", "grams": 200.0, "note": ""}, {"ingredient_id": "cucumber", "name": "Cucumber", "grams": 150.0, "note": ""}, {"ingredient_id": "green_onion", "name": "Green onions (scallions)", "grams": 30.0, "note": ""}, {"ingredient_id": "lemon_juice", "name": "Lemon juice", "grams": 30.0, "note": ""}, {"ingredient_id": "olive_oil", "name": "Extra-virgin olive oil", "grams": 25.0, "note": ""}, {"ingredient_id": "salt", "name": "Salt", "grams": 2.0, "note": ""}]</t>
        </is>
      </c>
      <c r="N753" s="2" t="n">
        <v>105</v>
      </c>
      <c r="O753" s="5" t="n">
        <v>3.3</v>
      </c>
      <c r="P753" s="5" t="n">
        <v>6.9</v>
      </c>
      <c r="Q753" s="5" t="n">
        <v>10.5</v>
      </c>
      <c r="R753" s="5" t="n">
        <v>3.7</v>
      </c>
      <c r="S753" s="5" t="n">
        <v>6.8</v>
      </c>
      <c r="T753" s="2" t="n">
        <v>15</v>
      </c>
      <c r="U753" s="2" t="inlineStr">
        <is>
          <t>low</t>
        </is>
      </c>
      <c r="V753" s="5" t="n">
        <v>1</v>
      </c>
      <c r="W753" s="2" t="inlineStr">
        <is>
          <t>low</t>
        </is>
      </c>
      <c r="X753" s="3" t="inlineStr"/>
      <c r="Y753" s="3" t="inlineStr">
        <is>
          <t>0% of this dish's available carbohydrate comes from ingredients with a published, measured GI; the rest uses conventional placeholders (see Ingredients sheet)</t>
        </is>
      </c>
      <c r="Z753" s="2" t="n">
        <v>0</v>
      </c>
      <c r="AA753" s="3" t="inlineStr">
        <is>
          <t>vegan, gluten-free, dairy-free, nut-free, low-carb, no-cook</t>
        </is>
      </c>
      <c r="AB753" s="3" t="inlineStr">
        <is>
          <t>1. Pulse raw cauliflower rice fine.
2. Mix with chopped parsley, mint, tomato, cucumber, green onion.
3. Lemon, oil, salt.</t>
        </is>
      </c>
      <c r="AC753" s="4" t="inlineStr">
        <is>
          <t>["Pulse raw cauliflower rice fine.", "Mix with chopped parsley, mint, tomato, cucumber, green onion.", "Lemon, oil, salt."]</t>
        </is>
      </c>
    </row>
    <row r="754" ht="96" customHeight="1">
      <c r="A754" s="2" t="inlineStr">
        <is>
          <t>DB-0753</t>
        </is>
      </c>
      <c r="B754" s="3" t="inlineStr">
        <is>
          <t>Garlic Herb Roasted Mushrooms &amp; Onions</t>
        </is>
      </c>
      <c r="C754" s="4" t="inlineStr">
        <is>
          <t>Side Dish</t>
        </is>
      </c>
      <c r="D754" s="4" t="inlineStr">
        <is>
          <t>American</t>
        </is>
      </c>
      <c r="E754" s="2" t="n">
        <v>4</v>
      </c>
      <c r="F754" s="2" t="n">
        <v>5</v>
      </c>
      <c r="G754" s="2" t="n">
        <v>25</v>
      </c>
      <c r="H754" s="2" t="n">
        <v>30</v>
      </c>
      <c r="I754" s="4" t="inlineStr">
        <is>
          <t>garlic-herb-roasted-mushrooms-and-onions.jpg</t>
        </is>
      </c>
      <c r="J754" s="3" t="inlineStr">
        <is>
          <t>Garlic Herb Roasted Mushrooms &amp; Onions, healthy food photography, plated, natural light</t>
        </is>
      </c>
      <c r="K754" s="4" t="inlineStr"/>
      <c r="L754" s="3" t="inlineStr">
        <is>
          <t>Mushrooms (cremini/white) — 500 g (17.6 oz)
Red onion — 150 g (5.3 oz)
Extra-virgin olive oil — 15 g (0.5 oz)
Garlic — 8 g (0.3 oz)
Fresh rosemary — 2 g (0.1 oz)
Balsamic vinegar — 10 g (0.4 oz)
Salt — 2 g (0.1 oz)</t>
        </is>
      </c>
      <c r="M754" s="4" t="inlineStr">
        <is>
          <t>[{"ingredient_id": "mushrooms", "name": "Mushrooms (cremini/white)", "grams": 500.0, "note": ""}, {"ingredient_id": "red_onion", "name": "Red onion", "grams": 150.0, "note": ""}, {"ingredient_id": "olive_oil", "name": "Extra-virgin olive oil", "grams": 15.0, "note": ""}, {"ingredient_id": "garlic", "name": "Garlic", "grams": 8.0, "note": ""}, {"ingredient_id": "rosemary", "name": "Fresh rosemary", "grams": 2.0, "note": ""}, {"ingredient_id": "balsamic_vinegar", "name": "Balsamic vinegar", "grams": 10.0, "note": ""}, {"ingredient_id": "salt", "name": "Salt", "grams": 2.0, "note": ""}]</t>
        </is>
      </c>
      <c r="N754" s="2" t="n">
        <v>81</v>
      </c>
      <c r="O754" s="5" t="n">
        <v>4.4</v>
      </c>
      <c r="P754" s="5" t="n">
        <v>4.2</v>
      </c>
      <c r="Q754" s="5" t="n">
        <v>8.800000000000001</v>
      </c>
      <c r="R754" s="5" t="n">
        <v>2</v>
      </c>
      <c r="S754" s="5" t="n">
        <v>6.8</v>
      </c>
      <c r="T754" s="2" t="n">
        <v>18</v>
      </c>
      <c r="U754" s="2" t="inlineStr">
        <is>
          <t>low</t>
        </is>
      </c>
      <c r="V754" s="5" t="n">
        <v>1.2</v>
      </c>
      <c r="W754" s="2" t="inlineStr">
        <is>
          <t>low</t>
        </is>
      </c>
      <c r="X754" s="3" t="inlineStr"/>
      <c r="Y754" s="3" t="inlineStr">
        <is>
          <t>0% of this dish's available carbohydrate comes from ingredients with a published, measured GI; the rest uses conventional placeholders (see Ingredients sheet)</t>
        </is>
      </c>
      <c r="Z754" s="2" t="n">
        <v>0</v>
      </c>
      <c r="AA754" s="3" t="inlineStr">
        <is>
          <t>vegan, gluten-free, dairy-free, nut-free, low-carb</t>
        </is>
      </c>
      <c r="AB754" s="3" t="inlineStr">
        <is>
          <t>1. Toss mushrooms and onion with oil, garlic, rosemary, salt.
2. Roast at 425°F 22 minutes.
3. Balsamic.</t>
        </is>
      </c>
      <c r="AC754" s="4" t="inlineStr">
        <is>
          <t>["Toss mushrooms and onion with oil, garlic, rosemary, salt.", "Roast at 425°F 22 minutes.", "Balsamic."]</t>
        </is>
      </c>
    </row>
    <row r="755" ht="96" customHeight="1">
      <c r="A755" s="2" t="inlineStr">
        <is>
          <t>DB-0754</t>
        </is>
      </c>
      <c r="B755" s="3" t="inlineStr">
        <is>
          <t>Southern Collard Greens (Turkey)</t>
        </is>
      </c>
      <c r="C755" s="4" t="inlineStr">
        <is>
          <t>Side Dish</t>
        </is>
      </c>
      <c r="D755" s="4" t="inlineStr">
        <is>
          <t>Southern</t>
        </is>
      </c>
      <c r="E755" s="2" t="n">
        <v>6</v>
      </c>
      <c r="F755" s="2" t="n">
        <v>10</v>
      </c>
      <c r="G755" s="2" t="n">
        <v>45</v>
      </c>
      <c r="H755" s="2" t="n">
        <v>55</v>
      </c>
      <c r="I755" s="4" t="inlineStr">
        <is>
          <t>southern-collard-greens-turkey.jpg</t>
        </is>
      </c>
      <c r="J755" s="3" t="inlineStr">
        <is>
          <t>Southern Collard Greens (Turkey), healthy food photography, plated, natural light</t>
        </is>
      </c>
      <c r="K755" s="4" t="inlineStr"/>
      <c r="L755" s="3" t="inlineStr">
        <is>
          <t>Collard greens — 800 g (28.2 oz)
Turkey bacon — 60 g (2.1 oz)
Yellow onion — 100 g (3.5 oz)
Garlic — 8 g (0.3 oz)
Chicken broth, low sodium — 400 g (14.1 oz)
Apple cider vinegar — 20 g (0.7 oz)
Red pepper flakes — 1 g (0.0 oz)
Extra-virgin olive oil — 10 g (0.4 oz)
Salt — 2 g (0.1 oz)</t>
        </is>
      </c>
      <c r="M755" s="4" t="inlineStr">
        <is>
          <t>[{"ingredient_id": "collard_greens", "name": "Collard greens", "grams": 800.0, "note": ""}, {"ingredient_id": "turkey_bacon", "name": "Turkey bacon", "grams": 60.0, "note": ""}, {"ingredient_id": "onion", "name": "Yellow onion", "grams": 100.0, "note": ""}, {"ingredient_id": "garlic", "name": "Garlic", "grams": 8.0, "note": ""}, {"ingredient_id": "chicken_broth", "name": "Chicken broth, low sodium", "grams": 400.0, "note": ""}, {"ingredient_id": "apple_cider_vinegar", "name": "Apple cider vinegar", "grams": 20.0, "note": ""}, {"ingredient_id": "red_pepper_flakes", "name": "Red pepper flakes", "grams": 1.0, "note": ""}, {"ingredient_id": "olive_oil", "name": "Extra-virgin olive oil", "grams": 10.0, "note": ""}, {"ingredient_id": "salt", "name": "Salt", "grams": 2.0, "note": ""}]</t>
        </is>
      </c>
      <c r="N755" s="2" t="n">
        <v>94</v>
      </c>
      <c r="O755" s="5" t="n">
        <v>6.8</v>
      </c>
      <c r="P755" s="5" t="n">
        <v>4.2</v>
      </c>
      <c r="Q755" s="5" t="n">
        <v>9.800000000000001</v>
      </c>
      <c r="R755" s="5" t="n">
        <v>5.7</v>
      </c>
      <c r="S755" s="5" t="n">
        <v>4.2</v>
      </c>
      <c r="T755" s="2" t="n">
        <v>14</v>
      </c>
      <c r="U755" s="2" t="inlineStr">
        <is>
          <t>low</t>
        </is>
      </c>
      <c r="V755" s="5" t="n">
        <v>0.6</v>
      </c>
      <c r="W755" s="2" t="inlineStr">
        <is>
          <t>low</t>
        </is>
      </c>
      <c r="X755" s="3" t="inlineStr">
        <is>
          <t>Negligible carbohydrate (&lt;5 g net/serving): GI has little practical meaning, glycemic load is what matters.</t>
        </is>
      </c>
      <c r="Y755" s="3" t="inlineStr">
        <is>
          <t>0% of this dish's available carbohydrate comes from ingredients with a published, measured GI; the rest uses conventional placeholders (see Ingredients sheet)</t>
        </is>
      </c>
      <c r="Z755" s="2" t="n">
        <v>0</v>
      </c>
      <c r="AA755" s="3" t="inlineStr">
        <is>
          <t>gluten-free, dairy-free, nut-free, low-carb, make-ahead</t>
        </is>
      </c>
      <c r="AB755" s="3" t="inlineStr">
        <is>
          <t>1. Sauté bacon, onion, garlic in oil.
2. Add collards, broth, vinegar, pepper flakes; cover.
3. Simmer 40 minutes; salt.</t>
        </is>
      </c>
      <c r="AC755" s="4" t="inlineStr">
        <is>
          <t>["Sauté bacon, onion, garlic in oil.", "Add collards, broth, vinegar, pepper flakes; cover.", "Simmer 40 minutes; salt."]</t>
        </is>
      </c>
    </row>
    <row r="756" ht="96" customHeight="1">
      <c r="A756" s="2" t="inlineStr">
        <is>
          <t>DB-0755</t>
        </is>
      </c>
      <c r="B756" s="3" t="inlineStr">
        <is>
          <t>Wild Rice with Mushrooms &amp; Pecans</t>
        </is>
      </c>
      <c r="C756" s="4" t="inlineStr">
        <is>
          <t>Side Dish</t>
        </is>
      </c>
      <c r="D756" s="4" t="inlineStr">
        <is>
          <t>American</t>
        </is>
      </c>
      <c r="E756" s="2" t="n">
        <v>6</v>
      </c>
      <c r="F756" s="2" t="n">
        <v>5</v>
      </c>
      <c r="G756" s="2" t="n">
        <v>15</v>
      </c>
      <c r="H756" s="2" t="n">
        <v>20</v>
      </c>
      <c r="I756" s="4" t="inlineStr">
        <is>
          <t>wild-rice-with-mushrooms-and-pecans.jpg</t>
        </is>
      </c>
      <c r="J756" s="3" t="inlineStr">
        <is>
          <t>Wild Rice with Mushrooms &amp; Pecans, healthy food photography, plated, natural light</t>
        </is>
      </c>
      <c r="K756" s="4" t="inlineStr"/>
      <c r="L756" s="3" t="inlineStr">
        <is>
          <t>Wild rice, cooked — 600 g (21.2 oz)
Mushrooms (cremini/white) — 200 g (7.1 oz)
Yellow onion — 60 g (2.1 oz)
Pecans — 30 g (1.1 oz)
Extra-virgin olive oil — 12 g (0.4 oz)
Fresh thyme — 2 g (0.1 oz)
Fresh parsley — 5 g (0.2 oz)
Salt — 2 g (0.1 oz)</t>
        </is>
      </c>
      <c r="M756" s="4" t="inlineStr">
        <is>
          <t>[{"ingredient_id": "wild_rice", "name": "Wild rice, cooked", "grams": 600.0, "note": ""}, {"ingredient_id": "mushrooms", "name": "Mushrooms (cremini/white)", "grams": 200.0, "note": ""}, {"ingredient_id": "onion", "name": "Yellow onion", "grams": 60.0, "note": ""}, {"ingredient_id": "pecans", "name": "Pecans", "grams": 30.0, "note": ""}, {"ingredient_id": "olive_oil", "name": "Extra-virgin olive oil", "grams": 12.0, "note": ""}, {"ingredient_id": "thyme", "name": "Fresh thyme", "grams": 2.0, "note": ""}, {"ingredient_id": "parsley", "name": "Fresh parsley", "grams": 5.0, "note": ""}, {"ingredient_id": "salt", "name": "Salt", "grams": 2.0, "note": ""}]</t>
        </is>
      </c>
      <c r="N756" s="2" t="n">
        <v>165</v>
      </c>
      <c r="O756" s="5" t="n">
        <v>5.6</v>
      </c>
      <c r="P756" s="5" t="n">
        <v>6</v>
      </c>
      <c r="Q756" s="5" t="n">
        <v>23.9</v>
      </c>
      <c r="R756" s="5" t="n">
        <v>2.9</v>
      </c>
      <c r="S756" s="5" t="n">
        <v>21</v>
      </c>
      <c r="T756" s="2" t="n">
        <v>53</v>
      </c>
      <c r="U756" s="2" t="inlineStr">
        <is>
          <t>low</t>
        </is>
      </c>
      <c r="V756" s="5" t="n">
        <v>11.1</v>
      </c>
      <c r="W756" s="2" t="inlineStr">
        <is>
          <t>medium</t>
        </is>
      </c>
      <c r="X756" s="3" t="inlineStr"/>
      <c r="Y756" s="3" t="inlineStr">
        <is>
          <t>0% of this dish's available carbohydrate comes from ingredients with a published, measured GI; the rest uses conventional placeholders (see Ingredients sheet)</t>
        </is>
      </c>
      <c r="Z756" s="2" t="n">
        <v>0</v>
      </c>
      <c r="AA756" s="3" t="inlineStr">
        <is>
          <t>vegan, gluten-free, dairy-free</t>
        </is>
      </c>
      <c r="AB756" s="3" t="inlineStr">
        <is>
          <t>1. Sauté mushrooms, onion, thyme in oil.
2. Stir in cooked wild rice.
3. Pecans, parsley, salt.</t>
        </is>
      </c>
      <c r="AC756" s="4" t="inlineStr">
        <is>
          <t>["Sauté mushrooms, onion, thyme in oil.", "Stir in cooked wild rice.", "Pecans, parsley, salt."]</t>
        </is>
      </c>
    </row>
    <row r="757" ht="96" customHeight="1">
      <c r="A757" s="2" t="inlineStr">
        <is>
          <t>DB-0756</t>
        </is>
      </c>
      <c r="B757" s="3" t="inlineStr">
        <is>
          <t>Shaved Fennel &amp; Arugula Salad</t>
        </is>
      </c>
      <c r="C757" s="4" t="inlineStr">
        <is>
          <t>Side Dish</t>
        </is>
      </c>
      <c r="D757" s="4" t="inlineStr">
        <is>
          <t>Italian</t>
        </is>
      </c>
      <c r="E757" s="2" t="n">
        <v>4</v>
      </c>
      <c r="F757" s="2" t="n">
        <v>10</v>
      </c>
      <c r="G757" s="2" t="n">
        <v>0</v>
      </c>
      <c r="H757" s="2" t="n">
        <v>10</v>
      </c>
      <c r="I757" s="4" t="inlineStr">
        <is>
          <t>shaved-fennel-and-arugula-salad.jpg</t>
        </is>
      </c>
      <c r="J757" s="3" t="inlineStr">
        <is>
          <t>Shaved Fennel &amp; Arugula Salad, healthy food photography, plated, natural light</t>
        </is>
      </c>
      <c r="K757" s="4" t="inlineStr"/>
      <c r="L757" s="3" t="inlineStr">
        <is>
          <t>Fennel bulb — 300 g (10.6 oz)
Arugula — 120 g (4.2 oz)
Parmesan, grated — 25 g (0.9 oz)
Lemon juice — 20 g (0.7 oz)
Extra-virgin olive oil — 18 g (0.6 oz)
Black pepper — 1 g (0.0 oz)
Salt — 1 g (0.0 oz)</t>
        </is>
      </c>
      <c r="M757" s="4" t="inlineStr">
        <is>
          <t>[{"ingredient_id": "fennel", "name": "Fennel bulb", "grams": 300.0, "note": ""}, {"ingredient_id": "arugula", "name": "Arugula", "grams": 120.0, "note": ""}, {"ingredient_id": "parmesan", "name": "Parmesan, grated", "grams": 25.0, "note": ""}, {"ingredient_id": "lemon_juice", "name": "Lemon juice", "grams": 20.0, "note": ""}, {"ingredient_id": "olive_oil", "name": "Extra-virgin olive oil", "grams": 18.0, "note": ""}, {"ingredient_id": "black_pepper", "name": "Black pepper", "grams": 1.0, "note": ""}, {"ingredient_id": "salt", "name": "Salt", "grams": 1.0, "note": ""}]</t>
        </is>
      </c>
      <c r="N757" s="2" t="n">
        <v>99</v>
      </c>
      <c r="O757" s="5" t="n">
        <v>4.1</v>
      </c>
      <c r="P757" s="5" t="n">
        <v>6.7</v>
      </c>
      <c r="Q757" s="5" t="n">
        <v>7.3</v>
      </c>
      <c r="R757" s="5" t="n">
        <v>2.9</v>
      </c>
      <c r="S757" s="5" t="n">
        <v>4.5</v>
      </c>
      <c r="T757" s="2" t="n">
        <v>15</v>
      </c>
      <c r="U757" s="2" t="inlineStr">
        <is>
          <t>low</t>
        </is>
      </c>
      <c r="V757" s="5" t="n">
        <v>0.7</v>
      </c>
      <c r="W757" s="2" t="inlineStr">
        <is>
          <t>low</t>
        </is>
      </c>
      <c r="X757" s="3" t="inlineStr">
        <is>
          <t>Negligible carbohydrate (&lt;5 g net/serving): GI has little practical meaning, glycemic load is what matters.</t>
        </is>
      </c>
      <c r="Y757" s="3" t="inlineStr">
        <is>
          <t>0% of this dish's available carbohydrate comes from ingredients with a published, measured GI; the rest uses conventional placeholders (see Ingredients sheet)</t>
        </is>
      </c>
      <c r="Z757" s="2" t="n">
        <v>0</v>
      </c>
      <c r="AA757" s="3" t="inlineStr">
        <is>
          <t>vegetarian, gluten-free, nut-free, low-carb, no-cook</t>
        </is>
      </c>
      <c r="AB757" s="3" t="inlineStr">
        <is>
          <t>1. Shave fennel thin.
2. Toss with arugula, lemon, oil, salt.
3. Parmesan, pepper.</t>
        </is>
      </c>
      <c r="AC757" s="4" t="inlineStr">
        <is>
          <t>["Shave fennel thin.", "Toss with arugula, lemon, oil, salt.", "Parmesan, pepper."]</t>
        </is>
      </c>
    </row>
    <row r="758" ht="96" customHeight="1">
      <c r="A758" s="2" t="inlineStr">
        <is>
          <t>DB-0757</t>
        </is>
      </c>
      <c r="B758" s="3" t="inlineStr">
        <is>
          <t>Roasted Okra</t>
        </is>
      </c>
      <c r="C758" s="4" t="inlineStr">
        <is>
          <t>Side Dish</t>
        </is>
      </c>
      <c r="D758" s="4" t="inlineStr">
        <is>
          <t>Southern</t>
        </is>
      </c>
      <c r="E758" s="2" t="n">
        <v>4</v>
      </c>
      <c r="F758" s="2" t="n">
        <v>5</v>
      </c>
      <c r="G758" s="2" t="n">
        <v>20</v>
      </c>
      <c r="H758" s="2" t="n">
        <v>25</v>
      </c>
      <c r="I758" s="4" t="inlineStr">
        <is>
          <t>roasted-okra.jpg</t>
        </is>
      </c>
      <c r="J758" s="3" t="inlineStr">
        <is>
          <t>Roasted Okra, healthy food photography, plated, natural light</t>
        </is>
      </c>
      <c r="K758" s="4" t="inlineStr"/>
      <c r="L758" s="3" t="inlineStr">
        <is>
          <t>Okra — 500 g (17.6 oz)
Extra-virgin olive oil — 12 g (0.4 oz)
Smoked paprika — 2 g (0.1 oz)
Garlic powder — 2 g (0.1 oz)
Salt — 2 g (0.1 oz)
Lemon (with juice &amp; zest) — 15 g (0.5 oz)</t>
        </is>
      </c>
      <c r="M758" s="4" t="inlineStr">
        <is>
          <t>[{"ingredient_id": "okra", "name": "Okra", "grams": 500.0, "note": ""}, {"ingredient_id": "olive_oil", "name": "Extra-virgin olive oil", "grams": 12.0, "note": ""}, {"ingredient_id": "smoked_paprika", "name": "Smoked paprika", "grams": 2.0, "note": ""}, {"ingredient_id": "garlic_powder", "name": "Garlic powder", "grams": 2.0, "note": ""}, {"ingredient_id": "salt", "name": "Salt", "grams": 2.0, "note": ""}, {"ingredient_id": "lemon", "name": "Lemon (with juice &amp; zest)", "grams": 15.0, "note": ""}]</t>
        </is>
      </c>
      <c r="N758" s="2" t="n">
        <v>72</v>
      </c>
      <c r="O758" s="5" t="n">
        <v>2.6</v>
      </c>
      <c r="P758" s="5" t="n">
        <v>3.3</v>
      </c>
      <c r="Q758" s="5" t="n">
        <v>10.4</v>
      </c>
      <c r="R758" s="5" t="n">
        <v>4.3</v>
      </c>
      <c r="S758" s="5" t="n">
        <v>6</v>
      </c>
      <c r="T758" s="2" t="n">
        <v>20</v>
      </c>
      <c r="U758" s="2" t="inlineStr">
        <is>
          <t>low</t>
        </is>
      </c>
      <c r="V758" s="5" t="n">
        <v>1.2</v>
      </c>
      <c r="W758" s="2" t="inlineStr">
        <is>
          <t>low</t>
        </is>
      </c>
      <c r="X758" s="3" t="inlineStr"/>
      <c r="Y758" s="3" t="inlineStr">
        <is>
          <t>0% of this dish's available carbohydrate comes from ingredients with a published, measured GI; the rest uses conventional placeholders (see Ingredients sheet)</t>
        </is>
      </c>
      <c r="Z758" s="2" t="n">
        <v>0</v>
      </c>
      <c r="AA758" s="3" t="inlineStr">
        <is>
          <t>vegan, gluten-free, dairy-free, nut-free, low-carb</t>
        </is>
      </c>
      <c r="AB758" s="3" t="inlineStr">
        <is>
          <t>1. Halve okra; toss with oil and spices.
2. Roast at 450°F 18–20 minutes.
3. Lemon.</t>
        </is>
      </c>
      <c r="AC758" s="4" t="inlineStr">
        <is>
          <t>["Halve okra; toss with oil and spices.", "Roast at 450°F 18–20 minutes.", "Lemon."]</t>
        </is>
      </c>
    </row>
    <row r="759" ht="96" customHeight="1">
      <c r="A759" s="2" t="inlineStr">
        <is>
          <t>DB-0758</t>
        </is>
      </c>
      <c r="B759" s="3" t="inlineStr">
        <is>
          <t>Cabbage Steaks with Garlic</t>
        </is>
      </c>
      <c r="C759" s="4" t="inlineStr">
        <is>
          <t>Side Dish</t>
        </is>
      </c>
      <c r="D759" s="4" t="inlineStr">
        <is>
          <t>American</t>
        </is>
      </c>
      <c r="E759" s="2" t="n">
        <v>4</v>
      </c>
      <c r="F759" s="2" t="n">
        <v>5</v>
      </c>
      <c r="G759" s="2" t="n">
        <v>30</v>
      </c>
      <c r="H759" s="2" t="n">
        <v>35</v>
      </c>
      <c r="I759" s="4" t="inlineStr">
        <is>
          <t>cabbage-steaks-with-garlic.jpg</t>
        </is>
      </c>
      <c r="J759" s="3" t="inlineStr">
        <is>
          <t>Cabbage Steaks with Garlic, healthy food photography, plated, natural light</t>
        </is>
      </c>
      <c r="K759" s="4" t="inlineStr"/>
      <c r="L759" s="3" t="inlineStr">
        <is>
          <t>Green cabbage — 800 g (28.2 oz)
Extra-virgin olive oil — 18 g (0.6 oz)
Garlic — 8 g (0.3 oz)
Smoked paprika — 2 g (0.1 oz)
Parmesan, grated — 20 g (0.7 oz)
Salt — 2 g (0.1 oz)</t>
        </is>
      </c>
      <c r="M759" s="4" t="inlineStr">
        <is>
          <t>[{"ingredient_id": "cabbage", "name": "Green cabbage", "grams": 800.0, "note": ""}, {"ingredient_id": "olive_oil", "name": "Extra-virgin olive oil", "grams": 18.0, "note": ""}, {"ingredient_id": "garlic", "name": "Garlic", "grams": 8.0, "note": ""}, {"ingredient_id": "smoked_paprika", "name": "Smoked paprika", "grams": 2.0, "note": ""}, {"ingredient_id": "parmesan", "name": "Parmesan, grated", "grams": 20.0, "note": ""}, {"ingredient_id": "salt", "name": "Salt", "grams": 2.0, "note": ""}]</t>
        </is>
      </c>
      <c r="N759" s="2" t="n">
        <v>116</v>
      </c>
      <c r="O759" s="5" t="n">
        <v>4.7</v>
      </c>
      <c r="P759" s="5" t="n">
        <v>6.2</v>
      </c>
      <c r="Q759" s="5" t="n">
        <v>12.7</v>
      </c>
      <c r="R759" s="5" t="n">
        <v>5.2</v>
      </c>
      <c r="S759" s="5" t="n">
        <v>7.5</v>
      </c>
      <c r="T759" s="2" t="n">
        <v>16</v>
      </c>
      <c r="U759" s="2" t="inlineStr">
        <is>
          <t>low</t>
        </is>
      </c>
      <c r="V759" s="5" t="n">
        <v>1.2</v>
      </c>
      <c r="W759" s="2" t="inlineStr">
        <is>
          <t>low</t>
        </is>
      </c>
      <c r="X759" s="3" t="inlineStr"/>
      <c r="Y759" s="3" t="inlineStr">
        <is>
          <t>0% of this dish's available carbohydrate comes from ingredients with a published, measured GI; the rest uses conventional placeholders (see Ingredients sheet)</t>
        </is>
      </c>
      <c r="Z759" s="2" t="n">
        <v>0</v>
      </c>
      <c r="AA759" s="3" t="inlineStr">
        <is>
          <t>vegetarian, gluten-free, nut-free, low-carb</t>
        </is>
      </c>
      <c r="AB759" s="3" t="inlineStr">
        <is>
          <t>1. Slice cabbage into 1-inch rounds; brush with oil, garlic, paprika, salt.
2. Roast at 400°F 25–30 minutes, flipping once.
3. Parmesan.</t>
        </is>
      </c>
      <c r="AC759" s="4" t="inlineStr">
        <is>
          <t>["Slice cabbage into 1-inch rounds; brush with oil, garlic, paprika, salt.", "Roast at 400°F 25–30 minutes, flipping once.", "Parmesan."]</t>
        </is>
      </c>
    </row>
    <row r="760" ht="96" customHeight="1">
      <c r="A760" s="2" t="inlineStr">
        <is>
          <t>DB-0759</t>
        </is>
      </c>
      <c r="B760" s="3" t="inlineStr">
        <is>
          <t>Green Pea &amp; Mint Mash</t>
        </is>
      </c>
      <c r="C760" s="4" t="inlineStr">
        <is>
          <t>Side Dish</t>
        </is>
      </c>
      <c r="D760" s="4" t="inlineStr">
        <is>
          <t>British</t>
        </is>
      </c>
      <c r="E760" s="2" t="n">
        <v>4</v>
      </c>
      <c r="F760" s="2" t="n">
        <v>5</v>
      </c>
      <c r="G760" s="2" t="n">
        <v>8</v>
      </c>
      <c r="H760" s="2" t="n">
        <v>13</v>
      </c>
      <c r="I760" s="4" t="inlineStr">
        <is>
          <t>green-pea-and-mint-mash.jpg</t>
        </is>
      </c>
      <c r="J760" s="3" t="inlineStr">
        <is>
          <t>Green Pea &amp; Mint Mash, healthy food photography, plated, natural light</t>
        </is>
      </c>
      <c r="K760" s="4" t="inlineStr"/>
      <c r="L760" s="3" t="inlineStr">
        <is>
          <t>Green peas — 400 g (14.1 oz)
Fresh mint — 8 g (0.3 oz)
Butter — 10 g (0.4 oz)
Lemon (with juice &amp; zest) — 15 g (0.5 oz)
Greek yogurt, plain 2% — 40 g (1.4 oz)
Salt — 2 g (0.1 oz)</t>
        </is>
      </c>
      <c r="M760" s="4" t="inlineStr">
        <is>
          <t>[{"ingredient_id": "green_peas", "name": "Green peas", "grams": 400.0, "note": ""}, {"ingredient_id": "mint", "name": "Fresh mint", "grams": 8.0, "note": ""}, {"ingredient_id": "butter", "name": "Butter", "grams": 10.0, "note": ""}, {"ingredient_id": "lemon", "name": "Lemon (with juice &amp; zest)", "grams": 15.0, "note": ""}, {"ingredient_id": "greek_yogurt", "name": "Greek yogurt, plain 2%", "grams": 40.0, "note": ""}, {"ingredient_id": "salt", "name": "Salt", "grams": 2.0, "note": ""}]</t>
        </is>
      </c>
      <c r="N760" s="2" t="n">
        <v>108</v>
      </c>
      <c r="O760" s="5" t="n">
        <v>6.5</v>
      </c>
      <c r="P760" s="5" t="n">
        <v>2.7</v>
      </c>
      <c r="Q760" s="5" t="n">
        <v>14.9</v>
      </c>
      <c r="R760" s="5" t="n">
        <v>5.9</v>
      </c>
      <c r="S760" s="5" t="n">
        <v>9</v>
      </c>
      <c r="T760" s="2" t="n">
        <v>36</v>
      </c>
      <c r="U760" s="2" t="inlineStr">
        <is>
          <t>low</t>
        </is>
      </c>
      <c r="V760" s="5" t="n">
        <v>3.2</v>
      </c>
      <c r="W760" s="2" t="inlineStr">
        <is>
          <t>low</t>
        </is>
      </c>
      <c r="X760" s="3" t="inlineStr"/>
      <c r="Y760" s="3" t="inlineStr">
        <is>
          <t>97% of this dish's available carbohydrate comes from ingredients with a published, measured GI; the rest uses conventional placeholders (see Ingredients sheet)</t>
        </is>
      </c>
      <c r="Z760" s="2" t="n">
        <v>97</v>
      </c>
      <c r="AA760" s="3" t="inlineStr">
        <is>
          <t>vegetarian, gluten-free, nut-free, low-carb, quick</t>
        </is>
      </c>
      <c r="AB760" s="3" t="inlineStr">
        <is>
          <t>1. Boil peas 4 minutes; drain.
2. Mash with butter, mint, yogurt, lemon.
3. Salt.</t>
        </is>
      </c>
      <c r="AC760" s="4" t="inlineStr">
        <is>
          <t>["Boil peas 4 minutes; drain.", "Mash with butter, mint, yogurt, lemon.", "Salt."]</t>
        </is>
      </c>
    </row>
    <row r="761" ht="96" customHeight="1">
      <c r="A761" s="2" t="inlineStr">
        <is>
          <t>DB-0760</t>
        </is>
      </c>
      <c r="B761" s="3" t="inlineStr">
        <is>
          <t>Spaghetti Squash with Garlic Butter</t>
        </is>
      </c>
      <c r="C761" s="4" t="inlineStr">
        <is>
          <t>Side Dish</t>
        </is>
      </c>
      <c r="D761" s="4" t="inlineStr">
        <is>
          <t>American</t>
        </is>
      </c>
      <c r="E761" s="2" t="n">
        <v>4</v>
      </c>
      <c r="F761" s="2" t="n">
        <v>5</v>
      </c>
      <c r="G761" s="2" t="n">
        <v>45</v>
      </c>
      <c r="H761" s="2" t="n">
        <v>50</v>
      </c>
      <c r="I761" s="4" t="inlineStr">
        <is>
          <t>spaghetti-squash-with-garlic-butter.jpg</t>
        </is>
      </c>
      <c r="J761" s="3" t="inlineStr">
        <is>
          <t>Spaghetti Squash with Garlic Butter, healthy food photography, plated, natural light</t>
        </is>
      </c>
      <c r="K761" s="4" t="inlineStr"/>
      <c r="L761" s="3" t="inlineStr">
        <is>
          <t>Spaghetti squash, cooked — 1200 g (42.3 oz)
Butter — 15 g (0.5 oz)
Extra-virgin olive oil — 8 g (0.3 oz)
Garlic — 8 g (0.3 oz)
Parmesan, grated — 25 g (0.9 oz)
Fresh parsley — 5 g (0.2 oz)
Salt — 2 g (0.1 oz)</t>
        </is>
      </c>
      <c r="M761" s="4" t="inlineStr">
        <is>
          <t>[{"ingredient_id": "spaghetti_squash", "name": "Spaghetti squash, cooked", "grams": 1200.0, "note": ""}, {"ingredient_id": "butter", "name": "Butter", "grams": 15.0, "note": ""}, {"ingredient_id": "olive_oil", "name": "Extra-virgin olive oil", "grams": 8.0, "note": ""}, {"ingredient_id": "garlic", "name": "Garlic", "grams": 8.0, "note": ""}, {"ingredient_id": "parmesan", "name": "Parmesan, grated", "grams": 25.0, "note": ""}, {"ingredient_id": "parsley", "name": "Fresh parsley", "grams": 5.0, "note": ""}, {"ingredient_id": "salt", "name": "Salt", "grams": 2.0, "note": ""}]</t>
        </is>
      </c>
      <c r="N761" s="2" t="n">
        <v>168</v>
      </c>
      <c r="O761" s="5" t="n">
        <v>4.4</v>
      </c>
      <c r="P761" s="5" t="n">
        <v>8.699999999999999</v>
      </c>
      <c r="Q761" s="5" t="n">
        <v>22</v>
      </c>
      <c r="R761" s="5" t="n">
        <v>4.6</v>
      </c>
      <c r="S761" s="5" t="n">
        <v>17.4</v>
      </c>
      <c r="T761" s="2" t="n">
        <v>20</v>
      </c>
      <c r="U761" s="2" t="inlineStr">
        <is>
          <t>low</t>
        </is>
      </c>
      <c r="V761" s="5" t="n">
        <v>3.5</v>
      </c>
      <c r="W761" s="2" t="inlineStr">
        <is>
          <t>low</t>
        </is>
      </c>
      <c r="X761" s="3" t="inlineStr"/>
      <c r="Y761" s="3" t="inlineStr">
        <is>
          <t>0% of this dish's available carbohydrate comes from ingredients with a published, measured GI; the rest uses conventional placeholders (see Ingredients sheet)</t>
        </is>
      </c>
      <c r="Z761" s="2" t="n">
        <v>0</v>
      </c>
      <c r="AA761" s="3" t="inlineStr">
        <is>
          <t>vegetarian, gluten-free, nut-free</t>
        </is>
      </c>
      <c r="AB761" s="3" t="inlineStr">
        <is>
          <t>1. Roast halved squash at 400°F 40 minutes; scrape strands.
2. Toss with butter, oil, garlic.
3. Parmesan, parsley, salt.</t>
        </is>
      </c>
      <c r="AC761" s="4" t="inlineStr">
        <is>
          <t>["Roast halved squash at 400°F 40 minutes; scrape strands.", "Toss with butter, oil, garlic.", "Parmesan, parsley, salt."]</t>
        </is>
      </c>
    </row>
    <row r="762" ht="96" customHeight="1">
      <c r="A762" s="2" t="inlineStr">
        <is>
          <t>DB-0761</t>
        </is>
      </c>
      <c r="B762" s="3" t="inlineStr">
        <is>
          <t>Marinated Tomato &amp; Onion Salad</t>
        </is>
      </c>
      <c r="C762" s="4" t="inlineStr">
        <is>
          <t>Side Dish</t>
        </is>
      </c>
      <c r="D762" s="4" t="inlineStr">
        <is>
          <t>American</t>
        </is>
      </c>
      <c r="E762" s="2" t="n">
        <v>4</v>
      </c>
      <c r="F762" s="2" t="n">
        <v>10</v>
      </c>
      <c r="G762" s="2" t="n">
        <v>0</v>
      </c>
      <c r="H762" s="2" t="n">
        <v>10</v>
      </c>
      <c r="I762" s="4" t="inlineStr">
        <is>
          <t>marinated-tomato-and-onion-salad.jpg</t>
        </is>
      </c>
      <c r="J762" s="3" t="inlineStr">
        <is>
          <t>Marinated Tomato &amp; Onion Salad, healthy food photography, plated, natural light</t>
        </is>
      </c>
      <c r="K762" s="4" t="inlineStr"/>
      <c r="L762" s="3" t="inlineStr">
        <is>
          <t>Tomato — 500 g (17.6 oz)
Red onion — 60 g (2.1 oz)
Fresh basil — 6 g (0.2 oz)
Extra-virgin olive oil — 15 g (0.5 oz)
Red wine vinegar — 12 g (0.4 oz)
Dried oregano — 1 g (0.0 oz)
Salt — 2 g (0.1 oz)</t>
        </is>
      </c>
      <c r="M762" s="4" t="inlineStr">
        <is>
          <t>[{"ingredient_id": "tomato", "name": "Tomato", "grams": 500.0, "note": ""}, {"ingredient_id": "red_onion", "name": "Red onion", "grams": 60.0, "note": ""}, {"ingredient_id": "basil", "name": "Fresh basil", "grams": 6.0, "note": ""}, {"ingredient_id": "olive_oil", "name": "Extra-virgin olive oil", "grams": 15.0, "note": ""}, {"ingredient_id": "red_wine_vinegar", "name": "Red wine vinegar", "grams": 12.0, "note": ""}, {"ingredient_id": "oregano", "name": "Dried oregano", "grams": 1.0, "note": ""}, {"ingredient_id": "salt", "name": "Salt", "grams": 2.0, "note": ""}]</t>
        </is>
      </c>
      <c r="N762" s="2" t="n">
        <v>63</v>
      </c>
      <c r="O762" s="5" t="n">
        <v>1.4</v>
      </c>
      <c r="P762" s="5" t="n">
        <v>4</v>
      </c>
      <c r="Q762" s="5" t="n">
        <v>6.5</v>
      </c>
      <c r="R762" s="5" t="n">
        <v>1.9</v>
      </c>
      <c r="S762" s="5" t="n">
        <v>4.6</v>
      </c>
      <c r="T762" s="2" t="n">
        <v>15</v>
      </c>
      <c r="U762" s="2" t="inlineStr">
        <is>
          <t>low</t>
        </is>
      </c>
      <c r="V762" s="5" t="n">
        <v>0.7</v>
      </c>
      <c r="W762" s="2" t="inlineStr">
        <is>
          <t>low</t>
        </is>
      </c>
      <c r="X762" s="3" t="inlineStr">
        <is>
          <t>Negligible carbohydrate (&lt;5 g net/serving): GI has little practical meaning, glycemic load is what matters.</t>
        </is>
      </c>
      <c r="Y762" s="3" t="inlineStr">
        <is>
          <t>0% of this dish's available carbohydrate comes from ingredients with a published, measured GI; the rest uses conventional placeholders (see Ingredients sheet)</t>
        </is>
      </c>
      <c r="Z762" s="2" t="n">
        <v>0</v>
      </c>
      <c r="AA762" s="3" t="inlineStr">
        <is>
          <t>vegan, gluten-free, dairy-free, nut-free, low-carb, no-cook</t>
        </is>
      </c>
      <c r="AB762" s="3" t="inlineStr">
        <is>
          <t>1. Slice tomato and onion.
2. Toss with oil, vinegar, oregano, salt.
3. Rest 15 minutes; basil.</t>
        </is>
      </c>
      <c r="AC762" s="4" t="inlineStr">
        <is>
          <t>["Slice tomato and onion.", "Toss with oil, vinegar, oregano, salt.", "Rest 15 minutes; basil."]</t>
        </is>
      </c>
    </row>
    <row r="763" ht="96" customHeight="1">
      <c r="A763" s="2" t="inlineStr">
        <is>
          <t>DB-0762</t>
        </is>
      </c>
      <c r="B763" s="3" t="inlineStr">
        <is>
          <t>Farro with Roasted Vegetables</t>
        </is>
      </c>
      <c r="C763" s="4" t="inlineStr">
        <is>
          <t>Side Dish</t>
        </is>
      </c>
      <c r="D763" s="4" t="inlineStr">
        <is>
          <t>Mediterranean</t>
        </is>
      </c>
      <c r="E763" s="2" t="n">
        <v>6</v>
      </c>
      <c r="F763" s="2" t="n">
        <v>10</v>
      </c>
      <c r="G763" s="2" t="n">
        <v>25</v>
      </c>
      <c r="H763" s="2" t="n">
        <v>35</v>
      </c>
      <c r="I763" s="4" t="inlineStr">
        <is>
          <t>farro-with-roasted-vegetables.jpg</t>
        </is>
      </c>
      <c r="J763" s="3" t="inlineStr">
        <is>
          <t>Farro with Roasted Vegetables, healthy food photography, plated, natural light</t>
        </is>
      </c>
      <c r="K763" s="4" t="inlineStr"/>
      <c r="L763" s="3" t="inlineStr">
        <is>
          <t>Farro (pearled spelt), cooked — 600 g (21.2 oz)
Zucchini — 200 g (7.1 oz)
Bell pepper — 150 g (5.3 oz)
Red onion — 80 g (2.8 oz)
Extra-virgin olive oil — 20 g (0.7 oz)
Lemon (with juice &amp; zest) — 25 g (0.9 oz)
Fresh basil — 8 g (0.3 oz)
Parmesan, grated — 20 g (0.7 oz)
Salt — 2 g (0.1 oz)</t>
        </is>
      </c>
      <c r="M763" s="4" t="inlineStr">
        <is>
          <t>[{"ingredient_id": "farro", "name": "Farro (pearled spelt), cooked", "grams": 600.0, "note": ""}, {"ingredient_id": "zucchini", "name": "Zucchini", "grams": 200.0, "note": ""}, {"ingredient_id": "bell_pepper", "name": "Bell pepper", "grams": 150.0, "note": ""}, {"ingredient_id": "red_onion", "name": "Red onion", "grams": 80.0, "note": ""}, {"ingredient_id": "olive_oil", "name": "Extra-virgin olive oil", "grams": 20.0, "note": ""}, {"ingredient_id": "lemon", "name": "Lemon (with juice &amp; zest)", "grams": 25.0, "note": ""}, {"ingredient_id": "basil", "name": "Fresh basil", "grams": 8.0, "note": ""}, {"ingredient_id": "parmesan", "name": "Parmesan, grated", "grams": 20.0, "note": ""}, {"ingredient_id": "salt", "name": "Salt", "grams": 2.0, "note": ""}]</t>
        </is>
      </c>
      <c r="N763" s="2" t="n">
        <v>194</v>
      </c>
      <c r="O763" s="5" t="n">
        <v>7.2</v>
      </c>
      <c r="P763" s="5" t="n">
        <v>5.5</v>
      </c>
      <c r="Q763" s="5" t="n">
        <v>30.3</v>
      </c>
      <c r="R763" s="5" t="n">
        <v>4.7</v>
      </c>
      <c r="S763" s="5" t="n">
        <v>25.6</v>
      </c>
      <c r="T763" s="2" t="n">
        <v>57</v>
      </c>
      <c r="U763" s="2" t="inlineStr">
        <is>
          <t>medium</t>
        </is>
      </c>
      <c r="V763" s="5" t="n">
        <v>14.6</v>
      </c>
      <c r="W763" s="2" t="inlineStr">
        <is>
          <t>medium</t>
        </is>
      </c>
      <c r="X763" s="3" t="inlineStr">
        <is>
          <t>Medium-GI dish: keep to the stated portion and pair with the protein/fat in the recipe; GL per serving is the better guide.</t>
        </is>
      </c>
      <c r="Y763" s="3" t="inlineStr">
        <is>
          <t>88% of this dish's available carbohydrate comes from ingredients with a published, measured GI; the rest uses conventional placeholders (see Ingredients sheet)</t>
        </is>
      </c>
      <c r="Z763" s="2" t="n">
        <v>88</v>
      </c>
      <c r="AA763" s="3" t="inlineStr">
        <is>
          <t>vegetarian, nut-free</t>
        </is>
      </c>
      <c r="AB763" s="3" t="inlineStr">
        <is>
          <t>1. Roast vegetables with oil at 425°F 20 minutes.
2. Toss with cooked farro, lemon, basil.
3. Parmesan, salt.</t>
        </is>
      </c>
      <c r="AC763" s="4" t="inlineStr">
        <is>
          <t>["Roast vegetables with oil at 425°F 20 minutes.", "Toss with cooked farro, lemon, basil.", "Parmesan, salt."]</t>
        </is>
      </c>
    </row>
    <row r="764" ht="96" customHeight="1">
      <c r="A764" s="2" t="inlineStr">
        <is>
          <t>DB-0763</t>
        </is>
      </c>
      <c r="B764" s="3" t="inlineStr">
        <is>
          <t>Blistered Shishito-Style Peppers (Mini Bells)</t>
        </is>
      </c>
      <c r="C764" s="4" t="inlineStr">
        <is>
          <t>Side Dish</t>
        </is>
      </c>
      <c r="D764" s="4" t="inlineStr">
        <is>
          <t>Japanese</t>
        </is>
      </c>
      <c r="E764" s="2" t="n">
        <v>4</v>
      </c>
      <c r="F764" s="2" t="n">
        <v>3</v>
      </c>
      <c r="G764" s="2" t="n">
        <v>8</v>
      </c>
      <c r="H764" s="2" t="n">
        <v>11</v>
      </c>
      <c r="I764" s="4" t="inlineStr">
        <is>
          <t>blistered-shishito-style-peppers-mini-bells.jpg</t>
        </is>
      </c>
      <c r="J764" s="3" t="inlineStr">
        <is>
          <t>Blistered Shishito-Style Peppers (Mini Bells), healthy food photography, plated, natural light</t>
        </is>
      </c>
      <c r="K764" s="4" t="inlineStr"/>
      <c r="L764" s="3" t="inlineStr">
        <is>
          <t>Bell pepper — 400 g (14.1 oz) [mini peppers]
Avocado oil — 10 g (0.4 oz)
Tamari (gluten-free soy sauce) — 8 g (0.3 oz)
Sesame seeds — 4 g (0.1 oz)
Lemon (with juice &amp; zest) — 15 g (0.5 oz)
Salt — 1 g (0.0 oz)</t>
        </is>
      </c>
      <c r="M764" s="4" t="inlineStr">
        <is>
          <t>[{"ingredient_id": "bell_pepper", "name": "Bell pepper", "grams": 400.0, "note": "mini peppers"}, {"ingredient_id": "avocado_oil", "name": "Avocado oil", "grams": 10.0, "note": ""}, {"ingredient_id": "tamari", "name": "Tamari (gluten-free soy sauce)", "grams": 8.0, "note": ""}, {"ingredient_id": "sesame_seeds", "name": "Sesame seeds", "grams": 4.0, "note": ""}, {"ingredient_id": "lemon", "name": "Lemon (with juice &amp; zest)", "grams": 15.0, "note": ""}, {"ingredient_id": "salt", "name": "Salt", "grams": 1.0, "note": ""}]</t>
        </is>
      </c>
      <c r="N764" s="2" t="n">
        <v>61</v>
      </c>
      <c r="O764" s="5" t="n">
        <v>1.4</v>
      </c>
      <c r="P764" s="5" t="n">
        <v>3.3</v>
      </c>
      <c r="Q764" s="5" t="n">
        <v>6.7</v>
      </c>
      <c r="R764" s="5" t="n">
        <v>2.3</v>
      </c>
      <c r="S764" s="5" t="n">
        <v>4.3</v>
      </c>
      <c r="T764" s="2" t="n">
        <v>16</v>
      </c>
      <c r="U764" s="2" t="inlineStr">
        <is>
          <t>low</t>
        </is>
      </c>
      <c r="V764" s="5" t="n">
        <v>0.7</v>
      </c>
      <c r="W764" s="2" t="inlineStr">
        <is>
          <t>low</t>
        </is>
      </c>
      <c r="X764" s="3" t="inlineStr">
        <is>
          <t>Negligible carbohydrate (&lt;5 g net/serving): GI has little practical meaning, glycemic load is what matters.</t>
        </is>
      </c>
      <c r="Y764" s="3" t="inlineStr">
        <is>
          <t>0% of this dish's available carbohydrate comes from ingredients with a published, measured GI; the rest uses conventional placeholders (see Ingredients sheet)</t>
        </is>
      </c>
      <c r="Z764" s="2" t="n">
        <v>0</v>
      </c>
      <c r="AA764" s="3" t="inlineStr">
        <is>
          <t>vegan, gluten-free, dairy-free, nut-free, low-carb, quick</t>
        </is>
      </c>
      <c r="AB764" s="3" t="inlineStr">
        <is>
          <t>1. Heat oil until smoking; add peppers; blister 5–6 minutes.
2. Toss with tamari and lemon.
3. Sesame, salt.</t>
        </is>
      </c>
      <c r="AC764" s="4" t="inlineStr">
        <is>
          <t>["Heat oil until smoking; add peppers; blister 5–6 minutes.", "Toss with tamari and lemon.", "Sesame, salt."]</t>
        </is>
      </c>
    </row>
    <row r="765" ht="96" customHeight="1">
      <c r="A765" s="2" t="inlineStr">
        <is>
          <t>DB-0764</t>
        </is>
      </c>
      <c r="B765" s="3" t="inlineStr">
        <is>
          <t>Roasted Carrots with Cumin &amp; Yogurt</t>
        </is>
      </c>
      <c r="C765" s="4" t="inlineStr">
        <is>
          <t>Side Dish</t>
        </is>
      </c>
      <c r="D765" s="4" t="inlineStr">
        <is>
          <t>Middle Eastern</t>
        </is>
      </c>
      <c r="E765" s="2" t="n">
        <v>4</v>
      </c>
      <c r="F765" s="2" t="n">
        <v>5</v>
      </c>
      <c r="G765" s="2" t="n">
        <v>25</v>
      </c>
      <c r="H765" s="2" t="n">
        <v>30</v>
      </c>
      <c r="I765" s="4" t="inlineStr">
        <is>
          <t>roasted-carrots-with-cumin-and-yogurt.jpg</t>
        </is>
      </c>
      <c r="J765" s="3" t="inlineStr">
        <is>
          <t>Roasted Carrots with Cumin &amp; Yogurt, healthy food photography, plated, natural light</t>
        </is>
      </c>
      <c r="K765" s="4" t="inlineStr"/>
      <c r="L765" s="3" t="inlineStr">
        <is>
          <t>Carrot — 500 g (17.6 oz)
Extra-virgin olive oil — 12 g (0.4 oz)
Ground cumin — 3 g (0.1 oz)
Greek yogurt, plain 2% — 80 g (2.8 oz)
Lemon (with juice &amp; zest) — 15 g (0.5 oz)
Fresh cilantro — 5 g (0.2 oz)
Salt — 2 g (0.1 oz)</t>
        </is>
      </c>
      <c r="M765" s="4" t="inlineStr">
        <is>
          <t>[{"ingredient_id": "carrot", "name": "Carrot", "grams": 500.0, "note": ""}, {"ingredient_id": "olive_oil", "name": "Extra-virgin olive oil", "grams": 12.0, "note": ""}, {"ingredient_id": "cumin", "name": "Ground cumin", "grams": 3.0, "note": ""}, {"ingredient_id": "greek_yogurt", "name": "Greek yogurt, plain 2%", "grams": 80.0, "note": ""}, {"ingredient_id": "lemon", "name": "Lemon (with juice &amp; zest)", "grams": 15.0, "note": ""}, {"ingredient_id": "cilantro", "name": "Fresh cilantro", "grams": 5.0, "note": ""}, {"ingredient_id": "salt", "name": "Salt", "grams": 2.0, "note": ""}]</t>
        </is>
      </c>
      <c r="N765" s="2" t="n">
        <v>97</v>
      </c>
      <c r="O765" s="5" t="n">
        <v>3.3</v>
      </c>
      <c r="P765" s="5" t="n">
        <v>3.8</v>
      </c>
      <c r="Q765" s="5" t="n">
        <v>13.5</v>
      </c>
      <c r="R765" s="5" t="n">
        <v>3.7</v>
      </c>
      <c r="S765" s="5" t="n">
        <v>9.800000000000001</v>
      </c>
      <c r="T765" s="2" t="n">
        <v>36</v>
      </c>
      <c r="U765" s="2" t="inlineStr">
        <is>
          <t>low</t>
        </is>
      </c>
      <c r="V765" s="5" t="n">
        <v>3.5</v>
      </c>
      <c r="W765" s="2" t="inlineStr">
        <is>
          <t>low</t>
        </is>
      </c>
      <c r="X765" s="3" t="inlineStr"/>
      <c r="Y765" s="3" t="inlineStr">
        <is>
          <t>95% of this dish's available carbohydrate comes from ingredients with a published, measured GI; the rest uses conventional placeholders (see Ingredients sheet)</t>
        </is>
      </c>
      <c r="Z765" s="2" t="n">
        <v>95</v>
      </c>
      <c r="AA765" s="3" t="inlineStr">
        <is>
          <t>vegetarian, gluten-free, nut-free, low-carb</t>
        </is>
      </c>
      <c r="AB765" s="3" t="inlineStr">
        <is>
          <t>1. Toss carrots with oil, cumin, salt.
2. Roast at 425°F 22 minutes.
3. Serve over yogurt with lemon and cilantro.</t>
        </is>
      </c>
      <c r="AC765" s="4" t="inlineStr">
        <is>
          <t>["Toss carrots with oil, cumin, salt.", "Roast at 425°F 22 minutes.", "Serve over yogurt with lemon and cilantro."]</t>
        </is>
      </c>
    </row>
    <row r="766" ht="96" customHeight="1">
      <c r="A766" s="2" t="inlineStr">
        <is>
          <t>DB-0765</t>
        </is>
      </c>
      <c r="B766" s="3" t="inlineStr">
        <is>
          <t>Broccoli Slaw with Tahini Dressing</t>
        </is>
      </c>
      <c r="C766" s="4" t="inlineStr">
        <is>
          <t>Side Dish</t>
        </is>
      </c>
      <c r="D766" s="4" t="inlineStr">
        <is>
          <t>American</t>
        </is>
      </c>
      <c r="E766" s="2" t="n">
        <v>4</v>
      </c>
      <c r="F766" s="2" t="n">
        <v>10</v>
      </c>
      <c r="G766" s="2" t="n">
        <v>0</v>
      </c>
      <c r="H766" s="2" t="n">
        <v>10</v>
      </c>
      <c r="I766" s="4" t="inlineStr">
        <is>
          <t>broccoli-slaw-with-tahini-dressing.jpg</t>
        </is>
      </c>
      <c r="J766" s="3" t="inlineStr">
        <is>
          <t>Broccoli Slaw with Tahini Dressing, healthy food photography, plated, natural light</t>
        </is>
      </c>
      <c r="K766" s="4" t="inlineStr"/>
      <c r="L766" s="3" t="inlineStr">
        <is>
          <t>Broccoli — 400 g (14.1 oz) [stems shredded + florets chopped]
Carrot — 80 g (2.8 oz)
Red cabbage — 100 g (3.5 oz)
Tahini — 25 g (0.9 oz)
Lemon juice — 20 g (0.7 oz)
Garlic — 3 g (0.1 oz)
Water / ice — 25 g (0.9 oz)
Sunflower seeds — 15 g (0.5 oz)
Salt — 1 g (0.0 oz)</t>
        </is>
      </c>
      <c r="M766" s="4" t="inlineStr">
        <is>
          <t>[{"ingredient_id": "broccoli", "name": "Broccoli", "grams": 400.0, "note": "stems shredded + florets chopped"}, {"ingredient_id": "carrot", "name": "Carrot", "grams": 80.0, "note": ""}, {"ingredient_id": "red_cabbage", "name": "Red cabbage", "grams": 100.0, "note": ""}, {"ingredient_id": "tahini", "name": "Tahini", "grams": 25.0, "note": ""}, {"ingredient_id": "lemon_juice", "name": "Lemon juice", "grams": 20.0, "note": ""}, {"ingredient_id": "garlic", "name": "Garlic", "grams": 3.0, "note": ""}, {"ingredient_id": "water", "name": "Water / ice", "grams": 25.0, "note": ""}, {"ingredient_id": "sunflower_seeds", "name": "Sunflower seeds", "grams": 15.0, "note": ""}, {"ingredient_id": "salt", "name": "Salt", "grams": 1.0, "note": ""}]</t>
        </is>
      </c>
      <c r="N766" s="2" t="n">
        <v>111</v>
      </c>
      <c r="O766" s="5" t="n">
        <v>5.2</v>
      </c>
      <c r="P766" s="5" t="n">
        <v>5.8</v>
      </c>
      <c r="Q766" s="5" t="n">
        <v>13</v>
      </c>
      <c r="R766" s="5" t="n">
        <v>4.6</v>
      </c>
      <c r="S766" s="5" t="n">
        <v>8.4</v>
      </c>
      <c r="T766" s="2" t="n">
        <v>22</v>
      </c>
      <c r="U766" s="2" t="inlineStr">
        <is>
          <t>low</t>
        </is>
      </c>
      <c r="V766" s="5" t="n">
        <v>1.9</v>
      </c>
      <c r="W766" s="2" t="inlineStr">
        <is>
          <t>low</t>
        </is>
      </c>
      <c r="X766" s="3" t="inlineStr"/>
      <c r="Y766" s="3" t="inlineStr">
        <is>
          <t>16% of this dish's available carbohydrate comes from ingredients with a published, measured GI; the rest uses conventional placeholders (see Ingredients sheet)</t>
        </is>
      </c>
      <c r="Z766" s="2" t="n">
        <v>16</v>
      </c>
      <c r="AA766" s="3" t="inlineStr">
        <is>
          <t>vegan, gluten-free, dairy-free, nut-free, low-carb, no-cook</t>
        </is>
      </c>
      <c r="AB766" s="3" t="inlineStr">
        <is>
          <t>1. Whisk tahini, lemon, garlic, water, salt.
2. Toss with shredded broccoli, carrot, cabbage.
3. Sunflower seeds.</t>
        </is>
      </c>
      <c r="AC766" s="4" t="inlineStr">
        <is>
          <t>["Whisk tahini, lemon, garlic, water, salt.", "Toss with shredded broccoli, carrot, cabbage.", "Sunflower seeds."]</t>
        </is>
      </c>
    </row>
    <row r="767" ht="96" customHeight="1">
      <c r="A767" s="2" t="inlineStr">
        <is>
          <t>DB-0766</t>
        </is>
      </c>
      <c r="B767" s="3" t="inlineStr">
        <is>
          <t>Garlic Roasted Eggplant</t>
        </is>
      </c>
      <c r="C767" s="4" t="inlineStr">
        <is>
          <t>Side Dish</t>
        </is>
      </c>
      <c r="D767" s="4" t="inlineStr">
        <is>
          <t>Mediterranean</t>
        </is>
      </c>
      <c r="E767" s="2" t="n">
        <v>4</v>
      </c>
      <c r="F767" s="2" t="n">
        <v>5</v>
      </c>
      <c r="G767" s="2" t="n">
        <v>25</v>
      </c>
      <c r="H767" s="2" t="n">
        <v>30</v>
      </c>
      <c r="I767" s="4" t="inlineStr">
        <is>
          <t>garlic-roasted-eggplant.jpg</t>
        </is>
      </c>
      <c r="J767" s="3" t="inlineStr">
        <is>
          <t>Garlic Roasted Eggplant, healthy food photography, plated, natural light</t>
        </is>
      </c>
      <c r="K767" s="4" t="inlineStr"/>
      <c r="L767" s="3" t="inlineStr">
        <is>
          <t>Eggplant — 600 g (21.2 oz)
Extra-virgin olive oil — 18 g (0.6 oz)
Garlic — 8 g (0.3 oz)
Dried oregano — 2 g (0.1 oz)
Fresh parsley — 4 g (0.1 oz)
Lemon (with juice &amp; zest) — 15 g (0.5 oz)
Salt — 2 g (0.1 oz)</t>
        </is>
      </c>
      <c r="M767" s="4" t="inlineStr">
        <is>
          <t>[{"ingredient_id": "eggplant", "name": "Eggplant", "grams": 600.0, "note": ""}, {"ingredient_id": "olive_oil", "name": "Extra-virgin olive oil", "grams": 18.0, "note": ""}, {"ingredient_id": "garlic", "name": "Garlic", "grams": 8.0, "note": ""}, {"ingredient_id": "oregano", "name": "Dried oregano", "grams": 2.0, "note": ""}, {"ingredient_id": "parsley", "name": "Fresh parsley", "grams": 4.0, "note": ""}, {"ingredient_id": "lemon", "name": "Lemon (with juice &amp; zest)", "grams": 15.0, "note": ""}, {"ingredient_id": "salt", "name": "Salt", "grams": 2.0, "note": ""}]</t>
        </is>
      </c>
      <c r="N767" s="2" t="n">
        <v>83</v>
      </c>
      <c r="O767" s="5" t="n">
        <v>1.7</v>
      </c>
      <c r="P767" s="5" t="n">
        <v>4.9</v>
      </c>
      <c r="Q767" s="5" t="n">
        <v>10.4</v>
      </c>
      <c r="R767" s="5" t="n">
        <v>4.9</v>
      </c>
      <c r="S767" s="5" t="n">
        <v>5.5</v>
      </c>
      <c r="T767" s="2" t="n">
        <v>17</v>
      </c>
      <c r="U767" s="2" t="inlineStr">
        <is>
          <t>low</t>
        </is>
      </c>
      <c r="V767" s="5" t="n">
        <v>0.9</v>
      </c>
      <c r="W767" s="2" t="inlineStr">
        <is>
          <t>low</t>
        </is>
      </c>
      <c r="X767" s="3" t="inlineStr"/>
      <c r="Y767" s="3" t="inlineStr">
        <is>
          <t>0% of this dish's available carbohydrate comes from ingredients with a published, measured GI; the rest uses conventional placeholders (see Ingredients sheet)</t>
        </is>
      </c>
      <c r="Z767" s="2" t="n">
        <v>0</v>
      </c>
      <c r="AA767" s="3" t="inlineStr">
        <is>
          <t>vegan, gluten-free, dairy-free, nut-free, low-carb</t>
        </is>
      </c>
      <c r="AB767" s="3" t="inlineStr">
        <is>
          <t>1. Cube eggplant; toss with oil, garlic, oregano, salt.
2. Roast at 425°F 22–25 minutes.
3. Parsley, lemon.</t>
        </is>
      </c>
      <c r="AC767" s="4" t="inlineStr">
        <is>
          <t>["Cube eggplant; toss with oil, garlic, oregano, salt.", "Roast at 425°F 22–25 minutes.", "Parsley, lemon."]</t>
        </is>
      </c>
    </row>
    <row r="768" ht="96" customHeight="1">
      <c r="A768" s="2" t="inlineStr">
        <is>
          <t>DB-0767</t>
        </is>
      </c>
      <c r="B768" s="3" t="inlineStr">
        <is>
          <t>Brown Rice &amp; Cauliflower Rice Blend</t>
        </is>
      </c>
      <c r="C768" s="4" t="inlineStr">
        <is>
          <t>Side Dish</t>
        </is>
      </c>
      <c r="D768" s="4" t="inlineStr">
        <is>
          <t>American</t>
        </is>
      </c>
      <c r="E768" s="2" t="n">
        <v>6</v>
      </c>
      <c r="F768" s="2" t="n">
        <v>5</v>
      </c>
      <c r="G768" s="2" t="n">
        <v>8</v>
      </c>
      <c r="H768" s="2" t="n">
        <v>13</v>
      </c>
      <c r="I768" s="4" t="inlineStr">
        <is>
          <t>brown-rice-and-cauliflower-rice-blend.jpg</t>
        </is>
      </c>
      <c r="J768" s="3" t="inlineStr">
        <is>
          <t>Brown Rice &amp; Cauliflower Rice Blend, healthy food photography, plated, natural light</t>
        </is>
      </c>
      <c r="K768" s="4" t="inlineStr"/>
      <c r="L768" s="3" t="inlineStr">
        <is>
          <t>Brown rice, cooked — 400 g (14.1 oz)
Cauliflower rice — 400 g (14.1 oz)
Extra-virgin olive oil — 10 g (0.4 oz)
Garlic — 4 g (0.1 oz)
Green onions (scallions) — 15 g (0.5 oz)
Salt — 2 g (0.1 oz)</t>
        </is>
      </c>
      <c r="M768" s="4" t="inlineStr">
        <is>
          <t>[{"ingredient_id": "brown_rice", "name": "Brown rice, cooked", "grams": 400.0, "note": ""}, {"ingredient_id": "cauliflower_rice", "name": "Cauliflower rice", "grams": 400.0, "note": ""}, {"ingredient_id": "olive_oil", "name": "Extra-virgin olive oil", "grams": 10.0, "note": ""}, {"ingredient_id": "garlic", "name": "Garlic", "grams": 4.0, "note": ""}, {"ingredient_id": "green_onion", "name": "Green onions (scallions)", "grams": 15.0, "note": ""}, {"ingredient_id": "salt", "name": "Salt", "grams": 2.0, "note": ""}]</t>
        </is>
      </c>
      <c r="N768" s="2" t="n">
        <v>108</v>
      </c>
      <c r="O768" s="5" t="n">
        <v>2.9</v>
      </c>
      <c r="P768" s="5" t="n">
        <v>2.4</v>
      </c>
      <c r="Q768" s="5" t="n">
        <v>19.7</v>
      </c>
      <c r="R768" s="5" t="n">
        <v>2.6</v>
      </c>
      <c r="S768" s="5" t="n">
        <v>17.1</v>
      </c>
      <c r="T768" s="2" t="n">
        <v>61</v>
      </c>
      <c r="U768" s="2" t="inlineStr">
        <is>
          <t>medium</t>
        </is>
      </c>
      <c r="V768" s="5" t="n">
        <v>10.4</v>
      </c>
      <c r="W768" s="2" t="inlineStr">
        <is>
          <t>medium</t>
        </is>
      </c>
      <c r="X768" s="3" t="inlineStr">
        <is>
          <t>Medium-GI dish: keep to the stated portion and pair with the protein/fat in the recipe; GL per serving is the better guide.</t>
        </is>
      </c>
      <c r="Y768" s="3" t="inlineStr">
        <is>
          <t>86% of this dish's available carbohydrate comes from ingredients with a published, measured GI; the rest uses conventional placeholders (see Ingredients sheet)</t>
        </is>
      </c>
      <c r="Z768" s="2" t="n">
        <v>86</v>
      </c>
      <c r="AA768" s="3" t="inlineStr">
        <is>
          <t>vegan, gluten-free, dairy-free, nut-free</t>
        </is>
      </c>
      <c r="AB768" s="3" t="inlineStr">
        <is>
          <t>1. Sauté garlic in oil; add cauliflower rice 4 minutes.
2. Stir in cooked brown rice; heat through.
3. Green onion, salt.</t>
        </is>
      </c>
      <c r="AC768" s="4" t="inlineStr">
        <is>
          <t>["Sauté garlic in oil; add cauliflower rice 4 minutes.", "Stir in cooked brown rice; heat through.", "Green onion, salt."]</t>
        </is>
      </c>
    </row>
    <row r="769" ht="96" customHeight="1">
      <c r="A769" s="2" t="inlineStr">
        <is>
          <t>DB-0768</t>
        </is>
      </c>
      <c r="B769" s="3" t="inlineStr">
        <is>
          <t>Asian Cucumber Salad</t>
        </is>
      </c>
      <c r="C769" s="4" t="inlineStr">
        <is>
          <t>Side Dish</t>
        </is>
      </c>
      <c r="D769" s="4" t="inlineStr">
        <is>
          <t>Chinese</t>
        </is>
      </c>
      <c r="E769" s="2" t="n">
        <v>4</v>
      </c>
      <c r="F769" s="2" t="n">
        <v>10</v>
      </c>
      <c r="G769" s="2" t="n">
        <v>0</v>
      </c>
      <c r="H769" s="2" t="n">
        <v>10</v>
      </c>
      <c r="I769" s="4" t="inlineStr">
        <is>
          <t>asian-cucumber-salad.jpg</t>
        </is>
      </c>
      <c r="J769" s="3" t="inlineStr">
        <is>
          <t>Asian Cucumber Salad, healthy food photography, plated, natural light</t>
        </is>
      </c>
      <c r="K769" s="4" t="inlineStr"/>
      <c r="L769" s="3" t="inlineStr">
        <is>
          <t>Cucumber — 500 g (17.6 oz)
Rice vinegar, unseasoned — 25 g (0.9 oz)
Tamari (gluten-free soy sauce) — 10 g (0.4 oz)
Toasted sesame oil — 8 g (0.3 oz)
Garlic — 4 g (0.1 oz)
Red pepper flakes — 1 g (0.0 oz)
Sesame seeds — 5 g (0.2 oz)</t>
        </is>
      </c>
      <c r="M769" s="4" t="inlineStr">
        <is>
          <t>[{"ingredient_id": "cucumber", "name": "Cucumber", "grams": 500.0, "note": ""}, {"ingredient_id": "rice_vinegar", "name": "Rice vinegar, unseasoned", "grams": 25.0, "note": ""}, {"ingredient_id": "tamari", "name": "Tamari (gluten-free soy sauce)", "grams": 10.0, "note": ""}, {"ingredient_id": "sesame_oil", "name": "Toasted sesame oil", "grams": 8.0, "note": ""}, {"ingredient_id": "garlic", "name": "Garlic", "grams": 4.0, "note": ""}, {"ingredient_id": "red_pepper_flakes", "name": "Red pepper flakes", "grams": 1.0, "note": ""}, {"ingredient_id": "sesame_seeds", "name": "Sesame seeds", "grams": 5.0, "note": ""}]</t>
        </is>
      </c>
      <c r="N769" s="2" t="n">
        <v>49</v>
      </c>
      <c r="O769" s="5" t="n">
        <v>1.4</v>
      </c>
      <c r="P769" s="5" t="n">
        <v>2.8</v>
      </c>
      <c r="Q769" s="5" t="n">
        <v>5.4</v>
      </c>
      <c r="R769" s="5" t="n">
        <v>0.9</v>
      </c>
      <c r="S769" s="5" t="n">
        <v>4.5</v>
      </c>
      <c r="T769" s="2" t="n">
        <v>17</v>
      </c>
      <c r="U769" s="2" t="inlineStr">
        <is>
          <t>low</t>
        </is>
      </c>
      <c r="V769" s="5" t="n">
        <v>0.8</v>
      </c>
      <c r="W769" s="2" t="inlineStr">
        <is>
          <t>low</t>
        </is>
      </c>
      <c r="X769" s="3" t="inlineStr">
        <is>
          <t>Negligible carbohydrate (&lt;5 g net/serving): GI has little practical meaning, glycemic load is what matters.</t>
        </is>
      </c>
      <c r="Y769" s="3" t="inlineStr">
        <is>
          <t>0% of this dish's available carbohydrate comes from ingredients with a published, measured GI; the rest uses conventional placeholders (see Ingredients sheet)</t>
        </is>
      </c>
      <c r="Z769" s="2" t="n">
        <v>0</v>
      </c>
      <c r="AA769" s="3" t="inlineStr">
        <is>
          <t>vegan, gluten-free, dairy-free, nut-free, low-carb, no-cook</t>
        </is>
      </c>
      <c r="AB769" s="3" t="inlineStr">
        <is>
          <t>1. Smash and chop cucumber; salt 10 minutes; drain.
2. Toss with vinegar, tamari, sesame oil, garlic, pepper flakes.
3. Sesame.</t>
        </is>
      </c>
      <c r="AC769" s="4" t="inlineStr">
        <is>
          <t>["Smash and chop cucumber; salt 10 minutes; drain.", "Toss with vinegar, tamari, sesame oil, garlic, pepper flakes.", "Sesame."]</t>
        </is>
      </c>
    </row>
    <row r="770" ht="96" customHeight="1">
      <c r="A770" s="2" t="inlineStr">
        <is>
          <t>DB-0769</t>
        </is>
      </c>
      <c r="B770" s="3" t="inlineStr">
        <is>
          <t>Black Beans with Cumin &amp; Lime</t>
        </is>
      </c>
      <c r="C770" s="4" t="inlineStr">
        <is>
          <t>Side Dish</t>
        </is>
      </c>
      <c r="D770" s="4" t="inlineStr">
        <is>
          <t>Mexican</t>
        </is>
      </c>
      <c r="E770" s="2" t="n">
        <v>4</v>
      </c>
      <c r="F770" s="2" t="n">
        <v>5</v>
      </c>
      <c r="G770" s="2" t="n">
        <v>10</v>
      </c>
      <c r="H770" s="2" t="n">
        <v>15</v>
      </c>
      <c r="I770" s="4" t="inlineStr">
        <is>
          <t>black-beans-with-cumin-and-lime.jpg</t>
        </is>
      </c>
      <c r="J770" s="3" t="inlineStr">
        <is>
          <t>Black Beans with Cumin &amp; Lime, healthy food photography, plated, natural light</t>
        </is>
      </c>
      <c r="K770" s="4" t="inlineStr"/>
      <c r="L770" s="3" t="inlineStr">
        <is>
          <t>Black beans, cooked — 500 g (17.6 oz)
Yellow onion — 60 g (2.1 oz)
Garlic — 5 g (0.2 oz)
Ground cumin — 3 g (0.1 oz)
Lime — 25 g (0.9 oz)
Extra-virgin olive oil — 10 g (0.4 oz)
Fresh cilantro — 6 g (0.2 oz)
Salt — 2 g (0.1 oz)</t>
        </is>
      </c>
      <c r="M770" s="4" t="inlineStr">
        <is>
          <t>[{"ingredient_id": "black_beans", "name": "Black beans, cooked", "grams": 500.0, "note": ""}, {"ingredient_id": "onion", "name": "Yellow onion", "grams": 60.0, "note": ""}, {"ingredient_id": "garlic", "name": "Garlic", "grams": 5.0, "note": ""}, {"ingredient_id": "cumin", "name": "Ground cumin", "grams": 3.0, "note": ""}, {"ingredient_id": "lime", "name": "Lime", "grams": 25.0, "note": ""}, {"ingredient_id": "olive_oil", "name": "Extra-virgin olive oil", "grams": 10.0, "note": ""}, {"ingredient_id": "cilantro", "name": "Fresh cilantro", "grams": 6.0, "note": ""}, {"ingredient_id": "salt", "name": "Salt", "grams": 2.0, "note": ""}]</t>
        </is>
      </c>
      <c r="N770" s="2" t="n">
        <v>200</v>
      </c>
      <c r="O770" s="5" t="n">
        <v>11.6</v>
      </c>
      <c r="P770" s="5" t="n">
        <v>3.3</v>
      </c>
      <c r="Q770" s="5" t="n">
        <v>32.5</v>
      </c>
      <c r="R770" s="5" t="n">
        <v>11.5</v>
      </c>
      <c r="S770" s="5" t="n">
        <v>21</v>
      </c>
      <c r="T770" s="2" t="n">
        <v>29</v>
      </c>
      <c r="U770" s="2" t="inlineStr">
        <is>
          <t>low</t>
        </is>
      </c>
      <c r="V770" s="5" t="n">
        <v>6.1</v>
      </c>
      <c r="W770" s="2" t="inlineStr">
        <is>
          <t>low</t>
        </is>
      </c>
      <c r="X770" s="3" t="inlineStr"/>
      <c r="Y770" s="3" t="inlineStr">
        <is>
          <t>89% of this dish's available carbohydrate comes from ingredients with a published, measured GI; the rest uses conventional placeholders (see Ingredients sheet)</t>
        </is>
      </c>
      <c r="Z770" s="2" t="n">
        <v>89</v>
      </c>
      <c r="AA770" s="3" t="inlineStr">
        <is>
          <t>vegan, gluten-free, dairy-free, nut-free, high-fiber, quick</t>
        </is>
      </c>
      <c r="AB770" s="3" t="inlineStr">
        <is>
          <t>1. Sauté onion and garlic in oil; add cumin.
2. Add beans with a splash of water; simmer 5 minutes.
3. Lime, cilantro, salt.</t>
        </is>
      </c>
      <c r="AC770" s="4" t="inlineStr">
        <is>
          <t>["Sauté onion and garlic in oil; add cumin.", "Add beans with a splash of water; simmer 5 minutes.", "Lime, cilantro, salt."]</t>
        </is>
      </c>
    </row>
    <row r="771" ht="96" customHeight="1">
      <c r="A771" s="2" t="inlineStr">
        <is>
          <t>DB-0770</t>
        </is>
      </c>
      <c r="B771" s="3" t="inlineStr">
        <is>
          <t>Bok Choy with Garlic &amp; Ginger</t>
        </is>
      </c>
      <c r="C771" s="4" t="inlineStr">
        <is>
          <t>Side Dish</t>
        </is>
      </c>
      <c r="D771" s="4" t="inlineStr">
        <is>
          <t>Chinese</t>
        </is>
      </c>
      <c r="E771" s="2" t="n">
        <v>4</v>
      </c>
      <c r="F771" s="2" t="n">
        <v>3</v>
      </c>
      <c r="G771" s="2" t="n">
        <v>6</v>
      </c>
      <c r="H771" s="2" t="n">
        <v>9</v>
      </c>
      <c r="I771" s="4" t="inlineStr">
        <is>
          <t>bok-choy-with-garlic-and-ginger.jpg</t>
        </is>
      </c>
      <c r="J771" s="3" t="inlineStr">
        <is>
          <t>Bok Choy with Garlic &amp; Ginger, healthy food photography, plated, natural light</t>
        </is>
      </c>
      <c r="K771" s="4" t="inlineStr"/>
      <c r="L771" s="3" t="inlineStr">
        <is>
          <t>Bok choy — 600 g (21.2 oz)
Avocado oil — 10 g (0.4 oz)
Garlic — 6 g (0.2 oz)
Fresh ginger — 6 g (0.2 oz)
Tamari (gluten-free soy sauce) — 10 g (0.4 oz)
Toasted sesame oil — 5 g (0.2 oz)</t>
        </is>
      </c>
      <c r="M771" s="4" t="inlineStr">
        <is>
          <t>[{"ingredient_id": "bok_choy", "name": "Bok choy", "grams": 600.0, "note": ""}, {"ingredient_id": "avocado_oil", "name": "Avocado oil", "grams": 10.0, "note": ""}, {"ingredient_id": "garlic", "name": "Garlic", "grams": 6.0, "note": ""}, {"ingredient_id": "ginger", "name": "Fresh ginger", "grams": 6.0, "note": ""}, {"ingredient_id": "tamari", "name": "Tamari (gluten-free soy sauce)", "grams": 10.0, "note": ""}, {"ingredient_id": "sesame_oil", "name": "Toasted sesame oil", "grams": 5.0, "note": ""}]</t>
        </is>
      </c>
      <c r="N771" s="2" t="n">
        <v>58</v>
      </c>
      <c r="O771" s="5" t="n">
        <v>2.6</v>
      </c>
      <c r="P771" s="5" t="n">
        <v>4.1</v>
      </c>
      <c r="Q771" s="5" t="n">
        <v>4.2</v>
      </c>
      <c r="R771" s="5" t="n">
        <v>1.6</v>
      </c>
      <c r="S771" s="5" t="n">
        <v>2.6</v>
      </c>
      <c r="T771" s="2" t="n">
        <v>18</v>
      </c>
      <c r="U771" s="2" t="inlineStr">
        <is>
          <t>low</t>
        </is>
      </c>
      <c r="V771" s="5" t="n">
        <v>0.5</v>
      </c>
      <c r="W771" s="2" t="inlineStr">
        <is>
          <t>low</t>
        </is>
      </c>
      <c r="X771" s="3" t="inlineStr">
        <is>
          <t>Negligible carbohydrate (&lt;5 g net/serving): GI has little practical meaning, glycemic load is what matters.</t>
        </is>
      </c>
      <c r="Y771" s="3" t="inlineStr">
        <is>
          <t>0% of this dish's available carbohydrate comes from ingredients with a published, measured GI; the rest uses conventional placeholders (see Ingredients sheet)</t>
        </is>
      </c>
      <c r="Z771" s="2" t="n">
        <v>0</v>
      </c>
      <c r="AA771" s="3" t="inlineStr">
        <is>
          <t>vegan, gluten-free, dairy-free, nut-free, low-carb, quick</t>
        </is>
      </c>
      <c r="AB771" s="3" t="inlineStr">
        <is>
          <t>1. Stir-fry garlic and ginger in oil 30 seconds.
2. Add bok choy; stir-fry 4 minutes.
3. Tamari, sesame oil.</t>
        </is>
      </c>
      <c r="AC771" s="4" t="inlineStr">
        <is>
          <t>["Stir-fry garlic and ginger in oil 30 seconds.", "Add bok choy; stir-fry 4 minutes.", "Tamari, sesame oil."]</t>
        </is>
      </c>
    </row>
    <row r="772" ht="96" customHeight="1">
      <c r="A772" s="2" t="inlineStr">
        <is>
          <t>DB-0771</t>
        </is>
      </c>
      <c r="B772" s="3" t="inlineStr">
        <is>
          <t>Roasted Beets with Goat Cheese</t>
        </is>
      </c>
      <c r="C772" s="4" t="inlineStr">
        <is>
          <t>Side Dish</t>
        </is>
      </c>
      <c r="D772" s="4" t="inlineStr">
        <is>
          <t>American</t>
        </is>
      </c>
      <c r="E772" s="2" t="n">
        <v>6</v>
      </c>
      <c r="F772" s="2" t="n">
        <v>5</v>
      </c>
      <c r="G772" s="2" t="n">
        <v>45</v>
      </c>
      <c r="H772" s="2" t="n">
        <v>50</v>
      </c>
      <c r="I772" s="4" t="inlineStr">
        <is>
          <t>roasted-beets-with-goat-cheese.jpg</t>
        </is>
      </c>
      <c r="J772" s="3" t="inlineStr">
        <is>
          <t>Roasted Beets with Goat Cheese, healthy food photography, plated, natural light</t>
        </is>
      </c>
      <c r="K772" s="4" t="inlineStr"/>
      <c r="L772" s="3" t="inlineStr">
        <is>
          <t>Beets — 600 g (21.2 oz)
Extra-virgin olive oil — 12 g (0.4 oz)
Goat cheese — 50 g (1.8 oz)
Walnuts — 25 g (0.9 oz)
Balsamic vinegar — 10 g (0.4 oz)
Fresh thyme — 2 g (0.1 oz)
Salt — 2 g (0.1 oz)</t>
        </is>
      </c>
      <c r="M772" s="4" t="inlineStr">
        <is>
          <t>[{"ingredient_id": "beet", "name": "Beets", "grams": 600.0, "note": ""}, {"ingredient_id": "olive_oil", "name": "Extra-virgin olive oil", "grams": 12.0, "note": ""}, {"ingredient_id": "goat_cheese", "name": "Goat cheese", "grams": 50.0, "note": ""}, {"ingredient_id": "walnuts", "name": "Walnuts", "grams": 25.0, "note": ""}, {"ingredient_id": "balsamic_vinegar", "name": "Balsamic vinegar", "grams": 10.0, "note": ""}, {"ingredient_id": "thyme", "name": "Fresh thyme", "grams": 2.0, "note": ""}, {"ingredient_id": "salt", "name": "Salt", "grams": 2.0, "note": ""}]</t>
        </is>
      </c>
      <c r="N772" s="2" t="n">
        <v>120</v>
      </c>
      <c r="O772" s="5" t="n">
        <v>4.1</v>
      </c>
      <c r="P772" s="5" t="n">
        <v>7.4</v>
      </c>
      <c r="Q772" s="5" t="n">
        <v>10.5</v>
      </c>
      <c r="R772" s="5" t="n">
        <v>3.1</v>
      </c>
      <c r="S772" s="5" t="n">
        <v>7.4</v>
      </c>
      <c r="T772" s="2" t="n">
        <v>61</v>
      </c>
      <c r="U772" s="2" t="inlineStr">
        <is>
          <t>medium</t>
        </is>
      </c>
      <c r="V772" s="5" t="n">
        <v>4.5</v>
      </c>
      <c r="W772" s="2" t="inlineStr">
        <is>
          <t>low</t>
        </is>
      </c>
      <c r="X772" s="3" t="inlineStr">
        <is>
          <t>Medium-GI dish: keep to the stated portion and pair with the protein/fat in the recipe; GL per serving is the better guide.</t>
        </is>
      </c>
      <c r="Y772" s="3" t="inlineStr">
        <is>
          <t>92% of this dish's available carbohydrate comes from ingredients with a published, measured GI; the rest uses conventional placeholders (see Ingredients sheet)</t>
        </is>
      </c>
      <c r="Z772" s="2" t="n">
        <v>92</v>
      </c>
      <c r="AA772" s="3" t="inlineStr">
        <is>
          <t>vegetarian, gluten-free, low-carb</t>
        </is>
      </c>
      <c r="AB772" s="3" t="inlineStr">
        <is>
          <t>1. Wrap beets in foil; roast at 400°F 45 minutes; peel, slice.
2. Toss with oil, balsamic, thyme, salt.
3. Goat cheese, walnuts.</t>
        </is>
      </c>
      <c r="AC772" s="4" t="inlineStr">
        <is>
          <t>["Wrap beets in foil; roast at 400°F 45 minutes; peel, slice.", "Toss with oil, balsamic, thyme, salt.", "Goat cheese, walnuts."]</t>
        </is>
      </c>
    </row>
    <row r="773" ht="96" customHeight="1">
      <c r="A773" s="2" t="inlineStr">
        <is>
          <t>DB-0772</t>
        </is>
      </c>
      <c r="B773" s="3" t="inlineStr">
        <is>
          <t>Turnip 'Fries'</t>
        </is>
      </c>
      <c r="C773" s="4" t="inlineStr">
        <is>
          <t>Side Dish</t>
        </is>
      </c>
      <c r="D773" s="4" t="inlineStr">
        <is>
          <t>American</t>
        </is>
      </c>
      <c r="E773" s="2" t="n">
        <v>4</v>
      </c>
      <c r="F773" s="2" t="n">
        <v>10</v>
      </c>
      <c r="G773" s="2" t="n">
        <v>30</v>
      </c>
      <c r="H773" s="2" t="n">
        <v>40</v>
      </c>
      <c r="I773" s="4" t="inlineStr">
        <is>
          <t>turnip-fries.jpg</t>
        </is>
      </c>
      <c r="J773" s="3" t="inlineStr">
        <is>
          <t>Turnip 'Fries', healthy food photography, plated, natural light</t>
        </is>
      </c>
      <c r="K773" s="4" t="inlineStr"/>
      <c r="L773" s="3" t="inlineStr">
        <is>
          <t>Turnip (GI of swede/rutabaga, closest tested) — 600 g (21.2 oz)
Extra-virgin olive oil — 15 g (0.5 oz)
Garlic powder — 2 g (0.1 oz)
Paprika — 2 g (0.1 oz)
Salt — 2 g (0.1 oz)
Fresh parsley — 4 g (0.1 oz)</t>
        </is>
      </c>
      <c r="M773" s="4" t="inlineStr">
        <is>
          <t>[{"ingredient_id": "turnip", "name": "Turnip (GI of swede/rutabaga, closest tested)", "grams": 600.0, "note": ""}, {"ingredient_id": "olive_oil", "name": "Extra-virgin olive oil", "grams": 15.0, "note": ""}, {"ingredient_id": "garlic_powder", "name": "Garlic powder", "grams": 2.0, "note": ""}, {"ingredient_id": "paprika", "name": "Paprika", "grams": 2.0, "note": ""}, {"ingredient_id": "salt", "name": "Salt", "grams": 2.0, "note": ""}, {"ingredient_id": "parsley", "name": "Fresh parsley", "grams": 4.0, "note": ""}]</t>
        </is>
      </c>
      <c r="N773" s="2" t="n">
        <v>79</v>
      </c>
      <c r="O773" s="5" t="n">
        <v>1.5</v>
      </c>
      <c r="P773" s="5" t="n">
        <v>4</v>
      </c>
      <c r="Q773" s="5" t="n">
        <v>10.3</v>
      </c>
      <c r="R773" s="5" t="n">
        <v>3</v>
      </c>
      <c r="S773" s="5" t="n">
        <v>7.3</v>
      </c>
      <c r="T773" s="2" t="n">
        <v>69</v>
      </c>
      <c r="U773" s="2" t="inlineStr">
        <is>
          <t>medium</t>
        </is>
      </c>
      <c r="V773" s="5" t="n">
        <v>5.1</v>
      </c>
      <c r="W773" s="2" t="inlineStr">
        <is>
          <t>low</t>
        </is>
      </c>
      <c r="X773" s="3" t="inlineStr">
        <is>
          <t>Medium-GI dish: keep to the stated portion and pair with the protein/fat in the recipe; GL per serving is the better guide.</t>
        </is>
      </c>
      <c r="Y773" s="3" t="inlineStr">
        <is>
          <t>94% of this dish's available carbohydrate comes from ingredients with a published, measured GI; the rest uses conventional placeholders (see Ingredients sheet)</t>
        </is>
      </c>
      <c r="Z773" s="2" t="n">
        <v>94</v>
      </c>
      <c r="AA773" s="3" t="inlineStr">
        <is>
          <t>vegan, gluten-free, dairy-free, nut-free, low-carb</t>
        </is>
      </c>
      <c r="AB773" s="3" t="inlineStr">
        <is>
          <t>1. Cut turnips into fries; toss with oil and spices.
2. Roast at 425°F 28–30 minutes, flipping once.
3. Parsley.</t>
        </is>
      </c>
      <c r="AC773" s="4" t="inlineStr">
        <is>
          <t>["Cut turnips into fries; toss with oil and spices.", "Roast at 425°F 28–30 minutes, flipping once.", "Parsley."]</t>
        </is>
      </c>
    </row>
    <row r="774" ht="96" customHeight="1">
      <c r="A774" s="2" t="inlineStr">
        <is>
          <t>DB-0773</t>
        </is>
      </c>
      <c r="B774" s="3" t="inlineStr">
        <is>
          <t>Sesame Green Beans</t>
        </is>
      </c>
      <c r="C774" s="4" t="inlineStr">
        <is>
          <t>Side Dish</t>
        </is>
      </c>
      <c r="D774" s="4" t="inlineStr">
        <is>
          <t>Japanese</t>
        </is>
      </c>
      <c r="E774" s="2" t="n">
        <v>4</v>
      </c>
      <c r="F774" s="2" t="n">
        <v>3</v>
      </c>
      <c r="G774" s="2" t="n">
        <v>8</v>
      </c>
      <c r="H774" s="2" t="n">
        <v>11</v>
      </c>
      <c r="I774" s="4" t="inlineStr">
        <is>
          <t>sesame-green-beans.jpg</t>
        </is>
      </c>
      <c r="J774" s="3" t="inlineStr">
        <is>
          <t>Sesame Green Beans, healthy food photography, plated, natural light</t>
        </is>
      </c>
      <c r="K774" s="4" t="inlineStr"/>
      <c r="L774" s="3" t="inlineStr">
        <is>
          <t>Green beans — 500 g (17.6 oz)
Toasted sesame oil — 8 g (0.3 oz)
Tamari (gluten-free soy sauce) — 10 g (0.4 oz)
Sesame seeds — 8 g (0.3 oz)
Garlic — 4 g (0.1 oz)
Avocado oil — 6 g (0.2 oz)</t>
        </is>
      </c>
      <c r="M774" s="4" t="inlineStr">
        <is>
          <t>[{"ingredient_id": "green_beans", "name": "Green beans", "grams": 500.0, "note": ""}, {"ingredient_id": "sesame_oil", "name": "Toasted sesame oil", "grams": 8.0, "note": ""}, {"ingredient_id": "tamari", "name": "Tamari (gluten-free soy sauce)", "grams": 10.0, "note": ""}, {"ingredient_id": "sesame_seeds", "name": "Sesame seeds", "grams": 8.0, "note": ""}, {"ingredient_id": "garlic", "name": "Garlic", "grams": 4.0, "note": ""}, {"ingredient_id": "avocado_oil", "name": "Avocado oil", "grams": 6.0, "note": ""}]</t>
        </is>
      </c>
      <c r="N774" s="2" t="n">
        <v>84</v>
      </c>
      <c r="O774" s="5" t="n">
        <v>2.9</v>
      </c>
      <c r="P774" s="5" t="n">
        <v>4.8</v>
      </c>
      <c r="Q774" s="5" t="n">
        <v>9.699999999999999</v>
      </c>
      <c r="R774" s="5" t="n">
        <v>3.7</v>
      </c>
      <c r="S774" s="5" t="n">
        <v>6</v>
      </c>
      <c r="T774" s="2" t="n">
        <v>17</v>
      </c>
      <c r="U774" s="2" t="inlineStr">
        <is>
          <t>low</t>
        </is>
      </c>
      <c r="V774" s="5" t="n">
        <v>1</v>
      </c>
      <c r="W774" s="2" t="inlineStr">
        <is>
          <t>low</t>
        </is>
      </c>
      <c r="X774" s="3" t="inlineStr"/>
      <c r="Y774" s="3" t="inlineStr">
        <is>
          <t>0% of this dish's available carbohydrate comes from ingredients with a published, measured GI; the rest uses conventional placeholders (see Ingredients sheet)</t>
        </is>
      </c>
      <c r="Z774" s="2" t="n">
        <v>0</v>
      </c>
      <c r="AA774" s="3" t="inlineStr">
        <is>
          <t>vegan, gluten-free, dairy-free, nut-free, low-carb, quick</t>
        </is>
      </c>
      <c r="AB774" s="3" t="inlineStr">
        <is>
          <t>1. Blister beans in avocado oil 5 minutes.
2. Add garlic, tamari, sesame oil.
3. Sesame seeds.</t>
        </is>
      </c>
      <c r="AC774" s="4" t="inlineStr">
        <is>
          <t>["Blister beans in avocado oil 5 minutes.", "Add garlic, tamari, sesame oil.", "Sesame seeds."]</t>
        </is>
      </c>
    </row>
    <row r="775" ht="96" customHeight="1">
      <c r="A775" s="2" t="inlineStr">
        <is>
          <t>DB-0774</t>
        </is>
      </c>
      <c r="B775" s="3" t="inlineStr">
        <is>
          <t>Bulgur with Herbs &amp; Lemon</t>
        </is>
      </c>
      <c r="C775" s="4" t="inlineStr">
        <is>
          <t>Side Dish</t>
        </is>
      </c>
      <c r="D775" s="4" t="inlineStr">
        <is>
          <t>Middle Eastern</t>
        </is>
      </c>
      <c r="E775" s="2" t="n">
        <v>5</v>
      </c>
      <c r="F775" s="2" t="n">
        <v>5</v>
      </c>
      <c r="G775" s="2" t="n">
        <v>5</v>
      </c>
      <c r="H775" s="2" t="n">
        <v>10</v>
      </c>
      <c r="I775" s="4" t="inlineStr">
        <is>
          <t>bulgur-with-herbs-and-lemon.jpg</t>
        </is>
      </c>
      <c r="J775" s="3" t="inlineStr">
        <is>
          <t>Bulgur with Herbs &amp; Lemon, healthy food photography, plated, natural light</t>
        </is>
      </c>
      <c r="K775" s="4" t="inlineStr"/>
      <c r="L775" s="3" t="inlineStr">
        <is>
          <t>Bulgur, cooked — 500 g (17.6 oz)
Fresh parsley — 15 g (0.5 oz)
Fresh mint — 6 g (0.2 oz)
Green onions (scallions) — 20 g (0.7 oz)
Lemon (with juice &amp; zest) — 25 g (0.9 oz)
Extra-virgin olive oil — 18 g (0.6 oz)
Salt — 2 g (0.1 oz)</t>
        </is>
      </c>
      <c r="M775" s="4" t="inlineStr">
        <is>
          <t>[{"ingredient_id": "bulgur", "name": "Bulgur, cooked", "grams": 500.0, "note": ""}, {"ingredient_id": "parsley", "name": "Fresh parsley", "grams": 15.0, "note": ""}, {"ingredient_id": "mint", "name": "Fresh mint", "grams": 6.0, "note": ""}, {"ingredient_id": "green_onion", "name": "Green onions (scallions)", "grams": 20.0, "note": ""}, {"ingredient_id": "lemon", "name": "Lemon (with juice &amp; zest)", "grams": 25.0, "note": ""}, {"ingredient_id": "olive_oil", "name": "Extra-virgin olive oil", "grams": 18.0, "note": ""}, {"ingredient_id": "salt", "name": "Salt", "grams": 2.0, "note": ""}]</t>
        </is>
      </c>
      <c r="N775" s="2" t="n">
        <v>119</v>
      </c>
      <c r="O775" s="5" t="n">
        <v>3.4</v>
      </c>
      <c r="P775" s="5" t="n">
        <v>3.9</v>
      </c>
      <c r="Q775" s="5" t="n">
        <v>19.6</v>
      </c>
      <c r="R775" s="5" t="n">
        <v>4.9</v>
      </c>
      <c r="S775" s="5" t="n">
        <v>14.7</v>
      </c>
      <c r="T775" s="2" t="n">
        <v>45</v>
      </c>
      <c r="U775" s="2" t="inlineStr">
        <is>
          <t>low</t>
        </is>
      </c>
      <c r="V775" s="5" t="n">
        <v>6.6</v>
      </c>
      <c r="W775" s="2" t="inlineStr">
        <is>
          <t>low</t>
        </is>
      </c>
      <c r="X775" s="3" t="inlineStr"/>
      <c r="Y775" s="3" t="inlineStr">
        <is>
          <t>96% of this dish's available carbohydrate comes from ingredients with a published, measured GI; the rest uses conventional placeholders (see Ingredients sheet)</t>
        </is>
      </c>
      <c r="Z775" s="2" t="n">
        <v>96</v>
      </c>
      <c r="AA775" s="3" t="inlineStr">
        <is>
          <t>vegan, dairy-free, nut-free, low-carb, quick</t>
        </is>
      </c>
      <c r="AB775" s="3" t="inlineStr">
        <is>
          <t>1. Fluff cooked bulgur.
2. Toss with herbs, green onion, lemon, oil.
3. Salt.</t>
        </is>
      </c>
      <c r="AC775" s="4" t="inlineStr">
        <is>
          <t>["Fluff cooked bulgur.", "Toss with herbs, green onion, lemon, oil.", "Salt."]</t>
        </is>
      </c>
    </row>
    <row r="776" ht="96" customHeight="1">
      <c r="A776" s="2" t="inlineStr">
        <is>
          <t>DB-0775</t>
        </is>
      </c>
      <c r="B776" s="3" t="inlineStr">
        <is>
          <t>Charred Corn &amp; Zucchini (Small Portion)</t>
        </is>
      </c>
      <c r="C776" s="4" t="inlineStr">
        <is>
          <t>Side Dish</t>
        </is>
      </c>
      <c r="D776" s="4" t="inlineStr">
        <is>
          <t>Mexican</t>
        </is>
      </c>
      <c r="E776" s="2" t="n">
        <v>6</v>
      </c>
      <c r="F776" s="2" t="n">
        <v>5</v>
      </c>
      <c r="G776" s="2" t="n">
        <v>10</v>
      </c>
      <c r="H776" s="2" t="n">
        <v>15</v>
      </c>
      <c r="I776" s="4" t="inlineStr">
        <is>
          <t>charred-corn-and-zucchini-small-portion.jpg</t>
        </is>
      </c>
      <c r="J776" s="3" t="inlineStr">
        <is>
          <t>Charred Corn &amp; Zucchini (Small Portion), healthy food photography, plated, natural light</t>
        </is>
      </c>
      <c r="K776" s="4" t="inlineStr"/>
      <c r="L776" s="3" t="inlineStr">
        <is>
          <t>Sweet corn kernels — 200 g (7.1 oz)
Zucchini — 400 g (14.1 oz)
Extra-virgin olive oil — 12 g (0.4 oz)
Lime — 25 g (0.9 oz)
Cotija cheese — 25 g (0.9 oz)
Chili powder — 2 g (0.1 oz)
Fresh cilantro — 5 g (0.2 oz)
Salt — 1 g (0.0 oz)</t>
        </is>
      </c>
      <c r="M776" s="4" t="inlineStr">
        <is>
          <t>[{"ingredient_id": "corn", "name": "Sweet corn kernels", "grams": 200.0, "note": ""}, {"ingredient_id": "zucchini", "name": "Zucchini", "grams": 400.0, "note": ""}, {"ingredient_id": "olive_oil", "name": "Extra-virgin olive oil", "grams": 12.0, "note": ""}, {"ingredient_id": "lime", "name": "Lime", "grams": 25.0, "note": ""}, {"ingredient_id": "cotija", "name": "Cotija cheese", "grams": 25.0, "note": ""}, {"ingredient_id": "chili_powder", "name": "Chili powder", "grams": 2.0, "note": ""}, {"ingredient_id": "cilantro", "name": "Fresh cilantro", "grams": 5.0, "note": ""}, {"ingredient_id": "salt", "name": "Salt", "grams": 1.0, "note": ""}]</t>
        </is>
      </c>
      <c r="N776" s="2" t="n">
        <v>75</v>
      </c>
      <c r="O776" s="5" t="n">
        <v>2.8</v>
      </c>
      <c r="P776" s="5" t="n">
        <v>4</v>
      </c>
      <c r="Q776" s="5" t="n">
        <v>9.199999999999999</v>
      </c>
      <c r="R776" s="5" t="n">
        <v>1.8</v>
      </c>
      <c r="S776" s="5" t="n">
        <v>7.4</v>
      </c>
      <c r="T776" s="2" t="n">
        <v>42</v>
      </c>
      <c r="U776" s="2" t="inlineStr">
        <is>
          <t>low</t>
        </is>
      </c>
      <c r="V776" s="5" t="n">
        <v>3.1</v>
      </c>
      <c r="W776" s="2" t="inlineStr">
        <is>
          <t>low</t>
        </is>
      </c>
      <c r="X776" s="3" t="inlineStr"/>
      <c r="Y776" s="3" t="inlineStr">
        <is>
          <t>74% of this dish's available carbohydrate comes from ingredients with a published, measured GI; the rest uses conventional placeholders (see Ingredients sheet)</t>
        </is>
      </c>
      <c r="Z776" s="2" t="n">
        <v>74</v>
      </c>
      <c r="AA776" s="3" t="inlineStr">
        <is>
          <t>vegetarian, gluten-free, nut-free, low-carb</t>
        </is>
      </c>
      <c r="AB776" s="3" t="inlineStr">
        <is>
          <t>1. Sauté zucchini and corn in oil over high heat 8 minutes until charred.
2. Lime, chili powder, salt.
3. Cotija, cilantro.</t>
        </is>
      </c>
      <c r="AC776" s="4" t="inlineStr">
        <is>
          <t>["Sauté zucchini and corn in oil over high heat 8 minutes until charred.", "Lime, chili powder, salt.", "Cotija, cilantro."]</t>
        </is>
      </c>
    </row>
    <row r="777" ht="96" customHeight="1">
      <c r="A777" s="2" t="inlineStr">
        <is>
          <t>DB-0776</t>
        </is>
      </c>
      <c r="B777" s="3" t="inlineStr">
        <is>
          <t>Simple Greek Cucumber Tomato Side</t>
        </is>
      </c>
      <c r="C777" s="4" t="inlineStr">
        <is>
          <t>Side Dish</t>
        </is>
      </c>
      <c r="D777" s="4" t="inlineStr">
        <is>
          <t>Greek</t>
        </is>
      </c>
      <c r="E777" s="2" t="n">
        <v>4</v>
      </c>
      <c r="F777" s="2" t="n">
        <v>8</v>
      </c>
      <c r="G777" s="2" t="n">
        <v>0</v>
      </c>
      <c r="H777" s="2" t="n">
        <v>8</v>
      </c>
      <c r="I777" s="4" t="inlineStr">
        <is>
          <t>simple-greek-cucumber-tomato-side.jpg</t>
        </is>
      </c>
      <c r="J777" s="3" t="inlineStr">
        <is>
          <t>Simple Greek Cucumber Tomato Side, healthy food photography, plated, natural light</t>
        </is>
      </c>
      <c r="K777" s="4" t="inlineStr"/>
      <c r="L777" s="3" t="inlineStr">
        <is>
          <t>Cucumber — 300 g (10.6 oz)
Tomato — 300 g (10.6 oz)
Red onion — 40 g (1.4 oz)
Extra-virgin olive oil — 15 g (0.5 oz)
Red wine vinegar — 10 g (0.4 oz)
Dried oregano — 1 g (0.0 oz)
Feta cheese — 30 g (1.1 oz)
Salt — 1 g (0.0 oz)</t>
        </is>
      </c>
      <c r="M777" s="4" t="inlineStr">
        <is>
          <t>[{"ingredient_id": "cucumber", "name": "Cucumber", "grams": 300.0, "note": ""}, {"ingredient_id": "tomato", "name": "Tomato", "grams": 300.0, "note": ""}, {"ingredient_id": "red_onion", "name": "Red onion", "grams": 40.0, "note": ""}, {"ingredient_id": "olive_oil", "name": "Extra-virgin olive oil", "grams": 15.0, "note": ""}, {"ingredient_id": "red_wine_vinegar", "name": "Red wine vinegar", "grams": 10.0, "note": ""}, {"ingredient_id": "oregano", "name": "Dried oregano", "grams": 1.0, "note": ""}, {"ingredient_id": "feta", "name": "Feta cheese", "grams": 30.0, "note": ""}, {"ingredient_id": "salt", "name": "Salt", "grams": 1.0, "note": ""}]</t>
        </is>
      </c>
      <c r="N777" s="2" t="n">
        <v>83</v>
      </c>
      <c r="O777" s="5" t="n">
        <v>2.4</v>
      </c>
      <c r="P777" s="5" t="n">
        <v>5.6</v>
      </c>
      <c r="Q777" s="5" t="n">
        <v>7</v>
      </c>
      <c r="R777" s="5" t="n">
        <v>1.6</v>
      </c>
      <c r="S777" s="5" t="n">
        <v>5.5</v>
      </c>
      <c r="T777" s="2" t="n">
        <v>14</v>
      </c>
      <c r="U777" s="2" t="inlineStr">
        <is>
          <t>low</t>
        </is>
      </c>
      <c r="V777" s="5" t="n">
        <v>0.8</v>
      </c>
      <c r="W777" s="2" t="inlineStr">
        <is>
          <t>low</t>
        </is>
      </c>
      <c r="X777" s="3" t="inlineStr"/>
      <c r="Y777" s="3" t="inlineStr">
        <is>
          <t>0% of this dish's available carbohydrate comes from ingredients with a published, measured GI; the rest uses conventional placeholders (see Ingredients sheet)</t>
        </is>
      </c>
      <c r="Z777" s="2" t="n">
        <v>0</v>
      </c>
      <c r="AA777" s="3" t="inlineStr">
        <is>
          <t>vegetarian, gluten-free, nut-free, low-carb, no-cook, quick</t>
        </is>
      </c>
      <c r="AB777" s="3" t="inlineStr">
        <is>
          <t>1. Chop cucumber and tomato; slice onion.
2. Toss with oil, vinegar, oregano, salt.
3. Feta.</t>
        </is>
      </c>
      <c r="AC777" s="4" t="inlineStr">
        <is>
          <t>["Chop cucumber and tomato; slice onion.", "Toss with oil, vinegar, oregano, salt.", "Feta."]</t>
        </is>
      </c>
    </row>
    <row r="778" ht="96" customHeight="1">
      <c r="A778" s="2" t="inlineStr">
        <is>
          <t>DB-0777</t>
        </is>
      </c>
      <c r="B778" s="3" t="inlineStr">
        <is>
          <t>Chocolate Avocado Mousse</t>
        </is>
      </c>
      <c r="C778" s="4" t="inlineStr">
        <is>
          <t>Dessert</t>
        </is>
      </c>
      <c r="D778" s="4" t="inlineStr">
        <is>
          <t>American</t>
        </is>
      </c>
      <c r="E778" s="2" t="n">
        <v>4</v>
      </c>
      <c r="F778" s="2" t="n">
        <v>10</v>
      </c>
      <c r="G778" s="2" t="n">
        <v>0</v>
      </c>
      <c r="H778" s="2" t="n">
        <v>10</v>
      </c>
      <c r="I778" s="4" t="inlineStr">
        <is>
          <t>chocolate-avocado-mousse.jpg</t>
        </is>
      </c>
      <c r="J778" s="3" t="inlineStr">
        <is>
          <t>Chocolate Avocado Mousse, healthy food photography, plated, natural light</t>
        </is>
      </c>
      <c r="K778" s="4" t="inlineStr"/>
      <c r="L778" s="3" t="inlineStr">
        <is>
          <t>Avocado — 280 g (9.9 oz)
Cocoa powder, unsweetened — 30 g (1.1 oz)
Almond milk, unsweetened — 80 g (2.8 oz)
Monk fruit/erythritol sweetener — 30 g (1.1 oz)
Vanilla extract — 4 g (0.1 oz)
Salt — 0.5 g (0.0 oz)
Raspberries — 80 g (2.8 oz)</t>
        </is>
      </c>
      <c r="M778" s="4" t="inlineStr">
        <is>
          <t>[{"ingredient_id": "avocado", "name": "Avocado", "grams": 280.0, "note": ""}, {"ingredient_id": "cocoa_powder", "name": "Cocoa powder, unsweetened", "grams": 30.0, "note": ""}, {"ingredient_id": "almond_milk", "name": "Almond milk, unsweetened", "grams": 80.0, "note": ""}, {"ingredient_id": "monk_fruit_sweetener", "name": "Monk fruit/erythritol sweetener", "grams": 30.0, "note": ""}, {"ingredient_id": "vanilla_extract", "name": "Vanilla extract", "grams": 4.0, "note": ""}, {"ingredient_id": "salt", "name": "Salt", "grams": 0.5, "note": ""}, {"ingredient_id": "raspberries", "name": "Raspberries", "grams": 80.0, "note": ""}]</t>
        </is>
      </c>
      <c r="N778" s="2" t="n">
        <v>145</v>
      </c>
      <c r="O778" s="5" t="n">
        <v>3.3</v>
      </c>
      <c r="P778" s="5" t="n">
        <v>11.9</v>
      </c>
      <c r="Q778" s="5" t="n">
        <v>12.9</v>
      </c>
      <c r="R778" s="5" t="n">
        <v>8.5</v>
      </c>
      <c r="S778" s="5" t="n">
        <v>4.5</v>
      </c>
      <c r="T778" s="2" t="n">
        <v>21</v>
      </c>
      <c r="U778" s="2" t="inlineStr">
        <is>
          <t>low</t>
        </is>
      </c>
      <c r="V778" s="5" t="n">
        <v>0.9</v>
      </c>
      <c r="W778" s="2" t="inlineStr">
        <is>
          <t>low</t>
        </is>
      </c>
      <c r="X778" s="3" t="inlineStr">
        <is>
          <t>Negligible carbohydrate (&lt;5 g net/serving): GI has little practical meaning, glycemic load is what matters.</t>
        </is>
      </c>
      <c r="Y778" s="3" t="inlineStr">
        <is>
          <t>0% of this dish's available carbohydrate comes from ingredients with a published, measured GI; the rest uses conventional placeholders (see Ingredients sheet)</t>
        </is>
      </c>
      <c r="Z778" s="2" t="n">
        <v>0</v>
      </c>
      <c r="AA778" s="3" t="inlineStr">
        <is>
          <t>vegan, gluten-free, dairy-free, low-carb, high-fiber, no-cook</t>
        </is>
      </c>
      <c r="AB778" s="3" t="inlineStr">
        <is>
          <t>1. Blend avocado, cocoa, almond milk, sweetener, vanilla, salt until silky.
2. Chill 1 hour.
3. Top raspberries.</t>
        </is>
      </c>
      <c r="AC778" s="4" t="inlineStr">
        <is>
          <t>["Blend avocado, cocoa, almond milk, sweetener, vanilla, salt until silky.", "Chill 1 hour.", "Top raspberries."]</t>
        </is>
      </c>
    </row>
    <row r="779" ht="96" customHeight="1">
      <c r="A779" s="2" t="inlineStr">
        <is>
          <t>DB-0778</t>
        </is>
      </c>
      <c r="B779" s="3" t="inlineStr">
        <is>
          <t>Berry Chia Jam Parfait</t>
        </is>
      </c>
      <c r="C779" s="4" t="inlineStr">
        <is>
          <t>Dessert</t>
        </is>
      </c>
      <c r="D779" s="4" t="inlineStr">
        <is>
          <t>American</t>
        </is>
      </c>
      <c r="E779" s="2" t="n">
        <v>2</v>
      </c>
      <c r="F779" s="2" t="n">
        <v>10</v>
      </c>
      <c r="G779" s="2" t="n">
        <v>5</v>
      </c>
      <c r="H779" s="2" t="n">
        <v>15</v>
      </c>
      <c r="I779" s="4" t="inlineStr">
        <is>
          <t>berry-chia-jam-parfait.jpg</t>
        </is>
      </c>
      <c r="J779" s="3" t="inlineStr">
        <is>
          <t>Berry Chia Jam Parfait, healthy food photography, plated, natural light</t>
        </is>
      </c>
      <c r="K779" s="4" t="inlineStr"/>
      <c r="L779" s="3" t="inlineStr">
        <is>
          <t>Mixed berries, frozen — 200 g (7.1 oz)
Chia seeds — 15 g (0.5 oz)
Monk fruit/erythritol sweetener — 8 g (0.3 oz)
Greek yogurt, plain 2% — 250 g (8.8 oz)
Almonds — 15 g (0.5 oz)
Vanilla extract — 2 g (0.1 oz)</t>
        </is>
      </c>
      <c r="M779" s="4" t="inlineStr">
        <is>
          <t>[{"ingredient_id": "mixed_berries", "name": "Mixed berries, frozen", "grams": 200.0, "note": ""}, {"ingredient_id": "chia_seeds", "name": "Chia seeds", "grams": 15.0, "note": ""}, {"ingredient_id": "monk_fruit_sweetener", "name": "Monk fruit/erythritol sweetener", "grams": 8.0, "note": ""}, {"ingredient_id": "greek_yogurt", "name": "Greek yogurt, plain 2%", "grams": 250.0, "note": ""}, {"ingredient_id": "almonds", "name": "Almonds", "grams": 15.0, "note": ""}, {"ingredient_id": "vanilla_extract", "name": "Vanilla extract", "grams": 2.0, "note": ""}]</t>
        </is>
      </c>
      <c r="N779" s="2" t="n">
        <v>219</v>
      </c>
      <c r="O779" s="5" t="n">
        <v>16.1</v>
      </c>
      <c r="P779" s="5" t="n">
        <v>9</v>
      </c>
      <c r="Q779" s="5" t="n">
        <v>20.9</v>
      </c>
      <c r="R779" s="5" t="n">
        <v>7.5</v>
      </c>
      <c r="S779" s="5" t="n">
        <v>13.4</v>
      </c>
      <c r="T779" s="2" t="n">
        <v>26</v>
      </c>
      <c r="U779" s="2" t="inlineStr">
        <is>
          <t>low</t>
        </is>
      </c>
      <c r="V779" s="5" t="n">
        <v>3.5</v>
      </c>
      <c r="W779" s="2" t="inlineStr">
        <is>
          <t>low</t>
        </is>
      </c>
      <c r="X779" s="3" t="inlineStr"/>
      <c r="Y779" s="3" t="inlineStr">
        <is>
          <t>37% of this dish's available carbohydrate comes from ingredients with a published, measured GI; the rest uses conventional placeholders (see Ingredients sheet)</t>
        </is>
      </c>
      <c r="Z779" s="2" t="n">
        <v>37</v>
      </c>
      <c r="AA779" s="3" t="inlineStr">
        <is>
          <t>vegetarian, gluten-free, low-carb, high-fiber</t>
        </is>
      </c>
      <c r="AB779" s="3" t="inlineStr">
        <is>
          <t>1. Simmer berries 5 minutes; mash; stir in chia and sweetener; cool 15 minutes.
2. Layer yogurt with vanilla and chia jam in glasses.
3. Almonds.</t>
        </is>
      </c>
      <c r="AC779" s="4" t="inlineStr">
        <is>
          <t>["Simmer berries 5 minutes; mash; stir in chia and sweetener; cool 15 minutes.", "Layer yogurt with vanilla and chia jam in glasses.", "Almonds."]</t>
        </is>
      </c>
    </row>
    <row r="780" ht="96" customHeight="1">
      <c r="A780" s="2" t="inlineStr">
        <is>
          <t>DB-0779</t>
        </is>
      </c>
      <c r="B780" s="3" t="inlineStr">
        <is>
          <t>Almond Flour Chocolate Chip Cookies</t>
        </is>
      </c>
      <c r="C780" s="4" t="inlineStr">
        <is>
          <t>Dessert</t>
        </is>
      </c>
      <c r="D780" s="4" t="inlineStr">
        <is>
          <t>American</t>
        </is>
      </c>
      <c r="E780" s="2" t="n">
        <v>12</v>
      </c>
      <c r="F780" s="2" t="n">
        <v>10</v>
      </c>
      <c r="G780" s="2" t="n">
        <v>12</v>
      </c>
      <c r="H780" s="2" t="n">
        <v>22</v>
      </c>
      <c r="I780" s="4" t="inlineStr">
        <is>
          <t>almond-flour-chocolate-chip-cookies.jpg</t>
        </is>
      </c>
      <c r="J780" s="3" t="inlineStr">
        <is>
          <t>Almond Flour Chocolate Chip Cookies, healthy food photography, plated, natural light</t>
        </is>
      </c>
      <c r="K780" s="4" t="inlineStr"/>
      <c r="L780" s="3" t="inlineStr">
        <is>
          <t>Almond flour — 200 g (7.1 oz)
Butter — 60 g (2.1 oz)
Egg, large (50 g each) — 50 g (1.8 oz)
Monk fruit/erythritol sweetener — 60 g (2.1 oz)
Vanilla extract — 4 g (0.1 oz)
Baking soda — 2 g (0.1 oz)
Stevia-sweetened dark chocolate chips — 70 g (2.5 oz)
Salt — 1 g (0.0 oz)</t>
        </is>
      </c>
      <c r="M780" s="4" t="inlineStr">
        <is>
          <t>[{"ingredient_id": "almond_flour", "name": "Almond flour", "grams": 200.0, "note": ""}, {"ingredient_id": "butter", "name": "Butter", "grams": 60.0, "note": ""}, {"ingredient_id": "egg", "name": "Egg, large (50 g each)", "grams": 50.0, "note": ""}, {"ingredient_id": "monk_fruit_sweetener", "name": "Monk fruit/erythritol sweetener", "grams": 60.0, "note": ""}, {"ingredient_id": "vanilla_extract", "name": "Vanilla extract", "grams": 4.0, "note": ""}, {"ingredient_id": "baking_soda", "name": "Baking soda", "grams": 2.0, "note": ""}, {"ingredient_id": "sugar_free_chocolate_chips", "name": "Stevia-sweetened dark chocolate chips", "grams": 70.0, "note": ""}, {"ingredient_id": "salt", "name": "Salt", "grams": 1.0, "note": ""}]</t>
        </is>
      </c>
      <c r="N780" s="2" t="n">
        <v>169</v>
      </c>
      <c r="O780" s="5" t="n">
        <v>4.4</v>
      </c>
      <c r="P780" s="5" t="n">
        <v>15.2</v>
      </c>
      <c r="Q780" s="5" t="n">
        <v>4.7</v>
      </c>
      <c r="R780" s="5" t="n">
        <v>2.7</v>
      </c>
      <c r="S780" s="5" t="n">
        <v>2</v>
      </c>
      <c r="T780" s="2" t="n">
        <v>16</v>
      </c>
      <c r="U780" s="2" t="inlineStr">
        <is>
          <t>low</t>
        </is>
      </c>
      <c r="V780" s="5" t="n">
        <v>0.3</v>
      </c>
      <c r="W780" s="2" t="inlineStr">
        <is>
          <t>low</t>
        </is>
      </c>
      <c r="X780" s="3" t="inlineStr">
        <is>
          <t>Negligible carbohydrate (&lt;5 g net/serving): GI has little practical meaning, glycemic load is what matters.</t>
        </is>
      </c>
      <c r="Y780" s="3" t="inlineStr">
        <is>
          <t>23% of this dish's available carbohydrate comes from ingredients with a published, measured GI; the rest uses conventional placeholders (see Ingredients sheet)</t>
        </is>
      </c>
      <c r="Z780" s="2" t="n">
        <v>23</v>
      </c>
      <c r="AA780" s="3" t="inlineStr">
        <is>
          <t>vegetarian, gluten-free, low-carb, make-ahead</t>
        </is>
      </c>
      <c r="AB780" s="3" t="inlineStr">
        <is>
          <t>1. Cream butter and sweetener; beat in egg and vanilla.
2. Stir in almond flour, baking soda, salt, chocolate chips.
3. Scoop 12 cookies; bake at 350°F 10–12 minutes; cool.</t>
        </is>
      </c>
      <c r="AC780" s="4" t="inlineStr">
        <is>
          <t>["Cream butter and sweetener; beat in egg and vanilla.", "Stir in almond flour, baking soda, salt, chocolate chips.", "Scoop 12 cookies; bake at 350°F 10–12 minutes; cool."]</t>
        </is>
      </c>
    </row>
    <row r="781" ht="96" customHeight="1">
      <c r="A781" s="2" t="inlineStr">
        <is>
          <t>DB-0780</t>
        </is>
      </c>
      <c r="B781" s="3" t="inlineStr">
        <is>
          <t>Baked Cinnamon Apples with Walnuts</t>
        </is>
      </c>
      <c r="C781" s="4" t="inlineStr">
        <is>
          <t>Dessert</t>
        </is>
      </c>
      <c r="D781" s="4" t="inlineStr">
        <is>
          <t>American</t>
        </is>
      </c>
      <c r="E781" s="2" t="n">
        <v>4</v>
      </c>
      <c r="F781" s="2" t="n">
        <v>5</v>
      </c>
      <c r="G781" s="2" t="n">
        <v>30</v>
      </c>
      <c r="H781" s="2" t="n">
        <v>35</v>
      </c>
      <c r="I781" s="4" t="inlineStr">
        <is>
          <t>baked-cinnamon-apples-with-walnuts.jpg</t>
        </is>
      </c>
      <c r="J781" s="3" t="inlineStr">
        <is>
          <t>Baked Cinnamon Apples with Walnuts, healthy food photography, plated, natural light</t>
        </is>
      </c>
      <c r="K781" s="4" t="inlineStr"/>
      <c r="L781" s="3" t="inlineStr">
        <is>
          <t>Apple — 500 g (17.6 oz) [4 small]
Walnuts — 30 g (1.1 oz)
Ground cinnamon — 3 g (0.1 oz)
Butter — 10 g (0.4 oz)
Monk fruit/erythritol sweetener — 8 g (0.3 oz)
Greek yogurt, plain 2% — 120 g (4.2 oz)</t>
        </is>
      </c>
      <c r="M781" s="4" t="inlineStr">
        <is>
          <t>[{"ingredient_id": "apple", "name": "Apple", "grams": 500.0, "note": "4 small"}, {"ingredient_id": "walnuts", "name": "Walnuts", "grams": 30.0, "note": ""}, {"ingredient_id": "cinnamon", "name": "Ground cinnamon", "grams": 3.0, "note": ""}, {"ingredient_id": "butter", "name": "Butter", "grams": 10.0, "note": ""}, {"ingredient_id": "monk_fruit_sweetener", "name": "Monk fruit/erythritol sweetener", "grams": 8.0, "note": ""}, {"ingredient_id": "greek_yogurt", "name": "Greek yogurt, plain 2%", "grams": 120.0, "note": ""}]</t>
        </is>
      </c>
      <c r="N781" s="2" t="n">
        <v>156</v>
      </c>
      <c r="O781" s="5" t="n">
        <v>4.6</v>
      </c>
      <c r="P781" s="5" t="n">
        <v>7.8</v>
      </c>
      <c r="Q781" s="5" t="n">
        <v>20.4</v>
      </c>
      <c r="R781" s="5" t="n">
        <v>3.9</v>
      </c>
      <c r="S781" s="5" t="n">
        <v>16.5</v>
      </c>
      <c r="T781" s="2" t="n">
        <v>33</v>
      </c>
      <c r="U781" s="2" t="inlineStr">
        <is>
          <t>low</t>
        </is>
      </c>
      <c r="V781" s="5" t="n">
        <v>5.4</v>
      </c>
      <c r="W781" s="2" t="inlineStr">
        <is>
          <t>low</t>
        </is>
      </c>
      <c r="X781" s="3" t="inlineStr"/>
      <c r="Y781" s="3" t="inlineStr">
        <is>
          <t>95% of this dish's available carbohydrate comes from ingredients with a published, measured GI; the rest uses conventional placeholders (see Ingredients sheet)</t>
        </is>
      </c>
      <c r="Z781" s="2" t="n">
        <v>95</v>
      </c>
      <c r="AA781" s="3" t="inlineStr">
        <is>
          <t>vegetarian, gluten-free</t>
        </is>
      </c>
      <c r="AB781" s="3" t="inlineStr">
        <is>
          <t>1. Core apples; fill with walnuts, cinnamon, sweetener, butter.
2. Bake at 375°F 30 minutes.
3. Serve with yogurt.</t>
        </is>
      </c>
      <c r="AC781" s="4" t="inlineStr">
        <is>
          <t>["Core apples; fill with walnuts, cinnamon, sweetener, butter.", "Bake at 375°F 30 minutes.", "Serve with yogurt."]</t>
        </is>
      </c>
    </row>
    <row r="782" ht="96" customHeight="1">
      <c r="A782" s="2" t="inlineStr">
        <is>
          <t>DB-0781</t>
        </is>
      </c>
      <c r="B782" s="3" t="inlineStr">
        <is>
          <t>Peanut Butter Protein Fudge Bites</t>
        </is>
      </c>
      <c r="C782" s="4" t="inlineStr">
        <is>
          <t>Dessert</t>
        </is>
      </c>
      <c r="D782" s="4" t="inlineStr">
        <is>
          <t>American</t>
        </is>
      </c>
      <c r="E782" s="2" t="n">
        <v>10</v>
      </c>
      <c r="F782" s="2" t="n">
        <v>10</v>
      </c>
      <c r="G782" s="2" t="n">
        <v>0</v>
      </c>
      <c r="H782" s="2" t="n">
        <v>10</v>
      </c>
      <c r="I782" s="4" t="inlineStr">
        <is>
          <t>peanut-butter-protein-fudge-bites.jpg</t>
        </is>
      </c>
      <c r="J782" s="3" t="inlineStr">
        <is>
          <t>Peanut Butter Protein Fudge Bites, healthy food photography, plated, natural light</t>
        </is>
      </c>
      <c r="K782" s="4" t="inlineStr"/>
      <c r="L782" s="3" t="inlineStr">
        <is>
          <t>Peanut butter, natural — 150 g (5.3 oz)
Whey protein powder, unsweetened — 50 g (1.8 oz)
Coconut oil — 30 g (1.1 oz)
Cocoa powder, unsweetened — 10 g (0.4 oz)
Monk fruit/erythritol sweetener — 20 g (0.7 oz)
Vanilla extract — 2 g (0.1 oz)
Salt — 0.5 g (0.0 oz)</t>
        </is>
      </c>
      <c r="M782" s="4" t="inlineStr">
        <is>
          <t>[{"ingredient_id": "peanut_butter", "name": "Peanut butter, natural", "grams": 150.0, "note": ""}, {"ingredient_id": "whey_protein", "name": "Whey protein powder, unsweetened", "grams": 50.0, "note": ""}, {"ingredient_id": "coconut_oil", "name": "Coconut oil", "grams": 30.0, "note": ""}, {"ingredient_id": "cocoa_powder", "name": "Cocoa powder, unsweetened", "grams": 10.0, "note": ""}, {"ingredient_id": "monk_fruit_sweetener", "name": "Monk fruit/erythritol sweetener", "grams": 20.0, "note": ""}, {"ingredient_id": "vanilla_extract", "name": "Vanilla extract", "grams": 2.0, "note": ""}, {"ingredient_id": "salt", "name": "Salt", "grams": 0.5, "note": ""}]</t>
        </is>
      </c>
      <c r="N782" s="2" t="n">
        <v>136</v>
      </c>
      <c r="O782" s="5" t="n">
        <v>7.8</v>
      </c>
      <c r="P782" s="5" t="n">
        <v>10.9</v>
      </c>
      <c r="Q782" s="5" t="n">
        <v>4</v>
      </c>
      <c r="R782" s="5" t="n">
        <v>1.3</v>
      </c>
      <c r="S782" s="5" t="n">
        <v>2.7</v>
      </c>
      <c r="T782" s="2" t="n">
        <v>16</v>
      </c>
      <c r="U782" s="2" t="inlineStr">
        <is>
          <t>low</t>
        </is>
      </c>
      <c r="V782" s="5" t="n">
        <v>0.4</v>
      </c>
      <c r="W782" s="2" t="inlineStr">
        <is>
          <t>low</t>
        </is>
      </c>
      <c r="X782" s="3" t="inlineStr">
        <is>
          <t>Negligible carbohydrate (&lt;5 g net/serving): GI has little practical meaning, glycemic load is what matters.</t>
        </is>
      </c>
      <c r="Y782" s="3" t="inlineStr">
        <is>
          <t>13% of this dish's available carbohydrate comes from ingredients with a published, measured GI; the rest uses conventional placeholders (see Ingredients sheet)</t>
        </is>
      </c>
      <c r="Z782" s="2" t="n">
        <v>13</v>
      </c>
      <c r="AA782" s="3" t="inlineStr">
        <is>
          <t>vegetarian, gluten-free, low-carb, make-ahead</t>
        </is>
      </c>
      <c r="AB782" s="3" t="inlineStr">
        <is>
          <t>1. Melt coconut oil; mix with peanut butter, protein, cocoa, sweetener, vanilla, salt.
2. Press into a lined loaf pan.
3. Freeze 1 hour; cut into 10 squares; keep frozen.</t>
        </is>
      </c>
      <c r="AC782" s="4" t="inlineStr">
        <is>
          <t>["Melt coconut oil; mix with peanut butter, protein, cocoa, sweetener, vanilla, salt.", "Press into a lined loaf pan.", "Freeze 1 hour; cut into 10 squares; keep frozen."]</t>
        </is>
      </c>
    </row>
    <row r="783" ht="96" customHeight="1">
      <c r="A783" s="2" t="inlineStr">
        <is>
          <t>DB-0782</t>
        </is>
      </c>
      <c r="B783" s="3" t="inlineStr">
        <is>
          <t>Strawberry Ricotta Cups</t>
        </is>
      </c>
      <c r="C783" s="4" t="inlineStr">
        <is>
          <t>Dessert</t>
        </is>
      </c>
      <c r="D783" s="4" t="inlineStr">
        <is>
          <t>Italian</t>
        </is>
      </c>
      <c r="E783" s="2" t="n">
        <v>4</v>
      </c>
      <c r="F783" s="2" t="n">
        <v>10</v>
      </c>
      <c r="G783" s="2" t="n">
        <v>0</v>
      </c>
      <c r="H783" s="2" t="n">
        <v>10</v>
      </c>
      <c r="I783" s="4" t="inlineStr">
        <is>
          <t>strawberry-ricotta-cups.jpg</t>
        </is>
      </c>
      <c r="J783" s="3" t="inlineStr">
        <is>
          <t>Strawberry Ricotta Cups, healthy food photography, plated, natural light</t>
        </is>
      </c>
      <c r="K783" s="4" t="inlineStr"/>
      <c r="L783" s="3" t="inlineStr">
        <is>
          <t>Ricotta, part-skim — 300 g (10.6 oz)
Strawberries — 200 g (7.1 oz)
Monk fruit/erythritol sweetener — 12 g (0.4 oz)
Vanilla extract — 3 g (0.1 oz)
Lemon (with juice &amp; zest) — 15 g (0.5 oz) [zest]
Pistachios, shelled — 20 g (0.7 oz)
Dark chocolate 85% — 15 g (0.5 oz)</t>
        </is>
      </c>
      <c r="M783" s="4" t="inlineStr">
        <is>
          <t>[{"ingredient_id": "ricotta", "name": "Ricotta, part-skim", "grams": 300.0, "note": ""}, {"ingredient_id": "strawberries", "name": "Strawberries", "grams": 200.0, "note": ""}, {"ingredient_id": "monk_fruit_sweetener", "name": "Monk fruit/erythritol sweetener", "grams": 12.0, "note": ""}, {"ingredient_id": "vanilla_extract", "name": "Vanilla extract", "grams": 3.0, "note": ""}, {"ingredient_id": "lemon", "name": "Lemon (with juice &amp; zest)", "grams": 15.0, "note": "zest"}, {"ingredient_id": "pistachios", "name": "Pistachios, shelled", "grams": 20.0, "note": ""}, {"ingredient_id": "dark_chocolate", "name": "Dark chocolate 85%", "grams": 15.0, "note": ""}]</t>
        </is>
      </c>
      <c r="N783" s="2" t="n">
        <v>173</v>
      </c>
      <c r="O783" s="5" t="n">
        <v>10.1</v>
      </c>
      <c r="P783" s="5" t="n">
        <v>10.1</v>
      </c>
      <c r="Q783" s="5" t="n">
        <v>10.6</v>
      </c>
      <c r="R783" s="5" t="n">
        <v>2.1</v>
      </c>
      <c r="S783" s="5" t="n">
        <v>8.5</v>
      </c>
      <c r="T783" s="2" t="n">
        <v>25</v>
      </c>
      <c r="U783" s="2" t="inlineStr">
        <is>
          <t>low</t>
        </is>
      </c>
      <c r="V783" s="5" t="n">
        <v>2.1</v>
      </c>
      <c r="W783" s="2" t="inlineStr">
        <is>
          <t>low</t>
        </is>
      </c>
      <c r="X783" s="3" t="inlineStr"/>
      <c r="Y783" s="3" t="inlineStr">
        <is>
          <t>52% of this dish's available carbohydrate comes from ingredients with a published, measured GI; the rest uses conventional placeholders (see Ingredients sheet)</t>
        </is>
      </c>
      <c r="Z783" s="2" t="n">
        <v>52</v>
      </c>
      <c r="AA783" s="3" t="inlineStr">
        <is>
          <t>vegetarian, gluten-free, low-carb, no-cook, quick</t>
        </is>
      </c>
      <c r="AB783" s="3" t="inlineStr">
        <is>
          <t>1. Whip ricotta with sweetener, vanilla, lemon zest.
2. Layer with sliced strawberries.
3. Pistachios and shaved dark chocolate.</t>
        </is>
      </c>
      <c r="AC783" s="4" t="inlineStr">
        <is>
          <t>["Whip ricotta with sweetener, vanilla, lemon zest.", "Layer with sliced strawberries.", "Pistachios and shaved dark chocolate."]</t>
        </is>
      </c>
    </row>
    <row r="784" ht="96" customHeight="1">
      <c r="A784" s="2" t="inlineStr">
        <is>
          <t>DB-0783</t>
        </is>
      </c>
      <c r="B784" s="3" t="inlineStr">
        <is>
          <t>Chocolate Chia Pudding</t>
        </is>
      </c>
      <c r="C784" s="4" t="inlineStr">
        <is>
          <t>Dessert</t>
        </is>
      </c>
      <c r="D784" s="4" t="inlineStr">
        <is>
          <t>American</t>
        </is>
      </c>
      <c r="E784" s="2" t="n">
        <v>3</v>
      </c>
      <c r="F784" s="2" t="n">
        <v>5</v>
      </c>
      <c r="G784" s="2" t="n">
        <v>0</v>
      </c>
      <c r="H784" s="2" t="n">
        <v>5</v>
      </c>
      <c r="I784" s="4" t="inlineStr">
        <is>
          <t>chocolate-chia-pudding.jpg</t>
        </is>
      </c>
      <c r="J784" s="3" t="inlineStr">
        <is>
          <t>Chocolate Chia Pudding, healthy food photography, plated, natural light</t>
        </is>
      </c>
      <c r="K784" s="4" t="inlineStr"/>
      <c r="L784" s="3" t="inlineStr">
        <is>
          <t>Chia seeds — 45 g (1.6 oz)
Almond milk, unsweetened — 350 g (12.3 oz)
Cocoa powder, unsweetened — 15 g (0.5 oz)
Monk fruit/erythritol sweetener — 15 g (0.5 oz)
Vanilla extract — 3 g (0.1 oz)
Raspberries — 60 g (2.1 oz)</t>
        </is>
      </c>
      <c r="M784" s="4" t="inlineStr">
        <is>
          <t>[{"ingredient_id": "chia_seeds", "name": "Chia seeds", "grams": 45.0, "note": ""}, {"ingredient_id": "almond_milk", "name": "Almond milk, unsweetened", "grams": 350.0, "note": ""}, {"ingredient_id": "cocoa_powder", "name": "Cocoa powder, unsweetened", "grams": 15.0, "note": ""}, {"ingredient_id": "monk_fruit_sweetener", "name": "Monk fruit/erythritol sweetener", "grams": 15.0, "note": ""}, {"ingredient_id": "vanilla_extract", "name": "Vanilla extract", "grams": 3.0, "note": ""}, {"ingredient_id": "raspberries", "name": "Raspberries", "grams": 60.0, "note": ""}]</t>
        </is>
      </c>
      <c r="N784" s="2" t="n">
        <v>115</v>
      </c>
      <c r="O784" s="5" t="n">
        <v>4.5</v>
      </c>
      <c r="P784" s="5" t="n">
        <v>6.9</v>
      </c>
      <c r="Q784" s="5" t="n">
        <v>12.4</v>
      </c>
      <c r="R784" s="5" t="n">
        <v>8</v>
      </c>
      <c r="S784" s="5" t="n">
        <v>4.4</v>
      </c>
      <c r="T784" s="2" t="n">
        <v>22</v>
      </c>
      <c r="U784" s="2" t="inlineStr">
        <is>
          <t>low</t>
        </is>
      </c>
      <c r="V784" s="5" t="n">
        <v>1</v>
      </c>
      <c r="W784" s="2" t="inlineStr">
        <is>
          <t>low</t>
        </is>
      </c>
      <c r="X784" s="3" t="inlineStr">
        <is>
          <t>Negligible carbohydrate (&lt;5 g net/serving): GI has little practical meaning, glycemic load is what matters.</t>
        </is>
      </c>
      <c r="Y784" s="3" t="inlineStr">
        <is>
          <t>0% of this dish's available carbohydrate comes from ingredients with a published, measured GI; the rest uses conventional placeholders (see Ingredients sheet)</t>
        </is>
      </c>
      <c r="Z784" s="2" t="n">
        <v>0</v>
      </c>
      <c r="AA784" s="3" t="inlineStr">
        <is>
          <t>vegan, gluten-free, dairy-free, low-carb, high-fiber, make-ahead</t>
        </is>
      </c>
      <c r="AB784" s="3" t="inlineStr">
        <is>
          <t>1. Whisk cocoa, sweetener, vanilla into almond milk; stir in chia.
2. Refrigerate 4+ hours, stirring once.
3. Raspberries.</t>
        </is>
      </c>
      <c r="AC784" s="4" t="inlineStr">
        <is>
          <t>["Whisk cocoa, sweetener, vanilla into almond milk; stir in chia.", "Refrigerate 4+ hours, stirring once.", "Raspberries."]</t>
        </is>
      </c>
    </row>
    <row r="785" ht="96" customHeight="1">
      <c r="A785" s="2" t="inlineStr">
        <is>
          <t>DB-0784</t>
        </is>
      </c>
      <c r="B785" s="3" t="inlineStr">
        <is>
          <t>Greek Yogurt Cheesecake Cups (Crustless)</t>
        </is>
      </c>
      <c r="C785" s="4" t="inlineStr">
        <is>
          <t>Dessert</t>
        </is>
      </c>
      <c r="D785" s="4" t="inlineStr">
        <is>
          <t>American</t>
        </is>
      </c>
      <c r="E785" s="2" t="n">
        <v>6</v>
      </c>
      <c r="F785" s="2" t="n">
        <v>10</v>
      </c>
      <c r="G785" s="2" t="n">
        <v>25</v>
      </c>
      <c r="H785" s="2" t="n">
        <v>35</v>
      </c>
      <c r="I785" s="4" t="inlineStr">
        <is>
          <t>greek-yogurt-cheesecake-cups-crustless.jpg</t>
        </is>
      </c>
      <c r="J785" s="3" t="inlineStr">
        <is>
          <t>Greek Yogurt Cheesecake Cups (Crustless), healthy food photography, plated, natural light</t>
        </is>
      </c>
      <c r="K785" s="4" t="inlineStr"/>
      <c r="L785" s="3" t="inlineStr">
        <is>
          <t>Greek yogurt, plain 2% — 450 g (15.9 oz)
Cream cheese — 150 g (5.3 oz)
Egg, large (50 g each) — 100 g (3.5 oz)
Monk fruit/erythritol sweetener — 50 g (1.8 oz)
Vanilla extract — 5 g (0.2 oz)
Lemon (with juice &amp; zest) — 20 g (0.7 oz) [zest]
Blueberries — 100 g (3.5 oz)</t>
        </is>
      </c>
      <c r="M785" s="4" t="inlineStr">
        <is>
          <t>[{"ingredient_id": "greek_yogurt", "name": "Greek yogurt, plain 2%", "grams": 450.0, "note": ""}, {"ingredient_id": "cream_cheese", "name": "Cream cheese", "grams": 150.0, "note": ""}, {"ingredient_id": "egg", "name": "Egg, large (50 g each)", "grams": 100.0, "note": ""}, {"ingredient_id": "monk_fruit_sweetener", "name": "Monk fruit/erythritol sweetener", "grams": 50.0, "note": ""}, {"ingredient_id": "vanilla_extract", "name": "Vanilla extract", "grams": 5.0, "note": ""}, {"ingredient_id": "lemon", "name": "Lemon (with juice &amp; zest)", "grams": 20.0, "note": "zest"}, {"ingredient_id": "blueberries", "name": "Blueberries", "grams": 100.0, "note": ""}]</t>
        </is>
      </c>
      <c r="N785" s="2" t="n">
        <v>177</v>
      </c>
      <c r="O785" s="5" t="n">
        <v>11.3</v>
      </c>
      <c r="P785" s="5" t="n">
        <v>11.6</v>
      </c>
      <c r="Q785" s="5" t="n">
        <v>6.9</v>
      </c>
      <c r="R785" s="5" t="n">
        <v>0.5</v>
      </c>
      <c r="S785" s="5" t="n">
        <v>6.5</v>
      </c>
      <c r="T785" s="2" t="n">
        <v>22</v>
      </c>
      <c r="U785" s="2" t="inlineStr">
        <is>
          <t>low</t>
        </is>
      </c>
      <c r="V785" s="5" t="n">
        <v>1.4</v>
      </c>
      <c r="W785" s="2" t="inlineStr">
        <is>
          <t>low</t>
        </is>
      </c>
      <c r="X785" s="3" t="inlineStr"/>
      <c r="Y785" s="3" t="inlineStr">
        <is>
          <t>78% of this dish's available carbohydrate comes from ingredients with a published, measured GI; the rest uses conventional placeholders (see Ingredients sheet)</t>
        </is>
      </c>
      <c r="Z785" s="2" t="n">
        <v>78</v>
      </c>
      <c r="AA785" s="3" t="inlineStr">
        <is>
          <t>vegetarian, gluten-free, nut-free, low-carb, make-ahead</t>
        </is>
      </c>
      <c r="AB785" s="3" t="inlineStr">
        <is>
          <t>1. Beat cream cheese, yogurt, eggs, sweetener, vanilla, zest until smooth.
2. Divide into 6 ramekins; bake in a water bath at 325°F 22–25 minutes.
3. Chill 3 hours; blueberries.</t>
        </is>
      </c>
      <c r="AC785" s="4" t="inlineStr">
        <is>
          <t>["Beat cream cheese, yogurt, eggs, sweetener, vanilla, zest until smooth.", "Divide into 6 ramekins; bake in a water bath at 325°F 22–25 minutes.", "Chill 3 hours; blueberries."]</t>
        </is>
      </c>
    </row>
    <row r="786" ht="96" customHeight="1">
      <c r="A786" s="2" t="inlineStr">
        <is>
          <t>DB-0785</t>
        </is>
      </c>
      <c r="B786" s="3" t="inlineStr">
        <is>
          <t>Frozen Yogurt Berry Bites</t>
        </is>
      </c>
      <c r="C786" s="4" t="inlineStr">
        <is>
          <t>Dessert</t>
        </is>
      </c>
      <c r="D786" s="4" t="inlineStr">
        <is>
          <t>American</t>
        </is>
      </c>
      <c r="E786" s="2" t="n">
        <v>6</v>
      </c>
      <c r="F786" s="2" t="n">
        <v>10</v>
      </c>
      <c r="G786" s="2" t="n">
        <v>0</v>
      </c>
      <c r="H786" s="2" t="n">
        <v>10</v>
      </c>
      <c r="I786" s="4" t="inlineStr">
        <is>
          <t>frozen-yogurt-berry-bites.jpg</t>
        </is>
      </c>
      <c r="J786" s="3" t="inlineStr">
        <is>
          <t>Frozen Yogurt Berry Bites, healthy food photography, plated, natural light</t>
        </is>
      </c>
      <c r="K786" s="4" t="inlineStr"/>
      <c r="L786" s="3" t="inlineStr">
        <is>
          <t>Greek yogurt, plain 2% — 300 g (10.6 oz)
Mixed berries, frozen — 150 g (5.3 oz)
Vanilla extract — 2 g (0.1 oz)
Monk fruit/erythritol sweetener — 8 g (0.3 oz)
Coconut, unsweetened shredded — 10 g (0.4 oz)</t>
        </is>
      </c>
      <c r="M786" s="4" t="inlineStr">
        <is>
          <t>[{"ingredient_id": "greek_yogurt", "name": "Greek yogurt, plain 2%", "grams": 300.0, "note": ""}, {"ingredient_id": "mixed_berries", "name": "Mixed berries, frozen", "grams": 150.0, "note": ""}, {"ingredient_id": "vanilla_extract", "name": "Vanilla extract", "grams": 2.0, "note": ""}, {"ingredient_id": "monk_fruit_sweetener", "name": "Monk fruit/erythritol sweetener", "grams": 8.0, "note": ""}, {"ingredient_id": "coconut_shredded", "name": "Coconut, unsweetened shredded", "grams": 10.0, "note": ""}]</t>
        </is>
      </c>
      <c r="N786" s="2" t="n">
        <v>60</v>
      </c>
      <c r="O786" s="5" t="n">
        <v>5.3</v>
      </c>
      <c r="P786" s="5" t="n">
        <v>2.2</v>
      </c>
      <c r="Q786" s="5" t="n">
        <v>5.2</v>
      </c>
      <c r="R786" s="5" t="n">
        <v>1.3</v>
      </c>
      <c r="S786" s="5" t="n">
        <v>3.9</v>
      </c>
      <c r="T786" s="2" t="n">
        <v>25</v>
      </c>
      <c r="U786" s="2" t="inlineStr">
        <is>
          <t>low</t>
        </is>
      </c>
      <c r="V786" s="5" t="n">
        <v>1</v>
      </c>
      <c r="W786" s="2" t="inlineStr">
        <is>
          <t>low</t>
        </is>
      </c>
      <c r="X786" s="3" t="inlineStr">
        <is>
          <t>Negligible carbohydrate (&lt;5 g net/serving): GI has little practical meaning, glycemic load is what matters.</t>
        </is>
      </c>
      <c r="Y786" s="3" t="inlineStr">
        <is>
          <t>51% of this dish's available carbohydrate comes from ingredients with a published, measured GI; the rest uses conventional placeholders (see Ingredients sheet)</t>
        </is>
      </c>
      <c r="Z786" s="2" t="n">
        <v>51</v>
      </c>
      <c r="AA786" s="3" t="inlineStr">
        <is>
          <t>vegetarian, gluten-free, nut-free, low-carb, make-ahead</t>
        </is>
      </c>
      <c r="AB786" s="3" t="inlineStr">
        <is>
          <t>1. Mix yogurt, vanilla, sweetener.
2. Fold in berries; spoon into mini muffin liners; coconut.
3. Freeze 3 hours.</t>
        </is>
      </c>
      <c r="AC786" s="4" t="inlineStr">
        <is>
          <t>["Mix yogurt, vanilla, sweetener.", "Fold in berries; spoon into mini muffin liners; coconut.", "Freeze 3 hours."]</t>
        </is>
      </c>
    </row>
    <row r="787" ht="96" customHeight="1">
      <c r="A787" s="2" t="inlineStr">
        <is>
          <t>DB-0786</t>
        </is>
      </c>
      <c r="B787" s="3" t="inlineStr">
        <is>
          <t>Dark Chocolate Dipped Strawberries</t>
        </is>
      </c>
      <c r="C787" s="4" t="inlineStr">
        <is>
          <t>Dessert</t>
        </is>
      </c>
      <c r="D787" s="4" t="inlineStr">
        <is>
          <t>American</t>
        </is>
      </c>
      <c r="E787" s="2" t="n">
        <v>4</v>
      </c>
      <c r="F787" s="2" t="n">
        <v>10</v>
      </c>
      <c r="G787" s="2" t="n">
        <v>3</v>
      </c>
      <c r="H787" s="2" t="n">
        <v>13</v>
      </c>
      <c r="I787" s="4" t="inlineStr">
        <is>
          <t>dark-chocolate-dipped-strawberries.jpg</t>
        </is>
      </c>
      <c r="J787" s="3" t="inlineStr">
        <is>
          <t>Dark Chocolate Dipped Strawberries, healthy food photography, plated, natural light</t>
        </is>
      </c>
      <c r="K787" s="4" t="inlineStr"/>
      <c r="L787" s="3" t="inlineStr">
        <is>
          <t>Strawberries — 300 g (10.6 oz)
Dark chocolate 85% — 60 g (2.1 oz)
Coconut oil — 5 g (0.2 oz)
Almonds — 10 g (0.4 oz) [chopped]</t>
        </is>
      </c>
      <c r="M787" s="4" t="inlineStr">
        <is>
          <t>[{"ingredient_id": "strawberries", "name": "Strawberries", "grams": 300.0, "note": ""}, {"ingredient_id": "dark_chocolate", "name": "Dark chocolate 85%", "grams": 60.0, "note": ""}, {"ingredient_id": "coconut_oil", "name": "Coconut oil", "grams": 5.0, "note": ""}, {"ingredient_id": "almonds", "name": "Almonds", "grams": 10.0, "note": "chopped"}]</t>
        </is>
      </c>
      <c r="N787" s="2" t="n">
        <v>139</v>
      </c>
      <c r="O787" s="5" t="n">
        <v>2.8</v>
      </c>
      <c r="P787" s="5" t="n">
        <v>9.6</v>
      </c>
      <c r="Q787" s="5" t="n">
        <v>10.8</v>
      </c>
      <c r="R787" s="5" t="n">
        <v>3.6</v>
      </c>
      <c r="S787" s="5" t="n">
        <v>7.2</v>
      </c>
      <c r="T787" s="2" t="n">
        <v>33</v>
      </c>
      <c r="U787" s="2" t="inlineStr">
        <is>
          <t>low</t>
        </is>
      </c>
      <c r="V787" s="5" t="n">
        <v>2.4</v>
      </c>
      <c r="W787" s="2" t="inlineStr">
        <is>
          <t>low</t>
        </is>
      </c>
      <c r="X787" s="3" t="inlineStr"/>
      <c r="Y787" s="3" t="inlineStr">
        <is>
          <t>97% of this dish's available carbohydrate comes from ingredients with a published, measured GI; the rest uses conventional placeholders (see Ingredients sheet)</t>
        </is>
      </c>
      <c r="Z787" s="2" t="n">
        <v>97</v>
      </c>
      <c r="AA787" s="3" t="inlineStr">
        <is>
          <t>vegan, gluten-free, dairy-free, low-carb, quick</t>
        </is>
      </c>
      <c r="AB787" s="3" t="inlineStr">
        <is>
          <t>1. Melt chocolate with coconut oil.
2. Dip strawberries; sprinkle almonds.
3. Set on parchment; chill 20 minutes.</t>
        </is>
      </c>
      <c r="AC787" s="4" t="inlineStr">
        <is>
          <t>["Melt chocolate with coconut oil.", "Dip strawberries; sprinkle almonds.", "Set on parchment; chill 20 minutes."]</t>
        </is>
      </c>
    </row>
    <row r="788" ht="96" customHeight="1">
      <c r="A788" s="2" t="inlineStr">
        <is>
          <t>DB-0787</t>
        </is>
      </c>
      <c r="B788" s="3" t="inlineStr">
        <is>
          <t>Pumpkin Spice Protein Mug Cake</t>
        </is>
      </c>
      <c r="C788" s="4" t="inlineStr">
        <is>
          <t>Dessert</t>
        </is>
      </c>
      <c r="D788" s="4" t="inlineStr">
        <is>
          <t>American</t>
        </is>
      </c>
      <c r="E788" s="2" t="n">
        <v>1</v>
      </c>
      <c r="F788" s="2" t="n">
        <v>3</v>
      </c>
      <c r="G788" s="2" t="n">
        <v>2</v>
      </c>
      <c r="H788" s="2" t="n">
        <v>5</v>
      </c>
      <c r="I788" s="4" t="inlineStr">
        <is>
          <t>pumpkin-spice-protein-mug-cake.jpg</t>
        </is>
      </c>
      <c r="J788" s="3" t="inlineStr">
        <is>
          <t>Pumpkin Spice Protein Mug Cake, healthy food photography, plated, natural light</t>
        </is>
      </c>
      <c r="K788" s="4" t="inlineStr"/>
      <c r="L788" s="3" t="inlineStr">
        <is>
          <t>Pumpkin puree, canned — 60 g (2.1 oz)
Egg, large (50 g each) — 50 g (1.8 oz)
Whey protein powder, unsweetened — 20 g (0.7 oz)
Almond flour — 15 g (0.5 oz)
Pumpkin pie spice — 2 g (0.1 oz)
Baking powder — 2 g (0.1 oz)
Monk fruit/erythritol sweetener — 8 g (0.3 oz)
Greek yogurt, plain 2% — 30 g (1.1 oz)</t>
        </is>
      </c>
      <c r="M788" s="4" t="inlineStr">
        <is>
          <t>[{"ingredient_id": "pumpkin_puree", "name": "Pumpkin puree, canned", "grams": 60.0, "note": ""}, {"ingredient_id": "egg", "name": "Egg, large (50 g each)", "grams": 50.0, "note": ""}, {"ingredient_id": "whey_protein", "name": "Whey protein powder, unsweetened", "grams": 20.0, "note": ""}, {"ingredient_id": "almond_flour", "name": "Almond flour", "grams": 15.0, "note": ""}, {"ingredient_id": "pumpkin_pie_spice", "name": "Pumpkin pie spice", "grams": 2.0, "note": ""}, {"ingredient_id": "baking_powder", "name": "Baking powder", "grams": 2.0, "note": ""}, {"ingredient_id": "monk_fruit_sweetener", "name": "Monk fruit/erythritol sweetener", "grams": 8.0, "note": ""}, {"ingredient_id": "greek_yogurt", "name": "Greek yogurt, plain 2%", "grams": 30.0, "note": ""}]</t>
        </is>
      </c>
      <c r="N788" s="2" t="n">
        <v>286</v>
      </c>
      <c r="O788" s="5" t="n">
        <v>28.8</v>
      </c>
      <c r="P788" s="5" t="n">
        <v>14</v>
      </c>
      <c r="Q788" s="5" t="n">
        <v>13.1</v>
      </c>
      <c r="R788" s="5" t="n">
        <v>4.3</v>
      </c>
      <c r="S788" s="5" t="n">
        <v>8.800000000000001</v>
      </c>
      <c r="T788" s="2" t="n">
        <v>36</v>
      </c>
      <c r="U788" s="2" t="inlineStr">
        <is>
          <t>low</t>
        </is>
      </c>
      <c r="V788" s="5" t="n">
        <v>3.2</v>
      </c>
      <c r="W788" s="2" t="inlineStr">
        <is>
          <t>low</t>
        </is>
      </c>
      <c r="X788" s="3" t="inlineStr"/>
      <c r="Y788" s="3" t="inlineStr">
        <is>
          <t>63% of this dish's available carbohydrate comes from ingredients with a published, measured GI; the rest uses conventional placeholders (see Ingredients sheet)</t>
        </is>
      </c>
      <c r="Z788" s="2" t="n">
        <v>63</v>
      </c>
      <c r="AA788" s="3" t="inlineStr">
        <is>
          <t>vegetarian, gluten-free, low-carb, high-protein, quick</t>
        </is>
      </c>
      <c r="AB788" s="3" t="inlineStr">
        <is>
          <t>1. Mix pumpkin, egg, protein, almond flour, spice, baking powder, sweetener in a mug.
2. Microwave 90 seconds–2 minutes.
3. Top with yogurt.</t>
        </is>
      </c>
      <c r="AC788" s="4" t="inlineStr">
        <is>
          <t>["Mix pumpkin, egg, protein, almond flour, spice, baking powder, sweetener in a mug.", "Microwave 90 seconds–2 minutes.", "Top with yogurt."]</t>
        </is>
      </c>
    </row>
    <row r="789" ht="96" customHeight="1">
      <c r="A789" s="2" t="inlineStr">
        <is>
          <t>DB-0788</t>
        </is>
      </c>
      <c r="B789" s="3" t="inlineStr">
        <is>
          <t>Coconut Macaroons (Sugar-Free)</t>
        </is>
      </c>
      <c r="C789" s="4" t="inlineStr">
        <is>
          <t>Dessert</t>
        </is>
      </c>
      <c r="D789" s="4" t="inlineStr">
        <is>
          <t>American</t>
        </is>
      </c>
      <c r="E789" s="2" t="n">
        <v>12</v>
      </c>
      <c r="F789" s="2" t="n">
        <v>10</v>
      </c>
      <c r="G789" s="2" t="n">
        <v>18</v>
      </c>
      <c r="H789" s="2" t="n">
        <v>28</v>
      </c>
      <c r="I789" s="4" t="inlineStr">
        <is>
          <t>coconut-macaroons-sugar-free.jpg</t>
        </is>
      </c>
      <c r="J789" s="3" t="inlineStr">
        <is>
          <t>Coconut Macaroons (Sugar-Free), healthy food photography, plated, natural light</t>
        </is>
      </c>
      <c r="K789" s="4" t="inlineStr"/>
      <c r="L789" s="3" t="inlineStr">
        <is>
          <t>Coconut, unsweetened shredded — 200 g (7.1 oz)
Egg whites — 90 g (3.2 oz) [3 egg whites]
Monk fruit/erythritol sweetener — 50 g (1.8 oz)
Vanilla extract — 3 g (0.1 oz)
Salt — 0.5 g (0.0 oz)
Dark chocolate 85% — 30 g (1.1 oz)</t>
        </is>
      </c>
      <c r="M789" s="4" t="inlineStr">
        <is>
          <t>[{"ingredient_id": "coconut_shredded", "name": "Coconut, unsweetened shredded", "grams": 200.0, "note": ""}, {"ingredient_id": "egg_white", "name": "Egg whites", "grams": 90.0, "note": "3 egg whites"}, {"ingredient_id": "monk_fruit_sweetener", "name": "Monk fruit/erythritol sweetener", "grams": 50.0, "note": ""}, {"ingredient_id": "vanilla_extract", "name": "Vanilla extract", "grams": 3.0, "note": ""}, {"ingredient_id": "salt", "name": "Salt", "grams": 0.5, "note": ""}, {"ingredient_id": "dark_chocolate", "name": "Dark chocolate 85%", "grams": 30.0, "note": ""}]</t>
        </is>
      </c>
      <c r="N789" s="2" t="n">
        <v>130</v>
      </c>
      <c r="O789" s="5" t="n">
        <v>2.3</v>
      </c>
      <c r="P789" s="5" t="n">
        <v>12</v>
      </c>
      <c r="Q789" s="5" t="n">
        <v>4.8</v>
      </c>
      <c r="R789" s="5" t="n">
        <v>3</v>
      </c>
      <c r="S789" s="5" t="n">
        <v>1.9</v>
      </c>
      <c r="T789" s="2" t="n">
        <v>38</v>
      </c>
      <c r="U789" s="2" t="inlineStr">
        <is>
          <t>low</t>
        </is>
      </c>
      <c r="V789" s="5" t="n">
        <v>0.7</v>
      </c>
      <c r="W789" s="2" t="inlineStr">
        <is>
          <t>low</t>
        </is>
      </c>
      <c r="X789" s="3" t="inlineStr">
        <is>
          <t>Negligible carbohydrate (&lt;5 g net/serving): GI has little practical meaning, glycemic load is what matters.</t>
        </is>
      </c>
      <c r="Y789" s="3" t="inlineStr">
        <is>
          <t>24% of this dish's available carbohydrate comes from ingredients with a published, measured GI; the rest uses conventional placeholders (see Ingredients sheet)</t>
        </is>
      </c>
      <c r="Z789" s="2" t="n">
        <v>24</v>
      </c>
      <c r="AA789" s="3" t="inlineStr">
        <is>
          <t>vegetarian, gluten-free, dairy-free, nut-free, low-carb, make-ahead</t>
        </is>
      </c>
      <c r="AB789" s="3" t="inlineStr">
        <is>
          <t>1. Whisk egg whites with sweetener, vanilla, salt until foamy; fold in coconut.
2. Scoop 12 mounds; bake at 325°F 16–18 minutes until golden.
3. Drizzle melted chocolate.</t>
        </is>
      </c>
      <c r="AC789" s="4" t="inlineStr">
        <is>
          <t>["Whisk egg whites with sweetener, vanilla, salt until foamy; fold in coconut.", "Scoop 12 mounds; bake at 325°F 16–18 minutes until golden.", "Drizzle melted chocolate."]</t>
        </is>
      </c>
    </row>
    <row r="790" ht="96" customHeight="1">
      <c r="A790" s="2" t="inlineStr">
        <is>
          <t>DB-0789</t>
        </is>
      </c>
      <c r="B790" s="3" t="inlineStr">
        <is>
          <t>Lemon Blueberry Almond Cake (Single Layer)</t>
        </is>
      </c>
      <c r="C790" s="4" t="inlineStr">
        <is>
          <t>Dessert</t>
        </is>
      </c>
      <c r="D790" s="4" t="inlineStr">
        <is>
          <t>American</t>
        </is>
      </c>
      <c r="E790" s="2" t="n">
        <v>8</v>
      </c>
      <c r="F790" s="2" t="n">
        <v>15</v>
      </c>
      <c r="G790" s="2" t="n">
        <v>35</v>
      </c>
      <c r="H790" s="2" t="n">
        <v>50</v>
      </c>
      <c r="I790" s="4" t="inlineStr">
        <is>
          <t>lemon-blueberry-almond-cake-single-layer.jpg</t>
        </is>
      </c>
      <c r="J790" s="3" t="inlineStr">
        <is>
          <t>Lemon Blueberry Almond Cake (Single Layer), healthy food photography, plated, natural light</t>
        </is>
      </c>
      <c r="K790" s="4" t="inlineStr"/>
      <c r="L790" s="3" t="inlineStr">
        <is>
          <t>Almond flour — 220 g (7.8 oz)
Egg, large (50 g each) — 150 g (5.3 oz)
Butter — 50 g (1.8 oz)
Greek yogurt, plain 2% — 80 g (2.8 oz)
Monk fruit/erythritol sweetener — 70 g (2.5 oz)
Lemon (with juice &amp; zest) — 50 g (1.8 oz) [zest + juice]
Baking powder — 6 g (0.2 oz)
Vanilla extract — 4 g (0.1 oz)
Blueberries — 120 g (4.2 oz)
Salt — 1 g (0.0 oz)</t>
        </is>
      </c>
      <c r="M790" s="4" t="inlineStr">
        <is>
          <t>[{"ingredient_id": "almond_flour", "name": "Almond flour", "grams": 220.0, "note": ""}, {"ingredient_id": "egg", "name": "Egg, large (50 g each)", "grams": 150.0, "note": ""}, {"ingredient_id": "butter", "name": "Butter", "grams": 50.0, "note": ""}, {"ingredient_id": "greek_yogurt", "name": "Greek yogurt, plain 2%", "grams": 80.0, "note": ""}, {"ingredient_id": "monk_fruit_sweetener", "name": "Monk fruit/erythritol sweetener", "grams": 70.0, "note": ""}, {"ingredient_id": "lemon", "name": "Lemon (with juice &amp; zest)", "grams": 50.0, "note": "zest + juice"}, {"ingredient_id": "baking_powder", "name": "Baking powder", "grams": 6.0, "note": ""}, {"ingredient_id": "vanilla_extract", "name": "Vanilla extract", "grams": 4.0, "note": ""}, {"ingredient_id": "blueberries", "name": "Blueberries", "grams": 120.0, "note": ""}, {"ingredient_id": "salt", "name": "Salt", "grams": 1.0, "note": ""}]</t>
        </is>
      </c>
      <c r="N790" s="2" t="n">
        <v>253</v>
      </c>
      <c r="O790" s="5" t="n">
        <v>9.4</v>
      </c>
      <c r="P790" s="5" t="n">
        <v>20.9</v>
      </c>
      <c r="Q790" s="5" t="n">
        <v>9.300000000000001</v>
      </c>
      <c r="R790" s="5" t="n">
        <v>3.8</v>
      </c>
      <c r="S790" s="5" t="n">
        <v>5.5</v>
      </c>
      <c r="T790" s="2" t="n">
        <v>27</v>
      </c>
      <c r="U790" s="2" t="inlineStr">
        <is>
          <t>low</t>
        </is>
      </c>
      <c r="V790" s="5" t="n">
        <v>1.5</v>
      </c>
      <c r="W790" s="2" t="inlineStr">
        <is>
          <t>low</t>
        </is>
      </c>
      <c r="X790" s="3" t="inlineStr"/>
      <c r="Y790" s="3" t="inlineStr">
        <is>
          <t>40% of this dish's available carbohydrate comes from ingredients with a published, measured GI; the rest uses conventional placeholders (see Ingredients sheet)</t>
        </is>
      </c>
      <c r="Z790" s="2" t="n">
        <v>40</v>
      </c>
      <c r="AA790" s="3" t="inlineStr">
        <is>
          <t>vegetarian, gluten-free, low-carb, make-ahead</t>
        </is>
      </c>
      <c r="AB790" s="3" t="inlineStr">
        <is>
          <t>1. Beat eggs, melted butter, yogurt, sweetener, lemon, vanilla.
2. Stir in almond flour, baking powder, salt; fold blueberries.
3. Bake in an 8-inch pan at 350°F 32–35 minutes; cool.</t>
        </is>
      </c>
      <c r="AC790" s="4" t="inlineStr">
        <is>
          <t>["Beat eggs, melted butter, yogurt, sweetener, lemon, vanilla.", "Stir in almond flour, baking powder, salt; fold blueberries.", "Bake in an 8-inch pan at 350°F 32–35 minutes; cool."]</t>
        </is>
      </c>
    </row>
    <row r="791" ht="96" customHeight="1">
      <c r="A791" s="2" t="inlineStr">
        <is>
          <t>DB-0790</t>
        </is>
      </c>
      <c r="B791" s="3" t="inlineStr">
        <is>
          <t>Chocolate Peanut Butter Nice Cream (Low-Sugar)</t>
        </is>
      </c>
      <c r="C791" s="4" t="inlineStr">
        <is>
          <t>Dessert</t>
        </is>
      </c>
      <c r="D791" s="4" t="inlineStr">
        <is>
          <t>American</t>
        </is>
      </c>
      <c r="E791" s="2" t="n">
        <v>2</v>
      </c>
      <c r="F791" s="2" t="n">
        <v>5</v>
      </c>
      <c r="G791" s="2" t="n">
        <v>0</v>
      </c>
      <c r="H791" s="2" t="n">
        <v>5</v>
      </c>
      <c r="I791" s="4" t="inlineStr">
        <is>
          <t>chocolate-peanut-butter-nice-cream-low-sugar.jpg</t>
        </is>
      </c>
      <c r="J791" s="3" t="inlineStr">
        <is>
          <t>Chocolate Peanut Butter Nice Cream (Low-Sugar), healthy food photography, plated, natural light</t>
        </is>
      </c>
      <c r="K791" s="4" t="inlineStr"/>
      <c r="L791" s="3" t="inlineStr">
        <is>
          <t>Banana (small amount) — 100 g (3.5 oz) [frozen]
Greek yogurt, plain 2% — 150 g (5.3 oz)
Cocoa powder, unsweetened — 10 g (0.4 oz)
Peanut butter, natural — 20 g (0.7 oz)
Almond milk, unsweetened — 40 g (1.4 oz)
Stevia (liquid) — 1 g (0.0 oz)</t>
        </is>
      </c>
      <c r="M791" s="4" t="inlineStr">
        <is>
          <t>[{"ingredient_id": "banana", "name": "Banana (small amount)", "grams": 100.0, "note": "frozen"}, {"ingredient_id": "greek_yogurt", "name": "Greek yogurt, plain 2%", "grams": 150.0, "note": ""}, {"ingredient_id": "cocoa_powder", "name": "Cocoa powder, unsweetened", "grams": 10.0, "note": ""}, {"ingredient_id": "peanut_butter", "name": "Peanut butter, natural", "grams": 20.0, "note": ""}, {"ingredient_id": "almond_milk", "name": "Almond milk, unsweetened", "grams": 40.0, "note": ""}, {"ingredient_id": "stevia", "name": "Stevia (liquid)", "grams": 1.0, "note": ""}]</t>
        </is>
      </c>
      <c r="N791" s="2" t="n">
        <v>172</v>
      </c>
      <c r="O791" s="5" t="n">
        <v>11.7</v>
      </c>
      <c r="P791" s="5" t="n">
        <v>7.6</v>
      </c>
      <c r="Q791" s="5" t="n">
        <v>19.5</v>
      </c>
      <c r="R791" s="5" t="n">
        <v>3.6</v>
      </c>
      <c r="S791" s="5" t="n">
        <v>16</v>
      </c>
      <c r="T791" s="2" t="n">
        <v>38</v>
      </c>
      <c r="U791" s="2" t="inlineStr">
        <is>
          <t>low</t>
        </is>
      </c>
      <c r="V791" s="5" t="n">
        <v>6.1</v>
      </c>
      <c r="W791" s="2" t="inlineStr">
        <is>
          <t>low</t>
        </is>
      </c>
      <c r="X791" s="3" t="inlineStr"/>
      <c r="Y791" s="3" t="inlineStr">
        <is>
          <t>83% of this dish's available carbohydrate comes from ingredients with a published, measured GI; the rest uses conventional placeholders (see Ingredients sheet)</t>
        </is>
      </c>
      <c r="Z791" s="2" t="n">
        <v>83</v>
      </c>
      <c r="AA791" s="3" t="inlineStr">
        <is>
          <t>vegetarian, gluten-free, no-cook, quick</t>
        </is>
      </c>
      <c r="AB791" s="3" t="inlineStr">
        <is>
          <t>1. Blend frozen banana, yogurt, cocoa, peanut butter, almond milk, stevia until creamy.
2. Serve immediately, or freeze 30 minutes for firmer texture.</t>
        </is>
      </c>
      <c r="AC791" s="4" t="inlineStr">
        <is>
          <t>["Blend frozen banana, yogurt, cocoa, peanut butter, almond milk, stevia until creamy.", "Serve immediately, or freeze 30 minutes for firmer texture."]</t>
        </is>
      </c>
    </row>
    <row r="792" ht="96" customHeight="1">
      <c r="A792" s="2" t="inlineStr">
        <is>
          <t>DB-0791</t>
        </is>
      </c>
      <c r="B792" s="3" t="inlineStr">
        <is>
          <t>Cinnamon Baked Pears with Ricotta</t>
        </is>
      </c>
      <c r="C792" s="4" t="inlineStr">
        <is>
          <t>Dessert</t>
        </is>
      </c>
      <c r="D792" s="4" t="inlineStr">
        <is>
          <t>Italian</t>
        </is>
      </c>
      <c r="E792" s="2" t="n">
        <v>4</v>
      </c>
      <c r="F792" s="2" t="n">
        <v>5</v>
      </c>
      <c r="G792" s="2" t="n">
        <v>25</v>
      </c>
      <c r="H792" s="2" t="n">
        <v>30</v>
      </c>
      <c r="I792" s="4" t="inlineStr">
        <is>
          <t>cinnamon-baked-pears-with-ricotta.jpg</t>
        </is>
      </c>
      <c r="J792" s="3" t="inlineStr">
        <is>
          <t>Cinnamon Baked Pears with Ricotta, healthy food photography, plated, natural light</t>
        </is>
      </c>
      <c r="K792" s="4" t="inlineStr"/>
      <c r="L792" s="3" t="inlineStr">
        <is>
          <t>Pear — 500 g (17.6 oz) [2 large, halved]
Ground cinnamon — 2 g (0.1 oz)
Butter — 8 g (0.3 oz)
Ricotta, part-skim — 160 g (5.6 oz)
Walnuts — 20 g (0.7 oz)
Vanilla extract — 2 g (0.1 oz)
Monk fruit/erythritol sweetener — 6 g (0.2 oz)</t>
        </is>
      </c>
      <c r="M792" s="4" t="inlineStr">
        <is>
          <t>[{"ingredient_id": "pear", "name": "Pear", "grams": 500.0, "note": "2 large, halved"}, {"ingredient_id": "cinnamon", "name": "Ground cinnamon", "grams": 2.0, "note": ""}, {"ingredient_id": "butter", "name": "Butter", "grams": 8.0, "note": ""}, {"ingredient_id": "ricotta", "name": "Ricotta, part-skim", "grams": 160.0, "note": ""}, {"ingredient_id": "walnuts", "name": "Walnuts", "grams": 20.0, "note": ""}, {"ingredient_id": "vanilla_extract", "name": "Vanilla extract", "grams": 2.0, "note": ""}, {"ingredient_id": "monk_fruit_sweetener", "name": "Monk fruit/erythritol sweetener", "grams": 6.0, "note": ""}]</t>
        </is>
      </c>
      <c r="N792" s="2" t="n">
        <v>176</v>
      </c>
      <c r="O792" s="5" t="n">
        <v>5.7</v>
      </c>
      <c r="P792" s="5" t="n">
        <v>8.199999999999999</v>
      </c>
      <c r="Q792" s="5" t="n">
        <v>21.9</v>
      </c>
      <c r="R792" s="5" t="n">
        <v>4.5</v>
      </c>
      <c r="S792" s="5" t="n">
        <v>17.4</v>
      </c>
      <c r="T792" s="2" t="n">
        <v>26</v>
      </c>
      <c r="U792" s="2" t="inlineStr">
        <is>
          <t>low</t>
        </is>
      </c>
      <c r="V792" s="5" t="n">
        <v>4.5</v>
      </c>
      <c r="W792" s="2" t="inlineStr">
        <is>
          <t>low</t>
        </is>
      </c>
      <c r="X792" s="3" t="inlineStr"/>
      <c r="Y792" s="3" t="inlineStr">
        <is>
          <t>85% of this dish's available carbohydrate comes from ingredients with a published, measured GI; the rest uses conventional placeholders (see Ingredients sheet)</t>
        </is>
      </c>
      <c r="Z792" s="2" t="n">
        <v>85</v>
      </c>
      <c r="AA792" s="3" t="inlineStr">
        <is>
          <t>vegetarian, gluten-free</t>
        </is>
      </c>
      <c r="AB792" s="3" t="inlineStr">
        <is>
          <t>1. Halve and core pears; brush with butter, cinnamon; bake at 375°F 25 minutes.
2. Whisk ricotta with vanilla and sweetener.
3. Top pears with ricotta and walnuts.</t>
        </is>
      </c>
      <c r="AC792" s="4" t="inlineStr">
        <is>
          <t>["Halve and core pears; brush with butter, cinnamon; bake at 375°F 25 minutes.", "Whisk ricotta with vanilla and sweetener.", "Top pears with ricotta and walnuts."]</t>
        </is>
      </c>
    </row>
    <row r="793" ht="96" customHeight="1">
      <c r="A793" s="2" t="inlineStr">
        <is>
          <t>DB-0792</t>
        </is>
      </c>
      <c r="B793" s="3" t="inlineStr">
        <is>
          <t>No-Bake Almond Butter Oat Bars</t>
        </is>
      </c>
      <c r="C793" s="4" t="inlineStr">
        <is>
          <t>Dessert</t>
        </is>
      </c>
      <c r="D793" s="4" t="inlineStr">
        <is>
          <t>American</t>
        </is>
      </c>
      <c r="E793" s="2" t="n">
        <v>10</v>
      </c>
      <c r="F793" s="2" t="n">
        <v>10</v>
      </c>
      <c r="G793" s="2" t="n">
        <v>0</v>
      </c>
      <c r="H793" s="2" t="n">
        <v>10</v>
      </c>
      <c r="I793" s="4" t="inlineStr">
        <is>
          <t>no-bake-almond-butter-oat-bars.jpg</t>
        </is>
      </c>
      <c r="J793" s="3" t="inlineStr">
        <is>
          <t>No-Bake Almond Butter Oat Bars, healthy food photography, plated, natural light</t>
        </is>
      </c>
      <c r="K793" s="4" t="inlineStr"/>
      <c r="L793" s="3" t="inlineStr">
        <is>
          <t>Rolled oats, dry — 150 g (5.3 oz)
Almond butter — 150 g (5.3 oz)
Ground flaxseed — 20 g (0.7 oz)
Monk fruit/erythritol sweetener — 25 g (0.9 oz)
Vanilla extract — 3 g (0.1 oz)
Stevia-sweetened dark chocolate chips — 40 g (1.4 oz)
Almond milk, unsweetened — 40 g (1.4 oz)
Salt — 0.5 g (0.0 oz)</t>
        </is>
      </c>
      <c r="M793" s="4" t="inlineStr">
        <is>
          <t>[{"ingredient_id": "rolled_oats", "name": "Rolled oats, dry", "grams": 150.0, "note": ""}, {"ingredient_id": "almond_butter", "name": "Almond butter", "grams": 150.0, "note": ""}, {"ingredient_id": "flaxseed", "name": "Ground flaxseed", "grams": 20.0, "note": ""}, {"ingredient_id": "monk_fruit_sweetener", "name": "Monk fruit/erythritol sweetener", "grams": 25.0, "note": ""}, {"ingredient_id": "vanilla_extract", "name": "Vanilla extract", "grams": 3.0, "note": ""}, {"ingredient_id": "sugar_free_chocolate_chips", "name": "Stevia-sweetened dark chocolate chips", "grams": 40.0, "note": ""}, {"ingredient_id": "almond_milk", "name": "Almond milk, unsweetened", "grams": 40.0, "note": ""}, {"ingredient_id": "salt", "name": "Salt", "grams": 0.5, "note": ""}]</t>
        </is>
      </c>
      <c r="N793" s="2" t="n">
        <v>180</v>
      </c>
      <c r="O793" s="5" t="n">
        <v>5.7</v>
      </c>
      <c r="P793" s="5" t="n">
        <v>11.9</v>
      </c>
      <c r="Q793" s="5" t="n">
        <v>14.5</v>
      </c>
      <c r="R793" s="5" t="n">
        <v>4</v>
      </c>
      <c r="S793" s="5" t="n">
        <v>10.5</v>
      </c>
      <c r="T793" s="2" t="n">
        <v>50</v>
      </c>
      <c r="U793" s="2" t="inlineStr">
        <is>
          <t>low</t>
        </is>
      </c>
      <c r="V793" s="5" t="n">
        <v>5.2</v>
      </c>
      <c r="W793" s="2" t="inlineStr">
        <is>
          <t>low</t>
        </is>
      </c>
      <c r="X793" s="3" t="inlineStr"/>
      <c r="Y793" s="3" t="inlineStr">
        <is>
          <t>86% of this dish's available carbohydrate comes from ingredients with a published, measured GI; the rest uses conventional placeholders (see Ingredients sheet)</t>
        </is>
      </c>
      <c r="Z793" s="2" t="n">
        <v>86</v>
      </c>
      <c r="AA793" s="3" t="inlineStr">
        <is>
          <t>vegan, dairy-free, low-carb, make-ahead, no-cook</t>
        </is>
      </c>
      <c r="AB793" s="3" t="inlineStr">
        <is>
          <t>1. Mix oats, almond butter, flax, sweetener, vanilla, salt, almond milk; fold in chips.
2. Press firmly into a lined 8x8 pan.
3. Chill 2 hours; cut into 10 bars.</t>
        </is>
      </c>
      <c r="AC793" s="4" t="inlineStr">
        <is>
          <t>["Mix oats, almond butter, flax, sweetener, vanilla, salt, almond milk; fold in chips.", "Press firmly into a lined 8x8 pan.", "Chill 2 hours; cut into 10 bars."]</t>
        </is>
      </c>
    </row>
    <row r="794" ht="96" customHeight="1">
      <c r="A794" s="2" t="inlineStr">
        <is>
          <t>DB-0793</t>
        </is>
      </c>
      <c r="B794" s="3" t="inlineStr">
        <is>
          <t>Matcha Chia Pudding Dessert</t>
        </is>
      </c>
      <c r="C794" s="4" t="inlineStr">
        <is>
          <t>Dessert</t>
        </is>
      </c>
      <c r="D794" s="4" t="inlineStr">
        <is>
          <t>Japanese</t>
        </is>
      </c>
      <c r="E794" s="2" t="n">
        <v>2</v>
      </c>
      <c r="F794" s="2" t="n">
        <v>5</v>
      </c>
      <c r="G794" s="2" t="n">
        <v>0</v>
      </c>
      <c r="H794" s="2" t="n">
        <v>5</v>
      </c>
      <c r="I794" s="4" t="inlineStr">
        <is>
          <t>matcha-chia-pudding-dessert.jpg</t>
        </is>
      </c>
      <c r="J794" s="3" t="inlineStr">
        <is>
          <t>Matcha Chia Pudding Dessert, healthy food photography, plated, natural light</t>
        </is>
      </c>
      <c r="K794" s="4" t="inlineStr"/>
      <c r="L794" s="3" t="inlineStr">
        <is>
          <t>Chia seeds — 30 g (1.1 oz)
Almond milk, unsweetened — 250 g (8.8 oz)
Brewed green tea — 3 g (0.1 oz) [1 tsp matcha]
Monk fruit/erythritol sweetener — 10 g (0.4 oz)
Vanilla extract — 2 g (0.1 oz)
Strawberries — 80 g (2.8 oz)</t>
        </is>
      </c>
      <c r="M794" s="4" t="inlineStr">
        <is>
          <t>[{"ingredient_id": "chia_seeds", "name": "Chia seeds", "grams": 30.0, "note": ""}, {"ingredient_id": "almond_milk", "name": "Almond milk, unsweetened", "grams": 250.0, "note": ""}, {"ingredient_id": "green_tea", "name": "Brewed green tea", "grams": 3.0, "note": "1 tsp matcha"}, {"ingredient_id": "monk_fruit_sweetener", "name": "Monk fruit/erythritol sweetener", "grams": 10.0, "note": ""}, {"ingredient_id": "vanilla_extract", "name": "Vanilla extract", "grams": 2.0, "note": ""}, {"ingredient_id": "strawberries", "name": "Strawberries", "grams": 80.0, "note": ""}]</t>
        </is>
      </c>
      <c r="N794" s="2" t="n">
        <v>107</v>
      </c>
      <c r="O794" s="5" t="n">
        <v>3.6</v>
      </c>
      <c r="P794" s="5" t="n">
        <v>6.3</v>
      </c>
      <c r="Q794" s="5" t="n">
        <v>10.3</v>
      </c>
      <c r="R794" s="5" t="n">
        <v>5.9</v>
      </c>
      <c r="S794" s="5" t="n">
        <v>4.4</v>
      </c>
      <c r="T794" s="2" t="n">
        <v>29</v>
      </c>
      <c r="U794" s="2" t="inlineStr">
        <is>
          <t>low</t>
        </is>
      </c>
      <c r="V794" s="5" t="n">
        <v>1.3</v>
      </c>
      <c r="W794" s="2" t="inlineStr">
        <is>
          <t>low</t>
        </is>
      </c>
      <c r="X794" s="3" t="inlineStr">
        <is>
          <t>Negligible carbohydrate (&lt;5 g net/serving): GI has little practical meaning, glycemic load is what matters.</t>
        </is>
      </c>
      <c r="Y794" s="3" t="inlineStr">
        <is>
          <t>52% of this dish's available carbohydrate comes from ingredients with a published, measured GI; the rest uses conventional placeholders (see Ingredients sheet)</t>
        </is>
      </c>
      <c r="Z794" s="2" t="n">
        <v>52</v>
      </c>
      <c r="AA794" s="3" t="inlineStr">
        <is>
          <t>vegan, gluten-free, dairy-free, low-carb, make-ahead</t>
        </is>
      </c>
      <c r="AB794" s="3" t="inlineStr">
        <is>
          <t>1. Whisk matcha, sweetener, vanilla into almond milk; stir chia.
2. Refrigerate 4 hours.
3. Strawberries.</t>
        </is>
      </c>
      <c r="AC794" s="4" t="inlineStr">
        <is>
          <t>["Whisk matcha, sweetener, vanilla into almond milk; stir chia.", "Refrigerate 4 hours.", "Strawberries."]</t>
        </is>
      </c>
    </row>
    <row r="795" ht="96" customHeight="1">
      <c r="A795" s="2" t="inlineStr">
        <is>
          <t>DB-0794</t>
        </is>
      </c>
      <c r="B795" s="3" t="inlineStr">
        <is>
          <t>Peanut Butter Cookies (3-Ingredient Style)</t>
        </is>
      </c>
      <c r="C795" s="4" t="inlineStr">
        <is>
          <t>Dessert</t>
        </is>
      </c>
      <c r="D795" s="4" t="inlineStr">
        <is>
          <t>American</t>
        </is>
      </c>
      <c r="E795" s="2" t="n">
        <v>12</v>
      </c>
      <c r="F795" s="2" t="n">
        <v>5</v>
      </c>
      <c r="G795" s="2" t="n">
        <v>12</v>
      </c>
      <c r="H795" s="2" t="n">
        <v>17</v>
      </c>
      <c r="I795" s="4" t="inlineStr">
        <is>
          <t>peanut-butter-cookies-3-ingredient-style.jpg</t>
        </is>
      </c>
      <c r="J795" s="3" t="inlineStr">
        <is>
          <t>Peanut Butter Cookies (3-Ingredient Style), healthy food photography, plated, natural light</t>
        </is>
      </c>
      <c r="K795" s="4" t="inlineStr"/>
      <c r="L795" s="3" t="inlineStr">
        <is>
          <t>Peanut butter, natural — 250 g (8.8 oz)
Egg, large (50 g each) — 50 g (1.8 oz)
Monk fruit/erythritol sweetener — 70 g (2.5 oz)
Vanilla extract — 3 g (0.1 oz)</t>
        </is>
      </c>
      <c r="M795" s="4" t="inlineStr">
        <is>
          <t>[{"ingredient_id": "peanut_butter", "name": "Peanut butter, natural", "grams": 250.0, "note": ""}, {"ingredient_id": "egg", "name": "Egg, large (50 g each)", "grams": 50.0, "note": ""}, {"ingredient_id": "monk_fruit_sweetener", "name": "Monk fruit/erythritol sweetener", "grams": 70.0, "note": ""}, {"ingredient_id": "vanilla_extract", "name": "Vanilla extract", "grams": 3.0, "note": ""}]</t>
        </is>
      </c>
      <c r="N795" s="2" t="n">
        <v>129</v>
      </c>
      <c r="O795" s="5" t="n">
        <v>5.7</v>
      </c>
      <c r="P795" s="5" t="n">
        <v>10.8</v>
      </c>
      <c r="Q795" s="5" t="n">
        <v>4.2</v>
      </c>
      <c r="R795" s="5" t="n">
        <v>1.2</v>
      </c>
      <c r="S795" s="5" t="n">
        <v>3</v>
      </c>
      <c r="T795" s="2" t="n">
        <v>14</v>
      </c>
      <c r="U795" s="2" t="inlineStr">
        <is>
          <t>low</t>
        </is>
      </c>
      <c r="V795" s="5" t="n">
        <v>0.4</v>
      </c>
      <c r="W795" s="2" t="inlineStr">
        <is>
          <t>low</t>
        </is>
      </c>
      <c r="X795" s="3" t="inlineStr">
        <is>
          <t>Negligible carbohydrate (&lt;5 g net/serving): GI has little practical meaning, glycemic load is what matters.</t>
        </is>
      </c>
      <c r="Y795" s="3" t="inlineStr">
        <is>
          <t>0% of this dish's available carbohydrate comes from ingredients with a published, measured GI; the rest uses conventional placeholders (see Ingredients sheet)</t>
        </is>
      </c>
      <c r="Z795" s="2" t="n">
        <v>0</v>
      </c>
      <c r="AA795" s="3" t="inlineStr">
        <is>
          <t>vegetarian, gluten-free, dairy-free, low-carb, quick</t>
        </is>
      </c>
      <c r="AB795" s="3" t="inlineStr">
        <is>
          <t>1. Mix peanut butter, egg, sweetener, vanilla.
2. Roll 12 balls; press with a fork.
3. Bake at 350°F 10–12 minutes; cool fully.</t>
        </is>
      </c>
      <c r="AC795" s="4" t="inlineStr">
        <is>
          <t>["Mix peanut butter, egg, sweetener, vanilla.", "Roll 12 balls; press with a fork.", "Bake at 350°F 10–12 minutes; cool fully."]</t>
        </is>
      </c>
    </row>
    <row r="796" ht="96" customHeight="1">
      <c r="A796" s="2" t="inlineStr">
        <is>
          <t>DB-0795</t>
        </is>
      </c>
      <c r="B796" s="3" t="inlineStr">
        <is>
          <t>Raspberry Almond Crumble Cups</t>
        </is>
      </c>
      <c r="C796" s="4" t="inlineStr">
        <is>
          <t>Dessert</t>
        </is>
      </c>
      <c r="D796" s="4" t="inlineStr">
        <is>
          <t>American</t>
        </is>
      </c>
      <c r="E796" s="2" t="n">
        <v>4</v>
      </c>
      <c r="F796" s="2" t="n">
        <v>10</v>
      </c>
      <c r="G796" s="2" t="n">
        <v>20</v>
      </c>
      <c r="H796" s="2" t="n">
        <v>30</v>
      </c>
      <c r="I796" s="4" t="inlineStr">
        <is>
          <t>raspberry-almond-crumble-cups.jpg</t>
        </is>
      </c>
      <c r="J796" s="3" t="inlineStr">
        <is>
          <t>Raspberry Almond Crumble Cups, healthy food photography, plated, natural light</t>
        </is>
      </c>
      <c r="K796" s="4" t="inlineStr"/>
      <c r="L796" s="3" t="inlineStr">
        <is>
          <t>Raspberries — 300 g (10.6 oz)
Chia seeds — 8 g (0.3 oz)
Almond flour — 60 g (2.1 oz)
Rolled oats, dry — 30 g (1.1 oz)
Butter — 25 g (0.9 oz)
Ground cinnamon — 1 g (0.0 oz)
Monk fruit/erythritol sweetener — 20 g (0.7 oz)</t>
        </is>
      </c>
      <c r="M796" s="4" t="inlineStr">
        <is>
          <t>[{"ingredient_id": "raspberries", "name": "Raspberries", "grams": 300.0, "note": ""}, {"ingredient_id": "chia_seeds", "name": "Chia seeds", "grams": 8.0, "note": ""}, {"ingredient_id": "almond_flour", "name": "Almond flour", "grams": 60.0, "note": ""}, {"ingredient_id": "rolled_oats", "name": "Rolled oats, dry", "grams": 30.0, "note": ""}, {"ingredient_id": "butter", "name": "Butter", "grams": 25.0, "note": ""}, {"ingredient_id": "cinnamon", "name": "Ground cinnamon", "grams": 1.0, "note": ""}, {"ingredient_id": "monk_fruit_sweetener", "name": "Monk fruit/erythritol sweetener", "grams": 20.0, "note": ""}]</t>
        </is>
      </c>
      <c r="N796" s="2" t="n">
        <v>211</v>
      </c>
      <c r="O796" s="5" t="n">
        <v>5.4</v>
      </c>
      <c r="P796" s="5" t="n">
        <v>14.2</v>
      </c>
      <c r="Q796" s="5" t="n">
        <v>18.3</v>
      </c>
      <c r="R796" s="5" t="n">
        <v>8.199999999999999</v>
      </c>
      <c r="S796" s="5" t="n">
        <v>10.1</v>
      </c>
      <c r="T796" s="2" t="n">
        <v>40</v>
      </c>
      <c r="U796" s="2" t="inlineStr">
        <is>
          <t>low</t>
        </is>
      </c>
      <c r="V796" s="5" t="n">
        <v>4</v>
      </c>
      <c r="W796" s="2" t="inlineStr">
        <is>
          <t>low</t>
        </is>
      </c>
      <c r="X796" s="3" t="inlineStr"/>
      <c r="Y796" s="3" t="inlineStr">
        <is>
          <t>43% of this dish's available carbohydrate comes from ingredients with a published, measured GI; the rest uses conventional placeholders (see Ingredients sheet)</t>
        </is>
      </c>
      <c r="Z796" s="2" t="n">
        <v>43</v>
      </c>
      <c r="AA796" s="3" t="inlineStr">
        <is>
          <t>vegetarian, low-carb, high-fiber</t>
        </is>
      </c>
      <c r="AB796" s="3" t="inlineStr">
        <is>
          <t>1. Toss raspberries with chia and half the sweetener; divide into ramekins.
2. Rub almond flour, oats, butter, cinnamon, remaining sweetener into crumbs; top.
3. Bake at 375°F 18–20 minutes.</t>
        </is>
      </c>
      <c r="AC796" s="4" t="inlineStr">
        <is>
          <t>["Toss raspberries with chia and half the sweetener; divide into ramekins.", "Rub almond flour, oats, butter, cinnamon, remaining sweetener into crumbs; top.", "Bake at 375°F 18–20 minutes."]</t>
        </is>
      </c>
    </row>
    <row r="797" ht="96" customHeight="1">
      <c r="A797" s="2" t="inlineStr">
        <is>
          <t>DB-0796</t>
        </is>
      </c>
      <c r="B797" s="3" t="inlineStr">
        <is>
          <t>Espresso Panna Cotta (Yogurt)</t>
        </is>
      </c>
      <c r="C797" s="4" t="inlineStr">
        <is>
          <t>Dessert</t>
        </is>
      </c>
      <c r="D797" s="4" t="inlineStr">
        <is>
          <t>Italian</t>
        </is>
      </c>
      <c r="E797" s="2" t="n">
        <v>4</v>
      </c>
      <c r="F797" s="2" t="n">
        <v>10</v>
      </c>
      <c r="G797" s="2" t="n">
        <v>5</v>
      </c>
      <c r="H797" s="2" t="n">
        <v>15</v>
      </c>
      <c r="I797" s="4" t="inlineStr">
        <is>
          <t>espresso-panna-cotta-yogurt.jpg</t>
        </is>
      </c>
      <c r="J797" s="3" t="inlineStr">
        <is>
          <t>Espresso Panna Cotta (Yogurt), healthy food photography, plated, natural light</t>
        </is>
      </c>
      <c r="K797" s="4" t="inlineStr"/>
      <c r="L797" s="3" t="inlineStr">
        <is>
          <t>Greek yogurt, plain 2% — 300 g (10.6 oz)
Heavy cream — 120 g (4.2 oz)
Brewed coffee / espresso — 60 g (2.1 oz) [espresso]
Unflavored gelatin — 7 g (0.2 oz)
Monk fruit/erythritol sweetener — 25 g (0.9 oz)
Vanilla extract — 3 g (0.1 oz)
Dark chocolate 85% — 10 g (0.4 oz)</t>
        </is>
      </c>
      <c r="M797" s="4" t="inlineStr">
        <is>
          <t>[{"ingredient_id": "greek_yogurt", "name": "Greek yogurt, plain 2%", "grams": 300.0, "note": ""}, {"ingredient_id": "heavy_cream", "name": "Heavy cream", "grams": 120.0, "note": ""}, {"ingredient_id": "coffee", "name": "Brewed coffee / espresso", "grams": 60.0, "note": "espresso"}, {"ingredient_id": "gelatin", "name": "Unflavored gelatin", "grams": 7.0, "note": ""}, {"ingredient_id": "monk_fruit_sweetener", "name": "Monk fruit/erythritol sweetener", "grams": 25.0, "note": ""}, {"ingredient_id": "vanilla_extract", "name": "Vanilla extract", "grams": 3.0, "note": ""}, {"ingredient_id": "dark_chocolate", "name": "Dark chocolate 85%", "grams": 10.0, "note": ""}]</t>
        </is>
      </c>
      <c r="N797" s="2" t="n">
        <v>180</v>
      </c>
      <c r="O797" s="5" t="n">
        <v>9.9</v>
      </c>
      <c r="P797" s="5" t="n">
        <v>13.4</v>
      </c>
      <c r="Q797" s="5" t="n">
        <v>4.7</v>
      </c>
      <c r="R797" s="5" t="n">
        <v>0.3</v>
      </c>
      <c r="S797" s="5" t="n">
        <v>4.4</v>
      </c>
      <c r="T797" s="2" t="n">
        <v>10</v>
      </c>
      <c r="U797" s="2" t="inlineStr">
        <is>
          <t>low</t>
        </is>
      </c>
      <c r="V797" s="5" t="n">
        <v>0.4</v>
      </c>
      <c r="W797" s="2" t="inlineStr">
        <is>
          <t>low</t>
        </is>
      </c>
      <c r="X797" s="3" t="inlineStr">
        <is>
          <t>Negligible carbohydrate (&lt;5 g net/serving): GI has little practical meaning, glycemic load is what matters.</t>
        </is>
      </c>
      <c r="Y797" s="3" t="inlineStr">
        <is>
          <t>78% of this dish's available carbohydrate comes from ingredients with a published, measured GI; the rest uses conventional placeholders (see Ingredients sheet)</t>
        </is>
      </c>
      <c r="Z797" s="2" t="n">
        <v>78</v>
      </c>
      <c r="AA797" s="3" t="inlineStr">
        <is>
          <t>vegetarian, gluten-free, nut-free, low-carb, make-ahead</t>
        </is>
      </c>
      <c r="AB797" s="3" t="inlineStr">
        <is>
          <t>1. Bloom gelatin in espresso; warm cream with sweetener; dissolve gelatin.
2. Whisk into yogurt and vanilla; pour into 4 cups.
3. Chill 4 hours; shave chocolate.</t>
        </is>
      </c>
      <c r="AC797" s="4" t="inlineStr">
        <is>
          <t>["Bloom gelatin in espresso; warm cream with sweetener; dissolve gelatin.", "Whisk into yogurt and vanilla; pour into 4 cups.", "Chill 4 hours; shave chocolate."]</t>
        </is>
      </c>
    </row>
    <row r="798" ht="96" customHeight="1">
      <c r="A798" s="2" t="inlineStr">
        <is>
          <t>DB-0797</t>
        </is>
      </c>
      <c r="B798" s="3" t="inlineStr">
        <is>
          <t>Cottage Cheese Chocolate Mousse</t>
        </is>
      </c>
      <c r="C798" s="4" t="inlineStr">
        <is>
          <t>Dessert</t>
        </is>
      </c>
      <c r="D798" s="4" t="inlineStr">
        <is>
          <t>American</t>
        </is>
      </c>
      <c r="E798" s="2" t="n">
        <v>2</v>
      </c>
      <c r="F798" s="2" t="n">
        <v>5</v>
      </c>
      <c r="G798" s="2" t="n">
        <v>0</v>
      </c>
      <c r="H798" s="2" t="n">
        <v>5</v>
      </c>
      <c r="I798" s="4" t="inlineStr">
        <is>
          <t>cottage-cheese-chocolate-mousse.jpg</t>
        </is>
      </c>
      <c r="J798" s="3" t="inlineStr">
        <is>
          <t>Cottage Cheese Chocolate Mousse, healthy food photography, plated, natural light</t>
        </is>
      </c>
      <c r="K798" s="4" t="inlineStr"/>
      <c r="L798" s="3" t="inlineStr">
        <is>
          <t>Cottage cheese, low-fat — 250 g (8.8 oz)
Cocoa powder, unsweetened — 15 g (0.5 oz)
Monk fruit/erythritol sweetener — 15 g (0.5 oz)
Vanilla extract — 2 g (0.1 oz)
Almond milk, unsweetened — 30 g (1.1 oz)
Strawberries — 80 g (2.8 oz)</t>
        </is>
      </c>
      <c r="M798" s="4" t="inlineStr">
        <is>
          <t>[{"ingredient_id": "cottage_cheese", "name": "Cottage cheese, low-fat", "grams": 250.0, "note": ""}, {"ingredient_id": "cocoa_powder", "name": "Cocoa powder, unsweetened", "grams": 15.0, "note": ""}, {"ingredient_id": "monk_fruit_sweetener", "name": "Monk fruit/erythritol sweetener", "grams": 15.0, "note": ""}, {"ingredient_id": "vanilla_extract", "name": "Vanilla extract", "grams": 2.0, "note": ""}, {"ingredient_id": "almond_milk", "name": "Almond milk, unsweetened", "grams": 30.0, "note": ""}, {"ingredient_id": "strawberries", "name": "Strawberries", "grams": 80.0, "note": ""}]</t>
        </is>
      </c>
      <c r="N798" s="2" t="n">
        <v>140</v>
      </c>
      <c r="O798" s="5" t="n">
        <v>15.6</v>
      </c>
      <c r="P798" s="5" t="n">
        <v>4.2</v>
      </c>
      <c r="Q798" s="5" t="n">
        <v>13</v>
      </c>
      <c r="R798" s="5" t="n">
        <v>3.3</v>
      </c>
      <c r="S798" s="5" t="n">
        <v>9.699999999999999</v>
      </c>
      <c r="T798" s="2" t="n">
        <v>19</v>
      </c>
      <c r="U798" s="2" t="inlineStr">
        <is>
          <t>low</t>
        </is>
      </c>
      <c r="V798" s="5" t="n">
        <v>1.9</v>
      </c>
      <c r="W798" s="2" t="inlineStr">
        <is>
          <t>low</t>
        </is>
      </c>
      <c r="X798" s="3" t="inlineStr"/>
      <c r="Y798" s="3" t="inlineStr">
        <is>
          <t>23% of this dish's available carbohydrate comes from ingredients with a published, measured GI; the rest uses conventional placeholders (see Ingredients sheet)</t>
        </is>
      </c>
      <c r="Z798" s="2" t="n">
        <v>23</v>
      </c>
      <c r="AA798" s="3" t="inlineStr">
        <is>
          <t>vegetarian, gluten-free, low-carb, no-cook</t>
        </is>
      </c>
      <c r="AB798" s="3" t="inlineStr">
        <is>
          <t>1. Blend cottage cheese, cocoa, sweetener, vanilla, almond milk until silky.
2. Chill 30 minutes.
3. Strawberries.</t>
        </is>
      </c>
      <c r="AC798" s="4" t="inlineStr">
        <is>
          <t>["Blend cottage cheese, cocoa, sweetener, vanilla, almond milk until silky.", "Chill 30 minutes.", "Strawberries."]</t>
        </is>
      </c>
    </row>
    <row r="799" ht="96" customHeight="1">
      <c r="A799" s="2" t="inlineStr">
        <is>
          <t>DB-0798</t>
        </is>
      </c>
      <c r="B799" s="3" t="inlineStr">
        <is>
          <t>Apple Cinnamon Yogurt Bowl</t>
        </is>
      </c>
      <c r="C799" s="4" t="inlineStr">
        <is>
          <t>Dessert</t>
        </is>
      </c>
      <c r="D799" s="4" t="inlineStr">
        <is>
          <t>American</t>
        </is>
      </c>
      <c r="E799" s="2" t="n">
        <v>1</v>
      </c>
      <c r="F799" s="2" t="n">
        <v>5</v>
      </c>
      <c r="G799" s="2" t="n">
        <v>4</v>
      </c>
      <c r="H799" s="2" t="n">
        <v>9</v>
      </c>
      <c r="I799" s="4" t="inlineStr">
        <is>
          <t>apple-cinnamon-yogurt-bowl.jpg</t>
        </is>
      </c>
      <c r="J799" s="3" t="inlineStr">
        <is>
          <t>Apple Cinnamon Yogurt Bowl, healthy food photography, plated, natural light</t>
        </is>
      </c>
      <c r="K799" s="4" t="inlineStr"/>
      <c r="L799" s="3" t="inlineStr">
        <is>
          <t>Apple — 120 g (4.2 oz)
Ground cinnamon — 1 g (0.0 oz)
Butter — 4 g (0.1 oz)
Greek yogurt, plain 2% — 150 g (5.3 oz)
Pecans — 12 g (0.4 oz)
Vanilla extract — 1 g (0.0 oz)</t>
        </is>
      </c>
      <c r="M799" s="4" t="inlineStr">
        <is>
          <t>[{"ingredient_id": "apple", "name": "Apple", "grams": 120.0, "note": ""}, {"ingredient_id": "cinnamon", "name": "Ground cinnamon", "grams": 1.0, "note": ""}, {"ingredient_id": "butter", "name": "Butter", "grams": 4.0, "note": ""}, {"ingredient_id": "greek_yogurt", "name": "Greek yogurt, plain 2%", "grams": 150.0, "note": ""}, {"ingredient_id": "pecans", "name": "Pecans", "grams": 12.0, "note": ""}, {"ingredient_id": "vanilla_extract", "name": "Vanilla extract", "grams": 1.0, "note": ""}]</t>
        </is>
      </c>
      <c r="N799" s="2" t="n">
        <v>289</v>
      </c>
      <c r="O799" s="5" t="n">
        <v>16.5</v>
      </c>
      <c r="P799" s="5" t="n">
        <v>15.1</v>
      </c>
      <c r="Q799" s="5" t="n">
        <v>25.4</v>
      </c>
      <c r="R799" s="5" t="n">
        <v>4.6</v>
      </c>
      <c r="S799" s="5" t="n">
        <v>20.9</v>
      </c>
      <c r="T799" s="2" t="n">
        <v>28</v>
      </c>
      <c r="U799" s="2" t="inlineStr">
        <is>
          <t>low</t>
        </is>
      </c>
      <c r="V799" s="5" t="n">
        <v>5.8</v>
      </c>
      <c r="W799" s="2" t="inlineStr">
        <is>
          <t>low</t>
        </is>
      </c>
      <c r="X799" s="3" t="inlineStr"/>
      <c r="Y799" s="3" t="inlineStr">
        <is>
          <t>96% of this dish's available carbohydrate comes from ingredients with a published, measured GI; the rest uses conventional placeholders (see Ingredients sheet)</t>
        </is>
      </c>
      <c r="Z799" s="2" t="n">
        <v>96</v>
      </c>
      <c r="AA799" s="3" t="inlineStr">
        <is>
          <t>vegetarian, gluten-free, quick</t>
        </is>
      </c>
      <c r="AB799" s="3" t="inlineStr">
        <is>
          <t>1. Sauté diced apple in butter with cinnamon 4 minutes.
2. Stir vanilla into yogurt.
3. Top with apple and pecans.</t>
        </is>
      </c>
      <c r="AC799" s="4" t="inlineStr">
        <is>
          <t>["Sauté diced apple in butter with cinnamon 4 minutes.", "Stir vanilla into yogurt.", "Top with apple and pecans."]</t>
        </is>
      </c>
    </row>
    <row r="800" ht="96" customHeight="1">
      <c r="A800" s="2" t="inlineStr">
        <is>
          <t>DB-0799</t>
        </is>
      </c>
      <c r="B800" s="3" t="inlineStr">
        <is>
          <t>Keto Brownies (Almond Flour)</t>
        </is>
      </c>
      <c r="C800" s="4" t="inlineStr">
        <is>
          <t>Dessert</t>
        </is>
      </c>
      <c r="D800" s="4" t="inlineStr">
        <is>
          <t>American</t>
        </is>
      </c>
      <c r="E800" s="2" t="n">
        <v>12</v>
      </c>
      <c r="F800" s="2" t="n">
        <v>10</v>
      </c>
      <c r="G800" s="2" t="n">
        <v>22</v>
      </c>
      <c r="H800" s="2" t="n">
        <v>32</v>
      </c>
      <c r="I800" s="4" t="inlineStr">
        <is>
          <t>keto-brownies-almond-flour.jpg</t>
        </is>
      </c>
      <c r="J800" s="3" t="inlineStr">
        <is>
          <t>Keto Brownies (Almond Flour), healthy food photography, plated, natural light</t>
        </is>
      </c>
      <c r="K800" s="4" t="inlineStr"/>
      <c r="L800" s="3" t="inlineStr">
        <is>
          <t>Almond flour — 100 g (3.5 oz)
Cocoa powder, unsweetened — 50 g (1.8 oz)
Butter — 90 g (3.2 oz)
Egg, large (50 g each) — 150 g (5.3 oz)
Monk fruit/erythritol sweetener — 100 g (3.5 oz)
Vanilla extract — 4 g (0.1 oz)
Baking powder — 3 g (0.1 oz)
Stevia-sweetened dark chocolate chips — 50 g (1.8 oz)
Salt — 1 g (0.0 oz)</t>
        </is>
      </c>
      <c r="M800" s="4" t="inlineStr">
        <is>
          <t>[{"ingredient_id": "almond_flour", "name": "Almond flour", "grams": 100.0, "note": ""}, {"ingredient_id": "cocoa_powder", "name": "Cocoa powder, unsweetened", "grams": 50.0, "note": ""}, {"ingredient_id": "butter", "name": "Butter", "grams": 90.0, "note": ""}, {"ingredient_id": "egg", "name": "Egg, large (50 g each)", "grams": 150.0, "note": ""}, {"ingredient_id": "monk_fruit_sweetener", "name": "Monk fruit/erythritol sweetener", "grams": 100.0, "note": ""}, {"ingredient_id": "vanilla_extract", "name": "Vanilla extract", "grams": 4.0, "note": ""}, {"ingredient_id": "baking_powder", "name": "Baking powder", "grams": 3.0, "note": ""}, {"ingredient_id": "sugar_free_chocolate_chips", "name": "Stevia-sweetened dark chocolate chips", "grams": 50.0, "note": ""}, {"ingredient_id": "salt", "name": "Salt", "grams": 1.0, "note": ""}]</t>
        </is>
      </c>
      <c r="N800" s="2" t="n">
        <v>151</v>
      </c>
      <c r="O800" s="5" t="n">
        <v>4.5</v>
      </c>
      <c r="P800" s="5" t="n">
        <v>13.8</v>
      </c>
      <c r="Q800" s="5" t="n">
        <v>5.2</v>
      </c>
      <c r="R800" s="5" t="n">
        <v>2.9</v>
      </c>
      <c r="S800" s="5" t="n">
        <v>2.3</v>
      </c>
      <c r="T800" s="2" t="n">
        <v>17</v>
      </c>
      <c r="U800" s="2" t="inlineStr">
        <is>
          <t>low</t>
        </is>
      </c>
      <c r="V800" s="5" t="n">
        <v>0.4</v>
      </c>
      <c r="W800" s="2" t="inlineStr">
        <is>
          <t>low</t>
        </is>
      </c>
      <c r="X800" s="3" t="inlineStr">
        <is>
          <t>Negligible carbohydrate (&lt;5 g net/serving): GI has little practical meaning, glycemic load is what matters.</t>
        </is>
      </c>
      <c r="Y800" s="3" t="inlineStr">
        <is>
          <t>14% of this dish's available carbohydrate comes from ingredients with a published, measured GI; the rest uses conventional placeholders (see Ingredients sheet)</t>
        </is>
      </c>
      <c r="Z800" s="2" t="n">
        <v>14</v>
      </c>
      <c r="AA800" s="3" t="inlineStr">
        <is>
          <t>vegetarian, gluten-free, low-carb, make-ahead</t>
        </is>
      </c>
      <c r="AB800" s="3" t="inlineStr">
        <is>
          <t>1. Melt butter; whisk with sweetener, eggs, vanilla.
2. Stir in cocoa, almond flour, baking powder, salt, chips.
3. Bake in an 8x8 pan at 350°F 20–22 minutes; cool fully.</t>
        </is>
      </c>
      <c r="AC800" s="4" t="inlineStr">
        <is>
          <t>["Melt butter; whisk with sweetener, eggs, vanilla.", "Stir in cocoa, almond flour, baking powder, salt, chips.", "Bake in an 8x8 pan at 350°F 20–22 minutes; cool fully."]</t>
        </is>
      </c>
    </row>
    <row r="801" ht="96" customHeight="1">
      <c r="A801" s="2" t="inlineStr">
        <is>
          <t>DB-0800</t>
        </is>
      </c>
      <c r="B801" s="3" t="inlineStr">
        <is>
          <t>Grilled Peaches with Yogurt &amp; Pistachios</t>
        </is>
      </c>
      <c r="C801" s="4" t="inlineStr">
        <is>
          <t>Dessert</t>
        </is>
      </c>
      <c r="D801" s="4" t="inlineStr">
        <is>
          <t>American</t>
        </is>
      </c>
      <c r="E801" s="2" t="n">
        <v>4</v>
      </c>
      <c r="F801" s="2" t="n">
        <v>5</v>
      </c>
      <c r="G801" s="2" t="n">
        <v>8</v>
      </c>
      <c r="H801" s="2" t="n">
        <v>13</v>
      </c>
      <c r="I801" s="4" t="inlineStr">
        <is>
          <t>grilled-peaches-with-yogurt-and-pistachios.jpg</t>
        </is>
      </c>
      <c r="J801" s="3" t="inlineStr">
        <is>
          <t>Grilled Peaches with Yogurt &amp; Pistachios, healthy food photography, plated, natural light</t>
        </is>
      </c>
      <c r="K801" s="4" t="inlineStr"/>
      <c r="L801" s="3" t="inlineStr">
        <is>
          <t>Peach — 500 g (17.6 oz) [4 halves]
Extra-virgin olive oil — 5 g (0.2 oz)
Greek yogurt, plain 2% — 160 g (5.6 oz)
Pistachios, shelled — 25 g (0.9 oz)
Ground cinnamon — 1 g (0.0 oz)
Fresh mint — 3 g (0.1 oz)</t>
        </is>
      </c>
      <c r="M801" s="4" t="inlineStr">
        <is>
          <t>[{"ingredient_id": "peach", "name": "Peach", "grams": 500.0, "note": "4 halves"}, {"ingredient_id": "olive_oil", "name": "Extra-virgin olive oil", "grams": 5.0, "note": ""}, {"ingredient_id": "greek_yogurt", "name": "Greek yogurt, plain 2%", "grams": 160.0, "note": ""}, {"ingredient_id": "pistachios", "name": "Pistachios, shelled", "grams": 25.0, "note": ""}, {"ingredient_id": "cinnamon", "name": "Ground cinnamon", "grams": 1.0, "note": ""}, {"ingredient_id": "mint", "name": "Fresh mint", "grams": 3.0, "note": ""}]</t>
        </is>
      </c>
      <c r="N801" s="2" t="n">
        <v>125</v>
      </c>
      <c r="O801" s="5" t="n">
        <v>6.4</v>
      </c>
      <c r="P801" s="5" t="n">
        <v>5.2</v>
      </c>
      <c r="Q801" s="5" t="n">
        <v>15.5</v>
      </c>
      <c r="R801" s="5" t="n">
        <v>2.7</v>
      </c>
      <c r="S801" s="5" t="n">
        <v>12.8</v>
      </c>
      <c r="T801" s="2" t="n">
        <v>48</v>
      </c>
      <c r="U801" s="2" t="inlineStr">
        <is>
          <t>low</t>
        </is>
      </c>
      <c r="V801" s="5" t="n">
        <v>6.1</v>
      </c>
      <c r="W801" s="2" t="inlineStr">
        <is>
          <t>low</t>
        </is>
      </c>
      <c r="X801" s="3" t="inlineStr"/>
      <c r="Y801" s="3" t="inlineStr">
        <is>
          <t>99% of this dish's available carbohydrate comes from ingredients with a published, measured GI; the rest uses conventional placeholders (see Ingredients sheet)</t>
        </is>
      </c>
      <c r="Z801" s="2" t="n">
        <v>99</v>
      </c>
      <c r="AA801" s="3" t="inlineStr">
        <is>
          <t>vegetarian, gluten-free, low-carb, quick</t>
        </is>
      </c>
      <c r="AB801" s="3" t="inlineStr">
        <is>
          <t>1. Brush peach halves with oil; grill 3–4 minutes per side.
2. Top with yogurt.
3. Pistachios, cinnamon, mint.</t>
        </is>
      </c>
      <c r="AC801" s="4" t="inlineStr">
        <is>
          <t>["Brush peach halves with oil; grill 3–4 minutes per side.", "Top with yogurt.", "Pistachios, cinnamon, mint."]</t>
        </is>
      </c>
    </row>
    <row r="802" ht="96" customHeight="1">
      <c r="A802" s="2" t="inlineStr">
        <is>
          <t>DB-0801</t>
        </is>
      </c>
      <c r="B802" s="3" t="inlineStr">
        <is>
          <t>Vanilla Protein Ice Cream (Ninja-Style)</t>
        </is>
      </c>
      <c r="C802" s="4" t="inlineStr">
        <is>
          <t>Dessert</t>
        </is>
      </c>
      <c r="D802" s="4" t="inlineStr">
        <is>
          <t>American</t>
        </is>
      </c>
      <c r="E802" s="2" t="n">
        <v>2</v>
      </c>
      <c r="F802" s="2" t="n">
        <v>5</v>
      </c>
      <c r="G802" s="2" t="n">
        <v>0</v>
      </c>
      <c r="H802" s="2" t="n">
        <v>5</v>
      </c>
      <c r="I802" s="4" t="inlineStr">
        <is>
          <t>vanilla-protein-ice-cream-ninja-style.jpg</t>
        </is>
      </c>
      <c r="J802" s="3" t="inlineStr">
        <is>
          <t>Vanilla Protein Ice Cream (Ninja-Style), healthy food photography, plated, natural light</t>
        </is>
      </c>
      <c r="K802" s="4" t="inlineStr"/>
      <c r="L802" s="3" t="inlineStr">
        <is>
          <t>Greek yogurt, plain 2% — 200 g (7.1 oz)
Almond milk, unsweetened — 150 g (5.3 oz)
Whey protein powder, unsweetened — 30 g (1.1 oz)
Vanilla extract — 4 g (0.1 oz)
Monk fruit/erythritol sweetener — 15 g (0.5 oz)
Cream cheese — 20 g (0.7 oz)</t>
        </is>
      </c>
      <c r="M802" s="4" t="inlineStr">
        <is>
          <t>[{"ingredient_id": "greek_yogurt", "name": "Greek yogurt, plain 2%", "grams": 200.0, "note": ""}, {"ingredient_id": "almond_milk", "name": "Almond milk, unsweetened", "grams": 150.0, "note": ""}, {"ingredient_id": "whey_protein", "name": "Whey protein powder, unsweetened", "grams": 30.0, "note": ""}, {"ingredient_id": "vanilla_extract", "name": "Vanilla extract", "grams": 4.0, "note": ""}, {"ingredient_id": "monk_fruit_sweetener", "name": "Monk fruit/erythritol sweetener", "grams": 15.0, "note": ""}, {"ingredient_id": "cream_cheese", "name": "Cream cheese", "grams": 20.0, "note": ""}]</t>
        </is>
      </c>
      <c r="N802" s="2" t="n">
        <v>181</v>
      </c>
      <c r="O802" s="5" t="n">
        <v>22.8</v>
      </c>
      <c r="P802" s="5" t="n">
        <v>7.1</v>
      </c>
      <c r="Q802" s="5" t="n">
        <v>6.3</v>
      </c>
      <c r="R802" s="5" t="n">
        <v>0.1</v>
      </c>
      <c r="S802" s="5" t="n">
        <v>6.2</v>
      </c>
      <c r="T802" s="2" t="n">
        <v>14</v>
      </c>
      <c r="U802" s="2" t="inlineStr">
        <is>
          <t>low</t>
        </is>
      </c>
      <c r="V802" s="5" t="n">
        <v>0.9</v>
      </c>
      <c r="W802" s="2" t="inlineStr">
        <is>
          <t>low</t>
        </is>
      </c>
      <c r="X802" s="3" t="inlineStr"/>
      <c r="Y802" s="3" t="inlineStr">
        <is>
          <t>82% of this dish's available carbohydrate comes from ingredients with a published, measured GI; the rest uses conventional placeholders (see Ingredients sheet)</t>
        </is>
      </c>
      <c r="Z802" s="2" t="n">
        <v>82</v>
      </c>
      <c r="AA802" s="3" t="inlineStr">
        <is>
          <t>vegetarian, gluten-free, low-carb, make-ahead</t>
        </is>
      </c>
      <c r="AB802" s="3" t="inlineStr">
        <is>
          <t>1. Blend all ingredients until smooth.
2. Freeze in a container 6 hours; process in an ice cream maker or blend briefly with a splash of milk.
3. Serve.</t>
        </is>
      </c>
      <c r="AC802" s="4" t="inlineStr">
        <is>
          <t>["Blend all ingredients until smooth.", "Freeze in a container 6 hours; process in an ice cream maker or blend briefly with a splash of milk.", "Serve."]</t>
        </is>
      </c>
    </row>
    <row r="803" ht="96" customHeight="1">
      <c r="A803" s="2" t="inlineStr">
        <is>
          <t>DB-0802</t>
        </is>
      </c>
      <c r="B803" s="3" t="inlineStr">
        <is>
          <t>Blackberry Lime Sorbet Cups (Yogurt-Based)</t>
        </is>
      </c>
      <c r="C803" s="4" t="inlineStr">
        <is>
          <t>Dessert</t>
        </is>
      </c>
      <c r="D803" s="4" t="inlineStr">
        <is>
          <t>American</t>
        </is>
      </c>
      <c r="E803" s="2" t="n">
        <v>4</v>
      </c>
      <c r="F803" s="2" t="n">
        <v>5</v>
      </c>
      <c r="G803" s="2" t="n">
        <v>0</v>
      </c>
      <c r="H803" s="2" t="n">
        <v>5</v>
      </c>
      <c r="I803" s="4" t="inlineStr">
        <is>
          <t>blackberry-lime-sorbet-cups-yogurt-based.jpg</t>
        </is>
      </c>
      <c r="J803" s="3" t="inlineStr">
        <is>
          <t>Blackberry Lime Sorbet Cups (Yogurt-Based), healthy food photography, plated, natural light</t>
        </is>
      </c>
      <c r="K803" s="4" t="inlineStr"/>
      <c r="L803" s="3" t="inlineStr">
        <is>
          <t>Blackberries — 300 g (10.6 oz) [frozen]
Greek yogurt, plain 2% — 150 g (5.3 oz)
Lime — 30 g (1.1 oz)
Monk fruit/erythritol sweetener — 15 g (0.5 oz)</t>
        </is>
      </c>
      <c r="M803" s="4" t="inlineStr">
        <is>
          <t>[{"ingredient_id": "blackberries", "name": "Blackberries", "grams": 300.0, "note": "frozen"}, {"ingredient_id": "greek_yogurt", "name": "Greek yogurt, plain 2%", "grams": 150.0, "note": ""}, {"ingredient_id": "lime", "name": "Lime", "grams": 30.0, "note": ""}, {"ingredient_id": "monk_fruit_sweetener", "name": "Monk fruit/erythritol sweetener", "grams": 15.0, "note": ""}]</t>
        </is>
      </c>
      <c r="N803" s="2" t="n">
        <v>62</v>
      </c>
      <c r="O803" s="5" t="n">
        <v>4.9</v>
      </c>
      <c r="P803" s="5" t="n">
        <v>1.1</v>
      </c>
      <c r="Q803" s="5" t="n">
        <v>9.5</v>
      </c>
      <c r="R803" s="5" t="n">
        <v>4.2</v>
      </c>
      <c r="S803" s="5" t="n">
        <v>5.3</v>
      </c>
      <c r="T803" s="2" t="n">
        <v>20</v>
      </c>
      <c r="U803" s="2" t="inlineStr">
        <is>
          <t>low</t>
        </is>
      </c>
      <c r="V803" s="5" t="n">
        <v>1.1</v>
      </c>
      <c r="W803" s="2" t="inlineStr">
        <is>
          <t>low</t>
        </is>
      </c>
      <c r="X803" s="3" t="inlineStr"/>
      <c r="Y803" s="3" t="inlineStr">
        <is>
          <t>28% of this dish's available carbohydrate comes from ingredients with a published, measured GI; the rest uses conventional placeholders (see Ingredients sheet)</t>
        </is>
      </c>
      <c r="Z803" s="2" t="n">
        <v>28</v>
      </c>
      <c r="AA803" s="3" t="inlineStr">
        <is>
          <t>vegetarian, gluten-free, nut-free, low-carb, no-cook, quick</t>
        </is>
      </c>
      <c r="AB803" s="3" t="inlineStr">
        <is>
          <t>1. Blend frozen blackberries, yogurt, lime juice and zest, sweetener.
2. Serve immediately as soft-serve or freeze 1 hour.</t>
        </is>
      </c>
      <c r="AC803" s="4" t="inlineStr">
        <is>
          <t>["Blend frozen blackberries, yogurt, lime juice and zest, sweetener.", "Serve immediately as soft-serve or freeze 1 hour."]</t>
        </is>
      </c>
    </row>
    <row r="804" ht="96" customHeight="1">
      <c r="A804" s="2" t="inlineStr">
        <is>
          <t>DB-0803</t>
        </is>
      </c>
      <c r="B804" s="3" t="inlineStr">
        <is>
          <t>Cinnamon Almond Flour Muffins</t>
        </is>
      </c>
      <c r="C804" s="4" t="inlineStr">
        <is>
          <t>Dessert</t>
        </is>
      </c>
      <c r="D804" s="4" t="inlineStr">
        <is>
          <t>American</t>
        </is>
      </c>
      <c r="E804" s="2" t="n">
        <v>10</v>
      </c>
      <c r="F804" s="2" t="n">
        <v>10</v>
      </c>
      <c r="G804" s="2" t="n">
        <v>20</v>
      </c>
      <c r="H804" s="2" t="n">
        <v>30</v>
      </c>
      <c r="I804" s="4" t="inlineStr">
        <is>
          <t>cinnamon-almond-flour-muffins.jpg</t>
        </is>
      </c>
      <c r="J804" s="3" t="inlineStr">
        <is>
          <t>Cinnamon Almond Flour Muffins, healthy food photography, plated, natural light</t>
        </is>
      </c>
      <c r="K804" s="4" t="inlineStr"/>
      <c r="L804" s="3" t="inlineStr">
        <is>
          <t>Almond flour — 220 g (7.8 oz)
Egg, large (50 g each) — 150 g (5.3 oz)
Greek yogurt, plain 2% — 100 g (3.5 oz)
Butter — 40 g (1.4 oz)
Monk fruit/erythritol sweetener — 50 g (1.8 oz)
Ground cinnamon — 5 g (0.2 oz)
Baking powder — 6 g (0.2 oz)
Vanilla extract — 4 g (0.1 oz)
Walnuts — 30 g (1.1 oz)</t>
        </is>
      </c>
      <c r="M804" s="4" t="inlineStr">
        <is>
          <t>[{"ingredient_id": "almond_flour", "name": "Almond flour", "grams": 220.0, "note": ""}, {"ingredient_id": "egg", "name": "Egg, large (50 g each)", "grams": 150.0, "note": ""}, {"ingredient_id": "greek_yogurt", "name": "Greek yogurt, plain 2%", "grams": 100.0, "note": ""}, {"ingredient_id": "butter", "name": "Butter", "grams": 40.0, "note": ""}, {"ingredient_id": "monk_fruit_sweetener", "name": "Monk fruit/erythritol sweetener", "grams": 50.0, "note": ""}, {"ingredient_id": "cinnamon", "name": "Ground cinnamon", "grams": 5.0, "note": ""}, {"ingredient_id": "baking_powder", "name": "Baking powder", "grams": 6.0, "note": ""}, {"ingredient_id": "vanilla_extract", "name": "Vanilla extract", "grams": 4.0, "note": ""}, {"ingredient_id": "walnuts", "name": "Walnuts", "grams": 30.0, "note": ""}]</t>
        </is>
      </c>
      <c r="N804" s="2" t="n">
        <v>210</v>
      </c>
      <c r="O804" s="5" t="n">
        <v>8</v>
      </c>
      <c r="P804" s="5" t="n">
        <v>17.8</v>
      </c>
      <c r="Q804" s="5" t="n">
        <v>6.2</v>
      </c>
      <c r="R804" s="5" t="n">
        <v>3.1</v>
      </c>
      <c r="S804" s="5" t="n">
        <v>3.1</v>
      </c>
      <c r="T804" s="2" t="n">
        <v>12</v>
      </c>
      <c r="U804" s="2" t="inlineStr">
        <is>
          <t>low</t>
        </is>
      </c>
      <c r="V804" s="5" t="n">
        <v>0.4</v>
      </c>
      <c r="W804" s="2" t="inlineStr">
        <is>
          <t>low</t>
        </is>
      </c>
      <c r="X804" s="3" t="inlineStr">
        <is>
          <t>Negligible carbohydrate (&lt;5 g net/serving): GI has little practical meaning, glycemic load is what matters.</t>
        </is>
      </c>
      <c r="Y804" s="3" t="inlineStr">
        <is>
          <t>13% of this dish's available carbohydrate comes from ingredients with a published, measured GI; the rest uses conventional placeholders (see Ingredients sheet)</t>
        </is>
      </c>
      <c r="Z804" s="2" t="n">
        <v>13</v>
      </c>
      <c r="AA804" s="3" t="inlineStr">
        <is>
          <t>vegetarian, gluten-free, low-carb, make-ahead</t>
        </is>
      </c>
      <c r="AB804" s="3" t="inlineStr">
        <is>
          <t>1. Whisk eggs, yogurt, melted butter, sweetener, vanilla.
2. Stir in almond flour, cinnamon, baking powder; fold walnuts.
3. Bake in 10 lined cups at 350°F 18–20 minutes.</t>
        </is>
      </c>
      <c r="AC804" s="4" t="inlineStr">
        <is>
          <t>["Whisk eggs, yogurt, melted butter, sweetener, vanilla.", "Stir in almond flour, cinnamon, baking powder; fold walnuts.", "Bake in 10 lined cups at 350°F 18–20 minutes."]</t>
        </is>
      </c>
    </row>
    <row r="805" ht="96" customHeight="1">
      <c r="A805" s="2" t="inlineStr">
        <is>
          <t>DB-0804</t>
        </is>
      </c>
      <c r="B805" s="3" t="inlineStr">
        <is>
          <t>Cherry Almond Yogurt Popsicles</t>
        </is>
      </c>
      <c r="C805" s="4" t="inlineStr">
        <is>
          <t>Dessert</t>
        </is>
      </c>
      <c r="D805" s="4" t="inlineStr">
        <is>
          <t>American</t>
        </is>
      </c>
      <c r="E805" s="2" t="n">
        <v>6</v>
      </c>
      <c r="F805" s="2" t="n">
        <v>10</v>
      </c>
      <c r="G805" s="2" t="n">
        <v>0</v>
      </c>
      <c r="H805" s="2" t="n">
        <v>10</v>
      </c>
      <c r="I805" s="4" t="inlineStr">
        <is>
          <t>cherry-almond-yogurt-popsicles.jpg</t>
        </is>
      </c>
      <c r="J805" s="3" t="inlineStr">
        <is>
          <t>Cherry Almond Yogurt Popsicles, healthy food photography, plated, natural light</t>
        </is>
      </c>
      <c r="K805" s="4" t="inlineStr"/>
      <c r="L805" s="3" t="inlineStr">
        <is>
          <t>Cherries, pitted — 200 g (7.1 oz)
Greek yogurt, plain 2% — 300 g (10.6 oz)
Almond milk, unsweetened — 100 g (3.5 oz)
Monk fruit/erythritol sweetener — 15 g (0.5 oz)
Vanilla extract — 3 g (0.1 oz)
Almonds — 20 g (0.7 oz)</t>
        </is>
      </c>
      <c r="M805" s="4" t="inlineStr">
        <is>
          <t>[{"ingredient_id": "cherries", "name": "Cherries, pitted", "grams": 200.0, "note": ""}, {"ingredient_id": "greek_yogurt", "name": "Greek yogurt, plain 2%", "grams": 300.0, "note": ""}, {"ingredient_id": "almond_milk", "name": "Almond milk, unsweetened", "grams": 100.0, "note": ""}, {"ingredient_id": "monk_fruit_sweetener", "name": "Monk fruit/erythritol sweetener", "grams": 15.0, "note": ""}, {"ingredient_id": "vanilla_extract", "name": "Vanilla extract", "grams": 3.0, "note": ""}, {"ingredient_id": "almonds", "name": "Almonds", "grams": 20.0, "note": ""}]</t>
        </is>
      </c>
      <c r="N805" s="2" t="n">
        <v>81</v>
      </c>
      <c r="O805" s="5" t="n">
        <v>6.2</v>
      </c>
      <c r="P805" s="5" t="n">
        <v>2.9</v>
      </c>
      <c r="Q805" s="5" t="n">
        <v>8.199999999999999</v>
      </c>
      <c r="R805" s="5" t="n">
        <v>1.1</v>
      </c>
      <c r="S805" s="5" t="n">
        <v>7.1</v>
      </c>
      <c r="T805" s="2" t="n">
        <v>23</v>
      </c>
      <c r="U805" s="2" t="inlineStr">
        <is>
          <t>low</t>
        </is>
      </c>
      <c r="V805" s="5" t="n">
        <v>1.6</v>
      </c>
      <c r="W805" s="2" t="inlineStr">
        <is>
          <t>low</t>
        </is>
      </c>
      <c r="X805" s="3" t="inlineStr"/>
      <c r="Y805" s="3" t="inlineStr">
        <is>
          <t>93% of this dish's available carbohydrate comes from ingredients with a published, measured GI; the rest uses conventional placeholders (see Ingredients sheet)</t>
        </is>
      </c>
      <c r="Z805" s="2" t="n">
        <v>93</v>
      </c>
      <c r="AA805" s="3" t="inlineStr">
        <is>
          <t>vegetarian, gluten-free, low-carb, make-ahead</t>
        </is>
      </c>
      <c r="AB805" s="3" t="inlineStr">
        <is>
          <t>1. Blend cherries with half the yogurt.
2. Layer with remaining yogurt mixed with almond milk, sweetener, vanilla in molds; add chopped almonds.
3. Freeze 6 hours.</t>
        </is>
      </c>
      <c r="AC805" s="4" t="inlineStr">
        <is>
          <t>["Blend cherries with half the yogurt.", "Layer with remaining yogurt mixed with almond milk, sweetener, vanilla in molds; add chopped almonds.", "Freeze 6 hours."]</t>
        </is>
      </c>
    </row>
    <row r="806" ht="96" customHeight="1">
      <c r="A806" s="2" t="inlineStr">
        <is>
          <t>DB-0805</t>
        </is>
      </c>
      <c r="B806" s="3" t="inlineStr">
        <is>
          <t>Chocolate Hazelnut Spread (Homemade) with Strawberries</t>
        </is>
      </c>
      <c r="C806" s="4" t="inlineStr">
        <is>
          <t>Dessert</t>
        </is>
      </c>
      <c r="D806" s="4" t="inlineStr">
        <is>
          <t>Italian</t>
        </is>
      </c>
      <c r="E806" s="2" t="n">
        <v>8</v>
      </c>
      <c r="F806" s="2" t="n">
        <v>10</v>
      </c>
      <c r="G806" s="2" t="n">
        <v>10</v>
      </c>
      <c r="H806" s="2" t="n">
        <v>20</v>
      </c>
      <c r="I806" s="4" t="inlineStr">
        <is>
          <t>chocolate-hazelnut-spread-homemade-with-strawberries.jpg</t>
        </is>
      </c>
      <c r="J806" s="3" t="inlineStr">
        <is>
          <t>Chocolate Hazelnut Spread (Homemade) with Strawberries, healthy food photography, plated, natural light</t>
        </is>
      </c>
      <c r="K806" s="4" t="inlineStr"/>
      <c r="L806" s="3" t="inlineStr">
        <is>
          <t>Hazelnuts — 200 g (7.1 oz)
Cocoa powder, unsweetened — 25 g (0.9 oz)
Monk fruit/erythritol sweetener — 40 g (1.4 oz)
Coconut oil — 15 g (0.5 oz)
Vanilla extract — 3 g (0.1 oz)
Salt — 0.5 g (0.0 oz)
Strawberries — 400 g (14.1 oz)</t>
        </is>
      </c>
      <c r="M806" s="4" t="inlineStr">
        <is>
          <t>[{"ingredient_id": "hazelnuts", "name": "Hazelnuts", "grams": 200.0, "note": ""}, {"ingredient_id": "cocoa_powder", "name": "Cocoa powder, unsweetened", "grams": 25.0, "note": ""}, {"ingredient_id": "monk_fruit_sweetener", "name": "Monk fruit/erythritol sweetener", "grams": 40.0, "note": ""}, {"ingredient_id": "coconut_oil", "name": "Coconut oil", "grams": 15.0, "note": ""}, {"ingredient_id": "vanilla_extract", "name": "Vanilla extract", "grams": 3.0, "note": ""}, {"ingredient_id": "salt", "name": "Salt", "grams": 0.5, "note": ""}, {"ingredient_id": "strawberries", "name": "Strawberries", "grams": 400.0, "note": ""}]</t>
        </is>
      </c>
      <c r="N806" s="2" t="n">
        <v>197</v>
      </c>
      <c r="O806" s="5" t="n">
        <v>4.7</v>
      </c>
      <c r="P806" s="5" t="n">
        <v>17.7</v>
      </c>
      <c r="Q806" s="5" t="n">
        <v>10</v>
      </c>
      <c r="R806" s="5" t="n">
        <v>4.5</v>
      </c>
      <c r="S806" s="5" t="n">
        <v>5.5</v>
      </c>
      <c r="T806" s="2" t="n">
        <v>29</v>
      </c>
      <c r="U806" s="2" t="inlineStr">
        <is>
          <t>low</t>
        </is>
      </c>
      <c r="V806" s="5" t="n">
        <v>1.6</v>
      </c>
      <c r="W806" s="2" t="inlineStr">
        <is>
          <t>low</t>
        </is>
      </c>
      <c r="X806" s="3" t="inlineStr"/>
      <c r="Y806" s="3" t="inlineStr">
        <is>
          <t>52% of this dish's available carbohydrate comes from ingredients with a published, measured GI; the rest uses conventional placeholders (see Ingredients sheet)</t>
        </is>
      </c>
      <c r="Z806" s="2" t="n">
        <v>52</v>
      </c>
      <c r="AA806" s="3" t="inlineStr">
        <is>
          <t>vegan, gluten-free, dairy-free, low-carb, make-ahead</t>
        </is>
      </c>
      <c r="AB806" s="3" t="inlineStr">
        <is>
          <t>1. Roast hazelnuts at 350°F 10 minutes; rub off skins.
2. Blend to butter; add cocoa, sweetener, coconut oil, vanilla, salt.
3. Serve 2 tbsp per person with strawberries.</t>
        </is>
      </c>
      <c r="AC806" s="4" t="inlineStr">
        <is>
          <t>["Roast hazelnuts at 350°F 10 minutes; rub off skins.", "Blend to butter; add cocoa, sweetener, coconut oil, vanilla, salt.", "Serve 2 tbsp per person with strawberries."]</t>
        </is>
      </c>
    </row>
    <row r="807" ht="96" customHeight="1">
      <c r="A807" s="2" t="inlineStr">
        <is>
          <t>DB-0806</t>
        </is>
      </c>
      <c r="B807" s="3" t="inlineStr">
        <is>
          <t>Tiramisu Cups (Yogurt &amp; Almond Cake)</t>
        </is>
      </c>
      <c r="C807" s="4" t="inlineStr">
        <is>
          <t>Dessert</t>
        </is>
      </c>
      <c r="D807" s="4" t="inlineStr">
        <is>
          <t>Italian</t>
        </is>
      </c>
      <c r="E807" s="2" t="n">
        <v>4</v>
      </c>
      <c r="F807" s="2" t="n">
        <v>15</v>
      </c>
      <c r="G807" s="2" t="n">
        <v>15</v>
      </c>
      <c r="H807" s="2" t="n">
        <v>30</v>
      </c>
      <c r="I807" s="4" t="inlineStr">
        <is>
          <t>tiramisu-cups-yogurt-and-almond-cake.jpg</t>
        </is>
      </c>
      <c r="J807" s="3" t="inlineStr">
        <is>
          <t>Tiramisu Cups (Yogurt &amp; Almond Cake), healthy food photography, plated, natural light</t>
        </is>
      </c>
      <c r="K807" s="4" t="inlineStr"/>
      <c r="L807" s="3" t="inlineStr">
        <is>
          <t>Almond flour — 80 g (2.8 oz)
Egg, large (50 g each) — 100 g (3.5 oz)
Monk fruit/erythritol sweetener — 40 g (1.4 oz)
Baking powder — 3 g (0.1 oz)
Brewed coffee / espresso — 100 g (3.5 oz) [espresso]
Greek yogurt, plain 2% — 250 g (8.8 oz)
Cream cheese — 80 g (2.8 oz)
Vanilla extract — 3 g (0.1 oz)
Cocoa powder, unsweetened — 6 g (0.2 oz)</t>
        </is>
      </c>
      <c r="M807" s="4" t="inlineStr">
        <is>
          <t>[{"ingredient_id": "almond_flour", "name": "Almond flour", "grams": 80.0, "note": ""}, {"ingredient_id": "egg", "name": "Egg, large (50 g each)", "grams": 100.0, "note": ""}, {"ingredient_id": "monk_fruit_sweetener", "name": "Monk fruit/erythritol sweetener", "grams": 40.0, "note": ""}, {"ingredient_id": "baking_powder", "name": "Baking powder", "grams": 3.0, "note": ""}, {"ingredient_id": "coffee", "name": "Brewed coffee / espresso", "grams": 100.0, "note": "espresso"}, {"ingredient_id": "greek_yogurt", "name": "Greek yogurt, plain 2%", "grams": 250.0, "note": ""}, {"ingredient_id": "cream_cheese", "name": "Cream cheese", "grams": 80.0, "note": ""}, {"ingredient_id": "vanilla_extract", "name": "Vanilla extract", "grams": 3.0, "note": ""}, {"ingredient_id": "cocoa_powder", "name": "Cocoa powder, unsweetened", "grams": 6.0, "note": ""}]</t>
        </is>
      </c>
      <c r="N807" s="2" t="n">
        <v>274</v>
      </c>
      <c r="O807" s="5" t="n">
        <v>15.1</v>
      </c>
      <c r="P807" s="5" t="n">
        <v>20.6</v>
      </c>
      <c r="Q807" s="5" t="n">
        <v>8.9</v>
      </c>
      <c r="R807" s="5" t="n">
        <v>2.9</v>
      </c>
      <c r="S807" s="5" t="n">
        <v>6</v>
      </c>
      <c r="T807" s="2" t="n">
        <v>10</v>
      </c>
      <c r="U807" s="2" t="inlineStr">
        <is>
          <t>low</t>
        </is>
      </c>
      <c r="V807" s="5" t="n">
        <v>0.6</v>
      </c>
      <c r="W807" s="2" t="inlineStr">
        <is>
          <t>low</t>
        </is>
      </c>
      <c r="X807" s="3" t="inlineStr"/>
      <c r="Y807" s="3" t="inlineStr">
        <is>
          <t>42% of this dish's available carbohydrate comes from ingredients with a published, measured GI; the rest uses conventional placeholders (see Ingredients sheet)</t>
        </is>
      </c>
      <c r="Z807" s="2" t="n">
        <v>42</v>
      </c>
      <c r="AA807" s="3" t="inlineStr">
        <is>
          <t>vegetarian, gluten-free, low-carb, make-ahead</t>
        </is>
      </c>
      <c r="AB807" s="3" t="inlineStr">
        <is>
          <t>1. Mix almond flour, eggs, half the sweetener, baking powder; bake thin at 350°F 12 minutes; cube.
2. Whip yogurt, cream cheese, remaining sweetener, vanilla.
3. Layer cake soaked in espresso with cream in cups; dust cocoa; chill 2 hours.</t>
        </is>
      </c>
      <c r="AC807" s="4" t="inlineStr">
        <is>
          <t>["Mix almond flour, eggs, half the sweetener, baking powder; bake thin at 350°F 12 minutes; cube.", "Whip yogurt, cream cheese, remaining sweetener, vanilla.", "Layer cake soaked in espresso with cream in cups; dust cocoa; chill 2 hours."]</t>
        </is>
      </c>
    </row>
    <row r="808" ht="96" customHeight="1">
      <c r="A808" s="2" t="inlineStr">
        <is>
          <t>DB-0807</t>
        </is>
      </c>
      <c r="B808" s="3" t="inlineStr">
        <is>
          <t>Kiwi &amp; Berry Fruit Salad with Mint</t>
        </is>
      </c>
      <c r="C808" s="4" t="inlineStr">
        <is>
          <t>Dessert</t>
        </is>
      </c>
      <c r="D808" s="4" t="inlineStr">
        <is>
          <t>American</t>
        </is>
      </c>
      <c r="E808" s="2" t="n">
        <v>4</v>
      </c>
      <c r="F808" s="2" t="n">
        <v>10</v>
      </c>
      <c r="G808" s="2" t="n">
        <v>0</v>
      </c>
      <c r="H808" s="2" t="n">
        <v>10</v>
      </c>
      <c r="I808" s="4" t="inlineStr">
        <is>
          <t>kiwi-and-berry-fruit-salad-with-mint.jpg</t>
        </is>
      </c>
      <c r="J808" s="3" t="inlineStr">
        <is>
          <t>Kiwi &amp; Berry Fruit Salad with Mint, healthy food photography, plated, natural light</t>
        </is>
      </c>
      <c r="K808" s="4" t="inlineStr"/>
      <c r="L808" s="3" t="inlineStr">
        <is>
          <t>Kiwi — 200 g (7.1 oz)
Strawberries — 200 g (7.1 oz)
Blueberries — 100 g (3.5 oz)
Fresh mint — 5 g (0.2 oz)
Lime — 20 g (0.7 oz)
Greek yogurt, plain 2% — 120 g (4.2 oz)</t>
        </is>
      </c>
      <c r="M808" s="4" t="inlineStr">
        <is>
          <t>[{"ingredient_id": "kiwi", "name": "Kiwi", "grams": 200.0, "note": ""}, {"ingredient_id": "strawberries", "name": "Strawberries", "grams": 200.0, "note": ""}, {"ingredient_id": "blueberries", "name": "Blueberries", "grams": 100.0, "note": ""}, {"ingredient_id": "mint", "name": "Fresh mint", "grams": 5.0, "note": ""}, {"ingredient_id": "lime", "name": "Lime", "grams": 20.0, "note": ""}, {"ingredient_id": "greek_yogurt", "name": "Greek yogurt, plain 2%", "grams": 120.0, "note": ""}]</t>
        </is>
      </c>
      <c r="N808" s="2" t="n">
        <v>85</v>
      </c>
      <c r="O808" s="5" t="n">
        <v>4.2</v>
      </c>
      <c r="P808" s="5" t="n">
        <v>1.1</v>
      </c>
      <c r="Q808" s="5" t="n">
        <v>16.7</v>
      </c>
      <c r="R808" s="5" t="n">
        <v>3.3</v>
      </c>
      <c r="S808" s="5" t="n">
        <v>13.3</v>
      </c>
      <c r="T808" s="2" t="n">
        <v>44</v>
      </c>
      <c r="U808" s="2" t="inlineStr">
        <is>
          <t>low</t>
        </is>
      </c>
      <c r="V808" s="5" t="n">
        <v>5.9</v>
      </c>
      <c r="W808" s="2" t="inlineStr">
        <is>
          <t>low</t>
        </is>
      </c>
      <c r="X808" s="3" t="inlineStr"/>
      <c r="Y808" s="3" t="inlineStr">
        <is>
          <t>97% of this dish's available carbohydrate comes from ingredients with a published, measured GI; the rest uses conventional placeholders (see Ingredients sheet)</t>
        </is>
      </c>
      <c r="Z808" s="2" t="n">
        <v>97</v>
      </c>
      <c r="AA808" s="3" t="inlineStr">
        <is>
          <t>vegetarian, gluten-free, nut-free, low-carb, no-cook, quick</t>
        </is>
      </c>
      <c r="AB808" s="3" t="inlineStr">
        <is>
          <t>1. Dice fruit.
2. Toss with lime juice and mint.
3. Serve with a spoonful of yogurt.</t>
        </is>
      </c>
      <c r="AC808" s="4" t="inlineStr">
        <is>
          <t>["Dice fruit.", "Toss with lime juice and mint.", "Serve with a spoonful of yogurt."]</t>
        </is>
      </c>
    </row>
    <row r="809" ht="96" customHeight="1">
      <c r="A809" s="2" t="inlineStr">
        <is>
          <t>DB-0808</t>
        </is>
      </c>
      <c r="B809" s="3" t="inlineStr">
        <is>
          <t>Flourless Chocolate Cake (Small)</t>
        </is>
      </c>
      <c r="C809" s="4" t="inlineStr">
        <is>
          <t>Dessert</t>
        </is>
      </c>
      <c r="D809" s="4" t="inlineStr">
        <is>
          <t>French</t>
        </is>
      </c>
      <c r="E809" s="2" t="n">
        <v>10</v>
      </c>
      <c r="F809" s="2" t="n">
        <v>15</v>
      </c>
      <c r="G809" s="2" t="n">
        <v>30</v>
      </c>
      <c r="H809" s="2" t="n">
        <v>45</v>
      </c>
      <c r="I809" s="4" t="inlineStr">
        <is>
          <t>flourless-chocolate-cake-small.jpg</t>
        </is>
      </c>
      <c r="J809" s="3" t="inlineStr">
        <is>
          <t>Flourless Chocolate Cake (Small), healthy food photography, plated, natural light</t>
        </is>
      </c>
      <c r="K809" s="4" t="inlineStr"/>
      <c r="L809" s="3" t="inlineStr">
        <is>
          <t>Dark chocolate 85% — 170 g (6.0 oz)
Butter — 100 g (3.5 oz)
Egg, large (50 g each) — 200 g (7.1 oz)
Monk fruit/erythritol sweetener — 90 g (3.2 oz)
Cocoa powder, unsweetened — 20 g (0.7 oz)
Vanilla extract — 4 g (0.1 oz)
Salt — 1 g (0.0 oz)
Raspberries — 120 g (4.2 oz)</t>
        </is>
      </c>
      <c r="M809" s="4" t="inlineStr">
        <is>
          <t>[{"ingredient_id": "dark_chocolate", "name": "Dark chocolate 85%", "grams": 170.0, "note": ""}, {"ingredient_id": "butter", "name": "Butter", "grams": 100.0, "note": ""}, {"ingredient_id": "egg", "name": "Egg, large (50 g each)", "grams": 200.0, "note": ""}, {"ingredient_id": "monk_fruit_sweetener", "name": "Monk fruit/erythritol sweetener", "grams": 90.0, "note": ""}, {"ingredient_id": "cocoa_powder", "name": "Cocoa powder, unsweetened", "grams": 20.0, "note": ""}, {"ingredient_id": "vanilla_extract", "name": "Vanilla extract", "grams": 4.0, "note": ""}, {"ingredient_id": "salt", "name": "Salt", "grams": 1.0, "note": ""}, {"ingredient_id": "raspberries", "name": "Raspberries", "grams": 120.0, "note": ""}]</t>
        </is>
      </c>
      <c r="N809" s="2" t="n">
        <v>214</v>
      </c>
      <c r="O809" s="5" t="n">
        <v>5.2</v>
      </c>
      <c r="P809" s="5" t="n">
        <v>18.2</v>
      </c>
      <c r="Q809" s="5" t="n">
        <v>7.9</v>
      </c>
      <c r="R809" s="5" t="n">
        <v>3.5</v>
      </c>
      <c r="S809" s="5" t="n">
        <v>4.4</v>
      </c>
      <c r="T809" s="2" t="n">
        <v>23</v>
      </c>
      <c r="U809" s="2" t="inlineStr">
        <is>
          <t>low</t>
        </is>
      </c>
      <c r="V809" s="5" t="n">
        <v>1</v>
      </c>
      <c r="W809" s="2" t="inlineStr">
        <is>
          <t>low</t>
        </is>
      </c>
      <c r="X809" s="3" t="inlineStr">
        <is>
          <t>Negligible carbohydrate (&lt;5 g net/serving): GI has little practical meaning, glycemic load is what matters.</t>
        </is>
      </c>
      <c r="Y809" s="3" t="inlineStr">
        <is>
          <t>69% of this dish's available carbohydrate comes from ingredients with a published, measured GI; the rest uses conventional placeholders (see Ingredients sheet)</t>
        </is>
      </c>
      <c r="Z809" s="2" t="n">
        <v>69</v>
      </c>
      <c r="AA809" s="3" t="inlineStr">
        <is>
          <t>vegetarian, gluten-free, nut-free, low-carb, make-ahead</t>
        </is>
      </c>
      <c r="AB809" s="3" t="inlineStr">
        <is>
          <t>1. Melt chocolate and butter; whisk in sweetener, eggs, cocoa, vanilla, salt.
2. Bake in a lined 8-inch pan at 350°F 25–30 minutes.
3. Cool; serve thin slices with raspberries.</t>
        </is>
      </c>
      <c r="AC809" s="4" t="inlineStr">
        <is>
          <t>["Melt chocolate and butter; whisk in sweetener, eggs, cocoa, vanilla, salt.", "Bake in a lined 8-inch pan at 350°F 25–30 minutes.", "Cool; serve thin slices with raspberries."]</t>
        </is>
      </c>
    </row>
    <row r="810" ht="96" customHeight="1">
      <c r="A810" s="2" t="inlineStr">
        <is>
          <t>DB-0809</t>
        </is>
      </c>
      <c r="B810" s="3" t="inlineStr">
        <is>
          <t>Pumpkin Chia Pudding</t>
        </is>
      </c>
      <c r="C810" s="4" t="inlineStr">
        <is>
          <t>Dessert</t>
        </is>
      </c>
      <c r="D810" s="4" t="inlineStr">
        <is>
          <t>American</t>
        </is>
      </c>
      <c r="E810" s="2" t="n">
        <v>3</v>
      </c>
      <c r="F810" s="2" t="n">
        <v>5</v>
      </c>
      <c r="G810" s="2" t="n">
        <v>0</v>
      </c>
      <c r="H810" s="2" t="n">
        <v>5</v>
      </c>
      <c r="I810" s="4" t="inlineStr">
        <is>
          <t>pumpkin-chia-pudding.jpg</t>
        </is>
      </c>
      <c r="J810" s="3" t="inlineStr">
        <is>
          <t>Pumpkin Chia Pudding, healthy food photography, plated, natural light</t>
        </is>
      </c>
      <c r="K810" s="4" t="inlineStr"/>
      <c r="L810" s="3" t="inlineStr">
        <is>
          <t>Chia seeds — 45 g (1.6 oz)
Almond milk, unsweetened — 300 g (10.6 oz)
Pumpkin puree, canned — 120 g (4.2 oz)
Pumpkin pie spice — 3 g (0.1 oz)
Monk fruit/erythritol sweetener — 15 g (0.5 oz)
Vanilla extract — 2 g (0.1 oz)
Pecans — 20 g (0.7 oz)</t>
        </is>
      </c>
      <c r="M810" s="4" t="inlineStr">
        <is>
          <t>[{"ingredient_id": "chia_seeds", "name": "Chia seeds", "grams": 45.0, "note": ""}, {"ingredient_id": "almond_milk", "name": "Almond milk, unsweetened", "grams": 300.0, "note": ""}, {"ingredient_id": "pumpkin_puree", "name": "Pumpkin puree, canned", "grams": 120.0, "note": ""}, {"ingredient_id": "pumpkin_pie_spice", "name": "Pumpkin pie spice", "grams": 3.0, "note": ""}, {"ingredient_id": "monk_fruit_sweetener", "name": "Monk fruit/erythritol sweetener", "grams": 15.0, "note": ""}, {"ingredient_id": "vanilla_extract", "name": "Vanilla extract", "grams": 2.0, "note": ""}, {"ingredient_id": "pecans", "name": "Pecans", "grams": 20.0, "note": ""}]</t>
        </is>
      </c>
      <c r="N810" s="2" t="n">
        <v>153</v>
      </c>
      <c r="O810" s="5" t="n">
        <v>4.2</v>
      </c>
      <c r="P810" s="5" t="n">
        <v>10.7</v>
      </c>
      <c r="Q810" s="5" t="n">
        <v>11.9</v>
      </c>
      <c r="R810" s="5" t="n">
        <v>7.2</v>
      </c>
      <c r="S810" s="5" t="n">
        <v>4.7</v>
      </c>
      <c r="T810" s="2" t="n">
        <v>42</v>
      </c>
      <c r="U810" s="2" t="inlineStr">
        <is>
          <t>low</t>
        </is>
      </c>
      <c r="V810" s="5" t="n">
        <v>2</v>
      </c>
      <c r="W810" s="2" t="inlineStr">
        <is>
          <t>low</t>
        </is>
      </c>
      <c r="X810" s="3" t="inlineStr">
        <is>
          <t>Negligible carbohydrate (&lt;5 g net/serving): GI has little practical meaning, glycemic load is what matters.</t>
        </is>
      </c>
      <c r="Y810" s="3" t="inlineStr">
        <is>
          <t>43% of this dish's available carbohydrate comes from ingredients with a published, measured GI; the rest uses conventional placeholders (see Ingredients sheet)</t>
        </is>
      </c>
      <c r="Z810" s="2" t="n">
        <v>43</v>
      </c>
      <c r="AA810" s="3" t="inlineStr">
        <is>
          <t>vegan, gluten-free, dairy-free, low-carb, high-fiber, make-ahead</t>
        </is>
      </c>
      <c r="AB810" s="3" t="inlineStr">
        <is>
          <t>1. Whisk pumpkin, spice, sweetener, vanilla into almond milk; stir chia.
2. Refrigerate 4 hours.
3. Pecans.</t>
        </is>
      </c>
      <c r="AC810" s="4" t="inlineStr">
        <is>
          <t>["Whisk pumpkin, spice, sweetener, vanilla into almond milk; stir chia.", "Refrigerate 4 hours.", "Pecans."]</t>
        </is>
      </c>
    </row>
    <row r="811" ht="96" customHeight="1">
      <c r="A811" s="2" t="inlineStr">
        <is>
          <t>DB-0810</t>
        </is>
      </c>
      <c r="B811" s="3" t="inlineStr">
        <is>
          <t>Coconut Lime Yogurt Cups</t>
        </is>
      </c>
      <c r="C811" s="4" t="inlineStr">
        <is>
          <t>Dessert</t>
        </is>
      </c>
      <c r="D811" s="4" t="inlineStr">
        <is>
          <t>Tropical</t>
        </is>
      </c>
      <c r="E811" s="2" t="n">
        <v>2</v>
      </c>
      <c r="F811" s="2" t="n">
        <v>5</v>
      </c>
      <c r="G811" s="2" t="n">
        <v>2</v>
      </c>
      <c r="H811" s="2" t="n">
        <v>7</v>
      </c>
      <c r="I811" s="4" t="inlineStr">
        <is>
          <t>coconut-lime-yogurt-cups.jpg</t>
        </is>
      </c>
      <c r="J811" s="3" t="inlineStr">
        <is>
          <t>Coconut Lime Yogurt Cups, healthy food photography, plated, natural light</t>
        </is>
      </c>
      <c r="K811" s="4" t="inlineStr"/>
      <c r="L811" s="3" t="inlineStr">
        <is>
          <t>Greek yogurt, plain 2% — 250 g (8.8 oz)
Coconut, unsweetened shredded — 15 g (0.5 oz)
Lime — 25 g (0.9 oz)
Monk fruit/erythritol sweetener — 8 g (0.3 oz)
Vanilla extract — 2 g (0.1 oz)
Macadamia nuts — 15 g (0.5 oz)</t>
        </is>
      </c>
      <c r="M811" s="4" t="inlineStr">
        <is>
          <t>[{"ingredient_id": "greek_yogurt", "name": "Greek yogurt, plain 2%", "grams": 250.0, "note": ""}, {"ingredient_id": "coconut_shredded", "name": "Coconut, unsweetened shredded", "grams": 15.0, "note": ""}, {"ingredient_id": "lime", "name": "Lime", "grams": 25.0, "note": ""}, {"ingredient_id": "monk_fruit_sweetener", "name": "Monk fruit/erythritol sweetener", "grams": 8.0, "note": ""}, {"ingredient_id": "vanilla_extract", "name": "Vanilla extract", "grams": 2.0, "note": ""}, {"ingredient_id": "macadamia", "name": "Macadamia nuts", "grams": 15.0, "note": ""}]</t>
        </is>
      </c>
      <c r="N811" s="2" t="n">
        <v>201</v>
      </c>
      <c r="O811" s="5" t="n">
        <v>13.7</v>
      </c>
      <c r="P811" s="5" t="n">
        <v>13.1</v>
      </c>
      <c r="Q811" s="5" t="n">
        <v>9.300000000000001</v>
      </c>
      <c r="R811" s="5" t="n">
        <v>2.2</v>
      </c>
      <c r="S811" s="5" t="n">
        <v>7.1</v>
      </c>
      <c r="T811" s="2" t="n">
        <v>15</v>
      </c>
      <c r="U811" s="2" t="inlineStr">
        <is>
          <t>low</t>
        </is>
      </c>
      <c r="V811" s="5" t="n">
        <v>1.1</v>
      </c>
      <c r="W811" s="2" t="inlineStr">
        <is>
          <t>low</t>
        </is>
      </c>
      <c r="X811" s="3" t="inlineStr"/>
      <c r="Y811" s="3" t="inlineStr">
        <is>
          <t>70% of this dish's available carbohydrate comes from ingredients with a published, measured GI; the rest uses conventional placeholders (see Ingredients sheet)</t>
        </is>
      </c>
      <c r="Z811" s="2" t="n">
        <v>70</v>
      </c>
      <c r="AA811" s="3" t="inlineStr">
        <is>
          <t>vegetarian, gluten-free, low-carb, quick</t>
        </is>
      </c>
      <c r="AB811" s="3" t="inlineStr">
        <is>
          <t>1. Toast coconut in a dry pan 2 minutes.
2. Mix yogurt with lime zest and juice, sweetener, vanilla.
3. Top coconut, macadamia.</t>
        </is>
      </c>
      <c r="AC811" s="4" t="inlineStr">
        <is>
          <t>["Toast coconut in a dry pan 2 minutes.", "Mix yogurt with lime zest and juice, sweetener, vanilla.", "Top coconut, macadamia."]</t>
        </is>
      </c>
    </row>
    <row r="812" ht="96" customHeight="1">
      <c r="A812" s="2" t="inlineStr">
        <is>
          <t>DB-0811</t>
        </is>
      </c>
      <c r="B812" s="3" t="inlineStr">
        <is>
          <t>Oatmeal Walnut Cookies</t>
        </is>
      </c>
      <c r="C812" s="4" t="inlineStr">
        <is>
          <t>Dessert</t>
        </is>
      </c>
      <c r="D812" s="4" t="inlineStr">
        <is>
          <t>American</t>
        </is>
      </c>
      <c r="E812" s="2" t="n">
        <v>12</v>
      </c>
      <c r="F812" s="2" t="n">
        <v>10</v>
      </c>
      <c r="G812" s="2" t="n">
        <v>13</v>
      </c>
      <c r="H812" s="2" t="n">
        <v>23</v>
      </c>
      <c r="I812" s="4" t="inlineStr">
        <is>
          <t>oatmeal-walnut-cookies.jpg</t>
        </is>
      </c>
      <c r="J812" s="3" t="inlineStr">
        <is>
          <t>Oatmeal Walnut Cookies, healthy food photography, plated, natural light</t>
        </is>
      </c>
      <c r="K812" s="4" t="inlineStr"/>
      <c r="L812" s="3" t="inlineStr">
        <is>
          <t>Rolled oats, dry — 120 g (4.2 oz)
Almond flour — 80 g (2.8 oz)
Egg, large (50 g each) — 50 g (1.8 oz)
Butter — 50 g (1.8 oz)
Monk fruit/erythritol sweetener — 50 g (1.8 oz)
Ground cinnamon — 3 g (0.1 oz)
Vanilla extract — 3 g (0.1 oz)
Baking soda — 2 g (0.1 oz)
Walnuts — 40 g (1.4 oz)
Salt — 1 g (0.0 oz)</t>
        </is>
      </c>
      <c r="M812" s="4" t="inlineStr">
        <is>
          <t>[{"ingredient_id": "rolled_oats", "name": "Rolled oats, dry", "grams": 120.0, "note": ""}, {"ingredient_id": "almond_flour", "name": "Almond flour", "grams": 80.0, "note": ""}, {"ingredient_id": "egg", "name": "Egg, large (50 g each)", "grams": 50.0, "note": ""}, {"ingredient_id": "butter", "name": "Butter", "grams": 50.0, "note": ""}, {"ingredient_id": "monk_fruit_sweetener", "name": "Monk fruit/erythritol sweetener", "grams": 50.0, "note": ""}, {"ingredient_id": "cinnamon", "name": "Ground cinnamon", "grams": 3.0, "note": ""}, {"ingredient_id": "vanilla_extract", "name": "Vanilla extract", "grams": 3.0, "note": ""}, {"ingredient_id": "baking_soda", "name": "Baking soda", "grams": 2.0, "note": ""}, {"ingredient_id": "walnuts", "name": "Walnuts", "grams": 40.0, "note": ""}, {"ingredient_id": "salt", "name": "Salt", "grams": 1.0, "note": ""}]</t>
        </is>
      </c>
      <c r="N812" s="2" t="n">
        <v>136</v>
      </c>
      <c r="O812" s="5" t="n">
        <v>3.8</v>
      </c>
      <c r="P812" s="5" t="n">
        <v>9.9</v>
      </c>
      <c r="Q812" s="5" t="n">
        <v>8.9</v>
      </c>
      <c r="R812" s="5" t="n">
        <v>2.2</v>
      </c>
      <c r="S812" s="5" t="n">
        <v>6.8</v>
      </c>
      <c r="T812" s="2" t="n">
        <v>51</v>
      </c>
      <c r="U812" s="2" t="inlineStr">
        <is>
          <t>low</t>
        </is>
      </c>
      <c r="V812" s="5" t="n">
        <v>3.5</v>
      </c>
      <c r="W812" s="2" t="inlineStr">
        <is>
          <t>low</t>
        </is>
      </c>
      <c r="X812" s="3" t="inlineStr"/>
      <c r="Y812" s="3" t="inlineStr">
        <is>
          <t>86% of this dish's available carbohydrate comes from ingredients with a published, measured GI; the rest uses conventional placeholders (see Ingredients sheet)</t>
        </is>
      </c>
      <c r="Z812" s="2" t="n">
        <v>86</v>
      </c>
      <c r="AA812" s="3" t="inlineStr">
        <is>
          <t>vegetarian, low-carb, make-ahead</t>
        </is>
      </c>
      <c r="AB812" s="3" t="inlineStr">
        <is>
          <t>1. Cream butter and sweetener; add egg, vanilla.
2. Stir in oats, almond flour, cinnamon, baking soda, salt, walnuts.
3. Bake 12 cookies at 350°F 12–13 minutes.</t>
        </is>
      </c>
      <c r="AC812" s="4" t="inlineStr">
        <is>
          <t>["Cream butter and sweetener; add egg, vanilla.", "Stir in oats, almond flour, cinnamon, baking soda, salt, walnuts.", "Bake 12 cookies at 350°F 12–13 minutes."]</t>
        </is>
      </c>
    </row>
    <row r="813" ht="96" customHeight="1">
      <c r="A813" s="2" t="inlineStr">
        <is>
          <t>DB-0812</t>
        </is>
      </c>
      <c r="B813" s="3" t="inlineStr">
        <is>
          <t>Strawberry Cheesecake Protein Fluff</t>
        </is>
      </c>
      <c r="C813" s="4" t="inlineStr">
        <is>
          <t>Dessert</t>
        </is>
      </c>
      <c r="D813" s="4" t="inlineStr">
        <is>
          <t>American</t>
        </is>
      </c>
      <c r="E813" s="2" t="n">
        <v>2</v>
      </c>
      <c r="F813" s="2" t="n">
        <v>5</v>
      </c>
      <c r="G813" s="2" t="n">
        <v>0</v>
      </c>
      <c r="H813" s="2" t="n">
        <v>5</v>
      </c>
      <c r="I813" s="4" t="inlineStr">
        <is>
          <t>strawberry-cheesecake-protein-fluff.jpg</t>
        </is>
      </c>
      <c r="J813" s="3" t="inlineStr">
        <is>
          <t>Strawberry Cheesecake Protein Fluff, healthy food photography, plated, natural light</t>
        </is>
      </c>
      <c r="K813" s="4" t="inlineStr"/>
      <c r="L813" s="3" t="inlineStr">
        <is>
          <t>Cottage cheese, low-fat — 200 g (7.1 oz)
Cream cheese — 30 g (1.1 oz)
Strawberries — 120 g (4.2 oz)
Whey protein powder, unsweetened — 20 g (0.7 oz)
Monk fruit/erythritol sweetener — 8 g (0.3 oz)
Vanilla extract — 2 g (0.1 oz)</t>
        </is>
      </c>
      <c r="M813" s="4" t="inlineStr">
        <is>
          <t>[{"ingredient_id": "cottage_cheese", "name": "Cottage cheese, low-fat", "grams": 200.0, "note": ""}, {"ingredient_id": "cream_cheese", "name": "Cream cheese", "grams": 30.0, "note": ""}, {"ingredient_id": "strawberries", "name": "Strawberries", "grams": 120.0, "note": ""}, {"ingredient_id": "whey_protein", "name": "Whey protein powder, unsweetened", "grams": 20.0, "note": ""}, {"ingredient_id": "monk_fruit_sweetener", "name": "Monk fruit/erythritol sweetener", "grams": 8.0, "note": ""}, {"ingredient_id": "vanilla_extract", "name": "Vanilla extract", "grams": 2.0, "note": ""}]</t>
        </is>
      </c>
      <c r="N813" s="2" t="n">
        <v>195</v>
      </c>
      <c r="O813" s="5" t="n">
        <v>20.1</v>
      </c>
      <c r="P813" s="5" t="n">
        <v>8.1</v>
      </c>
      <c r="Q813" s="5" t="n">
        <v>10.4</v>
      </c>
      <c r="R813" s="5" t="n">
        <v>1.3</v>
      </c>
      <c r="S813" s="5" t="n">
        <v>9.1</v>
      </c>
      <c r="T813" s="2" t="n">
        <v>22</v>
      </c>
      <c r="U813" s="2" t="inlineStr">
        <is>
          <t>low</t>
        </is>
      </c>
      <c r="V813" s="5" t="n">
        <v>2</v>
      </c>
      <c r="W813" s="2" t="inlineStr">
        <is>
          <t>low</t>
        </is>
      </c>
      <c r="X813" s="3" t="inlineStr"/>
      <c r="Y813" s="3" t="inlineStr">
        <is>
          <t>45% of this dish's available carbohydrate comes from ingredients with a published, measured GI; the rest uses conventional placeholders (see Ingredients sheet)</t>
        </is>
      </c>
      <c r="Z813" s="2" t="n">
        <v>45</v>
      </c>
      <c r="AA813" s="3" t="inlineStr">
        <is>
          <t>vegetarian, gluten-free, nut-free, low-carb, no-cook</t>
        </is>
      </c>
      <c r="AB813" s="3" t="inlineStr">
        <is>
          <t>1. Blend cottage cheese, cream cheese, protein, sweetener, vanilla until fluffy.
2. Fold in diced strawberries.
3. Chill 20 minutes.</t>
        </is>
      </c>
      <c r="AC813" s="4" t="inlineStr">
        <is>
          <t>["Blend cottage cheese, cream cheese, protein, sweetener, vanilla until fluffy.", "Fold in diced strawberries.", "Chill 20 minutes."]</t>
        </is>
      </c>
    </row>
    <row r="814" ht="96" customHeight="1">
      <c r="A814" s="2" t="inlineStr">
        <is>
          <t>DB-0813</t>
        </is>
      </c>
      <c r="B814" s="3" t="inlineStr">
        <is>
          <t>Dark Chocolate Almond Clusters</t>
        </is>
      </c>
      <c r="C814" s="4" t="inlineStr">
        <is>
          <t>Dessert</t>
        </is>
      </c>
      <c r="D814" s="4" t="inlineStr">
        <is>
          <t>American</t>
        </is>
      </c>
      <c r="E814" s="2" t="n">
        <v>8</v>
      </c>
      <c r="F814" s="2" t="n">
        <v>10</v>
      </c>
      <c r="G814" s="2" t="n">
        <v>3</v>
      </c>
      <c r="H814" s="2" t="n">
        <v>13</v>
      </c>
      <c r="I814" s="4" t="inlineStr">
        <is>
          <t>dark-chocolate-almond-clusters.jpg</t>
        </is>
      </c>
      <c r="J814" s="3" t="inlineStr">
        <is>
          <t>Dark Chocolate Almond Clusters, healthy food photography, plated, natural light</t>
        </is>
      </c>
      <c r="K814" s="4" t="inlineStr"/>
      <c r="L814" s="3" t="inlineStr">
        <is>
          <t>Dark chocolate 85% — 100 g (3.5 oz)
Almonds — 120 g (4.2 oz)
Coconut, unsweetened shredded — 10 g (0.4 oz)
Salt — 0.5 g (0.0 oz)</t>
        </is>
      </c>
      <c r="M814" s="4" t="inlineStr">
        <is>
          <t>[{"ingredient_id": "dark_chocolate", "name": "Dark chocolate 85%", "grams": 100.0, "note": ""}, {"ingredient_id": "almonds", "name": "Almonds", "grams": 120.0, "note": ""}, {"ingredient_id": "coconut_shredded", "name": "Coconut, unsweetened shredded", "grams": 10.0, "note": ""}, {"ingredient_id": "salt", "name": "Salt", "grams": 0.5, "note": ""}]</t>
        </is>
      </c>
      <c r="N814" s="2" t="n">
        <v>170</v>
      </c>
      <c r="O814" s="5" t="n">
        <v>4.7</v>
      </c>
      <c r="P814" s="5" t="n">
        <v>14.1</v>
      </c>
      <c r="Q814" s="5" t="n">
        <v>7.3</v>
      </c>
      <c r="R814" s="5" t="n">
        <v>3.6</v>
      </c>
      <c r="S814" s="5" t="n">
        <v>3.8</v>
      </c>
      <c r="T814" s="2" t="n">
        <v>21</v>
      </c>
      <c r="U814" s="2" t="inlineStr">
        <is>
          <t>low</t>
        </is>
      </c>
      <c r="V814" s="5" t="n">
        <v>0.8</v>
      </c>
      <c r="W814" s="2" t="inlineStr">
        <is>
          <t>low</t>
        </is>
      </c>
      <c r="X814" s="3" t="inlineStr">
        <is>
          <t>Negligible carbohydrate (&lt;5 g net/serving): GI has little practical meaning, glycemic load is what matters.</t>
        </is>
      </c>
      <c r="Y814" s="3" t="inlineStr">
        <is>
          <t>60% of this dish's available carbohydrate comes from ingredients with a published, measured GI; the rest uses conventional placeholders (see Ingredients sheet)</t>
        </is>
      </c>
      <c r="Z814" s="2" t="n">
        <v>60</v>
      </c>
      <c r="AA814" s="3" t="inlineStr">
        <is>
          <t>vegan, gluten-free, dairy-free, low-carb, make-ahead</t>
        </is>
      </c>
      <c r="AB814" s="3" t="inlineStr">
        <is>
          <t>1. Melt chocolate; stir in almonds.
2. Spoon 8 clusters on parchment; sprinkle coconut and salt.
3. Chill 20 minutes.</t>
        </is>
      </c>
      <c r="AC814" s="4" t="inlineStr">
        <is>
          <t>["Melt chocolate; stir in almonds.", "Spoon 8 clusters on parchment; sprinkle coconut and salt.", "Chill 20 minutes."]</t>
        </is>
      </c>
    </row>
    <row r="815" ht="96" customHeight="1">
      <c r="A815" s="2" t="inlineStr">
        <is>
          <t>DB-0814</t>
        </is>
      </c>
      <c r="B815" s="3" t="inlineStr">
        <is>
          <t>Lemon Ricotta Mousse</t>
        </is>
      </c>
      <c r="C815" s="4" t="inlineStr">
        <is>
          <t>Dessert</t>
        </is>
      </c>
      <c r="D815" s="4" t="inlineStr">
        <is>
          <t>Italian</t>
        </is>
      </c>
      <c r="E815" s="2" t="n">
        <v>4</v>
      </c>
      <c r="F815" s="2" t="n">
        <v>10</v>
      </c>
      <c r="G815" s="2" t="n">
        <v>0</v>
      </c>
      <c r="H815" s="2" t="n">
        <v>10</v>
      </c>
      <c r="I815" s="4" t="inlineStr">
        <is>
          <t>lemon-ricotta-mousse.jpg</t>
        </is>
      </c>
      <c r="J815" s="3" t="inlineStr">
        <is>
          <t>Lemon Ricotta Mousse, healthy food photography, plated, natural light</t>
        </is>
      </c>
      <c r="K815" s="4" t="inlineStr"/>
      <c r="L815" s="3" t="inlineStr">
        <is>
          <t>Ricotta, part-skim — 350 g (12.3 oz)
Heavy cream — 80 g (2.8 oz)
Lemon (with juice &amp; zest) — 40 g (1.4 oz) [zest + juice]
Monk fruit/erythritol sweetener — 25 g (0.9 oz)
Vanilla extract — 2 g (0.1 oz)
Blueberries — 100 g (3.5 oz)</t>
        </is>
      </c>
      <c r="M815" s="4" t="inlineStr">
        <is>
          <t>[{"ingredient_id": "ricotta", "name": "Ricotta, part-skim", "grams": 350.0, "note": ""}, {"ingredient_id": "heavy_cream", "name": "Heavy cream", "grams": 80.0, "note": ""}, {"ingredient_id": "lemon", "name": "Lemon (with juice &amp; zest)", "grams": 40.0, "note": "zest + juice"}, {"ingredient_id": "monk_fruit_sweetener", "name": "Monk fruit/erythritol sweetener", "grams": 25.0, "note": ""}, {"ingredient_id": "vanilla_extract", "name": "Vanilla extract", "grams": 2.0, "note": ""}, {"ingredient_id": "blueberries", "name": "Blueberries", "grams": 100.0, "note": ""}]</t>
        </is>
      </c>
      <c r="N815" s="2" t="n">
        <v>207</v>
      </c>
      <c r="O815" s="5" t="n">
        <v>10.3</v>
      </c>
      <c r="P815" s="5" t="n">
        <v>14.3</v>
      </c>
      <c r="Q815" s="5" t="n">
        <v>9.6</v>
      </c>
      <c r="R815" s="5" t="n">
        <v>0.9</v>
      </c>
      <c r="S815" s="5" t="n">
        <v>8.699999999999999</v>
      </c>
      <c r="T815" s="2" t="n">
        <v>27</v>
      </c>
      <c r="U815" s="2" t="inlineStr">
        <is>
          <t>low</t>
        </is>
      </c>
      <c r="V815" s="5" t="n">
        <v>2.4</v>
      </c>
      <c r="W815" s="2" t="inlineStr">
        <is>
          <t>low</t>
        </is>
      </c>
      <c r="X815" s="3" t="inlineStr"/>
      <c r="Y815" s="3" t="inlineStr">
        <is>
          <t>35% of this dish's available carbohydrate comes from ingredients with a published, measured GI; the rest uses conventional placeholders (see Ingredients sheet)</t>
        </is>
      </c>
      <c r="Z815" s="2" t="n">
        <v>35</v>
      </c>
      <c r="AA815" s="3" t="inlineStr">
        <is>
          <t>vegetarian, gluten-free, nut-free, low-carb, no-cook</t>
        </is>
      </c>
      <c r="AB815" s="3" t="inlineStr">
        <is>
          <t>1. Whip cream to soft peaks.
2. Whisk ricotta with lemon, sweetener, vanilla; fold in cream.
3. Chill 1 hour; blueberries.</t>
        </is>
      </c>
      <c r="AC815" s="4" t="inlineStr">
        <is>
          <t>["Whip cream to soft peaks.", "Whisk ricotta with lemon, sweetener, vanilla; fold in cream.", "Chill 1 hour; blueberries."]</t>
        </is>
      </c>
    </row>
    <row r="816" ht="96" customHeight="1">
      <c r="A816" s="2" t="inlineStr">
        <is>
          <t>DB-0815</t>
        </is>
      </c>
      <c r="B816" s="3" t="inlineStr">
        <is>
          <t>Cinnamon Roasted Pear Slices with Walnuts</t>
        </is>
      </c>
      <c r="C816" s="4" t="inlineStr">
        <is>
          <t>Dessert</t>
        </is>
      </c>
      <c r="D816" s="4" t="inlineStr">
        <is>
          <t>American</t>
        </is>
      </c>
      <c r="E816" s="2" t="n">
        <v>4</v>
      </c>
      <c r="F816" s="2" t="n">
        <v>5</v>
      </c>
      <c r="G816" s="2" t="n">
        <v>20</v>
      </c>
      <c r="H816" s="2" t="n">
        <v>25</v>
      </c>
      <c r="I816" s="4" t="inlineStr">
        <is>
          <t>cinnamon-roasted-pear-slices-with-walnuts.jpg</t>
        </is>
      </c>
      <c r="J816" s="3" t="inlineStr">
        <is>
          <t>Cinnamon Roasted Pear Slices with Walnuts, healthy food photography, plated, natural light</t>
        </is>
      </c>
      <c r="K816" s="4" t="inlineStr"/>
      <c r="L816" s="3" t="inlineStr">
        <is>
          <t>Pear — 450 g (15.9 oz)
Ground cinnamon — 2 g (0.1 oz)
Coconut oil — 8 g (0.3 oz)
Walnuts — 30 g (1.1 oz)
Greek yogurt, plain 2% — 120 g (4.2 oz)</t>
        </is>
      </c>
      <c r="M816" s="4" t="inlineStr">
        <is>
          <t>[{"ingredient_id": "pear", "name": "Pear", "grams": 450.0, "note": ""}, {"ingredient_id": "cinnamon", "name": "Ground cinnamon", "grams": 2.0, "note": ""}, {"ingredient_id": "coconut_oil", "name": "Coconut oil", "grams": 8.0, "note": ""}, {"ingredient_id": "walnuts", "name": "Walnuts", "grams": 30.0, "note": ""}, {"ingredient_id": "greek_yogurt", "name": "Greek yogurt, plain 2%", "grams": 120.0, "note": ""}]</t>
        </is>
      </c>
      <c r="N816" s="2" t="n">
        <v>154</v>
      </c>
      <c r="O816" s="5" t="n">
        <v>4.6</v>
      </c>
      <c r="P816" s="5" t="n">
        <v>7.6</v>
      </c>
      <c r="Q816" s="5" t="n">
        <v>19.5</v>
      </c>
      <c r="R816" s="5" t="n">
        <v>4.3</v>
      </c>
      <c r="S816" s="5" t="n">
        <v>15.3</v>
      </c>
      <c r="T816" s="2" t="n">
        <v>26</v>
      </c>
      <c r="U816" s="2" t="inlineStr">
        <is>
          <t>low</t>
        </is>
      </c>
      <c r="V816" s="5" t="n">
        <v>4</v>
      </c>
      <c r="W816" s="2" t="inlineStr">
        <is>
          <t>low</t>
        </is>
      </c>
      <c r="X816" s="3" t="inlineStr"/>
      <c r="Y816" s="3" t="inlineStr">
        <is>
          <t>95% of this dish's available carbohydrate comes from ingredients with a published, measured GI; the rest uses conventional placeholders (see Ingredients sheet)</t>
        </is>
      </c>
      <c r="Z816" s="2" t="n">
        <v>95</v>
      </c>
      <c r="AA816" s="3" t="inlineStr">
        <is>
          <t>vegetarian, gluten-free</t>
        </is>
      </c>
      <c r="AB816" s="3" t="inlineStr">
        <is>
          <t>1. Slice pears; toss with coconut oil and cinnamon.
2. Roast at 400°F 18–20 minutes.
3. Serve with yogurt and walnuts.</t>
        </is>
      </c>
      <c r="AC816" s="4" t="inlineStr">
        <is>
          <t>["Slice pears; toss with coconut oil and cinnamon.", "Roast at 400°F 18–20 minutes.", "Serve with yogurt and walnuts."]</t>
        </is>
      </c>
    </row>
    <row r="817" ht="96" customHeight="1">
      <c r="A817" s="2" t="inlineStr">
        <is>
          <t>DB-0816</t>
        </is>
      </c>
      <c r="B817" s="3" t="inlineStr">
        <is>
          <t>Chocolate Protein Pudding</t>
        </is>
      </c>
      <c r="C817" s="4" t="inlineStr">
        <is>
          <t>Dessert</t>
        </is>
      </c>
      <c r="D817" s="4" t="inlineStr">
        <is>
          <t>American</t>
        </is>
      </c>
      <c r="E817" s="2" t="n">
        <v>2</v>
      </c>
      <c r="F817" s="2" t="n">
        <v>5</v>
      </c>
      <c r="G817" s="2" t="n">
        <v>0</v>
      </c>
      <c r="H817" s="2" t="n">
        <v>5</v>
      </c>
      <c r="I817" s="4" t="inlineStr">
        <is>
          <t>chocolate-protein-pudding.jpg</t>
        </is>
      </c>
      <c r="J817" s="3" t="inlineStr">
        <is>
          <t>Chocolate Protein Pudding, healthy food photography, plated, natural light</t>
        </is>
      </c>
      <c r="K817" s="4" t="inlineStr"/>
      <c r="L817" s="3" t="inlineStr">
        <is>
          <t>Greek yogurt, plain 2% — 250 g (8.8 oz)
Whey protein powder, unsweetened — 25 g (0.9 oz)
Cocoa powder, unsweetened — 12 g (0.4 oz)
Monk fruit/erythritol sweetener — 10 g (0.4 oz)
Almond milk, unsweetened — 40 g (1.4 oz)
Stevia-sweetened dark chocolate chips — 10 g (0.4 oz)</t>
        </is>
      </c>
      <c r="M817" s="4" t="inlineStr">
        <is>
          <t>[{"ingredient_id": "greek_yogurt", "name": "Greek yogurt, plain 2%", "grams": 250.0, "note": ""}, {"ingredient_id": "whey_protein", "name": "Whey protein powder, unsweetened", "grams": 25.0, "note": ""}, {"ingredient_id": "cocoa_powder", "name": "Cocoa powder, unsweetened", "grams": 12.0, "note": ""}, {"ingredient_id": "monk_fruit_sweetener", "name": "Monk fruit/erythritol sweetener", "grams": 10.0, "note": ""}, {"ingredient_id": "almond_milk", "name": "Almond milk, unsweetened", "grams": 40.0, "note": ""}, {"ingredient_id": "sugar_free_chocolate_chips", "name": "Stevia-sweetened dark chocolate chips", "grams": 10.0, "note": ""}]</t>
        </is>
      </c>
      <c r="N817" s="2" t="n">
        <v>179</v>
      </c>
      <c r="O817" s="5" t="n">
        <v>23.9</v>
      </c>
      <c r="P817" s="5" t="n">
        <v>6.3</v>
      </c>
      <c r="Q817" s="5" t="n">
        <v>10.6</v>
      </c>
      <c r="R817" s="5" t="n">
        <v>2.7</v>
      </c>
      <c r="S817" s="5" t="n">
        <v>7.9</v>
      </c>
      <c r="T817" s="2" t="n">
        <v>15</v>
      </c>
      <c r="U817" s="2" t="inlineStr">
        <is>
          <t>low</t>
        </is>
      </c>
      <c r="V817" s="5" t="n">
        <v>1.2</v>
      </c>
      <c r="W817" s="2" t="inlineStr">
        <is>
          <t>low</t>
        </is>
      </c>
      <c r="X817" s="3" t="inlineStr"/>
      <c r="Y817" s="3" t="inlineStr">
        <is>
          <t>79% of this dish's available carbohydrate comes from ingredients with a published, measured GI; the rest uses conventional placeholders (see Ingredients sheet)</t>
        </is>
      </c>
      <c r="Z817" s="2" t="n">
        <v>79</v>
      </c>
      <c r="AA817" s="3" t="inlineStr">
        <is>
          <t>vegetarian, gluten-free, low-carb, no-cook, quick</t>
        </is>
      </c>
      <c r="AB817" s="3" t="inlineStr">
        <is>
          <t>1. Whisk yogurt, protein, cocoa, sweetener, almond milk until smooth.
2. Chill 20 minutes.
3. Chocolate chips.</t>
        </is>
      </c>
      <c r="AC817" s="4" t="inlineStr">
        <is>
          <t>["Whisk yogurt, protein, cocoa, sweetener, almond milk until smooth.", "Chill 20 minutes.", "Chocolate chips."]</t>
        </is>
      </c>
    </row>
    <row r="818" ht="96" customHeight="1">
      <c r="A818" s="2" t="inlineStr">
        <is>
          <t>DB-0817</t>
        </is>
      </c>
      <c r="B818" s="3" t="inlineStr">
        <is>
          <t>Almond Joy Fat Bombs</t>
        </is>
      </c>
      <c r="C818" s="4" t="inlineStr">
        <is>
          <t>Dessert</t>
        </is>
      </c>
      <c r="D818" s="4" t="inlineStr">
        <is>
          <t>American</t>
        </is>
      </c>
      <c r="E818" s="2" t="n">
        <v>12</v>
      </c>
      <c r="F818" s="2" t="n">
        <v>10</v>
      </c>
      <c r="G818" s="2" t="n">
        <v>0</v>
      </c>
      <c r="H818" s="2" t="n">
        <v>10</v>
      </c>
      <c r="I818" s="4" t="inlineStr">
        <is>
          <t>almond-joy-fat-bombs.jpg</t>
        </is>
      </c>
      <c r="J818" s="3" t="inlineStr">
        <is>
          <t>Almond Joy Fat Bombs, healthy food photography, plated, natural light</t>
        </is>
      </c>
      <c r="K818" s="4" t="inlineStr"/>
      <c r="L818" s="3" t="inlineStr">
        <is>
          <t>Coconut, unsweetened shredded — 100 g (3.5 oz)
Coconut oil — 60 g (2.1 oz)
Almonds — 36 g (1.3 oz) [12 whole]
Dark chocolate 85% — 50 g (1.8 oz)
Monk fruit/erythritol sweetener — 15 g (0.5 oz)
Vanilla extract — 2 g (0.1 oz)</t>
        </is>
      </c>
      <c r="M818" s="4" t="inlineStr">
        <is>
          <t>[{"ingredient_id": "coconut_shredded", "name": "Coconut, unsweetened shredded", "grams": 100.0, "note": ""}, {"ingredient_id": "coconut_oil", "name": "Coconut oil", "grams": 60.0, "note": ""}, {"ingredient_id": "almonds", "name": "Almonds", "grams": 36.0, "note": "12 whole"}, {"ingredient_id": "dark_chocolate", "name": "Dark chocolate 85%", "grams": 50.0, "note": ""}, {"ingredient_id": "monk_fruit_sweetener", "name": "Monk fruit/erythritol sweetener", "grams": 15.0, "note": ""}, {"ingredient_id": "vanilla_extract", "name": "Vanilla extract", "grams": 2.0, "note": ""}]</t>
        </is>
      </c>
      <c r="N818" s="2" t="n">
        <v>141</v>
      </c>
      <c r="O818" s="5" t="n">
        <v>1.7</v>
      </c>
      <c r="P818" s="5" t="n">
        <v>13.8</v>
      </c>
      <c r="Q818" s="5" t="n">
        <v>3.9</v>
      </c>
      <c r="R818" s="5" t="n">
        <v>2.2</v>
      </c>
      <c r="S818" s="5" t="n">
        <v>1.7</v>
      </c>
      <c r="T818" s="2" t="n">
        <v>30</v>
      </c>
      <c r="U818" s="2" t="inlineStr">
        <is>
          <t>low</t>
        </is>
      </c>
      <c r="V818" s="5" t="n">
        <v>0.5</v>
      </c>
      <c r="W818" s="2" t="inlineStr">
        <is>
          <t>low</t>
        </is>
      </c>
      <c r="X818" s="3" t="inlineStr">
        <is>
          <t>Negligible carbohydrate (&lt;5 g net/serving): GI has little practical meaning, glycemic load is what matters.</t>
        </is>
      </c>
      <c r="Y818" s="3" t="inlineStr">
        <is>
          <t>44% of this dish's available carbohydrate comes from ingredients with a published, measured GI; the rest uses conventional placeholders (see Ingredients sheet)</t>
        </is>
      </c>
      <c r="Z818" s="2" t="n">
        <v>44</v>
      </c>
      <c r="AA818" s="3" t="inlineStr">
        <is>
          <t>vegan, gluten-free, dairy-free, low-carb, make-ahead</t>
        </is>
      </c>
      <c r="AB818" s="3" t="inlineStr">
        <is>
          <t>1. Mix coconut, melted coconut oil, sweetener, vanilla; press into 12 mini cups; top each with an almond.
2. Freeze 20 minutes.
3. Drizzle melted chocolate; keep frozen.</t>
        </is>
      </c>
      <c r="AC818" s="4" t="inlineStr">
        <is>
          <t>["Mix coconut, melted coconut oil, sweetener, vanilla; press into 12 mini cups; top each with an almond.", "Freeze 20 minutes.", "Drizzle melted chocolate; keep frozen."]</t>
        </is>
      </c>
    </row>
    <row r="819" ht="96" customHeight="1">
      <c r="A819" s="2" t="inlineStr">
        <is>
          <t>DB-0818</t>
        </is>
      </c>
      <c r="B819" s="3" t="inlineStr">
        <is>
          <t>Baked Custard (Sugar-Free)</t>
        </is>
      </c>
      <c r="C819" s="4" t="inlineStr">
        <is>
          <t>Dessert</t>
        </is>
      </c>
      <c r="D819" s="4" t="inlineStr">
        <is>
          <t>French</t>
        </is>
      </c>
      <c r="E819" s="2" t="n">
        <v>4</v>
      </c>
      <c r="F819" s="2" t="n">
        <v>5</v>
      </c>
      <c r="G819" s="2" t="n">
        <v>40</v>
      </c>
      <c r="H819" s="2" t="n">
        <v>45</v>
      </c>
      <c r="I819" s="4" t="inlineStr">
        <is>
          <t>baked-custard-sugar-free.jpg</t>
        </is>
      </c>
      <c r="J819" s="3" t="inlineStr">
        <is>
          <t>Baked Custard (Sugar-Free), healthy food photography, plated, natural light</t>
        </is>
      </c>
      <c r="K819" s="4" t="inlineStr"/>
      <c r="L819" s="3" t="inlineStr">
        <is>
          <t>Egg, large (50 g each) — 150 g (5.3 oz)
Milk, 2% — 400 g (14.1 oz)
Monk fruit/erythritol sweetener — 30 g (1.1 oz)
Vanilla extract — 5 g (0.2 oz)
Ground nutmeg — 0.5 g (0.0 oz)</t>
        </is>
      </c>
      <c r="M819" s="4" t="inlineStr">
        <is>
          <t>[{"ingredient_id": "egg", "name": "Egg, large (50 g each)", "grams": 150.0, "note": ""}, {"ingredient_id": "milk", "name": "Milk, 2%", "grams": 400.0, "note": ""}, {"ingredient_id": "monk_fruit_sweetener", "name": "Monk fruit/erythritol sweetener", "grams": 30.0, "note": ""}, {"ingredient_id": "vanilla_extract", "name": "Vanilla extract", "grams": 5.0, "note": ""}, {"ingredient_id": "nutmeg", "name": "Ground nutmeg", "grams": 0.5, "note": ""}]</t>
        </is>
      </c>
      <c r="N819" s="2" t="n">
        <v>108</v>
      </c>
      <c r="O819" s="5" t="n">
        <v>8</v>
      </c>
      <c r="P819" s="5" t="n">
        <v>5.6</v>
      </c>
      <c r="Q819" s="5" t="n">
        <v>5.3</v>
      </c>
      <c r="R819" s="5" t="n">
        <v>0</v>
      </c>
      <c r="S819" s="5" t="n">
        <v>5.3</v>
      </c>
      <c r="T819" s="2" t="n">
        <v>25</v>
      </c>
      <c r="U819" s="2" t="inlineStr">
        <is>
          <t>low</t>
        </is>
      </c>
      <c r="V819" s="5" t="n">
        <v>1.3</v>
      </c>
      <c r="W819" s="2" t="inlineStr">
        <is>
          <t>low</t>
        </is>
      </c>
      <c r="X819" s="3" t="inlineStr"/>
      <c r="Y819" s="3" t="inlineStr">
        <is>
          <t>91% of this dish's available carbohydrate comes from ingredients with a published, measured GI; the rest uses conventional placeholders (see Ingredients sheet)</t>
        </is>
      </c>
      <c r="Z819" s="2" t="n">
        <v>91</v>
      </c>
      <c r="AA819" s="3" t="inlineStr">
        <is>
          <t>vegetarian, gluten-free, nut-free, low-carb, make-ahead</t>
        </is>
      </c>
      <c r="AB819" s="3" t="inlineStr">
        <is>
          <t>1. Whisk eggs, warm milk, sweetener, vanilla.
2. Pour into 4 ramekins; nutmeg; bake in a water bath at 325°F 35–40 minutes.
3. Chill.</t>
        </is>
      </c>
      <c r="AC819" s="4" t="inlineStr">
        <is>
          <t>["Whisk eggs, warm milk, sweetener, vanilla.", "Pour into 4 ramekins; nutmeg; bake in a water bath at 325°F 35–40 minutes.", "Chill."]</t>
        </is>
      </c>
    </row>
    <row r="820" ht="96" customHeight="1">
      <c r="A820" s="2" t="inlineStr">
        <is>
          <t>DB-0819</t>
        </is>
      </c>
      <c r="B820" s="3" t="inlineStr">
        <is>
          <t>Peanut Butter Banana Frozen Bites</t>
        </is>
      </c>
      <c r="C820" s="4" t="inlineStr">
        <is>
          <t>Dessert</t>
        </is>
      </c>
      <c r="D820" s="4" t="inlineStr">
        <is>
          <t>American</t>
        </is>
      </c>
      <c r="E820" s="2" t="n">
        <v>4</v>
      </c>
      <c r="F820" s="2" t="n">
        <v>10</v>
      </c>
      <c r="G820" s="2" t="n">
        <v>0</v>
      </c>
      <c r="H820" s="2" t="n">
        <v>10</v>
      </c>
      <c r="I820" s="4" t="inlineStr">
        <is>
          <t>peanut-butter-banana-frozen-bites.jpg</t>
        </is>
      </c>
      <c r="J820" s="3" t="inlineStr">
        <is>
          <t>Peanut Butter Banana Frozen Bites, healthy food photography, plated, natural light</t>
        </is>
      </c>
      <c r="K820" s="4" t="inlineStr"/>
      <c r="L820" s="3" t="inlineStr">
        <is>
          <t>Banana (small amount) — 150 g (5.3 oz) [1 large]
Peanut butter, natural — 40 g (1.4 oz)
Dark chocolate 85% — 40 g (1.4 oz)</t>
        </is>
      </c>
      <c r="M820" s="4" t="inlineStr">
        <is>
          <t>[{"ingredient_id": "banana", "name": "Banana (small amount)", "grams": 150.0, "note": "1 large"}, {"ingredient_id": "peanut_butter", "name": "Peanut butter, natural", "grams": 40.0, "note": ""}, {"ingredient_id": "dark_chocolate", "name": "Dark chocolate 85%", "grams": 40.0, "note": ""}]</t>
        </is>
      </c>
      <c r="N820" s="2" t="n">
        <v>152</v>
      </c>
      <c r="O820" s="5" t="n">
        <v>4.1</v>
      </c>
      <c r="P820" s="5" t="n">
        <v>9.699999999999999</v>
      </c>
      <c r="Q820" s="5" t="n">
        <v>13.6</v>
      </c>
      <c r="R820" s="5" t="n">
        <v>2.8</v>
      </c>
      <c r="S820" s="5" t="n">
        <v>10.8</v>
      </c>
      <c r="T820" s="2" t="n">
        <v>42</v>
      </c>
      <c r="U820" s="2" t="inlineStr">
        <is>
          <t>low</t>
        </is>
      </c>
      <c r="V820" s="5" t="n">
        <v>4.6</v>
      </c>
      <c r="W820" s="2" t="inlineStr">
        <is>
          <t>low</t>
        </is>
      </c>
      <c r="X820" s="3" t="inlineStr"/>
      <c r="Y820" s="3" t="inlineStr">
        <is>
          <t>87% of this dish's available carbohydrate comes from ingredients with a published, measured GI; the rest uses conventional placeholders (see Ingredients sheet)</t>
        </is>
      </c>
      <c r="Z820" s="2" t="n">
        <v>87</v>
      </c>
      <c r="AA820" s="3" t="inlineStr">
        <is>
          <t>vegan, gluten-free, dairy-free, low-carb, make-ahead</t>
        </is>
      </c>
      <c r="AB820" s="3" t="inlineStr">
        <is>
          <t>1. Slice banana; sandwich peanut butter between slices.
2. Freeze 1 hour; dip halfway in melted chocolate.
3. Freeze 20 minutes.</t>
        </is>
      </c>
      <c r="AC820" s="4" t="inlineStr">
        <is>
          <t>["Slice banana; sandwich peanut butter between slices.", "Freeze 1 hour; dip halfway in melted chocolate.", "Freeze 20 minutes."]</t>
        </is>
      </c>
    </row>
    <row r="821" ht="96" customHeight="1">
      <c r="A821" s="2" t="inlineStr">
        <is>
          <t>DB-0820</t>
        </is>
      </c>
      <c r="B821" s="3" t="inlineStr">
        <is>
          <t>Vanilla Chia Pudding with Kiwi</t>
        </is>
      </c>
      <c r="C821" s="4" t="inlineStr">
        <is>
          <t>Dessert</t>
        </is>
      </c>
      <c r="D821" s="4" t="inlineStr">
        <is>
          <t>American</t>
        </is>
      </c>
      <c r="E821" s="2" t="n">
        <v>2</v>
      </c>
      <c r="F821" s="2" t="n">
        <v>5</v>
      </c>
      <c r="G821" s="2" t="n">
        <v>0</v>
      </c>
      <c r="H821" s="2" t="n">
        <v>5</v>
      </c>
      <c r="I821" s="4" t="inlineStr">
        <is>
          <t>vanilla-chia-pudding-with-kiwi.jpg</t>
        </is>
      </c>
      <c r="J821" s="3" t="inlineStr">
        <is>
          <t>Vanilla Chia Pudding with Kiwi, healthy food photography, plated, natural light</t>
        </is>
      </c>
      <c r="K821" s="4" t="inlineStr"/>
      <c r="L821" s="3" t="inlineStr">
        <is>
          <t>Chia seeds — 30 g (1.1 oz)
Almond milk, unsweetened — 250 g (8.8 oz)
Vanilla extract — 3 g (0.1 oz)
Monk fruit/erythritol sweetener — 8 g (0.3 oz)
Kiwi — 120 g (4.2 oz)</t>
        </is>
      </c>
      <c r="M821" s="4" t="inlineStr">
        <is>
          <t>[{"ingredient_id": "chia_seeds", "name": "Chia seeds", "grams": 30.0, "note": ""}, {"ingredient_id": "almond_milk", "name": "Almond milk, unsweetened", "grams": 250.0, "note": ""}, {"ingredient_id": "vanilla_extract", "name": "Vanilla extract", "grams": 3.0, "note": ""}, {"ingredient_id": "monk_fruit_sweetener", "name": "Monk fruit/erythritol sweetener", "grams": 8.0, "note": ""}, {"ingredient_id": "kiwi", "name": "Kiwi", "grams": 120.0, "note": ""}]</t>
        </is>
      </c>
      <c r="N821" s="2" t="n">
        <v>133</v>
      </c>
      <c r="O821" s="5" t="n">
        <v>4</v>
      </c>
      <c r="P821" s="5" t="n">
        <v>6.4</v>
      </c>
      <c r="Q821" s="5" t="n">
        <v>16.1</v>
      </c>
      <c r="R821" s="5" t="n">
        <v>6.9</v>
      </c>
      <c r="S821" s="5" t="n">
        <v>9.199999999999999</v>
      </c>
      <c r="T821" s="2" t="n">
        <v>42</v>
      </c>
      <c r="U821" s="2" t="inlineStr">
        <is>
          <t>low</t>
        </is>
      </c>
      <c r="V821" s="5" t="n">
        <v>3.8</v>
      </c>
      <c r="W821" s="2" t="inlineStr">
        <is>
          <t>low</t>
        </is>
      </c>
      <c r="X821" s="3" t="inlineStr"/>
      <c r="Y821" s="3" t="inlineStr">
        <is>
          <t>77% of this dish's available carbohydrate comes from ingredients with a published, measured GI; the rest uses conventional placeholders (see Ingredients sheet)</t>
        </is>
      </c>
      <c r="Z821" s="2" t="n">
        <v>77</v>
      </c>
      <c r="AA821" s="3" t="inlineStr">
        <is>
          <t>vegan, gluten-free, dairy-free, low-carb, make-ahead</t>
        </is>
      </c>
      <c r="AB821" s="3" t="inlineStr">
        <is>
          <t>1. Whisk almond milk, vanilla, sweetener; stir chia.
2. Refrigerate 4 hours.
3. Kiwi.</t>
        </is>
      </c>
      <c r="AC821" s="4" t="inlineStr">
        <is>
          <t>["Whisk almond milk, vanilla, sweetener; stir chia.", "Refrigerate 4 hours.", "Kiwi."]</t>
        </is>
      </c>
    </row>
    <row r="822" ht="96" customHeight="1">
      <c r="A822" s="2" t="inlineStr">
        <is>
          <t>DB-0821</t>
        </is>
      </c>
      <c r="B822" s="3" t="inlineStr">
        <is>
          <t>Iced Green Tea with Mint &amp; Lemon</t>
        </is>
      </c>
      <c r="C822" s="4" t="inlineStr">
        <is>
          <t>Drinks &amp; Smoothies</t>
        </is>
      </c>
      <c r="D822" s="4" t="inlineStr">
        <is>
          <t>American</t>
        </is>
      </c>
      <c r="E822" s="2" t="n">
        <v>2</v>
      </c>
      <c r="F822" s="2" t="n">
        <v>5</v>
      </c>
      <c r="G822" s="2" t="n">
        <v>5</v>
      </c>
      <c r="H822" s="2" t="n">
        <v>10</v>
      </c>
      <c r="I822" s="4" t="inlineStr">
        <is>
          <t>iced-green-tea-with-mint-and-lemon.jpg</t>
        </is>
      </c>
      <c r="J822" s="3" t="inlineStr">
        <is>
          <t>Iced Green Tea with Mint &amp; Lemon, healthy food photography, plated, natural light</t>
        </is>
      </c>
      <c r="K822" s="4" t="inlineStr"/>
      <c r="L822" s="3" t="inlineStr">
        <is>
          <t>Brewed green tea — 500 g (17.6 oz)
Fresh mint — 6 g (0.2 oz)
Lemon (with juice &amp; zest) — 30 g (1.1 oz)
Stevia (liquid) — 1 g (0.0 oz)
Water / ice — 200 g (7.1 oz) [ice]</t>
        </is>
      </c>
      <c r="M822" s="4" t="inlineStr">
        <is>
          <t>[{"ingredient_id": "green_tea", "name": "Brewed green tea", "grams": 500.0, "note": ""}, {"ingredient_id": "mint", "name": "Fresh mint", "grams": 6.0, "note": ""}, {"ingredient_id": "lemon", "name": "Lemon (with juice &amp; zest)", "grams": 30.0, "note": ""}, {"ingredient_id": "stevia", "name": "Stevia (liquid)", "grams": 1.0, "note": ""}, {"ingredient_id": "water", "name": "Water / ice", "grams": 200.0, "note": "ice"}]</t>
        </is>
      </c>
      <c r="N822" s="2" t="n">
        <v>6</v>
      </c>
      <c r="O822" s="5" t="n">
        <v>0.3</v>
      </c>
      <c r="P822" s="5" t="n">
        <v>0.1</v>
      </c>
      <c r="Q822" s="5" t="n">
        <v>1.6</v>
      </c>
      <c r="R822" s="5" t="n">
        <v>0.6</v>
      </c>
      <c r="S822" s="5" t="n">
        <v>1</v>
      </c>
      <c r="T822" s="2" t="n">
        <v>20</v>
      </c>
      <c r="U822" s="2" t="inlineStr">
        <is>
          <t>low</t>
        </is>
      </c>
      <c r="V822" s="5" t="n">
        <v>0.2</v>
      </c>
      <c r="W822" s="2" t="inlineStr">
        <is>
          <t>low</t>
        </is>
      </c>
      <c r="X822" s="3" t="inlineStr">
        <is>
          <t>Negligible carbohydrate (&lt;5 g net/serving): GI has little practical meaning, glycemic load is what matters.</t>
        </is>
      </c>
      <c r="Y822" s="3" t="inlineStr">
        <is>
          <t>0% of this dish's available carbohydrate comes from ingredients with a published, measured GI; the rest uses conventional placeholders (see Ingredients sheet)</t>
        </is>
      </c>
      <c r="Z822" s="2" t="n">
        <v>0</v>
      </c>
      <c r="AA822" s="3" t="inlineStr">
        <is>
          <t>vegan, gluten-free, dairy-free, nut-free, low-carb, quick</t>
        </is>
      </c>
      <c r="AB822" s="3" t="inlineStr">
        <is>
          <t>1. Brew green tea; cool.
2. Add mint, lemon slices, stevia.
3. Serve over ice.</t>
        </is>
      </c>
      <c r="AC822" s="4" t="inlineStr">
        <is>
          <t>["Brew green tea; cool.", "Add mint, lemon slices, stevia.", "Serve over ice."]</t>
        </is>
      </c>
    </row>
    <row r="823" ht="96" customHeight="1">
      <c r="A823" s="2" t="inlineStr">
        <is>
          <t>DB-0822</t>
        </is>
      </c>
      <c r="B823" s="3" t="inlineStr">
        <is>
          <t>Cucumber Mint Sparkling Water</t>
        </is>
      </c>
      <c r="C823" s="4" t="inlineStr">
        <is>
          <t>Drinks &amp; Smoothies</t>
        </is>
      </c>
      <c r="D823" s="4" t="inlineStr">
        <is>
          <t>American</t>
        </is>
      </c>
      <c r="E823" s="2" t="n">
        <v>2</v>
      </c>
      <c r="F823" s="2" t="n">
        <v>3</v>
      </c>
      <c r="G823" s="2" t="n">
        <v>0</v>
      </c>
      <c r="H823" s="2" t="n">
        <v>3</v>
      </c>
      <c r="I823" s="4" t="inlineStr">
        <is>
          <t>cucumber-mint-sparkling-water.jpg</t>
        </is>
      </c>
      <c r="J823" s="3" t="inlineStr">
        <is>
          <t>Cucumber Mint Sparkling Water, healthy food photography, plated, natural light</t>
        </is>
      </c>
      <c r="K823" s="4" t="inlineStr"/>
      <c r="L823" s="3" t="inlineStr">
        <is>
          <t>Sparkling water — 500 g (17.6 oz)
Cucumber — 60 g (2.1 oz)
Fresh mint — 4 g (0.1 oz)
Lime — 20 g (0.7 oz)</t>
        </is>
      </c>
      <c r="M823" s="4" t="inlineStr">
        <is>
          <t>[{"ingredient_id": "sparkling_water", "name": "Sparkling water", "grams": 500.0, "note": ""}, {"ingredient_id": "cucumber", "name": "Cucumber", "grams": 60.0, "note": ""}, {"ingredient_id": "mint", "name": "Fresh mint", "grams": 4.0, "note": ""}, {"ingredient_id": "lime", "name": "Lime", "grams": 20.0, "note": ""}]</t>
        </is>
      </c>
      <c r="N823" s="2" t="n">
        <v>8</v>
      </c>
      <c r="O823" s="5" t="n">
        <v>0.3</v>
      </c>
      <c r="P823" s="5" t="n">
        <v>0.1</v>
      </c>
      <c r="Q823" s="5" t="n">
        <v>2.3</v>
      </c>
      <c r="R823" s="5" t="n">
        <v>0.6</v>
      </c>
      <c r="S823" s="5" t="n">
        <v>1.7</v>
      </c>
      <c r="T823" s="2" t="n">
        <v>17</v>
      </c>
      <c r="U823" s="2" t="inlineStr">
        <is>
          <t>low</t>
        </is>
      </c>
      <c r="V823" s="5" t="n">
        <v>0.3</v>
      </c>
      <c r="W823" s="2" t="inlineStr">
        <is>
          <t>low</t>
        </is>
      </c>
      <c r="X823" s="3" t="inlineStr">
        <is>
          <t>Negligible carbohydrate (&lt;5 g net/serving): GI has little practical meaning, glycemic load is what matters.</t>
        </is>
      </c>
      <c r="Y823" s="3" t="inlineStr">
        <is>
          <t>0% of this dish's available carbohydrate comes from ingredients with a published, measured GI; the rest uses conventional placeholders (see Ingredients sheet)</t>
        </is>
      </c>
      <c r="Z823" s="2" t="n">
        <v>0</v>
      </c>
      <c r="AA823" s="3" t="inlineStr">
        <is>
          <t>vegan, gluten-free, dairy-free, nut-free, low-carb, quick, no-cook</t>
        </is>
      </c>
      <c r="AB823" s="3" t="inlineStr">
        <is>
          <t>1. Slice cucumber and lime.
2. Add to glasses with mint.
3. Top sparkling water.</t>
        </is>
      </c>
      <c r="AC823" s="4" t="inlineStr">
        <is>
          <t>["Slice cucumber and lime.", "Add to glasses with mint.", "Top sparkling water."]</t>
        </is>
      </c>
    </row>
    <row r="824" ht="96" customHeight="1">
      <c r="A824" s="2" t="inlineStr">
        <is>
          <t>DB-0823</t>
        </is>
      </c>
      <c r="B824" s="3" t="inlineStr">
        <is>
          <t>Golden Milk Latte</t>
        </is>
      </c>
      <c r="C824" s="4" t="inlineStr">
        <is>
          <t>Drinks &amp; Smoothies</t>
        </is>
      </c>
      <c r="D824" s="4" t="inlineStr">
        <is>
          <t>Indian</t>
        </is>
      </c>
      <c r="E824" s="2" t="n">
        <v>1</v>
      </c>
      <c r="F824" s="2" t="n">
        <v>2</v>
      </c>
      <c r="G824" s="2" t="n">
        <v>5</v>
      </c>
      <c r="H824" s="2" t="n">
        <v>7</v>
      </c>
      <c r="I824" s="4" t="inlineStr">
        <is>
          <t>golden-milk-latte.jpg</t>
        </is>
      </c>
      <c r="J824" s="3" t="inlineStr">
        <is>
          <t>Golden Milk Latte, healthy food photography, plated, natural light</t>
        </is>
      </c>
      <c r="K824" s="4" t="inlineStr"/>
      <c r="L824" s="3" t="inlineStr">
        <is>
          <t>Almond milk, unsweetened — 300 g (10.6 oz)
Ground turmeric — 2 g (0.1 oz)
Fresh ginger — 3 g (0.1 oz)
Ground cinnamon — 1 g (0.0 oz)
Black pepper — 0.2 g (0.0 oz)
Coconut oil — 4 g (0.1 oz)
Stevia (liquid) — 1 g (0.0 oz)</t>
        </is>
      </c>
      <c r="M824" s="4" t="inlineStr">
        <is>
          <t>[{"ingredient_id": "almond_milk", "name": "Almond milk, unsweetened", "grams": 300.0, "note": ""}, {"ingredient_id": "turmeric", "name": "Ground turmeric", "grams": 2.0, "note": ""}, {"ingredient_id": "ginger", "name": "Fresh ginger", "grams": 3.0, "note": ""}, {"ingredient_id": "cinnamon", "name": "Ground cinnamon", "grams": 1.0, "note": ""}, {"ingredient_id": "black_pepper", "name": "Black pepper", "grams": 0.2, "note": ""}, {"ingredient_id": "coconut_oil", "name": "Coconut oil", "grams": 4.0, "note": ""}, {"ingredient_id": "stevia", "name": "Stevia (liquid)", "grams": 1.0, "note": ""}]</t>
        </is>
      </c>
      <c r="N824" s="2" t="n">
        <v>91</v>
      </c>
      <c r="O824" s="5" t="n">
        <v>2.1</v>
      </c>
      <c r="P824" s="5" t="n">
        <v>7.7</v>
      </c>
      <c r="Q824" s="5" t="n">
        <v>4.6</v>
      </c>
      <c r="R824" s="5" t="n">
        <v>1.1</v>
      </c>
      <c r="S824" s="5" t="n">
        <v>3.5</v>
      </c>
      <c r="T824" s="2" t="n">
        <v>19</v>
      </c>
      <c r="U824" s="2" t="inlineStr">
        <is>
          <t>low</t>
        </is>
      </c>
      <c r="V824" s="5" t="n">
        <v>0.7</v>
      </c>
      <c r="W824" s="2" t="inlineStr">
        <is>
          <t>low</t>
        </is>
      </c>
      <c r="X824" s="3" t="inlineStr">
        <is>
          <t>Negligible carbohydrate (&lt;5 g net/serving): GI has little practical meaning, glycemic load is what matters.</t>
        </is>
      </c>
      <c r="Y824" s="3" t="inlineStr">
        <is>
          <t>0% of this dish's available carbohydrate comes from ingredients with a published, measured GI; the rest uses conventional placeholders (see Ingredients sheet)</t>
        </is>
      </c>
      <c r="Z824" s="2" t="n">
        <v>0</v>
      </c>
      <c r="AA824" s="3" t="inlineStr">
        <is>
          <t>vegan, gluten-free, dairy-free, low-carb, quick</t>
        </is>
      </c>
      <c r="AB824" s="3" t="inlineStr">
        <is>
          <t>1. Warm almond milk with turmeric, ginger, cinnamon, pepper, coconut oil.
2. Whisk until frothy.
3. Stevia.</t>
        </is>
      </c>
      <c r="AC824" s="4" t="inlineStr">
        <is>
          <t>["Warm almond milk with turmeric, ginger, cinnamon, pepper, coconut oil.", "Whisk until frothy.", "Stevia."]</t>
        </is>
      </c>
    </row>
    <row r="825" ht="96" customHeight="1">
      <c r="A825" s="2" t="inlineStr">
        <is>
          <t>DB-0824</t>
        </is>
      </c>
      <c r="B825" s="3" t="inlineStr">
        <is>
          <t>Protein Coffee (Proffee)</t>
        </is>
      </c>
      <c r="C825" s="4" t="inlineStr">
        <is>
          <t>Drinks &amp; Smoothies</t>
        </is>
      </c>
      <c r="D825" s="4" t="inlineStr">
        <is>
          <t>American</t>
        </is>
      </c>
      <c r="E825" s="2" t="n">
        <v>1</v>
      </c>
      <c r="F825" s="2" t="n">
        <v>3</v>
      </c>
      <c r="G825" s="2" t="n">
        <v>0</v>
      </c>
      <c r="H825" s="2" t="n">
        <v>3</v>
      </c>
      <c r="I825" s="4" t="inlineStr">
        <is>
          <t>protein-coffee-proffee.jpg</t>
        </is>
      </c>
      <c r="J825" s="3" t="inlineStr">
        <is>
          <t>Protein Coffee (Proffee), healthy food photography, plated, natural light</t>
        </is>
      </c>
      <c r="K825" s="4" t="inlineStr"/>
      <c r="L825" s="3" t="inlineStr">
        <is>
          <t>Brewed coffee / espresso — 250 g (8.8 oz) [cold brew]
Whey protein powder, unsweetened — 25 g (0.9 oz)
Almond milk, unsweetened — 100 g (3.5 oz)
Water / ice — 100 g (3.5 oz) [ice]
Ground cinnamon — 0.5 g (0.0 oz)</t>
        </is>
      </c>
      <c r="M825" s="4" t="inlineStr">
        <is>
          <t>[{"ingredient_id": "coffee", "name": "Brewed coffee / espresso", "grams": 250.0, "note": "cold brew"}, {"ingredient_id": "whey_protein", "name": "Whey protein powder, unsweetened", "grams": 25.0, "note": ""}, {"ingredient_id": "almond_milk", "name": "Almond milk, unsweetened", "grams": 100.0, "note": ""}, {"ingredient_id": "water", "name": "Water / ice", "grams": 100.0, "note": "ice"}, {"ingredient_id": "cinnamon", "name": "Ground cinnamon", "grams": 0.5, "note": ""}]</t>
        </is>
      </c>
      <c r="N825" s="2" t="n">
        <v>114</v>
      </c>
      <c r="O825" s="5" t="n">
        <v>20.4</v>
      </c>
      <c r="P825" s="5" t="n">
        <v>2.5</v>
      </c>
      <c r="Q825" s="5" t="n">
        <v>3</v>
      </c>
      <c r="R825" s="5" t="n">
        <v>0.5</v>
      </c>
      <c r="S825" s="5" t="n">
        <v>2.5</v>
      </c>
      <c r="T825" s="2" t="n">
        <v>27</v>
      </c>
      <c r="U825" s="2" t="inlineStr">
        <is>
          <t>low</t>
        </is>
      </c>
      <c r="V825" s="5" t="n">
        <v>0.7</v>
      </c>
      <c r="W825" s="2" t="inlineStr">
        <is>
          <t>low</t>
        </is>
      </c>
      <c r="X825" s="3" t="inlineStr">
        <is>
          <t>Negligible carbohydrate (&lt;5 g net/serving): GI has little practical meaning, glycemic load is what matters.</t>
        </is>
      </c>
      <c r="Y825" s="3" t="inlineStr">
        <is>
          <t>70% of this dish's available carbohydrate comes from ingredients with a published, measured GI; the rest uses conventional placeholders (see Ingredients sheet)</t>
        </is>
      </c>
      <c r="Z825" s="2" t="n">
        <v>70</v>
      </c>
      <c r="AA825" s="3" t="inlineStr">
        <is>
          <t>vegetarian, gluten-free, low-carb, quick</t>
        </is>
      </c>
      <c r="AB825" s="3" t="inlineStr">
        <is>
          <t>1. Shake protein with almond milk until smooth.
2. Pour over ice with coffee.
3. Cinnamon.</t>
        </is>
      </c>
      <c r="AC825" s="4" t="inlineStr">
        <is>
          <t>["Shake protein with almond milk until smooth.", "Pour over ice with coffee.", "Cinnamon."]</t>
        </is>
      </c>
    </row>
    <row r="826" ht="96" customHeight="1">
      <c r="A826" s="2" t="inlineStr">
        <is>
          <t>DB-0825</t>
        </is>
      </c>
      <c r="B826" s="3" t="inlineStr">
        <is>
          <t>Strawberry Kefir Smoothie</t>
        </is>
      </c>
      <c r="C826" s="4" t="inlineStr">
        <is>
          <t>Drinks &amp; Smoothies</t>
        </is>
      </c>
      <c r="D826" s="4" t="inlineStr">
        <is>
          <t>American</t>
        </is>
      </c>
      <c r="E826" s="2" t="n">
        <v>1</v>
      </c>
      <c r="F826" s="2" t="n">
        <v>5</v>
      </c>
      <c r="G826" s="2" t="n">
        <v>0</v>
      </c>
      <c r="H826" s="2" t="n">
        <v>5</v>
      </c>
      <c r="I826" s="4" t="inlineStr">
        <is>
          <t>strawberry-kefir-smoothie.jpg</t>
        </is>
      </c>
      <c r="J826" s="3" t="inlineStr">
        <is>
          <t>Strawberry Kefir Smoothie, healthy food photography, plated, natural light</t>
        </is>
      </c>
      <c r="K826" s="4" t="inlineStr"/>
      <c r="L826" s="3" t="inlineStr">
        <is>
          <t>Kefir, plain — 250 g (8.8 oz)
Strawberries — 120 g (4.2 oz)
Chia seeds — 8 g (0.3 oz)
Vanilla extract — 1 g (0.0 oz)
Water / ice — 50 g (1.8 oz) [ice]</t>
        </is>
      </c>
      <c r="M826" s="4" t="inlineStr">
        <is>
          <t>[{"ingredient_id": "kefir", "name": "Kefir, plain", "grams": 250.0, "note": ""}, {"ingredient_id": "strawberries", "name": "Strawberries", "grams": 120.0, "note": ""}, {"ingredient_id": "chia_seeds", "name": "Chia seeds", "grams": 8.0, "note": ""}, {"ingredient_id": "vanilla_extract", "name": "Vanilla extract", "grams": 1.0, "note": ""}, {"ingredient_id": "water", "name": "Water / ice", "grams": 50.0, "note": "ice"}]</t>
        </is>
      </c>
      <c r="N826" s="2" t="n">
        <v>183</v>
      </c>
      <c r="O826" s="5" t="n">
        <v>10.4</v>
      </c>
      <c r="P826" s="5" t="n">
        <v>5.3</v>
      </c>
      <c r="Q826" s="5" t="n">
        <v>22.7</v>
      </c>
      <c r="R826" s="5" t="n">
        <v>5.1</v>
      </c>
      <c r="S826" s="5" t="n">
        <v>17.6</v>
      </c>
      <c r="T826" s="2" t="n">
        <v>37</v>
      </c>
      <c r="U826" s="2" t="inlineStr">
        <is>
          <t>low</t>
        </is>
      </c>
      <c r="V826" s="5" t="n">
        <v>6.5</v>
      </c>
      <c r="W826" s="2" t="inlineStr">
        <is>
          <t>low</t>
        </is>
      </c>
      <c r="X826" s="3" t="inlineStr"/>
      <c r="Y826" s="3" t="inlineStr">
        <is>
          <t>96% of this dish's available carbohydrate comes from ingredients with a published, measured GI; the rest uses conventional placeholders (see Ingredients sheet)</t>
        </is>
      </c>
      <c r="Z826" s="2" t="n">
        <v>96</v>
      </c>
      <c r="AA826" s="3" t="inlineStr">
        <is>
          <t>vegetarian, gluten-free, nut-free, probiotic, quick, no-cook</t>
        </is>
      </c>
      <c r="AB826" s="3" t="inlineStr">
        <is>
          <t>1. Blend everything until smooth.
2. Serve.</t>
        </is>
      </c>
      <c r="AC826" s="4" t="inlineStr">
        <is>
          <t>["Blend everything until smooth.", "Serve."]</t>
        </is>
      </c>
    </row>
    <row r="827" ht="96" customHeight="1">
      <c r="A827" s="2" t="inlineStr">
        <is>
          <t>DB-0826</t>
        </is>
      </c>
      <c r="B827" s="3" t="inlineStr">
        <is>
          <t>Green Detox Smoothie (Low-Sugar)</t>
        </is>
      </c>
      <c r="C827" s="4" t="inlineStr">
        <is>
          <t>Drinks &amp; Smoothies</t>
        </is>
      </c>
      <c r="D827" s="4" t="inlineStr">
        <is>
          <t>American</t>
        </is>
      </c>
      <c r="E827" s="2" t="n">
        <v>1</v>
      </c>
      <c r="F827" s="2" t="n">
        <v>5</v>
      </c>
      <c r="G827" s="2" t="n">
        <v>0</v>
      </c>
      <c r="H827" s="2" t="n">
        <v>5</v>
      </c>
      <c r="I827" s="4" t="inlineStr">
        <is>
          <t>green-detox-smoothie-low-sugar.jpg</t>
        </is>
      </c>
      <c r="J827" s="3" t="inlineStr">
        <is>
          <t>Green Detox Smoothie (Low-Sugar), healthy food photography, plated, natural light</t>
        </is>
      </c>
      <c r="K827" s="4" t="inlineStr"/>
      <c r="L827" s="3" t="inlineStr">
        <is>
          <t>Spinach — 60 g (2.1 oz)
Cucumber — 100 g (3.5 oz)
Celery — 60 g (2.1 oz)
Avocado — 40 g (1.4 oz)
Lemon juice — 15 g (0.5 oz)
Fresh ginger — 5 g (0.2 oz)
Brewed green tea — 200 g (7.1 oz) [chilled]
Pea protein powder, unsweetened — 20 g (0.7 oz)</t>
        </is>
      </c>
      <c r="M827" s="4" t="inlineStr">
        <is>
          <t>[{"ingredient_id": "spinach", "name": "Spinach", "grams": 60.0, "note": ""}, {"ingredient_id": "cucumber", "name": "Cucumber", "grams": 100.0, "note": ""}, {"ingredient_id": "celery", "name": "Celery", "grams": 60.0, "note": ""}, {"ingredient_id": "avocado", "name": "Avocado", "grams": 40.0, "note": ""}, {"ingredient_id": "lemon_juice", "name": "Lemon juice", "grams": 15.0, "note": ""}, {"ingredient_id": "ginger", "name": "Fresh ginger", "grams": 5.0, "note": ""}, {"ingredient_id": "green_tea", "name": "Brewed green tea", "grams": 200.0, "note": "chilled"}, {"ingredient_id": "plant_protein", "name": "Pea protein powder, unsweetened", "grams": 20.0, "note": ""}]</t>
        </is>
      </c>
      <c r="N827" s="2" t="n">
        <v>185</v>
      </c>
      <c r="O827" s="5" t="n">
        <v>18.8</v>
      </c>
      <c r="P827" s="5" t="n">
        <v>7.7</v>
      </c>
      <c r="Q827" s="5" t="n">
        <v>14.5</v>
      </c>
      <c r="R827" s="5" t="n">
        <v>6</v>
      </c>
      <c r="S827" s="5" t="n">
        <v>8.5</v>
      </c>
      <c r="T827" s="2" t="n">
        <v>18</v>
      </c>
      <c r="U827" s="2" t="inlineStr">
        <is>
          <t>low</t>
        </is>
      </c>
      <c r="V827" s="5" t="n">
        <v>1.5</v>
      </c>
      <c r="W827" s="2" t="inlineStr">
        <is>
          <t>low</t>
        </is>
      </c>
      <c r="X827" s="3" t="inlineStr"/>
      <c r="Y827" s="3" t="inlineStr">
        <is>
          <t>0% of this dish's available carbohydrate comes from ingredients with a published, measured GI; the rest uses conventional placeholders (see Ingredients sheet)</t>
        </is>
      </c>
      <c r="Z827" s="2" t="n">
        <v>0</v>
      </c>
      <c r="AA827" s="3" t="inlineStr">
        <is>
          <t>vegan, gluten-free, dairy-free, nut-free, low-carb, quick, no-cook</t>
        </is>
      </c>
      <c r="AB827" s="3" t="inlineStr">
        <is>
          <t>1. Blend all ingredients until smooth.
2. Add ice; serve.</t>
        </is>
      </c>
      <c r="AC827" s="4" t="inlineStr">
        <is>
          <t>["Blend all ingredients until smooth.", "Add ice; serve."]</t>
        </is>
      </c>
    </row>
    <row r="828" ht="96" customHeight="1">
      <c r="A828" s="2" t="inlineStr">
        <is>
          <t>DB-0827</t>
        </is>
      </c>
      <c r="B828" s="3" t="inlineStr">
        <is>
          <t>Chocolate Almond Protein Shake</t>
        </is>
      </c>
      <c r="C828" s="4" t="inlineStr">
        <is>
          <t>Drinks &amp; Smoothies</t>
        </is>
      </c>
      <c r="D828" s="4" t="inlineStr">
        <is>
          <t>American</t>
        </is>
      </c>
      <c r="E828" s="2" t="n">
        <v>1</v>
      </c>
      <c r="F828" s="2" t="n">
        <v>3</v>
      </c>
      <c r="G828" s="2" t="n">
        <v>0</v>
      </c>
      <c r="H828" s="2" t="n">
        <v>3</v>
      </c>
      <c r="I828" s="4" t="inlineStr">
        <is>
          <t>chocolate-almond-protein-shake.jpg</t>
        </is>
      </c>
      <c r="J828" s="3" t="inlineStr">
        <is>
          <t>Chocolate Almond Protein Shake, healthy food photography, plated, natural light</t>
        </is>
      </c>
      <c r="K828" s="4" t="inlineStr"/>
      <c r="L828" s="3" t="inlineStr">
        <is>
          <t>Almond milk, unsweetened — 300 g (10.6 oz)
Whey protein powder, unsweetened — 30 g (1.1 oz)
Cocoa powder, unsweetened — 8 g (0.3 oz)
Almond butter — 15 g (0.5 oz)
Water / ice — 80 g (2.8 oz) [ice]
Stevia (liquid) — 1 g (0.0 oz)</t>
        </is>
      </c>
      <c r="M828" s="4" t="inlineStr">
        <is>
          <t>[{"ingredient_id": "almond_milk", "name": "Almond milk, unsweetened", "grams": 300.0, "note": ""}, {"ingredient_id": "whey_protein", "name": "Whey protein powder, unsweetened", "grams": 30.0, "note": ""}, {"ingredient_id": "cocoa_powder", "name": "Cocoa powder, unsweetened", "grams": 8.0, "note": ""}, {"ingredient_id": "almond_butter", "name": "Almond butter", "grams": 15.0, "note": ""}, {"ingredient_id": "water", "name": "Water / ice", "grams": 80.0, "note": "ice"}, {"ingredient_id": "stevia", "name": "Stevia (liquid)", "grams": 1.0, "note": ""}]</t>
        </is>
      </c>
      <c r="N828" s="2" t="n">
        <v>269</v>
      </c>
      <c r="O828" s="5" t="n">
        <v>29.9</v>
      </c>
      <c r="P828" s="5" t="n">
        <v>14.6</v>
      </c>
      <c r="Q828" s="5" t="n">
        <v>11.7</v>
      </c>
      <c r="R828" s="5" t="n">
        <v>4.4</v>
      </c>
      <c r="S828" s="5" t="n">
        <v>7.2</v>
      </c>
      <c r="T828" s="2" t="n">
        <v>23</v>
      </c>
      <c r="U828" s="2" t="inlineStr">
        <is>
          <t>low</t>
        </is>
      </c>
      <c r="V828" s="5" t="n">
        <v>1.7</v>
      </c>
      <c r="W828" s="2" t="inlineStr">
        <is>
          <t>low</t>
        </is>
      </c>
      <c r="X828" s="3" t="inlineStr"/>
      <c r="Y828" s="3" t="inlineStr">
        <is>
          <t>29% of this dish's available carbohydrate comes from ingredients with a published, measured GI; the rest uses conventional placeholders (see Ingredients sheet)</t>
        </is>
      </c>
      <c r="Z828" s="2" t="n">
        <v>29</v>
      </c>
      <c r="AA828" s="3" t="inlineStr">
        <is>
          <t>vegetarian, gluten-free, low-carb, high-protein, quick</t>
        </is>
      </c>
      <c r="AB828" s="3" t="inlineStr">
        <is>
          <t>1. Blend until smooth.
2. Serve.</t>
        </is>
      </c>
      <c r="AC828" s="4" t="inlineStr">
        <is>
          <t>["Blend until smooth.", "Serve."]</t>
        </is>
      </c>
    </row>
    <row r="829" ht="96" customHeight="1">
      <c r="A829" s="2" t="inlineStr">
        <is>
          <t>DB-0828</t>
        </is>
      </c>
      <c r="B829" s="3" t="inlineStr">
        <is>
          <t>Blueberry Avocado Smoothie</t>
        </is>
      </c>
      <c r="C829" s="4" t="inlineStr">
        <is>
          <t>Drinks &amp; Smoothies</t>
        </is>
      </c>
      <c r="D829" s="4" t="inlineStr">
        <is>
          <t>American</t>
        </is>
      </c>
      <c r="E829" s="2" t="n">
        <v>1</v>
      </c>
      <c r="F829" s="2" t="n">
        <v>5</v>
      </c>
      <c r="G829" s="2" t="n">
        <v>0</v>
      </c>
      <c r="H829" s="2" t="n">
        <v>5</v>
      </c>
      <c r="I829" s="4" t="inlineStr">
        <is>
          <t>blueberry-avocado-smoothie.jpg</t>
        </is>
      </c>
      <c r="J829" s="3" t="inlineStr">
        <is>
          <t>Blueberry Avocado Smoothie, healthy food photography, plated, natural light</t>
        </is>
      </c>
      <c r="K829" s="4" t="inlineStr"/>
      <c r="L829" s="3" t="inlineStr">
        <is>
          <t>Blueberries — 90 g (3.2 oz)
Avocado — 50 g (1.8 oz)
Greek yogurt, plain 2% — 120 g (4.2 oz)
Almond milk, unsweetened — 200 g (7.1 oz)
Ground flaxseed — 8 g (0.3 oz)</t>
        </is>
      </c>
      <c r="M829" s="4" t="inlineStr">
        <is>
          <t>[{"ingredient_id": "blueberries", "name": "Blueberries", "grams": 90.0, "note": ""}, {"ingredient_id": "avocado", "name": "Avocado", "grams": 50.0, "note": ""}, {"ingredient_id": "greek_yogurt", "name": "Greek yogurt, plain 2%", "grams": 120.0, "note": ""}, {"ingredient_id": "almond_milk", "name": "Almond milk, unsweetened", "grams": 200.0, "note": ""}, {"ingredient_id": "flaxseed", "name": "Ground flaxseed", "grams": 8.0, "note": ""}]</t>
        </is>
      </c>
      <c r="N829" s="2" t="n">
        <v>292</v>
      </c>
      <c r="O829" s="5" t="n">
        <v>16.3</v>
      </c>
      <c r="P829" s="5" t="n">
        <v>15.9</v>
      </c>
      <c r="Q829" s="5" t="n">
        <v>25.6</v>
      </c>
      <c r="R829" s="5" t="n">
        <v>7.7</v>
      </c>
      <c r="S829" s="5" t="n">
        <v>18</v>
      </c>
      <c r="T829" s="2" t="n">
        <v>38</v>
      </c>
      <c r="U829" s="2" t="inlineStr">
        <is>
          <t>low</t>
        </is>
      </c>
      <c r="V829" s="5" t="n">
        <v>6.8</v>
      </c>
      <c r="W829" s="2" t="inlineStr">
        <is>
          <t>low</t>
        </is>
      </c>
      <c r="X829" s="3" t="inlineStr"/>
      <c r="Y829" s="3" t="inlineStr">
        <is>
          <t>87% of this dish's available carbohydrate comes from ingredients with a published, measured GI; the rest uses conventional placeholders (see Ingredients sheet)</t>
        </is>
      </c>
      <c r="Z829" s="2" t="n">
        <v>87</v>
      </c>
      <c r="AA829" s="3" t="inlineStr">
        <is>
          <t>vegetarian, gluten-free, high-fiber, quick, no-cook</t>
        </is>
      </c>
      <c r="AB829" s="3" t="inlineStr">
        <is>
          <t>1. Blend until creamy.
2. Serve.</t>
        </is>
      </c>
      <c r="AC829" s="4" t="inlineStr">
        <is>
          <t>["Blend until creamy.", "Serve."]</t>
        </is>
      </c>
    </row>
    <row r="830" ht="96" customHeight="1">
      <c r="A830" s="2" t="inlineStr">
        <is>
          <t>DB-0829</t>
        </is>
      </c>
      <c r="B830" s="3" t="inlineStr">
        <is>
          <t>Raspberry Chia Lemonade</t>
        </is>
      </c>
      <c r="C830" s="4" t="inlineStr">
        <is>
          <t>Drinks &amp; Smoothies</t>
        </is>
      </c>
      <c r="D830" s="4" t="inlineStr">
        <is>
          <t>American</t>
        </is>
      </c>
      <c r="E830" s="2" t="n">
        <v>2</v>
      </c>
      <c r="F830" s="2" t="n">
        <v>5</v>
      </c>
      <c r="G830" s="2" t="n">
        <v>0</v>
      </c>
      <c r="H830" s="2" t="n">
        <v>5</v>
      </c>
      <c r="I830" s="4" t="inlineStr">
        <is>
          <t>raspberry-chia-lemonade.jpg</t>
        </is>
      </c>
      <c r="J830" s="3" t="inlineStr">
        <is>
          <t>Raspberry Chia Lemonade, healthy food photography, plated, natural light</t>
        </is>
      </c>
      <c r="K830" s="4" t="inlineStr"/>
      <c r="L830" s="3" t="inlineStr">
        <is>
          <t>Raspberries — 80 g (2.8 oz)
Lemon juice — 40 g (1.4 oz)
Chia seeds — 10 g (0.4 oz)
Water / ice — 500 g (17.6 oz)
Monk fruit/erythritol sweetener — 8 g (0.3 oz)
Fresh mint — 3 g (0.1 oz)</t>
        </is>
      </c>
      <c r="M830" s="4" t="inlineStr">
        <is>
          <t>[{"ingredient_id": "raspberries", "name": "Raspberries", "grams": 80.0, "note": ""}, {"ingredient_id": "lemon_juice", "name": "Lemon juice", "grams": 40.0, "note": ""}, {"ingredient_id": "chia_seeds", "name": "Chia seeds", "grams": 10.0, "note": ""}, {"ingredient_id": "water", "name": "Water / ice", "grams": 500.0, "note": ""}, {"ingredient_id": "monk_fruit_sweetener", "name": "Monk fruit/erythritol sweetener", "grams": 8.0, "note": ""}, {"ingredient_id": "mint", "name": "Fresh mint", "grams": 3.0, "note": ""}]</t>
        </is>
      </c>
      <c r="N830" s="2" t="n">
        <v>50</v>
      </c>
      <c r="O830" s="5" t="n">
        <v>1.5</v>
      </c>
      <c r="P830" s="5" t="n">
        <v>1.9</v>
      </c>
      <c r="Q830" s="5" t="n">
        <v>8.4</v>
      </c>
      <c r="R830" s="5" t="n">
        <v>4.5</v>
      </c>
      <c r="S830" s="5" t="n">
        <v>3.9</v>
      </c>
      <c r="T830" s="2" t="n">
        <v>26</v>
      </c>
      <c r="U830" s="2" t="inlineStr">
        <is>
          <t>low</t>
        </is>
      </c>
      <c r="V830" s="5" t="n">
        <v>1</v>
      </c>
      <c r="W830" s="2" t="inlineStr">
        <is>
          <t>low</t>
        </is>
      </c>
      <c r="X830" s="3" t="inlineStr">
        <is>
          <t>Negligible carbohydrate (&lt;5 g net/serving): GI has little practical meaning, glycemic load is what matters.</t>
        </is>
      </c>
      <c r="Y830" s="3" t="inlineStr">
        <is>
          <t>0% of this dish's available carbohydrate comes from ingredients with a published, measured GI; the rest uses conventional placeholders (see Ingredients sheet)</t>
        </is>
      </c>
      <c r="Z830" s="2" t="n">
        <v>0</v>
      </c>
      <c r="AA830" s="3" t="inlineStr">
        <is>
          <t>vegan, gluten-free, dairy-free, nut-free, low-carb, no-cook</t>
        </is>
      </c>
      <c r="AB830" s="3" t="inlineStr">
        <is>
          <t>1. Muddle raspberries; add lemon, water, sweetener.
2. Stir in chia; rest 10 minutes.
3. Serve over ice with mint.</t>
        </is>
      </c>
      <c r="AC830" s="4" t="inlineStr">
        <is>
          <t>["Muddle raspberries; add lemon, water, sweetener.", "Stir in chia; rest 10 minutes.", "Serve over ice with mint."]</t>
        </is>
      </c>
    </row>
    <row r="831" ht="96" customHeight="1">
      <c r="A831" s="2" t="inlineStr">
        <is>
          <t>DB-0830</t>
        </is>
      </c>
      <c r="B831" s="3" t="inlineStr">
        <is>
          <t>Peanut Butter Cocoa Smoothie Bowl</t>
        </is>
      </c>
      <c r="C831" s="4" t="inlineStr">
        <is>
          <t>Drinks &amp; Smoothies</t>
        </is>
      </c>
      <c r="D831" s="4" t="inlineStr">
        <is>
          <t>American</t>
        </is>
      </c>
      <c r="E831" s="2" t="n">
        <v>1</v>
      </c>
      <c r="F831" s="2" t="n">
        <v>5</v>
      </c>
      <c r="G831" s="2" t="n">
        <v>0</v>
      </c>
      <c r="H831" s="2" t="n">
        <v>5</v>
      </c>
      <c r="I831" s="4" t="inlineStr">
        <is>
          <t>peanut-butter-cocoa-smoothie-bowl.jpg</t>
        </is>
      </c>
      <c r="J831" s="3" t="inlineStr">
        <is>
          <t>Peanut Butter Cocoa Smoothie Bowl, healthy food photography, plated, natural light</t>
        </is>
      </c>
      <c r="K831" s="4" t="inlineStr"/>
      <c r="L831" s="3" t="inlineStr">
        <is>
          <t>Greek yogurt, plain 2% — 150 g (5.3 oz)
Almond milk, unsweetened — 80 g (2.8 oz)
Peanut butter, natural — 16 g (0.6 oz)
Cocoa powder, unsweetened — 8 g (0.3 oz)
Whey protein powder, unsweetened — 15 g (0.5 oz)
Water / ice — 60 g (2.1 oz) [ice]
Hemp seeds — 6 g (0.2 oz)
Raspberries — 40 g (1.4 oz)</t>
        </is>
      </c>
      <c r="M831" s="4" t="inlineStr">
        <is>
          <t>[{"ingredient_id": "greek_yogurt", "name": "Greek yogurt, plain 2%", "grams": 150.0, "note": ""}, {"ingredient_id": "almond_milk", "name": "Almond milk, unsweetened", "grams": 80.0, "note": ""}, {"ingredient_id": "peanut_butter", "name": "Peanut butter, natural", "grams": 16.0, "note": ""}, {"ingredient_id": "cocoa_powder", "name": "Cocoa powder, unsweetened", "grams": 8.0, "note": ""}, {"ingredient_id": "whey_protein", "name": "Whey protein powder, unsweetened", "grams": 15.0, "note": ""}, {"ingredient_id": "water", "name": "Water / ice", "grams": 60.0, "note": "ice"}, {"ingredient_id": "hemp_seeds", "name": "Hemp seeds", "grams": 6.0, "note": ""}, {"ingredient_id": "raspberries", "name": "Raspberries", "grams": 40.0, "note": ""}]</t>
        </is>
      </c>
      <c r="N831" s="2" t="n">
        <v>345</v>
      </c>
      <c r="O831" s="5" t="n">
        <v>35.2</v>
      </c>
      <c r="P831" s="5" t="n">
        <v>17.1</v>
      </c>
      <c r="Q831" s="5" t="n">
        <v>20.8</v>
      </c>
      <c r="R831" s="5" t="n">
        <v>6.6</v>
      </c>
      <c r="S831" s="5" t="n">
        <v>14.3</v>
      </c>
      <c r="T831" s="2" t="n">
        <v>18</v>
      </c>
      <c r="U831" s="2" t="inlineStr">
        <is>
          <t>low</t>
        </is>
      </c>
      <c r="V831" s="5" t="n">
        <v>2.6</v>
      </c>
      <c r="W831" s="2" t="inlineStr">
        <is>
          <t>low</t>
        </is>
      </c>
      <c r="X831" s="3" t="inlineStr"/>
      <c r="Y831" s="3" t="inlineStr">
        <is>
          <t>49% of this dish's available carbohydrate comes from ingredients with a published, measured GI; the rest uses conventional placeholders (see Ingredients sheet)</t>
        </is>
      </c>
      <c r="Z831" s="2" t="n">
        <v>49</v>
      </c>
      <c r="AA831" s="3" t="inlineStr">
        <is>
          <t>vegetarian, gluten-free, low-carb, high-protein, quick</t>
        </is>
      </c>
      <c r="AB831" s="3" t="inlineStr">
        <is>
          <t>1. Blend yogurt, milk, peanut butter, cocoa, protein, ice until thick.
2. Bowl; top hemp seeds and raspberries.</t>
        </is>
      </c>
      <c r="AC831" s="4" t="inlineStr">
        <is>
          <t>["Blend yogurt, milk, peanut butter, cocoa, protein, ice until thick.", "Bowl; top hemp seeds and raspberries."]</t>
        </is>
      </c>
    </row>
    <row r="832" ht="96" customHeight="1">
      <c r="A832" s="2" t="inlineStr">
        <is>
          <t>DB-0831</t>
        </is>
      </c>
      <c r="B832" s="3" t="inlineStr">
        <is>
          <t>Turmeric Ginger Tea</t>
        </is>
      </c>
      <c r="C832" s="4" t="inlineStr">
        <is>
          <t>Drinks &amp; Smoothies</t>
        </is>
      </c>
      <c r="D832" s="4" t="inlineStr">
        <is>
          <t>Indian</t>
        </is>
      </c>
      <c r="E832" s="2" t="n">
        <v>2</v>
      </c>
      <c r="F832" s="2" t="n">
        <v>3</v>
      </c>
      <c r="G832" s="2" t="n">
        <v>10</v>
      </c>
      <c r="H832" s="2" t="n">
        <v>13</v>
      </c>
      <c r="I832" s="4" t="inlineStr">
        <is>
          <t>turmeric-ginger-tea.jpg</t>
        </is>
      </c>
      <c r="J832" s="3" t="inlineStr">
        <is>
          <t>Turmeric Ginger Tea, healthy food photography, plated, natural light</t>
        </is>
      </c>
      <c r="K832" s="4" t="inlineStr"/>
      <c r="L832" s="3" t="inlineStr">
        <is>
          <t>Water / ice — 600 g (21.2 oz)
Fresh ginger — 15 g (0.5 oz)
Ground turmeric — 3 g (0.1 oz)
Lemon (with juice &amp; zest) — 30 g (1.1 oz)
Black pepper — 0.2 g (0.0 oz)
Stevia (liquid) — 1 g (0.0 oz)</t>
        </is>
      </c>
      <c r="M832" s="4" t="inlineStr">
        <is>
          <t>[{"ingredient_id": "water", "name": "Water / ice", "grams": 600.0, "note": ""}, {"ingredient_id": "ginger", "name": "Fresh ginger", "grams": 15.0, "note": ""}, {"ingredient_id": "turmeric", "name": "Ground turmeric", "grams": 3.0, "note": ""}, {"ingredient_id": "lemon", "name": "Lemon (with juice &amp; zest)", "grams": 30.0, "note": ""}, {"ingredient_id": "black_pepper", "name": "Black pepper", "grams": 0.2, "note": ""}, {"ingredient_id": "stevia", "name": "Stevia (liquid)", "grams": 1.0, "note": ""}]</t>
        </is>
      </c>
      <c r="N832" s="2" t="n">
        <v>15</v>
      </c>
      <c r="O832" s="5" t="n">
        <v>0.5</v>
      </c>
      <c r="P832" s="5" t="n">
        <v>0.2</v>
      </c>
      <c r="Q832" s="5" t="n">
        <v>3.8</v>
      </c>
      <c r="R832" s="5" t="n">
        <v>0.9</v>
      </c>
      <c r="S832" s="5" t="n">
        <v>2.9</v>
      </c>
      <c r="T832" s="2" t="n">
        <v>17</v>
      </c>
      <c r="U832" s="2" t="inlineStr">
        <is>
          <t>low</t>
        </is>
      </c>
      <c r="V832" s="5" t="n">
        <v>0.5</v>
      </c>
      <c r="W832" s="2" t="inlineStr">
        <is>
          <t>low</t>
        </is>
      </c>
      <c r="X832" s="3" t="inlineStr">
        <is>
          <t>Negligible carbohydrate (&lt;5 g net/serving): GI has little practical meaning, glycemic load is what matters.</t>
        </is>
      </c>
      <c r="Y832" s="3" t="inlineStr">
        <is>
          <t>0% of this dish's available carbohydrate comes from ingredients with a published, measured GI; the rest uses conventional placeholders (see Ingredients sheet)</t>
        </is>
      </c>
      <c r="Z832" s="2" t="n">
        <v>0</v>
      </c>
      <c r="AA832" s="3" t="inlineStr">
        <is>
          <t>vegan, gluten-free, dairy-free, nut-free, low-carb</t>
        </is>
      </c>
      <c r="AB832" s="3" t="inlineStr">
        <is>
          <t>1. Simmer water with ginger and turmeric 8 minutes.
2. Strain; add lemon, pepper, stevia.
3. Serve hot.</t>
        </is>
      </c>
      <c r="AC832" s="4" t="inlineStr">
        <is>
          <t>["Simmer water with ginger and turmeric 8 minutes.", "Strain; add lemon, pepper, stevia.", "Serve hot."]</t>
        </is>
      </c>
    </row>
    <row r="833" ht="96" customHeight="1">
      <c r="A833" s="2" t="inlineStr">
        <is>
          <t>DB-0832</t>
        </is>
      </c>
      <c r="B833" s="3" t="inlineStr">
        <is>
          <t>Cinnamon Almond Milk Latte</t>
        </is>
      </c>
      <c r="C833" s="4" t="inlineStr">
        <is>
          <t>Drinks &amp; Smoothies</t>
        </is>
      </c>
      <c r="D833" s="4" t="inlineStr">
        <is>
          <t>American</t>
        </is>
      </c>
      <c r="E833" s="2" t="n">
        <v>1</v>
      </c>
      <c r="F833" s="2" t="n">
        <v>2</v>
      </c>
      <c r="G833" s="2" t="n">
        <v>4</v>
      </c>
      <c r="H833" s="2" t="n">
        <v>6</v>
      </c>
      <c r="I833" s="4" t="inlineStr">
        <is>
          <t>cinnamon-almond-milk-latte.jpg</t>
        </is>
      </c>
      <c r="J833" s="3" t="inlineStr">
        <is>
          <t>Cinnamon Almond Milk Latte, healthy food photography, plated, natural light</t>
        </is>
      </c>
      <c r="K833" s="4" t="inlineStr"/>
      <c r="L833" s="3" t="inlineStr">
        <is>
          <t>Brewed coffee / espresso — 60 g (2.1 oz) [espresso]
Almond milk, unsweetened — 250 g (8.8 oz)
Ground cinnamon — 1 g (0.0 oz)
Vanilla extract — 1 g (0.0 oz)
Stevia (liquid) — 1 g (0.0 oz)</t>
        </is>
      </c>
      <c r="M833" s="4" t="inlineStr">
        <is>
          <t>[{"ingredient_id": "coffee", "name": "Brewed coffee / espresso", "grams": 60.0, "note": "espresso"}, {"ingredient_id": "almond_milk", "name": "Almond milk, unsweetened", "grams": 250.0, "note": ""}, {"ingredient_id": "cinnamon", "name": "Ground cinnamon", "grams": 1.0, "note": ""}, {"ingredient_id": "vanilla_extract", "name": "Vanilla extract", "grams": 1.0, "note": ""}, {"ingredient_id": "stevia", "name": "Stevia (liquid)", "grams": 1.0, "note": ""}]</t>
        </is>
      </c>
      <c r="N833" s="2" t="n">
        <v>43</v>
      </c>
      <c r="O833" s="5" t="n">
        <v>1.6</v>
      </c>
      <c r="P833" s="5" t="n">
        <v>3</v>
      </c>
      <c r="Q833" s="5" t="n">
        <v>2.4</v>
      </c>
      <c r="R833" s="5" t="n">
        <v>0.5</v>
      </c>
      <c r="S833" s="5" t="n">
        <v>1.9</v>
      </c>
      <c r="T833" s="2" t="n">
        <v>20</v>
      </c>
      <c r="U833" s="2" t="inlineStr">
        <is>
          <t>low</t>
        </is>
      </c>
      <c r="V833" s="5" t="n">
        <v>0.4</v>
      </c>
      <c r="W833" s="2" t="inlineStr">
        <is>
          <t>low</t>
        </is>
      </c>
      <c r="X833" s="3" t="inlineStr">
        <is>
          <t>Negligible carbohydrate (&lt;5 g net/serving): GI has little practical meaning, glycemic load is what matters.</t>
        </is>
      </c>
      <c r="Y833" s="3" t="inlineStr">
        <is>
          <t>0% of this dish's available carbohydrate comes from ingredients with a published, measured GI; the rest uses conventional placeholders (see Ingredients sheet)</t>
        </is>
      </c>
      <c r="Z833" s="2" t="n">
        <v>0</v>
      </c>
      <c r="AA833" s="3" t="inlineStr">
        <is>
          <t>vegan, gluten-free, dairy-free, low-carb, quick</t>
        </is>
      </c>
      <c r="AB833" s="3" t="inlineStr">
        <is>
          <t>1. Steam or warm almond milk with cinnamon and vanilla; froth.
2. Pour over espresso.
3. Stevia.</t>
        </is>
      </c>
      <c r="AC833" s="4" t="inlineStr">
        <is>
          <t>["Steam or warm almond milk with cinnamon and vanilla; froth.", "Pour over espresso.", "Stevia."]</t>
        </is>
      </c>
    </row>
    <row r="834" ht="96" customHeight="1">
      <c r="A834" s="2" t="inlineStr">
        <is>
          <t>DB-0833</t>
        </is>
      </c>
      <c r="B834" s="3" t="inlineStr">
        <is>
          <t>Mango Ginger Green Smoothie (Small Fruit)</t>
        </is>
      </c>
      <c r="C834" s="4" t="inlineStr">
        <is>
          <t>Drinks &amp; Smoothies</t>
        </is>
      </c>
      <c r="D834" s="4" t="inlineStr">
        <is>
          <t>Tropical</t>
        </is>
      </c>
      <c r="E834" s="2" t="n">
        <v>1</v>
      </c>
      <c r="F834" s="2" t="n">
        <v>5</v>
      </c>
      <c r="G834" s="2" t="n">
        <v>0</v>
      </c>
      <c r="H834" s="2" t="n">
        <v>5</v>
      </c>
      <c r="I834" s="4" t="inlineStr">
        <is>
          <t>mango-ginger-green-smoothie-small-fruit.jpg</t>
        </is>
      </c>
      <c r="J834" s="3" t="inlineStr">
        <is>
          <t>Mango Ginger Green Smoothie (Small Fruit), healthy food photography, plated, natural light</t>
        </is>
      </c>
      <c r="K834" s="4" t="inlineStr"/>
      <c r="L834" s="3" t="inlineStr">
        <is>
          <t>Mango — 70 g (2.5 oz)
Spinach — 60 g (2.1 oz)
Fresh ginger — 5 g (0.2 oz)
Greek yogurt, plain 2% — 120 g (4.2 oz)
Almond milk, unsweetened — 150 g (5.3 oz)
Chia seeds — 6 g (0.2 oz)
Lime juice — 8 g (0.3 oz)</t>
        </is>
      </c>
      <c r="M834" s="4" t="inlineStr">
        <is>
          <t>[{"ingredient_id": "mango", "name": "Mango", "grams": 70.0, "note": ""}, {"ingredient_id": "spinach", "name": "Spinach", "grams": 60.0, "note": ""}, {"ingredient_id": "ginger", "name": "Fresh ginger", "grams": 5.0, "note": ""}, {"ingredient_id": "greek_yogurt", "name": "Greek yogurt, plain 2%", "grams": 120.0, "note": ""}, {"ingredient_id": "almond_milk", "name": "Almond milk, unsweetened", "grams": 150.0, "note": ""}, {"ingredient_id": "chia_seeds", "name": "Chia seeds", "grams": 6.0, "note": ""}, {"ingredient_id": "lime_juice", "name": "Lime juice", "grams": 8.0, "note": ""}]</t>
        </is>
      </c>
      <c r="N834" s="2" t="n">
        <v>201</v>
      </c>
      <c r="O834" s="5" t="n">
        <v>16.3</v>
      </c>
      <c r="P834" s="5" t="n">
        <v>6.6</v>
      </c>
      <c r="Q834" s="5" t="n">
        <v>22.5</v>
      </c>
      <c r="R834" s="5" t="n">
        <v>4.6</v>
      </c>
      <c r="S834" s="5" t="n">
        <v>17.8</v>
      </c>
      <c r="T834" s="2" t="n">
        <v>29</v>
      </c>
      <c r="U834" s="2" t="inlineStr">
        <is>
          <t>low</t>
        </is>
      </c>
      <c r="V834" s="5" t="n">
        <v>5.2</v>
      </c>
      <c r="W834" s="2" t="inlineStr">
        <is>
          <t>low</t>
        </is>
      </c>
      <c r="X834" s="3" t="inlineStr"/>
      <c r="Y834" s="3" t="inlineStr">
        <is>
          <t>79% of this dish's available carbohydrate comes from ingredients with a published, measured GI; the rest uses conventional placeholders (see Ingredients sheet)</t>
        </is>
      </c>
      <c r="Z834" s="2" t="n">
        <v>79</v>
      </c>
      <c r="AA834" s="3" t="inlineStr">
        <is>
          <t>vegetarian, gluten-free, quick, no-cook</t>
        </is>
      </c>
      <c r="AB834" s="3" t="inlineStr">
        <is>
          <t>1. Blend all until smooth.
2. Serve over ice.</t>
        </is>
      </c>
      <c r="AC834" s="4" t="inlineStr">
        <is>
          <t>["Blend all until smooth.", "Serve over ice."]</t>
        </is>
      </c>
    </row>
    <row r="835" ht="96" customHeight="1">
      <c r="A835" s="2" t="inlineStr">
        <is>
          <t>DB-0834</t>
        </is>
      </c>
      <c r="B835" s="3" t="inlineStr">
        <is>
          <t>Cherry Vanilla Protein Shake</t>
        </is>
      </c>
      <c r="C835" s="4" t="inlineStr">
        <is>
          <t>Drinks &amp; Smoothies</t>
        </is>
      </c>
      <c r="D835" s="4" t="inlineStr">
        <is>
          <t>American</t>
        </is>
      </c>
      <c r="E835" s="2" t="n">
        <v>1</v>
      </c>
      <c r="F835" s="2" t="n">
        <v>3</v>
      </c>
      <c r="G835" s="2" t="n">
        <v>0</v>
      </c>
      <c r="H835" s="2" t="n">
        <v>3</v>
      </c>
      <c r="I835" s="4" t="inlineStr">
        <is>
          <t>cherry-vanilla-protein-shake.jpg</t>
        </is>
      </c>
      <c r="J835" s="3" t="inlineStr">
        <is>
          <t>Cherry Vanilla Protein Shake, healthy food photography, plated, natural light</t>
        </is>
      </c>
      <c r="K835" s="4" t="inlineStr"/>
      <c r="L835" s="3" t="inlineStr">
        <is>
          <t>Cherries, pitted — 80 g (2.8 oz) [frozen]
Whey protein powder, unsweetened — 30 g (1.1 oz)
Almond milk, unsweetened — 280 g (9.9 oz)
Vanilla extract — 2 g (0.1 oz)
Ground flaxseed — 8 g (0.3 oz)</t>
        </is>
      </c>
      <c r="M835" s="4" t="inlineStr">
        <is>
          <t>[{"ingredient_id": "cherries", "name": "Cherries, pitted", "grams": 80.0, "note": "frozen"}, {"ingredient_id": "whey_protein", "name": "Whey protein powder, unsweetened", "grams": 30.0, "note": ""}, {"ingredient_id": "almond_milk", "name": "Almond milk, unsweetened", "grams": 280.0, "note": ""}, {"ingredient_id": "vanilla_extract", "name": "Vanilla extract", "grams": 2.0, "note": ""}, {"ingredient_id": "flaxseed", "name": "Ground flaxseed", "grams": 8.0, "note": ""}]</t>
        </is>
      </c>
      <c r="N835" s="2" t="n">
        <v>255</v>
      </c>
      <c r="O835" s="5" t="n">
        <v>27.4</v>
      </c>
      <c r="P835" s="5" t="n">
        <v>8.4</v>
      </c>
      <c r="Q835" s="5" t="n">
        <v>19.5</v>
      </c>
      <c r="R835" s="5" t="n">
        <v>4.1</v>
      </c>
      <c r="S835" s="5" t="n">
        <v>15.3</v>
      </c>
      <c r="T835" s="2" t="n">
        <v>28</v>
      </c>
      <c r="U835" s="2" t="inlineStr">
        <is>
          <t>low</t>
        </is>
      </c>
      <c r="V835" s="5" t="n">
        <v>4.3</v>
      </c>
      <c r="W835" s="2" t="inlineStr">
        <is>
          <t>low</t>
        </is>
      </c>
      <c r="X835" s="3" t="inlineStr"/>
      <c r="Y835" s="3" t="inlineStr">
        <is>
          <t>86% of this dish's available carbohydrate comes from ingredients with a published, measured GI; the rest uses conventional placeholders (see Ingredients sheet)</t>
        </is>
      </c>
      <c r="Z835" s="2" t="n">
        <v>86</v>
      </c>
      <c r="AA835" s="3" t="inlineStr">
        <is>
          <t>vegetarian, gluten-free, high-protein, quick</t>
        </is>
      </c>
      <c r="AB835" s="3" t="inlineStr">
        <is>
          <t>1. Blend until smooth.
2. Serve.</t>
        </is>
      </c>
      <c r="AC835" s="4" t="inlineStr">
        <is>
          <t>["Blend until smooth.", "Serve."]</t>
        </is>
      </c>
    </row>
    <row r="836" ht="96" customHeight="1">
      <c r="A836" s="2" t="inlineStr">
        <is>
          <t>DB-0835</t>
        </is>
      </c>
      <c r="B836" s="3" t="inlineStr">
        <is>
          <t>Cucumber Kiwi Cooler</t>
        </is>
      </c>
      <c r="C836" s="4" t="inlineStr">
        <is>
          <t>Drinks &amp; Smoothies</t>
        </is>
      </c>
      <c r="D836" s="4" t="inlineStr">
        <is>
          <t>American</t>
        </is>
      </c>
      <c r="E836" s="2" t="n">
        <v>2</v>
      </c>
      <c r="F836" s="2" t="n">
        <v>5</v>
      </c>
      <c r="G836" s="2" t="n">
        <v>0</v>
      </c>
      <c r="H836" s="2" t="n">
        <v>5</v>
      </c>
      <c r="I836" s="4" t="inlineStr">
        <is>
          <t>cucumber-kiwi-cooler.jpg</t>
        </is>
      </c>
      <c r="J836" s="3" t="inlineStr">
        <is>
          <t>Cucumber Kiwi Cooler, healthy food photography, plated, natural light</t>
        </is>
      </c>
      <c r="K836" s="4" t="inlineStr"/>
      <c r="L836" s="3" t="inlineStr">
        <is>
          <t>Cucumber — 200 g (7.1 oz)
Kiwi — 100 g (3.5 oz)
Lime juice — 20 g (0.7 oz)
Fresh mint — 4 g (0.1 oz)
Water / ice — 400 g (14.1 oz)
Stevia (liquid) — 1 g (0.0 oz)</t>
        </is>
      </c>
      <c r="M836" s="4" t="inlineStr">
        <is>
          <t>[{"ingredient_id": "cucumber", "name": "Cucumber", "grams": 200.0, "note": ""}, {"ingredient_id": "kiwi", "name": "Kiwi", "grams": 100.0, "note": ""}, {"ingredient_id": "lime_juice", "name": "Lime juice", "grams": 20.0, "note": ""}, {"ingredient_id": "mint", "name": "Fresh mint", "grams": 4.0, "note": ""}, {"ingredient_id": "water", "name": "Water / ice", "grams": 400.0, "note": ""}, {"ingredient_id": "stevia", "name": "Stevia (liquid)", "grams": 1.0, "note": ""}]</t>
        </is>
      </c>
      <c r="N836" s="2" t="n">
        <v>49</v>
      </c>
      <c r="O836" s="5" t="n">
        <v>1.4</v>
      </c>
      <c r="P836" s="5" t="n">
        <v>0.4</v>
      </c>
      <c r="Q836" s="5" t="n">
        <v>12</v>
      </c>
      <c r="R836" s="5" t="n">
        <v>2.2</v>
      </c>
      <c r="S836" s="5" t="n">
        <v>9.800000000000001</v>
      </c>
      <c r="T836" s="2" t="n">
        <v>36</v>
      </c>
      <c r="U836" s="2" t="inlineStr">
        <is>
          <t>low</t>
        </is>
      </c>
      <c r="V836" s="5" t="n">
        <v>3.5</v>
      </c>
      <c r="W836" s="2" t="inlineStr">
        <is>
          <t>low</t>
        </is>
      </c>
      <c r="X836" s="3" t="inlineStr"/>
      <c r="Y836" s="3" t="inlineStr">
        <is>
          <t>60% of this dish's available carbohydrate comes from ingredients with a published, measured GI; the rest uses conventional placeholders (see Ingredients sheet)</t>
        </is>
      </c>
      <c r="Z836" s="2" t="n">
        <v>60</v>
      </c>
      <c r="AA836" s="3" t="inlineStr">
        <is>
          <t>vegan, gluten-free, dairy-free, nut-free, low-carb, no-cook</t>
        </is>
      </c>
      <c r="AB836" s="3" t="inlineStr">
        <is>
          <t>1. Blend cucumber, kiwi, lime, mint, water, stevia.
2. Strain if desired; serve over ice.</t>
        </is>
      </c>
      <c r="AC836" s="4" t="inlineStr">
        <is>
          <t>["Blend cucumber, kiwi, lime, mint, water, stevia.", "Strain if desired; serve over ice."]</t>
        </is>
      </c>
    </row>
    <row r="837" ht="96" customHeight="1">
      <c r="A837" s="2" t="inlineStr">
        <is>
          <t>DB-0836</t>
        </is>
      </c>
      <c r="B837" s="3" t="inlineStr">
        <is>
          <t>Spiced Hot Cocoa (Sugar-Free)</t>
        </is>
      </c>
      <c r="C837" s="4" t="inlineStr">
        <is>
          <t>Drinks &amp; Smoothies</t>
        </is>
      </c>
      <c r="D837" s="4" t="inlineStr">
        <is>
          <t>Mexican</t>
        </is>
      </c>
      <c r="E837" s="2" t="n">
        <v>1</v>
      </c>
      <c r="F837" s="2" t="n">
        <v>2</v>
      </c>
      <c r="G837" s="2" t="n">
        <v>5</v>
      </c>
      <c r="H837" s="2" t="n">
        <v>7</v>
      </c>
      <c r="I837" s="4" t="inlineStr">
        <is>
          <t>spiced-hot-cocoa-sugar-free.jpg</t>
        </is>
      </c>
      <c r="J837" s="3" t="inlineStr">
        <is>
          <t>Spiced Hot Cocoa (Sugar-Free), healthy food photography, plated, natural light</t>
        </is>
      </c>
      <c r="K837" s="4" t="inlineStr"/>
      <c r="L837" s="3" t="inlineStr">
        <is>
          <t>Almond milk, unsweetened — 300 g (10.6 oz)
Cocoa powder, unsweetened — 10 g (0.4 oz)
Ground cinnamon — 1 g (0.0 oz)
Cayenne pepper — 0.2 g (0.0 oz)
Vanilla extract — 1 g (0.0 oz)
Monk fruit/erythritol sweetener — 8 g (0.3 oz)</t>
        </is>
      </c>
      <c r="M837" s="4" t="inlineStr">
        <is>
          <t>[{"ingredient_id": "almond_milk", "name": "Almond milk, unsweetened", "grams": 300.0, "note": ""}, {"ingredient_id": "cocoa_powder", "name": "Cocoa powder, unsweetened", "grams": 10.0, "note": ""}, {"ingredient_id": "cinnamon", "name": "Ground cinnamon", "grams": 1.0, "note": ""}, {"ingredient_id": "cayenne", "name": "Cayenne pepper", "grams": 0.2, "note": ""}, {"ingredient_id": "vanilla_extract", "name": "Vanilla extract", "grams": 1.0, "note": ""}, {"ingredient_id": "monk_fruit_sweetener", "name": "Monk fruit/erythritol sweetener", "grams": 8.0, "note": ""}]</t>
        </is>
      </c>
      <c r="N837" s="2" t="n">
        <v>74</v>
      </c>
      <c r="O837" s="5" t="n">
        <v>3.9</v>
      </c>
      <c r="P837" s="5" t="n">
        <v>5</v>
      </c>
      <c r="Q837" s="5" t="n">
        <v>8.699999999999999</v>
      </c>
      <c r="R837" s="5" t="n">
        <v>3.9</v>
      </c>
      <c r="S837" s="5" t="n">
        <v>4.8</v>
      </c>
      <c r="T837" s="2" t="n">
        <v>20</v>
      </c>
      <c r="U837" s="2" t="inlineStr">
        <is>
          <t>low</t>
        </is>
      </c>
      <c r="V837" s="5" t="n">
        <v>1</v>
      </c>
      <c r="W837" s="2" t="inlineStr">
        <is>
          <t>low</t>
        </is>
      </c>
      <c r="X837" s="3" t="inlineStr">
        <is>
          <t>Negligible carbohydrate (&lt;5 g net/serving): GI has little practical meaning, glycemic load is what matters.</t>
        </is>
      </c>
      <c r="Y837" s="3" t="inlineStr">
        <is>
          <t>0% of this dish's available carbohydrate comes from ingredients with a published, measured GI; the rest uses conventional placeholders (see Ingredients sheet)</t>
        </is>
      </c>
      <c r="Z837" s="2" t="n">
        <v>0</v>
      </c>
      <c r="AA837" s="3" t="inlineStr">
        <is>
          <t>vegan, gluten-free, dairy-free, low-carb, quick</t>
        </is>
      </c>
      <c r="AB837" s="3" t="inlineStr">
        <is>
          <t>1. Warm almond milk; whisk in cocoa, cinnamon, cayenne, vanilla, sweetener.
2. Froth; serve.</t>
        </is>
      </c>
      <c r="AC837" s="4" t="inlineStr">
        <is>
          <t>["Warm almond milk; whisk in cocoa, cinnamon, cayenne, vanilla, sweetener.", "Froth; serve."]</t>
        </is>
      </c>
    </row>
    <row r="838" ht="96" customHeight="1">
      <c r="A838" s="2" t="inlineStr">
        <is>
          <t>DB-0837</t>
        </is>
      </c>
      <c r="B838" s="3" t="inlineStr">
        <is>
          <t>Kefir Berry Protein Smoothie</t>
        </is>
      </c>
      <c r="C838" s="4" t="inlineStr">
        <is>
          <t>Drinks &amp; Smoothies</t>
        </is>
      </c>
      <c r="D838" s="4" t="inlineStr">
        <is>
          <t>American</t>
        </is>
      </c>
      <c r="E838" s="2" t="n">
        <v>1</v>
      </c>
      <c r="F838" s="2" t="n">
        <v>5</v>
      </c>
      <c r="G838" s="2" t="n">
        <v>0</v>
      </c>
      <c r="H838" s="2" t="n">
        <v>5</v>
      </c>
      <c r="I838" s="4" t="inlineStr">
        <is>
          <t>kefir-berry-protein-smoothie.jpg</t>
        </is>
      </c>
      <c r="J838" s="3" t="inlineStr">
        <is>
          <t>Kefir Berry Protein Smoothie, healthy food photography, plated, natural light</t>
        </is>
      </c>
      <c r="K838" s="4" t="inlineStr"/>
      <c r="L838" s="3" t="inlineStr">
        <is>
          <t>Kefir, plain — 200 g (7.1 oz)
Mixed berries, frozen — 100 g (3.5 oz)
Whey protein powder, unsweetened — 20 g (0.7 oz)
Spinach — 30 g (1.1 oz)
Hemp seeds — 8 g (0.3 oz)</t>
        </is>
      </c>
      <c r="M838" s="4" t="inlineStr">
        <is>
          <t>[{"ingredient_id": "kefir", "name": "Kefir, plain", "grams": 200.0, "note": ""}, {"ingredient_id": "mixed_berries", "name": "Mixed berries, frozen", "grams": 100.0, "note": ""}, {"ingredient_id": "whey_protein", "name": "Whey protein powder, unsweetened", "grams": 20.0, "note": ""}, {"ingredient_id": "spinach", "name": "Spinach", "grams": 30.0, "note": ""}, {"ingredient_id": "hemp_seeds", "name": "Hemp seeds", "grams": 8.0, "note": ""}]</t>
        </is>
      </c>
      <c r="N838" s="2" t="n">
        <v>254</v>
      </c>
      <c r="O838" s="5" t="n">
        <v>26.4</v>
      </c>
      <c r="P838" s="5" t="n">
        <v>7.4</v>
      </c>
      <c r="Q838" s="5" t="n">
        <v>22.4</v>
      </c>
      <c r="R838" s="5" t="n">
        <v>5.2</v>
      </c>
      <c r="S838" s="5" t="n">
        <v>17.2</v>
      </c>
      <c r="T838" s="2" t="n">
        <v>36</v>
      </c>
      <c r="U838" s="2" t="inlineStr">
        <is>
          <t>low</t>
        </is>
      </c>
      <c r="V838" s="5" t="n">
        <v>6.2</v>
      </c>
      <c r="W838" s="2" t="inlineStr">
        <is>
          <t>low</t>
        </is>
      </c>
      <c r="X838" s="3" t="inlineStr"/>
      <c r="Y838" s="3" t="inlineStr">
        <is>
          <t>55% of this dish's available carbohydrate comes from ingredients with a published, measured GI; the rest uses conventional placeholders (see Ingredients sheet)</t>
        </is>
      </c>
      <c r="Z838" s="2" t="n">
        <v>55</v>
      </c>
      <c r="AA838" s="3" t="inlineStr">
        <is>
          <t>vegetarian, gluten-free, nut-free, high-protein, probiotic, quick</t>
        </is>
      </c>
      <c r="AB838" s="3" t="inlineStr">
        <is>
          <t>1. Blend until smooth.
2. Serve.</t>
        </is>
      </c>
      <c r="AC838" s="4" t="inlineStr">
        <is>
          <t>["Blend until smooth.", "Serve."]</t>
        </is>
      </c>
    </row>
    <row r="839" ht="96" customHeight="1">
      <c r="A839" s="2" t="inlineStr">
        <is>
          <t>DB-0838</t>
        </is>
      </c>
      <c r="B839" s="3" t="inlineStr">
        <is>
          <t>Iced Matcha Latte</t>
        </is>
      </c>
      <c r="C839" s="4" t="inlineStr">
        <is>
          <t>Drinks &amp; Smoothies</t>
        </is>
      </c>
      <c r="D839" s="4" t="inlineStr">
        <is>
          <t>Japanese</t>
        </is>
      </c>
      <c r="E839" s="2" t="n">
        <v>1</v>
      </c>
      <c r="F839" s="2" t="n">
        <v>3</v>
      </c>
      <c r="G839" s="2" t="n">
        <v>0</v>
      </c>
      <c r="H839" s="2" t="n">
        <v>3</v>
      </c>
      <c r="I839" s="4" t="inlineStr">
        <is>
          <t>iced-matcha-latte.jpg</t>
        </is>
      </c>
      <c r="J839" s="3" t="inlineStr">
        <is>
          <t>Iced Matcha Latte, healthy food photography, plated, natural light</t>
        </is>
      </c>
      <c r="K839" s="4" t="inlineStr"/>
      <c r="L839" s="3" t="inlineStr">
        <is>
          <t>Brewed green tea — 3 g (0.1 oz) [1 tsp matcha]
Water / ice — 60 g (2.1 oz) [hot]
Almond milk, unsweetened — 250 g (8.8 oz)
Stevia (liquid) — 1 g (0.0 oz)
Water / ice — 100 g (3.5 oz) [ice]</t>
        </is>
      </c>
      <c r="M839" s="4" t="inlineStr">
        <is>
          <t>[{"ingredient_id": "green_tea", "name": "Brewed green tea", "grams": 3.0, "note": "1 tsp matcha"}, {"ingredient_id": "water", "name": "Water / ice", "grams": 60.0, "note": "hot"}, {"ingredient_id": "almond_milk", "name": "Almond milk, unsweetened", "grams": 250.0, "note": ""}, {"ingredient_id": "stevia", "name": "Stevia (liquid)", "grams": 1.0, "note": ""}, {"ingredient_id": "water", "name": "Water / ice", "grams": 100.0, "note": "ice"}]</t>
        </is>
      </c>
      <c r="N839" s="2" t="n">
        <v>38</v>
      </c>
      <c r="O839" s="5" t="n">
        <v>1.5</v>
      </c>
      <c r="P839" s="5" t="n">
        <v>3</v>
      </c>
      <c r="Q839" s="5" t="n">
        <v>1.5</v>
      </c>
      <c r="R839" s="5" t="n">
        <v>0</v>
      </c>
      <c r="S839" s="5" t="n">
        <v>1.5</v>
      </c>
      <c r="T839" s="2" t="n">
        <v>25</v>
      </c>
      <c r="U839" s="2" t="inlineStr">
        <is>
          <t>low</t>
        </is>
      </c>
      <c r="V839" s="5" t="n">
        <v>0.4</v>
      </c>
      <c r="W839" s="2" t="inlineStr">
        <is>
          <t>low</t>
        </is>
      </c>
      <c r="X839" s="3" t="inlineStr">
        <is>
          <t>Negligible carbohydrate (&lt;5 g net/serving): GI has little practical meaning, glycemic load is what matters.</t>
        </is>
      </c>
      <c r="Y839" s="3" t="inlineStr">
        <is>
          <t>0% of this dish's available carbohydrate comes from ingredients with a published, measured GI; the rest uses conventional placeholders (see Ingredients sheet)</t>
        </is>
      </c>
      <c r="Z839" s="2" t="n">
        <v>0</v>
      </c>
      <c r="AA839" s="3" t="inlineStr">
        <is>
          <t>vegan, gluten-free, dairy-free, low-carb, quick</t>
        </is>
      </c>
      <c r="AB839" s="3" t="inlineStr">
        <is>
          <t>1. Whisk matcha with hot water until frothy.
2. Pour over ice; add almond milk, stevia.
3. Stir.</t>
        </is>
      </c>
      <c r="AC839" s="4" t="inlineStr">
        <is>
          <t>["Whisk matcha with hot water until frothy.", "Pour over ice; add almond milk, stevia.", "Stir."]</t>
        </is>
      </c>
    </row>
    <row r="840" ht="96" customHeight="1">
      <c r="A840" s="2" t="inlineStr">
        <is>
          <t>DB-0839</t>
        </is>
      </c>
      <c r="B840" s="3" t="inlineStr">
        <is>
          <t>Avocado Cacao Smoothie</t>
        </is>
      </c>
      <c r="C840" s="4" t="inlineStr">
        <is>
          <t>Drinks &amp; Smoothies</t>
        </is>
      </c>
      <c r="D840" s="4" t="inlineStr">
        <is>
          <t>American</t>
        </is>
      </c>
      <c r="E840" s="2" t="n">
        <v>1</v>
      </c>
      <c r="F840" s="2" t="n">
        <v>5</v>
      </c>
      <c r="G840" s="2" t="n">
        <v>0</v>
      </c>
      <c r="H840" s="2" t="n">
        <v>5</v>
      </c>
      <c r="I840" s="4" t="inlineStr">
        <is>
          <t>avocado-cacao-smoothie.jpg</t>
        </is>
      </c>
      <c r="J840" s="3" t="inlineStr">
        <is>
          <t>Avocado Cacao Smoothie, healthy food photography, plated, natural light</t>
        </is>
      </c>
      <c r="K840" s="4" t="inlineStr"/>
      <c r="L840" s="3" t="inlineStr">
        <is>
          <t>Avocado — 60 g (2.1 oz)
Cocoa powder, unsweetened — 8 g (0.3 oz)
Almond milk, unsweetened — 280 g (9.9 oz)
Pea protein powder, unsweetened — 20 g (0.7 oz)
Monk fruit/erythritol sweetener — 6 g (0.2 oz)
Water / ice — 60 g (2.1 oz) [ice]
Ground cinnamon — 0.5 g (0.0 oz)</t>
        </is>
      </c>
      <c r="M840" s="4" t="inlineStr">
        <is>
          <t>[{"ingredient_id": "avocado", "name": "Avocado", "grams": 60.0, "note": ""}, {"ingredient_id": "cocoa_powder", "name": "Cocoa powder, unsweetened", "grams": 8.0, "note": ""}, {"ingredient_id": "almond_milk", "name": "Almond milk, unsweetened", "grams": 280.0, "note": ""}, {"ingredient_id": "plant_protein", "name": "Pea protein powder, unsweetened", "grams": 20.0, "note": ""}, {"ingredient_id": "monk_fruit_sweetener", "name": "Monk fruit/erythritol sweetener", "grams": 6.0, "note": ""}, {"ingredient_id": "water", "name": "Water / ice", "grams": 60.0, "note": "ice"}, {"ingredient_id": "cinnamon", "name": "Ground cinnamon", "grams": 0.5, "note": ""}]</t>
        </is>
      </c>
      <c r="N840" s="2" t="n">
        <v>232</v>
      </c>
      <c r="O840" s="5" t="n">
        <v>19.5</v>
      </c>
      <c r="P840" s="5" t="n">
        <v>14.7</v>
      </c>
      <c r="Q840" s="5" t="n">
        <v>13.4</v>
      </c>
      <c r="R840" s="5" t="n">
        <v>7.3</v>
      </c>
      <c r="S840" s="5" t="n">
        <v>6.1</v>
      </c>
      <c r="T840" s="2" t="n">
        <v>22</v>
      </c>
      <c r="U840" s="2" t="inlineStr">
        <is>
          <t>low</t>
        </is>
      </c>
      <c r="V840" s="5" t="n">
        <v>1.3</v>
      </c>
      <c r="W840" s="2" t="inlineStr">
        <is>
          <t>low</t>
        </is>
      </c>
      <c r="X840" s="3" t="inlineStr"/>
      <c r="Y840" s="3" t="inlineStr">
        <is>
          <t>0% of this dish's available carbohydrate comes from ingredients with a published, measured GI; the rest uses conventional placeholders (see Ingredients sheet)</t>
        </is>
      </c>
      <c r="Z840" s="2" t="n">
        <v>0</v>
      </c>
      <c r="AA840" s="3" t="inlineStr">
        <is>
          <t>vegan, gluten-free, dairy-free, low-carb, high-fiber, quick</t>
        </is>
      </c>
      <c r="AB840" s="3" t="inlineStr">
        <is>
          <t>1. Blend until creamy.
2. Serve.</t>
        </is>
      </c>
      <c r="AC840" s="4" t="inlineStr">
        <is>
          <t>["Blend until creamy.", "Serve."]</t>
        </is>
      </c>
    </row>
    <row r="841" ht="96" customHeight="1">
      <c r="A841" s="2" t="inlineStr">
        <is>
          <t>DB-0840</t>
        </is>
      </c>
      <c r="B841" s="3" t="inlineStr">
        <is>
          <t>Bone Broth Sipper with Ginger</t>
        </is>
      </c>
      <c r="C841" s="4" t="inlineStr">
        <is>
          <t>Drinks &amp; Smoothies</t>
        </is>
      </c>
      <c r="D841" s="4" t="inlineStr">
        <is>
          <t>American</t>
        </is>
      </c>
      <c r="E841" s="2" t="n">
        <v>1</v>
      </c>
      <c r="F841" s="2" t="n">
        <v>2</v>
      </c>
      <c r="G841" s="2" t="n">
        <v>5</v>
      </c>
      <c r="H841" s="2" t="n">
        <v>7</v>
      </c>
      <c r="I841" s="4" t="inlineStr">
        <is>
          <t>bone-broth-sipper-with-ginger.jpg</t>
        </is>
      </c>
      <c r="J841" s="3" t="inlineStr">
        <is>
          <t>Bone Broth Sipper with Ginger, healthy food photography, plated, natural light</t>
        </is>
      </c>
      <c r="K841" s="4" t="inlineStr"/>
      <c r="L841" s="3" t="inlineStr">
        <is>
          <t>Bone broth — 350 g (12.3 oz)
Fresh ginger — 5 g (0.2 oz)
Lemon (with juice &amp; zest) — 15 g (0.5 oz)
Ground turmeric — 1 g (0.0 oz)
Black pepper — 0.2 g (0.0 oz)</t>
        </is>
      </c>
      <c r="M841" s="4" t="inlineStr">
        <is>
          <t>[{"ingredient_id": "bone_broth", "name": "Bone broth", "grams": 350.0, "note": ""}, {"ingredient_id": "ginger", "name": "Fresh ginger", "grams": 5.0, "note": ""}, {"ingredient_id": "lemon", "name": "Lemon (with juice &amp; zest)", "grams": 15.0, "note": ""}, {"ingredient_id": "turmeric", "name": "Ground turmeric", "grams": 1.0, "note": ""}, {"ingredient_id": "black_pepper", "name": "Black pepper", "grams": 0.2, "note": ""}]</t>
        </is>
      </c>
      <c r="N841" s="2" t="n">
        <v>134</v>
      </c>
      <c r="O841" s="5" t="n">
        <v>28.4</v>
      </c>
      <c r="P841" s="5" t="n">
        <v>1.2</v>
      </c>
      <c r="Q841" s="5" t="n">
        <v>4.8</v>
      </c>
      <c r="R841" s="5" t="n">
        <v>0.8</v>
      </c>
      <c r="S841" s="5" t="n">
        <v>4</v>
      </c>
      <c r="T841" s="2" t="n">
        <v>10</v>
      </c>
      <c r="U841" s="2" t="inlineStr">
        <is>
          <t>low</t>
        </is>
      </c>
      <c r="V841" s="5" t="n">
        <v>0.4</v>
      </c>
      <c r="W841" s="2" t="inlineStr">
        <is>
          <t>low</t>
        </is>
      </c>
      <c r="X841" s="3" t="inlineStr">
        <is>
          <t>Negligible carbohydrate (&lt;5 g net/serving): GI has little practical meaning, glycemic load is what matters.</t>
        </is>
      </c>
      <c r="Y841" s="3" t="inlineStr">
        <is>
          <t>0% of this dish's available carbohydrate comes from ingredients with a published, measured GI; the rest uses conventional placeholders (see Ingredients sheet)</t>
        </is>
      </c>
      <c r="Z841" s="2" t="n">
        <v>0</v>
      </c>
      <c r="AA841" s="3" t="inlineStr">
        <is>
          <t>vegan, gluten-free, dairy-free, nut-free, low-carb, high-protein, quick</t>
        </is>
      </c>
      <c r="AB841" s="3" t="inlineStr">
        <is>
          <t>1. Simmer broth with ginger and turmeric 5 minutes.
2. Strain; lemon, pepper.
3. Sip warm.</t>
        </is>
      </c>
      <c r="AC841" s="4" t="inlineStr">
        <is>
          <t>["Simmer broth with ginger and turmeric 5 minutes.", "Strain; lemon, pepper.", "Sip warm."]</t>
        </is>
      </c>
    </row>
    <row r="842" ht="96" customHeight="1">
      <c r="A842" s="2" t="inlineStr">
        <is>
          <t>DB-0841</t>
        </is>
      </c>
      <c r="B842" s="3" t="inlineStr">
        <is>
          <t>Orange Carrot Ginger Smoothie (Small)</t>
        </is>
      </c>
      <c r="C842" s="4" t="inlineStr">
        <is>
          <t>Drinks &amp; Smoothies</t>
        </is>
      </c>
      <c r="D842" s="4" t="inlineStr">
        <is>
          <t>American</t>
        </is>
      </c>
      <c r="E842" s="2" t="n">
        <v>1</v>
      </c>
      <c r="F842" s="2" t="n">
        <v>5</v>
      </c>
      <c r="G842" s="2" t="n">
        <v>0</v>
      </c>
      <c r="H842" s="2" t="n">
        <v>5</v>
      </c>
      <c r="I842" s="4" t="inlineStr">
        <is>
          <t>orange-carrot-ginger-smoothie-small.jpg</t>
        </is>
      </c>
      <c r="J842" s="3" t="inlineStr">
        <is>
          <t>Orange Carrot Ginger Smoothie (Small), healthy food photography, plated, natural light</t>
        </is>
      </c>
      <c r="K842" s="4" t="inlineStr"/>
      <c r="L842" s="3" t="inlineStr">
        <is>
          <t>Orange — 80 g (2.8 oz)
Carrot — 60 g (2.1 oz)
Fresh ginger — 5 g (0.2 oz)
Greek yogurt, plain 2% — 120 g (4.2 oz)
Almond milk, unsweetened — 150 g (5.3 oz)
Ground flaxseed — 8 g (0.3 oz)
Ground turmeric — 1 g (0.0 oz)</t>
        </is>
      </c>
      <c r="M842" s="4" t="inlineStr">
        <is>
          <t>[{"ingredient_id": "orange", "name": "Orange", "grams": 80.0, "note": ""}, {"ingredient_id": "carrot", "name": "Carrot", "grams": 60.0, "note": ""}, {"ingredient_id": "ginger", "name": "Fresh ginger", "grams": 5.0, "note": ""}, {"ingredient_id": "greek_yogurt", "name": "Greek yogurt, plain 2%", "grams": 120.0, "note": ""}, {"ingredient_id": "almond_milk", "name": "Almond milk, unsweetened", "grams": 150.0, "note": ""}, {"ingredient_id": "flaxseed", "name": "Ground flaxseed", "grams": 8.0, "note": ""}, {"ingredient_id": "turmeric", "name": "Ground turmeric", "grams": 1.0, "note": ""}]</t>
        </is>
      </c>
      <c r="N842" s="2" t="n">
        <v>222</v>
      </c>
      <c r="O842" s="5" t="n">
        <v>15.8</v>
      </c>
      <c r="P842" s="5" t="n">
        <v>7.8</v>
      </c>
      <c r="Q842" s="5" t="n">
        <v>25</v>
      </c>
      <c r="R842" s="5" t="n">
        <v>6.1</v>
      </c>
      <c r="S842" s="5" t="n">
        <v>18.9</v>
      </c>
      <c r="T842" s="2" t="n">
        <v>31</v>
      </c>
      <c r="U842" s="2" t="inlineStr">
        <is>
          <t>low</t>
        </is>
      </c>
      <c r="V842" s="5" t="n">
        <v>5.8</v>
      </c>
      <c r="W842" s="2" t="inlineStr">
        <is>
          <t>low</t>
        </is>
      </c>
      <c r="X842" s="3" t="inlineStr"/>
      <c r="Y842" s="3" t="inlineStr">
        <is>
          <t>88% of this dish's available carbohydrate comes from ingredients with a published, measured GI; the rest uses conventional placeholders (see Ingredients sheet)</t>
        </is>
      </c>
      <c r="Z842" s="2" t="n">
        <v>88</v>
      </c>
      <c r="AA842" s="3" t="inlineStr">
        <is>
          <t>vegetarian, gluten-free, quick, no-cook</t>
        </is>
      </c>
      <c r="AB842" s="3" t="inlineStr">
        <is>
          <t>1. Blend until smooth.
2. Serve over ice.</t>
        </is>
      </c>
      <c r="AC842" s="4" t="inlineStr">
        <is>
          <t>["Blend until smooth.", "Serve over ice."]</t>
        </is>
      </c>
    </row>
    <row r="843" ht="96" customHeight="1">
      <c r="A843" s="2" t="inlineStr">
        <is>
          <t>DB-0842</t>
        </is>
      </c>
      <c r="B843" s="3" t="inlineStr">
        <is>
          <t>Cold Brew with Collagen &amp; Cinnamon</t>
        </is>
      </c>
      <c r="C843" s="4" t="inlineStr">
        <is>
          <t>Drinks &amp; Smoothies</t>
        </is>
      </c>
      <c r="D843" s="4" t="inlineStr">
        <is>
          <t>American</t>
        </is>
      </c>
      <c r="E843" s="2" t="n">
        <v>1</v>
      </c>
      <c r="F843" s="2" t="n">
        <v>2</v>
      </c>
      <c r="G843" s="2" t="n">
        <v>0</v>
      </c>
      <c r="H843" s="2" t="n">
        <v>2</v>
      </c>
      <c r="I843" s="4" t="inlineStr">
        <is>
          <t>cold-brew-with-collagen-and-cinnamon.jpg</t>
        </is>
      </c>
      <c r="J843" s="3" t="inlineStr">
        <is>
          <t>Cold Brew with Collagen &amp; Cinnamon, healthy food photography, plated, natural light</t>
        </is>
      </c>
      <c r="K843" s="4" t="inlineStr"/>
      <c r="L843" s="3" t="inlineStr">
        <is>
          <t>Brewed coffee / espresso — 300 g (10.6 oz) [cold brew]
Collagen peptides — 10 g (0.4 oz)
Almond milk, unsweetened — 60 g (2.1 oz)
Ground cinnamon — 0.5 g (0.0 oz)
Water / ice — 80 g (2.8 oz) [ice]</t>
        </is>
      </c>
      <c r="M843" s="4" t="inlineStr">
        <is>
          <t>[{"ingredient_id": "coffee", "name": "Brewed coffee / espresso", "grams": 300.0, "note": "cold brew"}, {"ingredient_id": "collagen", "name": "Collagen peptides", "grams": 10.0, "note": ""}, {"ingredient_id": "almond_milk", "name": "Almond milk, unsweetened", "grams": 60.0, "note": ""}, {"ingredient_id": "cinnamon", "name": "Ground cinnamon", "grams": 0.5, "note": ""}, {"ingredient_id": "water", "name": "Water / ice", "grams": 80.0, "note": "ice"}]</t>
        </is>
      </c>
      <c r="N843" s="2" t="n">
        <v>49</v>
      </c>
      <c r="O843" s="5" t="n">
        <v>9.699999999999999</v>
      </c>
      <c r="P843" s="5" t="n">
        <v>0.7</v>
      </c>
      <c r="Q843" s="5" t="n">
        <v>0.8</v>
      </c>
      <c r="R843" s="5" t="n">
        <v>0.3</v>
      </c>
      <c r="S843" s="5" t="n">
        <v>0.5</v>
      </c>
      <c r="T843" s="2" t="n">
        <v>0</v>
      </c>
      <c r="U843" s="2" t="inlineStr">
        <is>
          <t>low</t>
        </is>
      </c>
      <c r="V843" s="5" t="n">
        <v>0</v>
      </c>
      <c r="W843" s="2" t="inlineStr">
        <is>
          <t>low</t>
        </is>
      </c>
      <c r="X843" s="3" t="inlineStr">
        <is>
          <t>Negligible carbohydrate (&lt;5 g net/serving): GI has little practical meaning, glycemic load is what matters.</t>
        </is>
      </c>
      <c r="Y843" s="3" t="inlineStr">
        <is>
          <t>100% of this dish's available carbohydrate comes from ingredients with a published, measured GI; the rest uses conventional placeholders (see Ingredients sheet)</t>
        </is>
      </c>
      <c r="Z843" s="2" t="n">
        <v>100</v>
      </c>
      <c r="AA843" s="3" t="inlineStr">
        <is>
          <t>vegan, gluten-free, dairy-free, low-carb, quick</t>
        </is>
      </c>
      <c r="AB843" s="3" t="inlineStr">
        <is>
          <t>1. Stir collagen into cold brew until dissolved.
2. Add almond milk, cinnamon, ice.</t>
        </is>
      </c>
      <c r="AC843" s="4" t="inlineStr">
        <is>
          <t>["Stir collagen into cold brew until dissolved.", "Add almond milk, cinnamon, ice."]</t>
        </is>
      </c>
    </row>
    <row r="844" ht="96" customHeight="1">
      <c r="A844" s="2" t="inlineStr">
        <is>
          <t>DB-0843</t>
        </is>
      </c>
      <c r="B844" s="3" t="inlineStr">
        <is>
          <t>Strawberry Basil Refresher</t>
        </is>
      </c>
      <c r="C844" s="4" t="inlineStr">
        <is>
          <t>Drinks &amp; Smoothies</t>
        </is>
      </c>
      <c r="D844" s="4" t="inlineStr">
        <is>
          <t>American</t>
        </is>
      </c>
      <c r="E844" s="2" t="n">
        <v>2</v>
      </c>
      <c r="F844" s="2" t="n">
        <v>5</v>
      </c>
      <c r="G844" s="2" t="n">
        <v>0</v>
      </c>
      <c r="H844" s="2" t="n">
        <v>5</v>
      </c>
      <c r="I844" s="4" t="inlineStr">
        <is>
          <t>strawberry-basil-refresher.jpg</t>
        </is>
      </c>
      <c r="J844" s="3" t="inlineStr">
        <is>
          <t>Strawberry Basil Refresher, healthy food photography, plated, natural light</t>
        </is>
      </c>
      <c r="K844" s="4" t="inlineStr"/>
      <c r="L844" s="3" t="inlineStr">
        <is>
          <t>Strawberries — 120 g (4.2 oz)
Fresh basil — 4 g (0.1 oz)
Lime juice — 20 g (0.7 oz)
Sparkling water — 500 g (17.6 oz)
Stevia (liquid) — 1 g (0.0 oz)</t>
        </is>
      </c>
      <c r="M844" s="4" t="inlineStr">
        <is>
          <t>[{"ingredient_id": "strawberries", "name": "Strawberries", "grams": 120.0, "note": ""}, {"ingredient_id": "basil", "name": "Fresh basil", "grams": 4.0, "note": ""}, {"ingredient_id": "lime_juice", "name": "Lime juice", "grams": 20.0, "note": ""}, {"ingredient_id": "sparkling_water", "name": "Sparkling water", "grams": 500.0, "note": ""}, {"ingredient_id": "stevia", "name": "Stevia (liquid)", "grams": 1.0, "note": ""}]</t>
        </is>
      </c>
      <c r="N844" s="2" t="n">
        <v>22</v>
      </c>
      <c r="O844" s="5" t="n">
        <v>0.5</v>
      </c>
      <c r="P844" s="5" t="n">
        <v>0.2</v>
      </c>
      <c r="Q844" s="5" t="n">
        <v>5.5</v>
      </c>
      <c r="R844" s="5" t="n">
        <v>1.3</v>
      </c>
      <c r="S844" s="5" t="n">
        <v>4.2</v>
      </c>
      <c r="T844" s="2" t="n">
        <v>36</v>
      </c>
      <c r="U844" s="2" t="inlineStr">
        <is>
          <t>low</t>
        </is>
      </c>
      <c r="V844" s="5" t="n">
        <v>1.5</v>
      </c>
      <c r="W844" s="2" t="inlineStr">
        <is>
          <t>low</t>
        </is>
      </c>
      <c r="X844" s="3" t="inlineStr">
        <is>
          <t>Negligible carbohydrate (&lt;5 g net/serving): GI has little practical meaning, glycemic load is what matters.</t>
        </is>
      </c>
      <c r="Y844" s="3" t="inlineStr">
        <is>
          <t>81% of this dish's available carbohydrate comes from ingredients with a published, measured GI; the rest uses conventional placeholders (see Ingredients sheet)</t>
        </is>
      </c>
      <c r="Z844" s="2" t="n">
        <v>81</v>
      </c>
      <c r="AA844" s="3" t="inlineStr">
        <is>
          <t>vegan, gluten-free, dairy-free, nut-free, low-carb, no-cook</t>
        </is>
      </c>
      <c r="AB844" s="3" t="inlineStr">
        <is>
          <t>1. Muddle strawberries with basil, lime, stevia.
2. Divide into glasses; top sparkling water.
3. Ice.</t>
        </is>
      </c>
      <c r="AC844" s="4" t="inlineStr">
        <is>
          <t>["Muddle strawberries with basil, lime, stevia.", "Divide into glasses; top sparkling water.", "Ice."]</t>
        </is>
      </c>
    </row>
    <row r="845" ht="96" customHeight="1">
      <c r="A845" s="2" t="inlineStr">
        <is>
          <t>DB-0844</t>
        </is>
      </c>
      <c r="B845" s="3" t="inlineStr">
        <is>
          <t>Vanilla Almond Protein Smoothie</t>
        </is>
      </c>
      <c r="C845" s="4" t="inlineStr">
        <is>
          <t>Drinks &amp; Smoothies</t>
        </is>
      </c>
      <c r="D845" s="4" t="inlineStr">
        <is>
          <t>American</t>
        </is>
      </c>
      <c r="E845" s="2" t="n">
        <v>1</v>
      </c>
      <c r="F845" s="2" t="n">
        <v>3</v>
      </c>
      <c r="G845" s="2" t="n">
        <v>0</v>
      </c>
      <c r="H845" s="2" t="n">
        <v>3</v>
      </c>
      <c r="I845" s="4" t="inlineStr">
        <is>
          <t>vanilla-almond-protein-smoothie.jpg</t>
        </is>
      </c>
      <c r="J845" s="3" t="inlineStr">
        <is>
          <t>Vanilla Almond Protein Smoothie, healthy food photography, plated, natural light</t>
        </is>
      </c>
      <c r="K845" s="4" t="inlineStr"/>
      <c r="L845" s="3" t="inlineStr">
        <is>
          <t>Almond milk, unsweetened — 300 g (10.6 oz)
Whey protein powder, unsweetened — 30 g (1.1 oz)
Almond butter — 15 g (0.5 oz)
Vanilla extract — 2 g (0.1 oz)
Ground cinnamon — 0.5 g (0.0 oz)
Water / ice — 80 g (2.8 oz) [ice]</t>
        </is>
      </c>
      <c r="M845" s="4" t="inlineStr">
        <is>
          <t>[{"ingredient_id": "almond_milk", "name": "Almond milk, unsweetened", "grams": 300.0, "note": ""}, {"ingredient_id": "whey_protein", "name": "Whey protein powder, unsweetened", "grams": 30.0, "note": ""}, {"ingredient_id": "almond_butter", "name": "Almond butter", "grams": 15.0, "note": ""}, {"ingredient_id": "vanilla_extract", "name": "Vanilla extract", "grams": 2.0, "note": ""}, {"ingredient_id": "cinnamon", "name": "Ground cinnamon", "grams": 0.5, "note": ""}, {"ingredient_id": "water", "name": "Water / ice", "grams": 80.0, "note": "ice"}]</t>
        </is>
      </c>
      <c r="N845" s="2" t="n">
        <v>258</v>
      </c>
      <c r="O845" s="5" t="n">
        <v>28.4</v>
      </c>
      <c r="P845" s="5" t="n">
        <v>13.5</v>
      </c>
      <c r="Q845" s="5" t="n">
        <v>7.7</v>
      </c>
      <c r="R845" s="5" t="n">
        <v>2.1</v>
      </c>
      <c r="S845" s="5" t="n">
        <v>5.6</v>
      </c>
      <c r="T845" s="2" t="n">
        <v>23</v>
      </c>
      <c r="U845" s="2" t="inlineStr">
        <is>
          <t>low</t>
        </is>
      </c>
      <c r="V845" s="5" t="n">
        <v>1.3</v>
      </c>
      <c r="W845" s="2" t="inlineStr">
        <is>
          <t>low</t>
        </is>
      </c>
      <c r="X845" s="3" t="inlineStr"/>
      <c r="Y845" s="3" t="inlineStr">
        <is>
          <t>37% of this dish's available carbohydrate comes from ingredients with a published, measured GI; the rest uses conventional placeholders (see Ingredients sheet)</t>
        </is>
      </c>
      <c r="Z845" s="2" t="n">
        <v>37</v>
      </c>
      <c r="AA845" s="3" t="inlineStr">
        <is>
          <t>vegetarian, gluten-free, low-carb, high-protein, quick</t>
        </is>
      </c>
      <c r="AB845" s="3" t="inlineStr">
        <is>
          <t>1. Blend until smooth.
2. Serve.</t>
        </is>
      </c>
      <c r="AC845" s="4" t="inlineStr">
        <is>
          <t>["Blend until smooth.", "Serve."]</t>
        </is>
      </c>
    </row>
    <row r="846" ht="96" customHeight="1">
      <c r="A846" s="2" t="inlineStr">
        <is>
          <t>DB-0845</t>
        </is>
      </c>
      <c r="B846" s="3" t="inlineStr">
        <is>
          <t>Berry Iced Green Tea</t>
        </is>
      </c>
      <c r="C846" s="4" t="inlineStr">
        <is>
          <t>Drinks &amp; Smoothies</t>
        </is>
      </c>
      <c r="D846" s="4" t="inlineStr">
        <is>
          <t>American</t>
        </is>
      </c>
      <c r="E846" s="2" t="n">
        <v>4</v>
      </c>
      <c r="F846" s="2" t="n">
        <v>5</v>
      </c>
      <c r="G846" s="2" t="n">
        <v>10</v>
      </c>
      <c r="H846" s="2" t="n">
        <v>15</v>
      </c>
      <c r="I846" s="4" t="inlineStr">
        <is>
          <t>berry-iced-green-tea.jpg</t>
        </is>
      </c>
      <c r="J846" s="3" t="inlineStr">
        <is>
          <t>Berry Iced Green Tea, healthy food photography, plated, natural light</t>
        </is>
      </c>
      <c r="K846" s="4" t="inlineStr"/>
      <c r="L846" s="3" t="inlineStr">
        <is>
          <t>Brewed green tea — 1000 g (35.3 oz)
Mixed berries, frozen — 100 g (3.5 oz)
Lemon (with juice &amp; zest) — 40 g (1.4 oz)
Fresh mint — 6 g (0.2 oz)
Stevia (liquid) — 2 g (0.1 oz)</t>
        </is>
      </c>
      <c r="M846" s="4" t="inlineStr">
        <is>
          <t>[{"ingredient_id": "green_tea", "name": "Brewed green tea", "grams": 1000.0, "note": ""}, {"ingredient_id": "mixed_berries", "name": "Mixed berries, frozen", "grams": 100.0, "note": ""}, {"ingredient_id": "lemon", "name": "Lemon (with juice &amp; zest)", "grams": 40.0, "note": ""}, {"ingredient_id": "mint", "name": "Fresh mint", "grams": 6.0, "note": ""}, {"ingredient_id": "stevia", "name": "Stevia (liquid)", "grams": 2.0, "note": ""}]</t>
        </is>
      </c>
      <c r="N846" s="2" t="n">
        <v>15</v>
      </c>
      <c r="O846" s="5" t="n">
        <v>0.4</v>
      </c>
      <c r="P846" s="5" t="n">
        <v>0.1</v>
      </c>
      <c r="Q846" s="5" t="n">
        <v>3.8</v>
      </c>
      <c r="R846" s="5" t="n">
        <v>1.4</v>
      </c>
      <c r="S846" s="5" t="n">
        <v>2.4</v>
      </c>
      <c r="T846" s="2" t="n">
        <v>34</v>
      </c>
      <c r="U846" s="2" t="inlineStr">
        <is>
          <t>low</t>
        </is>
      </c>
      <c r="V846" s="5" t="n">
        <v>0.8</v>
      </c>
      <c r="W846" s="2" t="inlineStr">
        <is>
          <t>low</t>
        </is>
      </c>
      <c r="X846" s="3" t="inlineStr">
        <is>
          <t>Negligible carbohydrate (&lt;5 g net/serving): GI has little practical meaning, glycemic load is what matters.</t>
        </is>
      </c>
      <c r="Y846" s="3" t="inlineStr">
        <is>
          <t>0% of this dish's available carbohydrate comes from ingredients with a published, measured GI; the rest uses conventional placeholders (see Ingredients sheet)</t>
        </is>
      </c>
      <c r="Z846" s="2" t="n">
        <v>0</v>
      </c>
      <c r="AA846" s="3" t="inlineStr">
        <is>
          <t>vegan, gluten-free, dairy-free, nut-free, low-carb</t>
        </is>
      </c>
      <c r="AB846" s="3" t="inlineStr">
        <is>
          <t>1. Brew tea; steep with crushed berries 10 minutes; strain.
2. Cool; add lemon, mint, stevia.
3. Serve over ice.</t>
        </is>
      </c>
      <c r="AC846" s="4" t="inlineStr">
        <is>
          <t>["Brew tea; steep with crushed berries 10 minutes; strain.", "Cool; add lemon, mint, stevia.", "Serve over ice."]</t>
        </is>
      </c>
    </row>
    <row r="847" ht="96" customHeight="1">
      <c r="A847" s="2" t="inlineStr">
        <is>
          <t>DB-0846</t>
        </is>
      </c>
      <c r="B847" s="3" t="inlineStr">
        <is>
          <t>Turkey Avocado Lettuce Wrap</t>
        </is>
      </c>
      <c r="C847" s="4" t="inlineStr">
        <is>
          <t>Sandwiches &amp; Wraps</t>
        </is>
      </c>
      <c r="D847" s="4" t="inlineStr">
        <is>
          <t>American</t>
        </is>
      </c>
      <c r="E847" s="2" t="n">
        <v>2</v>
      </c>
      <c r="F847" s="2" t="n">
        <v>8</v>
      </c>
      <c r="G847" s="2" t="n">
        <v>0</v>
      </c>
      <c r="H847" s="2" t="n">
        <v>8</v>
      </c>
      <c r="I847" s="4" t="inlineStr">
        <is>
          <t>turkey-avocado-lettuce-wrap.jpg</t>
        </is>
      </c>
      <c r="J847" s="3" t="inlineStr">
        <is>
          <t>Turkey Avocado Lettuce Wrap, healthy food photography, plated, natural light</t>
        </is>
      </c>
      <c r="K847" s="4" t="inlineStr"/>
      <c r="L847" s="3" t="inlineStr">
        <is>
          <t>Deli turkey breast, low sodium — 200 g (7.1 oz)
Avocado — 100 g (3.5 oz)
Tomato — 100 g (3.5 oz)
Red onion — 30 g (1.1 oz)
Romaine lettuce — 120 g (4.2 oz)
Dijon mustard — 10 g (0.4 oz)
Swiss cheese — 40 g (1.4 oz)</t>
        </is>
      </c>
      <c r="M847" s="4" t="inlineStr">
        <is>
          <t>[{"ingredient_id": "deli_turkey", "name": "Deli turkey breast, low sodium", "grams": 200.0, "note": ""}, {"ingredient_id": "avocado", "name": "Avocado", "grams": 100.0, "note": ""}, {"ingredient_id": "tomato", "name": "Tomato", "grams": 100.0, "note": ""}, {"ingredient_id": "red_onion", "name": "Red onion", "grams": 30.0, "note": ""}, {"ingredient_id": "romaine", "name": "Romaine lettuce", "grams": 120.0, "note": ""}, {"ingredient_id": "dijon", "name": "Dijon mustard", "grams": 10.0, "note": ""}, {"ingredient_id": "swiss_cheese", "name": "Swiss cheese", "grams": 40.0, "note": ""}]</t>
        </is>
      </c>
      <c r="N847" s="2" t="n">
        <v>288</v>
      </c>
      <c r="O847" s="5" t="n">
        <v>24.9</v>
      </c>
      <c r="P847" s="5" t="n">
        <v>15.1</v>
      </c>
      <c r="Q847" s="5" t="n">
        <v>14.1</v>
      </c>
      <c r="R847" s="5" t="n">
        <v>5.6</v>
      </c>
      <c r="S847" s="5" t="n">
        <v>8.5</v>
      </c>
      <c r="T847" s="2" t="n">
        <v>7</v>
      </c>
      <c r="U847" s="2" t="inlineStr">
        <is>
          <t>low</t>
        </is>
      </c>
      <c r="V847" s="5" t="n">
        <v>0.6</v>
      </c>
      <c r="W847" s="2" t="inlineStr">
        <is>
          <t>low</t>
        </is>
      </c>
      <c r="X847" s="3" t="inlineStr"/>
      <c r="Y847" s="3" t="inlineStr">
        <is>
          <t>0% of this dish's available carbohydrate comes from ingredients with a published, measured GI; the rest uses conventional placeholders (see Ingredients sheet)</t>
        </is>
      </c>
      <c r="Z847" s="2" t="n">
        <v>0</v>
      </c>
      <c r="AA847" s="3" t="inlineStr">
        <is>
          <t>gluten-free, nut-free, low-carb, no-cook, quick</t>
        </is>
      </c>
      <c r="AB847" s="3" t="inlineStr">
        <is>
          <t>1. Lay romaine leaves; spread Dijon.
2. Layer turkey, cheese, avocado, tomato, onion.
3. Roll and secure.</t>
        </is>
      </c>
      <c r="AC847" s="4" t="inlineStr">
        <is>
          <t>["Lay romaine leaves; spread Dijon.", "Layer turkey, cheese, avocado, tomato, onion.", "Roll and secure."]</t>
        </is>
      </c>
    </row>
    <row r="848" ht="96" customHeight="1">
      <c r="A848" s="2" t="inlineStr">
        <is>
          <t>DB-0847</t>
        </is>
      </c>
      <c r="B848" s="3" t="inlineStr">
        <is>
          <t>Chicken Caesar Low-Carb Wrap</t>
        </is>
      </c>
      <c r="C848" s="4" t="inlineStr">
        <is>
          <t>Sandwiches &amp; Wraps</t>
        </is>
      </c>
      <c r="D848" s="4" t="inlineStr">
        <is>
          <t>American</t>
        </is>
      </c>
      <c r="E848" s="2" t="n">
        <v>2</v>
      </c>
      <c r="F848" s="2" t="n">
        <v>10</v>
      </c>
      <c r="G848" s="2" t="n">
        <v>0</v>
      </c>
      <c r="H848" s="2" t="n">
        <v>10</v>
      </c>
      <c r="I848" s="4" t="inlineStr">
        <is>
          <t>chicken-caesar-low-carb-wrap.jpg</t>
        </is>
      </c>
      <c r="J848" s="3" t="inlineStr">
        <is>
          <t>Chicken Caesar Low-Carb Wrap, healthy food photography, plated, natural light</t>
        </is>
      </c>
      <c r="K848" s="4" t="inlineStr"/>
      <c r="L848" s="3" t="inlineStr">
        <is>
          <t>Rotisserie chicken, skin removed — 250 g (8.8 oz)
Romaine lettuce — 120 g (4.2 oz)
Parmesan, grated — 20 g (0.7 oz)
Greek yogurt, plain 2% — 50 g (1.8 oz)
Lemon juice — 10 g (0.4 oz)
Dijon mustard — 5 g (0.2 oz)
Anchovies, canned — 5 g (0.2 oz)
Low-carb high-fiber tortilla — 84 g (3.0 oz) [2 tortillas]</t>
        </is>
      </c>
      <c r="M848" s="4" t="inlineStr">
        <is>
          <t>[{"ingredient_id": "rotisserie_chicken", "name": "Rotisserie chicken, skin removed", "grams": 250.0, "note": ""}, {"ingredient_id": "romaine", "name": "Romaine lettuce", "grams": 120.0, "note": ""}, {"ingredient_id": "parmesan", "name": "Parmesan, grated", "grams": 20.0, "note": ""}, {"ingredient_id": "greek_yogurt", "name": "Greek yogurt, plain 2%", "grams": 50.0, "note": ""}, {"ingredient_id": "lemon_juice", "name": "Lemon juice", "grams": 10.0, "note": ""}, {"ingredient_id": "dijon", "name": "Dijon mustard", "grams": 5.0, "note": ""}, {"ingredient_id": "anchovies", "name": "Anchovies, canned", "grams": 5.0, "note": ""}, {"ingredient_id": "low_carb_tortilla", "name": "Low-carb high-fiber tortilla", "grams": 84.0, "note": "2 tortillas"}]</t>
        </is>
      </c>
      <c r="N848" s="2" t="n">
        <v>385</v>
      </c>
      <c r="O848" s="5" t="n">
        <v>41.7</v>
      </c>
      <c r="P848" s="5" t="n">
        <v>16</v>
      </c>
      <c r="Q848" s="5" t="n">
        <v>20.7</v>
      </c>
      <c r="R848" s="5" t="n">
        <v>11.8</v>
      </c>
      <c r="S848" s="5" t="n">
        <v>8.800000000000001</v>
      </c>
      <c r="T848" s="2" t="n">
        <v>25</v>
      </c>
      <c r="U848" s="2" t="inlineStr">
        <is>
          <t>low</t>
        </is>
      </c>
      <c r="V848" s="5" t="n">
        <v>2.2</v>
      </c>
      <c r="W848" s="2" t="inlineStr">
        <is>
          <t>low</t>
        </is>
      </c>
      <c r="X848" s="3" t="inlineStr"/>
      <c r="Y848" s="3" t="inlineStr">
        <is>
          <t>11% of this dish's available carbohydrate comes from ingredients with a published, measured GI; the rest uses conventional placeholders (see Ingredients sheet)</t>
        </is>
      </c>
      <c r="Z848" s="2" t="n">
        <v>11</v>
      </c>
      <c r="AA848" s="3" t="inlineStr">
        <is>
          <t>nut-free, low-carb, high-protein, high-fiber, no-cook, quick</t>
        </is>
      </c>
      <c r="AB848" s="3" t="inlineStr">
        <is>
          <t>1. Whisk yogurt, lemon, Dijon, mashed anchovy.
2. Toss chicken, romaine, parmesan with dressing.
3. Roll in tortillas.</t>
        </is>
      </c>
      <c r="AC848" s="4" t="inlineStr">
        <is>
          <t>["Whisk yogurt, lemon, Dijon, mashed anchovy.", "Toss chicken, romaine, parmesan with dressing.", "Roll in tortillas."]</t>
        </is>
      </c>
    </row>
    <row r="849" ht="96" customHeight="1">
      <c r="A849" s="2" t="inlineStr">
        <is>
          <t>DB-0848</t>
        </is>
      </c>
      <c r="B849" s="3" t="inlineStr">
        <is>
          <t>Egg Salad Sandwich on Sprouted Bread</t>
        </is>
      </c>
      <c r="C849" s="4" t="inlineStr">
        <is>
          <t>Sandwiches &amp; Wraps</t>
        </is>
      </c>
      <c r="D849" s="4" t="inlineStr">
        <is>
          <t>American</t>
        </is>
      </c>
      <c r="E849" s="2" t="n">
        <v>2</v>
      </c>
      <c r="F849" s="2" t="n">
        <v>10</v>
      </c>
      <c r="G849" s="2" t="n">
        <v>10</v>
      </c>
      <c r="H849" s="2" t="n">
        <v>20</v>
      </c>
      <c r="I849" s="4" t="inlineStr">
        <is>
          <t>egg-salad-sandwich-on-sprouted-bread.jpg</t>
        </is>
      </c>
      <c r="J849" s="3" t="inlineStr">
        <is>
          <t>Egg Salad Sandwich on Sprouted Bread, healthy food photography, plated, natural light</t>
        </is>
      </c>
      <c r="K849" s="4" t="inlineStr"/>
      <c r="L849" s="3" t="inlineStr">
        <is>
          <t>Egg, large (50 g each) — 200 g (7.1 oz) [4 hard-boiled eggs]
Greek yogurt, plain 2% — 40 g (1.4 oz)
Mayonnaise (avocado oil) — 15 g (0.5 oz)
Dijon mustard — 8 g (0.3 oz)
Celery — 40 g (1.4 oz)
Fresh chives — 4 g (0.1 oz)
Sprouted grain bread (Ezekiel-style) — 136 g (4.8 oz) [4 slices]
Butter lettuce — 40 g (1.4 oz)
Salt — 1 g (0.0 oz)</t>
        </is>
      </c>
      <c r="M849" s="4" t="inlineStr">
        <is>
          <t>[{"ingredient_id": "egg", "name": "Egg, large (50 g each)", "grams": 200.0, "note": "4 hard-boiled eggs"}, {"ingredient_id": "greek_yogurt", "name": "Greek yogurt, plain 2%", "grams": 40.0, "note": ""}, {"ingredient_id": "mayo", "name": "Mayonnaise (avocado oil)", "grams": 15.0, "note": ""}, {"ingredient_id": "dijon", "name": "Dijon mustard", "grams": 8.0, "note": ""}, {"ingredient_id": "celery", "name": "Celery", "grams": 40.0, "note": ""}, {"ingredient_id": "chives", "name": "Fresh chives", "grams": 4.0, "note": ""}, {"ingredient_id": "ezekiel_bread", "name": "Sprouted grain bread (Ezekiel-style)", "grams": 136.0, "note": "4 slices"}, {"ingredient_id": "butter_lettuce", "name": "Butter lettuce", "grams": 40.0, "note": ""}, {"ingredient_id": "salt", "name": "Salt", "grams": 1.0, "note": ""}]</t>
        </is>
      </c>
      <c r="N849" s="2" t="n">
        <v>379</v>
      </c>
      <c r="O849" s="5" t="n">
        <v>23.4</v>
      </c>
      <c r="P849" s="5" t="n">
        <v>17</v>
      </c>
      <c r="Q849" s="5" t="n">
        <v>32.7</v>
      </c>
      <c r="R849" s="5" t="n">
        <v>6.8</v>
      </c>
      <c r="S849" s="5" t="n">
        <v>25.9</v>
      </c>
      <c r="T849" s="2" t="n">
        <v>58</v>
      </c>
      <c r="U849" s="2" t="inlineStr">
        <is>
          <t>medium</t>
        </is>
      </c>
      <c r="V849" s="5" t="n">
        <v>15</v>
      </c>
      <c r="W849" s="2" t="inlineStr">
        <is>
          <t>medium</t>
        </is>
      </c>
      <c r="X849" s="3" t="inlineStr">
        <is>
          <t>Medium-GI dish: keep to the stated portion and pair with the protein/fat in the recipe; GL per serving is the better guide.</t>
        </is>
      </c>
      <c r="Y849" s="3" t="inlineStr">
        <is>
          <t>95% of this dish's available carbohydrate comes from ingredients with a published, measured GI; the rest uses conventional placeholders (see Ingredients sheet)</t>
        </is>
      </c>
      <c r="Z849" s="2" t="n">
        <v>95</v>
      </c>
      <c r="AA849" s="3" t="inlineStr">
        <is>
          <t>vegetarian, gluten-free, nut-free</t>
        </is>
      </c>
      <c r="AB849" s="3" t="inlineStr">
        <is>
          <t>1. Chop eggs; mix with yogurt, mayo, Dijon, celery, chives, salt.
2. Toast bread.
3. Assemble with lettuce.</t>
        </is>
      </c>
      <c r="AC849" s="4" t="inlineStr">
        <is>
          <t>["Chop eggs; mix with yogurt, mayo, Dijon, celery, chives, salt.", "Toast bread.", "Assemble with lettuce."]</t>
        </is>
      </c>
    </row>
    <row r="850" ht="96" customHeight="1">
      <c r="A850" s="2" t="inlineStr">
        <is>
          <t>DB-0849</t>
        </is>
      </c>
      <c r="B850" s="3" t="inlineStr">
        <is>
          <t>Tuna Avocado Lettuce Wraps</t>
        </is>
      </c>
      <c r="C850" s="4" t="inlineStr">
        <is>
          <t>Sandwiches &amp; Wraps</t>
        </is>
      </c>
      <c r="D850" s="4" t="inlineStr">
        <is>
          <t>American</t>
        </is>
      </c>
      <c r="E850" s="2" t="n">
        <v>2</v>
      </c>
      <c r="F850" s="2" t="n">
        <v>8</v>
      </c>
      <c r="G850" s="2" t="n">
        <v>0</v>
      </c>
      <c r="H850" s="2" t="n">
        <v>8</v>
      </c>
      <c r="I850" s="4" t="inlineStr">
        <is>
          <t>tuna-avocado-lettuce-wraps.jpg</t>
        </is>
      </c>
      <c r="J850" s="3" t="inlineStr">
        <is>
          <t>Tuna Avocado Lettuce Wraps, healthy food photography, plated, natural light</t>
        </is>
      </c>
      <c r="K850" s="4" t="inlineStr"/>
      <c r="L850" s="3" t="inlineStr">
        <is>
          <t>Tuna, canned in water — 170 g (6.0 oz)
Avocado — 80 g (2.8 oz)
Lemon juice — 10 g (0.4 oz)
Red onion — 20 g (0.7 oz)
Celery — 40 g (1.4 oz)
Butter lettuce — 120 g (4.2 oz)
Hot sauce (Tabasco/Frank's) — 3 g (0.1 oz)</t>
        </is>
      </c>
      <c r="M850" s="4" t="inlineStr">
        <is>
          <t>[{"ingredient_id": "tuna_canned", "name": "Tuna, canned in water", "grams": 170.0, "note": ""}, {"ingredient_id": "avocado", "name": "Avocado", "grams": 80.0, "note": ""}, {"ingredient_id": "lemon_juice", "name": "Lemon juice", "grams": 10.0, "note": ""}, {"ingredient_id": "red_onion", "name": "Red onion", "grams": 20.0, "note": ""}, {"ingredient_id": "celery", "name": "Celery", "grams": 40.0, "note": ""}, {"ingredient_id": "butter_lettuce", "name": "Butter lettuce", "grams": 120.0, "note": ""}, {"ingredient_id": "hot_sauce", "name": "Hot sauce (Tabasco/Frank's)", "grams": 3.0, "note": ""}]</t>
        </is>
      </c>
      <c r="N850" s="2" t="n">
        <v>179</v>
      </c>
      <c r="O850" s="5" t="n">
        <v>24</v>
      </c>
      <c r="P850" s="5" t="n">
        <v>7</v>
      </c>
      <c r="Q850" s="5" t="n">
        <v>6.6</v>
      </c>
      <c r="R850" s="5" t="n">
        <v>3.8</v>
      </c>
      <c r="S850" s="5" t="n">
        <v>2.8</v>
      </c>
      <c r="T850" s="2" t="n">
        <v>16</v>
      </c>
      <c r="U850" s="2" t="inlineStr">
        <is>
          <t>low</t>
        </is>
      </c>
      <c r="V850" s="5" t="n">
        <v>0.4</v>
      </c>
      <c r="W850" s="2" t="inlineStr">
        <is>
          <t>low</t>
        </is>
      </c>
      <c r="X850" s="3" t="inlineStr">
        <is>
          <t>Negligible carbohydrate (&lt;5 g net/serving): GI has little practical meaning, glycemic load is what matters.</t>
        </is>
      </c>
      <c r="Y850" s="3" t="inlineStr">
        <is>
          <t>0% of this dish's available carbohydrate comes from ingredients with a published, measured GI; the rest uses conventional placeholders (see Ingredients sheet)</t>
        </is>
      </c>
      <c r="Z850" s="2" t="n">
        <v>0</v>
      </c>
      <c r="AA850" s="3" t="inlineStr">
        <is>
          <t>pescatarian, gluten-free, dairy-free, nut-free, low-carb, no-cook, quick</t>
        </is>
      </c>
      <c r="AB850" s="3" t="inlineStr">
        <is>
          <t>1. Mash avocado with lemon; fold in tuna, onion, celery.
2. Spoon into lettuce.
3. Hot sauce.</t>
        </is>
      </c>
      <c r="AC850" s="4" t="inlineStr">
        <is>
          <t>["Mash avocado with lemon; fold in tuna, onion, celery.", "Spoon into lettuce.", "Hot sauce."]</t>
        </is>
      </c>
    </row>
    <row r="851" ht="96" customHeight="1">
      <c r="A851" s="2" t="inlineStr">
        <is>
          <t>DB-0850</t>
        </is>
      </c>
      <c r="B851" s="3" t="inlineStr">
        <is>
          <t>Grilled Chicken Pesto Sandwich (Open-Faced)</t>
        </is>
      </c>
      <c r="C851" s="4" t="inlineStr">
        <is>
          <t>Sandwiches &amp; Wraps</t>
        </is>
      </c>
      <c r="D851" s="4" t="inlineStr">
        <is>
          <t>Italian</t>
        </is>
      </c>
      <c r="E851" s="2" t="n">
        <v>2</v>
      </c>
      <c r="F851" s="2" t="n">
        <v>5</v>
      </c>
      <c r="G851" s="2" t="n">
        <v>12</v>
      </c>
      <c r="H851" s="2" t="n">
        <v>17</v>
      </c>
      <c r="I851" s="4" t="inlineStr">
        <is>
          <t>grilled-chicken-pesto-sandwich-open-faced.jpg</t>
        </is>
      </c>
      <c r="J851" s="3" t="inlineStr">
        <is>
          <t>Grilled Chicken Pesto Sandwich (Open-Faced), healthy food photography, plated, natural light</t>
        </is>
      </c>
      <c r="K851" s="4" t="inlineStr"/>
      <c r="L851" s="3" t="inlineStr">
        <is>
          <t>Chicken breast, skinless — 250 g (8.8 oz)
Basil pesto — 25 g (0.9 oz)
Whole wheat bread (100% whole wheat) — 70 g (2.5 oz) [2 slices]
Tomato — 100 g (3.5 oz)
Mozzarella, part-skim — 50 g (1.8 oz)
Arugula — 30 g (1.1 oz)
Extra-virgin olive oil — 5 g (0.2 oz)</t>
        </is>
      </c>
      <c r="M851" s="4" t="inlineStr">
        <is>
          <t>[{"ingredient_id": "chicken_breast", "name": "Chicken breast, skinless", "grams": 250.0, "note": ""}, {"ingredient_id": "pesto", "name": "Basil pesto", "grams": 25.0, "note": ""}, {"ingredient_id": "whole_grain_bread", "name": "Whole wheat bread (100% whole wheat)", "grams": 70.0, "note": "2 slices"}, {"ingredient_id": "tomato", "name": "Tomato", "grams": 100.0, "note": ""}, {"ingredient_id": "mozzarella", "name": "Mozzarella, part-skim", "grams": 50.0, "note": ""}, {"ingredient_id": "arugula", "name": "Arugula", "grams": 30.0, "note": ""}, {"ingredient_id": "olive_oil", "name": "Extra-virgin olive oil", "grams": 5.0, "note": ""}]</t>
        </is>
      </c>
      <c r="N851" s="2" t="n">
        <v>386</v>
      </c>
      <c r="O851" s="5" t="n">
        <v>39.8</v>
      </c>
      <c r="P851" s="5" t="n">
        <v>16.2</v>
      </c>
      <c r="Q851" s="5" t="n">
        <v>19.1</v>
      </c>
      <c r="R851" s="5" t="n">
        <v>3.4</v>
      </c>
      <c r="S851" s="5" t="n">
        <v>15.7</v>
      </c>
      <c r="T851" s="2" t="n">
        <v>60</v>
      </c>
      <c r="U851" s="2" t="inlineStr">
        <is>
          <t>medium</t>
        </is>
      </c>
      <c r="V851" s="5" t="n">
        <v>9.4</v>
      </c>
      <c r="W851" s="2" t="inlineStr">
        <is>
          <t>low</t>
        </is>
      </c>
      <c r="X851" s="3" t="inlineStr">
        <is>
          <t>Medium-GI dish: keep to the stated portion and pair with the protein/fat in the recipe; GL per serving is the better guide.</t>
        </is>
      </c>
      <c r="Y851" s="3" t="inlineStr">
        <is>
          <t>81% of this dish's available carbohydrate comes from ingredients with a published, measured GI; the rest uses conventional placeholders (see Ingredients sheet)</t>
        </is>
      </c>
      <c r="Z851" s="2" t="n">
        <v>81</v>
      </c>
      <c r="AA851" s="3" t="inlineStr">
        <is>
          <t>high-protein</t>
        </is>
      </c>
      <c r="AB851" s="3" t="inlineStr">
        <is>
          <t>1. Grill chicken; slice.
2. Toast bread; spread pesto; layer chicken, tomato, mozzarella.
3. Broil 2 minutes; arugula.</t>
        </is>
      </c>
      <c r="AC851" s="4" t="inlineStr">
        <is>
          <t>["Grill chicken; slice.", "Toast bread; spread pesto; layer chicken, tomato, mozzarella.", "Broil 2 minutes; arugula."]</t>
        </is>
      </c>
    </row>
    <row r="852" ht="96" customHeight="1">
      <c r="A852" s="2" t="inlineStr">
        <is>
          <t>DB-0851</t>
        </is>
      </c>
      <c r="B852" s="3" t="inlineStr">
        <is>
          <t>Smoked Salmon Cucumber 'Sandwiches'</t>
        </is>
      </c>
      <c r="C852" s="4" t="inlineStr">
        <is>
          <t>Sandwiches &amp; Wraps</t>
        </is>
      </c>
      <c r="D852" s="4" t="inlineStr">
        <is>
          <t>Scandinavian</t>
        </is>
      </c>
      <c r="E852" s="2" t="n">
        <v>2</v>
      </c>
      <c r="F852" s="2" t="n">
        <v>8</v>
      </c>
      <c r="G852" s="2" t="n">
        <v>0</v>
      </c>
      <c r="H852" s="2" t="n">
        <v>8</v>
      </c>
      <c r="I852" s="4" t="inlineStr">
        <is>
          <t>smoked-salmon-cucumber-sandwiches.jpg</t>
        </is>
      </c>
      <c r="J852" s="3" t="inlineStr">
        <is>
          <t>Smoked Salmon Cucumber 'Sandwiches', healthy food photography, plated, natural light</t>
        </is>
      </c>
      <c r="K852" s="4" t="inlineStr"/>
      <c r="L852" s="3" t="inlineStr">
        <is>
          <t>Cucumber — 300 g (10.6 oz)
Smoked salmon — 100 g (3.5 oz)
Cream cheese — 40 g (1.4 oz)
Fresh dill — 4 g (0.1 oz)
Capers — 6 g (0.2 oz)
Red onion — 15 g (0.5 oz)</t>
        </is>
      </c>
      <c r="M852" s="4" t="inlineStr">
        <is>
          <t>[{"ingredient_id": "cucumber", "name": "Cucumber", "grams": 300.0, "note": ""}, {"ingredient_id": "smoked_salmon", "name": "Smoked salmon", "grams": 100.0, "note": ""}, {"ingredient_id": "cream_cheese", "name": "Cream cheese", "grams": 40.0, "note": ""}, {"ingredient_id": "dill", "name": "Fresh dill", "grams": 4.0, "note": ""}, {"ingredient_id": "capers", "name": "Capers", "grams": 6.0, "note": ""}, {"ingredient_id": "red_onion", "name": "Red onion", "grams": 15.0, "note": ""}]</t>
        </is>
      </c>
      <c r="N852" s="2" t="n">
        <v>154</v>
      </c>
      <c r="O852" s="5" t="n">
        <v>11.5</v>
      </c>
      <c r="P852" s="5" t="n">
        <v>9.199999999999999</v>
      </c>
      <c r="Q852" s="5" t="n">
        <v>7.2</v>
      </c>
      <c r="R852" s="5" t="n">
        <v>1</v>
      </c>
      <c r="S852" s="5" t="n">
        <v>6.2</v>
      </c>
      <c r="T852" s="2" t="n">
        <v>13</v>
      </c>
      <c r="U852" s="2" t="inlineStr">
        <is>
          <t>low</t>
        </is>
      </c>
      <c r="V852" s="5" t="n">
        <v>0.8</v>
      </c>
      <c r="W852" s="2" t="inlineStr">
        <is>
          <t>low</t>
        </is>
      </c>
      <c r="X852" s="3" t="inlineStr"/>
      <c r="Y852" s="3" t="inlineStr">
        <is>
          <t>0% of this dish's available carbohydrate comes from ingredients with a published, measured GI; the rest uses conventional placeholders (see Ingredients sheet)</t>
        </is>
      </c>
      <c r="Z852" s="2" t="n">
        <v>0</v>
      </c>
      <c r="AA852" s="3" t="inlineStr">
        <is>
          <t>pescatarian, gluten-free, nut-free, low-carb, no-cook, quick, omega-3</t>
        </is>
      </c>
      <c r="AB852" s="3" t="inlineStr">
        <is>
          <t>1. Slice cucumber into thick rounds.
2. Sandwich cream cheese, salmon, onion, capers between two rounds.
3. Dill.</t>
        </is>
      </c>
      <c r="AC852" s="4" t="inlineStr">
        <is>
          <t>["Slice cucumber into thick rounds.", "Sandwich cream cheese, salmon, onion, capers between two rounds.", "Dill."]</t>
        </is>
      </c>
    </row>
    <row r="853" ht="96" customHeight="1">
      <c r="A853" s="2" t="inlineStr">
        <is>
          <t>DB-0852</t>
        </is>
      </c>
      <c r="B853" s="3" t="inlineStr">
        <is>
          <t>Turkey Club Low-Carb Wrap</t>
        </is>
      </c>
      <c r="C853" s="4" t="inlineStr">
        <is>
          <t>Sandwiches &amp; Wraps</t>
        </is>
      </c>
      <c r="D853" s="4" t="inlineStr">
        <is>
          <t>American</t>
        </is>
      </c>
      <c r="E853" s="2" t="n">
        <v>2</v>
      </c>
      <c r="F853" s="2" t="n">
        <v>8</v>
      </c>
      <c r="G853" s="2" t="n">
        <v>8</v>
      </c>
      <c r="H853" s="2" t="n">
        <v>16</v>
      </c>
      <c r="I853" s="4" t="inlineStr">
        <is>
          <t>turkey-club-low-carb-wrap.jpg</t>
        </is>
      </c>
      <c r="J853" s="3" t="inlineStr">
        <is>
          <t>Turkey Club Low-Carb Wrap, healthy food photography, plated, natural light</t>
        </is>
      </c>
      <c r="K853" s="4" t="inlineStr"/>
      <c r="L853" s="3" t="inlineStr">
        <is>
          <t>Low-carb high-fiber tortilla — 84 g (3.0 oz) [2 tortillas]
Deli turkey breast, low sodium — 160 g (5.6 oz)
Turkey bacon — 45 g (1.6 oz)
Tomato — 80 g (2.8 oz)
Romaine lettuce — 60 g (2.1 oz)
Avocado — 60 g (2.1 oz)
Mayonnaise (avocado oil) — 12 g (0.4 oz)</t>
        </is>
      </c>
      <c r="M853" s="4" t="inlineStr">
        <is>
          <t>[{"ingredient_id": "low_carb_tortilla", "name": "Low-carb high-fiber tortilla", "grams": 84.0, "note": "2 tortillas"}, {"ingredient_id": "deli_turkey", "name": "Deli turkey breast, low sodium", "grams": 160.0, "note": ""}, {"ingredient_id": "turkey_bacon", "name": "Turkey bacon", "grams": 45.0, "note": ""}, {"ingredient_id": "tomato", "name": "Tomato", "grams": 80.0, "note": ""}, {"ingredient_id": "romaine", "name": "Romaine lettuce", "grams": 60.0, "note": ""}, {"ingredient_id": "avocado", "name": "Avocado", "grams": 60.0, "note": ""}, {"ingredient_id": "mayo", "name": "Mayonnaise (avocado oil)", "grams": 12.0, "note": ""}]</t>
        </is>
      </c>
      <c r="N853" s="2" t="n">
        <v>340</v>
      </c>
      <c r="O853" s="5" t="n">
        <v>24</v>
      </c>
      <c r="P853" s="5" t="n">
        <v>17.3</v>
      </c>
      <c r="Q853" s="5" t="n">
        <v>25.5</v>
      </c>
      <c r="R853" s="5" t="n">
        <v>13.6</v>
      </c>
      <c r="S853" s="5" t="n">
        <v>11.9</v>
      </c>
      <c r="T853" s="2" t="n">
        <v>18</v>
      </c>
      <c r="U853" s="2" t="inlineStr">
        <is>
          <t>low</t>
        </is>
      </c>
      <c r="V853" s="5" t="n">
        <v>2.1</v>
      </c>
      <c r="W853" s="2" t="inlineStr">
        <is>
          <t>low</t>
        </is>
      </c>
      <c r="X853" s="3" t="inlineStr"/>
      <c r="Y853" s="3" t="inlineStr">
        <is>
          <t>0% of this dish's available carbohydrate comes from ingredients with a published, measured GI; the rest uses conventional placeholders (see Ingredients sheet)</t>
        </is>
      </c>
      <c r="Z853" s="2" t="n">
        <v>0</v>
      </c>
      <c r="AA853" s="3" t="inlineStr">
        <is>
          <t>dairy-free, nut-free, low-carb, high-fiber</t>
        </is>
      </c>
      <c r="AB853" s="3" t="inlineStr">
        <is>
          <t>1. Crisp turkey bacon.
2. Spread mayo on tortillas; layer turkey, bacon, tomato, romaine, avocado.
3. Roll; slice.</t>
        </is>
      </c>
      <c r="AC853" s="4" t="inlineStr">
        <is>
          <t>["Crisp turkey bacon.", "Spread mayo on tortillas; layer turkey, bacon, tomato, romaine, avocado.", "Roll; slice."]</t>
        </is>
      </c>
    </row>
    <row r="854" ht="96" customHeight="1">
      <c r="A854" s="2" t="inlineStr">
        <is>
          <t>DB-0853</t>
        </is>
      </c>
      <c r="B854" s="3" t="inlineStr">
        <is>
          <t>Mediterranean Veggie Pita Pocket</t>
        </is>
      </c>
      <c r="C854" s="4" t="inlineStr">
        <is>
          <t>Sandwiches &amp; Wraps</t>
        </is>
      </c>
      <c r="D854" s="4" t="inlineStr">
        <is>
          <t>Mediterranean</t>
        </is>
      </c>
      <c r="E854" s="2" t="n">
        <v>2</v>
      </c>
      <c r="F854" s="2" t="n">
        <v>10</v>
      </c>
      <c r="G854" s="2" t="n">
        <v>0</v>
      </c>
      <c r="H854" s="2" t="n">
        <v>10</v>
      </c>
      <c r="I854" s="4" t="inlineStr">
        <is>
          <t>mediterranean-veggie-pita-pocket.jpg</t>
        </is>
      </c>
      <c r="J854" s="3" t="inlineStr">
        <is>
          <t>Mediterranean Veggie Pita Pocket, healthy food photography, plated, natural light</t>
        </is>
      </c>
      <c r="K854" s="4" t="inlineStr"/>
      <c r="L854" s="3" t="inlineStr">
        <is>
          <t>Whole wheat pita — 120 g (4.2 oz) [2 pitas]
Hummus — 100 g (3.5 oz)
Cucumber — 100 g (3.5 oz)
Tomato — 100 g (3.5 oz)
Feta cheese — 40 g (1.4 oz)
Olives (kalamata/green) — 20 g (0.7 oz)
Mixed salad greens — 50 g (1.8 oz)
Red onion — 20 g (0.7 oz)</t>
        </is>
      </c>
      <c r="M854" s="4" t="inlineStr">
        <is>
          <t>[{"ingredient_id": "whole_wheat_pita", "name": "Whole wheat pita", "grams": 120.0, "note": "2 pitas"}, {"ingredient_id": "hummus", "name": "Hummus", "grams": 100.0, "note": ""}, {"ingredient_id": "cucumber", "name": "Cucumber", "grams": 100.0, "note": ""}, {"ingredient_id": "tomato", "name": "Tomato", "grams": 100.0, "note": ""}, {"ingredient_id": "feta", "name": "Feta cheese", "grams": 40.0, "note": ""}, {"ingredient_id": "olives", "name": "Olives (kalamata/green)", "grams": 20.0, "note": ""}, {"ingredient_id": "mixed_greens", "name": "Mixed salad greens", "grams": 50.0, "note": ""}, {"ingredient_id": "red_onion", "name": "Red onion", "grams": 20.0, "note": ""}]</t>
        </is>
      </c>
      <c r="N854" s="2" t="n">
        <v>332</v>
      </c>
      <c r="O854" s="5" t="n">
        <v>14.3</v>
      </c>
      <c r="P854" s="5" t="n">
        <v>11.9</v>
      </c>
      <c r="Q854" s="5" t="n">
        <v>47</v>
      </c>
      <c r="R854" s="5" t="n">
        <v>9.300000000000001</v>
      </c>
      <c r="S854" s="5" t="n">
        <v>37.7</v>
      </c>
      <c r="T854" s="2" t="n">
        <v>47</v>
      </c>
      <c r="U854" s="2" t="inlineStr">
        <is>
          <t>low</t>
        </is>
      </c>
      <c r="V854" s="5" t="n">
        <v>17.7</v>
      </c>
      <c r="W854" s="2" t="inlineStr">
        <is>
          <t>medium</t>
        </is>
      </c>
      <c r="X854" s="3" t="inlineStr"/>
      <c r="Y854" s="3" t="inlineStr">
        <is>
          <t>86% of this dish's available carbohydrate comes from ingredients with a published, measured GI; the rest uses conventional placeholders (see Ingredients sheet)</t>
        </is>
      </c>
      <c r="Z854" s="2" t="n">
        <v>86</v>
      </c>
      <c r="AA854" s="3" t="inlineStr">
        <is>
          <t>vegetarian, nut-free, high-fiber, no-cook, quick</t>
        </is>
      </c>
      <c r="AB854" s="3" t="inlineStr">
        <is>
          <t>1. Halve pitas; spread hummus inside.
2. Stuff with greens, cucumber, tomato, onion, olives.
3. Feta.</t>
        </is>
      </c>
      <c r="AC854" s="4" t="inlineStr">
        <is>
          <t>["Halve pitas; spread hummus inside.", "Stuff with greens, cucumber, tomato, onion, olives.", "Feta."]</t>
        </is>
      </c>
    </row>
    <row r="855" ht="96" customHeight="1">
      <c r="A855" s="2" t="inlineStr">
        <is>
          <t>DB-0854</t>
        </is>
      </c>
      <c r="B855" s="3" t="inlineStr">
        <is>
          <t>Chicken Salad Lettuce Cups with Apple &amp; Walnuts</t>
        </is>
      </c>
      <c r="C855" s="4" t="inlineStr">
        <is>
          <t>Sandwiches &amp; Wraps</t>
        </is>
      </c>
      <c r="D855" s="4" t="inlineStr">
        <is>
          <t>American</t>
        </is>
      </c>
      <c r="E855" s="2" t="n">
        <v>3</v>
      </c>
      <c r="F855" s="2" t="n">
        <v>10</v>
      </c>
      <c r="G855" s="2" t="n">
        <v>0</v>
      </c>
      <c r="H855" s="2" t="n">
        <v>10</v>
      </c>
      <c r="I855" s="4" t="inlineStr">
        <is>
          <t>chicken-salad-lettuce-cups-with-apple-and-walnuts.jpg</t>
        </is>
      </c>
      <c r="J855" s="3" t="inlineStr">
        <is>
          <t>Chicken Salad Lettuce Cups with Apple &amp; Walnuts, healthy food photography, plated, natural light</t>
        </is>
      </c>
      <c r="K855" s="4" t="inlineStr"/>
      <c r="L855" s="3" t="inlineStr">
        <is>
          <t>Rotisserie chicken, skin removed — 300 g (10.6 oz)
Greek yogurt, plain 2% — 80 g (2.8 oz)
Dijon mustard — 8 g (0.3 oz)
Celery — 60 g (2.1 oz)
Apple — 80 g (2.8 oz)
Walnuts — 25 g (0.9 oz)
Butter lettuce — 150 g (5.3 oz)
Salt — 1 g (0.0 oz)</t>
        </is>
      </c>
      <c r="M855" s="4" t="inlineStr">
        <is>
          <t>[{"ingredient_id": "rotisserie_chicken", "name": "Rotisserie chicken, skin removed", "grams": 300.0, "note": ""}, {"ingredient_id": "greek_yogurt", "name": "Greek yogurt, plain 2%", "grams": 80.0, "note": ""}, {"ingredient_id": "dijon", "name": "Dijon mustard", "grams": 8.0, "note": ""}, {"ingredient_id": "celery", "name": "Celery", "grams": 60.0, "note": ""}, {"ingredient_id": "apple", "name": "Apple", "grams": 80.0, "note": ""}, {"ingredient_id": "walnuts", "name": "Walnuts", "grams": 25.0, "note": ""}, {"ingredient_id": "butter_lettuce", "name": "Butter lettuce", "grams": 150.0, "note": ""}, {"ingredient_id": "salt", "name": "Salt", "grams": 1.0, "note": ""}]</t>
        </is>
      </c>
      <c r="N855" s="2" t="n">
        <v>259</v>
      </c>
      <c r="O855" s="5" t="n">
        <v>27.9</v>
      </c>
      <c r="P855" s="5" t="n">
        <v>13.2</v>
      </c>
      <c r="Q855" s="5" t="n">
        <v>7.8</v>
      </c>
      <c r="R855" s="5" t="n">
        <v>2.1</v>
      </c>
      <c r="S855" s="5" t="n">
        <v>5.7</v>
      </c>
      <c r="T855" s="2" t="n">
        <v>26</v>
      </c>
      <c r="U855" s="2" t="inlineStr">
        <is>
          <t>low</t>
        </is>
      </c>
      <c r="V855" s="5" t="n">
        <v>1.5</v>
      </c>
      <c r="W855" s="2" t="inlineStr">
        <is>
          <t>low</t>
        </is>
      </c>
      <c r="X855" s="3" t="inlineStr"/>
      <c r="Y855" s="3" t="inlineStr">
        <is>
          <t>74% of this dish's available carbohydrate comes from ingredients with a published, measured GI; the rest uses conventional placeholders (see Ingredients sheet)</t>
        </is>
      </c>
      <c r="Z855" s="2" t="n">
        <v>74</v>
      </c>
      <c r="AA855" s="3" t="inlineStr">
        <is>
          <t>gluten-free, low-carb, high-protein, no-cook, quick</t>
        </is>
      </c>
      <c r="AB855" s="3" t="inlineStr">
        <is>
          <t>1. Mix chicken, yogurt, Dijon, celery, diced apple, walnuts, salt.
2. Spoon into lettuce cups.</t>
        </is>
      </c>
      <c r="AC855" s="4" t="inlineStr">
        <is>
          <t>["Mix chicken, yogurt, Dijon, celery, diced apple, walnuts, salt.", "Spoon into lettuce cups."]</t>
        </is>
      </c>
    </row>
    <row r="856" ht="96" customHeight="1">
      <c r="A856" s="2" t="inlineStr">
        <is>
          <t>DB-0855</t>
        </is>
      </c>
      <c r="B856" s="3" t="inlineStr">
        <is>
          <t>Roast Beef &amp; Dijon Lettuce Wraps</t>
        </is>
      </c>
      <c r="C856" s="4" t="inlineStr">
        <is>
          <t>Sandwiches &amp; Wraps</t>
        </is>
      </c>
      <c r="D856" s="4" t="inlineStr">
        <is>
          <t>American</t>
        </is>
      </c>
      <c r="E856" s="2" t="n">
        <v>2</v>
      </c>
      <c r="F856" s="2" t="n">
        <v>5</v>
      </c>
      <c r="G856" s="2" t="n">
        <v>0</v>
      </c>
      <c r="H856" s="2" t="n">
        <v>5</v>
      </c>
      <c r="I856" s="4" t="inlineStr">
        <is>
          <t>roast-beef-and-dijon-lettuce-wraps.jpg</t>
        </is>
      </c>
      <c r="J856" s="3" t="inlineStr">
        <is>
          <t>Roast Beef &amp; Dijon Lettuce Wraps, healthy food photography, plated, natural light</t>
        </is>
      </c>
      <c r="K856" s="4" t="inlineStr"/>
      <c r="L856" s="3" t="inlineStr">
        <is>
          <t>Beef sirloin, trimmed — 200 g (7.1 oz) [cooked, sliced thin]
Dijon mustard — 15 g (0.5 oz)
Swiss cheese — 40 g (1.4 oz)
Dill pickles — 40 g (1.4 oz)
Red onion — 20 g (0.7 oz)
Romaine lettuce — 120 g (4.2 oz)</t>
        </is>
      </c>
      <c r="M856" s="4" t="inlineStr">
        <is>
          <t>[{"ingredient_id": "beef_sirloin", "name": "Beef sirloin, trimmed", "grams": 200.0, "note": "cooked, sliced thin"}, {"ingredient_id": "dijon", "name": "Dijon mustard", "grams": 15.0, "note": ""}, {"ingredient_id": "swiss_cheese", "name": "Swiss cheese", "grams": 40.0, "note": ""}, {"ingredient_id": "dill_pickle", "name": "Dill pickles", "grams": 40.0, "note": ""}, {"ingredient_id": "red_onion", "name": "Red onion", "grams": 20.0, "note": ""}, {"ingredient_id": "romaine", "name": "Romaine lettuce", "grams": 120.0, "note": ""}]</t>
        </is>
      </c>
      <c r="N856" s="2" t="n">
        <v>228</v>
      </c>
      <c r="O856" s="5" t="n">
        <v>28.6</v>
      </c>
      <c r="P856" s="5" t="n">
        <v>10.6</v>
      </c>
      <c r="Q856" s="5" t="n">
        <v>4.1</v>
      </c>
      <c r="R856" s="5" t="n">
        <v>1.9</v>
      </c>
      <c r="S856" s="5" t="n">
        <v>2.2</v>
      </c>
      <c r="T856" s="2" t="n">
        <v>13</v>
      </c>
      <c r="U856" s="2" t="inlineStr">
        <is>
          <t>low</t>
        </is>
      </c>
      <c r="V856" s="5" t="n">
        <v>0.3</v>
      </c>
      <c r="W856" s="2" t="inlineStr">
        <is>
          <t>low</t>
        </is>
      </c>
      <c r="X856" s="3" t="inlineStr">
        <is>
          <t>Negligible carbohydrate (&lt;5 g net/serving): GI has little practical meaning, glycemic load is what matters.</t>
        </is>
      </c>
      <c r="Y856" s="3" t="inlineStr">
        <is>
          <t>0% of this dish's available carbohydrate comes from ingredients with a published, measured GI; the rest uses conventional placeholders (see Ingredients sheet)</t>
        </is>
      </c>
      <c r="Z856" s="2" t="n">
        <v>0</v>
      </c>
      <c r="AA856" s="3" t="inlineStr">
        <is>
          <t>gluten-free, nut-free, low-carb, high-protein, no-cook, quick</t>
        </is>
      </c>
      <c r="AB856" s="3" t="inlineStr">
        <is>
          <t>1. Spread Dijon on romaine leaves.
2. Layer beef, cheese, pickle, onion.
3. Roll.</t>
        </is>
      </c>
      <c r="AC856" s="4" t="inlineStr">
        <is>
          <t>["Spread Dijon on romaine leaves.", "Layer beef, cheese, pickle, onion.", "Roll."]</t>
        </is>
      </c>
    </row>
    <row r="857" ht="96" customHeight="1">
      <c r="A857" s="2" t="inlineStr">
        <is>
          <t>DB-0856</t>
        </is>
      </c>
      <c r="B857" s="3" t="inlineStr">
        <is>
          <t>Caprese Sandwich on Whole Grain</t>
        </is>
      </c>
      <c r="C857" s="4" t="inlineStr">
        <is>
          <t>Sandwiches &amp; Wraps</t>
        </is>
      </c>
      <c r="D857" s="4" t="inlineStr">
        <is>
          <t>Italian</t>
        </is>
      </c>
      <c r="E857" s="2" t="n">
        <v>2</v>
      </c>
      <c r="F857" s="2" t="n">
        <v>5</v>
      </c>
      <c r="G857" s="2" t="n">
        <v>3</v>
      </c>
      <c r="H857" s="2" t="n">
        <v>8</v>
      </c>
      <c r="I857" s="4" t="inlineStr">
        <is>
          <t>caprese-sandwich-on-whole-grain.jpg</t>
        </is>
      </c>
      <c r="J857" s="3" t="inlineStr">
        <is>
          <t>Caprese Sandwich on Whole Grain, healthy food photography, plated, natural light</t>
        </is>
      </c>
      <c r="K857" s="4" t="inlineStr"/>
      <c r="L857" s="3" t="inlineStr">
        <is>
          <t>Whole wheat bread (100% whole wheat) — 140 g (4.9 oz) [4 slices]
Mozzarella, part-skim — 100 g (3.5 oz)
Tomato — 150 g (5.3 oz)
Fresh basil — 8 g (0.3 oz)
Basil pesto — 20 g (0.7 oz)
Balsamic vinegar — 8 g (0.3 oz)</t>
        </is>
      </c>
      <c r="M857" s="4" t="inlineStr">
        <is>
          <t>[{"ingredient_id": "whole_grain_bread", "name": "Whole wheat bread (100% whole wheat)", "grams": 140.0, "note": "4 slices"}, {"ingredient_id": "mozzarella", "name": "Mozzarella, part-skim", "grams": 100.0, "note": ""}, {"ingredient_id": "tomato", "name": "Tomato", "grams": 150.0, "note": ""}, {"ingredient_id": "basil", "name": "Fresh basil", "grams": 8.0, "note": ""}, {"ingredient_id": "pesto", "name": "Basil pesto", "grams": 20.0, "note": ""}, {"ingredient_id": "balsamic_vinegar", "name": "Balsamic vinegar", "grams": 8.0, "note": ""}]</t>
        </is>
      </c>
      <c r="N857" s="2" t="n">
        <v>360</v>
      </c>
      <c r="O857" s="5" t="n">
        <v>21.7</v>
      </c>
      <c r="P857" s="5" t="n">
        <v>14.6</v>
      </c>
      <c r="Q857" s="5" t="n">
        <v>35.9</v>
      </c>
      <c r="R857" s="5" t="n">
        <v>5.7</v>
      </c>
      <c r="S857" s="5" t="n">
        <v>30.2</v>
      </c>
      <c r="T857" s="2" t="n">
        <v>62</v>
      </c>
      <c r="U857" s="2" t="inlineStr">
        <is>
          <t>medium</t>
        </is>
      </c>
      <c r="V857" s="5" t="n">
        <v>18.7</v>
      </c>
      <c r="W857" s="2" t="inlineStr">
        <is>
          <t>medium</t>
        </is>
      </c>
      <c r="X857" s="3" t="inlineStr">
        <is>
          <t>Medium-GI dish: keep to the stated portion and pair with the protein/fat in the recipe; GL per serving is the better guide.</t>
        </is>
      </c>
      <c r="Y857" s="3" t="inlineStr">
        <is>
          <t>85% of this dish's available carbohydrate comes from ingredients with a published, measured GI; the rest uses conventional placeholders (see Ingredients sheet)</t>
        </is>
      </c>
      <c r="Z857" s="2" t="n">
        <v>85</v>
      </c>
      <c r="AA857" s="3" t="inlineStr">
        <is>
          <t>vegetarian</t>
        </is>
      </c>
      <c r="AB857" s="3" t="inlineStr">
        <is>
          <t>1. Toast bread; spread pesto.
2. Layer mozzarella, tomato, basil.
3. Drizzle balsamic; close.</t>
        </is>
      </c>
      <c r="AC857" s="4" t="inlineStr">
        <is>
          <t>["Toast bread; spread pesto.", "Layer mozzarella, tomato, basil.", "Drizzle balsamic; close."]</t>
        </is>
      </c>
    </row>
    <row r="858" ht="96" customHeight="1">
      <c r="A858" s="2" t="inlineStr">
        <is>
          <t>DB-0857</t>
        </is>
      </c>
      <c r="B858" s="3" t="inlineStr">
        <is>
          <t>Shrimp Lettuce Wraps with Avocado Crema</t>
        </is>
      </c>
      <c r="C858" s="4" t="inlineStr">
        <is>
          <t>Sandwiches &amp; Wraps</t>
        </is>
      </c>
      <c r="D858" s="4" t="inlineStr">
        <is>
          <t>Mexican</t>
        </is>
      </c>
      <c r="E858" s="2" t="n">
        <v>2</v>
      </c>
      <c r="F858" s="2" t="n">
        <v>10</v>
      </c>
      <c r="G858" s="2" t="n">
        <v>5</v>
      </c>
      <c r="H858" s="2" t="n">
        <v>15</v>
      </c>
      <c r="I858" s="4" t="inlineStr">
        <is>
          <t>shrimp-lettuce-wraps-with-avocado-crema.jpg</t>
        </is>
      </c>
      <c r="J858" s="3" t="inlineStr">
        <is>
          <t>Shrimp Lettuce Wraps with Avocado Crema, healthy food photography, plated, natural light</t>
        </is>
      </c>
      <c r="K858" s="4" t="inlineStr"/>
      <c r="L858" s="3" t="inlineStr">
        <is>
          <t>Shrimp, peeled — 300 g (10.6 oz)
Chili powder — 3 g (0.1 oz)
Avocado — 70 g (2.5 oz)
Greek yogurt, plain 2% — 40 g (1.4 oz)
Lime juice — 10 g (0.4 oz)
Fresh cilantro — 5 g (0.2 oz)
Romaine lettuce — 120 g (4.2 oz)
Pico de gallo — 80 g (2.8 oz)
Extra-virgin olive oil — 6 g (0.2 oz)</t>
        </is>
      </c>
      <c r="M858" s="4" t="inlineStr">
        <is>
          <t>[{"ingredient_id": "shrimp", "name": "Shrimp, peeled", "grams": 300.0, "note": ""}, {"ingredient_id": "chili_powder", "name": "Chili powder", "grams": 3.0, "note": ""}, {"ingredient_id": "avocado", "name": "Avocado", "grams": 70.0, "note": ""}, {"ingredient_id": "greek_yogurt", "name": "Greek yogurt, plain 2%", "grams": 40.0, "note": ""}, {"ingredient_id": "lime_juice", "name": "Lime juice", "grams": 10.0, "note": ""}, {"ingredient_id": "cilantro", "name": "Fresh cilantro", "grams": 5.0, "note": ""}, {"ingredient_id": "romaine", "name": "Romaine lettuce", "grams": 120.0, "note": ""}, {"ingredient_id": "pico_de_gallo", "name": "Pico de gallo", "grams": 80.0, "note": ""}, {"ingredient_id": "olive_oil", "name": "Extra-virgin olive oil", "grams": 6.0, "note": ""}]</t>
        </is>
      </c>
      <c r="N858" s="2" t="n">
        <v>249</v>
      </c>
      <c r="O858" s="5" t="n">
        <v>34.1</v>
      </c>
      <c r="P858" s="5" t="n">
        <v>9.9</v>
      </c>
      <c r="Q858" s="5" t="n">
        <v>8.800000000000001</v>
      </c>
      <c r="R858" s="5" t="n">
        <v>4.7</v>
      </c>
      <c r="S858" s="5" t="n">
        <v>4.1</v>
      </c>
      <c r="T858" s="2" t="n">
        <v>15</v>
      </c>
      <c r="U858" s="2" t="inlineStr">
        <is>
          <t>low</t>
        </is>
      </c>
      <c r="V858" s="5" t="n">
        <v>0.6</v>
      </c>
      <c r="W858" s="2" t="inlineStr">
        <is>
          <t>low</t>
        </is>
      </c>
      <c r="X858" s="3" t="inlineStr">
        <is>
          <t>Negligible carbohydrate (&lt;5 g net/serving): GI has little practical meaning, glycemic load is what matters.</t>
        </is>
      </c>
      <c r="Y858" s="3" t="inlineStr">
        <is>
          <t>19% of this dish's available carbohydrate comes from ingredients with a published, measured GI; the rest uses conventional placeholders (see Ingredients sheet)</t>
        </is>
      </c>
      <c r="Z858" s="2" t="n">
        <v>19</v>
      </c>
      <c r="AA858" s="3" t="inlineStr">
        <is>
          <t>pescatarian, gluten-free, nut-free, low-carb, high-protein, quick</t>
        </is>
      </c>
      <c r="AB858" s="3" t="inlineStr">
        <is>
          <t>1. Sauté shrimp with chili powder in oil.
2. Blend avocado, yogurt, lime, cilantro.
3. Fill romaine with shrimp, pico, crema.</t>
        </is>
      </c>
      <c r="AC858" s="4" t="inlineStr">
        <is>
          <t>["Sauté shrimp with chili powder in oil.", "Blend avocado, yogurt, lime, cilantro.", "Fill romaine with shrimp, pico, crema."]</t>
        </is>
      </c>
    </row>
    <row r="859" ht="96" customHeight="1">
      <c r="A859" s="2" t="inlineStr">
        <is>
          <t>DB-0858</t>
        </is>
      </c>
      <c r="B859" s="3" t="inlineStr">
        <is>
          <t>Breakfast Sandwich on Sprouted English Muffin</t>
        </is>
      </c>
      <c r="C859" s="4" t="inlineStr">
        <is>
          <t>Sandwiches &amp; Wraps</t>
        </is>
      </c>
      <c r="D859" s="4" t="inlineStr">
        <is>
          <t>American</t>
        </is>
      </c>
      <c r="E859" s="2" t="n">
        <v>1</v>
      </c>
      <c r="F859" s="2" t="n">
        <v>3</v>
      </c>
      <c r="G859" s="2" t="n">
        <v>8</v>
      </c>
      <c r="H859" s="2" t="n">
        <v>11</v>
      </c>
      <c r="I859" s="4" t="inlineStr">
        <is>
          <t>breakfast-sandwich-on-sprouted-english-muffin.jpg</t>
        </is>
      </c>
      <c r="J859" s="3" t="inlineStr">
        <is>
          <t>Breakfast Sandwich on Sprouted English Muffin, healthy food photography, plated, natural light</t>
        </is>
      </c>
      <c r="K859" s="4" t="inlineStr"/>
      <c r="L859" s="3" t="inlineStr">
        <is>
          <t>Whole wheat English muffin — 57 g (2.0 oz)
Egg, large (50 g each) — 50 g (1.8 oz)
Canadian bacon — 40 g (1.4 oz)
Cheddar cheese — 20 g (0.7 oz)
Spinach — 20 g (0.7 oz)
Extra-virgin olive oil — 3 g (0.1 oz)</t>
        </is>
      </c>
      <c r="M859" s="4" t="inlineStr">
        <is>
          <t>[{"ingredient_id": "whole_wheat_english_muffin", "name": "Whole wheat English muffin", "grams": 57.0, "note": ""}, {"ingredient_id": "egg", "name": "Egg, large (50 g each)", "grams": 50.0, "note": ""}, {"ingredient_id": "canadian_bacon", "name": "Canadian bacon", "grams": 40.0, "note": ""}, {"ingredient_id": "cheddar", "name": "Cheddar cheese", "grams": 20.0, "note": ""}, {"ingredient_id": "spinach", "name": "Spinach", "grams": 20.0, "note": ""}, {"ingredient_id": "olive_oil", "name": "Extra-virgin olive oil", "grams": 3.0, "note": ""}]</t>
        </is>
      </c>
      <c r="N859" s="2" t="n">
        <v>353</v>
      </c>
      <c r="O859" s="5" t="n">
        <v>24.6</v>
      </c>
      <c r="P859" s="5" t="n">
        <v>16.4</v>
      </c>
      <c r="Q859" s="5" t="n">
        <v>27.4</v>
      </c>
      <c r="R859" s="5" t="n">
        <v>4.4</v>
      </c>
      <c r="S859" s="5" t="n">
        <v>22.9</v>
      </c>
      <c r="T859" s="2" t="n">
        <v>43</v>
      </c>
      <c r="U859" s="2" t="inlineStr">
        <is>
          <t>low</t>
        </is>
      </c>
      <c r="V859" s="5" t="n">
        <v>9.9</v>
      </c>
      <c r="W859" s="2" t="inlineStr">
        <is>
          <t>low</t>
        </is>
      </c>
      <c r="X859" s="3" t="inlineStr"/>
      <c r="Y859" s="3" t="inlineStr">
        <is>
          <t>94% of this dish's available carbohydrate comes from ingredients with a published, measured GI; the rest uses conventional placeholders (see Ingredients sheet)</t>
        </is>
      </c>
      <c r="Z859" s="2" t="n">
        <v>94</v>
      </c>
      <c r="AA859" s="3" t="inlineStr">
        <is>
          <t>nut-free, quick</t>
        </is>
      </c>
      <c r="AB859" s="3" t="inlineStr">
        <is>
          <t>1. Fry egg in oil; warm Canadian bacon.
2. Toast muffin.
3. Assemble with cheddar and spinach.</t>
        </is>
      </c>
      <c r="AC859" s="4" t="inlineStr">
        <is>
          <t>["Fry egg in oil; warm Canadian bacon.", "Toast muffin.", "Assemble with cheddar and spinach."]</t>
        </is>
      </c>
    </row>
    <row r="860" ht="96" customHeight="1">
      <c r="A860" s="2" t="inlineStr">
        <is>
          <t>DB-0859</t>
        </is>
      </c>
      <c r="B860" s="3" t="inlineStr">
        <is>
          <t>Greek Chicken Lettuce Wraps</t>
        </is>
      </c>
      <c r="C860" s="4" t="inlineStr">
        <is>
          <t>Sandwiches &amp; Wraps</t>
        </is>
      </c>
      <c r="D860" s="4" t="inlineStr">
        <is>
          <t>Greek</t>
        </is>
      </c>
      <c r="E860" s="2" t="n">
        <v>2</v>
      </c>
      <c r="F860" s="2" t="n">
        <v>10</v>
      </c>
      <c r="G860" s="2" t="n">
        <v>10</v>
      </c>
      <c r="H860" s="2" t="n">
        <v>20</v>
      </c>
      <c r="I860" s="4" t="inlineStr">
        <is>
          <t>greek-chicken-lettuce-wraps.jpg</t>
        </is>
      </c>
      <c r="J860" s="3" t="inlineStr">
        <is>
          <t>Greek Chicken Lettuce Wraps, healthy food photography, plated, natural light</t>
        </is>
      </c>
      <c r="K860" s="4" t="inlineStr"/>
      <c r="L860" s="3" t="inlineStr">
        <is>
          <t>Chicken breast, skinless — 280 g (9.9 oz)
Dried oregano — 2 g (0.1 oz)
Lemon juice — 15 g (0.5 oz)
Extra-virgin olive oil — 8 g (0.3 oz)
Greek yogurt, plain 2% — 60 g (2.1 oz)
Cucumber — 80 g (2.8 oz)
Fresh dill — 3 g (0.1 oz)
Tomato — 80 g (2.8 oz)
Red onion — 20 g (0.7 oz)
Feta cheese — 30 g (1.1 oz)
Romaine lettuce — 120 g (4.2 oz)</t>
        </is>
      </c>
      <c r="M860" s="4" t="inlineStr">
        <is>
          <t>[{"ingredient_id": "chicken_breast", "name": "Chicken breast, skinless", "grams": 280.0, "note": ""}, {"ingredient_id": "oregano", "name": "Dried oregano", "grams": 2.0, "note": ""}, {"ingredient_id": "lemon_juice", "name": "Lemon juice", "grams": 15.0, "note": ""}, {"ingredient_id": "olive_oil", "name": "Extra-virgin olive oil", "grams": 8.0, "note": ""}, {"ingredient_id": "greek_yogurt", "name": "Greek yogurt, plain 2%", "grams": 60.0, "note": ""}, {"ingredient_id": "cucumber", "name": "Cucumber", "grams": 80.0, "note": ""}, {"ingredient_id": "dill", "name": "Fresh dill", "grams": 3.0, "note": ""}, {"ingredient_id": "tomato", "name": "Tomato", "grams": 80.0, "note": ""}, {"ingredient_id": "red_onion", "name": "Red onion", "grams": 20.0, "note": ""}, {"ingredient_id": "feta", "name": "Feta cheese", "grams": 30.0, "note": ""}, {"ingredient_id": "romaine", "name": "Romaine lettuce", "grams": 120.0, "note": ""}]</t>
        </is>
      </c>
      <c r="N860" s="2" t="n">
        <v>297</v>
      </c>
      <c r="O860" s="5" t="n">
        <v>38.2</v>
      </c>
      <c r="P860" s="5" t="n">
        <v>11.8</v>
      </c>
      <c r="Q860" s="5" t="n">
        <v>9</v>
      </c>
      <c r="R860" s="5" t="n">
        <v>2.6</v>
      </c>
      <c r="S860" s="5" t="n">
        <v>6.4</v>
      </c>
      <c r="T860" s="2" t="n">
        <v>13</v>
      </c>
      <c r="U860" s="2" t="inlineStr">
        <is>
          <t>low</t>
        </is>
      </c>
      <c r="V860" s="5" t="n">
        <v>0.8</v>
      </c>
      <c r="W860" s="2" t="inlineStr">
        <is>
          <t>low</t>
        </is>
      </c>
      <c r="X860" s="3" t="inlineStr"/>
      <c r="Y860" s="3" t="inlineStr">
        <is>
          <t>19% of this dish's available carbohydrate comes from ingredients with a published, measured GI; the rest uses conventional placeholders (see Ingredients sheet)</t>
        </is>
      </c>
      <c r="Z860" s="2" t="n">
        <v>19</v>
      </c>
      <c r="AA860" s="3" t="inlineStr">
        <is>
          <t>gluten-free, nut-free, low-carb, high-protein</t>
        </is>
      </c>
      <c r="AB860" s="3" t="inlineStr">
        <is>
          <t>1. Season chicken with oregano and lemon; sear in oil; slice.
2. Mix yogurt, grated cucumber, dill.
3. Fill romaine with chicken, tomato, onion, feta, tzatziki.</t>
        </is>
      </c>
      <c r="AC860" s="4" t="inlineStr">
        <is>
          <t>["Season chicken with oregano and lemon; sear in oil; slice.", "Mix yogurt, grated cucumber, dill.", "Fill romaine with chicken, tomato, onion, feta, tzatziki."]</t>
        </is>
      </c>
    </row>
    <row r="861" ht="96" customHeight="1">
      <c r="A861" s="2" t="inlineStr">
        <is>
          <t>DB-0860</t>
        </is>
      </c>
      <c r="B861" s="3" t="inlineStr">
        <is>
          <t>Hummus &amp; Veggie Low-Carb Wrap</t>
        </is>
      </c>
      <c r="C861" s="4" t="inlineStr">
        <is>
          <t>Sandwiches &amp; Wraps</t>
        </is>
      </c>
      <c r="D861" s="4" t="inlineStr">
        <is>
          <t>Mediterranean</t>
        </is>
      </c>
      <c r="E861" s="2" t="n">
        <v>2</v>
      </c>
      <c r="F861" s="2" t="n">
        <v>8</v>
      </c>
      <c r="G861" s="2" t="n">
        <v>0</v>
      </c>
      <c r="H861" s="2" t="n">
        <v>8</v>
      </c>
      <c r="I861" s="4" t="inlineStr">
        <is>
          <t>hummus-and-veggie-low-carb-wrap.jpg</t>
        </is>
      </c>
      <c r="J861" s="3" t="inlineStr">
        <is>
          <t>Hummus &amp; Veggie Low-Carb Wrap, healthy food photography, plated, natural light</t>
        </is>
      </c>
      <c r="K861" s="4" t="inlineStr"/>
      <c r="L861" s="3" t="inlineStr">
        <is>
          <t>Low-carb high-fiber tortilla — 84 g (3.0 oz) [2 tortillas]
Hummus — 100 g (3.5 oz)
Cucumber — 100 g (3.5 oz)
Carrot — 60 g (2.1 oz)
Bell pepper — 80 g (2.8 oz)
Spinach — 40 g (1.4 oz)
Feta cheese — 30 g (1.1 oz)
Olives (kalamata/green) — 20 g (0.7 oz)</t>
        </is>
      </c>
      <c r="M861" s="4" t="inlineStr">
        <is>
          <t>[{"ingredient_id": "low_carb_tortilla", "name": "Low-carb high-fiber tortilla", "grams": 84.0, "note": "2 tortillas"}, {"ingredient_id": "hummus", "name": "Hummus", "grams": 100.0, "note": ""}, {"ingredient_id": "cucumber", "name": "Cucumber", "grams": 100.0, "note": ""}, {"ingredient_id": "carrot", "name": "Carrot", "grams": 60.0, "note": ""}, {"ingredient_id": "bell_pepper", "name": "Bell pepper", "grams": 80.0, "note": ""}, {"ingredient_id": "spinach", "name": "Spinach", "grams": 40.0, "note": ""}, {"ingredient_id": "feta", "name": "Feta cheese", "grams": 30.0, "note": ""}, {"ingredient_id": "olives", "name": "Olives (kalamata/green)", "grams": 20.0, "note": ""}]</t>
        </is>
      </c>
      <c r="N861" s="2" t="n">
        <v>276</v>
      </c>
      <c r="O861" s="5" t="n">
        <v>12.8</v>
      </c>
      <c r="P861" s="5" t="n">
        <v>12.7</v>
      </c>
      <c r="Q861" s="5" t="n">
        <v>32.8</v>
      </c>
      <c r="R861" s="5" t="n">
        <v>16.2</v>
      </c>
      <c r="S861" s="5" t="n">
        <v>16.6</v>
      </c>
      <c r="T861" s="2" t="n">
        <v>23</v>
      </c>
      <c r="U861" s="2" t="inlineStr">
        <is>
          <t>low</t>
        </is>
      </c>
      <c r="V861" s="5" t="n">
        <v>3.8</v>
      </c>
      <c r="W861" s="2" t="inlineStr">
        <is>
          <t>low</t>
        </is>
      </c>
      <c r="X861" s="3" t="inlineStr"/>
      <c r="Y861" s="3" t="inlineStr">
        <is>
          <t>36% of this dish's available carbohydrate comes from ingredients with a published, measured GI; the rest uses conventional placeholders (see Ingredients sheet)</t>
        </is>
      </c>
      <c r="Z861" s="2" t="n">
        <v>36</v>
      </c>
      <c r="AA861" s="3" t="inlineStr">
        <is>
          <t>vegetarian, nut-free, high-fiber, no-cook, quick</t>
        </is>
      </c>
      <c r="AB861" s="3" t="inlineStr">
        <is>
          <t>1. Spread hummus on tortillas.
2. Layer vegetables, feta, olives.
3. Roll tightly; slice.</t>
        </is>
      </c>
      <c r="AC861" s="4" t="inlineStr">
        <is>
          <t>["Spread hummus on tortillas.", "Layer vegetables, feta, olives.", "Roll tightly; slice."]</t>
        </is>
      </c>
    </row>
    <row r="862" ht="96" customHeight="1">
      <c r="A862" s="2" t="inlineStr">
        <is>
          <t>DB-0861</t>
        </is>
      </c>
      <c r="B862" s="3" t="inlineStr">
        <is>
          <t>Salmon Salad Sandwich on Rye</t>
        </is>
      </c>
      <c r="C862" s="4" t="inlineStr">
        <is>
          <t>Sandwiches &amp; Wraps</t>
        </is>
      </c>
      <c r="D862" s="4" t="inlineStr">
        <is>
          <t>American</t>
        </is>
      </c>
      <c r="E862" s="2" t="n">
        <v>2</v>
      </c>
      <c r="F862" s="2" t="n">
        <v>8</v>
      </c>
      <c r="G862" s="2" t="n">
        <v>0</v>
      </c>
      <c r="H862" s="2" t="n">
        <v>8</v>
      </c>
      <c r="I862" s="4" t="inlineStr">
        <is>
          <t>salmon-salad-sandwich-on-rye.jpg</t>
        </is>
      </c>
      <c r="J862" s="3" t="inlineStr">
        <is>
          <t>Salmon Salad Sandwich on Rye, healthy food photography, plated, natural light</t>
        </is>
      </c>
      <c r="K862" s="4" t="inlineStr"/>
      <c r="L862" s="3" t="inlineStr">
        <is>
          <t>Canned salmon — 200 g (7.1 oz)
Greek yogurt, plain 2% — 50 g (1.8 oz)
Dijon mustard — 8 g (0.3 oz)
Celery — 40 g (1.4 oz)
Fresh dill — 4 g (0.1 oz)
Lemon juice — 10 g (0.4 oz)
Pumpernickel / whole rye bread — 140 g (4.9 oz) [4 slices]
Romaine lettuce — 40 g (1.4 oz)</t>
        </is>
      </c>
      <c r="M862" s="4" t="inlineStr">
        <is>
          <t>[{"ingredient_id": "canned_salmon", "name": "Canned salmon", "grams": 200.0, "note": ""}, {"ingredient_id": "greek_yogurt", "name": "Greek yogurt, plain 2%", "grams": 50.0, "note": ""}, {"ingredient_id": "dijon", "name": "Dijon mustard", "grams": 8.0, "note": ""}, {"ingredient_id": "celery", "name": "Celery", "grams": 40.0, "note": ""}, {"ingredient_id": "dill", "name": "Fresh dill", "grams": 4.0, "note": ""}, {"ingredient_id": "lemon_juice", "name": "Lemon juice", "grams": 10.0, "note": ""}, {"ingredient_id": "rye_bread", "name": "Pumpernickel / whole rye bread", "grams": 140.0, "note": "4 slices"}, {"ingredient_id": "romaine", "name": "Romaine lettuce", "grams": 40.0, "note": ""}]</t>
        </is>
      </c>
      <c r="N862" s="2" t="n">
        <v>344</v>
      </c>
      <c r="O862" s="5" t="n">
        <v>29.2</v>
      </c>
      <c r="P862" s="5" t="n">
        <v>8.9</v>
      </c>
      <c r="Q862" s="5" t="n">
        <v>35.8</v>
      </c>
      <c r="R862" s="5" t="n">
        <v>5.5</v>
      </c>
      <c r="S862" s="5" t="n">
        <v>30.4</v>
      </c>
      <c r="T862" s="2" t="n">
        <v>48</v>
      </c>
      <c r="U862" s="2" t="inlineStr">
        <is>
          <t>low</t>
        </is>
      </c>
      <c r="V862" s="5" t="n">
        <v>14.6</v>
      </c>
      <c r="W862" s="2" t="inlineStr">
        <is>
          <t>medium</t>
        </is>
      </c>
      <c r="X862" s="3" t="inlineStr"/>
      <c r="Y862" s="3" t="inlineStr">
        <is>
          <t>97% of this dish's available carbohydrate comes from ingredients with a published, measured GI; the rest uses conventional placeholders (see Ingredients sheet)</t>
        </is>
      </c>
      <c r="Z862" s="2" t="n">
        <v>97</v>
      </c>
      <c r="AA862" s="3" t="inlineStr">
        <is>
          <t>pescatarian, nut-free, high-protein, omega-3, no-cook, quick</t>
        </is>
      </c>
      <c r="AB862" s="3" t="inlineStr">
        <is>
          <t>1. Mix salmon, yogurt, Dijon, celery, dill, lemon.
2. Assemble on rye with romaine.</t>
        </is>
      </c>
      <c r="AC862" s="4" t="inlineStr">
        <is>
          <t>["Mix salmon, yogurt, Dijon, celery, dill, lemon.", "Assemble on rye with romaine."]</t>
        </is>
      </c>
    </row>
    <row r="863" ht="96" customHeight="1">
      <c r="A863" s="2" t="inlineStr">
        <is>
          <t>DB-0862</t>
        </is>
      </c>
      <c r="B863" s="3" t="inlineStr">
        <is>
          <t>Buffalo Chicken Low-Carb Wrap</t>
        </is>
      </c>
      <c r="C863" s="4" t="inlineStr">
        <is>
          <t>Sandwiches &amp; Wraps</t>
        </is>
      </c>
      <c r="D863" s="4" t="inlineStr">
        <is>
          <t>American</t>
        </is>
      </c>
      <c r="E863" s="2" t="n">
        <v>2</v>
      </c>
      <c r="F863" s="2" t="n">
        <v>8</v>
      </c>
      <c r="G863" s="2" t="n">
        <v>0</v>
      </c>
      <c r="H863" s="2" t="n">
        <v>8</v>
      </c>
      <c r="I863" s="4" t="inlineStr">
        <is>
          <t>buffalo-chicken-low-carb-wrap.jpg</t>
        </is>
      </c>
      <c r="J863" s="3" t="inlineStr">
        <is>
          <t>Buffalo Chicken Low-Carb Wrap, healthy food photography, plated, natural light</t>
        </is>
      </c>
      <c r="K863" s="4" t="inlineStr"/>
      <c r="L863" s="3" t="inlineStr">
        <is>
          <t>Rotisserie chicken, skin removed — 250 g (8.8 oz)
Hot sauce (Tabasco/Frank's) — 25 g (0.9 oz)
Greek yogurt, plain 2% — 50 g (1.8 oz)
Blue cheese, crumbled — 25 g (0.9 oz)
Celery — 50 g (1.8 oz)
Romaine lettuce — 80 g (2.8 oz)
Low-carb high-fiber tortilla — 84 g (3.0 oz) [2 tortillas]</t>
        </is>
      </c>
      <c r="M863" s="4" t="inlineStr">
        <is>
          <t>[{"ingredient_id": "rotisserie_chicken", "name": "Rotisserie chicken, skin removed", "grams": 250.0, "note": ""}, {"ingredient_id": "hot_sauce", "name": "Hot sauce (Tabasco/Frank's)", "grams": 25.0, "note": ""}, {"ingredient_id": "greek_yogurt", "name": "Greek yogurt, plain 2%", "grams": 50.0, "note": ""}, {"ingredient_id": "blue_cheese", "name": "Blue cheese, crumbled", "grams": 25.0, "note": ""}, {"ingredient_id": "celery", "name": "Celery", "grams": 50.0, "note": ""}, {"ingredient_id": "romaine", "name": "Romaine lettuce", "grams": 80.0, "note": ""}, {"ingredient_id": "low_carb_tortilla", "name": "Low-carb high-fiber tortilla", "grams": 84.0, "note": "2 tortillas"}]</t>
        </is>
      </c>
      <c r="N863" s="2" t="n">
        <v>380</v>
      </c>
      <c r="O863" s="5" t="n">
        <v>39.6</v>
      </c>
      <c r="P863" s="5" t="n">
        <v>16.5</v>
      </c>
      <c r="Q863" s="5" t="n">
        <v>20.4</v>
      </c>
      <c r="R863" s="5" t="n">
        <v>11.8</v>
      </c>
      <c r="S863" s="5" t="n">
        <v>8.6</v>
      </c>
      <c r="T863" s="2" t="n">
        <v>25</v>
      </c>
      <c r="U863" s="2" t="inlineStr">
        <is>
          <t>low</t>
        </is>
      </c>
      <c r="V863" s="5" t="n">
        <v>2.2</v>
      </c>
      <c r="W863" s="2" t="inlineStr">
        <is>
          <t>low</t>
        </is>
      </c>
      <c r="X863" s="3" t="inlineStr"/>
      <c r="Y863" s="3" t="inlineStr">
        <is>
          <t>12% of this dish's available carbohydrate comes from ingredients with a published, measured GI; the rest uses conventional placeholders (see Ingredients sheet)</t>
        </is>
      </c>
      <c r="Z863" s="2" t="n">
        <v>12</v>
      </c>
      <c r="AA863" s="3" t="inlineStr">
        <is>
          <t>nut-free, low-carb, high-protein, high-fiber, no-cook, quick</t>
        </is>
      </c>
      <c r="AB863" s="3" t="inlineStr">
        <is>
          <t>1. Toss chicken with hot sauce.
2. Mix yogurt and blue cheese.
3. Roll chicken, celery, romaine, dressing in tortillas.</t>
        </is>
      </c>
      <c r="AC863" s="4" t="inlineStr">
        <is>
          <t>["Toss chicken with hot sauce.", "Mix yogurt and blue cheese.", "Roll chicken, celery, romaine, dressing in tortillas."]</t>
        </is>
      </c>
    </row>
    <row r="864" ht="96" customHeight="1">
      <c r="A864" s="2" t="inlineStr">
        <is>
          <t>DB-0863</t>
        </is>
      </c>
      <c r="B864" s="3" t="inlineStr">
        <is>
          <t>Egg White &amp; Veggie Breakfast Wrap</t>
        </is>
      </c>
      <c r="C864" s="4" t="inlineStr">
        <is>
          <t>Sandwiches &amp; Wraps</t>
        </is>
      </c>
      <c r="D864" s="4" t="inlineStr">
        <is>
          <t>American</t>
        </is>
      </c>
      <c r="E864" s="2" t="n">
        <v>1</v>
      </c>
      <c r="F864" s="2" t="n">
        <v>5</v>
      </c>
      <c r="G864" s="2" t="n">
        <v>6</v>
      </c>
      <c r="H864" s="2" t="n">
        <v>11</v>
      </c>
      <c r="I864" s="4" t="inlineStr">
        <is>
          <t>egg-white-and-veggie-breakfast-wrap.jpg</t>
        </is>
      </c>
      <c r="J864" s="3" t="inlineStr">
        <is>
          <t>Egg White &amp; Veggie Breakfast Wrap, healthy food photography, plated, natural light</t>
        </is>
      </c>
      <c r="K864" s="4" t="inlineStr"/>
      <c r="L864" s="3" t="inlineStr">
        <is>
          <t>Egg whites — 150 g (5.3 oz)
Spinach — 40 g (1.4 oz)
Bell pepper — 40 g (1.4 oz)
Mozzarella, part-skim — 25 g (0.9 oz)
Low-carb high-fiber tortilla — 42 g (1.5 oz)
Salsa, no sugar added — 30 g (1.1 oz)
Extra-virgin olive oil — 4 g (0.1 oz)</t>
        </is>
      </c>
      <c r="M864" s="4" t="inlineStr">
        <is>
          <t>[{"ingredient_id": "egg_white", "name": "Egg whites", "grams": 150.0, "note": ""}, {"ingredient_id": "spinach", "name": "Spinach", "grams": 40.0, "note": ""}, {"ingredient_id": "bell_pepper", "name": "Bell pepper", "grams": 40.0, "note": ""}, {"ingredient_id": "mozzarella", "name": "Mozzarella, part-skim", "grams": 25.0, "note": ""}, {"ingredient_id": "low_carb_tortilla", "name": "Low-carb high-fiber tortilla", "grams": 42.0, "note": ""}, {"ingredient_id": "salsa", "name": "Salsa, no sugar added", "grams": 30.0, "note": ""}, {"ingredient_id": "olive_oil", "name": "Extra-virgin olive oil", "grams": 4.0, "note": ""}]</t>
        </is>
      </c>
      <c r="N864" s="2" t="n">
        <v>314</v>
      </c>
      <c r="O864" s="5" t="n">
        <v>29.5</v>
      </c>
      <c r="P864" s="5" t="n">
        <v>12</v>
      </c>
      <c r="Q864" s="5" t="n">
        <v>24.5</v>
      </c>
      <c r="R864" s="5" t="n">
        <v>12.7</v>
      </c>
      <c r="S864" s="5" t="n">
        <v>11.9</v>
      </c>
      <c r="T864" s="2" t="n">
        <v>23</v>
      </c>
      <c r="U864" s="2" t="inlineStr">
        <is>
          <t>low</t>
        </is>
      </c>
      <c r="V864" s="5" t="n">
        <v>2.7</v>
      </c>
      <c r="W864" s="2" t="inlineStr">
        <is>
          <t>low</t>
        </is>
      </c>
      <c r="X864" s="3" t="inlineStr"/>
      <c r="Y864" s="3" t="inlineStr">
        <is>
          <t>0% of this dish's available carbohydrate comes from ingredients with a published, measured GI; the rest uses conventional placeholders (see Ingredients sheet)</t>
        </is>
      </c>
      <c r="Z864" s="2" t="n">
        <v>0</v>
      </c>
      <c r="AA864" s="3" t="inlineStr">
        <is>
          <t>vegetarian, nut-free, low-carb, high-protein, high-fiber, quick</t>
        </is>
      </c>
      <c r="AB864" s="3" t="inlineStr">
        <is>
          <t>1. Sauté pepper and spinach in oil; add egg whites; scramble.
2. Fill tortilla with eggs, cheese, salsa.
3. Roll.</t>
        </is>
      </c>
      <c r="AC864" s="4" t="inlineStr">
        <is>
          <t>["Sauté pepper and spinach in oil; add egg whites; scramble.", "Fill tortilla with eggs, cheese, salsa.", "Roll."]</t>
        </is>
      </c>
    </row>
    <row r="865" ht="96" customHeight="1">
      <c r="A865" s="2" t="inlineStr">
        <is>
          <t>DB-0864</t>
        </is>
      </c>
      <c r="B865" s="3" t="inlineStr">
        <is>
          <t>Portobello 'Bun' Turkey Burger</t>
        </is>
      </c>
      <c r="C865" s="4" t="inlineStr">
        <is>
          <t>Sandwiches &amp; Wraps</t>
        </is>
      </c>
      <c r="D865" s="4" t="inlineStr">
        <is>
          <t>American</t>
        </is>
      </c>
      <c r="E865" s="2" t="n">
        <v>2</v>
      </c>
      <c r="F865" s="2" t="n">
        <v>10</v>
      </c>
      <c r="G865" s="2" t="n">
        <v>15</v>
      </c>
      <c r="H865" s="2" t="n">
        <v>25</v>
      </c>
      <c r="I865" s="4" t="inlineStr">
        <is>
          <t>portobello-bun-turkey-burger.jpg</t>
        </is>
      </c>
      <c r="J865" s="3" t="inlineStr">
        <is>
          <t>Portobello 'Bun' Turkey Burger, healthy food photography, plated, natural light</t>
        </is>
      </c>
      <c r="K865" s="4" t="inlineStr"/>
      <c r="L865" s="3" t="inlineStr">
        <is>
          <t>Ground turkey 93% lean — 300 g (10.6 oz)
Portobello mushrooms — 300 g (10.6 oz) [4 caps]
Cheddar cheese — 40 g (1.4 oz)
Tomato — 80 g (2.8 oz)
Red onion — 30 g (1.1 oz)
Arugula — 30 g (1.1 oz)
Dijon mustard — 10 g (0.4 oz)
Extra-virgin olive oil — 10 g (0.4 oz)
Salt — 2 g (0.1 oz)</t>
        </is>
      </c>
      <c r="M865" s="4" t="inlineStr">
        <is>
          <t>[{"ingredient_id": "ground_turkey", "name": "Ground turkey 93% lean", "grams": 300.0, "note": ""}, {"ingredient_id": "portobello", "name": "Portobello mushrooms", "grams": 300.0, "note": "4 caps"}, {"ingredient_id": "cheddar", "name": "Cheddar cheese", "grams": 40.0, "note": ""}, {"ingredient_id": "tomato", "name": "Tomato", "grams": 80.0, "note": ""}, {"ingredient_id": "red_onion", "name": "Red onion", "grams": 30.0, "note": ""}, {"ingredient_id": "arugula", "name": "Arugula", "grams": 30.0, "note": ""}, {"ingredient_id": "dijon", "name": "Dijon mustard", "grams": 10.0, "note": ""}, {"ingredient_id": "olive_oil", "name": "Extra-virgin olive oil", "grams": 10.0, "note": ""}, {"ingredient_id": "salt", "name": "Salt", "grams": 2.0, "note": ""}]</t>
        </is>
      </c>
      <c r="N865" s="2" t="n">
        <v>403</v>
      </c>
      <c r="O865" s="5" t="n">
        <v>36.9</v>
      </c>
      <c r="P865" s="5" t="n">
        <v>24.6</v>
      </c>
      <c r="Q865" s="5" t="n">
        <v>9.9</v>
      </c>
      <c r="R865" s="5" t="n">
        <v>3.1</v>
      </c>
      <c r="S865" s="5" t="n">
        <v>6.8</v>
      </c>
      <c r="T865" s="2" t="n">
        <v>14</v>
      </c>
      <c r="U865" s="2" t="inlineStr">
        <is>
          <t>low</t>
        </is>
      </c>
      <c r="V865" s="5" t="n">
        <v>1</v>
      </c>
      <c r="W865" s="2" t="inlineStr">
        <is>
          <t>low</t>
        </is>
      </c>
      <c r="X865" s="3" t="inlineStr"/>
      <c r="Y865" s="3" t="inlineStr">
        <is>
          <t>0% of this dish's available carbohydrate comes from ingredients with a published, measured GI; the rest uses conventional placeholders (see Ingredients sheet)</t>
        </is>
      </c>
      <c r="Z865" s="2" t="n">
        <v>0</v>
      </c>
      <c r="AA865" s="3" t="inlineStr">
        <is>
          <t>gluten-free, nut-free, low-carb, high-protein</t>
        </is>
      </c>
      <c r="AB865" s="3" t="inlineStr">
        <is>
          <t>1. Form 2 turkey patties; grill 6 minutes per side; top cheddar.
2. Brush caps with oil; grill 4 minutes per side.
3. Assemble with tomato, onion, arugula, Dijon.</t>
        </is>
      </c>
      <c r="AC865" s="4" t="inlineStr">
        <is>
          <t>["Form 2 turkey patties; grill 6 minutes per side; top cheddar.", "Brush caps with oil; grill 4 minutes per side.", "Assemble with tomato, onion, arugula, Dijon."]</t>
        </is>
      </c>
    </row>
    <row r="866" ht="96" customHeight="1">
      <c r="A866" s="2" t="inlineStr">
        <is>
          <t>DB-0865</t>
        </is>
      </c>
      <c r="B866" s="3" t="inlineStr">
        <is>
          <t>Chicken Shawarma Low-Carb Wrap</t>
        </is>
      </c>
      <c r="C866" s="4" t="inlineStr">
        <is>
          <t>Sandwiches &amp; Wraps</t>
        </is>
      </c>
      <c r="D866" s="4" t="inlineStr">
        <is>
          <t>Middle Eastern</t>
        </is>
      </c>
      <c r="E866" s="2" t="n">
        <v>2</v>
      </c>
      <c r="F866" s="2" t="n">
        <v>10</v>
      </c>
      <c r="G866" s="2" t="n">
        <v>12</v>
      </c>
      <c r="H866" s="2" t="n">
        <v>22</v>
      </c>
      <c r="I866" s="4" t="inlineStr">
        <is>
          <t>chicken-shawarma-low-carb-wrap.jpg</t>
        </is>
      </c>
      <c r="J866" s="3" t="inlineStr">
        <is>
          <t>Chicken Shawarma Low-Carb Wrap, healthy food photography, plated, natural light</t>
        </is>
      </c>
      <c r="K866" s="4" t="inlineStr"/>
      <c r="L866" s="3" t="inlineStr">
        <is>
          <t>Chicken thigh, skinless boneless — 300 g (10.6 oz)
Ground cumin — 2 g (0.1 oz)
Paprika — 2 g (0.1 oz)
Ground turmeric — 1 g (0.0 oz)
Garlic — 4 g (0.1 oz)
Lemon juice — 10 g (0.4 oz)
Extra-virgin olive oil — 8 g (0.3 oz)
Low-carb high-fiber tortilla — 84 g (3.0 oz) [2 tortillas]
Tahini — 20 g (0.7 oz)
Greek yogurt, plain 2% — 40 g (1.4 oz)
Cucumber — 80 g (2.8 oz)
Tomato — 80 g (2.8 oz)
Pickled jalapeños — 15 g (0.5 oz)</t>
        </is>
      </c>
      <c r="M866" s="4" t="inlineStr">
        <is>
          <t>[{"ingredient_id": "chicken_thigh", "name": "Chicken thigh, skinless boneless", "grams": 300.0, "note": ""}, {"ingredient_id": "cumin", "name": "Ground cumin", "grams": 2.0, "note": ""}, {"ingredient_id": "paprika", "name": "Paprika", "grams": 2.0, "note": ""}, {"ingredient_id": "turmeric", "name": "Ground turmeric", "grams": 1.0, "note": ""}, {"ingredient_id": "garlic", "name": "Garlic", "grams": 4.0, "note": ""}, {"ingredient_id": "lemon_juice", "name": "Lemon juice", "grams": 10.0, "note": ""}, {"ingredient_id": "olive_oil", "name": "Extra-virgin olive oil", "grams": 8.0, "note": ""}, {"ingredient_id": "low_carb_tortilla", "name": "Low-carb high-fiber tortilla", "grams": 84.0, "note": "2 tortillas"}, {"ingredient_id": "tahini", "name": "Tahini", "grams": 20.0, "note": ""}, {"ingredient_id": "greek_yogurt", "name": "Greek yogurt, plain 2%", "grams": 40.0, "note": ""}, {"ingredient_id": "cucumber", "name": "Cucumber", "grams": 80.0, "note": ""}, {"ingredient_id": "tomato", "name": "Tomato", "grams": 80.0, "note": ""}, {"ingredient_id": "pickled_jalapeno", "name": "Pickled jalapeños", "grams": 15.0, "note": ""}]</t>
        </is>
      </c>
      <c r="N866" s="2" t="n">
        <v>423</v>
      </c>
      <c r="O866" s="5" t="n">
        <v>39.5</v>
      </c>
      <c r="P866" s="5" t="n">
        <v>19.9</v>
      </c>
      <c r="Q866" s="5" t="n">
        <v>25.4</v>
      </c>
      <c r="R866" s="5" t="n">
        <v>12.9</v>
      </c>
      <c r="S866" s="5" t="n">
        <v>12.5</v>
      </c>
      <c r="T866" s="2" t="n">
        <v>26</v>
      </c>
      <c r="U866" s="2" t="inlineStr">
        <is>
          <t>low</t>
        </is>
      </c>
      <c r="V866" s="5" t="n">
        <v>3.2</v>
      </c>
      <c r="W866" s="2" t="inlineStr">
        <is>
          <t>low</t>
        </is>
      </c>
      <c r="X866" s="3" t="inlineStr"/>
      <c r="Y866" s="3" t="inlineStr">
        <is>
          <t>6% of this dish's available carbohydrate comes from ingredients with a published, measured GI; the rest uses conventional placeholders (see Ingredients sheet)</t>
        </is>
      </c>
      <c r="Z866" s="2" t="n">
        <v>6</v>
      </c>
      <c r="AA866" s="3" t="inlineStr">
        <is>
          <t>nut-free, low-carb, high-protein, high-fiber</t>
        </is>
      </c>
      <c r="AB866" s="3" t="inlineStr">
        <is>
          <t>1. Season chicken; sear; slice.
2. Whisk tahini, yogurt, lemon, water.
3. Fill tortillas with chicken, cucumber, tomato, jalapeño, sauce.</t>
        </is>
      </c>
      <c r="AC866" s="4" t="inlineStr">
        <is>
          <t>["Season chicken; sear; slice.", "Whisk tahini, yogurt, lemon, water.", "Fill tortillas with chicken, cucumber, tomato, jalapeño, sauce."]</t>
        </is>
      </c>
    </row>
    <row r="867" ht="96" customHeight="1">
      <c r="A867" s="2" t="inlineStr">
        <is>
          <t>DB-0866</t>
        </is>
      </c>
      <c r="B867" s="3" t="inlineStr">
        <is>
          <t>Open-Faced Avocado Egg Salad Toast</t>
        </is>
      </c>
      <c r="C867" s="4" t="inlineStr">
        <is>
          <t>Sandwiches &amp; Wraps</t>
        </is>
      </c>
      <c r="D867" s="4" t="inlineStr">
        <is>
          <t>American</t>
        </is>
      </c>
      <c r="E867" s="2" t="n">
        <v>2</v>
      </c>
      <c r="F867" s="2" t="n">
        <v>10</v>
      </c>
      <c r="G867" s="2" t="n">
        <v>10</v>
      </c>
      <c r="H867" s="2" t="n">
        <v>20</v>
      </c>
      <c r="I867" s="4" t="inlineStr">
        <is>
          <t>open-faced-avocado-egg-salad-toast.jpg</t>
        </is>
      </c>
      <c r="J867" s="3" t="inlineStr">
        <is>
          <t>Open-Faced Avocado Egg Salad Toast, healthy food photography, plated, natural light</t>
        </is>
      </c>
      <c r="K867" s="4" t="inlineStr"/>
      <c r="L867" s="3" t="inlineStr">
        <is>
          <t>Egg, large (50 g each) — 150 g (5.3 oz) [3 hard-boiled eggs]
Avocado — 80 g (2.8 oz)
Lemon juice — 8 g (0.3 oz)
Fresh chives — 4 g (0.1 oz)
Sprouted grain bread (Ezekiel-style) — 68 g (2.4 oz) [2 slices]
Radishes — 30 g (1.1 oz)
Salt — 1 g (0.0 oz)</t>
        </is>
      </c>
      <c r="M867" s="4" t="inlineStr">
        <is>
          <t>[{"ingredient_id": "egg", "name": "Egg, large (50 g each)", "grams": 150.0, "note": "3 hard-boiled eggs"}, {"ingredient_id": "avocado", "name": "Avocado", "grams": 80.0, "note": ""}, {"ingredient_id": "lemon_juice", "name": "Lemon juice", "grams": 8.0, "note": ""}, {"ingredient_id": "chives", "name": "Fresh chives", "grams": 4.0, "note": ""}, {"ingredient_id": "ezekiel_bread", "name": "Sprouted grain bread (Ezekiel-style)", "grams": 68.0, "note": "2 slices"}, {"ingredient_id": "radish", "name": "Radishes", "grams": 30.0, "note": ""}, {"ingredient_id": "salt", "name": "Salt", "grams": 1.0, "note": ""}]</t>
        </is>
      </c>
      <c r="N867" s="2" t="n">
        <v>255</v>
      </c>
      <c r="O867" s="5" t="n">
        <v>14.5</v>
      </c>
      <c r="P867" s="5" t="n">
        <v>13.7</v>
      </c>
      <c r="Q867" s="5" t="n">
        <v>19.8</v>
      </c>
      <c r="R867" s="5" t="n">
        <v>6</v>
      </c>
      <c r="S867" s="5" t="n">
        <v>13.7</v>
      </c>
      <c r="T867" s="2" t="n">
        <v>55</v>
      </c>
      <c r="U867" s="2" t="inlineStr">
        <is>
          <t>low</t>
        </is>
      </c>
      <c r="V867" s="5" t="n">
        <v>7.5</v>
      </c>
      <c r="W867" s="2" t="inlineStr">
        <is>
          <t>low</t>
        </is>
      </c>
      <c r="X867" s="3" t="inlineStr"/>
      <c r="Y867" s="3" t="inlineStr">
        <is>
          <t>87% of this dish's available carbohydrate comes from ingredients with a published, measured GI; the rest uses conventional placeholders (see Ingredients sheet)</t>
        </is>
      </c>
      <c r="Z867" s="2" t="n">
        <v>87</v>
      </c>
      <c r="AA867" s="3" t="inlineStr">
        <is>
          <t>vegetarian, gluten-free, dairy-free, nut-free, low-carb</t>
        </is>
      </c>
      <c r="AB867" s="3" t="inlineStr">
        <is>
          <t>1. Mash avocado with lemon and salt; fold in chopped eggs, chives.
2. Toast bread.
3. Top with egg salad and radish slices.</t>
        </is>
      </c>
      <c r="AC867" s="4" t="inlineStr">
        <is>
          <t>["Mash avocado with lemon and salt; fold in chopped eggs, chives.", "Toast bread.", "Top with egg salad and radish slices."]</t>
        </is>
      </c>
    </row>
    <row r="868" ht="96" customHeight="1">
      <c r="A868" s="2" t="inlineStr">
        <is>
          <t>DB-0867</t>
        </is>
      </c>
      <c r="B868" s="3" t="inlineStr">
        <is>
          <t>Turkey Meatball Sub (Open-Faced)</t>
        </is>
      </c>
      <c r="C868" s="4" t="inlineStr">
        <is>
          <t>Sandwiches &amp; Wraps</t>
        </is>
      </c>
      <c r="D868" s="4" t="inlineStr">
        <is>
          <t>Italian-American</t>
        </is>
      </c>
      <c r="E868" s="2" t="n">
        <v>2</v>
      </c>
      <c r="F868" s="2" t="n">
        <v>10</v>
      </c>
      <c r="G868" s="2" t="n">
        <v>20</v>
      </c>
      <c r="H868" s="2" t="n">
        <v>30</v>
      </c>
      <c r="I868" s="4" t="inlineStr">
        <is>
          <t>turkey-meatball-sub-open-faced.jpg</t>
        </is>
      </c>
      <c r="J868" s="3" t="inlineStr">
        <is>
          <t>Turkey Meatball Sub (Open-Faced), healthy food photography, plated, natural light</t>
        </is>
      </c>
      <c r="K868" s="4" t="inlineStr"/>
      <c r="L868" s="3" t="inlineStr">
        <is>
          <t>Ground turkey 93% lean — 300 g (10.6 oz)
Egg, large (50 g each) — 25 g (0.9 oz)
Parmesan, grated — 20 g (0.7 oz)
Almond flour — 15 g (0.5 oz)
Italian seasoning — 2 g (0.1 oz)
Marinara sauce, no sugar added — 120 g (4.2 oz)
Mozzarella, part-skim — 50 g (1.8 oz)
Whole wheat bread (100% whole wheat) — 70 g (2.5 oz) [2 slices]
Fresh basil — 4 g (0.1 oz)</t>
        </is>
      </c>
      <c r="M868" s="4" t="inlineStr">
        <is>
          <t>[{"ingredient_id": "ground_turkey", "name": "Ground turkey 93% lean", "grams": 300.0, "note": ""}, {"ingredient_id": "egg", "name": "Egg, large (50 g each)", "grams": 25.0, "note": ""}, {"ingredient_id": "parmesan", "name": "Parmesan, grated", "grams": 20.0, "note": ""}, {"ingredient_id": "almond_flour", "name": "Almond flour", "grams": 15.0, "note": ""}, {"ingredient_id": "italian_seasoning", "name": "Italian seasoning", "grams": 2.0, "note": ""}, {"ingredient_id": "marinara", "name": "Marinara sauce, no sugar added", "grams": 120.0, "note": ""}, {"ingredient_id": "mozzarella", "name": "Mozzarella, part-skim", "grams": 50.0, "note": ""}, {"ingredient_id": "whole_grain_bread", "name": "Whole wheat bread (100% whole wheat)", "grams": 70.0, "note": "2 slices"}, {"ingredient_id": "basil", "name": "Fresh basil", "grams": 4.0, "note": ""}]</t>
        </is>
      </c>
      <c r="N868" s="2" t="n">
        <v>511</v>
      </c>
      <c r="O868" s="5" t="n">
        <v>46.3</v>
      </c>
      <c r="P868" s="5" t="n">
        <v>26.6</v>
      </c>
      <c r="Q868" s="5" t="n">
        <v>21.6</v>
      </c>
      <c r="R868" s="5" t="n">
        <v>4.5</v>
      </c>
      <c r="S868" s="5" t="n">
        <v>17.1</v>
      </c>
      <c r="T868" s="2" t="n">
        <v>58</v>
      </c>
      <c r="U868" s="2" t="inlineStr">
        <is>
          <t>medium</t>
        </is>
      </c>
      <c r="V868" s="5" t="n">
        <v>9.9</v>
      </c>
      <c r="W868" s="2" t="inlineStr">
        <is>
          <t>low</t>
        </is>
      </c>
      <c r="X868" s="3" t="inlineStr">
        <is>
          <t>Medium-GI dish: keep to the stated portion and pair with the protein/fat in the recipe; GL per serving is the better guide.</t>
        </is>
      </c>
      <c r="Y868" s="3" t="inlineStr">
        <is>
          <t>87% of this dish's available carbohydrate comes from ingredients with a published, measured GI; the rest uses conventional placeholders (see Ingredients sheet)</t>
        </is>
      </c>
      <c r="Z868" s="2" t="n">
        <v>87</v>
      </c>
      <c r="AA868" s="3" t="inlineStr">
        <is>
          <t>high-protein</t>
        </is>
      </c>
      <c r="AB868" s="3" t="inlineStr">
        <is>
          <t>1. Mix turkey, egg, parmesan, almond flour, seasoning; form meatballs; bake at 400°F 15 minutes.
2. Simmer in marinara 5 minutes.
3. Top toast with meatballs, mozzarella; broil 2 minutes; basil.</t>
        </is>
      </c>
      <c r="AC868" s="4" t="inlineStr">
        <is>
          <t>["Mix turkey, egg, parmesan, almond flour, seasoning; form meatballs; bake at 400°F 15 minutes.", "Simmer in marinara 5 minutes.", "Top toast with meatballs, mozzarella; broil 2 minutes; basil."]</t>
        </is>
      </c>
    </row>
    <row r="869" ht="96" customHeight="1">
      <c r="A869" s="2" t="inlineStr">
        <is>
          <t>DB-0868</t>
        </is>
      </c>
      <c r="B869" s="3" t="inlineStr">
        <is>
          <t>Cucumber Turkey Sushi Rolls</t>
        </is>
      </c>
      <c r="C869" s="4" t="inlineStr">
        <is>
          <t>Sandwiches &amp; Wraps</t>
        </is>
      </c>
      <c r="D869" s="4" t="inlineStr">
        <is>
          <t>American</t>
        </is>
      </c>
      <c r="E869" s="2" t="n">
        <v>2</v>
      </c>
      <c r="F869" s="2" t="n">
        <v>10</v>
      </c>
      <c r="G869" s="2" t="n">
        <v>0</v>
      </c>
      <c r="H869" s="2" t="n">
        <v>10</v>
      </c>
      <c r="I869" s="4" t="inlineStr">
        <is>
          <t>cucumber-turkey-sushi-rolls.jpg</t>
        </is>
      </c>
      <c r="J869" s="3" t="inlineStr">
        <is>
          <t>Cucumber Turkey Sushi Rolls, healthy food photography, plated, natural light</t>
        </is>
      </c>
      <c r="K869" s="4" t="inlineStr"/>
      <c r="L869" s="3" t="inlineStr">
        <is>
          <t>Cucumber — 300 g (10.6 oz)
Deli turkey breast, low sodium — 120 g (4.2 oz)
Cream cheese — 30 g (1.1 oz)
Avocado — 50 g (1.8 oz)
Bell pepper — 40 g (1.4 oz)
Everything bagel seasoning — 2 g (0.1 oz)</t>
        </is>
      </c>
      <c r="M869" s="4" t="inlineStr">
        <is>
          <t>[{"ingredient_id": "cucumber", "name": "Cucumber", "grams": 300.0, "note": ""}, {"ingredient_id": "deli_turkey", "name": "Deli turkey breast, low sodium", "grams": 120.0, "note": ""}, {"ingredient_id": "cream_cheese", "name": "Cream cheese", "grams": 30.0, "note": ""}, {"ingredient_id": "avocado", "name": "Avocado", "grams": 50.0, "note": ""}, {"ingredient_id": "bell_pepper", "name": "Bell pepper", "grams": 40.0, "note": ""}, {"ingredient_id": "everything_seasoning", "name": "Everything bagel seasoning", "grams": 2.0, "note": ""}]</t>
        </is>
      </c>
      <c r="N869" s="2" t="n">
        <v>186</v>
      </c>
      <c r="O869" s="5" t="n">
        <v>13</v>
      </c>
      <c r="P869" s="5" t="n">
        <v>10.2</v>
      </c>
      <c r="Q869" s="5" t="n">
        <v>12</v>
      </c>
      <c r="R869" s="5" t="n">
        <v>2.9</v>
      </c>
      <c r="S869" s="5" t="n">
        <v>9.1</v>
      </c>
      <c r="T869" s="2" t="n">
        <v>10</v>
      </c>
      <c r="U869" s="2" t="inlineStr">
        <is>
          <t>low</t>
        </is>
      </c>
      <c r="V869" s="5" t="n">
        <v>0.9</v>
      </c>
      <c r="W869" s="2" t="inlineStr">
        <is>
          <t>low</t>
        </is>
      </c>
      <c r="X869" s="3" t="inlineStr"/>
      <c r="Y869" s="3" t="inlineStr">
        <is>
          <t>0% of this dish's available carbohydrate comes from ingredients with a published, measured GI; the rest uses conventional placeholders (see Ingredients sheet)</t>
        </is>
      </c>
      <c r="Z869" s="2" t="n">
        <v>0</v>
      </c>
      <c r="AA869" s="3" t="inlineStr">
        <is>
          <t>gluten-free, nut-free, low-carb, no-cook, quick</t>
        </is>
      </c>
      <c r="AB869" s="3" t="inlineStr">
        <is>
          <t>1. Peel cucumber into long ribbons.
2. Lay ribbons overlapping; spread cream cheese; add turkey, avocado, pepper.
3. Roll; slice; seasoning.</t>
        </is>
      </c>
      <c r="AC869" s="4" t="inlineStr">
        <is>
          <t>["Peel cucumber into long ribbons.", "Lay ribbons overlapping; spread cream cheese; add turkey, avocado, pepper.", "Roll; slice; seasoning."]</t>
        </is>
      </c>
    </row>
    <row r="870" ht="96" customHeight="1">
      <c r="A870" s="2" t="inlineStr">
        <is>
          <t>DB-0869</t>
        </is>
      </c>
      <c r="B870" s="3" t="inlineStr">
        <is>
          <t>Black Bean Veggie Low-Carb Burrito</t>
        </is>
      </c>
      <c r="C870" s="4" t="inlineStr">
        <is>
          <t>Sandwiches &amp; Wraps</t>
        </is>
      </c>
      <c r="D870" s="4" t="inlineStr">
        <is>
          <t>Tex-Mex</t>
        </is>
      </c>
      <c r="E870" s="2" t="n">
        <v>2</v>
      </c>
      <c r="F870" s="2" t="n">
        <v>10</v>
      </c>
      <c r="G870" s="2" t="n">
        <v>8</v>
      </c>
      <c r="H870" s="2" t="n">
        <v>18</v>
      </c>
      <c r="I870" s="4" t="inlineStr">
        <is>
          <t>black-bean-veggie-low-carb-burrito.jpg</t>
        </is>
      </c>
      <c r="J870" s="3" t="inlineStr">
        <is>
          <t>Black Bean Veggie Low-Carb Burrito, healthy food photography, plated, natural light</t>
        </is>
      </c>
      <c r="K870" s="4" t="inlineStr"/>
      <c r="L870" s="3" t="inlineStr">
        <is>
          <t>Low-carb high-fiber tortilla — 84 g (3.0 oz) [2 tortillas]
Black beans, cooked — 200 g (7.1 oz)
Cauliflower rice — 150 g (5.3 oz)
Bell pepper — 80 g (2.8 oz)
Salsa, no sugar added — 60 g (2.1 oz)
Cheddar cheese — 40 g (1.4 oz)
Avocado — 60 g (2.1 oz)
Ground cumin — 2 g (0.1 oz)
Extra-virgin olive oil — 6 g (0.2 oz)</t>
        </is>
      </c>
      <c r="M870" s="4" t="inlineStr">
        <is>
          <t>[{"ingredient_id": "low_carb_tortilla", "name": "Low-carb high-fiber tortilla", "grams": 84.0, "note": "2 tortillas"}, {"ingredient_id": "black_beans", "name": "Black beans, cooked", "grams": 200.0, "note": ""}, {"ingredient_id": "cauliflower_rice", "name": "Cauliflower rice", "grams": 150.0, "note": ""}, {"ingredient_id": "bell_pepper", "name": "Bell pepper", "grams": 80.0, "note": ""}, {"ingredient_id": "salsa", "name": "Salsa, no sugar added", "grams": 60.0, "note": ""}, {"ingredient_id": "cheddar", "name": "Cheddar cheese", "grams": 40.0, "note": ""}, {"ingredient_id": "avocado", "name": "Avocado", "grams": 60.0, "note": ""}, {"ingredient_id": "cumin", "name": "Ground cumin", "grams": 2.0, "note": ""}, {"ingredient_id": "olive_oil", "name": "Extra-virgin olive oil", "grams": 6.0, "note": ""}]</t>
        </is>
      </c>
      <c r="N870" s="2" t="n">
        <v>438</v>
      </c>
      <c r="O870" s="5" t="n">
        <v>21.6</v>
      </c>
      <c r="P870" s="5" t="n">
        <v>18.6</v>
      </c>
      <c r="Q870" s="5" t="n">
        <v>52</v>
      </c>
      <c r="R870" s="5" t="n">
        <v>24.1</v>
      </c>
      <c r="S870" s="5" t="n">
        <v>27.9</v>
      </c>
      <c r="T870" s="2" t="n">
        <v>27</v>
      </c>
      <c r="U870" s="2" t="inlineStr">
        <is>
          <t>low</t>
        </is>
      </c>
      <c r="V870" s="5" t="n">
        <v>7.5</v>
      </c>
      <c r="W870" s="2" t="inlineStr">
        <is>
          <t>low</t>
        </is>
      </c>
      <c r="X870" s="3" t="inlineStr"/>
      <c r="Y870" s="3" t="inlineStr">
        <is>
          <t>54% of this dish's available carbohydrate comes from ingredients with a published, measured GI; the rest uses conventional placeholders (see Ingredients sheet)</t>
        </is>
      </c>
      <c r="Z870" s="2" t="n">
        <v>54</v>
      </c>
      <c r="AA870" s="3" t="inlineStr">
        <is>
          <t>vegetarian, nut-free, high-fiber</t>
        </is>
      </c>
      <c r="AB870" s="3" t="inlineStr">
        <is>
          <t>1. Sauté pepper and cauliflower rice in oil with cumin; add beans.
2. Fill tortillas with mixture, salsa, cheddar, avocado.
3. Roll; sear seam-side down 2 minutes.</t>
        </is>
      </c>
      <c r="AC870" s="4" t="inlineStr">
        <is>
          <t>["Sauté pepper and cauliflower rice in oil with cumin; add beans.", "Fill tortillas with mixture, salsa, cheddar, avocado.", "Roll; sear seam-side down 2 minutes."]</t>
        </is>
      </c>
    </row>
    <row r="871" ht="96" customHeight="1">
      <c r="A871" s="2" t="inlineStr">
        <is>
          <t>DB-0870</t>
        </is>
      </c>
      <c r="B871" s="3" t="inlineStr">
        <is>
          <t>Lox &amp; Cream Cheese Low-Carb Wrap</t>
        </is>
      </c>
      <c r="C871" s="4" t="inlineStr">
        <is>
          <t>Sandwiches &amp; Wraps</t>
        </is>
      </c>
      <c r="D871" s="4" t="inlineStr">
        <is>
          <t>American</t>
        </is>
      </c>
      <c r="E871" s="2" t="n">
        <v>1</v>
      </c>
      <c r="F871" s="2" t="n">
        <v>5</v>
      </c>
      <c r="G871" s="2" t="n">
        <v>0</v>
      </c>
      <c r="H871" s="2" t="n">
        <v>5</v>
      </c>
      <c r="I871" s="4" t="inlineStr">
        <is>
          <t>lox-and-cream-cheese-low-carb-wrap.jpg</t>
        </is>
      </c>
      <c r="J871" s="3" t="inlineStr">
        <is>
          <t>Lox &amp; Cream Cheese Low-Carb Wrap, healthy food photography, plated, natural light</t>
        </is>
      </c>
      <c r="K871" s="4" t="inlineStr"/>
      <c r="L871" s="3" t="inlineStr">
        <is>
          <t>Low-carb high-fiber tortilla — 42 g (1.5 oz)
Smoked salmon — 70 g (2.5 oz)
Cream cheese — 25 g (0.9 oz)
Cucumber — 50 g (1.8 oz)
Red onion — 15 g (0.5 oz)
Capers — 5 g (0.2 oz)
Fresh dill — 2 g (0.1 oz)</t>
        </is>
      </c>
      <c r="M871" s="4" t="inlineStr">
        <is>
          <t>[{"ingredient_id": "low_carb_tortilla", "name": "Low-carb high-fiber tortilla", "grams": 42.0, "note": ""}, {"ingredient_id": "smoked_salmon", "name": "Smoked salmon", "grams": 70.0, "note": ""}, {"ingredient_id": "cream_cheese", "name": "Cream cheese", "grams": 25.0, "note": ""}, {"ingredient_id": "cucumber", "name": "Cucumber", "grams": 50.0, "note": ""}, {"ingredient_id": "red_onion", "name": "Red onion", "grams": 15.0, "note": ""}, {"ingredient_id": "capers", "name": "Capers", "grams": 5.0, "note": ""}, {"ingredient_id": "dill", "name": "Fresh dill", "grams": 2.0, "note": ""}]</t>
        </is>
      </c>
      <c r="N871" s="2" t="n">
        <v>288</v>
      </c>
      <c r="O871" s="5" t="n">
        <v>19.8</v>
      </c>
      <c r="P871" s="5" t="n">
        <v>15</v>
      </c>
      <c r="Q871" s="5" t="n">
        <v>21.4</v>
      </c>
      <c r="R871" s="5" t="n">
        <v>11.2</v>
      </c>
      <c r="S871" s="5" t="n">
        <v>10.2</v>
      </c>
      <c r="T871" s="2" t="n">
        <v>23</v>
      </c>
      <c r="U871" s="2" t="inlineStr">
        <is>
          <t>low</t>
        </is>
      </c>
      <c r="V871" s="5" t="n">
        <v>2.3</v>
      </c>
      <c r="W871" s="2" t="inlineStr">
        <is>
          <t>low</t>
        </is>
      </c>
      <c r="X871" s="3" t="inlineStr"/>
      <c r="Y871" s="3" t="inlineStr">
        <is>
          <t>0% of this dish's available carbohydrate comes from ingredients with a published, measured GI; the rest uses conventional placeholders (see Ingredients sheet)</t>
        </is>
      </c>
      <c r="Z871" s="2" t="n">
        <v>0</v>
      </c>
      <c r="AA871" s="3" t="inlineStr">
        <is>
          <t>pescatarian, nut-free, low-carb, high-fiber, no-cook, quick, omega-3</t>
        </is>
      </c>
      <c r="AB871" s="3" t="inlineStr">
        <is>
          <t>1. Spread cream cheese on tortilla.
2. Layer salmon, cucumber, onion, capers, dill.
3. Roll.</t>
        </is>
      </c>
      <c r="AC871" s="4" t="inlineStr">
        <is>
          <t>["Spread cream cheese on tortilla.", "Layer salmon, cucumber, onion, capers, dill.", "Roll."]</t>
        </is>
      </c>
    </row>
    <row r="872" ht="96" customHeight="1">
      <c r="A872" s="2" t="inlineStr">
        <is>
          <t>DB-0871</t>
        </is>
      </c>
      <c r="B872" s="3" t="inlineStr">
        <is>
          <t>Chicken Avocado BLT Lettuce Wrap</t>
        </is>
      </c>
      <c r="C872" s="4" t="inlineStr">
        <is>
          <t>Sandwiches &amp; Wraps</t>
        </is>
      </c>
      <c r="D872" s="4" t="inlineStr">
        <is>
          <t>American</t>
        </is>
      </c>
      <c r="E872" s="2" t="n">
        <v>2</v>
      </c>
      <c r="F872" s="2" t="n">
        <v>8</v>
      </c>
      <c r="G872" s="2" t="n">
        <v>10</v>
      </c>
      <c r="H872" s="2" t="n">
        <v>18</v>
      </c>
      <c r="I872" s="4" t="inlineStr">
        <is>
          <t>chicken-avocado-blt-lettuce-wrap.jpg</t>
        </is>
      </c>
      <c r="J872" s="3" t="inlineStr">
        <is>
          <t>Chicken Avocado BLT Lettuce Wrap, healthy food photography, plated, natural light</t>
        </is>
      </c>
      <c r="K872" s="4" t="inlineStr"/>
      <c r="L872" s="3" t="inlineStr">
        <is>
          <t>Chicken breast, skinless — 250 g (8.8 oz)
Turkey bacon — 45 g (1.6 oz)
Avocado — 80 g (2.8 oz)
Tomato — 100 g (3.5 oz)
Romaine lettuce — 120 g (4.2 oz)
Mayonnaise (avocado oil) — 10 g (0.4 oz)
Extra-virgin olive oil — 6 g (0.2 oz)</t>
        </is>
      </c>
      <c r="M872" s="4" t="inlineStr">
        <is>
          <t>[{"ingredient_id": "chicken_breast", "name": "Chicken breast, skinless", "grams": 250.0, "note": ""}, {"ingredient_id": "turkey_bacon", "name": "Turkey bacon", "grams": 45.0, "note": ""}, {"ingredient_id": "avocado", "name": "Avocado", "grams": 80.0, "note": ""}, {"ingredient_id": "tomato", "name": "Tomato", "grams": 100.0, "note": ""}, {"ingredient_id": "romaine", "name": "Romaine lettuce", "grams": 120.0, "note": ""}, {"ingredient_id": "mayo", "name": "Mayonnaise (avocado oil)", "grams": 10.0, "note": ""}, {"ingredient_id": "olive_oil", "name": "Extra-virgin olive oil", "grams": 6.0, "note": ""}]</t>
        </is>
      </c>
      <c r="N872" s="2" t="n">
        <v>344</v>
      </c>
      <c r="O872" s="5" t="n">
        <v>34.1</v>
      </c>
      <c r="P872" s="5" t="n">
        <v>19.8</v>
      </c>
      <c r="Q872" s="5" t="n">
        <v>7.8</v>
      </c>
      <c r="R872" s="5" t="n">
        <v>4.5</v>
      </c>
      <c r="S872" s="5" t="n">
        <v>3.2</v>
      </c>
      <c r="T872" s="2" t="n">
        <v>13</v>
      </c>
      <c r="U872" s="2" t="inlineStr">
        <is>
          <t>low</t>
        </is>
      </c>
      <c r="V872" s="5" t="n">
        <v>0.4</v>
      </c>
      <c r="W872" s="2" t="inlineStr">
        <is>
          <t>low</t>
        </is>
      </c>
      <c r="X872" s="3" t="inlineStr">
        <is>
          <t>Negligible carbohydrate (&lt;5 g net/serving): GI has little practical meaning, glycemic load is what matters.</t>
        </is>
      </c>
      <c r="Y872" s="3" t="inlineStr">
        <is>
          <t>0% of this dish's available carbohydrate comes from ingredients with a published, measured GI; the rest uses conventional placeholders (see Ingredients sheet)</t>
        </is>
      </c>
      <c r="Z872" s="2" t="n">
        <v>0</v>
      </c>
      <c r="AA872" s="3" t="inlineStr">
        <is>
          <t>gluten-free, dairy-free, nut-free, low-carb, high-protein</t>
        </is>
      </c>
      <c r="AB872" s="3" t="inlineStr">
        <is>
          <t>1. Sear chicken in oil; slice. Crisp bacon.
2. Spread mayo on romaine.
3. Layer chicken, bacon, avocado, tomato; roll.</t>
        </is>
      </c>
      <c r="AC872" s="4" t="inlineStr">
        <is>
          <t>["Sear chicken in oil; slice. Crisp bacon.", "Spread mayo on romaine.", "Layer chicken, bacon, avocado, tomato; roll."]</t>
        </is>
      </c>
    </row>
    <row r="873" ht="96" customHeight="1">
      <c r="A873" s="2" t="inlineStr">
        <is>
          <t>DB-0872</t>
        </is>
      </c>
      <c r="B873" s="3" t="inlineStr">
        <is>
          <t>Falafel Lettuce Wraps with Tahini</t>
        </is>
      </c>
      <c r="C873" s="4" t="inlineStr">
        <is>
          <t>Sandwiches &amp; Wraps</t>
        </is>
      </c>
      <c r="D873" s="4" t="inlineStr">
        <is>
          <t>Middle Eastern</t>
        </is>
      </c>
      <c r="E873" s="2" t="n">
        <v>3</v>
      </c>
      <c r="F873" s="2" t="n">
        <v>15</v>
      </c>
      <c r="G873" s="2" t="n">
        <v>22</v>
      </c>
      <c r="H873" s="2" t="n">
        <v>37</v>
      </c>
      <c r="I873" s="4" t="inlineStr">
        <is>
          <t>falafel-lettuce-wraps-with-tahini.jpg</t>
        </is>
      </c>
      <c r="J873" s="3" t="inlineStr">
        <is>
          <t>Falafel Lettuce Wraps with Tahini, healthy food photography, plated, natural light</t>
        </is>
      </c>
      <c r="K873" s="4" t="inlineStr"/>
      <c r="L873" s="3" t="inlineStr">
        <is>
          <t>Chickpeas, cooked — 400 g (14.1 oz)
Yellow onion — 50 g (1.8 oz)
Garlic — 6 g (0.2 oz)
Fresh parsley — 20 g (0.7 oz)
Ground cumin — 3 g (0.1 oz)
Ground coriander — 2 g (0.1 oz)
Almond flour — 25 g (0.9 oz)
Baking powder — 2 g (0.1 oz)
Extra-virgin olive oil — 15 g (0.5 oz)
Tahini — 30 g (1.1 oz)
Lemon juice — 20 g (0.7 oz)
Romaine lettuce — 150 g (5.3 oz)
Tomato — 120 g (4.2 oz)
Cucumber — 100 g (3.5 oz)
Salt — 2 g (0.1 oz)</t>
        </is>
      </c>
      <c r="M873" s="4" t="inlineStr">
        <is>
          <t>[{"ingredient_id": "chickpeas", "name": "Chickpeas, cooked", "grams": 400.0, "note": ""}, {"ingredient_id": "onion", "name": "Yellow onion", "grams": 50.0, "note": ""}, {"ingredient_id": "garlic", "name": "Garlic", "grams": 6.0, "note": ""}, {"ingredient_id": "parsley", "name": "Fresh parsley", "grams": 20.0, "note": ""}, {"ingredient_id": "cumin", "name": "Ground cumin", "grams": 3.0, "note": ""}, {"ingredient_id": "coriander", "name": "Ground coriander", "grams": 2.0, "note": ""}, {"ingredient_id": "almond_flour", "name": "Almond flour", "grams": 25.0, "note": ""}, {"ingredient_id": "baking_powder", "name": "Baking powder", "grams": 2.0, "note": ""}, {"ingredient_id": "olive_oil", "name": "Extra-virgin olive oil", "grams": 15.0, "note": ""}, {"ingredient_id": "tahini", "name": "Tahini", "grams": 30.0, "note": ""}, {"ingredient_id": "lemon_juice", "name": "Lemon juice", "grams": 20.0, "note": ""}, {"ingredient_id": "romaine", "name": "Romaine lettuce", "grams": 150.0, "note": ""}, {"ingredient_id": "tomato", "name": "Tomato", "grams": 120.0, "note": ""}, {"ingredient_id": "cucumber", "name": "Cucumber", "grams": 100.0, "note": ""}, {"ingredient_id": "salt", "name": "Salt", "grams": 2.0, "note": ""}]</t>
        </is>
      </c>
      <c r="N873" s="2" t="n">
        <v>412</v>
      </c>
      <c r="O873" s="5" t="n">
        <v>17.3</v>
      </c>
      <c r="P873" s="5" t="n">
        <v>18.7</v>
      </c>
      <c r="Q873" s="5" t="n">
        <v>48.3</v>
      </c>
      <c r="R873" s="5" t="n">
        <v>14.7</v>
      </c>
      <c r="S873" s="5" t="n">
        <v>33.7</v>
      </c>
      <c r="T873" s="2" t="n">
        <v>34</v>
      </c>
      <c r="U873" s="2" t="inlineStr">
        <is>
          <t>low</t>
        </is>
      </c>
      <c r="V873" s="5" t="n">
        <v>11.4</v>
      </c>
      <c r="W873" s="2" t="inlineStr">
        <is>
          <t>medium</t>
        </is>
      </c>
      <c r="X873" s="3" t="inlineStr"/>
      <c r="Y873" s="3" t="inlineStr">
        <is>
          <t>77% of this dish's available carbohydrate comes from ingredients with a published, measured GI; the rest uses conventional placeholders (see Ingredients sheet)</t>
        </is>
      </c>
      <c r="Z873" s="2" t="n">
        <v>77</v>
      </c>
      <c r="AA873" s="3" t="inlineStr">
        <is>
          <t>vegan, gluten-free, dairy-free, high-fiber</t>
        </is>
      </c>
      <c r="AB873" s="3" t="inlineStr">
        <is>
          <t>1. Pulse chickpeas, onion, garlic, parsley, spices, almond flour, baking powder, salt; form balls; brush oil; bake at 425°F 22 minutes.
2. Whisk tahini, lemon, water.
3. Fill romaine with falafel, tomato, cucumber, tahini.</t>
        </is>
      </c>
      <c r="AC873" s="4" t="inlineStr">
        <is>
          <t>["Pulse chickpeas, onion, garlic, parsley, spices, almond flour, baking powder, salt; form balls; brush oil; bake at 425°F 22 minutes.", "Whisk tahini, lemon, water.", "Fill romaine with falafel, tomato, cucumber, tahini."]</t>
        </is>
      </c>
    </row>
    <row r="874" ht="96" customHeight="1">
      <c r="A874" s="2" t="inlineStr">
        <is>
          <t>DB-0873</t>
        </is>
      </c>
      <c r="B874" s="3" t="inlineStr">
        <is>
          <t>Tuna Nicoise Open Sandwich</t>
        </is>
      </c>
      <c r="C874" s="4" t="inlineStr">
        <is>
          <t>Sandwiches &amp; Wraps</t>
        </is>
      </c>
      <c r="D874" s="4" t="inlineStr">
        <is>
          <t>French</t>
        </is>
      </c>
      <c r="E874" s="2" t="n">
        <v>2</v>
      </c>
      <c r="F874" s="2" t="n">
        <v>10</v>
      </c>
      <c r="G874" s="2" t="n">
        <v>10</v>
      </c>
      <c r="H874" s="2" t="n">
        <v>20</v>
      </c>
      <c r="I874" s="4" t="inlineStr">
        <is>
          <t>tuna-nicoise-open-sandwich.jpg</t>
        </is>
      </c>
      <c r="J874" s="3" t="inlineStr">
        <is>
          <t>Tuna Nicoise Open Sandwich, healthy food photography, plated, natural light</t>
        </is>
      </c>
      <c r="K874" s="4" t="inlineStr"/>
      <c r="L874" s="3" t="inlineStr">
        <is>
          <t>Tuna, canned in water — 170 g (6.0 oz)
Egg, large (50 g each) — 100 g (3.5 oz) [2 hard-boiled]
Pumpernickel / whole rye bread — 70 g (2.5 oz) [2 slices]
Olives (kalamata/green) — 20 g (0.7 oz)
Tomato — 80 g (2.8 oz)
Dijon mustard — 8 g (0.3 oz)
Extra-virgin olive oil — 8 g (0.3 oz)
Capers — 5 g (0.2 oz)
Arugula — 30 g (1.1 oz)</t>
        </is>
      </c>
      <c r="M874" s="4" t="inlineStr">
        <is>
          <t>[{"ingredient_id": "tuna_canned", "name": "Tuna, canned in water", "grams": 170.0, "note": ""}, {"ingredient_id": "egg", "name": "Egg, large (50 g each)", "grams": 100.0, "note": "2 hard-boiled"}, {"ingredient_id": "rye_bread", "name": "Pumpernickel / whole rye bread", "grams": 70.0, "note": "2 slices"}, {"ingredient_id": "olives", "name": "Olives (kalamata/green)", "grams": 20.0, "note": ""}, {"ingredient_id": "tomato", "name": "Tomato", "grams": 80.0, "note": ""}, {"ingredient_id": "dijon", "name": "Dijon mustard", "grams": 8.0, "note": ""}, {"ingredient_id": "olive_oil", "name": "Extra-virgin olive oil", "grams": 8.0, "note": ""}, {"ingredient_id": "capers", "name": "Capers", "grams": 5.0, "note": ""}, {"ingredient_id": "arugula", "name": "Arugula", "grams": 30.0, "note": ""}]</t>
        </is>
      </c>
      <c r="N874" s="2" t="n">
        <v>319</v>
      </c>
      <c r="O874" s="5" t="n">
        <v>32.5</v>
      </c>
      <c r="P874" s="5" t="n">
        <v>12.1</v>
      </c>
      <c r="Q874" s="5" t="n">
        <v>19.8</v>
      </c>
      <c r="R874" s="5" t="n">
        <v>3.5</v>
      </c>
      <c r="S874" s="5" t="n">
        <v>16.3</v>
      </c>
      <c r="T874" s="2" t="n">
        <v>45</v>
      </c>
      <c r="U874" s="2" t="inlineStr">
        <is>
          <t>low</t>
        </is>
      </c>
      <c r="V874" s="5" t="n">
        <v>7.3</v>
      </c>
      <c r="W874" s="2" t="inlineStr">
        <is>
          <t>low</t>
        </is>
      </c>
      <c r="X874" s="3" t="inlineStr"/>
      <c r="Y874" s="3" t="inlineStr">
        <is>
          <t>87% of this dish's available carbohydrate comes from ingredients with a published, measured GI; the rest uses conventional placeholders (see Ingredients sheet)</t>
        </is>
      </c>
      <c r="Z874" s="2" t="n">
        <v>87</v>
      </c>
      <c r="AA874" s="3" t="inlineStr">
        <is>
          <t>pescatarian, dairy-free, nut-free, high-protein</t>
        </is>
      </c>
      <c r="AB874" s="3" t="inlineStr">
        <is>
          <t>1. Mix tuna with Dijon, oil, capers.
2. Toast rye; top with arugula, tuna, sliced egg, tomato, olives.</t>
        </is>
      </c>
      <c r="AC874" s="4" t="inlineStr">
        <is>
          <t>["Mix tuna with Dijon, oil, capers.", "Toast rye; top with arugula, tuna, sliced egg, tomato, olives."]</t>
        </is>
      </c>
    </row>
    <row r="875" ht="96" customHeight="1">
      <c r="A875" s="2" t="inlineStr">
        <is>
          <t>DB-0874</t>
        </is>
      </c>
      <c r="B875" s="3" t="inlineStr">
        <is>
          <t>Pesto Turkey Zucchini Roll-Ups</t>
        </is>
      </c>
      <c r="C875" s="4" t="inlineStr">
        <is>
          <t>Sandwiches &amp; Wraps</t>
        </is>
      </c>
      <c r="D875" s="4" t="inlineStr">
        <is>
          <t>Italian</t>
        </is>
      </c>
      <c r="E875" s="2" t="n">
        <v>2</v>
      </c>
      <c r="F875" s="2" t="n">
        <v>10</v>
      </c>
      <c r="G875" s="2" t="n">
        <v>6</v>
      </c>
      <c r="H875" s="2" t="n">
        <v>16</v>
      </c>
      <c r="I875" s="4" t="inlineStr">
        <is>
          <t>pesto-turkey-zucchini-roll-ups.jpg</t>
        </is>
      </c>
      <c r="J875" s="3" t="inlineStr">
        <is>
          <t>Pesto Turkey Zucchini Roll-Ups, healthy food photography, plated, natural light</t>
        </is>
      </c>
      <c r="K875" s="4" t="inlineStr"/>
      <c r="L875" s="3" t="inlineStr">
        <is>
          <t>Zucchini — 300 g (10.6 oz) [sliced lengthwise]
Deli turkey breast, low sodium — 120 g (4.2 oz)
Basil pesto — 20 g (0.7 oz)
Mozzarella, part-skim — 40 g (1.4 oz)
Roasted red peppers, jarred — 40 g (1.4 oz)
Extra-virgin olive oil — 5 g (0.2 oz)</t>
        </is>
      </c>
      <c r="M875" s="4" t="inlineStr">
        <is>
          <t>[{"ingredient_id": "zucchini", "name": "Zucchini", "grams": 300.0, "note": "sliced lengthwise"}, {"ingredient_id": "deli_turkey", "name": "Deli turkey breast, low sodium", "grams": 120.0, "note": ""}, {"ingredient_id": "pesto", "name": "Basil pesto", "grams": 20.0, "note": ""}, {"ingredient_id": "mozzarella", "name": "Mozzarella, part-skim", "grams": 40.0, "note": ""}, {"ingredient_id": "roasted_red_pepper", "name": "Roasted red peppers, jarred", "grams": 40.0, "note": ""}, {"ingredient_id": "olive_oil", "name": "Extra-virgin olive oil", "grams": 5.0, "note": ""}]</t>
        </is>
      </c>
      <c r="N875" s="2" t="n">
        <v>207</v>
      </c>
      <c r="O875" s="5" t="n">
        <v>17.5</v>
      </c>
      <c r="P875" s="5" t="n">
        <v>11.1</v>
      </c>
      <c r="Q875" s="5" t="n">
        <v>9.4</v>
      </c>
      <c r="R875" s="5" t="n">
        <v>2.1</v>
      </c>
      <c r="S875" s="5" t="n">
        <v>7.3</v>
      </c>
      <c r="T875" s="2" t="n">
        <v>9</v>
      </c>
      <c r="U875" s="2" t="inlineStr">
        <is>
          <t>low</t>
        </is>
      </c>
      <c r="V875" s="5" t="n">
        <v>0.7</v>
      </c>
      <c r="W875" s="2" t="inlineStr">
        <is>
          <t>low</t>
        </is>
      </c>
      <c r="X875" s="3" t="inlineStr"/>
      <c r="Y875" s="3" t="inlineStr">
        <is>
          <t>0% of this dish's available carbohydrate comes from ingredients with a published, measured GI; the rest uses conventional placeholders (see Ingredients sheet)</t>
        </is>
      </c>
      <c r="Z875" s="2" t="n">
        <v>0</v>
      </c>
      <c r="AA875" s="3" t="inlineStr">
        <is>
          <t>gluten-free, low-carb, quick</t>
        </is>
      </c>
      <c r="AB875" s="3" t="inlineStr">
        <is>
          <t>1. Grill zucchini planks 2–3 minutes per side.
2. Spread pesto; layer turkey, mozzarella, pepper.
3. Roll and secure.</t>
        </is>
      </c>
      <c r="AC875" s="4" t="inlineStr">
        <is>
          <t>["Grill zucchini planks 2–3 minutes per side.", "Spread pesto; layer turkey, mozzarella, pepper.", "Roll and secure."]</t>
        </is>
      </c>
    </row>
    <row r="876" ht="96" customHeight="1">
      <c r="A876" s="2" t="inlineStr">
        <is>
          <t>DB-0875</t>
        </is>
      </c>
      <c r="B876" s="3" t="inlineStr">
        <is>
          <t>Veggie &amp; Goat Cheese Low-Carb Wrap</t>
        </is>
      </c>
      <c r="C876" s="4" t="inlineStr">
        <is>
          <t>Sandwiches &amp; Wraps</t>
        </is>
      </c>
      <c r="D876" s="4" t="inlineStr">
        <is>
          <t>American</t>
        </is>
      </c>
      <c r="E876" s="2" t="n">
        <v>2</v>
      </c>
      <c r="F876" s="2" t="n">
        <v>8</v>
      </c>
      <c r="G876" s="2" t="n">
        <v>8</v>
      </c>
      <c r="H876" s="2" t="n">
        <v>16</v>
      </c>
      <c r="I876" s="4" t="inlineStr">
        <is>
          <t>veggie-and-goat-cheese-low-carb-wrap.jpg</t>
        </is>
      </c>
      <c r="J876" s="3" t="inlineStr">
        <is>
          <t>Veggie &amp; Goat Cheese Low-Carb Wrap, healthy food photography, plated, natural light</t>
        </is>
      </c>
      <c r="K876" s="4" t="inlineStr"/>
      <c r="L876" s="3" t="inlineStr">
        <is>
          <t>Low-carb high-fiber tortilla — 84 g (3.0 oz) [2 tortillas]
Zucchini — 120 g (4.2 oz)
Bell pepper — 100 g (3.5 oz)
Mushrooms (cremini/white) — 80 g (2.8 oz)
Spinach — 40 g (1.4 oz)
Goat cheese — 50 g (1.8 oz)
Extra-virgin olive oil — 8 g (0.3 oz)
Balsamic vinegar — 6 g (0.2 oz)</t>
        </is>
      </c>
      <c r="M876" s="4" t="inlineStr">
        <is>
          <t>[{"ingredient_id": "low_carb_tortilla", "name": "Low-carb high-fiber tortilla", "grams": 84.0, "note": "2 tortillas"}, {"ingredient_id": "zucchini", "name": "Zucchini", "grams": 120.0, "note": ""}, {"ingredient_id": "bell_pepper", "name": "Bell pepper", "grams": 100.0, "note": ""}, {"ingredient_id": "mushrooms", "name": "Mushrooms (cremini/white)", "grams": 80.0, "note": ""}, {"ingredient_id": "spinach", "name": "Spinach", "grams": 40.0, "note": ""}, {"ingredient_id": "goat_cheese", "name": "Goat cheese", "grams": 50.0, "note": ""}, {"ingredient_id": "olive_oil", "name": "Extra-virgin olive oil", "grams": 8.0, "note": ""}, {"ingredient_id": "balsamic_vinegar", "name": "Balsamic vinegar", "grams": 6.0, "note": ""}]</t>
        </is>
      </c>
      <c r="N876" s="2" t="n">
        <v>273</v>
      </c>
      <c r="O876" s="5" t="n">
        <v>13.6</v>
      </c>
      <c r="P876" s="5" t="n">
        <v>15.4</v>
      </c>
      <c r="Q876" s="5" t="n">
        <v>24.2</v>
      </c>
      <c r="R876" s="5" t="n">
        <v>13</v>
      </c>
      <c r="S876" s="5" t="n">
        <v>11.2</v>
      </c>
      <c r="T876" s="2" t="n">
        <v>24</v>
      </c>
      <c r="U876" s="2" t="inlineStr">
        <is>
          <t>low</t>
        </is>
      </c>
      <c r="V876" s="5" t="n">
        <v>2.7</v>
      </c>
      <c r="W876" s="2" t="inlineStr">
        <is>
          <t>low</t>
        </is>
      </c>
      <c r="X876" s="3" t="inlineStr"/>
      <c r="Y876" s="3" t="inlineStr">
        <is>
          <t>0% of this dish's available carbohydrate comes from ingredients with a published, measured GI; the rest uses conventional placeholders (see Ingredients sheet)</t>
        </is>
      </c>
      <c r="Z876" s="2" t="n">
        <v>0</v>
      </c>
      <c r="AA876" s="3" t="inlineStr">
        <is>
          <t>vegetarian, nut-free, low-carb, high-fiber, quick</t>
        </is>
      </c>
      <c r="AB876" s="3" t="inlineStr">
        <is>
          <t>1. Sauté zucchini, pepper, mushrooms in oil; add spinach and balsamic.
2. Spread goat cheese on tortillas; add vegetables.
3. Roll.</t>
        </is>
      </c>
      <c r="AC876" s="4" t="inlineStr">
        <is>
          <t>["Sauté zucchini, pepper, mushrooms in oil; add spinach and balsamic.", "Spread goat cheese on tortillas; add vegetables.", "Roll."]</t>
        </is>
      </c>
    </row>
    <row r="877" ht="96" customHeight="1">
      <c r="A877" s="2" t="inlineStr">
        <is>
          <t>DB-0876</t>
        </is>
      </c>
      <c r="B877" s="3" t="inlineStr">
        <is>
          <t>Chicken Thighs with Artichokes &amp; Lemon</t>
        </is>
      </c>
      <c r="C877" s="4" t="inlineStr">
        <is>
          <t>Poultry</t>
        </is>
      </c>
      <c r="D877" s="4" t="inlineStr">
        <is>
          <t>Mediterranean</t>
        </is>
      </c>
      <c r="E877" s="2" t="n">
        <v>4</v>
      </c>
      <c r="F877" s="2" t="n">
        <v>10</v>
      </c>
      <c r="G877" s="2" t="n">
        <v>30</v>
      </c>
      <c r="H877" s="2" t="n">
        <v>40</v>
      </c>
      <c r="I877" s="4" t="inlineStr">
        <is>
          <t>chicken-thighs-with-artichokes-and-lemon.jpg</t>
        </is>
      </c>
      <c r="J877" s="3" t="inlineStr">
        <is>
          <t>Chicken Thighs with Artichokes &amp; Lemon, healthy food photography, plated, natural light</t>
        </is>
      </c>
      <c r="K877" s="4" t="inlineStr"/>
      <c r="L877" s="3" t="inlineStr">
        <is>
          <t>Chicken thigh, skinless boneless — 700 g (24.7 oz)
Artichoke hearts, canned in water — 300 g (10.6 oz)
Lemon (with juice &amp; zest) — 50 g (1.8 oz)
Garlic — 8 g (0.3 oz)
Dry white wine (cooking) — 80 g (2.8 oz)
Chicken broth, low sodium — 100 g (3.5 oz)
Extra-virgin olive oil — 15 g (0.5 oz)
Fresh thyme — 2 g (0.1 oz)
Fresh parsley — 5 g (0.2 oz)
Salt — 3 g (0.1 oz)</t>
        </is>
      </c>
      <c r="M877" s="4" t="inlineStr">
        <is>
          <t>[{"ingredient_id": "chicken_thigh", "name": "Chicken thigh, skinless boneless", "grams": 700.0, "note": ""}, {"ingredient_id": "artichoke_hearts", "name": "Artichoke hearts, canned in water", "grams": 300.0, "note": ""}, {"ingredient_id": "lemon", "name": "Lemon (with juice &amp; zest)", "grams": 50.0, "note": ""}, {"ingredient_id": "garlic", "name": "Garlic", "grams": 8.0, "note": ""}, {"ingredient_id": "white_wine", "name": "Dry white wine (cooking)", "grams": 80.0, "note": ""}, {"ingredient_id": "chicken_broth", "name": "Chicken broth, low sodium", "grams": 100.0, "note": ""}, {"ingredient_id": "olive_oil", "name": "Extra-virgin olive oil", "grams": 15.0, "note": ""}, {"ingredient_id": "thyme", "name": "Fresh thyme", "grams": 2.0, "note": ""}, {"ingredient_id": "parsley", "name": "Fresh parsley", "grams": 5.0, "note": ""}, {"ingredient_id": "salt", "name": "Salt", "grams": 3.0, "note": ""}]</t>
        </is>
      </c>
      <c r="N877" s="2" t="n">
        <v>306</v>
      </c>
      <c r="O877" s="5" t="n">
        <v>37.5</v>
      </c>
      <c r="P877" s="5" t="n">
        <v>11.2</v>
      </c>
      <c r="Q877" s="5" t="n">
        <v>10.5</v>
      </c>
      <c r="R877" s="5" t="n">
        <v>4.6</v>
      </c>
      <c r="S877" s="5" t="n">
        <v>6</v>
      </c>
      <c r="T877" s="2" t="n">
        <v>16</v>
      </c>
      <c r="U877" s="2" t="inlineStr">
        <is>
          <t>low</t>
        </is>
      </c>
      <c r="V877" s="5" t="n">
        <v>1</v>
      </c>
      <c r="W877" s="2" t="inlineStr">
        <is>
          <t>low</t>
        </is>
      </c>
      <c r="X877" s="3" t="inlineStr"/>
      <c r="Y877" s="3" t="inlineStr">
        <is>
          <t>0% of this dish's available carbohydrate comes from ingredients with a published, measured GI; the rest uses conventional placeholders (see Ingredients sheet)</t>
        </is>
      </c>
      <c r="Z877" s="2" t="n">
        <v>0</v>
      </c>
      <c r="AA877" s="3" t="inlineStr">
        <is>
          <t>gluten-free, dairy-free, nut-free, low-carb, high-protein, one-pan</t>
        </is>
      </c>
      <c r="AB877" s="3" t="inlineStr">
        <is>
          <t>1. Sear chicken in oil; remove. Sauté garlic; deglaze with wine.
2. Add broth, artichokes, lemon slices, thyme; return chicken.
3. Roast at 400°F 20 minutes; parsley.</t>
        </is>
      </c>
      <c r="AC877" s="4" t="inlineStr">
        <is>
          <t>["Sear chicken in oil; remove. Sauté garlic; deglaze with wine.", "Add broth, artichokes, lemon slices, thyme; return chicken.", "Roast at 400°F 20 minutes; parsley."]</t>
        </is>
      </c>
    </row>
    <row r="878" ht="96" customHeight="1">
      <c r="A878" s="2" t="inlineStr">
        <is>
          <t>DB-0877</t>
        </is>
      </c>
      <c r="B878" s="3" t="inlineStr">
        <is>
          <t>Chicken &amp; Cauliflower Rice Casserole (Broccoli Cheddar)</t>
        </is>
      </c>
      <c r="C878" s="4" t="inlineStr">
        <is>
          <t>Poultry</t>
        </is>
      </c>
      <c r="D878" s="4" t="inlineStr">
        <is>
          <t>American</t>
        </is>
      </c>
      <c r="E878" s="2" t="n">
        <v>6</v>
      </c>
      <c r="F878" s="2" t="n">
        <v>15</v>
      </c>
      <c r="G878" s="2" t="n">
        <v>30</v>
      </c>
      <c r="H878" s="2" t="n">
        <v>45</v>
      </c>
      <c r="I878" s="4" t="inlineStr">
        <is>
          <t>chicken-and-cauliflower-rice-casserole-broccoli-cheddar.jpg</t>
        </is>
      </c>
      <c r="J878" s="3" t="inlineStr">
        <is>
          <t>Chicken &amp; Cauliflower Rice Casserole (Broccoli Cheddar), healthy food photography, plated, natural light</t>
        </is>
      </c>
      <c r="K878" s="4" t="inlineStr"/>
      <c r="L878" s="3" t="inlineStr">
        <is>
          <t>Chicken breast, skinless — 600 g (21.2 oz)
Cauliflower rice — 600 g (21.2 oz)
Broccoli — 300 g (10.6 oz)
Cheddar cheese — 120 g (4.2 oz)
Greek yogurt, plain 2% — 200 g (7.1 oz)
Milk, 2% — 80 g (2.8 oz)
Garlic powder — 3 g (0.1 oz)
Onion powder — 2 g (0.1 oz)
Dijon mustard — 10 g (0.4 oz)
Extra-virgin olive oil — 10 g (0.4 oz)
Salt — 3 g (0.1 oz)</t>
        </is>
      </c>
      <c r="M878" s="4" t="inlineStr">
        <is>
          <t>[{"ingredient_id": "chicken_breast", "name": "Chicken breast, skinless", "grams": 600.0, "note": ""}, {"ingredient_id": "cauliflower_rice", "name": "Cauliflower rice", "grams": 600.0, "note": ""}, {"ingredient_id": "broccoli", "name": "Broccoli", "grams": 300.0, "note": ""}, {"ingredient_id": "cheddar", "name": "Cheddar cheese", "grams": 120.0, "note": ""}, {"ingredient_id": "greek_yogurt", "name": "Greek yogurt, plain 2%", "grams": 200.0, "note": ""}, {"ingredient_id": "milk", "name": "Milk, 2%", "grams": 80.0, "note": ""}, {"ingredient_id": "garlic_powder", "name": "Garlic powder", "grams": 3.0, "note": ""}, {"ingredient_id": "onion_powder", "name": "Onion powder", "grams": 2.0, "note": ""}, {"ingredient_id": "dijon", "name": "Dijon mustard", "grams": 10.0, "note": ""}, {"ingredient_id": "olive_oil", "name": "Extra-virgin olive oil", "grams": 10.0, "note": ""}, {"ingredient_id": "salt", "name": "Salt", "grams": 3.0, "note": ""}]</t>
        </is>
      </c>
      <c r="N878" s="2" t="n">
        <v>292</v>
      </c>
      <c r="O878" s="5" t="n">
        <v>34.4</v>
      </c>
      <c r="P878" s="5" t="n">
        <v>12.4</v>
      </c>
      <c r="Q878" s="5" t="n">
        <v>11.2</v>
      </c>
      <c r="R878" s="5" t="n">
        <v>3.4</v>
      </c>
      <c r="S878" s="5" t="n">
        <v>7.8</v>
      </c>
      <c r="T878" s="2" t="n">
        <v>15</v>
      </c>
      <c r="U878" s="2" t="inlineStr">
        <is>
          <t>low</t>
        </is>
      </c>
      <c r="V878" s="5" t="n">
        <v>1.2</v>
      </c>
      <c r="W878" s="2" t="inlineStr">
        <is>
          <t>low</t>
        </is>
      </c>
      <c r="X878" s="3" t="inlineStr"/>
      <c r="Y878" s="3" t="inlineStr">
        <is>
          <t>25% of this dish's available carbohydrate comes from ingredients with a published, measured GI; the rest uses conventional placeholders (see Ingredients sheet)</t>
        </is>
      </c>
      <c r="Z878" s="2" t="n">
        <v>25</v>
      </c>
      <c r="AA878" s="3" t="inlineStr">
        <is>
          <t>gluten-free, nut-free, low-carb, high-protein, make-ahead</t>
        </is>
      </c>
      <c r="AB878" s="3" t="inlineStr">
        <is>
          <t>1. Cook and dice chicken; steam broccoli.
2. Mix yogurt, milk, Dijon, spices, half the cheddar; fold in chicken, cauliflower rice, broccoli.
3. Top cheddar; bake at 375°F 25 minutes.</t>
        </is>
      </c>
      <c r="AC878" s="4" t="inlineStr">
        <is>
          <t>["Cook and dice chicken; steam broccoli.", "Mix yogurt, milk, Dijon, spices, half the cheddar; fold in chicken, cauliflower rice, broccoli.", "Top cheddar; bake at 375°F 25 minutes."]</t>
        </is>
      </c>
    </row>
    <row r="879" ht="96" customHeight="1">
      <c r="A879" s="2" t="inlineStr">
        <is>
          <t>DB-0878</t>
        </is>
      </c>
      <c r="B879" s="3" t="inlineStr">
        <is>
          <t>Turkey Zucchini Burgers with Feta</t>
        </is>
      </c>
      <c r="C879" s="4" t="inlineStr">
        <is>
          <t>Poultry</t>
        </is>
      </c>
      <c r="D879" s="4" t="inlineStr">
        <is>
          <t>Greek</t>
        </is>
      </c>
      <c r="E879" s="2" t="n">
        <v>4</v>
      </c>
      <c r="F879" s="2" t="n">
        <v>15</v>
      </c>
      <c r="G879" s="2" t="n">
        <v>14</v>
      </c>
      <c r="H879" s="2" t="n">
        <v>29</v>
      </c>
      <c r="I879" s="4" t="inlineStr">
        <is>
          <t>turkey-zucchini-burgers-with-feta.jpg</t>
        </is>
      </c>
      <c r="J879" s="3" t="inlineStr">
        <is>
          <t>Turkey Zucchini Burgers with Feta, healthy food photography, plated, natural light</t>
        </is>
      </c>
      <c r="K879" s="4" t="inlineStr"/>
      <c r="L879" s="3" t="inlineStr">
        <is>
          <t>Ground turkey 93% lean — 600 g (21.2 oz)
Zucchini — 200 g (7.1 oz)
Feta cheese — 60 g (2.1 oz)
Garlic — 6 g (0.2 oz)
Dried oregano — 3 g (0.1 oz)
Egg, large (50 g each) — 50 g (1.8 oz)
Almond flour — 25 g (0.9 oz)
Extra-virgin olive oil — 12 g (0.4 oz)
Butter lettuce — 120 g (4.2 oz)
Tomato — 120 g (4.2 oz)
Greek yogurt, plain 2% — 80 g (2.8 oz)
Salt — 3 g (0.1 oz)</t>
        </is>
      </c>
      <c r="M879" s="4" t="inlineStr">
        <is>
          <t>[{"ingredient_id": "ground_turkey", "name": "Ground turkey 93% lean", "grams": 600.0, "note": ""}, {"ingredient_id": "zucchini", "name": "Zucchini", "grams": 200.0, "note": ""}, {"ingredient_id": "feta", "name": "Feta cheese", "grams": 60.0, "note": ""}, {"ingredient_id": "garlic", "name": "Garlic", "grams": 6.0, "note": ""}, {"ingredient_id": "oregano", "name": "Dried oregano", "grams": 3.0, "note": ""}, {"ingredient_id": "egg", "name": "Egg, large (50 g each)", "grams": 50.0, "note": ""}, {"ingredient_id": "almond_flour", "name": "Almond flour", "grams": 25.0, "note": ""}, {"ingredient_id": "olive_oil", "name": "Extra-virgin olive oil", "grams": 12.0, "note": ""}, {"ingredient_id": "butter_lettuce", "name": "Butter lettuce", "grams": 120.0, "note": ""}, {"ingredient_id": "tomato", "name": "Tomato", "grams": 120.0, "note": ""}, {"ingredient_id": "greek_yogurt", "name": "Greek yogurt, plain 2%", "grams": 80.0, "note": ""}, {"ingredient_id": "salt", "name": "Salt", "grams": 3.0, "note": ""}]</t>
        </is>
      </c>
      <c r="N879" s="2" t="n">
        <v>382</v>
      </c>
      <c r="O879" s="5" t="n">
        <v>36.5</v>
      </c>
      <c r="P879" s="5" t="n">
        <v>23.2</v>
      </c>
      <c r="Q879" s="5" t="n">
        <v>7.2</v>
      </c>
      <c r="R879" s="5" t="n">
        <v>2.3</v>
      </c>
      <c r="S879" s="5" t="n">
        <v>4.9</v>
      </c>
      <c r="T879" s="2" t="n">
        <v>14</v>
      </c>
      <c r="U879" s="2" t="inlineStr">
        <is>
          <t>low</t>
        </is>
      </c>
      <c r="V879" s="5" t="n">
        <v>0.7</v>
      </c>
      <c r="W879" s="2" t="inlineStr">
        <is>
          <t>low</t>
        </is>
      </c>
      <c r="X879" s="3" t="inlineStr">
        <is>
          <t>Negligible carbohydrate (&lt;5 g net/serving): GI has little practical meaning, glycemic load is what matters.</t>
        </is>
      </c>
      <c r="Y879" s="3" t="inlineStr">
        <is>
          <t>16% of this dish's available carbohydrate comes from ingredients with a published, measured GI; the rest uses conventional placeholders (see Ingredients sheet)</t>
        </is>
      </c>
      <c r="Z879" s="2" t="n">
        <v>16</v>
      </c>
      <c r="AA879" s="3" t="inlineStr">
        <is>
          <t>gluten-free, low-carb, high-protein</t>
        </is>
      </c>
      <c r="AB879" s="3" t="inlineStr">
        <is>
          <t>1. Grate and squeeze zucchini; mix with turkey, feta, garlic, oregano, egg, almond flour, salt.
2. Form 4 patties; pan-fry in oil 6–7 minutes per side.
3. Serve in lettuce with tomato and yogurt.</t>
        </is>
      </c>
      <c r="AC879" s="4" t="inlineStr">
        <is>
          <t>["Grate and squeeze zucchini; mix with turkey, feta, garlic, oregano, egg, almond flour, salt.", "Form 4 patties; pan-fry in oil 6–7 minutes per side.", "Serve in lettuce with tomato and yogurt."]</t>
        </is>
      </c>
    </row>
    <row r="880" ht="96" customHeight="1">
      <c r="A880" s="2" t="inlineStr">
        <is>
          <t>DB-0879</t>
        </is>
      </c>
      <c r="B880" s="3" t="inlineStr">
        <is>
          <t>Chicken Zucchini Stir-Fry with Basil</t>
        </is>
      </c>
      <c r="C880" s="4" t="inlineStr">
        <is>
          <t>Poultry</t>
        </is>
      </c>
      <c r="D880" s="4" t="inlineStr">
        <is>
          <t>Thai</t>
        </is>
      </c>
      <c r="E880" s="2" t="n">
        <v>3</v>
      </c>
      <c r="F880" s="2" t="n">
        <v>10</v>
      </c>
      <c r="G880" s="2" t="n">
        <v>12</v>
      </c>
      <c r="H880" s="2" t="n">
        <v>22</v>
      </c>
      <c r="I880" s="4" t="inlineStr">
        <is>
          <t>chicken-zucchini-stir-fry-with-basil.jpg</t>
        </is>
      </c>
      <c r="J880" s="3" t="inlineStr">
        <is>
          <t>Chicken Zucchini Stir-Fry with Basil, healthy food photography, plated, natural light</t>
        </is>
      </c>
      <c r="K880" s="4" t="inlineStr"/>
      <c r="L880" s="3" t="inlineStr">
        <is>
          <t>Chicken breast, skinless — 450 g (15.9 oz)
Zucchini — 400 g (14.1 oz)
Garlic — 8 g (0.3 oz)
Jalapeño — 10 g (0.4 oz)
Fish sauce — 15 g (0.5 oz)
Tamari (gluten-free soy sauce) — 15 g (0.5 oz)
Fresh basil — 15 g (0.5 oz)
Avocado oil — 12 g (0.4 oz)
Monk fruit/erythritol sweetener — 3 g (0.1 oz)</t>
        </is>
      </c>
      <c r="M880" s="4" t="inlineStr">
        <is>
          <t>[{"ingredient_id": "chicken_breast", "name": "Chicken breast, skinless", "grams": 450.0, "note": ""}, {"ingredient_id": "zucchini", "name": "Zucchini", "grams": 400.0, "note": ""}, {"ingredient_id": "garlic", "name": "Garlic", "grams": 8.0, "note": ""}, {"ingredient_id": "jalapeno", "name": "Jalapeño", "grams": 10.0, "note": ""}, {"ingredient_id": "fish_sauce", "name": "Fish sauce", "grams": 15.0, "note": ""}, {"ingredient_id": "tamari", "name": "Tamari (gluten-free soy sauce)", "grams": 15.0, "note": ""}, {"ingredient_id": "basil", "name": "Fresh basil", "grams": 15.0, "note": ""}, {"ingredient_id": "avocado_oil", "name": "Avocado oil", "grams": 12.0, "note": ""}, {"ingredient_id": "monk_fruit_sweetener", "name": "Monk fruit/erythritol sweetener", "grams": 3.0, "note": ""}]</t>
        </is>
      </c>
      <c r="N880" s="2" t="n">
        <v>249</v>
      </c>
      <c r="O880" s="5" t="n">
        <v>36.5</v>
      </c>
      <c r="P880" s="5" t="n">
        <v>8.4</v>
      </c>
      <c r="Q880" s="5" t="n">
        <v>5.8</v>
      </c>
      <c r="R880" s="5" t="n">
        <v>1.6</v>
      </c>
      <c r="S880" s="5" t="n">
        <v>4.2</v>
      </c>
      <c r="T880" s="2" t="n">
        <v>17</v>
      </c>
      <c r="U880" s="2" t="inlineStr">
        <is>
          <t>low</t>
        </is>
      </c>
      <c r="V880" s="5" t="n">
        <v>0.7</v>
      </c>
      <c r="W880" s="2" t="inlineStr">
        <is>
          <t>low</t>
        </is>
      </c>
      <c r="X880" s="3" t="inlineStr">
        <is>
          <t>Negligible carbohydrate (&lt;5 g net/serving): GI has little practical meaning, glycemic load is what matters.</t>
        </is>
      </c>
      <c r="Y880" s="3" t="inlineStr">
        <is>
          <t>0% of this dish's available carbohydrate comes from ingredients with a published, measured GI; the rest uses conventional placeholders (see Ingredients sheet)</t>
        </is>
      </c>
      <c r="Z880" s="2" t="n">
        <v>0</v>
      </c>
      <c r="AA880" s="3" t="inlineStr">
        <is>
          <t>gluten-free, dairy-free, nut-free, low-carb, high-protein, quick</t>
        </is>
      </c>
      <c r="AB880" s="3" t="inlineStr">
        <is>
          <t>1. Stir-fry chicken in oil with garlic and jalapeño.
2. Add zucchini 3 minutes; add fish sauce, tamari, sweetener.
3. Toss with basil off heat.</t>
        </is>
      </c>
      <c r="AC880" s="4" t="inlineStr">
        <is>
          <t>["Stir-fry chicken in oil with garlic and jalapeño.", "Add zucchini 3 minutes; add fish sauce, tamari, sweetener.", "Toss with basil off heat."]</t>
        </is>
      </c>
    </row>
    <row r="881" ht="96" customHeight="1">
      <c r="A881" s="2" t="inlineStr">
        <is>
          <t>DB-0880</t>
        </is>
      </c>
      <c r="B881" s="3" t="inlineStr">
        <is>
          <t>Chicken Cauliflower Alfredo Bake</t>
        </is>
      </c>
      <c r="C881" s="4" t="inlineStr">
        <is>
          <t>Poultry</t>
        </is>
      </c>
      <c r="D881" s="4" t="inlineStr">
        <is>
          <t>Italian</t>
        </is>
      </c>
      <c r="E881" s="2" t="n">
        <v>5</v>
      </c>
      <c r="F881" s="2" t="n">
        <v>15</v>
      </c>
      <c r="G881" s="2" t="n">
        <v>30</v>
      </c>
      <c r="H881" s="2" t="n">
        <v>45</v>
      </c>
      <c r="I881" s="4" t="inlineStr">
        <is>
          <t>chicken-cauliflower-alfredo-bake.jpg</t>
        </is>
      </c>
      <c r="J881" s="3" t="inlineStr">
        <is>
          <t>Chicken Cauliflower Alfredo Bake, healthy food photography, plated, natural light</t>
        </is>
      </c>
      <c r="K881" s="4" t="inlineStr"/>
      <c r="L881" s="3" t="inlineStr">
        <is>
          <t>Chicken breast, skinless — 600 g (21.2 oz)
Cauliflower — 900 g (31.7 oz)
Milk, 2% — 120 g (4.2 oz)
Parmesan, grated — 60 g (2.1 oz)
Cream cheese — 50 g (1.8 oz)
Garlic — 8 g (0.3 oz)
Mozzarella, part-skim — 100 g (3.5 oz)
Spinach — 150 g (5.3 oz)
Extra-virgin olive oil — 10 g (0.4 oz)
Ground nutmeg — 0.2 g (0.0 oz)
Salt — 3 g (0.1 oz)</t>
        </is>
      </c>
      <c r="M881" s="4" t="inlineStr">
        <is>
          <t>[{"ingredient_id": "chicken_breast", "name": "Chicken breast, skinless", "grams": 600.0, "note": ""}, {"ingredient_id": "cauliflower", "name": "Cauliflower", "grams": 900.0, "note": ""}, {"ingredient_id": "milk", "name": "Milk, 2%", "grams": 120.0, "note": ""}, {"ingredient_id": "parmesan", "name": "Parmesan, grated", "grams": 60.0, "note": ""}, {"ingredient_id": "cream_cheese", "name": "Cream cheese", "grams": 50.0, "note": ""}, {"ingredient_id": "garlic", "name": "Garlic", "grams": 8.0, "note": ""}, {"ingredient_id": "mozzarella", "name": "Mozzarella, part-skim", "grams": 100.0, "note": ""}, {"ingredient_id": "spinach", "name": "Spinach", "grams": 150.0, "note": ""}, {"ingredient_id": "olive_oil", "name": "Extra-virgin olive oil", "grams": 10.0, "note": ""}, {"ingredient_id": "nutmeg", "name": "Ground nutmeg", "grams": 0.2, "note": ""}, {"ingredient_id": "salt", "name": "Salt", "grams": 3.0, "note": ""}]</t>
        </is>
      </c>
      <c r="N881" s="2" t="n">
        <v>365</v>
      </c>
      <c r="O881" s="5" t="n">
        <v>42.1</v>
      </c>
      <c r="P881" s="5" t="n">
        <v>16.4</v>
      </c>
      <c r="Q881" s="5" t="n">
        <v>13.3</v>
      </c>
      <c r="R881" s="5" t="n">
        <v>4.3</v>
      </c>
      <c r="S881" s="5" t="n">
        <v>9</v>
      </c>
      <c r="T881" s="2" t="n">
        <v>15</v>
      </c>
      <c r="U881" s="2" t="inlineStr">
        <is>
          <t>low</t>
        </is>
      </c>
      <c r="V881" s="5" t="n">
        <v>1.3</v>
      </c>
      <c r="W881" s="2" t="inlineStr">
        <is>
          <t>low</t>
        </is>
      </c>
      <c r="X881" s="3" t="inlineStr"/>
      <c r="Y881" s="3" t="inlineStr">
        <is>
          <t>13% of this dish's available carbohydrate comes from ingredients with a published, measured GI; the rest uses conventional placeholders (see Ingredients sheet)</t>
        </is>
      </c>
      <c r="Z881" s="2" t="n">
        <v>13</v>
      </c>
      <c r="AA881" s="3" t="inlineStr">
        <is>
          <t>gluten-free, nut-free, low-carb, high-protein</t>
        </is>
      </c>
      <c r="AB881" s="3" t="inlineStr">
        <is>
          <t>1. Steam half the cauliflower; blend with milk, parmesan, cream cheese, garlic, nutmeg for sauce.
2. Roast remaining florets; sear diced chicken; wilt spinach.
3. Combine with sauce in a dish; top mozzarella; bake at 375°F 20 minutes.</t>
        </is>
      </c>
      <c r="AC881" s="4" t="inlineStr">
        <is>
          <t>["Steam half the cauliflower; blend with milk, parmesan, cream cheese, garlic, nutmeg for sauce.", "Roast remaining florets; sear diced chicken; wilt spinach.", "Combine with sauce in a dish; top mozzarella; bake at 375°F 20 minutes."]</t>
        </is>
      </c>
    </row>
    <row r="882" ht="96" customHeight="1">
      <c r="A882" s="2" t="inlineStr">
        <is>
          <t>DB-0881</t>
        </is>
      </c>
      <c r="B882" s="3" t="inlineStr">
        <is>
          <t>Lemon Pepper Chicken with Green Beans (Sheet Pan)</t>
        </is>
      </c>
      <c r="C882" s="4" t="inlineStr">
        <is>
          <t>Poultry</t>
        </is>
      </c>
      <c r="D882" s="4" t="inlineStr">
        <is>
          <t>American</t>
        </is>
      </c>
      <c r="E882" s="2" t="n">
        <v>4</v>
      </c>
      <c r="F882" s="2" t="n">
        <v>5</v>
      </c>
      <c r="G882" s="2" t="n">
        <v>25</v>
      </c>
      <c r="H882" s="2" t="n">
        <v>30</v>
      </c>
      <c r="I882" s="4" t="inlineStr">
        <is>
          <t>lemon-pepper-chicken-with-green-beans-sheet-pan.jpg</t>
        </is>
      </c>
      <c r="J882" s="3" t="inlineStr">
        <is>
          <t>Lemon Pepper Chicken with Green Beans (Sheet Pan), healthy food photography, plated, natural light</t>
        </is>
      </c>
      <c r="K882" s="4" t="inlineStr"/>
      <c r="L882" s="3" t="inlineStr">
        <is>
          <t>Chicken breast, skinless — 600 g (21.2 oz)
Green beans — 500 g (17.6 oz)
Lemon (with juice &amp; zest) — 60 g (2.1 oz)
Black pepper — 4 g (0.1 oz)
Garlic — 8 g (0.3 oz)
Extra-virgin olive oil — 18 g (0.6 oz)
Salt — 3 g (0.1 oz)</t>
        </is>
      </c>
      <c r="M882" s="4" t="inlineStr">
        <is>
          <t>[{"ingredient_id": "chicken_breast", "name": "Chicken breast, skinless", "grams": 600.0, "note": ""}, {"ingredient_id": "green_beans", "name": "Green beans", "grams": 500.0, "note": ""}, {"ingredient_id": "lemon", "name": "Lemon (with juice &amp; zest)", "grams": 60.0, "note": ""}, {"ingredient_id": "black_pepper", "name": "Black pepper", "grams": 4.0, "note": ""}, {"ingredient_id": "garlic", "name": "Garlic", "grams": 8.0, "note": ""}, {"ingredient_id": "olive_oil", "name": "Extra-virgin olive oil", "grams": 18.0, "note": ""}, {"ingredient_id": "salt", "name": "Salt", "grams": 3.0, "note": ""}]</t>
        </is>
      </c>
      <c r="N882" s="2" t="n">
        <v>268</v>
      </c>
      <c r="O882" s="5" t="n">
        <v>36.4</v>
      </c>
      <c r="P882" s="5" t="n">
        <v>8.699999999999999</v>
      </c>
      <c r="Q882" s="5" t="n">
        <v>11.4</v>
      </c>
      <c r="R882" s="5" t="n">
        <v>4.1</v>
      </c>
      <c r="S882" s="5" t="n">
        <v>7.4</v>
      </c>
      <c r="T882" s="2" t="n">
        <v>17</v>
      </c>
      <c r="U882" s="2" t="inlineStr">
        <is>
          <t>low</t>
        </is>
      </c>
      <c r="V882" s="5" t="n">
        <v>1.3</v>
      </c>
      <c r="W882" s="2" t="inlineStr">
        <is>
          <t>low</t>
        </is>
      </c>
      <c r="X882" s="3" t="inlineStr"/>
      <c r="Y882" s="3" t="inlineStr">
        <is>
          <t>0% of this dish's available carbohydrate comes from ingredients with a published, measured GI; the rest uses conventional placeholders (see Ingredients sheet)</t>
        </is>
      </c>
      <c r="Z882" s="2" t="n">
        <v>0</v>
      </c>
      <c r="AA882" s="3" t="inlineStr">
        <is>
          <t>gluten-free, dairy-free, nut-free, low-carb, high-protein, one-pan</t>
        </is>
      </c>
      <c r="AB882" s="3" t="inlineStr">
        <is>
          <t>1. Toss chicken and beans with oil, lemon zest, pepper, garlic, salt.
2. Roast at 425°F 22 minutes.
3. Lemon juice.</t>
        </is>
      </c>
      <c r="AC882" s="4" t="inlineStr">
        <is>
          <t>["Toss chicken and beans with oil, lemon zest, pepper, garlic, salt.", "Roast at 425°F 22 minutes.", "Lemon juice."]</t>
        </is>
      </c>
    </row>
    <row r="883" ht="96" customHeight="1">
      <c r="A883" s="2" t="inlineStr">
        <is>
          <t>DB-0882</t>
        </is>
      </c>
      <c r="B883" s="3" t="inlineStr">
        <is>
          <t>Turkey Taco Lettuce Cups</t>
        </is>
      </c>
      <c r="C883" s="4" t="inlineStr">
        <is>
          <t>Poultry</t>
        </is>
      </c>
      <c r="D883" s="4" t="inlineStr">
        <is>
          <t>Tex-Mex</t>
        </is>
      </c>
      <c r="E883" s="2" t="n">
        <v>4</v>
      </c>
      <c r="F883" s="2" t="n">
        <v>10</v>
      </c>
      <c r="G883" s="2" t="n">
        <v>12</v>
      </c>
      <c r="H883" s="2" t="n">
        <v>22</v>
      </c>
      <c r="I883" s="4" t="inlineStr">
        <is>
          <t>turkey-taco-lettuce-cups.jpg</t>
        </is>
      </c>
      <c r="J883" s="3" t="inlineStr">
        <is>
          <t>Turkey Taco Lettuce Cups, healthy food photography, plated, natural light</t>
        </is>
      </c>
      <c r="K883" s="4" t="inlineStr"/>
      <c r="L883" s="3" t="inlineStr">
        <is>
          <t>Ground turkey 93% lean — 600 g (21.2 oz)
Taco seasoning, low sodium — 12 g (0.4 oz)
Yellow onion — 60 g (2.1 oz)
Butter lettuce — 200 g (7.1 oz)
Pico de gallo — 200 g (7.1 oz)
Avocado — 100 g (3.5 oz)
Cheddar cheese — 50 g (1.8 oz)
Greek yogurt, plain 2% — 60 g (2.1 oz)
Extra-virgin olive oil — 8 g (0.3 oz)</t>
        </is>
      </c>
      <c r="M883" s="4" t="inlineStr">
        <is>
          <t>[{"ingredient_id": "ground_turkey", "name": "Ground turkey 93% lean", "grams": 600.0, "note": ""}, {"ingredient_id": "taco_seasoning", "name": "Taco seasoning, low sodium", "grams": 12.0, "note": ""}, {"ingredient_id": "onion", "name": "Yellow onion", "grams": 60.0, "note": ""}, {"ingredient_id": "butter_lettuce", "name": "Butter lettuce", "grams": 200.0, "note": ""}, {"ingredient_id": "pico_de_gallo", "name": "Pico de gallo", "grams": 200.0, "note": ""}, {"ingredient_id": "avocado", "name": "Avocado", "grams": 100.0, "note": ""}, {"ingredient_id": "cheddar", "name": "Cheddar cheese", "grams": 50.0, "note": ""}, {"ingredient_id": "greek_yogurt", "name": "Greek yogurt, plain 2%", "grams": 60.0, "note": ""}, {"ingredient_id": "olive_oil", "name": "Extra-virgin olive oil", "grams": 8.0, "note": ""}]</t>
        </is>
      </c>
      <c r="N883" s="2" t="n">
        <v>376</v>
      </c>
      <c r="O883" s="5" t="n">
        <v>34.5</v>
      </c>
      <c r="P883" s="5" t="n">
        <v>22.6</v>
      </c>
      <c r="Q883" s="5" t="n">
        <v>9.300000000000001</v>
      </c>
      <c r="R883" s="5" t="n">
        <v>3.8</v>
      </c>
      <c r="S883" s="5" t="n">
        <v>5.5</v>
      </c>
      <c r="T883" s="2" t="n">
        <v>14</v>
      </c>
      <c r="U883" s="2" t="inlineStr">
        <is>
          <t>low</t>
        </is>
      </c>
      <c r="V883" s="5" t="n">
        <v>0.8</v>
      </c>
      <c r="W883" s="2" t="inlineStr">
        <is>
          <t>low</t>
        </is>
      </c>
      <c r="X883" s="3" t="inlineStr"/>
      <c r="Y883" s="3" t="inlineStr">
        <is>
          <t>11% of this dish's available carbohydrate comes from ingredients with a published, measured GI; the rest uses conventional placeholders (see Ingredients sheet)</t>
        </is>
      </c>
      <c r="Z883" s="2" t="n">
        <v>11</v>
      </c>
      <c r="AA883" s="3" t="inlineStr">
        <is>
          <t>gluten-free, nut-free, low-carb, high-protein, quick</t>
        </is>
      </c>
      <c r="AB883" s="3" t="inlineStr">
        <is>
          <t>1. Brown turkey with onion and seasoning in oil.
2. Spoon into lettuce.
3. Top pico, avocado, cheddar, yogurt.</t>
        </is>
      </c>
      <c r="AC883" s="4" t="inlineStr">
        <is>
          <t>["Brown turkey with onion and seasoning in oil.", "Spoon into lettuce.", "Top pico, avocado, cheddar, yogurt."]</t>
        </is>
      </c>
    </row>
    <row r="884" ht="96" customHeight="1">
      <c r="A884" s="2" t="inlineStr">
        <is>
          <t>DB-0883</t>
        </is>
      </c>
      <c r="B884" s="3" t="inlineStr">
        <is>
          <t>Chicken Skewers with Peanut Slaw</t>
        </is>
      </c>
      <c r="C884" s="4" t="inlineStr">
        <is>
          <t>Poultry</t>
        </is>
      </c>
      <c r="D884" s="4" t="inlineStr">
        <is>
          <t>Thai</t>
        </is>
      </c>
      <c r="E884" s="2" t="n">
        <v>4</v>
      </c>
      <c r="F884" s="2" t="n">
        <v>15</v>
      </c>
      <c r="G884" s="2" t="n">
        <v>12</v>
      </c>
      <c r="H884" s="2" t="n">
        <v>27</v>
      </c>
      <c r="I884" s="4" t="inlineStr">
        <is>
          <t>chicken-skewers-with-peanut-slaw.jpg</t>
        </is>
      </c>
      <c r="J884" s="3" t="inlineStr">
        <is>
          <t>Chicken Skewers with Peanut Slaw, healthy food photography, plated, natural light</t>
        </is>
      </c>
      <c r="K884" s="4" t="inlineStr"/>
      <c r="L884" s="3" t="inlineStr">
        <is>
          <t>Chicken thigh, skinless boneless — 600 g (21.2 oz)
Tamari (gluten-free soy sauce) — 25 g (0.9 oz)
Lime juice — 25 g (0.9 oz)
Garlic — 6 g (0.2 oz)
Coleslaw mix (cabbage &amp; carrot) — 400 g (14.1 oz)
Peanut butter, natural — 35 g (1.2 oz)
Rice vinegar, unseasoned — 15 g (0.5 oz)
Sriracha — 5 g (0.2 oz)
Fresh cilantro — 8 g (0.3 oz)
Peanuts, dry roasted — 15 g (0.5 oz)
Avocado oil — 10 g (0.4 oz)</t>
        </is>
      </c>
      <c r="M884" s="4" t="inlineStr">
        <is>
          <t>[{"ingredient_id": "chicken_thigh", "name": "Chicken thigh, skinless boneless", "grams": 600.0, "note": ""}, {"ingredient_id": "tamari", "name": "Tamari (gluten-free soy sauce)", "grams": 25.0, "note": ""}, {"ingredient_id": "lime_juice", "name": "Lime juice", "grams": 25.0, "note": ""}, {"ingredient_id": "garlic", "name": "Garlic", "grams": 6.0, "note": ""}, {"ingredient_id": "coleslaw_mix", "name": "Coleslaw mix (cabbage &amp; carrot)", "grams": 400.0, "note": ""}, {"ingredient_id": "peanut_butter", "name": "Peanut butter, natural", "grams": 35.0, "note": ""}, {"ingredient_id": "rice_vinegar", "name": "Rice vinegar, unseasoned", "grams": 15.0, "note": ""}, {"ingredient_id": "sriracha", "name": "Sriracha", "grams": 5.0, "note": ""}, {"ingredient_id": "cilantro", "name": "Fresh cilantro", "grams": 8.0, "note": ""}, {"ingredient_id": "peanuts", "name": "Peanuts, dry roasted", "grams": 15.0, "note": ""}, {"ingredient_id": "avocado_oil", "name": "Avocado oil", "grams": 10.0, "note": ""}]</t>
        </is>
      </c>
      <c r="N884" s="2" t="n">
        <v>313</v>
      </c>
      <c r="O884" s="5" t="n">
        <v>34.8</v>
      </c>
      <c r="P884" s="5" t="n">
        <v>15</v>
      </c>
      <c r="Q884" s="5" t="n">
        <v>10</v>
      </c>
      <c r="R884" s="5" t="n">
        <v>3.4</v>
      </c>
      <c r="S884" s="5" t="n">
        <v>6.6</v>
      </c>
      <c r="T884" s="2" t="n">
        <v>17</v>
      </c>
      <c r="U884" s="2" t="inlineStr">
        <is>
          <t>low</t>
        </is>
      </c>
      <c r="V884" s="5" t="n">
        <v>1.1</v>
      </c>
      <c r="W884" s="2" t="inlineStr">
        <is>
          <t>low</t>
        </is>
      </c>
      <c r="X884" s="3" t="inlineStr"/>
      <c r="Y884" s="3" t="inlineStr">
        <is>
          <t>4% of this dish's available carbohydrate comes from ingredients with a published, measured GI; the rest uses conventional placeholders (see Ingredients sheet)</t>
        </is>
      </c>
      <c r="Z884" s="2" t="n">
        <v>4</v>
      </c>
      <c r="AA884" s="3" t="inlineStr">
        <is>
          <t>gluten-free, dairy-free, low-carb, high-protein</t>
        </is>
      </c>
      <c r="AB884" s="3" t="inlineStr">
        <is>
          <t>1. Marinate chicken in half the tamari, lime, garlic; skewer; grill 12 minutes.
2. Whisk peanut butter, remaining tamari, lime, vinegar, sriracha, water; toss with slaw.
3. Serve with cilantro and peanuts.</t>
        </is>
      </c>
      <c r="AC884" s="4" t="inlineStr">
        <is>
          <t>["Marinate chicken in half the tamari, lime, garlic; skewer; grill 12 minutes.", "Whisk peanut butter, remaining tamari, lime, vinegar, sriracha, water; toss with slaw.", "Serve with cilantro and peanuts."]</t>
        </is>
      </c>
    </row>
    <row r="885" ht="96" customHeight="1">
      <c r="A885" s="2" t="inlineStr">
        <is>
          <t>DB-0884</t>
        </is>
      </c>
      <c r="B885" s="3" t="inlineStr">
        <is>
          <t>Creamy Tuscan Chicken (Yogurt)</t>
        </is>
      </c>
      <c r="C885" s="4" t="inlineStr">
        <is>
          <t>Poultry</t>
        </is>
      </c>
      <c r="D885" s="4" t="inlineStr">
        <is>
          <t>Italian</t>
        </is>
      </c>
      <c r="E885" s="2" t="n">
        <v>4</v>
      </c>
      <c r="F885" s="2" t="n">
        <v>10</v>
      </c>
      <c r="G885" s="2" t="n">
        <v>25</v>
      </c>
      <c r="H885" s="2" t="n">
        <v>35</v>
      </c>
      <c r="I885" s="4" t="inlineStr">
        <is>
          <t>creamy-tuscan-chicken-yogurt.jpg</t>
        </is>
      </c>
      <c r="J885" s="3" t="inlineStr">
        <is>
          <t>Creamy Tuscan Chicken (Yogurt), healthy food photography, plated, natural light</t>
        </is>
      </c>
      <c r="K885" s="4" t="inlineStr"/>
      <c r="L885" s="3" t="inlineStr">
        <is>
          <t>Chicken breast, skinless — 600 g (21.2 oz)
Sun-dried tomatoes in oil, drained — 40 g (1.4 oz)
Spinach — 200 g (7.1 oz)
Garlic — 8 g (0.3 oz)
Chicken broth, low sodium — 150 g (5.3 oz)
Greek yogurt, plain 2% — 120 g (4.2 oz)
Parmesan, grated — 40 g (1.4 oz)
Extra-virgin olive oil — 15 g (0.5 oz)
Italian seasoning — 2 g (0.1 oz)
Salt — 3 g (0.1 oz)</t>
        </is>
      </c>
      <c r="M885" s="4" t="inlineStr">
        <is>
          <t>[{"ingredient_id": "chicken_breast", "name": "Chicken breast, skinless", "grams": 600.0, "note": ""}, {"ingredient_id": "sun_dried_tomato", "name": "Sun-dried tomatoes in oil, drained", "grams": 40.0, "note": ""}, {"ingredient_id": "spinach", "name": "Spinach", "grams": 200.0, "note": ""}, {"ingredient_id": "garlic", "name": "Garlic", "grams": 8.0, "note": ""}, {"ingredient_id": "chicken_broth", "name": "Chicken broth, low sodium", "grams": 150.0, "note": ""}, {"ingredient_id": "greek_yogurt", "name": "Greek yogurt, plain 2%", "grams": 120.0, "note": ""}, {"ingredient_id": "parmesan", "name": "Parmesan, grated", "grams": 40.0, "note": ""}, {"ingredient_id": "olive_oil", "name": "Extra-virgin olive oil", "grams": 15.0, "note": ""}, {"ingredient_id": "italian_seasoning", "name": "Italian seasoning", "grams": 2.0, "note": ""}, {"ingredient_id": "salt", "name": "Salt", "grams": 3.0, "note": ""}]</t>
        </is>
      </c>
      <c r="N885" s="2" t="n">
        <v>318</v>
      </c>
      <c r="O885" s="5" t="n">
        <v>43</v>
      </c>
      <c r="P885" s="5" t="n">
        <v>12.9</v>
      </c>
      <c r="Q885" s="5" t="n">
        <v>6.9</v>
      </c>
      <c r="R885" s="5" t="n">
        <v>2</v>
      </c>
      <c r="S885" s="5" t="n">
        <v>4.9</v>
      </c>
      <c r="T885" s="2" t="n">
        <v>21</v>
      </c>
      <c r="U885" s="2" t="inlineStr">
        <is>
          <t>low</t>
        </is>
      </c>
      <c r="V885" s="5" t="n">
        <v>1</v>
      </c>
      <c r="W885" s="2" t="inlineStr">
        <is>
          <t>low</t>
        </is>
      </c>
      <c r="X885" s="3" t="inlineStr">
        <is>
          <t>Negligible carbohydrate (&lt;5 g net/serving): GI has little practical meaning, glycemic load is what matters.</t>
        </is>
      </c>
      <c r="Y885" s="3" t="inlineStr">
        <is>
          <t>24% of this dish's available carbohydrate comes from ingredients with a published, measured GI; the rest uses conventional placeholders (see Ingredients sheet)</t>
        </is>
      </c>
      <c r="Z885" s="2" t="n">
        <v>24</v>
      </c>
      <c r="AA885" s="3" t="inlineStr">
        <is>
          <t>gluten-free, nut-free, low-carb, high-protein</t>
        </is>
      </c>
      <c r="AB885" s="3" t="inlineStr">
        <is>
          <t>1. Sear chicken; remove. Sauté garlic and sun-dried tomatoes.
2. Add broth; reduce; stir in yogurt and parmesan off heat; wilt spinach.
3. Return chicken; simmer 5 minutes.</t>
        </is>
      </c>
      <c r="AC885" s="4" t="inlineStr">
        <is>
          <t>["Sear chicken; remove. Sauté garlic and sun-dried tomatoes.", "Add broth; reduce; stir in yogurt and parmesan off heat; wilt spinach.", "Return chicken; simmer 5 minutes."]</t>
        </is>
      </c>
    </row>
    <row r="886" ht="96" customHeight="1">
      <c r="A886" s="2" t="inlineStr">
        <is>
          <t>DB-0885</t>
        </is>
      </c>
      <c r="B886" s="3" t="inlineStr">
        <is>
          <t>Chicken Cabbage Stir-Fry</t>
        </is>
      </c>
      <c r="C886" s="4" t="inlineStr">
        <is>
          <t>Poultry</t>
        </is>
      </c>
      <c r="D886" s="4" t="inlineStr">
        <is>
          <t>Chinese-American</t>
        </is>
      </c>
      <c r="E886" s="2" t="n">
        <v>4</v>
      </c>
      <c r="F886" s="2" t="n">
        <v>10</v>
      </c>
      <c r="G886" s="2" t="n">
        <v>12</v>
      </c>
      <c r="H886" s="2" t="n">
        <v>22</v>
      </c>
      <c r="I886" s="4" t="inlineStr">
        <is>
          <t>chicken-cabbage-stir-fry.jpg</t>
        </is>
      </c>
      <c r="J886" s="3" t="inlineStr">
        <is>
          <t>Chicken Cabbage Stir-Fry, healthy food photography, plated, natural light</t>
        </is>
      </c>
      <c r="K886" s="4" t="inlineStr"/>
      <c r="L886" s="3" t="inlineStr">
        <is>
          <t>Chicken breast, skinless — 550 g (19.4 oz)
Green cabbage — 600 g (21.2 oz)
Carrot — 80 g (2.8 oz)
Garlic — 8 g (0.3 oz)
Fresh ginger — 8 g (0.3 oz)
Tamari (gluten-free soy sauce) — 30 g (1.1 oz)
Rice vinegar, unseasoned — 12 g (0.4 oz)
Toasted sesame oil — 8 g (0.3 oz)
Avocado oil — 12 g (0.4 oz)
Green onions (scallions) — 15 g (0.5 oz)</t>
        </is>
      </c>
      <c r="M886" s="4" t="inlineStr">
        <is>
          <t>[{"ingredient_id": "chicken_breast", "name": "Chicken breast, skinless", "grams": 550.0, "note": ""}, {"ingredient_id": "cabbage", "name": "Green cabbage", "grams": 600.0, "note": ""}, {"ingredient_id": "carrot", "name": "Carrot", "grams": 80.0, "note": ""}, {"ingredient_id": "garlic", "name": "Garlic", "grams": 8.0, "note": ""}, {"ingredient_id": "ginger", "name": "Fresh ginger", "grams": 8.0, "note": ""}, {"ingredient_id": "tamari", "name": "Tamari (gluten-free soy sauce)", "grams": 30.0, "note": ""}, {"ingredient_id": "rice_vinegar", "name": "Rice vinegar, unseasoned", "grams": 12.0, "note": ""}, {"ingredient_id": "sesame_oil", "name": "Toasted sesame oil", "grams": 8.0, "note": ""}, {"ingredient_id": "avocado_oil", "name": "Avocado oil", "grams": 12.0, "note": ""}, {"ingredient_id": "green_onion", "name": "Green onions (scallions)", "grams": 15.0, "note": ""}]</t>
        </is>
      </c>
      <c r="N886" s="2" t="n">
        <v>266</v>
      </c>
      <c r="O886" s="5" t="n">
        <v>34</v>
      </c>
      <c r="P886" s="5" t="n">
        <v>8.800000000000001</v>
      </c>
      <c r="Q886" s="5" t="n">
        <v>12.3</v>
      </c>
      <c r="R886" s="5" t="n">
        <v>4.5</v>
      </c>
      <c r="S886" s="5" t="n">
        <v>7.8</v>
      </c>
      <c r="T886" s="2" t="n">
        <v>21</v>
      </c>
      <c r="U886" s="2" t="inlineStr">
        <is>
          <t>low</t>
        </is>
      </c>
      <c r="V886" s="5" t="n">
        <v>1.6</v>
      </c>
      <c r="W886" s="2" t="inlineStr">
        <is>
          <t>low</t>
        </is>
      </c>
      <c r="X886" s="3" t="inlineStr"/>
      <c r="Y886" s="3" t="inlineStr">
        <is>
          <t>18% of this dish's available carbohydrate comes from ingredients with a published, measured GI; the rest uses conventional placeholders (see Ingredients sheet)</t>
        </is>
      </c>
      <c r="Z886" s="2" t="n">
        <v>18</v>
      </c>
      <c r="AA886" s="3" t="inlineStr">
        <is>
          <t>gluten-free, dairy-free, nut-free, low-carb, high-protein, quick</t>
        </is>
      </c>
      <c r="AB886" s="3" t="inlineStr">
        <is>
          <t>1. Stir-fry chicken strips in oil; remove.
2. Stir-fry cabbage, carrot, garlic, ginger 5 minutes.
3. Return chicken with tamari, vinegar, sesame oil; green onion.</t>
        </is>
      </c>
      <c r="AC886" s="4" t="inlineStr">
        <is>
          <t>["Stir-fry chicken strips in oil; remove.", "Stir-fry cabbage, carrot, garlic, ginger 5 minutes.", "Return chicken with tamari, vinegar, sesame oil; green onion."]</t>
        </is>
      </c>
    </row>
    <row r="887" ht="96" customHeight="1">
      <c r="A887" s="2" t="inlineStr">
        <is>
          <t>DB-0886</t>
        </is>
      </c>
      <c r="B887" s="3" t="inlineStr">
        <is>
          <t>Chicken Enchilada Stuffed Zucchini</t>
        </is>
      </c>
      <c r="C887" s="4" t="inlineStr">
        <is>
          <t>Poultry</t>
        </is>
      </c>
      <c r="D887" s="4" t="inlineStr">
        <is>
          <t>Mexican</t>
        </is>
      </c>
      <c r="E887" s="2" t="n">
        <v>4</v>
      </c>
      <c r="F887" s="2" t="n">
        <v>15</v>
      </c>
      <c r="G887" s="2" t="n">
        <v>30</v>
      </c>
      <c r="H887" s="2" t="n">
        <v>45</v>
      </c>
      <c r="I887" s="4" t="inlineStr">
        <is>
          <t>chicken-enchilada-stuffed-zucchini.jpg</t>
        </is>
      </c>
      <c r="J887" s="3" t="inlineStr">
        <is>
          <t>Chicken Enchilada Stuffed Zucchini, healthy food photography, plated, natural light</t>
        </is>
      </c>
      <c r="K887" s="4" t="inlineStr"/>
      <c r="L887" s="3" t="inlineStr">
        <is>
          <t>Zucchini — 800 g (28.2 oz)
Rotisserie chicken, skin removed — 400 g (14.1 oz)
Red enchilada sauce, no sugar added — 200 g (7.1 oz)
Black beans, cooked — 150 g (5.3 oz)
Pepper jack cheese — 90 g (3.2 oz)
Green onions (scallions) — 15 g (0.5 oz)
Fresh cilantro — 5 g (0.2 oz)
Greek yogurt, plain 2% — 60 g (2.1 oz)</t>
        </is>
      </c>
      <c r="M887" s="4" t="inlineStr">
        <is>
          <t>[{"ingredient_id": "zucchini", "name": "Zucchini", "grams": 800.0, "note": ""}, {"ingredient_id": "rotisserie_chicken", "name": "Rotisserie chicken, skin removed", "grams": 400.0, "note": ""}, {"ingredient_id": "enchilada_sauce", "name": "Red enchilada sauce, no sugar added", "grams": 200.0, "note": ""}, {"ingredient_id": "black_beans", "name": "Black beans, cooked", "grams": 150.0, "note": ""}, {"ingredient_id": "pepper_jack", "name": "Pepper jack cheese", "grams": 90.0, "note": ""}, {"ingredient_id": "green_onion", "name": "Green onions (scallions)", "grams": 15.0, "note": ""}, {"ingredient_id": "cilantro", "name": "Fresh cilantro", "grams": 5.0, "note": ""}, {"ingredient_id": "greek_yogurt", "name": "Greek yogurt, plain 2%", "grams": 60.0, "note": ""}]</t>
        </is>
      </c>
      <c r="N887" s="2" t="n">
        <v>361</v>
      </c>
      <c r="O887" s="5" t="n">
        <v>36.2</v>
      </c>
      <c r="P887" s="5" t="n">
        <v>15.9</v>
      </c>
      <c r="Q887" s="5" t="n">
        <v>18.8</v>
      </c>
      <c r="R887" s="5" t="n">
        <v>5.9</v>
      </c>
      <c r="S887" s="5" t="n">
        <v>12.9</v>
      </c>
      <c r="T887" s="2" t="n">
        <v>23</v>
      </c>
      <c r="U887" s="2" t="inlineStr">
        <is>
          <t>low</t>
        </is>
      </c>
      <c r="V887" s="5" t="n">
        <v>3</v>
      </c>
      <c r="W887" s="2" t="inlineStr">
        <is>
          <t>low</t>
        </is>
      </c>
      <c r="X887" s="3" t="inlineStr"/>
      <c r="Y887" s="3" t="inlineStr">
        <is>
          <t>48% of this dish's available carbohydrate comes from ingredients with a published, measured GI; the rest uses conventional placeholders (see Ingredients sheet)</t>
        </is>
      </c>
      <c r="Z887" s="2" t="n">
        <v>48</v>
      </c>
      <c r="AA887" s="3" t="inlineStr">
        <is>
          <t>gluten-free, nut-free, low-carb, high-protein</t>
        </is>
      </c>
      <c r="AB887" s="3" t="inlineStr">
        <is>
          <t>1. Halve zucchini; scoop.
2. Mix chicken, beans, half the sauce, half the cheese; fill.
3. Top remaining sauce and cheese; bake at 400°F 25 minutes; green onion, cilantro, yogurt.</t>
        </is>
      </c>
      <c r="AC887" s="4" t="inlineStr">
        <is>
          <t>["Halve zucchini; scoop.", "Mix chicken, beans, half the sauce, half the cheese; fill.", "Top remaining sauce and cheese; bake at 400°F 25 minutes; green onion, cilantro, yogurt."]</t>
        </is>
      </c>
    </row>
    <row r="888" ht="96" customHeight="1">
      <c r="A888" s="2" t="inlineStr">
        <is>
          <t>DB-0887</t>
        </is>
      </c>
      <c r="B888" s="3" t="inlineStr">
        <is>
          <t>Turkey &amp; Vegetable Skillet with Quinoa</t>
        </is>
      </c>
      <c r="C888" s="4" t="inlineStr">
        <is>
          <t>Poultry</t>
        </is>
      </c>
      <c r="D888" s="4" t="inlineStr">
        <is>
          <t>American</t>
        </is>
      </c>
      <c r="E888" s="2" t="n">
        <v>4</v>
      </c>
      <c r="F888" s="2" t="n">
        <v>10</v>
      </c>
      <c r="G888" s="2" t="n">
        <v>20</v>
      </c>
      <c r="H888" s="2" t="n">
        <v>30</v>
      </c>
      <c r="I888" s="4" t="inlineStr">
        <is>
          <t>turkey-and-vegetable-skillet-with-quinoa.jpg</t>
        </is>
      </c>
      <c r="J888" s="3" t="inlineStr">
        <is>
          <t>Turkey &amp; Vegetable Skillet with Quinoa, healthy food photography, plated, natural light</t>
        </is>
      </c>
      <c r="K888" s="4" t="inlineStr"/>
      <c r="L888" s="3" t="inlineStr">
        <is>
          <t>Ground turkey 93% lean — 500 g (17.6 oz)
Quinoa, cooked — 300 g (10.6 oz)
Zucchini — 200 g (7.1 oz)
Bell pepper — 150 g (5.3 oz)
Yellow onion — 80 g (2.8 oz)
Garlic — 6 g (0.2 oz)
Diced tomatoes, canned — 300 g (10.6 oz)
Italian seasoning — 3 g (0.1 oz)
Parmesan, grated — 30 g (1.1 oz)
Extra-virgin olive oil — 10 g (0.4 oz)</t>
        </is>
      </c>
      <c r="M888" s="4" t="inlineStr">
        <is>
          <t>[{"ingredient_id": "ground_turkey", "name": "Ground turkey 93% lean", "grams": 500.0, "note": ""}, {"ingredient_id": "quinoa", "name": "Quinoa, cooked", "grams": 300.0, "note": ""}, {"ingredient_id": "zucchini", "name": "Zucchini", "grams": 200.0, "note": ""}, {"ingredient_id": "bell_pepper", "name": "Bell pepper", "grams": 150.0, "note": ""}, {"ingredient_id": "onion", "name": "Yellow onion", "grams": 80.0, "note": ""}, {"ingredient_id": "garlic", "name": "Garlic", "grams": 6.0, "note": ""}, {"ingredient_id": "diced_tomatoes", "name": "Diced tomatoes, canned", "grams": 300.0, "note": ""}, {"ingredient_id": "italian_seasoning", "name": "Italian seasoning", "grams": 3.0, "note": ""}, {"ingredient_id": "parmesan", "name": "Parmesan, grated", "grams": 30.0, "note": ""}, {"ingredient_id": "olive_oil", "name": "Extra-virgin olive oil", "grams": 10.0, "note": ""}]</t>
        </is>
      </c>
      <c r="N888" s="2" t="n">
        <v>382</v>
      </c>
      <c r="O888" s="5" t="n">
        <v>31.8</v>
      </c>
      <c r="P888" s="5" t="n">
        <v>16.6</v>
      </c>
      <c r="Q888" s="5" t="n">
        <v>26.5</v>
      </c>
      <c r="R888" s="5" t="n">
        <v>5.2</v>
      </c>
      <c r="S888" s="5" t="n">
        <v>21.3</v>
      </c>
      <c r="T888" s="2" t="n">
        <v>42</v>
      </c>
      <c r="U888" s="2" t="inlineStr">
        <is>
          <t>low</t>
        </is>
      </c>
      <c r="V888" s="5" t="n">
        <v>8.9</v>
      </c>
      <c r="W888" s="2" t="inlineStr">
        <is>
          <t>low</t>
        </is>
      </c>
      <c r="X888" s="3" t="inlineStr"/>
      <c r="Y888" s="3" t="inlineStr">
        <is>
          <t>64% of this dish's available carbohydrate comes from ingredients with a published, measured GI; the rest uses conventional placeholders (see Ingredients sheet)</t>
        </is>
      </c>
      <c r="Z888" s="2" t="n">
        <v>64</v>
      </c>
      <c r="AA888" s="3" t="inlineStr">
        <is>
          <t>gluten-free, nut-free, high-protein, one-pan</t>
        </is>
      </c>
      <c r="AB888" s="3" t="inlineStr">
        <is>
          <t>1. Brown turkey with onion, garlic in oil.
2. Add zucchini, pepper, tomatoes, seasoning; simmer 8 minutes.
3. Stir in quinoa; parmesan.</t>
        </is>
      </c>
      <c r="AC888" s="4" t="inlineStr">
        <is>
          <t>["Brown turkey with onion, garlic in oil.", "Add zucchini, pepper, tomatoes, seasoning; simmer 8 minutes.", "Stir in quinoa; parmesan."]</t>
        </is>
      </c>
    </row>
    <row r="889" ht="96" customHeight="1">
      <c r="A889" s="2" t="inlineStr">
        <is>
          <t>DB-0888</t>
        </is>
      </c>
      <c r="B889" s="3" t="inlineStr">
        <is>
          <t>Chicken Cutlets with Arugula Salad</t>
        </is>
      </c>
      <c r="C889" s="4" t="inlineStr">
        <is>
          <t>Poultry</t>
        </is>
      </c>
      <c r="D889" s="4" t="inlineStr">
        <is>
          <t>Italian</t>
        </is>
      </c>
      <c r="E889" s="2" t="n">
        <v>4</v>
      </c>
      <c r="F889" s="2" t="n">
        <v>10</v>
      </c>
      <c r="G889" s="2" t="n">
        <v>12</v>
      </c>
      <c r="H889" s="2" t="n">
        <v>22</v>
      </c>
      <c r="I889" s="4" t="inlineStr">
        <is>
          <t>chicken-cutlets-with-arugula-salad.jpg</t>
        </is>
      </c>
      <c r="J889" s="3" t="inlineStr">
        <is>
          <t>Chicken Cutlets with Arugula Salad, healthy food photography, plated, natural light</t>
        </is>
      </c>
      <c r="K889" s="4" t="inlineStr"/>
      <c r="L889" s="3" t="inlineStr">
        <is>
          <t>Chicken breast, skinless — 600 g (21.2 oz)
Almond flour — 50 g (1.8 oz)
Parmesan, grated — 30 g (1.1 oz)
Egg, large (50 g each) — 50 g (1.8 oz)
Extra-virgin olive oil — 20 g (0.7 oz)
Arugula — 150 g (5.3 oz)
Cherry tomatoes — 150 g (5.3 oz)
Lemon (with juice &amp; zest) — 40 g (1.4 oz)
Salt — 3 g (0.1 oz)</t>
        </is>
      </c>
      <c r="M889" s="4" t="inlineStr">
        <is>
          <t>[{"ingredient_id": "chicken_breast", "name": "Chicken breast, skinless", "grams": 600.0, "note": ""}, {"ingredient_id": "almond_flour", "name": "Almond flour", "grams": 50.0, "note": ""}, {"ingredient_id": "parmesan", "name": "Parmesan, grated", "grams": 30.0, "note": ""}, {"ingredient_id": "egg", "name": "Egg, large (50 g each)", "grams": 50.0, "note": ""}, {"ingredient_id": "olive_oil", "name": "Extra-virgin olive oil", "grams": 20.0, "note": ""}, {"ingredient_id": "arugula", "name": "Arugula", "grams": 150.0, "note": ""}, {"ingredient_id": "cherry_tomato", "name": "Cherry tomatoes", "grams": 150.0, "note": ""}, {"ingredient_id": "lemon", "name": "Lemon (with juice &amp; zest)", "grams": 40.0, "note": ""}, {"ingredient_id": "salt", "name": "Salt", "grams": 3.0, "note": ""}]</t>
        </is>
      </c>
      <c r="N889" s="2" t="n">
        <v>367</v>
      </c>
      <c r="O889" s="5" t="n">
        <v>42.2</v>
      </c>
      <c r="P889" s="5" t="n">
        <v>18.9</v>
      </c>
      <c r="Q889" s="5" t="n">
        <v>6.8</v>
      </c>
      <c r="R889" s="5" t="n">
        <v>2.8</v>
      </c>
      <c r="S889" s="5" t="n">
        <v>4</v>
      </c>
      <c r="T889" s="2" t="n">
        <v>14</v>
      </c>
      <c r="U889" s="2" t="inlineStr">
        <is>
          <t>low</t>
        </is>
      </c>
      <c r="V889" s="5" t="n">
        <v>0.6</v>
      </c>
      <c r="W889" s="2" t="inlineStr">
        <is>
          <t>low</t>
        </is>
      </c>
      <c r="X889" s="3" t="inlineStr">
        <is>
          <t>Negligible carbohydrate (&lt;5 g net/serving): GI has little practical meaning, glycemic load is what matters.</t>
        </is>
      </c>
      <c r="Y889" s="3" t="inlineStr">
        <is>
          <t>0% of this dish's available carbohydrate comes from ingredients with a published, measured GI; the rest uses conventional placeholders (see Ingredients sheet)</t>
        </is>
      </c>
      <c r="Z889" s="2" t="n">
        <v>0</v>
      </c>
      <c r="AA889" s="3" t="inlineStr">
        <is>
          <t>gluten-free, low-carb, high-protein, quick</t>
        </is>
      </c>
      <c r="AB889" s="3" t="inlineStr">
        <is>
          <t>1. Pound chicken thin; dip in egg then almond flour-parmesan; pan-fry in oil 3–4 minutes per side.
2. Toss arugula and tomatoes with lemon and a little oil.
3. Pile salad on cutlets.</t>
        </is>
      </c>
      <c r="AC889" s="4" t="inlineStr">
        <is>
          <t>["Pound chicken thin; dip in egg then almond flour-parmesan; pan-fry in oil 3–4 minutes per side.", "Toss arugula and tomatoes with lemon and a little oil.", "Pile salad on cutlets."]</t>
        </is>
      </c>
    </row>
    <row r="890" ht="96" customHeight="1">
      <c r="A890" s="2" t="inlineStr">
        <is>
          <t>DB-0889</t>
        </is>
      </c>
      <c r="B890" s="3" t="inlineStr">
        <is>
          <t>Chicken Kale Sweet Potato Skillet</t>
        </is>
      </c>
      <c r="C890" s="4" t="inlineStr">
        <is>
          <t>Poultry</t>
        </is>
      </c>
      <c r="D890" s="4" t="inlineStr">
        <is>
          <t>American</t>
        </is>
      </c>
      <c r="E890" s="2" t="n">
        <v>4</v>
      </c>
      <c r="F890" s="2" t="n">
        <v>10</v>
      </c>
      <c r="G890" s="2" t="n">
        <v>25</v>
      </c>
      <c r="H890" s="2" t="n">
        <v>35</v>
      </c>
      <c r="I890" s="4" t="inlineStr">
        <is>
          <t>chicken-kale-sweet-potato-skillet.jpg</t>
        </is>
      </c>
      <c r="J890" s="3" t="inlineStr">
        <is>
          <t>Chicken Kale Sweet Potato Skillet, healthy food photography, plated, natural light</t>
        </is>
      </c>
      <c r="K890" s="4" t="inlineStr"/>
      <c r="L890" s="3" t="inlineStr">
        <is>
          <t>Chicken thigh, skinless boneless — 550 g (19.4 oz)
Sweet potato, boiled/simmered — 300 g (10.6 oz)
Kale — 200 g (7.1 oz)
Yellow onion — 80 g (2.8 oz)
Garlic — 6 g (0.2 oz)
Smoked paprika — 3 g (0.1 oz)
Extra-virgin olive oil — 15 g (0.5 oz)
Chicken broth, low sodium — 80 g (2.8 oz)
Salt — 3 g (0.1 oz)</t>
        </is>
      </c>
      <c r="M890" s="4" t="inlineStr">
        <is>
          <t>[{"ingredient_id": "chicken_thigh", "name": "Chicken thigh, skinless boneless", "grams": 550.0, "note": ""}, {"ingredient_id": "sweet_potato", "name": "Sweet potato, boiled/simmered", "grams": 300.0, "note": ""}, {"ingredient_id": "kale", "name": "Kale", "grams": 200.0, "note": ""}, {"ingredient_id": "onion", "name": "Yellow onion", "grams": 80.0, "note": ""}, {"ingredient_id": "garlic", "name": "Garlic", "grams": 6.0, "note": ""}, {"ingredient_id": "smoked_paprika", "name": "Smoked paprika", "grams": 3.0, "note": ""}, {"ingredient_id": "olive_oil", "name": "Extra-virgin olive oil", "grams": 15.0, "note": ""}, {"ingredient_id": "chicken_broth", "name": "Chicken broth, low sodium", "grams": 80.0, "note": ""}, {"ingredient_id": "salt", "name": "Salt", "grams": 3.0, "note": ""}]</t>
        </is>
      </c>
      <c r="N890" s="2" t="n">
        <v>302</v>
      </c>
      <c r="O890" s="5" t="n">
        <v>31.1</v>
      </c>
      <c r="P890" s="5" t="n">
        <v>10.1</v>
      </c>
      <c r="Q890" s="5" t="n">
        <v>22.3</v>
      </c>
      <c r="R890" s="5" t="n">
        <v>4.7</v>
      </c>
      <c r="S890" s="5" t="n">
        <v>17.6</v>
      </c>
      <c r="T890" s="2" t="n">
        <v>38</v>
      </c>
      <c r="U890" s="2" t="inlineStr">
        <is>
          <t>low</t>
        </is>
      </c>
      <c r="V890" s="5" t="n">
        <v>6.7</v>
      </c>
      <c r="W890" s="2" t="inlineStr">
        <is>
          <t>low</t>
        </is>
      </c>
      <c r="X890" s="3" t="inlineStr"/>
      <c r="Y890" s="3" t="inlineStr">
        <is>
          <t>73% of this dish's available carbohydrate comes from ingredients with a published, measured GI; the rest uses conventional placeholders (see Ingredients sheet)</t>
        </is>
      </c>
      <c r="Z890" s="2" t="n">
        <v>73</v>
      </c>
      <c r="AA890" s="3" t="inlineStr">
        <is>
          <t>gluten-free, dairy-free, nut-free, high-protein, one-pan</t>
        </is>
      </c>
      <c r="AB890" s="3" t="inlineStr">
        <is>
          <t>1. Brown chicken pieces in oil; remove.
2. Sauté sweet potato and onion covered 8 minutes; add garlic, paprika.
3. Return chicken with kale and broth; cook 6 minutes.</t>
        </is>
      </c>
      <c r="AC890" s="4" t="inlineStr">
        <is>
          <t>["Brown chicken pieces in oil; remove.", "Sauté sweet potato and onion covered 8 minutes; add garlic, paprika.", "Return chicken with kale and broth; cook 6 minutes."]</t>
        </is>
      </c>
    </row>
    <row r="891" ht="96" customHeight="1">
      <c r="A891" s="2" t="inlineStr">
        <is>
          <t>DB-0890</t>
        </is>
      </c>
      <c r="B891" s="3" t="inlineStr">
        <is>
          <t>Ginger Garlic Chicken with Snap Peas</t>
        </is>
      </c>
      <c r="C891" s="4" t="inlineStr">
        <is>
          <t>Poultry</t>
        </is>
      </c>
      <c r="D891" s="4" t="inlineStr">
        <is>
          <t>Chinese-American</t>
        </is>
      </c>
      <c r="E891" s="2" t="n">
        <v>4</v>
      </c>
      <c r="F891" s="2" t="n">
        <v>10</v>
      </c>
      <c r="G891" s="2" t="n">
        <v>12</v>
      </c>
      <c r="H891" s="2" t="n">
        <v>22</v>
      </c>
      <c r="I891" s="4" t="inlineStr">
        <is>
          <t>ginger-garlic-chicken-with-snap-peas.jpg</t>
        </is>
      </c>
      <c r="J891" s="3" t="inlineStr">
        <is>
          <t>Ginger Garlic Chicken with Snap Peas, healthy food photography, plated, natural light</t>
        </is>
      </c>
      <c r="K891" s="4" t="inlineStr"/>
      <c r="L891" s="3" t="inlineStr">
        <is>
          <t>Chicken breast, skinless — 550 g (19.4 oz)
Sugar snap peas — 300 g (10.6 oz)
Bell pepper — 100 g (3.5 oz)
Fresh ginger — 12 g (0.4 oz)
Garlic — 10 g (0.4 oz)
Tamari (gluten-free soy sauce) — 30 g (1.1 oz)
Rice vinegar, unseasoned — 12 g (0.4 oz)
Toasted sesame oil — 8 g (0.3 oz)
Arrowroot starch — 4 g (0.1 oz)
Avocado oil — 12 g (0.4 oz)</t>
        </is>
      </c>
      <c r="M891" s="4" t="inlineStr">
        <is>
          <t>[{"ingredient_id": "chicken_breast", "name": "Chicken breast, skinless", "grams": 550.0, "note": ""}, {"ingredient_id": "snap_peas", "name": "Sugar snap peas", "grams": 300.0, "note": ""}, {"ingredient_id": "bell_pepper", "name": "Bell pepper", "grams": 100.0, "note": ""}, {"ingredient_id": "ginger", "name": "Fresh ginger", "grams": 12.0, "note": ""}, {"ingredient_id": "garlic", "name": "Garlic", "grams": 10.0, "note": ""}, {"ingredient_id": "tamari", "name": "Tamari (gluten-free soy sauce)", "grams": 30.0, "note": ""}, {"ingredient_id": "rice_vinegar", "name": "Rice vinegar, unseasoned", "grams": 12.0, "note": ""}, {"ingredient_id": "sesame_oil", "name": "Toasted sesame oil", "grams": 8.0, "note": ""}, {"ingredient_id": "arrowroot", "name": "Arrowroot starch", "grams": 4.0, "note": ""}, {"ingredient_id": "avocado_oil", "name": "Avocado oil", "grams": 12.0, "note": ""}]</t>
        </is>
      </c>
      <c r="N891" s="2" t="n">
        <v>263</v>
      </c>
      <c r="O891" s="5" t="n">
        <v>34.3</v>
      </c>
      <c r="P891" s="5" t="n">
        <v>8.800000000000001</v>
      </c>
      <c r="Q891" s="5" t="n">
        <v>9.800000000000001</v>
      </c>
      <c r="R891" s="5" t="n">
        <v>2.7</v>
      </c>
      <c r="S891" s="5" t="n">
        <v>7.1</v>
      </c>
      <c r="T891" s="2" t="n">
        <v>23</v>
      </c>
      <c r="U891" s="2" t="inlineStr">
        <is>
          <t>low</t>
        </is>
      </c>
      <c r="V891" s="5" t="n">
        <v>1.6</v>
      </c>
      <c r="W891" s="2" t="inlineStr">
        <is>
          <t>low</t>
        </is>
      </c>
      <c r="X891" s="3" t="inlineStr"/>
      <c r="Y891" s="3" t="inlineStr">
        <is>
          <t>12% of this dish's available carbohydrate comes from ingredients with a published, measured GI; the rest uses conventional placeholders (see Ingredients sheet)</t>
        </is>
      </c>
      <c r="Z891" s="2" t="n">
        <v>12</v>
      </c>
      <c r="AA891" s="3" t="inlineStr">
        <is>
          <t>gluten-free, dairy-free, nut-free, low-carb, high-protein, quick</t>
        </is>
      </c>
      <c r="AB891" s="3" t="inlineStr">
        <is>
          <t>1. Toss chicken with arrowroot; stir-fry in oil; remove.
2. Stir-fry snap peas, pepper, ginger, garlic 3 minutes.
3. Return chicken with tamari, vinegar, sesame oil.</t>
        </is>
      </c>
      <c r="AC891" s="4" t="inlineStr">
        <is>
          <t>["Toss chicken with arrowroot; stir-fry in oil; remove.", "Stir-fry snap peas, pepper, ginger, garlic 3 minutes.", "Return chicken with tamari, vinegar, sesame oil."]</t>
        </is>
      </c>
    </row>
    <row r="892" ht="96" customHeight="1">
      <c r="A892" s="2" t="inlineStr">
        <is>
          <t>DB-0891</t>
        </is>
      </c>
      <c r="B892" s="3" t="inlineStr">
        <is>
          <t>Turkey Spinach Feta Meatloaf Muffins</t>
        </is>
      </c>
      <c r="C892" s="4" t="inlineStr">
        <is>
          <t>Poultry</t>
        </is>
      </c>
      <c r="D892" s="4" t="inlineStr">
        <is>
          <t>Greek</t>
        </is>
      </c>
      <c r="E892" s="2" t="n">
        <v>6</v>
      </c>
      <c r="F892" s="2" t="n">
        <v>15</v>
      </c>
      <c r="G892" s="2" t="n">
        <v>25</v>
      </c>
      <c r="H892" s="2" t="n">
        <v>40</v>
      </c>
      <c r="I892" s="4" t="inlineStr">
        <is>
          <t>turkey-spinach-feta-meatloaf-muffins.jpg</t>
        </is>
      </c>
      <c r="J892" s="3" t="inlineStr">
        <is>
          <t>Turkey Spinach Feta Meatloaf Muffins, healthy food photography, plated, natural light</t>
        </is>
      </c>
      <c r="K892" s="4" t="inlineStr"/>
      <c r="L892" s="3" t="inlineStr">
        <is>
          <t>Ground turkey 93% lean — 700 g (24.7 oz)
Spinach — 150 g (5.3 oz)
Feta cheese — 80 g (2.8 oz)
Egg, large (50 g each) — 100 g (3.5 oz)
Almond flour — 40 g (1.4 oz)
Garlic — 6 g (0.2 oz)
Dried oregano — 3 g (0.1 oz)
Red onion — 50 g (1.8 oz)
Salt — 3 g (0.1 oz)</t>
        </is>
      </c>
      <c r="M892" s="4" t="inlineStr">
        <is>
          <t>[{"ingredient_id": "ground_turkey", "name": "Ground turkey 93% lean", "grams": 700.0, "note": ""}, {"ingredient_id": "spinach", "name": "Spinach", "grams": 150.0, "note": ""}, {"ingredient_id": "feta", "name": "Feta cheese", "grams": 80.0, "note": ""}, {"ingredient_id": "egg", "name": "Egg, large (50 g each)", "grams": 100.0, "note": ""}, {"ingredient_id": "almond_flour", "name": "Almond flour", "grams": 40.0, "note": ""}, {"ingredient_id": "garlic", "name": "Garlic", "grams": 6.0, "note": ""}, {"ingredient_id": "oregano", "name": "Dried oregano", "grams": 3.0, "note": ""}, {"ingredient_id": "red_onion", "name": "Red onion", "grams": 50.0, "note": ""}, {"ingredient_id": "salt", "name": "Salt", "grams": 3.0, "note": ""}]</t>
        </is>
      </c>
      <c r="N892" s="2" t="n">
        <v>285</v>
      </c>
      <c r="O892" s="5" t="n">
        <v>28.1</v>
      </c>
      <c r="P892" s="5" t="n">
        <v>17.2</v>
      </c>
      <c r="Q892" s="5" t="n">
        <v>4.4</v>
      </c>
      <c r="R892" s="5" t="n">
        <v>1.7</v>
      </c>
      <c r="S892" s="5" t="n">
        <v>2.7</v>
      </c>
      <c r="T892" s="2" t="n">
        <v>13</v>
      </c>
      <c r="U892" s="2" t="inlineStr">
        <is>
          <t>low</t>
        </is>
      </c>
      <c r="V892" s="5" t="n">
        <v>0.3</v>
      </c>
      <c r="W892" s="2" t="inlineStr">
        <is>
          <t>low</t>
        </is>
      </c>
      <c r="X892" s="3" t="inlineStr">
        <is>
          <t>Negligible carbohydrate (&lt;5 g net/serving): GI has little practical meaning, glycemic load is what matters.</t>
        </is>
      </c>
      <c r="Y892" s="3" t="inlineStr">
        <is>
          <t>0% of this dish's available carbohydrate comes from ingredients with a published, measured GI; the rest uses conventional placeholders (see Ingredients sheet)</t>
        </is>
      </c>
      <c r="Z892" s="2" t="n">
        <v>0</v>
      </c>
      <c r="AA892" s="3" t="inlineStr">
        <is>
          <t>gluten-free, low-carb, high-protein, meal-prep</t>
        </is>
      </c>
      <c r="AB892" s="3" t="inlineStr">
        <is>
          <t>1. Mix all ingredients.
2. Divide into 12 muffin cups.
3. Bake at 375°F 22–25 minutes.</t>
        </is>
      </c>
      <c r="AC892" s="4" t="inlineStr">
        <is>
          <t>["Mix all ingredients.", "Divide into 12 muffin cups.", "Bake at 375°F 22–25 minutes."]</t>
        </is>
      </c>
    </row>
    <row r="893" ht="96" customHeight="1">
      <c r="A893" s="2" t="inlineStr">
        <is>
          <t>DB-0892</t>
        </is>
      </c>
      <c r="B893" s="3" t="inlineStr">
        <is>
          <t>Chicken Poblano Cauliflower Rice Bowl</t>
        </is>
      </c>
      <c r="C893" s="4" t="inlineStr">
        <is>
          <t>Poultry</t>
        </is>
      </c>
      <c r="D893" s="4" t="inlineStr">
        <is>
          <t>Mexican</t>
        </is>
      </c>
      <c r="E893" s="2" t="n">
        <v>4</v>
      </c>
      <c r="F893" s="2" t="n">
        <v>10</v>
      </c>
      <c r="G893" s="2" t="n">
        <v>20</v>
      </c>
      <c r="H893" s="2" t="n">
        <v>30</v>
      </c>
      <c r="I893" s="4" t="inlineStr">
        <is>
          <t>chicken-poblano-cauliflower-rice-bowl.jpg</t>
        </is>
      </c>
      <c r="J893" s="3" t="inlineStr">
        <is>
          <t>Chicken Poblano Cauliflower Rice Bowl, healthy food photography, plated, natural light</t>
        </is>
      </c>
      <c r="K893" s="4" t="inlineStr"/>
      <c r="L893" s="3" t="inlineStr">
        <is>
          <t>Chicken breast, skinless — 550 g (19.4 oz)
Poblano pepper — 250 g (8.8 oz)
Yellow onion — 100 g (3.5 oz)
Cauliflower rice — 500 g (17.6 oz)
Black beans, cooked — 200 g (7.1 oz)
Lime — 40 g (1.4 oz)
Ground cumin — 3 g (0.1 oz)
Cotija cheese — 40 g (1.4 oz)
Fresh cilantro — 8 g (0.3 oz)
Extra-virgin olive oil — 15 g (0.5 oz)
Salt — 3 g (0.1 oz)</t>
        </is>
      </c>
      <c r="M893" s="4" t="inlineStr">
        <is>
          <t>[{"ingredient_id": "chicken_breast", "name": "Chicken breast, skinless", "grams": 550.0, "note": ""}, {"ingredient_id": "poblano", "name": "Poblano pepper", "grams": 250.0, "note": ""}, {"ingredient_id": "onion", "name": "Yellow onion", "grams": 100.0, "note": ""}, {"ingredient_id": "cauliflower_rice", "name": "Cauliflower rice", "grams": 500.0, "note": ""}, {"ingredient_id": "black_beans", "name": "Black beans, cooked", "grams": 200.0, "note": ""}, {"ingredient_id": "lime", "name": "Lime", "grams": 40.0, "note": ""}, {"ingredient_id": "cumin", "name": "Ground cumin", "grams": 3.0, "note": ""}, {"ingredient_id": "cotija", "name": "Cotija cheese", "grams": 40.0, "note": ""}, {"ingredient_id": "cilantro", "name": "Fresh cilantro", "grams": 8.0, "note": ""}, {"ingredient_id": "olive_oil", "name": "Extra-virgin olive oil", "grams": 15.0, "note": ""}, {"ingredient_id": "salt", "name": "Salt", "grams": 3.0, "note": ""}]</t>
        </is>
      </c>
      <c r="N893" s="2" t="n">
        <v>361</v>
      </c>
      <c r="O893" s="5" t="n">
        <v>40.9</v>
      </c>
      <c r="P893" s="5" t="n">
        <v>11.2</v>
      </c>
      <c r="Q893" s="5" t="n">
        <v>25.2</v>
      </c>
      <c r="R893" s="5" t="n">
        <v>8.800000000000001</v>
      </c>
      <c r="S893" s="5" t="n">
        <v>16.4</v>
      </c>
      <c r="T893" s="2" t="n">
        <v>22</v>
      </c>
      <c r="U893" s="2" t="inlineStr">
        <is>
          <t>low</t>
        </is>
      </c>
      <c r="V893" s="5" t="n">
        <v>3.6</v>
      </c>
      <c r="W893" s="2" t="inlineStr">
        <is>
          <t>low</t>
        </is>
      </c>
      <c r="X893" s="3" t="inlineStr"/>
      <c r="Y893" s="3" t="inlineStr">
        <is>
          <t>46% of this dish's available carbohydrate comes from ingredients with a published, measured GI; the rest uses conventional placeholders (see Ingredients sheet)</t>
        </is>
      </c>
      <c r="Z893" s="2" t="n">
        <v>46</v>
      </c>
      <c r="AA893" s="3" t="inlineStr">
        <is>
          <t>gluten-free, nut-free, high-protein, high-fiber</t>
        </is>
      </c>
      <c r="AB893" s="3" t="inlineStr">
        <is>
          <t>1. Char poblano and onion in oil; add chicken pieces and cumin; cook through.
2. Sauté cauliflower rice; warm beans.
3. Bowl; lime, cotija, cilantro.</t>
        </is>
      </c>
      <c r="AC893" s="4" t="inlineStr">
        <is>
          <t>["Char poblano and onion in oil; add chicken pieces and cumin; cook through.", "Sauté cauliflower rice; warm beans.", "Bowl; lime, cotija, cilantro."]</t>
        </is>
      </c>
    </row>
    <row r="894" ht="96" customHeight="1">
      <c r="A894" s="2" t="inlineStr">
        <is>
          <t>DB-0893</t>
        </is>
      </c>
      <c r="B894" s="3" t="inlineStr">
        <is>
          <t>Chicken &amp; Broccoli Sheet Pan with Sesame</t>
        </is>
      </c>
      <c r="C894" s="4" t="inlineStr">
        <is>
          <t>Poultry</t>
        </is>
      </c>
      <c r="D894" s="4" t="inlineStr">
        <is>
          <t>Asian</t>
        </is>
      </c>
      <c r="E894" s="2" t="n">
        <v>4</v>
      </c>
      <c r="F894" s="2" t="n">
        <v>10</v>
      </c>
      <c r="G894" s="2" t="n">
        <v>22</v>
      </c>
      <c r="H894" s="2" t="n">
        <v>32</v>
      </c>
      <c r="I894" s="4" t="inlineStr">
        <is>
          <t>chicken-and-broccoli-sheet-pan-with-sesame.jpg</t>
        </is>
      </c>
      <c r="J894" s="3" t="inlineStr">
        <is>
          <t>Chicken &amp; Broccoli Sheet Pan with Sesame, healthy food photography, plated, natural light</t>
        </is>
      </c>
      <c r="K894" s="4" t="inlineStr"/>
      <c r="L894" s="3" t="inlineStr">
        <is>
          <t>Chicken thigh, skinless boneless — 650 g (22.9 oz)
Broccoli — 500 g (17.6 oz)
Tamari (gluten-free soy sauce) — 30 g (1.1 oz)
Toasted sesame oil — 10 g (0.4 oz)
Garlic — 8 g (0.3 oz)
Fresh ginger — 8 g (0.3 oz)
Rice vinegar, unseasoned — 10 g (0.4 oz)
Avocado oil — 10 g (0.4 oz)
Sesame seeds — 8 g (0.3 oz)
Green onions (scallions) — 15 g (0.5 oz)</t>
        </is>
      </c>
      <c r="M894" s="4" t="inlineStr">
        <is>
          <t>[{"ingredient_id": "chicken_thigh", "name": "Chicken thigh, skinless boneless", "grams": 650.0, "note": ""}, {"ingredient_id": "broccoli", "name": "Broccoli", "grams": 500.0, "note": ""}, {"ingredient_id": "tamari", "name": "Tamari (gluten-free soy sauce)", "grams": 30.0, "note": ""}, {"ingredient_id": "sesame_oil", "name": "Toasted sesame oil", "grams": 10.0, "note": ""}, {"ingredient_id": "garlic", "name": "Garlic", "grams": 8.0, "note": ""}, {"ingredient_id": "ginger", "name": "Fresh ginger", "grams": 8.0, "note": ""}, {"ingredient_id": "rice_vinegar", "name": "Rice vinegar, unseasoned", "grams": 10.0, "note": ""}, {"ingredient_id": "avocado_oil", "name": "Avocado oil", "grams": 10.0, "note": ""}, {"ingredient_id": "sesame_seeds", "name": "Sesame seeds", "grams": 8.0, "note": ""}, {"ingredient_id": "green_onion", "name": "Green onions (scallions)", "grams": 15.0, "note": ""}]</t>
        </is>
      </c>
      <c r="N894" s="2" t="n">
        <v>306</v>
      </c>
      <c r="O894" s="5" t="n">
        <v>36.9</v>
      </c>
      <c r="P894" s="5" t="n">
        <v>13.2</v>
      </c>
      <c r="Q894" s="5" t="n">
        <v>10.4</v>
      </c>
      <c r="R894" s="5" t="n">
        <v>3.7</v>
      </c>
      <c r="S894" s="5" t="n">
        <v>6.7</v>
      </c>
      <c r="T894" s="2" t="n">
        <v>17</v>
      </c>
      <c r="U894" s="2" t="inlineStr">
        <is>
          <t>low</t>
        </is>
      </c>
      <c r="V894" s="5" t="n">
        <v>1.1</v>
      </c>
      <c r="W894" s="2" t="inlineStr">
        <is>
          <t>low</t>
        </is>
      </c>
      <c r="X894" s="3" t="inlineStr"/>
      <c r="Y894" s="3" t="inlineStr">
        <is>
          <t>0% of this dish's available carbohydrate comes from ingredients with a published, measured GI; the rest uses conventional placeholders (see Ingredients sheet)</t>
        </is>
      </c>
      <c r="Z894" s="2" t="n">
        <v>0</v>
      </c>
      <c r="AA894" s="3" t="inlineStr">
        <is>
          <t>gluten-free, dairy-free, nut-free, low-carb, high-protein, one-pan</t>
        </is>
      </c>
      <c r="AB894" s="3" t="inlineStr">
        <is>
          <t>1. Toss chicken and broccoli with tamari, oils, garlic, ginger, vinegar.
2. Roast at 425°F 20–22 minutes.
3. Sesame, green onion.</t>
        </is>
      </c>
      <c r="AC894" s="4" t="inlineStr">
        <is>
          <t>["Toss chicken and broccoli with tamari, oils, garlic, ginger, vinegar.", "Roast at 425°F 20–22 minutes.", "Sesame, green onion."]</t>
        </is>
      </c>
    </row>
    <row r="895" ht="96" customHeight="1">
      <c r="A895" s="2" t="inlineStr">
        <is>
          <t>DB-0894</t>
        </is>
      </c>
      <c r="B895" s="3" t="inlineStr">
        <is>
          <t>Herb Chicken Salad Stuffed Avocados</t>
        </is>
      </c>
      <c r="C895" s="4" t="inlineStr">
        <is>
          <t>Poultry</t>
        </is>
      </c>
      <c r="D895" s="4" t="inlineStr">
        <is>
          <t>American</t>
        </is>
      </c>
      <c r="E895" s="2" t="n">
        <v>2</v>
      </c>
      <c r="F895" s="2" t="n">
        <v>10</v>
      </c>
      <c r="G895" s="2" t="n">
        <v>0</v>
      </c>
      <c r="H895" s="2" t="n">
        <v>10</v>
      </c>
      <c r="I895" s="4" t="inlineStr">
        <is>
          <t>herb-chicken-salad-stuffed-avocados.jpg</t>
        </is>
      </c>
      <c r="J895" s="3" t="inlineStr">
        <is>
          <t>Herb Chicken Salad Stuffed Avocados, healthy food photography, plated, natural light</t>
        </is>
      </c>
      <c r="K895" s="4" t="inlineStr"/>
      <c r="L895" s="3" t="inlineStr">
        <is>
          <t>Rotisserie chicken, skin removed — 250 g (8.8 oz)
Avocado — 280 g (9.9 oz)
Greek yogurt, plain 2% — 60 g (2.1 oz)
Dijon mustard — 8 g (0.3 oz)
Celery — 40 g (1.4 oz)
Fresh chives — 5 g (0.2 oz)
Fresh parsley — 5 g (0.2 oz)
Lemon juice — 10 g (0.4 oz)
Salt — 1 g (0.0 oz)</t>
        </is>
      </c>
      <c r="M895" s="4" t="inlineStr">
        <is>
          <t>[{"ingredient_id": "rotisserie_chicken", "name": "Rotisserie chicken, skin removed", "grams": 250.0, "note": ""}, {"ingredient_id": "avocado", "name": "Avocado", "grams": 280.0, "note": ""}, {"ingredient_id": "greek_yogurt", "name": "Greek yogurt, plain 2%", "grams": 60.0, "note": ""}, {"ingredient_id": "dijon", "name": "Dijon mustard", "grams": 8.0, "note": ""}, {"ingredient_id": "celery", "name": "Celery", "grams": 40.0, "note": ""}, {"ingredient_id": "chives", "name": "Fresh chives", "grams": 5.0, "note": ""}, {"ingredient_id": "parsley", "name": "Fresh parsley", "grams": 5.0, "note": ""}, {"ingredient_id": "lemon_juice", "name": "Lemon juice", "grams": 10.0, "note": ""}, {"ingredient_id": "salt", "name": "Salt", "grams": 1.0, "note": ""}]</t>
        </is>
      </c>
      <c r="N895" s="2" t="n">
        <v>454</v>
      </c>
      <c r="O895" s="5" t="n">
        <v>35</v>
      </c>
      <c r="P895" s="5" t="n">
        <v>30.6</v>
      </c>
      <c r="Q895" s="5" t="n">
        <v>14.5</v>
      </c>
      <c r="R895" s="5" t="n">
        <v>10</v>
      </c>
      <c r="S895" s="5" t="n">
        <v>4.5</v>
      </c>
      <c r="T895" s="2" t="n">
        <v>14</v>
      </c>
      <c r="U895" s="2" t="inlineStr">
        <is>
          <t>low</t>
        </is>
      </c>
      <c r="V895" s="5" t="n">
        <v>0.6</v>
      </c>
      <c r="W895" s="2" t="inlineStr">
        <is>
          <t>low</t>
        </is>
      </c>
      <c r="X895" s="3" t="inlineStr">
        <is>
          <t>Negligible carbohydrate (&lt;5 g net/serving): GI has little practical meaning, glycemic load is what matters.</t>
        </is>
      </c>
      <c r="Y895" s="3" t="inlineStr">
        <is>
          <t>26% of this dish's available carbohydrate comes from ingredients with a published, measured GI; the rest uses conventional placeholders (see Ingredients sheet)</t>
        </is>
      </c>
      <c r="Z895" s="2" t="n">
        <v>26</v>
      </c>
      <c r="AA895" s="3" t="inlineStr">
        <is>
          <t>gluten-free, nut-free, low-carb, high-protein, high-fiber, no-cook, quick</t>
        </is>
      </c>
      <c r="AB895" s="3" t="inlineStr">
        <is>
          <t>1. Mix chicken, yogurt, Dijon, celery, herbs, lemon, salt.
2. Halve avocados.
3. Fill.</t>
        </is>
      </c>
      <c r="AC895" s="4" t="inlineStr">
        <is>
          <t>["Mix chicken, yogurt, Dijon, celery, herbs, lemon, salt.", "Halve avocados.", "Fill."]</t>
        </is>
      </c>
    </row>
    <row r="896" ht="96" customHeight="1">
      <c r="A896" s="2" t="inlineStr">
        <is>
          <t>DB-0895</t>
        </is>
      </c>
      <c r="B896" s="3" t="inlineStr">
        <is>
          <t>Chicken Cauliflower Shawarma Sheet Pan</t>
        </is>
      </c>
      <c r="C896" s="4" t="inlineStr">
        <is>
          <t>Poultry</t>
        </is>
      </c>
      <c r="D896" s="4" t="inlineStr">
        <is>
          <t>Middle Eastern</t>
        </is>
      </c>
      <c r="E896" s="2" t="n">
        <v>4</v>
      </c>
      <c r="F896" s="2" t="n">
        <v>10</v>
      </c>
      <c r="G896" s="2" t="n">
        <v>25</v>
      </c>
      <c r="H896" s="2" t="n">
        <v>35</v>
      </c>
      <c r="I896" s="4" t="inlineStr">
        <is>
          <t>chicken-cauliflower-shawarma-sheet-pan.jpg</t>
        </is>
      </c>
      <c r="J896" s="3" t="inlineStr">
        <is>
          <t>Chicken Cauliflower Shawarma Sheet Pan, healthy food photography, plated, natural light</t>
        </is>
      </c>
      <c r="K896" s="4" t="inlineStr"/>
      <c r="L896" s="3" t="inlineStr">
        <is>
          <t>Chicken thigh, skinless boneless — 650 g (22.9 oz)
Cauliflower — 600 g (21.2 oz)
Ground cumin — 4 g (0.1 oz)
Paprika — 4 g (0.1 oz)
Ground turmeric — 2 g (0.1 oz)
Ground coriander — 2 g (0.1 oz)
Garlic — 8 g (0.3 oz)
Lemon (with juice &amp; zest) — 50 g (1.8 oz)
Extra-virgin olive oil — 20 g (0.7 oz)
Greek yogurt, plain 2% — 120 g (4.2 oz)
Tahini — 20 g (0.7 oz)
Fresh parsley — 6 g (0.2 oz)
Salt — 3 g (0.1 oz)</t>
        </is>
      </c>
      <c r="M896" s="4" t="inlineStr">
        <is>
          <t>[{"ingredient_id": "chicken_thigh", "name": "Chicken thigh, skinless boneless", "grams": 650.0, "note": ""}, {"ingredient_id": "cauliflower", "name": "Cauliflower", "grams": 600.0, "note": ""}, {"ingredient_id": "cumin", "name": "Ground cumin", "grams": 4.0, "note": ""}, {"ingredient_id": "paprika", "name": "Paprika", "grams": 4.0, "note": ""}, {"ingredient_id": "turmeric", "name": "Ground turmeric", "grams": 2.0, "note": ""}, {"ingredient_id": "coriander", "name": "Ground coriander", "grams": 2.0, "note": ""}, {"ingredient_id": "garlic", "name": "Garlic", "grams": 8.0, "note": ""}, {"ingredient_id": "lemon", "name": "Lemon (with juice &amp; zest)", "grams": 50.0, "note": ""}, {"ingredient_id": "olive_oil", "name": "Extra-virgin olive oil", "grams": 20.0, "note": ""}, {"ingredient_id": "greek_yogurt", "name": "Greek yogurt, plain 2%", "grams": 120.0, "note": ""}, {"ingredient_id": "tahini", "name": "Tahini", "grams": 20.0, "note": ""}, {"ingredient_id": "parsley", "name": "Fresh parsley", "grams": 6.0, "note": ""}, {"ingredient_id": "salt", "name": "Salt", "grams": 3.0, "note": ""}]</t>
        </is>
      </c>
      <c r="N896" s="2" t="n">
        <v>347</v>
      </c>
      <c r="O896" s="5" t="n">
        <v>39.5</v>
      </c>
      <c r="P896" s="5" t="n">
        <v>15.9</v>
      </c>
      <c r="Q896" s="5" t="n">
        <v>13.3</v>
      </c>
      <c r="R896" s="5" t="n">
        <v>4.7</v>
      </c>
      <c r="S896" s="5" t="n">
        <v>8.6</v>
      </c>
      <c r="T896" s="2" t="n">
        <v>18</v>
      </c>
      <c r="U896" s="2" t="inlineStr">
        <is>
          <t>low</t>
        </is>
      </c>
      <c r="V896" s="5" t="n">
        <v>1.5</v>
      </c>
      <c r="W896" s="2" t="inlineStr">
        <is>
          <t>low</t>
        </is>
      </c>
      <c r="X896" s="3" t="inlineStr"/>
      <c r="Y896" s="3" t="inlineStr">
        <is>
          <t>14% of this dish's available carbohydrate comes from ingredients with a published, measured GI; the rest uses conventional placeholders (see Ingredients sheet)</t>
        </is>
      </c>
      <c r="Z896" s="2" t="n">
        <v>14</v>
      </c>
      <c r="AA896" s="3" t="inlineStr">
        <is>
          <t>gluten-free, nut-free, low-carb, high-protein, one-pan</t>
        </is>
      </c>
      <c r="AB896" s="3" t="inlineStr">
        <is>
          <t>1. Toss chicken and cauliflower with spices, garlic, lemon, oil, salt.
2. Roast at 425°F 25 minutes.
3. Serve with yogurt-tahini sauce and parsley.</t>
        </is>
      </c>
      <c r="AC896" s="4" t="inlineStr">
        <is>
          <t>["Toss chicken and cauliflower with spices, garlic, lemon, oil, salt.", "Roast at 425°F 25 minutes.", "Serve with yogurt-tahini sauce and parsley."]</t>
        </is>
      </c>
    </row>
    <row r="897" ht="96" customHeight="1">
      <c r="A897" s="2" t="inlineStr">
        <is>
          <t>DB-0896</t>
        </is>
      </c>
      <c r="B897" s="3" t="inlineStr">
        <is>
          <t>Chicken Mushroom Zoodle Skillet</t>
        </is>
      </c>
      <c r="C897" s="4" t="inlineStr">
        <is>
          <t>Poultry</t>
        </is>
      </c>
      <c r="D897" s="4" t="inlineStr">
        <is>
          <t>American</t>
        </is>
      </c>
      <c r="E897" s="2" t="n">
        <v>3</v>
      </c>
      <c r="F897" s="2" t="n">
        <v>10</v>
      </c>
      <c r="G897" s="2" t="n">
        <v>15</v>
      </c>
      <c r="H897" s="2" t="n">
        <v>25</v>
      </c>
      <c r="I897" s="4" t="inlineStr">
        <is>
          <t>chicken-mushroom-zoodle-skillet.jpg</t>
        </is>
      </c>
      <c r="J897" s="3" t="inlineStr">
        <is>
          <t>Chicken Mushroom Zoodle Skillet, healthy food photography, plated, natural light</t>
        </is>
      </c>
      <c r="K897" s="4" t="inlineStr"/>
      <c r="L897" s="3" t="inlineStr">
        <is>
          <t>Chicken breast, skinless — 450 g (15.9 oz)
Mushrooms (cremini/white) — 300 g (10.6 oz)
Zucchini noodles (zoodles) — 500 g (17.6 oz)
Garlic — 8 g (0.3 oz)
Chicken broth, low sodium — 100 g (3.5 oz)
Greek yogurt, plain 2% — 80 g (2.8 oz)
Parmesan, grated — 25 g (0.9 oz)
Fresh thyme — 2 g (0.1 oz)
Extra-virgin olive oil — 12 g (0.4 oz)
Salt — 2 g (0.1 oz)</t>
        </is>
      </c>
      <c r="M897" s="4" t="inlineStr">
        <is>
          <t>[{"ingredient_id": "chicken_breast", "name": "Chicken breast, skinless", "grams": 450.0, "note": ""}, {"ingredient_id": "mushrooms", "name": "Mushrooms (cremini/white)", "grams": 300.0, "note": ""}, {"ingredient_id": "zucchini_noodles", "name": "Zucchini noodles (zoodles)", "grams": 500.0, "note": ""}, {"ingredient_id": "garlic", "name": "Garlic", "grams": 8.0, "note": ""}, {"ingredient_id": "chicken_broth", "name": "Chicken broth, low sodium", "grams": 100.0, "note": ""}, {"ingredient_id": "greek_yogurt", "name": "Greek yogurt, plain 2%", "grams": 80.0, "note": ""}, {"ingredient_id": "parmesan", "name": "Parmesan, grated", "grams": 25.0, "note": ""}, {"ingredient_id": "thyme", "name": "Fresh thyme", "grams": 2.0, "note": ""}, {"ingredient_id": "olive_oil", "name": "Extra-virgin olive oil", "grams": 12.0, "note": ""}, {"ingredient_id": "salt", "name": "Salt", "grams": 2.0, "note": ""}]</t>
        </is>
      </c>
      <c r="N897" s="2" t="n">
        <v>328</v>
      </c>
      <c r="O897" s="5" t="n">
        <v>45.2</v>
      </c>
      <c r="P897" s="5" t="n">
        <v>11.7</v>
      </c>
      <c r="Q897" s="5" t="n">
        <v>11.1</v>
      </c>
      <c r="R897" s="5" t="n">
        <v>2.8</v>
      </c>
      <c r="S897" s="5" t="n">
        <v>8.300000000000001</v>
      </c>
      <c r="T897" s="2" t="n">
        <v>15</v>
      </c>
      <c r="U897" s="2" t="inlineStr">
        <is>
          <t>low</t>
        </is>
      </c>
      <c r="V897" s="5" t="n">
        <v>1.2</v>
      </c>
      <c r="W897" s="2" t="inlineStr">
        <is>
          <t>low</t>
        </is>
      </c>
      <c r="X897" s="3" t="inlineStr"/>
      <c r="Y897" s="3" t="inlineStr">
        <is>
          <t>13% of this dish's available carbohydrate comes from ingredients with a published, measured GI; the rest uses conventional placeholders (see Ingredients sheet)</t>
        </is>
      </c>
      <c r="Z897" s="2" t="n">
        <v>13</v>
      </c>
      <c r="AA897" s="3" t="inlineStr">
        <is>
          <t>gluten-free, nut-free, low-carb, high-protein</t>
        </is>
      </c>
      <c r="AB897" s="3" t="inlineStr">
        <is>
          <t>1. Sear chicken; remove. Sauté mushrooms, garlic, thyme.
2. Add broth; reduce; yogurt and parmesan off heat.
3. Toss with zoodles and chicken 2 minutes.</t>
        </is>
      </c>
      <c r="AC897" s="4" t="inlineStr">
        <is>
          <t>["Sear chicken; remove. Sauté mushrooms, garlic, thyme.", "Add broth; reduce; yogurt and parmesan off heat.", "Toss with zoodles and chicken 2 minutes."]</t>
        </is>
      </c>
    </row>
    <row r="898" ht="96" customHeight="1">
      <c r="A898" s="2" t="inlineStr">
        <is>
          <t>DB-0897</t>
        </is>
      </c>
      <c r="B898" s="3" t="inlineStr">
        <is>
          <t>Buffalo Turkey Meatballs</t>
        </is>
      </c>
      <c r="C898" s="4" t="inlineStr">
        <is>
          <t>Poultry</t>
        </is>
      </c>
      <c r="D898" s="4" t="inlineStr">
        <is>
          <t>American</t>
        </is>
      </c>
      <c r="E898" s="2" t="n">
        <v>4</v>
      </c>
      <c r="F898" s="2" t="n">
        <v>15</v>
      </c>
      <c r="G898" s="2" t="n">
        <v>20</v>
      </c>
      <c r="H898" s="2" t="n">
        <v>35</v>
      </c>
      <c r="I898" s="4" t="inlineStr">
        <is>
          <t>buffalo-turkey-meatballs.jpg</t>
        </is>
      </c>
      <c r="J898" s="3" t="inlineStr">
        <is>
          <t>Buffalo Turkey Meatballs, healthy food photography, plated, natural light</t>
        </is>
      </c>
      <c r="K898" s="4" t="inlineStr"/>
      <c r="L898" s="3" t="inlineStr">
        <is>
          <t>Ground turkey 93% lean — 600 g (21.2 oz)
Egg, large (50 g each) — 50 g (1.8 oz)
Almond flour — 30 g (1.1 oz)
Celery — 40 g (1.4 oz)
Garlic powder — 2 g (0.1 oz)
Hot sauce (Tabasco/Frank's) — 50 g (1.8 oz)
Butter — 10 g (0.4 oz)
Greek yogurt, plain 2% — 100 g (3.5 oz)
Blue cheese, crumbled — 30 g (1.1 oz)
Carrot — 100 g (3.5 oz)
Salt — 3 g (0.1 oz)</t>
        </is>
      </c>
      <c r="M898" s="4" t="inlineStr">
        <is>
          <t>[{"ingredient_id": "ground_turkey", "name": "Ground turkey 93% lean", "grams": 600.0, "note": ""}, {"ingredient_id": "egg", "name": "Egg, large (50 g each)", "grams": 50.0, "note": ""}, {"ingredient_id": "almond_flour", "name": "Almond flour", "grams": 30.0, "note": ""}, {"ingredient_id": "celery", "name": "Celery", "grams": 40.0, "note": ""}, {"ingredient_id": "garlic_powder", "name": "Garlic powder", "grams": 2.0, "note": ""}, {"ingredient_id": "hot_sauce", "name": "Hot sauce (Tabasco/Frank's)", "grams": 50.0, "note": ""}, {"ingredient_id": "butter", "name": "Butter", "grams": 10.0, "note": ""}, {"ingredient_id": "greek_yogurt", "name": "Greek yogurt, plain 2%", "grams": 100.0, "note": ""}, {"ingredient_id": "blue_cheese", "name": "Blue cheese, crumbled", "grams": 30.0, "note": ""}, {"ingredient_id": "carrot", "name": "Carrot", "grams": 100.0, "note": ""}, {"ingredient_id": "salt", "name": "Salt", "grams": 3.0, "note": ""}]</t>
        </is>
      </c>
      <c r="N898" s="2" t="n">
        <v>365</v>
      </c>
      <c r="O898" s="5" t="n">
        <v>35.7</v>
      </c>
      <c r="P898" s="5" t="n">
        <v>21.8</v>
      </c>
      <c r="Q898" s="5" t="n">
        <v>6.1</v>
      </c>
      <c r="R898" s="5" t="n">
        <v>1.8</v>
      </c>
      <c r="S898" s="5" t="n">
        <v>4.3</v>
      </c>
      <c r="T898" s="2" t="n">
        <v>23</v>
      </c>
      <c r="U898" s="2" t="inlineStr">
        <is>
          <t>low</t>
        </is>
      </c>
      <c r="V898" s="5" t="n">
        <v>1</v>
      </c>
      <c r="W898" s="2" t="inlineStr">
        <is>
          <t>low</t>
        </is>
      </c>
      <c r="X898" s="3" t="inlineStr">
        <is>
          <t>Negligible carbohydrate (&lt;5 g net/serving): GI has little practical meaning, glycemic load is what matters.</t>
        </is>
      </c>
      <c r="Y898" s="3" t="inlineStr">
        <is>
          <t>63% of this dish's available carbohydrate comes from ingredients with a published, measured GI; the rest uses conventional placeholders (see Ingredients sheet)</t>
        </is>
      </c>
      <c r="Z898" s="2" t="n">
        <v>63</v>
      </c>
      <c r="AA898" s="3" t="inlineStr">
        <is>
          <t>gluten-free, low-carb, high-protein</t>
        </is>
      </c>
      <c r="AB898" s="3" t="inlineStr">
        <is>
          <t>1. Mix turkey, egg, almond flour, minced celery, garlic powder, salt; form meatballs; bake at 400°F 18 minutes.
2. Toss with hot sauce melted with butter.
3. Serve with yogurt-blue cheese and carrot sticks.</t>
        </is>
      </c>
      <c r="AC898" s="4" t="inlineStr">
        <is>
          <t>["Mix turkey, egg, almond flour, minced celery, garlic powder, salt; form meatballs; bake at 400°F 18 minutes.", "Toss with hot sauce melted with butter.", "Serve with yogurt-blue cheese and carrot sticks."]</t>
        </is>
      </c>
    </row>
    <row r="899" ht="96" customHeight="1">
      <c r="A899" s="2" t="inlineStr">
        <is>
          <t>DB-0898</t>
        </is>
      </c>
      <c r="B899" s="3" t="inlineStr">
        <is>
          <t>Chicken Curry Lettuce Cups</t>
        </is>
      </c>
      <c r="C899" s="4" t="inlineStr">
        <is>
          <t>Poultry</t>
        </is>
      </c>
      <c r="D899" s="4" t="inlineStr">
        <is>
          <t>Indian</t>
        </is>
      </c>
      <c r="E899" s="2" t="n">
        <v>4</v>
      </c>
      <c r="F899" s="2" t="n">
        <v>10</v>
      </c>
      <c r="G899" s="2" t="n">
        <v>12</v>
      </c>
      <c r="H899" s="2" t="n">
        <v>22</v>
      </c>
      <c r="I899" s="4" t="inlineStr">
        <is>
          <t>chicken-curry-lettuce-cups.jpg</t>
        </is>
      </c>
      <c r="J899" s="3" t="inlineStr">
        <is>
          <t>Chicken Curry Lettuce Cups, healthy food photography, plated, natural light</t>
        </is>
      </c>
      <c r="K899" s="4" t="inlineStr"/>
      <c r="L899" s="3" t="inlineStr">
        <is>
          <t>Ground chicken — 600 g (21.2 oz)
Curry powder — 8 g (0.3 oz)
Fresh ginger — 8 g (0.3 oz)
Garlic — 6 g (0.2 oz)
Yellow onion — 60 g (2.1 oz)
Green peas — 100 g (3.5 oz)
Greek yogurt, plain 2% — 80 g (2.8 oz)
Fresh cilantro — 8 g (0.3 oz)
Butter lettuce — 200 g (7.1 oz)
Extra-virgin olive oil — 12 g (0.4 oz)
Lime — 30 g (1.1 oz)
Salt — 3 g (0.1 oz)</t>
        </is>
      </c>
      <c r="M899" s="4" t="inlineStr">
        <is>
          <t>[{"ingredient_id": "ground_chicken", "name": "Ground chicken", "grams": 600.0, "note": ""}, {"ingredient_id": "curry_powder", "name": "Curry powder", "grams": 8.0, "note": ""}, {"ingredient_id": "ginger", "name": "Fresh ginger", "grams": 8.0, "note": ""}, {"ingredient_id": "garlic", "name": "Garlic", "grams": 6.0, "note": ""}, {"ingredient_id": "onion", "name": "Yellow onion", "grams": 60.0, "note": ""}, {"ingredient_id": "green_peas", "name": "Green peas", "grams": 100.0, "note": ""}, {"ingredient_id": "greek_yogurt", "name": "Greek yogurt, plain 2%", "grams": 80.0, "note": ""}, {"ingredient_id": "cilantro", "name": "Fresh cilantro", "grams": 8.0, "note": ""}, {"ingredient_id": "butter_lettuce", "name": "Butter lettuce", "grams": 200.0, "note": ""}, {"ingredient_id": "olive_oil", "name": "Extra-virgin olive oil", "grams": 12.0, "note": ""}, {"ingredient_id": "lime", "name": "Lime", "grams": 30.0, "note": ""}, {"ingredient_id": "salt", "name": "Salt", "grams": 3.0, "note": ""}]</t>
        </is>
      </c>
      <c r="N899" s="2" t="n">
        <v>301</v>
      </c>
      <c r="O899" s="5" t="n">
        <v>30.2</v>
      </c>
      <c r="P899" s="5" t="n">
        <v>15.9</v>
      </c>
      <c r="Q899" s="5" t="n">
        <v>9.699999999999999</v>
      </c>
      <c r="R899" s="5" t="n">
        <v>3.6</v>
      </c>
      <c r="S899" s="5" t="n">
        <v>6</v>
      </c>
      <c r="T899" s="2" t="n">
        <v>24</v>
      </c>
      <c r="U899" s="2" t="inlineStr">
        <is>
          <t>low</t>
        </is>
      </c>
      <c r="V899" s="5" t="n">
        <v>1.5</v>
      </c>
      <c r="W899" s="2" t="inlineStr">
        <is>
          <t>low</t>
        </is>
      </c>
      <c r="X899" s="3" t="inlineStr"/>
      <c r="Y899" s="3" t="inlineStr">
        <is>
          <t>48% of this dish's available carbohydrate comes from ingredients with a published, measured GI; the rest uses conventional placeholders (see Ingredients sheet)</t>
        </is>
      </c>
      <c r="Z899" s="2" t="n">
        <v>48</v>
      </c>
      <c r="AA899" s="3" t="inlineStr">
        <is>
          <t>gluten-free, nut-free, low-carb, high-protein, quick</t>
        </is>
      </c>
      <c r="AB899" s="3" t="inlineStr">
        <is>
          <t>1. Brown chicken with onion, garlic, ginger, curry powder in oil.
2. Add peas and a splash of water; cook 3 minutes.
3. Fill lettuce; top yogurt, cilantro, lime.</t>
        </is>
      </c>
      <c r="AC899" s="4" t="inlineStr">
        <is>
          <t>["Brown chicken with onion, garlic, ginger, curry powder in oil.", "Add peas and a splash of water; cook 3 minutes.", "Fill lettuce; top yogurt, cilantro, lime."]</t>
        </is>
      </c>
    </row>
    <row r="900" ht="96" customHeight="1">
      <c r="A900" s="2" t="inlineStr">
        <is>
          <t>DB-0899</t>
        </is>
      </c>
      <c r="B900" s="3" t="inlineStr">
        <is>
          <t>Chicken Thighs with Roasted Cabbage Wedges &amp; Mustard</t>
        </is>
      </c>
      <c r="C900" s="4" t="inlineStr">
        <is>
          <t>Poultry</t>
        </is>
      </c>
      <c r="D900" s="4" t="inlineStr">
        <is>
          <t>American</t>
        </is>
      </c>
      <c r="E900" s="2" t="n">
        <v>4</v>
      </c>
      <c r="F900" s="2" t="n">
        <v>10</v>
      </c>
      <c r="G900" s="2" t="n">
        <v>35</v>
      </c>
      <c r="H900" s="2" t="n">
        <v>45</v>
      </c>
      <c r="I900" s="4" t="inlineStr">
        <is>
          <t>chicken-thighs-with-roasted-cabbage-wedges-and-mustard.jpg</t>
        </is>
      </c>
      <c r="J900" s="3" t="inlineStr">
        <is>
          <t>Chicken Thighs with Roasted Cabbage Wedges &amp; Mustard, healthy food photography, plated, natural light</t>
        </is>
      </c>
      <c r="K900" s="4" t="inlineStr"/>
      <c r="L900" s="3" t="inlineStr">
        <is>
          <t>Chicken thigh, skinless boneless — 700 g (24.7 oz)
Green cabbage — 700 g (24.7 oz)
Dijon mustard — 25 g (0.9 oz)
Garlic — 8 g (0.3 oz)
Extra-virgin olive oil — 20 g (0.7 oz)
Fresh thyme — 2 g (0.1 oz)
Apple cider vinegar — 10 g (0.4 oz)
Salt — 3 g (0.1 oz)</t>
        </is>
      </c>
      <c r="M900" s="4" t="inlineStr">
        <is>
          <t>[{"ingredient_id": "chicken_thigh", "name": "Chicken thigh, skinless boneless", "grams": 700.0, "note": ""}, {"ingredient_id": "cabbage", "name": "Green cabbage", "grams": 700.0, "note": ""}, {"ingredient_id": "dijon", "name": "Dijon mustard", "grams": 25.0, "note": ""}, {"ingredient_id": "garlic", "name": "Garlic", "grams": 8.0, "note": ""}, {"ingredient_id": "olive_oil", "name": "Extra-virgin olive oil", "grams": 20.0, "note": ""}, {"ingredient_id": "thyme", "name": "Fresh thyme", "grams": 2.0, "note": ""}, {"ingredient_id": "apple_cider_vinegar", "name": "Apple cider vinegar", "grams": 10.0, "note": ""}, {"ingredient_id": "salt", "name": "Salt", "grams": 3.0, "note": ""}]</t>
        </is>
      </c>
      <c r="N900" s="2" t="n">
        <v>308</v>
      </c>
      <c r="O900" s="5" t="n">
        <v>37.2</v>
      </c>
      <c r="P900" s="5" t="n">
        <v>12.6</v>
      </c>
      <c r="Q900" s="5" t="n">
        <v>11.3</v>
      </c>
      <c r="R900" s="5" t="n">
        <v>4.7</v>
      </c>
      <c r="S900" s="5" t="n">
        <v>6.6</v>
      </c>
      <c r="T900" s="2" t="n">
        <v>16</v>
      </c>
      <c r="U900" s="2" t="inlineStr">
        <is>
          <t>low</t>
        </is>
      </c>
      <c r="V900" s="5" t="n">
        <v>1.1</v>
      </c>
      <c r="W900" s="2" t="inlineStr">
        <is>
          <t>low</t>
        </is>
      </c>
      <c r="X900" s="3" t="inlineStr"/>
      <c r="Y900" s="3" t="inlineStr">
        <is>
          <t>0% of this dish's available carbohydrate comes from ingredients with a published, measured GI; the rest uses conventional placeholders (see Ingredients sheet)</t>
        </is>
      </c>
      <c r="Z900" s="2" t="n">
        <v>0</v>
      </c>
      <c r="AA900" s="3" t="inlineStr">
        <is>
          <t>gluten-free, dairy-free, nut-free, low-carb, high-protein, one-pan</t>
        </is>
      </c>
      <c r="AB900" s="3" t="inlineStr">
        <is>
          <t>1. Rub chicken with half the Dijon, garlic, thyme, oil, salt.
2. Brush cabbage wedges with remaining oil and Dijon.
3. Roast everything at 425°F 30–35 minutes; drizzle vinegar.</t>
        </is>
      </c>
      <c r="AC900" s="4" t="inlineStr">
        <is>
          <t>["Rub chicken with half the Dijon, garlic, thyme, oil, salt.", "Brush cabbage wedges with remaining oil and Dijon.", "Roast everything at 425°F 30–35 minutes; drizzle vinegar."]</t>
        </is>
      </c>
    </row>
    <row r="901" ht="96" customHeight="1">
      <c r="A901" s="2" t="inlineStr">
        <is>
          <t>DB-0900</t>
        </is>
      </c>
      <c r="B901" s="3" t="inlineStr">
        <is>
          <t>Chicken Salad Lettuce Boats with Pesto</t>
        </is>
      </c>
      <c r="C901" s="4" t="inlineStr">
        <is>
          <t>Poultry</t>
        </is>
      </c>
      <c r="D901" s="4" t="inlineStr">
        <is>
          <t>Italian</t>
        </is>
      </c>
      <c r="E901" s="2" t="n">
        <v>3</v>
      </c>
      <c r="F901" s="2" t="n">
        <v>10</v>
      </c>
      <c r="G901" s="2" t="n">
        <v>0</v>
      </c>
      <c r="H901" s="2" t="n">
        <v>10</v>
      </c>
      <c r="I901" s="4" t="inlineStr">
        <is>
          <t>chicken-salad-lettuce-boats-with-pesto.jpg</t>
        </is>
      </c>
      <c r="J901" s="3" t="inlineStr">
        <is>
          <t>Chicken Salad Lettuce Boats with Pesto, healthy food photography, plated, natural light</t>
        </is>
      </c>
      <c r="K901" s="4" t="inlineStr"/>
      <c r="L901" s="3" t="inlineStr">
        <is>
          <t>Rotisserie chicken, skin removed — 350 g (12.3 oz)
Basil pesto — 30 g (1.1 oz)
Greek yogurt, plain 2% — 60 g (2.1 oz)
Cherry tomatoes — 120 g (4.2 oz)
Mozzarella, part-skim — 50 g (1.8 oz)
Romaine lettuce — 150 g (5.3 oz)
Pine nuts — 10 g (0.4 oz)</t>
        </is>
      </c>
      <c r="M901" s="4" t="inlineStr">
        <is>
          <t>[{"ingredient_id": "rotisserie_chicken", "name": "Rotisserie chicken, skin removed", "grams": 350.0, "note": ""}, {"ingredient_id": "pesto", "name": "Basil pesto", "grams": 30.0, "note": ""}, {"ingredient_id": "greek_yogurt", "name": "Greek yogurt, plain 2%", "grams": 60.0, "note": ""}, {"ingredient_id": "cherry_tomato", "name": "Cherry tomatoes", "grams": 120.0, "note": ""}, {"ingredient_id": "mozzarella", "name": "Mozzarella, part-skim", "grams": 50.0, "note": ""}, {"ingredient_id": "romaine", "name": "Romaine lettuce", "grams": 150.0, "note": ""}, {"ingredient_id": "pine_nuts", "name": "Pine nuts", "grams": 10.0, "note": ""}]</t>
        </is>
      </c>
      <c r="N901" s="2" t="n">
        <v>322</v>
      </c>
      <c r="O901" s="5" t="n">
        <v>34.8</v>
      </c>
      <c r="P901" s="5" t="n">
        <v>17.7</v>
      </c>
      <c r="Q901" s="5" t="n">
        <v>5.5</v>
      </c>
      <c r="R901" s="5" t="n">
        <v>1.9</v>
      </c>
      <c r="S901" s="5" t="n">
        <v>3.7</v>
      </c>
      <c r="T901" s="2" t="n">
        <v>12</v>
      </c>
      <c r="U901" s="2" t="inlineStr">
        <is>
          <t>low</t>
        </is>
      </c>
      <c r="V901" s="5" t="n">
        <v>0.4</v>
      </c>
      <c r="W901" s="2" t="inlineStr">
        <is>
          <t>low</t>
        </is>
      </c>
      <c r="X901" s="3" t="inlineStr">
        <is>
          <t>Negligible carbohydrate (&lt;5 g net/serving): GI has little practical meaning, glycemic load is what matters.</t>
        </is>
      </c>
      <c r="Y901" s="3" t="inlineStr">
        <is>
          <t>22% of this dish's available carbohydrate comes from ingredients with a published, measured GI; the rest uses conventional placeholders (see Ingredients sheet)</t>
        </is>
      </c>
      <c r="Z901" s="2" t="n">
        <v>22</v>
      </c>
      <c r="AA901" s="3" t="inlineStr">
        <is>
          <t>gluten-free, low-carb, high-protein, no-cook, quick</t>
        </is>
      </c>
      <c r="AB901" s="3" t="inlineStr">
        <is>
          <t>1. Mix chicken, pesto, yogurt.
2. Fold in tomato and mozzarella.
3. Fill romaine leaves; pine nuts.</t>
        </is>
      </c>
      <c r="AC901" s="4" t="inlineStr">
        <is>
          <t>["Mix chicken, pesto, yogurt.", "Fold in tomato and mozzarella.", "Fill romaine leaves; pine nuts."]</t>
        </is>
      </c>
    </row>
    <row r="902" ht="96" customHeight="1">
      <c r="A902" s="2" t="inlineStr">
        <is>
          <t>DB-0901</t>
        </is>
      </c>
      <c r="B902" s="3" t="inlineStr">
        <is>
          <t>Cod with Chorizo-Style Turkey Crumbles &amp; Kale</t>
        </is>
      </c>
      <c r="C902" s="4" t="inlineStr">
        <is>
          <t>Seafood</t>
        </is>
      </c>
      <c r="D902" s="4" t="inlineStr">
        <is>
          <t>Spanish</t>
        </is>
      </c>
      <c r="E902" s="2" t="n">
        <v>4</v>
      </c>
      <c r="F902" s="2" t="n">
        <v>10</v>
      </c>
      <c r="G902" s="2" t="n">
        <v>20</v>
      </c>
      <c r="H902" s="2" t="n">
        <v>30</v>
      </c>
      <c r="I902" s="4" t="inlineStr">
        <is>
          <t>cod-with-chorizo-style-turkey-crumbles-and-kale.jpg</t>
        </is>
      </c>
      <c r="J902" s="3" t="inlineStr">
        <is>
          <t>Cod with Chorizo-Style Turkey Crumbles &amp; Kale, healthy food photography, plated, natural light</t>
        </is>
      </c>
      <c r="K902" s="4" t="inlineStr"/>
      <c r="L902" s="3" t="inlineStr">
        <is>
          <t>Cod fillet — 600 g (21.2 oz)
Ground turkey 93% lean — 200 g (7.1 oz)
Smoked paprika — 5 g (0.2 oz)
Ground cumin — 2 g (0.1 oz)
Garlic — 8 g (0.3 oz)
Kale — 300 g (10.6 oz)
Cannellini beans, cooked — 250 g (8.8 oz)
Chicken broth, low sodium — 100 g (3.5 oz)
Extra-virgin olive oil — 15 g (0.5 oz)
Lemon (with juice &amp; zest) — 30 g (1.1 oz)
Salt — 3 g (0.1 oz)</t>
        </is>
      </c>
      <c r="M902" s="4" t="inlineStr">
        <is>
          <t>[{"ingredient_id": "cod", "name": "Cod fillet", "grams": 600.0, "note": ""}, {"ingredient_id": "ground_turkey", "name": "Ground turkey 93% lean", "grams": 200.0, "note": ""}, {"ingredient_id": "smoked_paprika", "name": "Smoked paprika", "grams": 5.0, "note": ""}, {"ingredient_id": "cumin", "name": "Ground cumin", "grams": 2.0, "note": ""}, {"ingredient_id": "garlic", "name": "Garlic", "grams": 8.0, "note": ""}, {"ingredient_id": "kale", "name": "Kale", "grams": 300.0, "note": ""}, {"ingredient_id": "white_beans", "name": "Cannellini beans, cooked", "grams": 250.0, "note": ""}, {"ingredient_id": "chicken_broth", "name": "Chicken broth, low sodium", "grams": 100.0, "note": ""}, {"ingredient_id": "olive_oil", "name": "Extra-virgin olive oil", "grams": 15.0, "note": ""}, {"ingredient_id": "lemon", "name": "Lemon (with juice &amp; zest)", "grams": 30.0, "note": ""}, {"ingredient_id": "salt", "name": "Salt", "grams": 3.0, "note": ""}]</t>
        </is>
      </c>
      <c r="N902" s="2" t="n">
        <v>367</v>
      </c>
      <c r="O902" s="5" t="n">
        <v>46.4</v>
      </c>
      <c r="P902" s="5" t="n">
        <v>10.1</v>
      </c>
      <c r="Q902" s="5" t="n">
        <v>24.6</v>
      </c>
      <c r="R902" s="5" t="n">
        <v>7.4</v>
      </c>
      <c r="S902" s="5" t="n">
        <v>17.2</v>
      </c>
      <c r="T902" s="2" t="n">
        <v>26</v>
      </c>
      <c r="U902" s="2" t="inlineStr">
        <is>
          <t>low</t>
        </is>
      </c>
      <c r="V902" s="5" t="n">
        <v>4.5</v>
      </c>
      <c r="W902" s="2" t="inlineStr">
        <is>
          <t>low</t>
        </is>
      </c>
      <c r="X902" s="3" t="inlineStr"/>
      <c r="Y902" s="3" t="inlineStr">
        <is>
          <t>68% of this dish's available carbohydrate comes from ingredients with a published, measured GI; the rest uses conventional placeholders (see Ingredients sheet)</t>
        </is>
      </c>
      <c r="Z902" s="2" t="n">
        <v>68</v>
      </c>
      <c r="AA902" s="3" t="inlineStr">
        <is>
          <t>gluten-free, dairy-free, nut-free, high-protein, high-fiber</t>
        </is>
      </c>
      <c r="AB902" s="3" t="inlineStr">
        <is>
          <t>1. Brown turkey with paprika, cumin, garlic (quick chorizo); add kale, beans, broth; simmer 5 minutes.
2. Sear cod in oil 4 minutes per side.
3. Serve cod over the kale-bean mix with lemon.</t>
        </is>
      </c>
      <c r="AC902" s="4" t="inlineStr">
        <is>
          <t>["Brown turkey with paprika, cumin, garlic (quick chorizo); add kale, beans, broth; simmer 5 minutes.", "Sear cod in oil 4 minutes per side.", "Serve cod over the kale-bean mix with lemon."]</t>
        </is>
      </c>
    </row>
    <row r="903" ht="96" customHeight="1">
      <c r="A903" s="2" t="inlineStr">
        <is>
          <t>DB-0902</t>
        </is>
      </c>
      <c r="B903" s="3" t="inlineStr">
        <is>
          <t>Shrimp &amp; Asparagus Lemon Skillet</t>
        </is>
      </c>
      <c r="C903" s="4" t="inlineStr">
        <is>
          <t>Seafood</t>
        </is>
      </c>
      <c r="D903" s="4" t="inlineStr">
        <is>
          <t>American</t>
        </is>
      </c>
      <c r="E903" s="2" t="n">
        <v>4</v>
      </c>
      <c r="F903" s="2" t="n">
        <v>5</v>
      </c>
      <c r="G903" s="2" t="n">
        <v>10</v>
      </c>
      <c r="H903" s="2" t="n">
        <v>15</v>
      </c>
      <c r="I903" s="4" t="inlineStr">
        <is>
          <t>shrimp-and-asparagus-lemon-skillet.jpg</t>
        </is>
      </c>
      <c r="J903" s="3" t="inlineStr">
        <is>
          <t>Shrimp &amp; Asparagus Lemon Skillet, healthy food photography, plated, natural light</t>
        </is>
      </c>
      <c r="K903" s="4" t="inlineStr"/>
      <c r="L903" s="3" t="inlineStr">
        <is>
          <t>Shrimp, peeled — 600 g (21.2 oz)
Asparagus — 500 g (17.6 oz)
Garlic — 8 g (0.3 oz)
Lemon (with juice &amp; zest) — 50 g (1.8 oz)
Extra-virgin olive oil — 15 g (0.5 oz)
Butter — 10 g (0.4 oz)
Red pepper flakes — 1 g (0.0 oz)
Fresh parsley — 6 g (0.2 oz)
Salt — 3 g (0.1 oz)</t>
        </is>
      </c>
      <c r="M903" s="4" t="inlineStr">
        <is>
          <t>[{"ingredient_id": "shrimp", "name": "Shrimp, peeled", "grams": 600.0, "note": ""}, {"ingredient_id": "asparagus", "name": "Asparagus", "grams": 500.0, "note": ""}, {"ingredient_id": "garlic", "name": "Garlic", "grams": 8.0, "note": ""}, {"ingredient_id": "lemon", "name": "Lemon (with juice &amp; zest)", "grams": 50.0, "note": ""}, {"ingredient_id": "olive_oil", "name": "Extra-virgin olive oil", "grams": 15.0, "note": ""}, {"ingredient_id": "butter", "name": "Butter", "grams": 10.0, "note": ""}, {"ingredient_id": "red_pepper_flakes", "name": "Red pepper flakes", "grams": 1.0, "note": ""}, {"ingredient_id": "parsley", "name": "Fresh parsley", "grams": 6.0, "note": ""}, {"ingredient_id": "salt", "name": "Salt", "grams": 3.0, "note": ""}]</t>
        </is>
      </c>
      <c r="N903" s="2" t="n">
        <v>212</v>
      </c>
      <c r="O903" s="5" t="n">
        <v>33.1</v>
      </c>
      <c r="P903" s="5" t="n">
        <v>6.8</v>
      </c>
      <c r="Q903" s="5" t="n">
        <v>6.9</v>
      </c>
      <c r="R903" s="5" t="n">
        <v>3.1</v>
      </c>
      <c r="S903" s="5" t="n">
        <v>3.8</v>
      </c>
      <c r="T903" s="2" t="n">
        <v>19</v>
      </c>
      <c r="U903" s="2" t="inlineStr">
        <is>
          <t>low</t>
        </is>
      </c>
      <c r="V903" s="5" t="n">
        <v>0.7</v>
      </c>
      <c r="W903" s="2" t="inlineStr">
        <is>
          <t>low</t>
        </is>
      </c>
      <c r="X903" s="3" t="inlineStr">
        <is>
          <t>Negligible carbohydrate (&lt;5 g net/serving): GI has little practical meaning, glycemic load is what matters.</t>
        </is>
      </c>
      <c r="Y903" s="3" t="inlineStr">
        <is>
          <t>0% of this dish's available carbohydrate comes from ingredients with a published, measured GI; the rest uses conventional placeholders (see Ingredients sheet)</t>
        </is>
      </c>
      <c r="Z903" s="2" t="n">
        <v>0</v>
      </c>
      <c r="AA903" s="3" t="inlineStr">
        <is>
          <t>pescatarian, gluten-free, nut-free, low-carb, high-protein, quick, one-pan</t>
        </is>
      </c>
      <c r="AB903" s="3" t="inlineStr">
        <is>
          <t>1. Sauté asparagus in oil 4 minutes.
2. Add garlic, shrimp, butter; cook 3 minutes.
3. Lemon, parsley, pepper flakes.</t>
        </is>
      </c>
      <c r="AC903" s="4" t="inlineStr">
        <is>
          <t>["Sauté asparagus in oil 4 minutes.", "Add garlic, shrimp, butter; cook 3 minutes.", "Lemon, parsley, pepper flakes."]</t>
        </is>
      </c>
    </row>
    <row r="904" ht="96" customHeight="1">
      <c r="A904" s="2" t="inlineStr">
        <is>
          <t>DB-0903</t>
        </is>
      </c>
      <c r="B904" s="3" t="inlineStr">
        <is>
          <t>Baked Salmon with Pesto &amp; Zucchini</t>
        </is>
      </c>
      <c r="C904" s="4" t="inlineStr">
        <is>
          <t>Seafood</t>
        </is>
      </c>
      <c r="D904" s="4" t="inlineStr">
        <is>
          <t>Italian</t>
        </is>
      </c>
      <c r="E904" s="2" t="n">
        <v>4</v>
      </c>
      <c r="F904" s="2" t="n">
        <v>5</v>
      </c>
      <c r="G904" s="2" t="n">
        <v>15</v>
      </c>
      <c r="H904" s="2" t="n">
        <v>20</v>
      </c>
      <c r="I904" s="4" t="inlineStr">
        <is>
          <t>baked-salmon-with-pesto-and-zucchini.jpg</t>
        </is>
      </c>
      <c r="J904" s="3" t="inlineStr">
        <is>
          <t>Baked Salmon with Pesto &amp; Zucchini, healthy food photography, plated, natural light</t>
        </is>
      </c>
      <c r="K904" s="4" t="inlineStr"/>
      <c r="L904" s="3" t="inlineStr">
        <is>
          <t>Salmon fillet — 600 g (21.2 oz)
Basil pesto — 50 g (1.8 oz)
Zucchini — 500 g (17.6 oz)
Cherry tomatoes — 200 g (7.1 oz)
Extra-virgin olive oil — 10 g (0.4 oz)
Lemon (with juice &amp; zest) — 30 g (1.1 oz)</t>
        </is>
      </c>
      <c r="M904" s="4" t="inlineStr">
        <is>
          <t>[{"ingredient_id": "salmon", "name": "Salmon fillet", "grams": 600.0, "note": ""}, {"ingredient_id": "pesto", "name": "Basil pesto", "grams": 50.0, "note": ""}, {"ingredient_id": "zucchini", "name": "Zucchini", "grams": 500.0, "note": ""}, {"ingredient_id": "cherry_tomato", "name": "Cherry tomatoes", "grams": 200.0, "note": ""}, {"ingredient_id": "olive_oil", "name": "Extra-virgin olive oil", "grams": 10.0, "note": ""}, {"ingredient_id": "lemon", "name": "Lemon (with juice &amp; zest)", "grams": 30.0, "note": ""}]</t>
        </is>
      </c>
      <c r="N904" s="2" t="n">
        <v>417</v>
      </c>
      <c r="O904" s="5" t="n">
        <v>32.7</v>
      </c>
      <c r="P904" s="5" t="n">
        <v>27.5</v>
      </c>
      <c r="Q904" s="5" t="n">
        <v>7.3</v>
      </c>
      <c r="R904" s="5" t="n">
        <v>2.3</v>
      </c>
      <c r="S904" s="5" t="n">
        <v>5</v>
      </c>
      <c r="T904" s="2" t="n">
        <v>15</v>
      </c>
      <c r="U904" s="2" t="inlineStr">
        <is>
          <t>low</t>
        </is>
      </c>
      <c r="V904" s="5" t="n">
        <v>0.7</v>
      </c>
      <c r="W904" s="2" t="inlineStr">
        <is>
          <t>low</t>
        </is>
      </c>
      <c r="X904" s="3" t="inlineStr">
        <is>
          <t>Negligible carbohydrate (&lt;5 g net/serving): GI has little practical meaning, glycemic load is what matters.</t>
        </is>
      </c>
      <c r="Y904" s="3" t="inlineStr">
        <is>
          <t>0% of this dish's available carbohydrate comes from ingredients with a published, measured GI; the rest uses conventional placeholders (see Ingredients sheet)</t>
        </is>
      </c>
      <c r="Z904" s="2" t="n">
        <v>0</v>
      </c>
      <c r="AA904" s="3" t="inlineStr">
        <is>
          <t>pescatarian, gluten-free, dairy-free, low-carb, high-protein, omega-3, one-pan</t>
        </is>
      </c>
      <c r="AB904" s="3" t="inlineStr">
        <is>
          <t>1. Spread pesto on salmon; surround with zucchini and tomatoes tossed in oil.
2. Bake at 400°F 14 minutes.
3. Lemon.</t>
        </is>
      </c>
      <c r="AC904" s="4" t="inlineStr">
        <is>
          <t>["Spread pesto on salmon; surround with zucchini and tomatoes tossed in oil.", "Bake at 400°F 14 minutes.", "Lemon."]</t>
        </is>
      </c>
    </row>
    <row r="905" ht="96" customHeight="1">
      <c r="A905" s="2" t="inlineStr">
        <is>
          <t>DB-0904</t>
        </is>
      </c>
      <c r="B905" s="3" t="inlineStr">
        <is>
          <t>Tilapia Tacos with Avocado Crema</t>
        </is>
      </c>
      <c r="C905" s="4" t="inlineStr">
        <is>
          <t>Seafood</t>
        </is>
      </c>
      <c r="D905" s="4" t="inlineStr">
        <is>
          <t>Mexican</t>
        </is>
      </c>
      <c r="E905" s="2" t="n">
        <v>4</v>
      </c>
      <c r="F905" s="2" t="n">
        <v>10</v>
      </c>
      <c r="G905" s="2" t="n">
        <v>10</v>
      </c>
      <c r="H905" s="2" t="n">
        <v>20</v>
      </c>
      <c r="I905" s="4" t="inlineStr">
        <is>
          <t>tilapia-tacos-with-avocado-crema.jpg</t>
        </is>
      </c>
      <c r="J905" s="3" t="inlineStr">
        <is>
          <t>Tilapia Tacos with Avocado Crema, healthy food photography, plated, natural light</t>
        </is>
      </c>
      <c r="K905" s="4" t="inlineStr"/>
      <c r="L905" s="3" t="inlineStr">
        <is>
          <t>Tilapia fillet — 600 g (21.2 oz)
Ground cumin — 3 g (0.1 oz)
Chili powder — 4 g (0.1 oz)
Corn tortilla — 200 g (7.1 oz) [8 small]
Avocado — 100 g (3.5 oz)
Greek yogurt, plain 2% — 80 g (2.8 oz)
Lime — 40 g (1.4 oz)
Green cabbage — 250 g (8.8 oz)
Fresh cilantro — 8 g (0.3 oz)
Extra-virgin olive oil — 10 g (0.4 oz)</t>
        </is>
      </c>
      <c r="M905" s="4" t="inlineStr">
        <is>
          <t>[{"ingredient_id": "tilapia", "name": "Tilapia fillet", "grams": 600.0, "note": ""}, {"ingredient_id": "cumin", "name": "Ground cumin", "grams": 3.0, "note": ""}, {"ingredient_id": "chili_powder", "name": "Chili powder", "grams": 4.0, "note": ""}, {"ingredient_id": "corn_tortilla", "name": "Corn tortilla", "grams": 200.0, "note": "8 small"}, {"ingredient_id": "avocado", "name": "Avocado", "grams": 100.0, "note": ""}, {"ingredient_id": "greek_yogurt", "name": "Greek yogurt, plain 2%", "grams": 80.0, "note": ""}, {"ingredient_id": "lime", "name": "Lime", "grams": 40.0, "note": ""}, {"ingredient_id": "cabbage", "name": "Green cabbage", "grams": 250.0, "note": ""}, {"ingredient_id": "cilantro", "name": "Fresh cilantro", "grams": 8.0, "note": ""}, {"ingredient_id": "olive_oil", "name": "Extra-virgin olive oil", "grams": 10.0, "note": ""}]</t>
        </is>
      </c>
      <c r="N905" s="2" t="n">
        <v>354</v>
      </c>
      <c r="O905" s="5" t="n">
        <v>36.5</v>
      </c>
      <c r="P905" s="5" t="n">
        <v>11</v>
      </c>
      <c r="Q905" s="5" t="n">
        <v>31</v>
      </c>
      <c r="R905" s="5" t="n">
        <v>7.2</v>
      </c>
      <c r="S905" s="5" t="n">
        <v>23.9</v>
      </c>
      <c r="T905" s="2" t="n">
        <v>45</v>
      </c>
      <c r="U905" s="2" t="inlineStr">
        <is>
          <t>low</t>
        </is>
      </c>
      <c r="V905" s="5" t="n">
        <v>10.7</v>
      </c>
      <c r="W905" s="2" t="inlineStr">
        <is>
          <t>medium</t>
        </is>
      </c>
      <c r="X905" s="3" t="inlineStr"/>
      <c r="Y905" s="3" t="inlineStr">
        <is>
          <t>84% of this dish's available carbohydrate comes from ingredients with a published, measured GI; the rest uses conventional placeholders (see Ingredients sheet)</t>
        </is>
      </c>
      <c r="Z905" s="2" t="n">
        <v>84</v>
      </c>
      <c r="AA905" s="3" t="inlineStr">
        <is>
          <t>pescatarian, gluten-free, nut-free, high-protein, high-fiber</t>
        </is>
      </c>
      <c r="AB905" s="3" t="inlineStr">
        <is>
          <t>1. Season tilapia; sear in oil; flake.
2. Blend avocado, yogurt, lime.
3. Fill tortillas with cabbage, fish, crema, cilantro.</t>
        </is>
      </c>
      <c r="AC905" s="4" t="inlineStr">
        <is>
          <t>["Season tilapia; sear in oil; flake.", "Blend avocado, yogurt, lime.", "Fill tortillas with cabbage, fish, crema, cilantro."]</t>
        </is>
      </c>
    </row>
    <row r="906" ht="96" customHeight="1">
      <c r="A906" s="2" t="inlineStr">
        <is>
          <t>DB-0905</t>
        </is>
      </c>
      <c r="B906" s="3" t="inlineStr">
        <is>
          <t>Shrimp Stir-Fry with Bok Choy &amp; Mushrooms</t>
        </is>
      </c>
      <c r="C906" s="4" t="inlineStr">
        <is>
          <t>Seafood</t>
        </is>
      </c>
      <c r="D906" s="4" t="inlineStr">
        <is>
          <t>Chinese</t>
        </is>
      </c>
      <c r="E906" s="2" t="n">
        <v>4</v>
      </c>
      <c r="F906" s="2" t="n">
        <v>10</v>
      </c>
      <c r="G906" s="2" t="n">
        <v>10</v>
      </c>
      <c r="H906" s="2" t="n">
        <v>20</v>
      </c>
      <c r="I906" s="4" t="inlineStr">
        <is>
          <t>shrimp-stir-fry-with-bok-choy-and-mushrooms.jpg</t>
        </is>
      </c>
      <c r="J906" s="3" t="inlineStr">
        <is>
          <t>Shrimp Stir-Fry with Bok Choy &amp; Mushrooms, healthy food photography, plated, natural light</t>
        </is>
      </c>
      <c r="K906" s="4" t="inlineStr"/>
      <c r="L906" s="3" t="inlineStr">
        <is>
          <t>Shrimp, peeled — 600 g (21.2 oz)
Bok choy — 500 g (17.6 oz)
Shiitake mushrooms — 150 g (5.3 oz)
Garlic — 8 g (0.3 oz)
Fresh ginger — 8 g (0.3 oz)
Tamari (gluten-free soy sauce) — 30 g (1.1 oz)
Toasted sesame oil — 8 g (0.3 oz)
Rice vinegar, unseasoned — 10 g (0.4 oz)
Avocado oil — 12 g (0.4 oz)</t>
        </is>
      </c>
      <c r="M906" s="4" t="inlineStr">
        <is>
          <t>[{"ingredient_id": "shrimp", "name": "Shrimp, peeled", "grams": 600.0, "note": ""}, {"ingredient_id": "bok_choy", "name": "Bok choy", "grams": 500.0, "note": ""}, {"ingredient_id": "shiitake", "name": "Shiitake mushrooms", "grams": 150.0, "note": ""}, {"ingredient_id": "garlic", "name": "Garlic", "grams": 8.0, "note": ""}, {"ingredient_id": "ginger", "name": "Fresh ginger", "grams": 8.0, "note": ""}, {"ingredient_id": "tamari", "name": "Tamari (gluten-free soy sauce)", "grams": 30.0, "note": ""}, {"ingredient_id": "sesame_oil", "name": "Toasted sesame oil", "grams": 8.0, "note": ""}, {"ingredient_id": "rice_vinegar", "name": "Rice vinegar, unseasoned", "grams": 10.0, "note": ""}, {"ingredient_id": "avocado_oil", "name": "Avocado oil", "grams": 12.0, "note": ""}]</t>
        </is>
      </c>
      <c r="N906" s="2" t="n">
        <v>210</v>
      </c>
      <c r="O906" s="5" t="n">
        <v>33.6</v>
      </c>
      <c r="P906" s="5" t="n">
        <v>6.2</v>
      </c>
      <c r="Q906" s="5" t="n">
        <v>6.7</v>
      </c>
      <c r="R906" s="5" t="n">
        <v>2.3</v>
      </c>
      <c r="S906" s="5" t="n">
        <v>4.4</v>
      </c>
      <c r="T906" s="2" t="n">
        <v>17</v>
      </c>
      <c r="U906" s="2" t="inlineStr">
        <is>
          <t>low</t>
        </is>
      </c>
      <c r="V906" s="5" t="n">
        <v>0.7</v>
      </c>
      <c r="W906" s="2" t="inlineStr">
        <is>
          <t>low</t>
        </is>
      </c>
      <c r="X906" s="3" t="inlineStr">
        <is>
          <t>Negligible carbohydrate (&lt;5 g net/serving): GI has little practical meaning, glycemic load is what matters.</t>
        </is>
      </c>
      <c r="Y906" s="3" t="inlineStr">
        <is>
          <t>0% of this dish's available carbohydrate comes from ingredients with a published, measured GI; the rest uses conventional placeholders (see Ingredients sheet)</t>
        </is>
      </c>
      <c r="Z906" s="2" t="n">
        <v>0</v>
      </c>
      <c r="AA906" s="3" t="inlineStr">
        <is>
          <t>pescatarian, gluten-free, dairy-free, nut-free, low-carb, high-protein, quick</t>
        </is>
      </c>
      <c r="AB906" s="3" t="inlineStr">
        <is>
          <t>1. Stir-fry shiitake, garlic, ginger in oil; add bok choy 3 minutes.
2. Add shrimp 3 minutes.
3. Tamari, vinegar, sesame oil.</t>
        </is>
      </c>
      <c r="AC906" s="4" t="inlineStr">
        <is>
          <t>["Stir-fry shiitake, garlic, ginger in oil; add bok choy 3 minutes.", "Add shrimp 3 minutes.", "Tamari, vinegar, sesame oil."]</t>
        </is>
      </c>
    </row>
    <row r="907" ht="96" customHeight="1">
      <c r="A907" s="2" t="inlineStr">
        <is>
          <t>DB-0906</t>
        </is>
      </c>
      <c r="B907" s="3" t="inlineStr">
        <is>
          <t>Salmon Patties with Lemon Yogurt</t>
        </is>
      </c>
      <c r="C907" s="4" t="inlineStr">
        <is>
          <t>Seafood</t>
        </is>
      </c>
      <c r="D907" s="4" t="inlineStr">
        <is>
          <t>American</t>
        </is>
      </c>
      <c r="E907" s="2" t="n">
        <v>4</v>
      </c>
      <c r="F907" s="2" t="n">
        <v>10</v>
      </c>
      <c r="G907" s="2" t="n">
        <v>10</v>
      </c>
      <c r="H907" s="2" t="n">
        <v>20</v>
      </c>
      <c r="I907" s="4" t="inlineStr">
        <is>
          <t>salmon-patties-with-lemon-yogurt.jpg</t>
        </is>
      </c>
      <c r="J907" s="3" t="inlineStr">
        <is>
          <t>Salmon Patties with Lemon Yogurt, healthy food photography, plated, natural light</t>
        </is>
      </c>
      <c r="K907" s="4" t="inlineStr"/>
      <c r="L907" s="3" t="inlineStr">
        <is>
          <t>Canned salmon — 450 g (15.9 oz)
Egg, large (50 g each) — 100 g (3.5 oz)
Almond flour — 40 g (1.4 oz)
Green onions (scallions) — 25 g (0.9 oz)
Fresh dill — 6 g (0.2 oz)
Lemon (with juice &amp; zest) — 40 g (1.4 oz)
Greek yogurt, plain 2% — 120 g (4.2 oz)
Extra-virgin olive oil — 18 g (0.6 oz)
Mixed salad greens — 200 g (7.1 oz)</t>
        </is>
      </c>
      <c r="M907" s="4" t="inlineStr">
        <is>
          <t>[{"ingredient_id": "canned_salmon", "name": "Canned salmon", "grams": 450.0, "note": ""}, {"ingredient_id": "egg", "name": "Egg, large (50 g each)", "grams": 100.0, "note": ""}, {"ingredient_id": "almond_flour", "name": "Almond flour", "grams": 40.0, "note": ""}, {"ingredient_id": "green_onion", "name": "Green onions (scallions)", "grams": 25.0, "note": ""}, {"ingredient_id": "dill", "name": "Fresh dill", "grams": 6.0, "note": ""}, {"ingredient_id": "lemon", "name": "Lemon (with juice &amp; zest)", "grams": 40.0, "note": ""}, {"ingredient_id": "greek_yogurt", "name": "Greek yogurt, plain 2%", "grams": 120.0, "note": ""}, {"ingredient_id": "olive_oil", "name": "Extra-virgin olive oil", "grams": 18.0, "note": ""}, {"ingredient_id": "mixed_greens", "name": "Mixed salad greens", "grams": 200.0, "note": ""}]</t>
        </is>
      </c>
      <c r="N907" s="2" t="n">
        <v>329</v>
      </c>
      <c r="O907" s="5" t="n">
        <v>32</v>
      </c>
      <c r="P907" s="5" t="n">
        <v>19.4</v>
      </c>
      <c r="Q907" s="5" t="n">
        <v>6.7</v>
      </c>
      <c r="R907" s="5" t="n">
        <v>2.7</v>
      </c>
      <c r="S907" s="5" t="n">
        <v>4</v>
      </c>
      <c r="T907" s="2" t="n">
        <v>14</v>
      </c>
      <c r="U907" s="2" t="inlineStr">
        <is>
          <t>low</t>
        </is>
      </c>
      <c r="V907" s="5" t="n">
        <v>0.6</v>
      </c>
      <c r="W907" s="2" t="inlineStr">
        <is>
          <t>low</t>
        </is>
      </c>
      <c r="X907" s="3" t="inlineStr">
        <is>
          <t>Negligible carbohydrate (&lt;5 g net/serving): GI has little practical meaning, glycemic load is what matters.</t>
        </is>
      </c>
      <c r="Y907" s="3" t="inlineStr">
        <is>
          <t>30% of this dish's available carbohydrate comes from ingredients with a published, measured GI; the rest uses conventional placeholders (see Ingredients sheet)</t>
        </is>
      </c>
      <c r="Z907" s="2" t="n">
        <v>30</v>
      </c>
      <c r="AA907" s="3" t="inlineStr">
        <is>
          <t>pescatarian, gluten-free, low-carb, high-protein, omega-3, quick</t>
        </is>
      </c>
      <c r="AB907" s="3" t="inlineStr">
        <is>
          <t>1. Mix salmon, eggs, almond flour, green onion, dill, lemon zest; form 8 patties.
2. Pan-fry in oil 4 minutes per side.
3. Mix yogurt with lemon juice; serve over greens.</t>
        </is>
      </c>
      <c r="AC907" s="4" t="inlineStr">
        <is>
          <t>["Mix salmon, eggs, almond flour, green onion, dill, lemon zest; form 8 patties.", "Pan-fry in oil 4 minutes per side.", "Mix yogurt with lemon juice; serve over greens."]</t>
        </is>
      </c>
    </row>
    <row r="908" ht="96" customHeight="1">
      <c r="A908" s="2" t="inlineStr">
        <is>
          <t>DB-0907</t>
        </is>
      </c>
      <c r="B908" s="3" t="inlineStr">
        <is>
          <t>Mediterranean Shrimp &amp; Feta Bake</t>
        </is>
      </c>
      <c r="C908" s="4" t="inlineStr">
        <is>
          <t>Seafood</t>
        </is>
      </c>
      <c r="D908" s="4" t="inlineStr">
        <is>
          <t>Greek</t>
        </is>
      </c>
      <c r="E908" s="2" t="n">
        <v>4</v>
      </c>
      <c r="F908" s="2" t="n">
        <v>10</v>
      </c>
      <c r="G908" s="2" t="n">
        <v>25</v>
      </c>
      <c r="H908" s="2" t="n">
        <v>35</v>
      </c>
      <c r="I908" s="4" t="inlineStr">
        <is>
          <t>mediterranean-shrimp-and-feta-bake.jpg</t>
        </is>
      </c>
      <c r="J908" s="3" t="inlineStr">
        <is>
          <t>Mediterranean Shrimp &amp; Feta Bake, healthy food photography, plated, natural light</t>
        </is>
      </c>
      <c r="K908" s="4" t="inlineStr"/>
      <c r="L908" s="3" t="inlineStr">
        <is>
          <t>Shrimp, peeled — 600 g (21.2 oz)
Diced tomatoes, canned — 400 g (14.1 oz)
Feta cheese — 80 g (2.8 oz)
Garlic — 8 g (0.3 oz)
Yellow onion — 80 g (2.8 oz)
Dried oregano — 3 g (0.1 oz)
Extra-virgin olive oil — 15 g (0.5 oz)
Olives (kalamata/green) — 30 g (1.1 oz)
Fresh parsley — 6 g (0.2 oz)
Red pepper flakes — 1 g (0.0 oz)</t>
        </is>
      </c>
      <c r="M908" s="4" t="inlineStr">
        <is>
          <t>[{"ingredient_id": "shrimp", "name": "Shrimp, peeled", "grams": 600.0, "note": ""}, {"ingredient_id": "diced_tomatoes", "name": "Diced tomatoes, canned", "grams": 400.0, "note": ""}, {"ingredient_id": "feta", "name": "Feta cheese", "grams": 80.0, "note": ""}, {"ingredient_id": "garlic", "name": "Garlic", "grams": 8.0, "note": ""}, {"ingredient_id": "onion", "name": "Yellow onion", "grams": 80.0, "note": ""}, {"ingredient_id": "oregano", "name": "Dried oregano", "grams": 3.0, "note": ""}, {"ingredient_id": "olive_oil", "name": "Extra-virgin olive oil", "grams": 15.0, "note": ""}, {"ingredient_id": "olives", "name": "Olives (kalamata/green)", "grams": 30.0, "note": ""}, {"ingredient_id": "parsley", "name": "Fresh parsley", "grams": 6.0, "note": ""}, {"ingredient_id": "red_pepper_flakes", "name": "Red pepper flakes", "grams": 1.0, "note": ""}]</t>
        </is>
      </c>
      <c r="N908" s="2" t="n">
        <v>260</v>
      </c>
      <c r="O908" s="5" t="n">
        <v>34.6</v>
      </c>
      <c r="P908" s="5" t="n">
        <v>9.800000000000001</v>
      </c>
      <c r="Q908" s="5" t="n">
        <v>9.5</v>
      </c>
      <c r="R908" s="5" t="n">
        <v>2.6</v>
      </c>
      <c r="S908" s="5" t="n">
        <v>7</v>
      </c>
      <c r="T908" s="2" t="n">
        <v>25</v>
      </c>
      <c r="U908" s="2" t="inlineStr">
        <is>
          <t>low</t>
        </is>
      </c>
      <c r="V908" s="5" t="n">
        <v>1.7</v>
      </c>
      <c r="W908" s="2" t="inlineStr">
        <is>
          <t>low</t>
        </is>
      </c>
      <c r="X908" s="3" t="inlineStr"/>
      <c r="Y908" s="3" t="inlineStr">
        <is>
          <t>0% of this dish's available carbohydrate comes from ingredients with a published, measured GI; the rest uses conventional placeholders (see Ingredients sheet)</t>
        </is>
      </c>
      <c r="Z908" s="2" t="n">
        <v>0</v>
      </c>
      <c r="AA908" s="3" t="inlineStr">
        <is>
          <t>pescatarian, gluten-free, nut-free, low-carb, high-protein, one-pan</t>
        </is>
      </c>
      <c r="AB908" s="3" t="inlineStr">
        <is>
          <t>1. Sauté onion and garlic in oil; add tomatoes, oregano, olives; simmer 10 minutes.
2. Stir in shrimp; top feta.
3. Bake at 400°F 12 minutes; parsley, pepper flakes.</t>
        </is>
      </c>
      <c r="AC908" s="4" t="inlineStr">
        <is>
          <t>["Sauté onion and garlic in oil; add tomatoes, oregano, olives; simmer 10 minutes.", "Stir in shrimp; top feta.", "Bake at 400°F 12 minutes; parsley, pepper flakes."]</t>
        </is>
      </c>
    </row>
    <row r="909" ht="96" customHeight="1">
      <c r="A909" s="2" t="inlineStr">
        <is>
          <t>DB-0908</t>
        </is>
      </c>
      <c r="B909" s="3" t="inlineStr">
        <is>
          <t>Blackened Mahi-Mahi with Cilantro Lime Cauliflower Rice</t>
        </is>
      </c>
      <c r="C909" s="4" t="inlineStr">
        <is>
          <t>Seafood</t>
        </is>
      </c>
      <c r="D909" s="4" t="inlineStr">
        <is>
          <t>Caribbean</t>
        </is>
      </c>
      <c r="E909" s="2" t="n">
        <v>4</v>
      </c>
      <c r="F909" s="2" t="n">
        <v>10</v>
      </c>
      <c r="G909" s="2" t="n">
        <v>15</v>
      </c>
      <c r="H909" s="2" t="n">
        <v>25</v>
      </c>
      <c r="I909" s="4" t="inlineStr">
        <is>
          <t>blackened-mahi-mahi-with-cilantro-lime-cauliflower-rice.jpg</t>
        </is>
      </c>
      <c r="J909" s="3" t="inlineStr">
        <is>
          <t>Blackened Mahi-Mahi with Cilantro Lime Cauliflower Rice, healthy food photography, plated, natural light</t>
        </is>
      </c>
      <c r="K909" s="4" t="inlineStr"/>
      <c r="L909" s="3" t="inlineStr">
        <is>
          <t>Mahi-mahi fillet — 600 g (21.2 oz)
Smoked paprika — 4 g (0.1 oz)
Cayenne pepper — 1 g (0.0 oz)
Garlic powder — 3 g (0.1 oz)
Dried oregano — 2 g (0.1 oz)
Extra-virgin olive oil — 15 g (0.5 oz)
Cauliflower rice — 600 g (21.2 oz)
Lime — 40 g (1.4 oz)
Fresh cilantro — 12 g (0.4 oz)
Avocado — 100 g (3.5 oz)
Salt — 3 g (0.1 oz)</t>
        </is>
      </c>
      <c r="M909" s="4" t="inlineStr">
        <is>
          <t>[{"ingredient_id": "mahi_mahi", "name": "Mahi-mahi fillet", "grams": 600.0, "note": ""}, {"ingredient_id": "smoked_paprika", "name": "Smoked paprika", "grams": 4.0, "note": ""}, {"ingredient_id": "cayenne", "name": "Cayenne pepper", "grams": 1.0, "note": ""}, {"ingredient_id": "garlic_powder", "name": "Garlic powder", "grams": 3.0, "note": ""}, {"ingredient_id": "oregano", "name": "Dried oregano", "grams": 2.0, "note": ""}, {"ingredient_id": "olive_oil", "name": "Extra-virgin olive oil", "grams": 15.0, "note": ""}, {"ingredient_id": "cauliflower_rice", "name": "Cauliflower rice", "grams": 600.0, "note": ""}, {"ingredient_id": "lime", "name": "Lime", "grams": 40.0, "note": ""}, {"ingredient_id": "cilantro", "name": "Fresh cilantro", "grams": 12.0, "note": ""}, {"ingredient_id": "avocado", "name": "Avocado", "grams": 100.0, "note": ""}, {"ingredient_id": "salt", "name": "Salt", "grams": 3.0, "note": ""}]</t>
        </is>
      </c>
      <c r="N909" s="2" t="n">
        <v>249</v>
      </c>
      <c r="O909" s="5" t="n">
        <v>31.6</v>
      </c>
      <c r="P909" s="5" t="n">
        <v>9.199999999999999</v>
      </c>
      <c r="Q909" s="5" t="n">
        <v>12.4</v>
      </c>
      <c r="R909" s="5" t="n">
        <v>5.7</v>
      </c>
      <c r="S909" s="5" t="n">
        <v>6.6</v>
      </c>
      <c r="T909" s="2" t="n">
        <v>16</v>
      </c>
      <c r="U909" s="2" t="inlineStr">
        <is>
          <t>low</t>
        </is>
      </c>
      <c r="V909" s="5" t="n">
        <v>1.1</v>
      </c>
      <c r="W909" s="2" t="inlineStr">
        <is>
          <t>low</t>
        </is>
      </c>
      <c r="X909" s="3" t="inlineStr"/>
      <c r="Y909" s="3" t="inlineStr">
        <is>
          <t>0% of this dish's available carbohydrate comes from ingredients with a published, measured GI; the rest uses conventional placeholders (see Ingredients sheet)</t>
        </is>
      </c>
      <c r="Z909" s="2" t="n">
        <v>0</v>
      </c>
      <c r="AA909" s="3" t="inlineStr">
        <is>
          <t>pescatarian, gluten-free, dairy-free, nut-free, low-carb, high-protein</t>
        </is>
      </c>
      <c r="AB909" s="3" t="inlineStr">
        <is>
          <t>1. Rub fish with spices; sear in oil 4 minutes per side.
2. Sauté cauliflower rice; lime, cilantro.
3. Serve with avocado.</t>
        </is>
      </c>
      <c r="AC909" s="4" t="inlineStr">
        <is>
          <t>["Rub fish with spices; sear in oil 4 minutes per side.", "Sauté cauliflower rice; lime, cilantro.", "Serve with avocado."]</t>
        </is>
      </c>
    </row>
    <row r="910" ht="96" customHeight="1">
      <c r="A910" s="2" t="inlineStr">
        <is>
          <t>DB-0909</t>
        </is>
      </c>
      <c r="B910" s="3" t="inlineStr">
        <is>
          <t>Tuna Zucchini Fritters</t>
        </is>
      </c>
      <c r="C910" s="4" t="inlineStr">
        <is>
          <t>Seafood</t>
        </is>
      </c>
      <c r="D910" s="4" t="inlineStr">
        <is>
          <t>Mediterranean</t>
        </is>
      </c>
      <c r="E910" s="2" t="n">
        <v>3</v>
      </c>
      <c r="F910" s="2" t="n">
        <v>10</v>
      </c>
      <c r="G910" s="2" t="n">
        <v>12</v>
      </c>
      <c r="H910" s="2" t="n">
        <v>22</v>
      </c>
      <c r="I910" s="4" t="inlineStr">
        <is>
          <t>tuna-zucchini-fritters.jpg</t>
        </is>
      </c>
      <c r="J910" s="3" t="inlineStr">
        <is>
          <t>Tuna Zucchini Fritters, healthy food photography, plated, natural light</t>
        </is>
      </c>
      <c r="K910" s="4" t="inlineStr"/>
      <c r="L910" s="3" t="inlineStr">
        <is>
          <t>Tuna, canned in water — 250 g (8.8 oz)
Zucchini — 300 g (10.6 oz)
Egg, large (50 g each) — 100 g (3.5 oz)
Almond flour — 40 g (1.4 oz)
Parmesan, grated — 25 g (0.9 oz)
Green onions (scallions) — 20 g (0.7 oz)
Fresh dill — 4 g (0.1 oz)
Extra-virgin olive oil — 18 g (0.6 oz)
Greek yogurt, plain 2% — 80 g (2.8 oz)
Lemon (with juice &amp; zest) — 30 g (1.1 oz)</t>
        </is>
      </c>
      <c r="M910" s="4" t="inlineStr">
        <is>
          <t>[{"ingredient_id": "tuna_canned", "name": "Tuna, canned in water", "grams": 250.0, "note": ""}, {"ingredient_id": "zucchini", "name": "Zucchini", "grams": 300.0, "note": ""}, {"ingredient_id": "egg", "name": "Egg, large (50 g each)", "grams": 100.0, "note": ""}, {"ingredient_id": "almond_flour", "name": "Almond flour", "grams": 40.0, "note": ""}, {"ingredient_id": "parmesan", "name": "Parmesan, grated", "grams": 25.0, "note": ""}, {"ingredient_id": "green_onion", "name": "Green onions (scallions)", "grams": 20.0, "note": ""}, {"ingredient_id": "dill", "name": "Fresh dill", "grams": 4.0, "note": ""}, {"ingredient_id": "olive_oil", "name": "Extra-virgin olive oil", "grams": 18.0, "note": ""}, {"ingredient_id": "greek_yogurt", "name": "Greek yogurt, plain 2%", "grams": 80.0, "note": ""}, {"ingredient_id": "lemon", "name": "Lemon (with juice &amp; zest)", "grams": 30.0, "note": ""}]</t>
        </is>
      </c>
      <c r="N910" s="2" t="n">
        <v>354</v>
      </c>
      <c r="O910" s="5" t="n">
        <v>36</v>
      </c>
      <c r="P910" s="5" t="n">
        <v>20</v>
      </c>
      <c r="Q910" s="5" t="n">
        <v>9</v>
      </c>
      <c r="R910" s="5" t="n">
        <v>3.1</v>
      </c>
      <c r="S910" s="5" t="n">
        <v>6</v>
      </c>
      <c r="T910" s="2" t="n">
        <v>13</v>
      </c>
      <c r="U910" s="2" t="inlineStr">
        <is>
          <t>low</t>
        </is>
      </c>
      <c r="V910" s="5" t="n">
        <v>0.8</v>
      </c>
      <c r="W910" s="2" t="inlineStr">
        <is>
          <t>low</t>
        </is>
      </c>
      <c r="X910" s="3" t="inlineStr"/>
      <c r="Y910" s="3" t="inlineStr">
        <is>
          <t>18% of this dish's available carbohydrate comes from ingredients with a published, measured GI; the rest uses conventional placeholders (see Ingredients sheet)</t>
        </is>
      </c>
      <c r="Z910" s="2" t="n">
        <v>18</v>
      </c>
      <c r="AA910" s="3" t="inlineStr">
        <is>
          <t>pescatarian, gluten-free, low-carb, high-protein</t>
        </is>
      </c>
      <c r="AB910" s="3" t="inlineStr">
        <is>
          <t>1. Grate and squeeze zucchini; mix with tuna, eggs, almond flour, parmesan, green onion, dill.
2. Pan-fry spoonfuls in oil 3–4 minutes per side.
3. Serve with lemon yogurt.</t>
        </is>
      </c>
      <c r="AC910" s="4" t="inlineStr">
        <is>
          <t>["Grate and squeeze zucchini; mix with tuna, eggs, almond flour, parmesan, green onion, dill.", "Pan-fry spoonfuls in oil 3–4 minutes per side.", "Serve with lemon yogurt."]</t>
        </is>
      </c>
    </row>
    <row r="911" ht="96" customHeight="1">
      <c r="A911" s="2" t="inlineStr">
        <is>
          <t>DB-0910</t>
        </is>
      </c>
      <c r="B911" s="3" t="inlineStr">
        <is>
          <t>Shrimp Cauliflower Risotto</t>
        </is>
      </c>
      <c r="C911" s="4" t="inlineStr">
        <is>
          <t>Seafood</t>
        </is>
      </c>
      <c r="D911" s="4" t="inlineStr">
        <is>
          <t>Italian</t>
        </is>
      </c>
      <c r="E911" s="2" t="n">
        <v>4</v>
      </c>
      <c r="F911" s="2" t="n">
        <v>10</v>
      </c>
      <c r="G911" s="2" t="n">
        <v>20</v>
      </c>
      <c r="H911" s="2" t="n">
        <v>30</v>
      </c>
      <c r="I911" s="4" t="inlineStr">
        <is>
          <t>shrimp-cauliflower-risotto.jpg</t>
        </is>
      </c>
      <c r="J911" s="3" t="inlineStr">
        <is>
          <t>Shrimp Cauliflower Risotto, healthy food photography, plated, natural light</t>
        </is>
      </c>
      <c r="K911" s="4" t="inlineStr"/>
      <c r="L911" s="3" t="inlineStr">
        <is>
          <t>Shrimp, peeled — 550 g (19.4 oz)
Cauliflower rice — 700 g (24.7 oz)
Chicken broth, low sodium — 200 g (7.1 oz)
Parmesan, grated — 50 g (1.8 oz)
Cream cheese — 40 g (1.4 oz)
Garlic — 8 g (0.3 oz)
Dry white wine (cooking) — 60 g (2.1 oz)
Extra-virgin olive oil — 15 g (0.5 oz)
Lemon (with juice &amp; zest) — 30 g (1.1 oz)
Fresh parsley — 6 g (0.2 oz)
Salt — 3 g (0.1 oz)</t>
        </is>
      </c>
      <c r="M911" s="4" t="inlineStr">
        <is>
          <t>[{"ingredient_id": "shrimp", "name": "Shrimp, peeled", "grams": 550.0, "note": ""}, {"ingredient_id": "cauliflower_rice", "name": "Cauliflower rice", "grams": 700.0, "note": ""}, {"ingredient_id": "chicken_broth", "name": "Chicken broth, low sodium", "grams": 200.0, "note": ""}, {"ingredient_id": "parmesan", "name": "Parmesan, grated", "grams": 50.0, "note": ""}, {"ingredient_id": "cream_cheese", "name": "Cream cheese", "grams": 40.0, "note": ""}, {"ingredient_id": "garlic", "name": "Garlic", "grams": 8.0, "note": ""}, {"ingredient_id": "white_wine", "name": "Dry white wine (cooking)", "grams": 60.0, "note": ""}, {"ingredient_id": "olive_oil", "name": "Extra-virgin olive oil", "grams": 15.0, "note": ""}, {"ingredient_id": "lemon", "name": "Lemon (with juice &amp; zest)", "grams": 30.0, "note": ""}, {"ingredient_id": "parsley", "name": "Fresh parsley", "grams": 6.0, "note": ""}, {"ingredient_id": "salt", "name": "Salt", "grams": 3.0, "note": ""}]</t>
        </is>
      </c>
      <c r="N911" s="2" t="n">
        <v>303</v>
      </c>
      <c r="O911" s="5" t="n">
        <v>36.9</v>
      </c>
      <c r="P911" s="5" t="n">
        <v>12.1</v>
      </c>
      <c r="Q911" s="5" t="n">
        <v>11.7</v>
      </c>
      <c r="R911" s="5" t="n">
        <v>3.8</v>
      </c>
      <c r="S911" s="5" t="n">
        <v>7.9</v>
      </c>
      <c r="T911" s="2" t="n">
        <v>14</v>
      </c>
      <c r="U911" s="2" t="inlineStr">
        <is>
          <t>low</t>
        </is>
      </c>
      <c r="V911" s="5" t="n">
        <v>1.1</v>
      </c>
      <c r="W911" s="2" t="inlineStr">
        <is>
          <t>low</t>
        </is>
      </c>
      <c r="X911" s="3" t="inlineStr"/>
      <c r="Y911" s="3" t="inlineStr">
        <is>
          <t>0% of this dish's available carbohydrate comes from ingredients with a published, measured GI; the rest uses conventional placeholders (see Ingredients sheet)</t>
        </is>
      </c>
      <c r="Z911" s="2" t="n">
        <v>0</v>
      </c>
      <c r="AA911" s="3" t="inlineStr">
        <is>
          <t>pescatarian, gluten-free, nut-free, low-carb, high-protein</t>
        </is>
      </c>
      <c r="AB911" s="3" t="inlineStr">
        <is>
          <t>1. Sauté garlic in oil; add cauliflower rice, wine, broth; simmer 8 minutes.
2. Stir in parmesan and cream cheese until creamy.
3. Sauté shrimp separately; fold in; lemon, parsley.</t>
        </is>
      </c>
      <c r="AC911" s="4" t="inlineStr">
        <is>
          <t>["Sauté garlic in oil; add cauliflower rice, wine, broth; simmer 8 minutes.", "Stir in parmesan and cream cheese until creamy.", "Sauté shrimp separately; fold in; lemon, parsley."]</t>
        </is>
      </c>
    </row>
    <row r="912" ht="96" customHeight="1">
      <c r="A912" s="2" t="inlineStr">
        <is>
          <t>DB-0911</t>
        </is>
      </c>
      <c r="B912" s="3" t="inlineStr">
        <is>
          <t>Salmon Cauliflower Rice Bowl with Sriracha Mayo</t>
        </is>
      </c>
      <c r="C912" s="4" t="inlineStr">
        <is>
          <t>Seafood</t>
        </is>
      </c>
      <c r="D912" s="4" t="inlineStr">
        <is>
          <t>Japanese</t>
        </is>
      </c>
      <c r="E912" s="2" t="n">
        <v>2</v>
      </c>
      <c r="F912" s="2" t="n">
        <v>10</v>
      </c>
      <c r="G912" s="2" t="n">
        <v>12</v>
      </c>
      <c r="H912" s="2" t="n">
        <v>22</v>
      </c>
      <c r="I912" s="4" t="inlineStr">
        <is>
          <t>salmon-cauliflower-rice-bowl-with-sriracha-mayo.jpg</t>
        </is>
      </c>
      <c r="J912" s="3" t="inlineStr">
        <is>
          <t>Salmon Cauliflower Rice Bowl with Sriracha Mayo, healthy food photography, plated, natural light</t>
        </is>
      </c>
      <c r="K912" s="4" t="inlineStr"/>
      <c r="L912" s="3" t="inlineStr">
        <is>
          <t>Salmon fillet — 300 g (10.6 oz)
Cauliflower rice — 300 g (10.6 oz)
Edamame, shelled, cooked — 100 g (3.5 oz)
Cucumber — 100 g (3.5 oz)
Avocado — 70 g (2.5 oz)
Mayonnaise (avocado oil) — 15 g (0.5 oz)
Sriracha — 6 g (0.2 oz)
Tamari (gluten-free soy sauce) — 10 g (0.4 oz)
Sesame seeds — 6 g (0.2 oz)
Green onions (scallions) — 10 g (0.4 oz)</t>
        </is>
      </c>
      <c r="M912" s="4" t="inlineStr">
        <is>
          <t>[{"ingredient_id": "salmon", "name": "Salmon fillet", "grams": 300.0, "note": ""}, {"ingredient_id": "cauliflower_rice", "name": "Cauliflower rice", "grams": 300.0, "note": ""}, {"ingredient_id": "edamame", "name": "Edamame, shelled, cooked", "grams": 100.0, "note": ""}, {"ingredient_id": "cucumber", "name": "Cucumber", "grams": 100.0, "note": ""}, {"ingredient_id": "avocado", "name": "Avocado", "grams": 70.0, "note": ""}, {"ingredient_id": "mayo", "name": "Mayonnaise (avocado oil)", "grams": 15.0, "note": ""}, {"ingredient_id": "sriracha", "name": "Sriracha", "grams": 6.0, "note": ""}, {"ingredient_id": "tamari", "name": "Tamari (gluten-free soy sauce)", "grams": 10.0, "note": ""}, {"ingredient_id": "sesame_seeds", "name": "Sesame seeds", "grams": 6.0, "note": ""}, {"ingredient_id": "green_onion", "name": "Green onions (scallions)", "grams": 10.0, "note": ""}]</t>
        </is>
      </c>
      <c r="N912" s="2" t="n">
        <v>551</v>
      </c>
      <c r="O912" s="5" t="n">
        <v>41.1</v>
      </c>
      <c r="P912" s="5" t="n">
        <v>35.1</v>
      </c>
      <c r="Q912" s="5" t="n">
        <v>18.6</v>
      </c>
      <c r="R912" s="5" t="n">
        <v>8.699999999999999</v>
      </c>
      <c r="S912" s="5" t="n">
        <v>10</v>
      </c>
      <c r="T912" s="2" t="n">
        <v>17</v>
      </c>
      <c r="U912" s="2" t="inlineStr">
        <is>
          <t>low</t>
        </is>
      </c>
      <c r="V912" s="5" t="n">
        <v>1.7</v>
      </c>
      <c r="W912" s="2" t="inlineStr">
        <is>
          <t>low</t>
        </is>
      </c>
      <c r="X912" s="3" t="inlineStr"/>
      <c r="Y912" s="3" t="inlineStr">
        <is>
          <t>0% of this dish's available carbohydrate comes from ingredients with a published, measured GI; the rest uses conventional placeholders (see Ingredients sheet)</t>
        </is>
      </c>
      <c r="Z912" s="2" t="n">
        <v>0</v>
      </c>
      <c r="AA912" s="3" t="inlineStr">
        <is>
          <t>pescatarian, gluten-free, dairy-free, nut-free, low-carb, high-protein, high-fiber, omega-3</t>
        </is>
      </c>
      <c r="AB912" s="3" t="inlineStr">
        <is>
          <t>1. Roast salmon 12 minutes; flake.
2. Sauté cauliflower rice with tamari.
3. Bowl with edamame, cucumber, avocado, salmon; sriracha mayo, sesame, green onion.</t>
        </is>
      </c>
      <c r="AC912" s="4" t="inlineStr">
        <is>
          <t>["Roast salmon 12 minutes; flake.", "Sauté cauliflower rice with tamari.", "Bowl with edamame, cucumber, avocado, salmon; sriracha mayo, sesame, green onion."]</t>
        </is>
      </c>
    </row>
    <row r="913" ht="96" customHeight="1">
      <c r="A913" s="2" t="inlineStr">
        <is>
          <t>DB-0912</t>
        </is>
      </c>
      <c r="B913" s="3" t="inlineStr">
        <is>
          <t>Cod with Lemon Butter &amp; Spinach</t>
        </is>
      </c>
      <c r="C913" s="4" t="inlineStr">
        <is>
          <t>Seafood</t>
        </is>
      </c>
      <c r="D913" s="4" t="inlineStr">
        <is>
          <t>French</t>
        </is>
      </c>
      <c r="E913" s="2" t="n">
        <v>4</v>
      </c>
      <c r="F913" s="2" t="n">
        <v>5</v>
      </c>
      <c r="G913" s="2" t="n">
        <v>12</v>
      </c>
      <c r="H913" s="2" t="n">
        <v>17</v>
      </c>
      <c r="I913" s="4" t="inlineStr">
        <is>
          <t>cod-with-lemon-butter-and-spinach.jpg</t>
        </is>
      </c>
      <c r="J913" s="3" t="inlineStr">
        <is>
          <t>Cod with Lemon Butter &amp; Spinach, healthy food photography, plated, natural light</t>
        </is>
      </c>
      <c r="K913" s="4" t="inlineStr"/>
      <c r="L913" s="3" t="inlineStr">
        <is>
          <t>Cod fillet — 600 g (21.2 oz)
Butter — 15 g (0.5 oz)
Extra-virgin olive oil — 10 g (0.4 oz)
Lemon (with juice &amp; zest) — 50 g (1.8 oz)
Garlic — 6 g (0.2 oz)
Spinach — 400 g (14.1 oz)
Capers — 10 g (0.4 oz)
Salt — 3 g (0.1 oz)</t>
        </is>
      </c>
      <c r="M913" s="4" t="inlineStr">
        <is>
          <t>[{"ingredient_id": "cod", "name": "Cod fillet", "grams": 600.0, "note": ""}, {"ingredient_id": "butter", "name": "Butter", "grams": 15.0, "note": ""}, {"ingredient_id": "olive_oil", "name": "Extra-virgin olive oil", "grams": 10.0, "note": ""}, {"ingredient_id": "lemon", "name": "Lemon (with juice &amp; zest)", "grams": 50.0, "note": ""}, {"ingredient_id": "garlic", "name": "Garlic", "grams": 6.0, "note": ""}, {"ingredient_id": "spinach", "name": "Spinach", "grams": 400.0, "note": ""}, {"ingredient_id": "capers", "name": "Capers", "grams": 10.0, "note": ""}, {"ingredient_id": "salt", "name": "Salt", "grams": 3.0, "note": ""}]</t>
        </is>
      </c>
      <c r="N913" s="2" t="n">
        <v>201</v>
      </c>
      <c r="O913" s="5" t="n">
        <v>30.2</v>
      </c>
      <c r="P913" s="5" t="n">
        <v>7.1</v>
      </c>
      <c r="Q913" s="5" t="n">
        <v>5.4</v>
      </c>
      <c r="R913" s="5" t="n">
        <v>2.7</v>
      </c>
      <c r="S913" s="5" t="n">
        <v>2.7</v>
      </c>
      <c r="T913" s="2" t="n">
        <v>19</v>
      </c>
      <c r="U913" s="2" t="inlineStr">
        <is>
          <t>low</t>
        </is>
      </c>
      <c r="V913" s="5" t="n">
        <v>0.5</v>
      </c>
      <c r="W913" s="2" t="inlineStr">
        <is>
          <t>low</t>
        </is>
      </c>
      <c r="X913" s="3" t="inlineStr">
        <is>
          <t>Negligible carbohydrate (&lt;5 g net/serving): GI has little practical meaning, glycemic load is what matters.</t>
        </is>
      </c>
      <c r="Y913" s="3" t="inlineStr">
        <is>
          <t>0% of this dish's available carbohydrate comes from ingredients with a published, measured GI; the rest uses conventional placeholders (see Ingredients sheet)</t>
        </is>
      </c>
      <c r="Z913" s="2" t="n">
        <v>0</v>
      </c>
      <c r="AA913" s="3" t="inlineStr">
        <is>
          <t>pescatarian, gluten-free, nut-free, low-carb, high-protein, quick</t>
        </is>
      </c>
      <c r="AB913" s="3" t="inlineStr">
        <is>
          <t>1. Sear cod in oil 4 minutes per side; remove.
2. Melt butter with garlic, lemon, capers.
3. Wilt spinach; serve cod over spinach with sauce.</t>
        </is>
      </c>
      <c r="AC913" s="4" t="inlineStr">
        <is>
          <t>["Sear cod in oil 4 minutes per side; remove.", "Melt butter with garlic, lemon, capers.", "Wilt spinach; serve cod over spinach with sauce."]</t>
        </is>
      </c>
    </row>
    <row r="914" ht="96" customHeight="1">
      <c r="A914" s="2" t="inlineStr">
        <is>
          <t>DB-0913</t>
        </is>
      </c>
      <c r="B914" s="3" t="inlineStr">
        <is>
          <t>Garlic Shrimp Lettuce Cups with Avocado</t>
        </is>
      </c>
      <c r="C914" s="4" t="inlineStr">
        <is>
          <t>Seafood</t>
        </is>
      </c>
      <c r="D914" s="4" t="inlineStr">
        <is>
          <t>American</t>
        </is>
      </c>
      <c r="E914" s="2" t="n">
        <v>3</v>
      </c>
      <c r="F914" s="2" t="n">
        <v>8</v>
      </c>
      <c r="G914" s="2" t="n">
        <v>5</v>
      </c>
      <c r="H914" s="2" t="n">
        <v>13</v>
      </c>
      <c r="I914" s="4" t="inlineStr">
        <is>
          <t>garlic-shrimp-lettuce-cups-with-avocado.jpg</t>
        </is>
      </c>
      <c r="J914" s="3" t="inlineStr">
        <is>
          <t>Garlic Shrimp Lettuce Cups with Avocado, healthy food photography, plated, natural light</t>
        </is>
      </c>
      <c r="K914" s="4" t="inlineStr"/>
      <c r="L914" s="3" t="inlineStr">
        <is>
          <t>Shrimp, peeled — 450 g (15.9 oz)
Garlic — 8 g (0.3 oz)
Extra-virgin olive oil — 12 g (0.4 oz)
Lime — 30 g (1.1 oz)
Avocado — 100 g (3.5 oz)
Fresh cilantro — 6 g (0.2 oz)
Butter lettuce — 150 g (5.3 oz)
Red pepper flakes — 1 g (0.0 oz)</t>
        </is>
      </c>
      <c r="M914" s="4" t="inlineStr">
        <is>
          <t>[{"ingredient_id": "shrimp", "name": "Shrimp, peeled", "grams": 450.0, "note": ""}, {"ingredient_id": "garlic", "name": "Garlic", "grams": 8.0, "note": ""}, {"ingredient_id": "olive_oil", "name": "Extra-virgin olive oil", "grams": 12.0, "note": ""}, {"ingredient_id": "lime", "name": "Lime", "grams": 30.0, "note": ""}, {"ingredient_id": "avocado", "name": "Avocado", "grams": 100.0, "note": ""}, {"ingredient_id": "cilantro", "name": "Fresh cilantro", "grams": 6.0, "note": ""}, {"ingredient_id": "butter_lettuce", "name": "Butter lettuce", "grams": 150.0, "note": ""}, {"ingredient_id": "red_pepper_flakes", "name": "Red pepper flakes", "grams": 1.0, "note": ""}]</t>
        </is>
      </c>
      <c r="N914" s="2" t="n">
        <v>231</v>
      </c>
      <c r="O914" s="5" t="n">
        <v>31.7</v>
      </c>
      <c r="P914" s="5" t="n">
        <v>10</v>
      </c>
      <c r="Q914" s="5" t="n">
        <v>6.1</v>
      </c>
      <c r="R914" s="5" t="n">
        <v>3.3</v>
      </c>
      <c r="S914" s="5" t="n">
        <v>2.9</v>
      </c>
      <c r="T914" s="2" t="n">
        <v>21</v>
      </c>
      <c r="U914" s="2" t="inlineStr">
        <is>
          <t>low</t>
        </is>
      </c>
      <c r="V914" s="5" t="n">
        <v>0.6</v>
      </c>
      <c r="W914" s="2" t="inlineStr">
        <is>
          <t>low</t>
        </is>
      </c>
      <c r="X914" s="3" t="inlineStr">
        <is>
          <t>Negligible carbohydrate (&lt;5 g net/serving): GI has little practical meaning, glycemic load is what matters.</t>
        </is>
      </c>
      <c r="Y914" s="3" t="inlineStr">
        <is>
          <t>0% of this dish's available carbohydrate comes from ingredients with a published, measured GI; the rest uses conventional placeholders (see Ingredients sheet)</t>
        </is>
      </c>
      <c r="Z914" s="2" t="n">
        <v>0</v>
      </c>
      <c r="AA914" s="3" t="inlineStr">
        <is>
          <t>pescatarian, gluten-free, dairy-free, nut-free, low-carb, high-protein, quick</t>
        </is>
      </c>
      <c r="AB914" s="3" t="inlineStr">
        <is>
          <t>1. Sauté shrimp with garlic in oil 3 minutes; lime.
2. Fill lettuce cups.
3. Avocado, cilantro, pepper flakes.</t>
        </is>
      </c>
      <c r="AC914" s="4" t="inlineStr">
        <is>
          <t>["Sauté shrimp with garlic in oil 3 minutes; lime.", "Fill lettuce cups.", "Avocado, cilantro, pepper flakes."]</t>
        </is>
      </c>
    </row>
    <row r="915" ht="96" customHeight="1">
      <c r="A915" s="2" t="inlineStr">
        <is>
          <t>DB-0914</t>
        </is>
      </c>
      <c r="B915" s="3" t="inlineStr">
        <is>
          <t>Trout with Almond Green Beans &amp; Lemon</t>
        </is>
      </c>
      <c r="C915" s="4" t="inlineStr">
        <is>
          <t>Seafood</t>
        </is>
      </c>
      <c r="D915" s="4" t="inlineStr">
        <is>
          <t>French</t>
        </is>
      </c>
      <c r="E915" s="2" t="n">
        <v>4</v>
      </c>
      <c r="F915" s="2" t="n">
        <v>5</v>
      </c>
      <c r="G915" s="2" t="n">
        <v>15</v>
      </c>
      <c r="H915" s="2" t="n">
        <v>20</v>
      </c>
      <c r="I915" s="4" t="inlineStr">
        <is>
          <t>trout-with-almond-green-beans-and-lemon.jpg</t>
        </is>
      </c>
      <c r="J915" s="3" t="inlineStr">
        <is>
          <t>Trout with Almond Green Beans &amp; Lemon, healthy food photography, plated, natural light</t>
        </is>
      </c>
      <c r="K915" s="4" t="inlineStr"/>
      <c r="L915" s="3" t="inlineStr">
        <is>
          <t>Rainbow trout fillet — 600 g (21.2 oz)
Green beans — 500 g (17.6 oz)
Almonds — 40 g (1.4 oz)
Extra-virgin olive oil — 15 g (0.5 oz)
Butter — 10 g (0.4 oz)
Lemon (with juice &amp; zest) — 50 g (1.8 oz)
Garlic — 5 g (0.2 oz)
Salt — 3 g (0.1 oz)</t>
        </is>
      </c>
      <c r="M915" s="4" t="inlineStr">
        <is>
          <t>[{"ingredient_id": "trout", "name": "Rainbow trout fillet", "grams": 600.0, "note": ""}, {"ingredient_id": "green_beans", "name": "Green beans", "grams": 500.0, "note": ""}, {"ingredient_id": "almonds", "name": "Almonds", "grams": 40.0, "note": ""}, {"ingredient_id": "olive_oil", "name": "Extra-virgin olive oil", "grams": 15.0, "note": ""}, {"ingredient_id": "butter", "name": "Butter", "grams": 10.0, "note": ""}, {"ingredient_id": "lemon", "name": "Lemon (with juice &amp; zest)", "grams": 50.0, "note": ""}, {"ingredient_id": "garlic", "name": "Garlic", "grams": 5.0, "note": ""}, {"ingredient_id": "salt", "name": "Salt", "grams": 3.0, "note": ""}]</t>
        </is>
      </c>
      <c r="N915" s="2" t="n">
        <v>332</v>
      </c>
      <c r="O915" s="5" t="n">
        <v>34.6</v>
      </c>
      <c r="P915" s="5" t="n">
        <v>16.3</v>
      </c>
      <c r="Q915" s="5" t="n">
        <v>12.5</v>
      </c>
      <c r="R915" s="5" t="n">
        <v>5</v>
      </c>
      <c r="S915" s="5" t="n">
        <v>7.5</v>
      </c>
      <c r="T915" s="2" t="n">
        <v>16</v>
      </c>
      <c r="U915" s="2" t="inlineStr">
        <is>
          <t>low</t>
        </is>
      </c>
      <c r="V915" s="5" t="n">
        <v>1.2</v>
      </c>
      <c r="W915" s="2" t="inlineStr">
        <is>
          <t>low</t>
        </is>
      </c>
      <c r="X915" s="3" t="inlineStr"/>
      <c r="Y915" s="3" t="inlineStr">
        <is>
          <t>0% of this dish's available carbohydrate comes from ingredients with a published, measured GI; the rest uses conventional placeholders (see Ingredients sheet)</t>
        </is>
      </c>
      <c r="Z915" s="2" t="n">
        <v>0</v>
      </c>
      <c r="AA915" s="3" t="inlineStr">
        <is>
          <t>pescatarian, gluten-free, low-carb, high-protein, omega-3</t>
        </is>
      </c>
      <c r="AB915" s="3" t="inlineStr">
        <is>
          <t>1. Roast trout with oil and salt 12 minutes.
2. Sauté green beans with garlic; add butter and almonds.
3. Lemon.</t>
        </is>
      </c>
      <c r="AC915" s="4" t="inlineStr">
        <is>
          <t>["Roast trout with oil and salt 12 minutes.", "Sauté green beans with garlic; add butter and almonds.", "Lemon."]</t>
        </is>
      </c>
    </row>
    <row r="916" ht="96" customHeight="1">
      <c r="A916" s="2" t="inlineStr">
        <is>
          <t>DB-0915</t>
        </is>
      </c>
      <c r="B916" s="3" t="inlineStr">
        <is>
          <t>Shrimp Zoodle Alfredo (Cauliflower Sauce)</t>
        </is>
      </c>
      <c r="C916" s="4" t="inlineStr">
        <is>
          <t>Seafood</t>
        </is>
      </c>
      <c r="D916" s="4" t="inlineStr">
        <is>
          <t>Italian</t>
        </is>
      </c>
      <c r="E916" s="2" t="n">
        <v>4</v>
      </c>
      <c r="F916" s="2" t="n">
        <v>10</v>
      </c>
      <c r="G916" s="2" t="n">
        <v>20</v>
      </c>
      <c r="H916" s="2" t="n">
        <v>30</v>
      </c>
      <c r="I916" s="4" t="inlineStr">
        <is>
          <t>shrimp-zoodle-alfredo-cauliflower-sauce.jpg</t>
        </is>
      </c>
      <c r="J916" s="3" t="inlineStr">
        <is>
          <t>Shrimp Zoodle Alfredo (Cauliflower Sauce), healthy food photography, plated, natural light</t>
        </is>
      </c>
      <c r="K916" s="4" t="inlineStr"/>
      <c r="L916" s="3" t="inlineStr">
        <is>
          <t>Shrimp, peeled — 600 g (21.2 oz)
Zucchini noodles (zoodles) — 700 g (24.7 oz)
Cauliflower — 400 g (14.1 oz)
Milk, 2% — 100 g (3.5 oz)
Parmesan, grated — 50 g (1.8 oz)
Garlic — 8 g (0.3 oz)
Cream cheese — 30 g (1.1 oz)
Extra-virgin olive oil — 12 g (0.4 oz)
Ground nutmeg — 0.2 g (0.0 oz)
Salt — 3 g (0.1 oz)</t>
        </is>
      </c>
      <c r="M916" s="4" t="inlineStr">
        <is>
          <t>[{"ingredient_id": "shrimp", "name": "Shrimp, peeled", "grams": 600.0, "note": ""}, {"ingredient_id": "zucchini_noodles", "name": "Zucchini noodles (zoodles)", "grams": 700.0, "note": ""}, {"ingredient_id": "cauliflower", "name": "Cauliflower", "grams": 400.0, "note": ""}, {"ingredient_id": "milk", "name": "Milk, 2%", "grams": 100.0, "note": ""}, {"ingredient_id": "parmesan", "name": "Parmesan, grated", "grams": 50.0, "note": ""}, {"ingredient_id": "garlic", "name": "Garlic", "grams": 8.0, "note": ""}, {"ingredient_id": "cream_cheese", "name": "Cream cheese", "grams": 30.0, "note": ""}, {"ingredient_id": "olive_oil", "name": "Extra-virgin olive oil", "grams": 12.0, "note": ""}, {"ingredient_id": "nutmeg", "name": "Ground nutmeg", "grams": 0.2, "note": ""}, {"ingredient_id": "salt", "name": "Salt", "grams": 3.0, "note": ""}]</t>
        </is>
      </c>
      <c r="N916" s="2" t="n">
        <v>304</v>
      </c>
      <c r="O916" s="5" t="n">
        <v>40.2</v>
      </c>
      <c r="P916" s="5" t="n">
        <v>11.3</v>
      </c>
      <c r="Q916" s="5" t="n">
        <v>13.1</v>
      </c>
      <c r="R916" s="5" t="n">
        <v>3.8</v>
      </c>
      <c r="S916" s="5" t="n">
        <v>9.300000000000001</v>
      </c>
      <c r="T916" s="2" t="n">
        <v>16</v>
      </c>
      <c r="U916" s="2" t="inlineStr">
        <is>
          <t>low</t>
        </is>
      </c>
      <c r="V916" s="5" t="n">
        <v>1.5</v>
      </c>
      <c r="W916" s="2" t="inlineStr">
        <is>
          <t>low</t>
        </is>
      </c>
      <c r="X916" s="3" t="inlineStr"/>
      <c r="Y916" s="3" t="inlineStr">
        <is>
          <t>13% of this dish's available carbohydrate comes from ingredients with a published, measured GI; the rest uses conventional placeholders (see Ingredients sheet)</t>
        </is>
      </c>
      <c r="Z916" s="2" t="n">
        <v>13</v>
      </c>
      <c r="AA916" s="3" t="inlineStr">
        <is>
          <t>pescatarian, gluten-free, nut-free, low-carb, high-protein</t>
        </is>
      </c>
      <c r="AB916" s="3" t="inlineStr">
        <is>
          <t>1. Simmer cauliflower and garlic in milk; blend with parmesan, cream cheese, nutmeg, salt.
2. Sauté shrimp in oil; add zoodles 2 minutes.
3. Toss with sauce.</t>
        </is>
      </c>
      <c r="AC916" s="4" t="inlineStr">
        <is>
          <t>["Simmer cauliflower and garlic in milk; blend with parmesan, cream cheese, nutmeg, salt.", "Sauté shrimp in oil; add zoodles 2 minutes.", "Toss with sauce."]</t>
        </is>
      </c>
    </row>
    <row r="917" ht="96" customHeight="1">
      <c r="A917" s="2" t="inlineStr">
        <is>
          <t>DB-0916</t>
        </is>
      </c>
      <c r="B917" s="3" t="inlineStr">
        <is>
          <t>Seared Tuna Nicoise Lettuce Bowls</t>
        </is>
      </c>
      <c r="C917" s="4" t="inlineStr">
        <is>
          <t>Seafood</t>
        </is>
      </c>
      <c r="D917" s="4" t="inlineStr">
        <is>
          <t>French</t>
        </is>
      </c>
      <c r="E917" s="2" t="n">
        <v>2</v>
      </c>
      <c r="F917" s="2" t="n">
        <v>15</v>
      </c>
      <c r="G917" s="2" t="n">
        <v>8</v>
      </c>
      <c r="H917" s="2" t="n">
        <v>23</v>
      </c>
      <c r="I917" s="4" t="inlineStr">
        <is>
          <t>seared-tuna-nicoise-lettuce-bowls.jpg</t>
        </is>
      </c>
      <c r="J917" s="3" t="inlineStr">
        <is>
          <t>Seared Tuna Nicoise Lettuce Bowls, healthy food photography, plated, natural light</t>
        </is>
      </c>
      <c r="K917" s="4" t="inlineStr"/>
      <c r="L917" s="3" t="inlineStr">
        <is>
          <t>Tuna steak (ahi) — 300 g (10.6 oz)
Egg, large (50 g each) — 100 g (3.5 oz)
Green beans — 200 g (7.1 oz)
Cherry tomatoes — 150 g (5.3 oz)
Olives (kalamata/green) — 30 g (1.1 oz)
Butter lettuce — 120 g (4.2 oz)
Extra-virgin olive oil — 15 g (0.5 oz)
Dijon mustard — 6 g (0.2 oz)
Red wine vinegar — 10 g (0.4 oz)
Avocado oil — 6 g (0.2 oz)</t>
        </is>
      </c>
      <c r="M917" s="4" t="inlineStr">
        <is>
          <t>[{"ingredient_id": "tuna_steak", "name": "Tuna steak (ahi)", "grams": 300.0, "note": ""}, {"ingredient_id": "egg", "name": "Egg, large (50 g each)", "grams": 100.0, "note": ""}, {"ingredient_id": "green_beans", "name": "Green beans", "grams": 200.0, "note": ""}, {"ingredient_id": "cherry_tomato", "name": "Cherry tomatoes", "grams": 150.0, "note": ""}, {"ingredient_id": "olives", "name": "Olives (kalamata/green)", "grams": 30.0, "note": ""}, {"ingredient_id": "butter_lettuce", "name": "Butter lettuce", "grams": 120.0, "note": ""}, {"ingredient_id": "olive_oil", "name": "Extra-virgin olive oil", "grams": 15.0, "note": ""}, {"ingredient_id": "dijon", "name": "Dijon mustard", "grams": 6.0, "note": ""}, {"ingredient_id": "red_wine_vinegar", "name": "Red wine vinegar", "grams": 10.0, "note": ""}, {"ingredient_id": "avocado_oil", "name": "Avocado oil", "grams": 6.0, "note": ""}]</t>
        </is>
      </c>
      <c r="N917" s="2" t="n">
        <v>400</v>
      </c>
      <c r="O917" s="5" t="n">
        <v>45.9</v>
      </c>
      <c r="P917" s="5" t="n">
        <v>19</v>
      </c>
      <c r="Q917" s="5" t="n">
        <v>12.7</v>
      </c>
      <c r="R917" s="5" t="n">
        <v>4.8</v>
      </c>
      <c r="S917" s="5" t="n">
        <v>7.8</v>
      </c>
      <c r="T917" s="2" t="n">
        <v>14</v>
      </c>
      <c r="U917" s="2" t="inlineStr">
        <is>
          <t>low</t>
        </is>
      </c>
      <c r="V917" s="5" t="n">
        <v>1.1</v>
      </c>
      <c r="W917" s="2" t="inlineStr">
        <is>
          <t>low</t>
        </is>
      </c>
      <c r="X917" s="3" t="inlineStr"/>
      <c r="Y917" s="3" t="inlineStr">
        <is>
          <t>0% of this dish's available carbohydrate comes from ingredients with a published, measured GI; the rest uses conventional placeholders (see Ingredients sheet)</t>
        </is>
      </c>
      <c r="Z917" s="2" t="n">
        <v>0</v>
      </c>
      <c r="AA917" s="3" t="inlineStr">
        <is>
          <t>pescatarian, gluten-free, dairy-free, nut-free, low-carb, high-protein</t>
        </is>
      </c>
      <c r="AB917" s="3" t="inlineStr">
        <is>
          <t>1. Sear tuna in avocado oil 1–2 minutes per side; slice. Boil eggs; blanch beans.
2. Whisk olive oil, Dijon, vinegar.
3. Arrange lettuce, tuna, eggs, beans, tomato, olives; dressing.</t>
        </is>
      </c>
      <c r="AC917" s="4" t="inlineStr">
        <is>
          <t>["Sear tuna in avocado oil 1–2 minutes per side; slice. Boil eggs; blanch beans.", "Whisk olive oil, Dijon, vinegar.", "Arrange lettuce, tuna, eggs, beans, tomato, olives; dressing."]</t>
        </is>
      </c>
    </row>
    <row r="918" ht="96" customHeight="1">
      <c r="A918" s="2" t="inlineStr">
        <is>
          <t>DB-0917</t>
        </is>
      </c>
      <c r="B918" s="3" t="inlineStr">
        <is>
          <t>Crab Stuffed Portobellos</t>
        </is>
      </c>
      <c r="C918" s="4" t="inlineStr">
        <is>
          <t>Seafood</t>
        </is>
      </c>
      <c r="D918" s="4" t="inlineStr">
        <is>
          <t>American</t>
        </is>
      </c>
      <c r="E918" s="2" t="n">
        <v>4</v>
      </c>
      <c r="F918" s="2" t="n">
        <v>10</v>
      </c>
      <c r="G918" s="2" t="n">
        <v>20</v>
      </c>
      <c r="H918" s="2" t="n">
        <v>30</v>
      </c>
      <c r="I918" s="4" t="inlineStr">
        <is>
          <t>crab-stuffed-portobellos.jpg</t>
        </is>
      </c>
      <c r="J918" s="3" t="inlineStr">
        <is>
          <t>Crab Stuffed Portobellos, healthy food photography, plated, natural light</t>
        </is>
      </c>
      <c r="K918" s="4" t="inlineStr"/>
      <c r="L918" s="3" t="inlineStr">
        <is>
          <t>Portobello mushrooms — 500 g (17.6 oz)
Crab meat, lump — 350 g (12.3 oz)
Cream cheese — 60 g (2.1 oz)
Greek yogurt, plain 2% — 40 g (1.4 oz)
Green onions (scallions) — 20 g (0.7 oz)
Old Bay seasoning — 3 g (0.1 oz)
Parmesan, grated — 30 g (1.1 oz)
Lemon (with juice &amp; zest) — 30 g (1.1 oz)
Extra-virgin olive oil — 10 g (0.4 oz)</t>
        </is>
      </c>
      <c r="M918" s="4" t="inlineStr">
        <is>
          <t>[{"ingredient_id": "portobello", "name": "Portobello mushrooms", "grams": 500.0, "note": ""}, {"ingredient_id": "crab", "name": "Crab meat, lump", "grams": 350.0, "note": ""}, {"ingredient_id": "cream_cheese", "name": "Cream cheese", "grams": 60.0, "note": ""}, {"ingredient_id": "greek_yogurt", "name": "Greek yogurt, plain 2%", "grams": 40.0, "note": ""}, {"ingredient_id": "green_onion", "name": "Green onions (scallions)", "grams": 20.0, "note": ""}, {"ingredient_id": "old_bay", "name": "Old Bay seasoning", "grams": 3.0, "note": ""}, {"ingredient_id": "parmesan", "name": "Parmesan, grated", "grams": 30.0, "note": ""}, {"ingredient_id": "lemon", "name": "Lemon (with juice &amp; zest)", "grams": 30.0, "note": ""}, {"ingredient_id": "olive_oil", "name": "Extra-virgin olive oil", "grams": 10.0, "note": ""}]</t>
        </is>
      </c>
      <c r="N918" s="2" t="n">
        <v>220</v>
      </c>
      <c r="O918" s="5" t="n">
        <v>23.4</v>
      </c>
      <c r="P918" s="5" t="n">
        <v>11.4</v>
      </c>
      <c r="Q918" s="5" t="n">
        <v>7.6</v>
      </c>
      <c r="R918" s="5" t="n">
        <v>2.2</v>
      </c>
      <c r="S918" s="5" t="n">
        <v>5.5</v>
      </c>
      <c r="T918" s="2" t="n">
        <v>13</v>
      </c>
      <c r="U918" s="2" t="inlineStr">
        <is>
          <t>low</t>
        </is>
      </c>
      <c r="V918" s="5" t="n">
        <v>0.7</v>
      </c>
      <c r="W918" s="2" t="inlineStr">
        <is>
          <t>low</t>
        </is>
      </c>
      <c r="X918" s="3" t="inlineStr"/>
      <c r="Y918" s="3" t="inlineStr">
        <is>
          <t>7% of this dish's available carbohydrate comes from ingredients with a published, measured GI; the rest uses conventional placeholders (see Ingredients sheet)</t>
        </is>
      </c>
      <c r="Z918" s="2" t="n">
        <v>7</v>
      </c>
      <c r="AA918" s="3" t="inlineStr">
        <is>
          <t>pescatarian, gluten-free, nut-free, low-carb</t>
        </is>
      </c>
      <c r="AB918" s="3" t="inlineStr">
        <is>
          <t>1. Brush caps with oil; roast 8 minutes.
2. Mix crab, cream cheese, yogurt, green onion, Old Bay, lemon.
3. Fill; top parmesan; bake at 400°F 12 minutes.</t>
        </is>
      </c>
      <c r="AC918" s="4" t="inlineStr">
        <is>
          <t>["Brush caps with oil; roast 8 minutes.", "Mix crab, cream cheese, yogurt, green onion, Old Bay, lemon.", "Fill; top parmesan; bake at 400°F 12 minutes."]</t>
        </is>
      </c>
    </row>
    <row r="919" ht="96" customHeight="1">
      <c r="A919" s="2" t="inlineStr">
        <is>
          <t>DB-0918</t>
        </is>
      </c>
      <c r="B919" s="3" t="inlineStr">
        <is>
          <t>Salmon with Mango Avocado Salsa</t>
        </is>
      </c>
      <c r="C919" s="4" t="inlineStr">
        <is>
          <t>Seafood</t>
        </is>
      </c>
      <c r="D919" s="4" t="inlineStr">
        <is>
          <t>Caribbean</t>
        </is>
      </c>
      <c r="E919" s="2" t="n">
        <v>4</v>
      </c>
      <c r="F919" s="2" t="n">
        <v>10</v>
      </c>
      <c r="G919" s="2" t="n">
        <v>12</v>
      </c>
      <c r="H919" s="2" t="n">
        <v>22</v>
      </c>
      <c r="I919" s="4" t="inlineStr">
        <is>
          <t>salmon-with-mango-avocado-salsa.jpg</t>
        </is>
      </c>
      <c r="J919" s="3" t="inlineStr">
        <is>
          <t>Salmon with Mango Avocado Salsa, healthy food photography, plated, natural light</t>
        </is>
      </c>
      <c r="K919" s="4" t="inlineStr"/>
      <c r="L919" s="3" t="inlineStr">
        <is>
          <t>Salmon fillet — 600 g (21.2 oz)
Mango — 120 g (4.2 oz)
Avocado — 120 g (4.2 oz)
Red onion — 40 g (1.4 oz)
Jalapeño — 10 g (0.4 oz)
Fresh cilantro — 8 g (0.3 oz)
Lime juice — 20 g (0.7 oz)
Extra-virgin olive oil — 12 g (0.4 oz)
Ground cumin — 2 g (0.1 oz)
Salt — 3 g (0.1 oz)</t>
        </is>
      </c>
      <c r="M919" s="4" t="inlineStr">
        <is>
          <t>[{"ingredient_id": "salmon", "name": "Salmon fillet", "grams": 600.0, "note": ""}, {"ingredient_id": "mango", "name": "Mango", "grams": 120.0, "note": ""}, {"ingredient_id": "avocado", "name": "Avocado", "grams": 120.0, "note": ""}, {"ingredient_id": "red_onion", "name": "Red onion", "grams": 40.0, "note": ""}, {"ingredient_id": "jalapeno", "name": "Jalapeño", "grams": 10.0, "note": ""}, {"ingredient_id": "cilantro", "name": "Fresh cilantro", "grams": 8.0, "note": ""}, {"ingredient_id": "lime_juice", "name": "Lime juice", "grams": 20.0, "note": ""}, {"ingredient_id": "olive_oil", "name": "Extra-virgin olive oil", "grams": 12.0, "note": ""}, {"ingredient_id": "cumin", "name": "Ground cumin", "grams": 2.0, "note": ""}, {"ingredient_id": "salt", "name": "Salt", "grams": 3.0, "note": ""}]</t>
        </is>
      </c>
      <c r="N919" s="2" t="n">
        <v>413</v>
      </c>
      <c r="O919" s="5" t="n">
        <v>31.1</v>
      </c>
      <c r="P919" s="5" t="n">
        <v>27.3</v>
      </c>
      <c r="Q919" s="5" t="n">
        <v>8.9</v>
      </c>
      <c r="R919" s="5" t="n">
        <v>2.9</v>
      </c>
      <c r="S919" s="5" t="n">
        <v>6</v>
      </c>
      <c r="T919" s="2" t="n">
        <v>33</v>
      </c>
      <c r="U919" s="2" t="inlineStr">
        <is>
          <t>low</t>
        </is>
      </c>
      <c r="V919" s="5" t="n">
        <v>2</v>
      </c>
      <c r="W919" s="2" t="inlineStr">
        <is>
          <t>low</t>
        </is>
      </c>
      <c r="X919" s="3" t="inlineStr"/>
      <c r="Y919" s="3" t="inlineStr">
        <is>
          <t>67% of this dish's available carbohydrate comes from ingredients with a published, measured GI; the rest uses conventional placeholders (see Ingredients sheet)</t>
        </is>
      </c>
      <c r="Z919" s="2" t="n">
        <v>67</v>
      </c>
      <c r="AA919" s="3" t="inlineStr">
        <is>
          <t>pescatarian, gluten-free, dairy-free, nut-free, low-carb, high-protein, omega-3</t>
        </is>
      </c>
      <c r="AB919" s="3" t="inlineStr">
        <is>
          <t>1. Rub salmon with oil, cumin, salt; roast at 400°F 12 minutes.
2. Dice mango, avocado, onion, jalapeño; toss with cilantro, lime.
3. Top salmon with salsa.</t>
        </is>
      </c>
      <c r="AC919" s="4" t="inlineStr">
        <is>
          <t>["Rub salmon with oil, cumin, salt; roast at 400°F 12 minutes.", "Dice mango, avocado, onion, jalapeño; toss with cilantro, lime.", "Top salmon with salsa."]</t>
        </is>
      </c>
    </row>
    <row r="920" ht="96" customHeight="1">
      <c r="A920" s="2" t="inlineStr">
        <is>
          <t>DB-0919</t>
        </is>
      </c>
      <c r="B920" s="3" t="inlineStr">
        <is>
          <t>Shrimp &amp; Sausage Cauliflower Jambalaya</t>
        </is>
      </c>
      <c r="C920" s="4" t="inlineStr">
        <is>
          <t>Seafood</t>
        </is>
      </c>
      <c r="D920" s="4" t="inlineStr">
        <is>
          <t>Cajun</t>
        </is>
      </c>
      <c r="E920" s="2" t="n">
        <v>5</v>
      </c>
      <c r="F920" s="2" t="n">
        <v>15</v>
      </c>
      <c r="G920" s="2" t="n">
        <v>30</v>
      </c>
      <c r="H920" s="2" t="n">
        <v>45</v>
      </c>
      <c r="I920" s="4" t="inlineStr">
        <is>
          <t>shrimp-and-sausage-cauliflower-jambalaya.jpg</t>
        </is>
      </c>
      <c r="J920" s="3" t="inlineStr">
        <is>
          <t>Shrimp &amp; Sausage Cauliflower Jambalaya, healthy food photography, plated, natural light</t>
        </is>
      </c>
      <c r="K920" s="4" t="inlineStr"/>
      <c r="L920" s="3" t="inlineStr">
        <is>
          <t>Shrimp, peeled — 450 g (15.9 oz)
Chicken sausage — 250 g (8.8 oz)
Cauliflower rice — 700 g (24.7 oz)
Bell pepper — 150 g (5.3 oz)
Celery — 100 g (3.5 oz)
Yellow onion — 120 g (4.2 oz)
Garlic — 8 g (0.3 oz)
Diced tomatoes, canned — 400 g (14.1 oz)
Cajun seasoning — 8 g (0.3 oz)
Chicken broth, low sodium — 150 g (5.3 oz)
Extra-virgin olive oil — 12 g (0.4 oz)
Green onions (scallions) — 15 g (0.5 oz)</t>
        </is>
      </c>
      <c r="M920" s="4" t="inlineStr">
        <is>
          <t>[{"ingredient_id": "shrimp", "name": "Shrimp, peeled", "grams": 450.0, "note": ""}, {"ingredient_id": "chicken_sausage", "name": "Chicken sausage", "grams": 250.0, "note": ""}, {"ingredient_id": "cauliflower_rice", "name": "Cauliflower rice", "grams": 700.0, "note": ""}, {"ingredient_id": "bell_pepper", "name": "Bell pepper", "grams": 150.0, "note": ""}, {"ingredient_id": "celery", "name": "Celery", "grams": 100.0, "note": ""}, {"ingredient_id": "onion", "name": "Yellow onion", "grams": 120.0, "note": ""}, {"ingredient_id": "garlic", "name": "Garlic", "grams": 8.0, "note": ""}, {"ingredient_id": "diced_tomatoes", "name": "Diced tomatoes, canned", "grams": 400.0, "note": ""}, {"ingredient_id": "cajun_seasoning", "name": "Cajun seasoning", "grams": 8.0, "note": ""}, {"ingredient_id": "chicken_broth", "name": "Chicken broth, low sodium", "grams": 150.0, "note": ""}, {"ingredient_id": "olive_oil", "name": "Extra-virgin olive oil", "grams": 12.0, "note": ""}, {"ingredient_id": "green_onion", "name": "Green onions (scallions)", "grams": 15.0, "note": ""}]</t>
        </is>
      </c>
      <c r="N920" s="2" t="n">
        <v>269</v>
      </c>
      <c r="O920" s="5" t="n">
        <v>30.4</v>
      </c>
      <c r="P920" s="5" t="n">
        <v>9.300000000000001</v>
      </c>
      <c r="Q920" s="5" t="n">
        <v>18.4</v>
      </c>
      <c r="R920" s="5" t="n">
        <v>5.9</v>
      </c>
      <c r="S920" s="5" t="n">
        <v>12.5</v>
      </c>
      <c r="T920" s="2" t="n">
        <v>19</v>
      </c>
      <c r="U920" s="2" t="inlineStr">
        <is>
          <t>low</t>
        </is>
      </c>
      <c r="V920" s="5" t="n">
        <v>2.4</v>
      </c>
      <c r="W920" s="2" t="inlineStr">
        <is>
          <t>low</t>
        </is>
      </c>
      <c r="X920" s="3" t="inlineStr"/>
      <c r="Y920" s="3" t="inlineStr">
        <is>
          <t>0% of this dish's available carbohydrate comes from ingredients with a published, measured GI; the rest uses conventional placeholders (see Ingredients sheet)</t>
        </is>
      </c>
      <c r="Z920" s="2" t="n">
        <v>0</v>
      </c>
      <c r="AA920" s="3" t="inlineStr">
        <is>
          <t>gluten-free, dairy-free, nut-free, low-carb, high-protein, one-pan</t>
        </is>
      </c>
      <c r="AB920" s="3" t="inlineStr">
        <is>
          <t>1. Brown sausage; sauté onion, pepper, celery, garlic 6 minutes.
2. Add tomatoes, broth, seasoning, cauliflower rice; simmer 10 minutes.
3. Add shrimp 4 minutes; green onion.</t>
        </is>
      </c>
      <c r="AC920" s="4" t="inlineStr">
        <is>
          <t>["Brown sausage; sauté onion, pepper, celery, garlic 6 minutes.", "Add tomatoes, broth, seasoning, cauliflower rice; simmer 10 minutes.", "Add shrimp 4 minutes; green onion."]</t>
        </is>
      </c>
    </row>
    <row r="921" ht="96" customHeight="1">
      <c r="A921" s="2" t="inlineStr">
        <is>
          <t>DB-0920</t>
        </is>
      </c>
      <c r="B921" s="3" t="inlineStr">
        <is>
          <t>Halibut with Roasted Tomatoes &amp; White Beans</t>
        </is>
      </c>
      <c r="C921" s="4" t="inlineStr">
        <is>
          <t>Seafood</t>
        </is>
      </c>
      <c r="D921" s="4" t="inlineStr">
        <is>
          <t>Mediterranean</t>
        </is>
      </c>
      <c r="E921" s="2" t="n">
        <v>4</v>
      </c>
      <c r="F921" s="2" t="n">
        <v>10</v>
      </c>
      <c r="G921" s="2" t="n">
        <v>25</v>
      </c>
      <c r="H921" s="2" t="n">
        <v>35</v>
      </c>
      <c r="I921" s="4" t="inlineStr">
        <is>
          <t>halibut-with-roasted-tomatoes-and-white-beans.jpg</t>
        </is>
      </c>
      <c r="J921" s="3" t="inlineStr">
        <is>
          <t>Halibut with Roasted Tomatoes &amp; White Beans, healthy food photography, plated, natural light</t>
        </is>
      </c>
      <c r="K921" s="4" t="inlineStr"/>
      <c r="L921" s="3" t="inlineStr">
        <is>
          <t>Halibut fillet — 600 g (21.2 oz)
Cherry tomatoes — 400 g (14.1 oz)
Cannellini beans, cooked — 300 g (10.6 oz)
Garlic — 8 g (0.3 oz)
Extra-virgin olive oil — 20 g (0.7 oz)
Fresh basil — 8 g (0.3 oz)
Lemon (with juice &amp; zest) — 40 g (1.4 oz)
Red pepper flakes — 1 g (0.0 oz)
Salt — 3 g (0.1 oz)</t>
        </is>
      </c>
      <c r="M921" s="4" t="inlineStr">
        <is>
          <t>[{"ingredient_id": "halibut", "name": "Halibut fillet", "grams": 600.0, "note": ""}, {"ingredient_id": "cherry_tomato", "name": "Cherry tomatoes", "grams": 400.0, "note": ""}, {"ingredient_id": "white_beans", "name": "Cannellini beans, cooked", "grams": 300.0, "note": ""}, {"ingredient_id": "garlic", "name": "Garlic", "grams": 8.0, "note": ""}, {"ingredient_id": "olive_oil", "name": "Extra-virgin olive oil", "grams": 20.0, "note": ""}, {"ingredient_id": "basil", "name": "Fresh basil", "grams": 8.0, "note": ""}, {"ingredient_id": "lemon", "name": "Lemon (with juice &amp; zest)", "grams": 40.0, "note": ""}, {"ingredient_id": "red_pepper_flakes", "name": "Red pepper flakes", "grams": 1.0, "note": ""}, {"ingredient_id": "salt", "name": "Salt", "grams": 3.0, "note": ""}]</t>
        </is>
      </c>
      <c r="N921" s="2" t="n">
        <v>340</v>
      </c>
      <c r="O921" s="5" t="n">
        <v>43</v>
      </c>
      <c r="P921" s="5" t="n">
        <v>9</v>
      </c>
      <c r="Q921" s="5" t="n">
        <v>24.4</v>
      </c>
      <c r="R921" s="5" t="n">
        <v>6.3</v>
      </c>
      <c r="S921" s="5" t="n">
        <v>18.1</v>
      </c>
      <c r="T921" s="2" t="n">
        <v>28</v>
      </c>
      <c r="U921" s="2" t="inlineStr">
        <is>
          <t>low</t>
        </is>
      </c>
      <c r="V921" s="5" t="n">
        <v>5.1</v>
      </c>
      <c r="W921" s="2" t="inlineStr">
        <is>
          <t>low</t>
        </is>
      </c>
      <c r="X921" s="3" t="inlineStr"/>
      <c r="Y921" s="3" t="inlineStr">
        <is>
          <t>78% of this dish's available carbohydrate comes from ingredients with a published, measured GI; the rest uses conventional placeholders (see Ingredients sheet)</t>
        </is>
      </c>
      <c r="Z921" s="2" t="n">
        <v>78</v>
      </c>
      <c r="AA921" s="3" t="inlineStr">
        <is>
          <t>pescatarian, gluten-free, dairy-free, nut-free, high-protein</t>
        </is>
      </c>
      <c r="AB921" s="3" t="inlineStr">
        <is>
          <t>1. Roast tomatoes with garlic and half the oil at 425°F 15 minutes; stir in beans.
2. Sear halibut in remaining oil 4 minutes per side.
3. Serve fish over tomato-beans; basil, lemon.</t>
        </is>
      </c>
      <c r="AC921" s="4" t="inlineStr">
        <is>
          <t>["Roast tomatoes with garlic and half the oil at 425°F 15 minutes; stir in beans.", "Sear halibut in remaining oil 4 minutes per side.", "Serve fish over tomato-beans; basil, lemon."]</t>
        </is>
      </c>
    </row>
    <row r="922" ht="96" customHeight="1">
      <c r="A922" s="2" t="inlineStr">
        <is>
          <t>DB-0921</t>
        </is>
      </c>
      <c r="B922" s="3" t="inlineStr">
        <is>
          <t>Scallops with Bacon &amp; Brussels Sprouts</t>
        </is>
      </c>
      <c r="C922" s="4" t="inlineStr">
        <is>
          <t>Seafood</t>
        </is>
      </c>
      <c r="D922" s="4" t="inlineStr">
        <is>
          <t>American</t>
        </is>
      </c>
      <c r="E922" s="2" t="n">
        <v>4</v>
      </c>
      <c r="F922" s="2" t="n">
        <v>10</v>
      </c>
      <c r="G922" s="2" t="n">
        <v>20</v>
      </c>
      <c r="H922" s="2" t="n">
        <v>30</v>
      </c>
      <c r="I922" s="4" t="inlineStr">
        <is>
          <t>scallops-with-bacon-and-brussels-sprouts.jpg</t>
        </is>
      </c>
      <c r="J922" s="3" t="inlineStr">
        <is>
          <t>Scallops with Bacon &amp; Brussels Sprouts, healthy food photography, plated, natural light</t>
        </is>
      </c>
      <c r="K922" s="4" t="inlineStr"/>
      <c r="L922" s="3" t="inlineStr">
        <is>
          <t>Sea scallops — 600 g (21.2 oz)
Brussels sprouts — 500 g (17.6 oz)
Bacon — 45 g (1.6 oz)
Garlic — 6 g (0.2 oz)
Extra-virgin olive oil — 12 g (0.4 oz)
Lemon (with juice &amp; zest) — 30 g (1.1 oz)
Salt — 3 g (0.1 oz)</t>
        </is>
      </c>
      <c r="M922" s="4" t="inlineStr">
        <is>
          <t>[{"ingredient_id": "scallops", "name": "Sea scallops", "grams": 600.0, "note": ""}, {"ingredient_id": "brussels_sprouts", "name": "Brussels sprouts", "grams": 500.0, "note": ""}, {"ingredient_id": "bacon", "name": "Bacon", "grams": 45.0, "note": ""}, {"ingredient_id": "garlic", "name": "Garlic", "grams": 6.0, "note": ""}, {"ingredient_id": "olive_oil", "name": "Extra-virgin olive oil", "grams": 12.0, "note": ""}, {"ingredient_id": "lemon", "name": "Lemon (with juice &amp; zest)", "grams": 30.0, "note": ""}, {"ingredient_id": "salt", "name": "Salt", "grams": 3.0, "note": ""}]</t>
        </is>
      </c>
      <c r="N922" s="2" t="n">
        <v>278</v>
      </c>
      <c r="O922" s="5" t="n">
        <v>34.1</v>
      </c>
      <c r="P922" s="5" t="n">
        <v>9.300000000000001</v>
      </c>
      <c r="Q922" s="5" t="n">
        <v>15.6</v>
      </c>
      <c r="R922" s="5" t="n">
        <v>5</v>
      </c>
      <c r="S922" s="5" t="n">
        <v>10.6</v>
      </c>
      <c r="T922" s="2" t="n">
        <v>11</v>
      </c>
      <c r="U922" s="2" t="inlineStr">
        <is>
          <t>low</t>
        </is>
      </c>
      <c r="V922" s="5" t="n">
        <v>1.2</v>
      </c>
      <c r="W922" s="2" t="inlineStr">
        <is>
          <t>low</t>
        </is>
      </c>
      <c r="X922" s="3" t="inlineStr"/>
      <c r="Y922" s="3" t="inlineStr">
        <is>
          <t>0% of this dish's available carbohydrate comes from ingredients with a published, measured GI; the rest uses conventional placeholders (see Ingredients sheet)</t>
        </is>
      </c>
      <c r="Z922" s="2" t="n">
        <v>0</v>
      </c>
      <c r="AA922" s="3" t="inlineStr">
        <is>
          <t>gluten-free, dairy-free, nut-free, low-carb, high-protein</t>
        </is>
      </c>
      <c r="AB922" s="3" t="inlineStr">
        <is>
          <t>1. Crisp bacon; sauté shredded sprouts in the fat with garlic 8 minutes.
2. Sear scallops in oil 90 seconds per side.
3. Serve over sprouts with bacon and lemon.</t>
        </is>
      </c>
      <c r="AC922" s="4" t="inlineStr">
        <is>
          <t>["Crisp bacon; sauté shredded sprouts in the fat with garlic 8 minutes.", "Sear scallops in oil 90 seconds per side.", "Serve over sprouts with bacon and lemon."]</t>
        </is>
      </c>
    </row>
    <row r="923" ht="96" customHeight="1">
      <c r="A923" s="2" t="inlineStr">
        <is>
          <t>DB-0922</t>
        </is>
      </c>
      <c r="B923" s="3" t="inlineStr">
        <is>
          <t>Tuna &amp; Egg Salad Stuffed Peppers</t>
        </is>
      </c>
      <c r="C923" s="4" t="inlineStr">
        <is>
          <t>Seafood</t>
        </is>
      </c>
      <c r="D923" s="4" t="inlineStr">
        <is>
          <t>American</t>
        </is>
      </c>
      <c r="E923" s="2" t="n">
        <v>2</v>
      </c>
      <c r="F923" s="2" t="n">
        <v>10</v>
      </c>
      <c r="G923" s="2" t="n">
        <v>10</v>
      </c>
      <c r="H923" s="2" t="n">
        <v>20</v>
      </c>
      <c r="I923" s="4" t="inlineStr">
        <is>
          <t>tuna-and-egg-salad-stuffed-peppers.jpg</t>
        </is>
      </c>
      <c r="J923" s="3" t="inlineStr">
        <is>
          <t>Tuna &amp; Egg Salad Stuffed Peppers, healthy food photography, plated, natural light</t>
        </is>
      </c>
      <c r="K923" s="4" t="inlineStr"/>
      <c r="L923" s="3" t="inlineStr">
        <is>
          <t>Tuna, canned in water — 170 g (6.0 oz)
Egg, large (50 g each) — 100 g (3.5 oz)
Bell pepper — 300 g (10.6 oz)
Greek yogurt, plain 2% — 50 g (1.8 oz)
Dijon mustard — 8 g (0.3 oz)
Celery — 40 g (1.4 oz)
Fresh dill — 3 g (0.1 oz)
Salt — 1 g (0.0 oz)</t>
        </is>
      </c>
      <c r="M923" s="4" t="inlineStr">
        <is>
          <t>[{"ingredient_id": "tuna_canned", "name": "Tuna, canned in water", "grams": 170.0, "note": ""}, {"ingredient_id": "egg", "name": "Egg, large (50 g each)", "grams": 100.0, "note": ""}, {"ingredient_id": "bell_pepper", "name": "Bell pepper", "grams": 300.0, "note": ""}, {"ingredient_id": "greek_yogurt", "name": "Greek yogurt, plain 2%", "grams": 50.0, "note": ""}, {"ingredient_id": "dijon", "name": "Dijon mustard", "grams": 8.0, "note": ""}, {"ingredient_id": "celery", "name": "Celery", "grams": 40.0, "note": ""}, {"ingredient_id": "dill", "name": "Fresh dill", "grams": 3.0, "note": ""}, {"ingredient_id": "salt", "name": "Salt", "grams": 1.0, "note": ""}]</t>
        </is>
      </c>
      <c r="N923" s="2" t="n">
        <v>241</v>
      </c>
      <c r="O923" s="5" t="n">
        <v>32.8</v>
      </c>
      <c r="P923" s="5" t="n">
        <v>6.7</v>
      </c>
      <c r="Q923" s="5" t="n">
        <v>11.3</v>
      </c>
      <c r="R923" s="5" t="n">
        <v>3.6</v>
      </c>
      <c r="S923" s="5" t="n">
        <v>7.6</v>
      </c>
      <c r="T923" s="2" t="n">
        <v>14</v>
      </c>
      <c r="U923" s="2" t="inlineStr">
        <is>
          <t>low</t>
        </is>
      </c>
      <c r="V923" s="5" t="n">
        <v>1.1</v>
      </c>
      <c r="W923" s="2" t="inlineStr">
        <is>
          <t>low</t>
        </is>
      </c>
      <c r="X923" s="3" t="inlineStr"/>
      <c r="Y923" s="3" t="inlineStr">
        <is>
          <t>13% of this dish's available carbohydrate comes from ingredients with a published, measured GI; the rest uses conventional placeholders (see Ingredients sheet)</t>
        </is>
      </c>
      <c r="Z923" s="2" t="n">
        <v>13</v>
      </c>
      <c r="AA923" s="3" t="inlineStr">
        <is>
          <t>pescatarian, gluten-free, nut-free, low-carb, high-protein, quick</t>
        </is>
      </c>
      <c r="AB923" s="3" t="inlineStr">
        <is>
          <t>1. Hard-boil eggs; chop.
2. Mix with tuna, yogurt, Dijon, celery, dill, salt.
3. Fill halved peppers.</t>
        </is>
      </c>
      <c r="AC923" s="4" t="inlineStr">
        <is>
          <t>["Hard-boil eggs; chop.", "Mix with tuna, yogurt, Dijon, celery, dill, salt.", "Fill halved peppers."]</t>
        </is>
      </c>
    </row>
    <row r="924" ht="96" customHeight="1">
      <c r="A924" s="2" t="inlineStr">
        <is>
          <t>DB-0923</t>
        </is>
      </c>
      <c r="B924" s="3" t="inlineStr">
        <is>
          <t>Mussels with Coconut Curry Broth</t>
        </is>
      </c>
      <c r="C924" s="4" t="inlineStr">
        <is>
          <t>Seafood</t>
        </is>
      </c>
      <c r="D924" s="4" t="inlineStr">
        <is>
          <t>Thai</t>
        </is>
      </c>
      <c r="E924" s="2" t="n">
        <v>4</v>
      </c>
      <c r="F924" s="2" t="n">
        <v>10</v>
      </c>
      <c r="G924" s="2" t="n">
        <v>12</v>
      </c>
      <c r="H924" s="2" t="n">
        <v>22</v>
      </c>
      <c r="I924" s="4" t="inlineStr">
        <is>
          <t>mussels-with-coconut-curry-broth.jpg</t>
        </is>
      </c>
      <c r="J924" s="3" t="inlineStr">
        <is>
          <t>Mussels with Coconut Curry Broth, healthy food photography, plated, natural light</t>
        </is>
      </c>
      <c r="K924" s="4" t="inlineStr"/>
      <c r="L924" s="3" t="inlineStr">
        <is>
          <t>Mussels — 1200 g (42.3 oz)
Coconut milk, canned light — 300 g (10.6 oz)
Thai curry paste (red/green) — 25 g (0.9 oz)
Garlic — 8 g (0.3 oz)
Fresh ginger — 8 g (0.3 oz)
Lime juice — 20 g (0.7 oz)
Fish sauce — 10 g (0.4 oz)
Fresh cilantro — 8 g (0.3 oz)
Avocado oil — 10 g (0.4 oz)
Bok choy — 200 g (7.1 oz)</t>
        </is>
      </c>
      <c r="M924" s="4" t="inlineStr">
        <is>
          <t>[{"ingredient_id": "mussels", "name": "Mussels", "grams": 1200.0, "note": ""}, {"ingredient_id": "coconut_milk_light", "name": "Coconut milk, canned light", "grams": 300.0, "note": ""}, {"ingredient_id": "curry_paste", "name": "Thai curry paste (red/green)", "grams": 25.0, "note": ""}, {"ingredient_id": "garlic", "name": "Garlic", "grams": 8.0, "note": ""}, {"ingredient_id": "ginger", "name": "Fresh ginger", "grams": 8.0, "note": ""}, {"ingredient_id": "lime_juice", "name": "Lime juice", "grams": 20.0, "note": ""}, {"ingredient_id": "fish_sauce", "name": "Fish sauce", "grams": 10.0, "note": ""}, {"ingredient_id": "cilantro", "name": "Fresh cilantro", "grams": 8.0, "note": ""}, {"ingredient_id": "avocado_oil", "name": "Avocado oil", "grams": 10.0, "note": ""}, {"ingredient_id": "bok_choy", "name": "Bok choy", "grams": 200.0, "note": ""}]</t>
        </is>
      </c>
      <c r="N924" s="2" t="n">
        <v>351</v>
      </c>
      <c r="O924" s="5" t="n">
        <v>37.8</v>
      </c>
      <c r="P924" s="5" t="n">
        <v>14</v>
      </c>
      <c r="Q924" s="5" t="n">
        <v>16.4</v>
      </c>
      <c r="R924" s="5" t="n">
        <v>0.8</v>
      </c>
      <c r="S924" s="5" t="n">
        <v>15.6</v>
      </c>
      <c r="T924" s="2" t="n">
        <v>8</v>
      </c>
      <c r="U924" s="2" t="inlineStr">
        <is>
          <t>low</t>
        </is>
      </c>
      <c r="V924" s="5" t="n">
        <v>1.2</v>
      </c>
      <c r="W924" s="2" t="inlineStr">
        <is>
          <t>low</t>
        </is>
      </c>
      <c r="X924" s="3" t="inlineStr"/>
      <c r="Y924" s="3" t="inlineStr">
        <is>
          <t>0% of this dish's available carbohydrate comes from ingredients with a published, measured GI; the rest uses conventional placeholders (see Ingredients sheet)</t>
        </is>
      </c>
      <c r="Z924" s="2" t="n">
        <v>0</v>
      </c>
      <c r="AA924" s="3" t="inlineStr">
        <is>
          <t>pescatarian, gluten-free, dairy-free, nut-free, high-protein, quick</t>
        </is>
      </c>
      <c r="AB924" s="3" t="inlineStr">
        <is>
          <t>1. Fry curry paste, garlic, ginger in oil; add coconut milk and bok choy; simmer 3 minutes.
2. Add mussels; cover 5–6 minutes until open.
3. Lime, fish sauce, cilantro.</t>
        </is>
      </c>
      <c r="AC924" s="4" t="inlineStr">
        <is>
          <t>["Fry curry paste, garlic, ginger in oil; add coconut milk and bok choy; simmer 3 minutes.", "Add mussels; cover 5–6 minutes until open.", "Lime, fish sauce, cilantro."]</t>
        </is>
      </c>
    </row>
    <row r="925" ht="96" customHeight="1">
      <c r="A925" s="2" t="inlineStr">
        <is>
          <t>DB-0924</t>
        </is>
      </c>
      <c r="B925" s="3" t="inlineStr">
        <is>
          <t>Beef &amp; Zucchini Skillet with Tomatoes</t>
        </is>
      </c>
      <c r="C925" s="4" t="inlineStr">
        <is>
          <t>Beef, Pork &amp; Lamb</t>
        </is>
      </c>
      <c r="D925" s="4" t="inlineStr">
        <is>
          <t>American</t>
        </is>
      </c>
      <c r="E925" s="2" t="n">
        <v>4</v>
      </c>
      <c r="F925" s="2" t="n">
        <v>10</v>
      </c>
      <c r="G925" s="2" t="n">
        <v>20</v>
      </c>
      <c r="H925" s="2" t="n">
        <v>30</v>
      </c>
      <c r="I925" s="4" t="inlineStr">
        <is>
          <t>beef-and-zucchini-skillet-with-tomatoes.jpg</t>
        </is>
      </c>
      <c r="J925" s="3" t="inlineStr">
        <is>
          <t>Beef &amp; Zucchini Skillet with Tomatoes, healthy food photography, plated, natural light</t>
        </is>
      </c>
      <c r="K925" s="4" t="inlineStr"/>
      <c r="L925" s="3" t="inlineStr">
        <is>
          <t>Ground beef 90% lean — 550 g (19.4 oz)
Zucchini — 500 g (17.6 oz)
Diced tomatoes, canned — 400 g (14.1 oz)
Yellow onion — 100 g (3.5 oz)
Garlic — 8 g (0.3 oz)
Italian seasoning — 3 g (0.1 oz)
Parmesan, grated — 30 g (1.1 oz)
Extra-virgin olive oil — 10 g (0.4 oz)
Salt — 3 g (0.1 oz)</t>
        </is>
      </c>
      <c r="M925" s="4" t="inlineStr">
        <is>
          <t>[{"ingredient_id": "ground_beef", "name": "Ground beef 90% lean", "grams": 550.0, "note": ""}, {"ingredient_id": "zucchini", "name": "Zucchini", "grams": 500.0, "note": ""}, {"ingredient_id": "diced_tomatoes", "name": "Diced tomatoes, canned", "grams": 400.0, "note": ""}, {"ingredient_id": "onion", "name": "Yellow onion", "grams": 100.0, "note": ""}, {"ingredient_id": "garlic", "name": "Garlic", "grams": 8.0, "note": ""}, {"ingredient_id": "italian_seasoning", "name": "Italian seasoning", "grams": 3.0, "note": ""}, {"ingredient_id": "parmesan", "name": "Parmesan, grated", "grams": 30.0, "note": ""}, {"ingredient_id": "olive_oil", "name": "Extra-virgin olive oil", "grams": 10.0, "note": ""}, {"ingredient_id": "salt", "name": "Salt", "grams": 3.0, "note": ""}]</t>
        </is>
      </c>
      <c r="N925" s="2" t="n">
        <v>357</v>
      </c>
      <c r="O925" s="5" t="n">
        <v>33.5</v>
      </c>
      <c r="P925" s="5" t="n">
        <v>19.1</v>
      </c>
      <c r="Q925" s="5" t="n">
        <v>12.7</v>
      </c>
      <c r="R925" s="5" t="n">
        <v>3.5</v>
      </c>
      <c r="S925" s="5" t="n">
        <v>9.1</v>
      </c>
      <c r="T925" s="2" t="n">
        <v>23</v>
      </c>
      <c r="U925" s="2" t="inlineStr">
        <is>
          <t>low</t>
        </is>
      </c>
      <c r="V925" s="5" t="n">
        <v>2.1</v>
      </c>
      <c r="W925" s="2" t="inlineStr">
        <is>
          <t>low</t>
        </is>
      </c>
      <c r="X925" s="3" t="inlineStr"/>
      <c r="Y925" s="3" t="inlineStr">
        <is>
          <t>0% of this dish's available carbohydrate comes from ingredients with a published, measured GI; the rest uses conventional placeholders (see Ingredients sheet)</t>
        </is>
      </c>
      <c r="Z925" s="2" t="n">
        <v>0</v>
      </c>
      <c r="AA925" s="3" t="inlineStr">
        <is>
          <t>gluten-free, nut-free, low-carb, high-protein, one-pan, quick</t>
        </is>
      </c>
      <c r="AB925" s="3" t="inlineStr">
        <is>
          <t>1. Brown beef with onion and garlic in oil.
2. Add zucchini, tomatoes, seasoning; simmer 10 minutes.
3. Parmesan.</t>
        </is>
      </c>
      <c r="AC925" s="4" t="inlineStr">
        <is>
          <t>["Brown beef with onion and garlic in oil.", "Add zucchini, tomatoes, seasoning; simmer 10 minutes.", "Parmesan."]</t>
        </is>
      </c>
    </row>
    <row r="926" ht="96" customHeight="1">
      <c r="A926" s="2" t="inlineStr">
        <is>
          <t>DB-0925</t>
        </is>
      </c>
      <c r="B926" s="3" t="inlineStr">
        <is>
          <t>Pork Chops with Apple Cabbage Slaw</t>
        </is>
      </c>
      <c r="C926" s="4" t="inlineStr">
        <is>
          <t>Beef, Pork &amp; Lamb</t>
        </is>
      </c>
      <c r="D926" s="4" t="inlineStr">
        <is>
          <t>American</t>
        </is>
      </c>
      <c r="E926" s="2" t="n">
        <v>4</v>
      </c>
      <c r="F926" s="2" t="n">
        <v>10</v>
      </c>
      <c r="G926" s="2" t="n">
        <v>15</v>
      </c>
      <c r="H926" s="2" t="n">
        <v>25</v>
      </c>
      <c r="I926" s="4" t="inlineStr">
        <is>
          <t>pork-chops-with-apple-cabbage-slaw.jpg</t>
        </is>
      </c>
      <c r="J926" s="3" t="inlineStr">
        <is>
          <t>Pork Chops with Apple Cabbage Slaw, healthy food photography, plated, natural light</t>
        </is>
      </c>
      <c r="K926" s="4" t="inlineStr"/>
      <c r="L926" s="3" t="inlineStr">
        <is>
          <t>Pork loin chop, trimmed — 700 g (24.7 oz)
Green cabbage — 400 g (14.1 oz)
Apple — 120 g (4.2 oz)
Greek yogurt, plain 2% — 80 g (2.8 oz)
Dijon mustard — 12 g (0.4 oz)
Apple cider vinegar — 15 g (0.5 oz)
Extra-virgin olive oil — 15 g (0.5 oz)
Fresh thyme — 2 g (0.1 oz)
Salt — 3 g (0.1 oz)</t>
        </is>
      </c>
      <c r="M926" s="4" t="inlineStr">
        <is>
          <t>[{"ingredient_id": "pork_chop", "name": "Pork loin chop, trimmed", "grams": 700.0, "note": ""}, {"ingredient_id": "cabbage", "name": "Green cabbage", "grams": 400.0, "note": ""}, {"ingredient_id": "apple", "name": "Apple", "grams": 120.0, "note": ""}, {"ingredient_id": "greek_yogurt", "name": "Greek yogurt, plain 2%", "grams": 80.0, "note": ""}, {"ingredient_id": "dijon", "name": "Dijon mustard", "grams": 12.0, "note": ""}, {"ingredient_id": "apple_cider_vinegar", "name": "Apple cider vinegar", "grams": 15.0, "note": ""}, {"ingredient_id": "olive_oil", "name": "Extra-virgin olive oil", "grams": 15.0, "note": ""}, {"ingredient_id": "thyme", "name": "Fresh thyme", "grams": 2.0, "note": ""}, {"ingredient_id": "salt", "name": "Salt", "grams": 3.0, "note": ""}]</t>
        </is>
      </c>
      <c r="N926" s="2" t="n">
        <v>354</v>
      </c>
      <c r="O926" s="5" t="n">
        <v>42</v>
      </c>
      <c r="P926" s="5" t="n">
        <v>15.8</v>
      </c>
      <c r="Q926" s="5" t="n">
        <v>11.1</v>
      </c>
      <c r="R926" s="5" t="n">
        <v>3.4</v>
      </c>
      <c r="S926" s="5" t="n">
        <v>7.7</v>
      </c>
      <c r="T926" s="2" t="n">
        <v>24</v>
      </c>
      <c r="U926" s="2" t="inlineStr">
        <is>
          <t>low</t>
        </is>
      </c>
      <c r="V926" s="5" t="n">
        <v>1.9</v>
      </c>
      <c r="W926" s="2" t="inlineStr">
        <is>
          <t>low</t>
        </is>
      </c>
      <c r="X926" s="3" t="inlineStr"/>
      <c r="Y926" s="3" t="inlineStr">
        <is>
          <t>55% of this dish's available carbohydrate comes from ingredients with a published, measured GI; the rest uses conventional placeholders (see Ingredients sheet)</t>
        </is>
      </c>
      <c r="Z926" s="2" t="n">
        <v>55</v>
      </c>
      <c r="AA926" s="3" t="inlineStr">
        <is>
          <t>gluten-free, nut-free, low-carb, high-protein</t>
        </is>
      </c>
      <c r="AB926" s="3" t="inlineStr">
        <is>
          <t>1. Season chops with thyme; sear in oil 4–5 minutes per side.
2. Toss shredded cabbage and apple with yogurt, Dijon, vinegar.
3. Serve chops with slaw.</t>
        </is>
      </c>
      <c r="AC926" s="4" t="inlineStr">
        <is>
          <t>["Season chops with thyme; sear in oil 4–5 minutes per side.", "Toss shredded cabbage and apple with yogurt, Dijon, vinegar.", "Serve chops with slaw."]</t>
        </is>
      </c>
    </row>
    <row r="927" ht="96" customHeight="1">
      <c r="A927" s="2" t="inlineStr">
        <is>
          <t>DB-0926</t>
        </is>
      </c>
      <c r="B927" s="3" t="inlineStr">
        <is>
          <t>Beef Lettuce Cups with Kimchi</t>
        </is>
      </c>
      <c r="C927" s="4" t="inlineStr">
        <is>
          <t>Beef, Pork &amp; Lamb</t>
        </is>
      </c>
      <c r="D927" s="4" t="inlineStr">
        <is>
          <t>Korean</t>
        </is>
      </c>
      <c r="E927" s="2" t="n">
        <v>4</v>
      </c>
      <c r="F927" s="2" t="n">
        <v>10</v>
      </c>
      <c r="G927" s="2" t="n">
        <v>10</v>
      </c>
      <c r="H927" s="2" t="n">
        <v>20</v>
      </c>
      <c r="I927" s="4" t="inlineStr">
        <is>
          <t>beef-lettuce-cups-with-kimchi.jpg</t>
        </is>
      </c>
      <c r="J927" s="3" t="inlineStr">
        <is>
          <t>Beef Lettuce Cups with Kimchi, healthy food photography, plated, natural light</t>
        </is>
      </c>
      <c r="K927" s="4" t="inlineStr"/>
      <c r="L927" s="3" t="inlineStr">
        <is>
          <t>Ground beef 90% lean — 550 g (19.4 oz)
Garlic — 8 g (0.3 oz)
Fresh ginger — 6 g (0.2 oz)
Tamari (gluten-free soy sauce) — 30 g (1.1 oz)
Toasted sesame oil — 8 g (0.3 oz)
Gochujang (small amount) — 10 g (0.4 oz)
Kimchi — 150 g (5.3 oz)
Butter lettuce — 200 g (7.1 oz)
Green onions (scallions) — 15 g (0.5 oz)
Sesame seeds — 6 g (0.2 oz)
Avocado oil — 8 g (0.3 oz)</t>
        </is>
      </c>
      <c r="M927" s="4" t="inlineStr">
        <is>
          <t>[{"ingredient_id": "ground_beef", "name": "Ground beef 90% lean", "grams": 550.0, "note": ""}, {"ingredient_id": "garlic", "name": "Garlic", "grams": 8.0, "note": ""}, {"ingredient_id": "ginger", "name": "Fresh ginger", "grams": 6.0, "note": ""}, {"ingredient_id": "tamari", "name": "Tamari (gluten-free soy sauce)", "grams": 30.0, "note": ""}, {"ingredient_id": "sesame_oil", "name": "Toasted sesame oil", "grams": 8.0, "note": ""}, {"ingredient_id": "gochujang", "name": "Gochujang (small amount)", "grams": 10.0, "note": ""}, {"ingredient_id": "kimchi", "name": "Kimchi", "grams": 150.0, "note": ""}, {"ingredient_id": "butter_lettuce", "name": "Butter lettuce", "grams": 200.0, "note": ""}, {"ingredient_id": "green_onion", "name": "Green onions (scallions)", "grams": 15.0, "note": ""}, {"ingredient_id": "sesame_seeds", "name": "Sesame seeds", "grams": 6.0, "note": ""}, {"ingredient_id": "avocado_oil", "name": "Avocado oil", "grams": 8.0, "note": ""}]</t>
        </is>
      </c>
      <c r="N927" s="2" t="n">
        <v>313</v>
      </c>
      <c r="O927" s="5" t="n">
        <v>30</v>
      </c>
      <c r="P927" s="5" t="n">
        <v>18.8</v>
      </c>
      <c r="Q927" s="5" t="n">
        <v>5</v>
      </c>
      <c r="R927" s="5" t="n">
        <v>1.6</v>
      </c>
      <c r="S927" s="5" t="n">
        <v>3.4</v>
      </c>
      <c r="T927" s="2" t="n">
        <v>28</v>
      </c>
      <c r="U927" s="2" t="inlineStr">
        <is>
          <t>low</t>
        </is>
      </c>
      <c r="V927" s="5" t="n">
        <v>1</v>
      </c>
      <c r="W927" s="2" t="inlineStr">
        <is>
          <t>low</t>
        </is>
      </c>
      <c r="X927" s="3" t="inlineStr">
        <is>
          <t>Negligible carbohydrate (&lt;5 g net/serving): GI has little practical meaning, glycemic load is what matters.</t>
        </is>
      </c>
      <c r="Y927" s="3" t="inlineStr">
        <is>
          <t>0% of this dish's available carbohydrate comes from ingredients with a published, measured GI; the rest uses conventional placeholders (see Ingredients sheet)</t>
        </is>
      </c>
      <c r="Z927" s="2" t="n">
        <v>0</v>
      </c>
      <c r="AA927" s="3" t="inlineStr">
        <is>
          <t>dairy-free, nut-free, low-carb, high-protein, quick</t>
        </is>
      </c>
      <c r="AB927" s="3" t="inlineStr">
        <is>
          <t>1. Brown beef with garlic and ginger in oil; add tamari, gochujang, sesame oil.
2. Fill lettuce with beef and kimchi.
3. Green onion, sesame.</t>
        </is>
      </c>
      <c r="AC927" s="4" t="inlineStr">
        <is>
          <t>["Brown beef with garlic and ginger in oil; add tamari, gochujang, sesame oil.", "Fill lettuce with beef and kimchi.", "Green onion, sesame."]</t>
        </is>
      </c>
    </row>
    <row r="928" ht="96" customHeight="1">
      <c r="A928" s="2" t="inlineStr">
        <is>
          <t>DB-0927</t>
        </is>
      </c>
      <c r="B928" s="3" t="inlineStr">
        <is>
          <t>Pork Tenderloin with Green Beans &amp; Almonds</t>
        </is>
      </c>
      <c r="C928" s="4" t="inlineStr">
        <is>
          <t>Beef, Pork &amp; Lamb</t>
        </is>
      </c>
      <c r="D928" s="4" t="inlineStr">
        <is>
          <t>American</t>
        </is>
      </c>
      <c r="E928" s="2" t="n">
        <v>4</v>
      </c>
      <c r="F928" s="2" t="n">
        <v>10</v>
      </c>
      <c r="G928" s="2" t="n">
        <v>25</v>
      </c>
      <c r="H928" s="2" t="n">
        <v>35</v>
      </c>
      <c r="I928" s="4" t="inlineStr">
        <is>
          <t>pork-tenderloin-with-green-beans-and-almonds.jpg</t>
        </is>
      </c>
      <c r="J928" s="3" t="inlineStr">
        <is>
          <t>Pork Tenderloin with Green Beans &amp; Almonds, healthy food photography, plated, natural light</t>
        </is>
      </c>
      <c r="K928" s="4" t="inlineStr"/>
      <c r="L928" s="3" t="inlineStr">
        <is>
          <t>Pork tenderloin — 600 g (21.2 oz)
Green beans — 500 g (17.6 oz)
Almonds — 30 g (1.1 oz)
Garlic — 8 g (0.3 oz)
Dijon mustard — 15 g (0.5 oz)
Extra-virgin olive oil — 18 g (0.6 oz)
Fresh rosemary — 2 g (0.1 oz)
Lemon (with juice &amp; zest) — 30 g (1.1 oz)
Salt — 3 g (0.1 oz)</t>
        </is>
      </c>
      <c r="M928" s="4" t="inlineStr">
        <is>
          <t>[{"ingredient_id": "pork_tenderloin", "name": "Pork tenderloin", "grams": 600.0, "note": ""}, {"ingredient_id": "green_beans", "name": "Green beans", "grams": 500.0, "note": ""}, {"ingredient_id": "almonds", "name": "Almonds", "grams": 30.0, "note": ""}, {"ingredient_id": "garlic", "name": "Garlic", "grams": 8.0, "note": ""}, {"ingredient_id": "dijon", "name": "Dijon mustard", "grams": 15.0, "note": ""}, {"ingredient_id": "olive_oil", "name": "Extra-virgin olive oil", "grams": 18.0, "note": ""}, {"ingredient_id": "rosemary", "name": "Fresh rosemary", "grams": 2.0, "note": ""}, {"ingredient_id": "lemon", "name": "Lemon (with juice &amp; zest)", "grams": 30.0, "note": ""}, {"ingredient_id": "salt", "name": "Salt", "grams": 3.0, "note": ""}]</t>
        </is>
      </c>
      <c r="N928" s="2" t="n">
        <v>310</v>
      </c>
      <c r="O928" s="5" t="n">
        <v>35.7</v>
      </c>
      <c r="P928" s="5" t="n">
        <v>13.9</v>
      </c>
      <c r="Q928" s="5" t="n">
        <v>12</v>
      </c>
      <c r="R928" s="5" t="n">
        <v>4.7</v>
      </c>
      <c r="S928" s="5" t="n">
        <v>7.3</v>
      </c>
      <c r="T928" s="2" t="n">
        <v>17</v>
      </c>
      <c r="U928" s="2" t="inlineStr">
        <is>
          <t>low</t>
        </is>
      </c>
      <c r="V928" s="5" t="n">
        <v>1.2</v>
      </c>
      <c r="W928" s="2" t="inlineStr">
        <is>
          <t>low</t>
        </is>
      </c>
      <c r="X928" s="3" t="inlineStr"/>
      <c r="Y928" s="3" t="inlineStr">
        <is>
          <t>0% of this dish's available carbohydrate comes from ingredients with a published, measured GI; the rest uses conventional placeholders (see Ingredients sheet)</t>
        </is>
      </c>
      <c r="Z928" s="2" t="n">
        <v>0</v>
      </c>
      <c r="AA928" s="3" t="inlineStr">
        <is>
          <t>gluten-free, dairy-free, low-carb, high-protein</t>
        </is>
      </c>
      <c r="AB928" s="3" t="inlineStr">
        <is>
          <t>1. Rub pork with Dijon, garlic, rosemary, salt; roast at 425°F 18 minutes; rest.
2. Sauté green beans with garlic; add almonds and lemon.
3. Slice pork; serve.</t>
        </is>
      </c>
      <c r="AC928" s="4" t="inlineStr">
        <is>
          <t>["Rub pork with Dijon, garlic, rosemary, salt; roast at 425°F 18 minutes; rest.", "Sauté green beans with garlic; add almonds and lemon.", "Slice pork; serve."]</t>
        </is>
      </c>
    </row>
    <row r="929" ht="96" customHeight="1">
      <c r="A929" s="2" t="inlineStr">
        <is>
          <t>DB-0928</t>
        </is>
      </c>
      <c r="B929" s="3" t="inlineStr">
        <is>
          <t>Beef Chili-Stuffed Bell Peppers</t>
        </is>
      </c>
      <c r="C929" s="4" t="inlineStr">
        <is>
          <t>Beef, Pork &amp; Lamb</t>
        </is>
      </c>
      <c r="D929" s="4" t="inlineStr">
        <is>
          <t>Tex-Mex</t>
        </is>
      </c>
      <c r="E929" s="2" t="n">
        <v>4</v>
      </c>
      <c r="F929" s="2" t="n">
        <v>15</v>
      </c>
      <c r="G929" s="2" t="n">
        <v>35</v>
      </c>
      <c r="H929" s="2" t="n">
        <v>50</v>
      </c>
      <c r="I929" s="4" t="inlineStr">
        <is>
          <t>beef-chili-stuffed-bell-peppers.jpg</t>
        </is>
      </c>
      <c r="J929" s="3" t="inlineStr">
        <is>
          <t>Beef Chili-Stuffed Bell Peppers, healthy food photography, plated, natural light</t>
        </is>
      </c>
      <c r="K929" s="4" t="inlineStr"/>
      <c r="L929" s="3" t="inlineStr">
        <is>
          <t>Bell pepper — 600 g (21.2 oz)
Ground beef 90% lean — 500 g (17.6 oz)
Kidney beans, cooked — 200 g (7.1 oz)
Diced tomatoes, canned — 300 g (10.6 oz)
Yellow onion — 80 g (2.8 oz)
Chili powder — 8 g (0.3 oz)
Ground cumin — 3 g (0.1 oz)
Cheddar cheese — 80 g (2.8 oz)
Greek yogurt, plain 2% — 60 g (2.1 oz)
Extra-virgin olive oil — 10 g (0.4 oz)</t>
        </is>
      </c>
      <c r="M929" s="4" t="inlineStr">
        <is>
          <t>[{"ingredient_id": "bell_pepper", "name": "Bell pepper", "grams": 600.0, "note": ""}, {"ingredient_id": "ground_beef", "name": "Ground beef 90% lean", "grams": 500.0, "note": ""}, {"ingredient_id": "kidney_beans", "name": "Kidney beans, cooked", "grams": 200.0, "note": ""}, {"ingredient_id": "diced_tomatoes", "name": "Diced tomatoes, canned", "grams": 300.0, "note": ""}, {"ingredient_id": "onion", "name": "Yellow onion", "grams": 80.0, "note": ""}, {"ingredient_id": "chili_powder", "name": "Chili powder", "grams": 8.0, "note": ""}, {"ingredient_id": "cumin", "name": "Ground cumin", "grams": 3.0, "note": ""}, {"ingredient_id": "cheddar", "name": "Cheddar cheese", "grams": 80.0, "note": ""}, {"ingredient_id": "greek_yogurt", "name": "Greek yogurt, plain 2%", "grams": 60.0, "note": ""}, {"ingredient_id": "olive_oil", "name": "Extra-virgin olive oil", "grams": 10.0, "note": ""}]</t>
        </is>
      </c>
      <c r="N929" s="2" t="n">
        <v>478</v>
      </c>
      <c r="O929" s="5" t="n">
        <v>38.5</v>
      </c>
      <c r="P929" s="5" t="n">
        <v>23.2</v>
      </c>
      <c r="Q929" s="5" t="n">
        <v>28.2</v>
      </c>
      <c r="R929" s="5" t="n">
        <v>8.6</v>
      </c>
      <c r="S929" s="5" t="n">
        <v>19.6</v>
      </c>
      <c r="T929" s="2" t="n">
        <v>25</v>
      </c>
      <c r="U929" s="2" t="inlineStr">
        <is>
          <t>low</t>
        </is>
      </c>
      <c r="V929" s="5" t="n">
        <v>4.9</v>
      </c>
      <c r="W929" s="2" t="inlineStr">
        <is>
          <t>low</t>
        </is>
      </c>
      <c r="X929" s="3" t="inlineStr"/>
      <c r="Y929" s="3" t="inlineStr">
        <is>
          <t>45% of this dish's available carbohydrate comes from ingredients with a published, measured GI; the rest uses conventional placeholders (see Ingredients sheet)</t>
        </is>
      </c>
      <c r="Z929" s="2" t="n">
        <v>45</v>
      </c>
      <c r="AA929" s="3" t="inlineStr">
        <is>
          <t>gluten-free, nut-free, high-protein, high-fiber</t>
        </is>
      </c>
      <c r="AB929" s="3" t="inlineStr">
        <is>
          <t>1. Halve peppers; roast 10 minutes.
2. Brown beef with onion and spices; add beans, tomatoes; simmer 8 minutes.
3. Fill; top cheddar; bake at 400°F 18 minutes; yogurt.</t>
        </is>
      </c>
      <c r="AC929" s="4" t="inlineStr">
        <is>
          <t>["Halve peppers; roast 10 minutes.", "Brown beef with onion and spices; add beans, tomatoes; simmer 8 minutes.", "Fill; top cheddar; bake at 400°F 18 minutes; yogurt."]</t>
        </is>
      </c>
    </row>
    <row r="930" ht="96" customHeight="1">
      <c r="A930" s="2" t="inlineStr">
        <is>
          <t>DB-0929</t>
        </is>
      </c>
      <c r="B930" s="3" t="inlineStr">
        <is>
          <t>Pork &amp; Zucchini Stir-Fry with Basil</t>
        </is>
      </c>
      <c r="C930" s="4" t="inlineStr">
        <is>
          <t>Beef, Pork &amp; Lamb</t>
        </is>
      </c>
      <c r="D930" s="4" t="inlineStr">
        <is>
          <t>Thai</t>
        </is>
      </c>
      <c r="E930" s="2" t="n">
        <v>4</v>
      </c>
      <c r="F930" s="2" t="n">
        <v>10</v>
      </c>
      <c r="G930" s="2" t="n">
        <v>12</v>
      </c>
      <c r="H930" s="2" t="n">
        <v>22</v>
      </c>
      <c r="I930" s="4" t="inlineStr">
        <is>
          <t>pork-and-zucchini-stir-fry-with-basil.jpg</t>
        </is>
      </c>
      <c r="J930" s="3" t="inlineStr">
        <is>
          <t>Pork &amp; Zucchini Stir-Fry with Basil, healthy food photography, plated, natural light</t>
        </is>
      </c>
      <c r="K930" s="4" t="inlineStr"/>
      <c r="L930" s="3" t="inlineStr">
        <is>
          <t>Ground pork, lean — 500 g (17.6 oz)
Zucchini — 400 g (14.1 oz)
Garlic — 8 g (0.3 oz)
Jalapeño — 10 g (0.4 oz)
Fish sauce — 15 g (0.5 oz)
Tamari (gluten-free soy sauce) — 15 g (0.5 oz)
Fresh basil — 15 g (0.5 oz)
Avocado oil — 10 g (0.4 oz)
Monk fruit/erythritol sweetener — 3 g (0.1 oz)</t>
        </is>
      </c>
      <c r="M930" s="4" t="inlineStr">
        <is>
          <t>[{"ingredient_id": "ground_pork", "name": "Ground pork, lean", "grams": 500.0, "note": ""}, {"ingredient_id": "zucchini", "name": "Zucchini", "grams": 400.0, "note": ""}, {"ingredient_id": "garlic", "name": "Garlic", "grams": 8.0, "note": ""}, {"ingredient_id": "jalapeno", "name": "Jalapeño", "grams": 10.0, "note": ""}, {"ingredient_id": "fish_sauce", "name": "Fish sauce", "grams": 15.0, "note": ""}, {"ingredient_id": "tamari", "name": "Tamari (gluten-free soy sauce)", "grams": 15.0, "note": ""}, {"ingredient_id": "basil", "name": "Fresh basil", "grams": 15.0, "note": ""}, {"ingredient_id": "avocado_oil", "name": "Avocado oil", "grams": 10.0, "note": ""}, {"ingredient_id": "monk_fruit_sweetener", "name": "Monk fruit/erythritol sweetener", "grams": 3.0, "note": ""}]</t>
        </is>
      </c>
      <c r="N930" s="2" t="n">
        <v>278</v>
      </c>
      <c r="O930" s="5" t="n">
        <v>25.8</v>
      </c>
      <c r="P930" s="5" t="n">
        <v>17.8</v>
      </c>
      <c r="Q930" s="5" t="n">
        <v>4.4</v>
      </c>
      <c r="R930" s="5" t="n">
        <v>1.2</v>
      </c>
      <c r="S930" s="5" t="n">
        <v>3.2</v>
      </c>
      <c r="T930" s="2" t="n">
        <v>17</v>
      </c>
      <c r="U930" s="2" t="inlineStr">
        <is>
          <t>low</t>
        </is>
      </c>
      <c r="V930" s="5" t="n">
        <v>0.5</v>
      </c>
      <c r="W930" s="2" t="inlineStr">
        <is>
          <t>low</t>
        </is>
      </c>
      <c r="X930" s="3" t="inlineStr">
        <is>
          <t>Negligible carbohydrate (&lt;5 g net/serving): GI has little practical meaning, glycemic load is what matters.</t>
        </is>
      </c>
      <c r="Y930" s="3" t="inlineStr">
        <is>
          <t>0% of this dish's available carbohydrate comes from ingredients with a published, measured GI; the rest uses conventional placeholders (see Ingredients sheet)</t>
        </is>
      </c>
      <c r="Z930" s="2" t="n">
        <v>0</v>
      </c>
      <c r="AA930" s="3" t="inlineStr">
        <is>
          <t>gluten-free, dairy-free, nut-free, low-carb, high-protein, quick</t>
        </is>
      </c>
      <c r="AB930" s="3" t="inlineStr">
        <is>
          <t>1. Brown pork with garlic and jalapeño.
2. Add zucchini 3 minutes; fish sauce, tamari, sweetener.
3. Basil off heat.</t>
        </is>
      </c>
      <c r="AC930" s="4" t="inlineStr">
        <is>
          <t>["Brown pork with garlic and jalapeño.", "Add zucchini 3 minutes; fish sauce, tamari, sweetener.", "Basil off heat."]</t>
        </is>
      </c>
    </row>
    <row r="931" ht="96" customHeight="1">
      <c r="A931" s="2" t="inlineStr">
        <is>
          <t>DB-0930</t>
        </is>
      </c>
      <c r="B931" s="3" t="inlineStr">
        <is>
          <t>Beef &amp; Cauliflower Rice Burrito Bowls</t>
        </is>
      </c>
      <c r="C931" s="4" t="inlineStr">
        <is>
          <t>Beef, Pork &amp; Lamb</t>
        </is>
      </c>
      <c r="D931" s="4" t="inlineStr">
        <is>
          <t>Tex-Mex</t>
        </is>
      </c>
      <c r="E931" s="2" t="n">
        <v>4</v>
      </c>
      <c r="F931" s="2" t="n">
        <v>10</v>
      </c>
      <c r="G931" s="2" t="n">
        <v>15</v>
      </c>
      <c r="H931" s="2" t="n">
        <v>25</v>
      </c>
      <c r="I931" s="4" t="inlineStr">
        <is>
          <t>beef-and-cauliflower-rice-burrito-bowls.jpg</t>
        </is>
      </c>
      <c r="J931" s="3" t="inlineStr">
        <is>
          <t>Beef &amp; Cauliflower Rice Burrito Bowls, healthy food photography, plated, natural light</t>
        </is>
      </c>
      <c r="K931" s="4" t="inlineStr"/>
      <c r="L931" s="3" t="inlineStr">
        <is>
          <t>Ground beef 90% lean — 550 g (19.4 oz)
Taco seasoning, low sodium — 10 g (0.4 oz)
Cauliflower rice — 500 g (17.6 oz)
Black beans, cooked — 250 g (8.8 oz)
Pico de gallo — 200 g (7.1 oz)
Avocado — 120 g (4.2 oz)
Cheddar cheese — 60 g (2.1 oz)
Romaine lettuce — 150 g (5.3 oz)
Lime — 30 g (1.1 oz)
Greek yogurt, plain 2% — 60 g (2.1 oz)
Extra-virgin olive oil — 8 g (0.3 oz)</t>
        </is>
      </c>
      <c r="M931" s="4" t="inlineStr">
        <is>
          <t>[{"ingredient_id": "ground_beef", "name": "Ground beef 90% lean", "grams": 550.0, "note": ""}, {"ingredient_id": "taco_seasoning", "name": "Taco seasoning, low sodium", "grams": 10.0, "note": ""}, {"ingredient_id": "cauliflower_rice", "name": "Cauliflower rice", "grams": 500.0, "note": ""}, {"ingredient_id": "black_beans", "name": "Black beans, cooked", "grams": 250.0, "note": ""}, {"ingredient_id": "pico_de_gallo", "name": "Pico de gallo", "grams": 200.0, "note": ""}, {"ingredient_id": "avocado", "name": "Avocado", "grams": 120.0, "note": ""}, {"ingredient_id": "cheddar", "name": "Cheddar cheese", "grams": 60.0, "note": ""}, {"ingredient_id": "romaine", "name": "Romaine lettuce", "grams": 150.0, "note": ""}, {"ingredient_id": "lime", "name": "Lime", "grams": 30.0, "note": ""}, {"ingredient_id": "greek_yogurt", "name": "Greek yogurt, plain 2%", "grams": 60.0, "note": ""}, {"ingredient_id": "olive_oil", "name": "Extra-virgin olive oil", "grams": 8.0, "note": ""}]</t>
        </is>
      </c>
      <c r="N931" s="2" t="n">
        <v>519</v>
      </c>
      <c r="O931" s="5" t="n">
        <v>42.2</v>
      </c>
      <c r="P931" s="5" t="n">
        <v>26.6</v>
      </c>
      <c r="Q931" s="5" t="n">
        <v>30.1</v>
      </c>
      <c r="R931" s="5" t="n">
        <v>12.2</v>
      </c>
      <c r="S931" s="5" t="n">
        <v>17.9</v>
      </c>
      <c r="T931" s="2" t="n">
        <v>23</v>
      </c>
      <c r="U931" s="2" t="inlineStr">
        <is>
          <t>low</t>
        </is>
      </c>
      <c r="V931" s="5" t="n">
        <v>4.1</v>
      </c>
      <c r="W931" s="2" t="inlineStr">
        <is>
          <t>low</t>
        </is>
      </c>
      <c r="X931" s="3" t="inlineStr"/>
      <c r="Y931" s="3" t="inlineStr">
        <is>
          <t>56% of this dish's available carbohydrate comes from ingredients with a published, measured GI; the rest uses conventional placeholders (see Ingredients sheet)</t>
        </is>
      </c>
      <c r="Z931" s="2" t="n">
        <v>56</v>
      </c>
      <c r="AA931" s="3" t="inlineStr">
        <is>
          <t>gluten-free, nut-free, high-protein, high-fiber, meal-prep</t>
        </is>
      </c>
      <c r="AB931" s="3" t="inlineStr">
        <is>
          <t>1. Brown beef with seasoning in oil.
2. Sauté cauliflower rice with lime.
3. Bowl with beans, pico, avocado, cheddar, romaine, yogurt.</t>
        </is>
      </c>
      <c r="AC931" s="4" t="inlineStr">
        <is>
          <t>["Brown beef with seasoning in oil.", "Sauté cauliflower rice with lime.", "Bowl with beans, pico, avocado, cheddar, romaine, yogurt."]</t>
        </is>
      </c>
    </row>
    <row r="932" ht="96" customHeight="1">
      <c r="A932" s="2" t="inlineStr">
        <is>
          <t>DB-0931</t>
        </is>
      </c>
      <c r="B932" s="3" t="inlineStr">
        <is>
          <t>Lamb Meatballs with Cucumber Yogurt &amp; Zoodles</t>
        </is>
      </c>
      <c r="C932" s="4" t="inlineStr">
        <is>
          <t>Beef, Pork &amp; Lamb</t>
        </is>
      </c>
      <c r="D932" s="4" t="inlineStr">
        <is>
          <t>Greek</t>
        </is>
      </c>
      <c r="E932" s="2" t="n">
        <v>4</v>
      </c>
      <c r="F932" s="2" t="n">
        <v>15</v>
      </c>
      <c r="G932" s="2" t="n">
        <v>20</v>
      </c>
      <c r="H932" s="2" t="n">
        <v>35</v>
      </c>
      <c r="I932" s="4" t="inlineStr">
        <is>
          <t>lamb-meatballs-with-cucumber-yogurt-and-zoodles.jpg</t>
        </is>
      </c>
      <c r="J932" s="3" t="inlineStr">
        <is>
          <t>Lamb Meatballs with Cucumber Yogurt &amp; Zoodles, healthy food photography, plated, natural light</t>
        </is>
      </c>
      <c r="K932" s="4" t="inlineStr"/>
      <c r="L932" s="3" t="inlineStr">
        <is>
          <t>Ground lamb — 600 g (21.2 oz)
Garlic — 6 g (0.2 oz)
Dried oregano — 3 g (0.1 oz)
Fresh mint — 6 g (0.2 oz)
Egg, large (50 g each) — 50 g (1.8 oz)
Almond flour — 30 g (1.1 oz)
Zucchini noodles (zoodles) — 500 g (17.6 oz)
Greek yogurt, plain 2% — 150 g (5.3 oz)
Cucumber — 100 g (3.5 oz)
Fresh dill — 4 g (0.1 oz)
Extra-virgin olive oil — 12 g (0.4 oz)
Lemon (with juice &amp; zest) — 30 g (1.1 oz)
Salt — 3 g (0.1 oz)</t>
        </is>
      </c>
      <c r="M932" s="4" t="inlineStr">
        <is>
          <t>[{"ingredient_id": "ground_lamb", "name": "Ground lamb", "grams": 600.0, "note": ""}, {"ingredient_id": "garlic", "name": "Garlic", "grams": 6.0, "note": ""}, {"ingredient_id": "oregano", "name": "Dried oregano", "grams": 3.0, "note": ""}, {"ingredient_id": "mint", "name": "Fresh mint", "grams": 6.0, "note": ""}, {"ingredient_id": "egg", "name": "Egg, large (50 g each)", "grams": 50.0, "note": ""}, {"ingredient_id": "almond_flour", "name": "Almond flour", "grams": 30.0, "note": ""}, {"ingredient_id": "zucchini_noodles", "name": "Zucchini noodles (zoodles)", "grams": 500.0, "note": ""}, {"ingredient_id": "greek_yogurt", "name": "Greek yogurt, plain 2%", "grams": 150.0, "note": ""}, {"ingredient_id": "cucumber", "name": "Cucumber", "grams": 100.0, "note": ""}, {"ingredient_id": "dill", "name": "Fresh dill", "grams": 4.0, "note": ""}, {"ingredient_id": "olive_oil", "name": "Extra-virgin olive oil", "grams": 12.0, "note": ""}, {"ingredient_id": "lemon", "name": "Lemon (with juice &amp; zest)", "grams": 30.0, "note": ""}, {"ingredient_id": "salt", "name": "Salt", "grams": 3.0, "note": ""}]</t>
        </is>
      </c>
      <c r="N932" s="2" t="n">
        <v>572</v>
      </c>
      <c r="O932" s="5" t="n">
        <v>34.4</v>
      </c>
      <c r="P932" s="5" t="n">
        <v>43.7</v>
      </c>
      <c r="Q932" s="5" t="n">
        <v>9.800000000000001</v>
      </c>
      <c r="R932" s="5" t="n">
        <v>3</v>
      </c>
      <c r="S932" s="5" t="n">
        <v>6.9</v>
      </c>
      <c r="T932" s="2" t="n">
        <v>15</v>
      </c>
      <c r="U932" s="2" t="inlineStr">
        <is>
          <t>low</t>
        </is>
      </c>
      <c r="V932" s="5" t="n">
        <v>1</v>
      </c>
      <c r="W932" s="2" t="inlineStr">
        <is>
          <t>low</t>
        </is>
      </c>
      <c r="X932" s="3" t="inlineStr"/>
      <c r="Y932" s="3" t="inlineStr">
        <is>
          <t>22% of this dish's available carbohydrate comes from ingredients with a published, measured GI; the rest uses conventional placeholders (see Ingredients sheet)</t>
        </is>
      </c>
      <c r="Z932" s="2" t="n">
        <v>22</v>
      </c>
      <c r="AA932" s="3" t="inlineStr">
        <is>
          <t>gluten-free, low-carb, high-protein</t>
        </is>
      </c>
      <c r="AB932" s="3" t="inlineStr">
        <is>
          <t>1. Mix lamb, garlic, oregano, mint, egg, almond flour, salt; form meatballs; bake at 400°F 18 minutes.
2. Sauté zoodles in oil.
3. Serve with cucumber-dill yogurt and lemon.</t>
        </is>
      </c>
      <c r="AC932" s="4" t="inlineStr">
        <is>
          <t>["Mix lamb, garlic, oregano, mint, egg, almond flour, salt; form meatballs; bake at 400°F 18 minutes.", "Sauté zoodles in oil.", "Serve with cucumber-dill yogurt and lemon."]</t>
        </is>
      </c>
    </row>
    <row r="933" ht="96" customHeight="1">
      <c r="A933" s="2" t="inlineStr">
        <is>
          <t>DB-0932</t>
        </is>
      </c>
      <c r="B933" s="3" t="inlineStr">
        <is>
          <t>Pork Chops with Mushroom Gravy (Yogurt)</t>
        </is>
      </c>
      <c r="C933" s="4" t="inlineStr">
        <is>
          <t>Beef, Pork &amp; Lamb</t>
        </is>
      </c>
      <c r="D933" s="4" t="inlineStr">
        <is>
          <t>American</t>
        </is>
      </c>
      <c r="E933" s="2" t="n">
        <v>4</v>
      </c>
      <c r="F933" s="2" t="n">
        <v>10</v>
      </c>
      <c r="G933" s="2" t="n">
        <v>25</v>
      </c>
      <c r="H933" s="2" t="n">
        <v>35</v>
      </c>
      <c r="I933" s="4" t="inlineStr">
        <is>
          <t>pork-chops-with-mushroom-gravy-yogurt.jpg</t>
        </is>
      </c>
      <c r="J933" s="3" t="inlineStr">
        <is>
          <t>Pork Chops with Mushroom Gravy (Yogurt), healthy food photography, plated, natural light</t>
        </is>
      </c>
      <c r="K933" s="4" t="inlineStr"/>
      <c r="L933" s="3" t="inlineStr">
        <is>
          <t>Pork loin chop, trimmed — 700 g (24.7 oz)
Mushrooms (cremini/white) — 300 g (10.6 oz)
Yellow onion — 80 g (2.8 oz)
Garlic — 6 g (0.2 oz)
Chicken broth, low sodium — 200 g (7.1 oz)
Greek yogurt, plain 2% — 100 g (3.5 oz)
Dijon mustard — 8 g (0.3 oz)
Fresh thyme — 2 g (0.1 oz)
Extra-virgin olive oil — 15 g (0.5 oz)
Cauliflower — 700 g (24.7 oz)
Salt — 3 g (0.1 oz)</t>
        </is>
      </c>
      <c r="M933" s="4" t="inlineStr">
        <is>
          <t>[{"ingredient_id": "pork_chop", "name": "Pork loin chop, trimmed", "grams": 700.0, "note": ""}, {"ingredient_id": "mushrooms", "name": "Mushrooms (cremini/white)", "grams": 300.0, "note": ""}, {"ingredient_id": "onion", "name": "Yellow onion", "grams": 80.0, "note": ""}, {"ingredient_id": "garlic", "name": "Garlic", "grams": 6.0, "note": ""}, {"ingredient_id": "chicken_broth", "name": "Chicken broth, low sodium", "grams": 200.0, "note": ""}, {"ingredient_id": "greek_yogurt", "name": "Greek yogurt, plain 2%", "grams": 100.0, "note": ""}, {"ingredient_id": "dijon", "name": "Dijon mustard", "grams": 8.0, "note": ""}, {"ingredient_id": "thyme", "name": "Fresh thyme", "grams": 2.0, "note": ""}, {"ingredient_id": "olive_oil", "name": "Extra-virgin olive oil", "grams": 15.0, "note": ""}, {"ingredient_id": "cauliflower", "name": "Cauliflower", "grams": 700.0, "note": ""}, {"ingredient_id": "salt", "name": "Salt", "grams": 3.0, "note": ""}]</t>
        </is>
      </c>
      <c r="N933" s="2" t="n">
        <v>390</v>
      </c>
      <c r="O933" s="5" t="n">
        <v>47.6</v>
      </c>
      <c r="P933" s="5" t="n">
        <v>16.6</v>
      </c>
      <c r="Q933" s="5" t="n">
        <v>15.1</v>
      </c>
      <c r="R933" s="5" t="n">
        <v>4.8</v>
      </c>
      <c r="S933" s="5" t="n">
        <v>10.3</v>
      </c>
      <c r="T933" s="2" t="n">
        <v>15</v>
      </c>
      <c r="U933" s="2" t="inlineStr">
        <is>
          <t>low</t>
        </is>
      </c>
      <c r="V933" s="5" t="n">
        <v>1.5</v>
      </c>
      <c r="W933" s="2" t="inlineStr">
        <is>
          <t>low</t>
        </is>
      </c>
      <c r="X933" s="3" t="inlineStr"/>
      <c r="Y933" s="3" t="inlineStr">
        <is>
          <t>10% of this dish's available carbohydrate comes from ingredients with a published, measured GI; the rest uses conventional placeholders (see Ingredients sheet)</t>
        </is>
      </c>
      <c r="Z933" s="2" t="n">
        <v>10</v>
      </c>
      <c r="AA933" s="3" t="inlineStr">
        <is>
          <t>gluten-free, nut-free, low-carb, high-protein</t>
        </is>
      </c>
      <c r="AB933" s="3" t="inlineStr">
        <is>
          <t>1. Sear chops; remove. Sauté mushrooms, onion, garlic, thyme; add broth; reduce; stir in yogurt and Dijon off heat.
2. Steam and mash cauliflower.
3. Serve chops with gravy over mash.</t>
        </is>
      </c>
      <c r="AC933" s="4" t="inlineStr">
        <is>
          <t>["Sear chops; remove. Sauté mushrooms, onion, garlic, thyme; add broth; reduce; stir in yogurt and Dijon off heat.", "Steam and mash cauliflower.", "Serve chops with gravy over mash."]</t>
        </is>
      </c>
    </row>
    <row r="934" ht="96" customHeight="1">
      <c r="A934" s="2" t="inlineStr">
        <is>
          <t>DB-0933</t>
        </is>
      </c>
      <c r="B934" s="3" t="inlineStr">
        <is>
          <t>Beef Kofta Lettuce Wraps</t>
        </is>
      </c>
      <c r="C934" s="4" t="inlineStr">
        <is>
          <t>Beef, Pork &amp; Lamb</t>
        </is>
      </c>
      <c r="D934" s="4" t="inlineStr">
        <is>
          <t>Middle Eastern</t>
        </is>
      </c>
      <c r="E934" s="2" t="n">
        <v>4</v>
      </c>
      <c r="F934" s="2" t="n">
        <v>15</v>
      </c>
      <c r="G934" s="2" t="n">
        <v>12</v>
      </c>
      <c r="H934" s="2" t="n">
        <v>27</v>
      </c>
      <c r="I934" s="4" t="inlineStr">
        <is>
          <t>beef-kofta-lettuce-wraps.jpg</t>
        </is>
      </c>
      <c r="J934" s="3" t="inlineStr">
        <is>
          <t>Beef Kofta Lettuce Wraps, healthy food photography, plated, natural light</t>
        </is>
      </c>
      <c r="K934" s="4" t="inlineStr"/>
      <c r="L934" s="3" t="inlineStr">
        <is>
          <t>Ground beef 90% lean — 600 g (21.2 oz)
Yellow onion — 60 g (2.1 oz)
Fresh parsley — 15 g (0.5 oz)
Garlic — 8 g (0.3 oz)
Ground cumin — 4 g (0.1 oz)
Ground coriander — 2 g (0.1 oz)
Ground cinnamon — 1 g (0.0 oz)
Butter lettuce — 200 g (7.1 oz)
Tomato — 150 g (5.3 oz)
Greek yogurt, plain 2% — 120 g (4.2 oz)
Tahini — 20 g (0.7 oz)
Lemon juice — 15 g (0.5 oz)
Salt — 3 g (0.1 oz)</t>
        </is>
      </c>
      <c r="M934" s="4" t="inlineStr">
        <is>
          <t>[{"ingredient_id": "ground_beef", "name": "Ground beef 90% lean", "grams": 600.0, "note": ""}, {"ingredient_id": "onion", "name": "Yellow onion", "grams": 60.0, "note": ""}, {"ingredient_id": "parsley", "name": "Fresh parsley", "grams": 15.0, "note": ""}, {"ingredient_id": "garlic", "name": "Garlic", "grams": 8.0, "note": ""}, {"ingredient_id": "cumin", "name": "Ground cumin", "grams": 4.0, "note": ""}, {"ingredient_id": "coriander", "name": "Ground coriander", "grams": 2.0, "note": ""}, {"ingredient_id": "cinnamon", "name": "Ground cinnamon", "grams": 1.0, "note": ""}, {"ingredient_id": "butter_lettuce", "name": "Butter lettuce", "grams": 200.0, "note": ""}, {"ingredient_id": "tomato", "name": "Tomato", "grams": 150.0, "note": ""}, {"ingredient_id": "greek_yogurt", "name": "Greek yogurt, plain 2%", "grams": 120.0, "note": ""}, {"ingredient_id": "tahini", "name": "Tahini", "grams": 20.0, "note": ""}, {"ingredient_id": "lemon_juice", "name": "Lemon juice", "grams": 15.0, "note": ""}, {"ingredient_id": "salt", "name": "Salt", "grams": 3.0, "note": ""}]</t>
        </is>
      </c>
      <c r="N934" s="2" t="n">
        <v>346</v>
      </c>
      <c r="O934" s="5" t="n">
        <v>35.6</v>
      </c>
      <c r="P934" s="5" t="n">
        <v>18.9</v>
      </c>
      <c r="Q934" s="5" t="n">
        <v>8.300000000000001</v>
      </c>
      <c r="R934" s="5" t="n">
        <v>2.3</v>
      </c>
      <c r="S934" s="5" t="n">
        <v>6</v>
      </c>
      <c r="T934" s="2" t="n">
        <v>18</v>
      </c>
      <c r="U934" s="2" t="inlineStr">
        <is>
          <t>low</t>
        </is>
      </c>
      <c r="V934" s="5" t="n">
        <v>1.1</v>
      </c>
      <c r="W934" s="2" t="inlineStr">
        <is>
          <t>low</t>
        </is>
      </c>
      <c r="X934" s="3" t="inlineStr"/>
      <c r="Y934" s="3" t="inlineStr">
        <is>
          <t>20% of this dish's available carbohydrate comes from ingredients with a published, measured GI; the rest uses conventional placeholders (see Ingredients sheet)</t>
        </is>
      </c>
      <c r="Z934" s="2" t="n">
        <v>20</v>
      </c>
      <c r="AA934" s="3" t="inlineStr">
        <is>
          <t>gluten-free, nut-free, low-carb, high-protein</t>
        </is>
      </c>
      <c r="AB934" s="3" t="inlineStr">
        <is>
          <t>1. Mix beef, onion, parsley, garlic, spices, salt; form kofta; grill 12 minutes.
2. Whisk yogurt, tahini, lemon.
3. Serve in lettuce with tomato and sauce.</t>
        </is>
      </c>
      <c r="AC934" s="4" t="inlineStr">
        <is>
          <t>["Mix beef, onion, parsley, garlic, spices, salt; form kofta; grill 12 minutes.", "Whisk yogurt, tahini, lemon.", "Serve in lettuce with tomato and sauce."]</t>
        </is>
      </c>
    </row>
    <row r="935" ht="96" customHeight="1">
      <c r="A935" s="2" t="inlineStr">
        <is>
          <t>DB-0934</t>
        </is>
      </c>
      <c r="B935" s="3" t="inlineStr">
        <is>
          <t>Pork Fried Cauliflower Rice</t>
        </is>
      </c>
      <c r="C935" s="4" t="inlineStr">
        <is>
          <t>Beef, Pork &amp; Lamb</t>
        </is>
      </c>
      <c r="D935" s="4" t="inlineStr">
        <is>
          <t>Chinese-American</t>
        </is>
      </c>
      <c r="E935" s="2" t="n">
        <v>4</v>
      </c>
      <c r="F935" s="2" t="n">
        <v>10</v>
      </c>
      <c r="G935" s="2" t="n">
        <v>15</v>
      </c>
      <c r="H935" s="2" t="n">
        <v>25</v>
      </c>
      <c r="I935" s="4" t="inlineStr">
        <is>
          <t>pork-fried-cauliflower-rice.jpg</t>
        </is>
      </c>
      <c r="J935" s="3" t="inlineStr">
        <is>
          <t>Pork Fried Cauliflower Rice, healthy food photography, plated, natural light</t>
        </is>
      </c>
      <c r="K935" s="4" t="inlineStr"/>
      <c r="L935" s="3" t="inlineStr">
        <is>
          <t>Ground pork, lean — 500 g (17.6 oz)
Cauliflower rice — 600 g (21.2 oz)
Egg, large (50 g each) — 100 g (3.5 oz)
Green peas — 80 g (2.8 oz)
Carrot — 80 g (2.8 oz)
Garlic — 8 g (0.3 oz)
Fresh ginger — 6 g (0.2 oz)
Tamari (gluten-free soy sauce) — 30 g (1.1 oz)
Toasted sesame oil — 8 g (0.3 oz)
Green onions (scallions) — 20 g (0.7 oz)
Avocado oil — 10 g (0.4 oz)</t>
        </is>
      </c>
      <c r="M935" s="4" t="inlineStr">
        <is>
          <t>[{"ingredient_id": "ground_pork", "name": "Ground pork, lean", "grams": 500.0, "note": ""}, {"ingredient_id": "cauliflower_rice", "name": "Cauliflower rice", "grams": 600.0, "note": ""}, {"ingredient_id": "egg", "name": "Egg, large (50 g each)", "grams": 100.0, "note": ""}, {"ingredient_id": "green_peas", "name": "Green peas", "grams": 80.0, "note": ""}, {"ingredient_id": "carrot", "name": "Carrot", "grams": 80.0, "note": ""}, {"ingredient_id": "garlic", "name": "Garlic", "grams": 8.0, "note": ""}, {"ingredient_id": "ginger", "name": "Fresh ginger", "grams": 6.0, "note": ""}, {"ingredient_id": "tamari", "name": "Tamari (gluten-free soy sauce)", "grams": 30.0, "note": ""}, {"ingredient_id": "sesame_oil", "name": "Toasted sesame oil", "grams": 8.0, "note": ""}, {"ingredient_id": "green_onion", "name": "Green onions (scallions)", "grams": 20.0, "note": ""}, {"ingredient_id": "avocado_oil", "name": "Avocado oil", "grams": 10.0, "note": ""}]</t>
        </is>
      </c>
      <c r="N935" s="2" t="n">
        <v>379</v>
      </c>
      <c r="O935" s="5" t="n">
        <v>32</v>
      </c>
      <c r="P935" s="5" t="n">
        <v>22.5</v>
      </c>
      <c r="Q935" s="5" t="n">
        <v>14.1</v>
      </c>
      <c r="R935" s="5" t="n">
        <v>5</v>
      </c>
      <c r="S935" s="5" t="n">
        <v>9.1</v>
      </c>
      <c r="T935" s="2" t="n">
        <v>24</v>
      </c>
      <c r="U935" s="2" t="inlineStr">
        <is>
          <t>low</t>
        </is>
      </c>
      <c r="V935" s="5" t="n">
        <v>2.2</v>
      </c>
      <c r="W935" s="2" t="inlineStr">
        <is>
          <t>low</t>
        </is>
      </c>
      <c r="X935" s="3" t="inlineStr"/>
      <c r="Y935" s="3" t="inlineStr">
        <is>
          <t>33% of this dish's available carbohydrate comes from ingredients with a published, measured GI; the rest uses conventional placeholders (see Ingredients sheet)</t>
        </is>
      </c>
      <c r="Z935" s="2" t="n">
        <v>33</v>
      </c>
      <c r="AA935" s="3" t="inlineStr">
        <is>
          <t>gluten-free, dairy-free, nut-free, low-carb, high-protein, quick</t>
        </is>
      </c>
      <c r="AB935" s="3" t="inlineStr">
        <is>
          <t>1. Brown pork with garlic and ginger; remove.
2. Scramble eggs; add carrot, cauliflower rice 5 minutes.
3. Return pork with peas, tamari, sesame oil, green onion.</t>
        </is>
      </c>
      <c r="AC935" s="4" t="inlineStr">
        <is>
          <t>["Brown pork with garlic and ginger; remove.", "Scramble eggs; add carrot, cauliflower rice 5 minutes.", "Return pork with peas, tamari, sesame oil, green onion."]</t>
        </is>
      </c>
    </row>
    <row r="936" ht="96" customHeight="1">
      <c r="A936" s="2" t="inlineStr">
        <is>
          <t>DB-0935</t>
        </is>
      </c>
      <c r="B936" s="3" t="inlineStr">
        <is>
          <t>Steak &amp; Broccoli Sheet Pan</t>
        </is>
      </c>
      <c r="C936" s="4" t="inlineStr">
        <is>
          <t>Beef, Pork &amp; Lamb</t>
        </is>
      </c>
      <c r="D936" s="4" t="inlineStr">
        <is>
          <t>American</t>
        </is>
      </c>
      <c r="E936" s="2" t="n">
        <v>4</v>
      </c>
      <c r="F936" s="2" t="n">
        <v>10</v>
      </c>
      <c r="G936" s="2" t="n">
        <v>15</v>
      </c>
      <c r="H936" s="2" t="n">
        <v>25</v>
      </c>
      <c r="I936" s="4" t="inlineStr">
        <is>
          <t>steak-and-broccoli-sheet-pan.jpg</t>
        </is>
      </c>
      <c r="J936" s="3" t="inlineStr">
        <is>
          <t>Steak &amp; Broccoli Sheet Pan, healthy food photography, plated, natural light</t>
        </is>
      </c>
      <c r="K936" s="4" t="inlineStr"/>
      <c r="L936" s="3" t="inlineStr">
        <is>
          <t>Beef sirloin, trimmed — 600 g (21.2 oz)
Broccoli — 600 g (21.2 oz)
Extra-virgin olive oil — 18 g (0.6 oz)
Garlic — 8 g (0.3 oz)
Smoked paprika — 3 g (0.1 oz)
Tamari (gluten-free soy sauce) — 15 g (0.5 oz)
Lemon (with juice &amp; zest) — 30 g (1.1 oz)
Salt — 3 g (0.1 oz)</t>
        </is>
      </c>
      <c r="M936" s="4" t="inlineStr">
        <is>
          <t>[{"ingredient_id": "beef_sirloin", "name": "Beef sirloin, trimmed", "grams": 600.0, "note": ""}, {"ingredient_id": "broccoli", "name": "Broccoli", "grams": 600.0, "note": ""}, {"ingredient_id": "olive_oil", "name": "Extra-virgin olive oil", "grams": 18.0, "note": ""}, {"ingredient_id": "garlic", "name": "Garlic", "grams": 8.0, "note": ""}, {"ingredient_id": "smoked_paprika", "name": "Smoked paprika", "grams": 3.0, "note": ""}, {"ingredient_id": "tamari", "name": "Tamari (gluten-free soy sauce)", "grams": 15.0, "note": ""}, {"ingredient_id": "lemon", "name": "Lemon (with juice &amp; zest)", "grams": 30.0, "note": ""}, {"ingredient_id": "salt", "name": "Salt", "grams": 3.0, "note": ""}]</t>
        </is>
      </c>
      <c r="N936" s="2" t="n">
        <v>295</v>
      </c>
      <c r="O936" s="5" t="n">
        <v>37.9</v>
      </c>
      <c r="P936" s="5" t="n">
        <v>12</v>
      </c>
      <c r="Q936" s="5" t="n">
        <v>11.8</v>
      </c>
      <c r="R936" s="5" t="n">
        <v>4.4</v>
      </c>
      <c r="S936" s="5" t="n">
        <v>7.4</v>
      </c>
      <c r="T936" s="2" t="n">
        <v>17</v>
      </c>
      <c r="U936" s="2" t="inlineStr">
        <is>
          <t>low</t>
        </is>
      </c>
      <c r="V936" s="5" t="n">
        <v>1.3</v>
      </c>
      <c r="W936" s="2" t="inlineStr">
        <is>
          <t>low</t>
        </is>
      </c>
      <c r="X936" s="3" t="inlineStr"/>
      <c r="Y936" s="3" t="inlineStr">
        <is>
          <t>0% of this dish's available carbohydrate comes from ingredients with a published, measured GI; the rest uses conventional placeholders (see Ingredients sheet)</t>
        </is>
      </c>
      <c r="Z936" s="2" t="n">
        <v>0</v>
      </c>
      <c r="AA936" s="3" t="inlineStr">
        <is>
          <t>gluten-free, dairy-free, nut-free, low-carb, high-protein, one-pan, quick</t>
        </is>
      </c>
      <c r="AB936" s="3" t="inlineStr">
        <is>
          <t>1. Toss broccoli with half the oil, garlic, salt; roast at 450°F 10 minutes.
2. Add steak cubes tossed with remaining oil, paprika, tamari; roast 6–8 minutes.
3. Lemon.</t>
        </is>
      </c>
      <c r="AC936" s="4" t="inlineStr">
        <is>
          <t>["Toss broccoli with half the oil, garlic, salt; roast at 450°F 10 minutes.", "Add steak cubes tossed with remaining oil, paprika, tamari; roast 6–8 minutes.", "Lemon."]</t>
        </is>
      </c>
    </row>
    <row r="937" ht="96" customHeight="1">
      <c r="A937" s="2" t="inlineStr">
        <is>
          <t>DB-0936</t>
        </is>
      </c>
      <c r="B937" s="3" t="inlineStr">
        <is>
          <t>Italian Beef &amp; Spinach Stuffed Zucchini</t>
        </is>
      </c>
      <c r="C937" s="4" t="inlineStr">
        <is>
          <t>Beef, Pork &amp; Lamb</t>
        </is>
      </c>
      <c r="D937" s="4" t="inlineStr">
        <is>
          <t>Italian</t>
        </is>
      </c>
      <c r="E937" s="2" t="n">
        <v>4</v>
      </c>
      <c r="F937" s="2" t="n">
        <v>15</v>
      </c>
      <c r="G937" s="2" t="n">
        <v>30</v>
      </c>
      <c r="H937" s="2" t="n">
        <v>45</v>
      </c>
      <c r="I937" s="4" t="inlineStr">
        <is>
          <t>italian-beef-and-spinach-stuffed-zucchini.jpg</t>
        </is>
      </c>
      <c r="J937" s="3" t="inlineStr">
        <is>
          <t>Italian Beef &amp; Spinach Stuffed Zucchini, healthy food photography, plated, natural light</t>
        </is>
      </c>
      <c r="K937" s="4" t="inlineStr"/>
      <c r="L937" s="3" t="inlineStr">
        <is>
          <t>Zucchini — 800 g (28.2 oz)
Ground beef 90% lean — 500 g (17.6 oz)
Spinach — 150 g (5.3 oz)
Marinara sauce, no sugar added — 250 g (8.8 oz)
Yellow onion — 80 g (2.8 oz)
Garlic — 6 g (0.2 oz)
Mozzarella, part-skim — 100 g (3.5 oz)
Italian seasoning — 3 g (0.1 oz)
Extra-virgin olive oil — 10 g (0.4 oz)</t>
        </is>
      </c>
      <c r="M937" s="4" t="inlineStr">
        <is>
          <t>[{"ingredient_id": "zucchini", "name": "Zucchini", "grams": 800.0, "note": ""}, {"ingredient_id": "ground_beef", "name": "Ground beef 90% lean", "grams": 500.0, "note": ""}, {"ingredient_id": "spinach", "name": "Spinach", "grams": 150.0, "note": ""}, {"ingredient_id": "marinara", "name": "Marinara sauce, no sugar added", "grams": 250.0, "note": ""}, {"ingredient_id": "onion", "name": "Yellow onion", "grams": 80.0, "note": ""}, {"ingredient_id": "garlic", "name": "Garlic", "grams": 6.0, "note": ""}, {"ingredient_id": "mozzarella", "name": "Mozzarella, part-skim", "grams": 100.0, "note": ""}, {"ingredient_id": "italian_seasoning", "name": "Italian seasoning", "grams": 3.0, "note": ""}, {"ingredient_id": "olive_oil", "name": "Extra-virgin olive oil", "grams": 10.0, "note": ""}]</t>
        </is>
      </c>
      <c r="N937" s="2" t="n">
        <v>389</v>
      </c>
      <c r="O937" s="5" t="n">
        <v>35.8</v>
      </c>
      <c r="P937" s="5" t="n">
        <v>21.4</v>
      </c>
      <c r="Q937" s="5" t="n">
        <v>14.3</v>
      </c>
      <c r="R937" s="5" t="n">
        <v>4.5</v>
      </c>
      <c r="S937" s="5" t="n">
        <v>9.800000000000001</v>
      </c>
      <c r="T937" s="2" t="n">
        <v>19</v>
      </c>
      <c r="U937" s="2" t="inlineStr">
        <is>
          <t>low</t>
        </is>
      </c>
      <c r="V937" s="5" t="n">
        <v>1.9</v>
      </c>
      <c r="W937" s="2" t="inlineStr">
        <is>
          <t>low</t>
        </is>
      </c>
      <c r="X937" s="3" t="inlineStr"/>
      <c r="Y937" s="3" t="inlineStr">
        <is>
          <t>22% of this dish's available carbohydrate comes from ingredients with a published, measured GI; the rest uses conventional placeholders (see Ingredients sheet)</t>
        </is>
      </c>
      <c r="Z937" s="2" t="n">
        <v>22</v>
      </c>
      <c r="AA937" s="3" t="inlineStr">
        <is>
          <t>gluten-free, nut-free, low-carb, high-protein</t>
        </is>
      </c>
      <c r="AB937" s="3" t="inlineStr">
        <is>
          <t>1. Halve zucchini; scoop.
2. Brown beef with onion, garlic, seasoning; add spinach and marinara.
3. Fill; top mozzarella; bake at 400°F 22 minutes.</t>
        </is>
      </c>
      <c r="AC937" s="4" t="inlineStr">
        <is>
          <t>["Halve zucchini; scoop.", "Brown beef with onion, garlic, seasoning; add spinach and marinara.", "Fill; top mozzarella; bake at 400°F 22 minutes."]</t>
        </is>
      </c>
    </row>
    <row r="938" ht="96" customHeight="1">
      <c r="A938" s="2" t="inlineStr">
        <is>
          <t>DB-0937</t>
        </is>
      </c>
      <c r="B938" s="3" t="inlineStr">
        <is>
          <t>Pork Souvlaki Bowls with Cauliflower Rice</t>
        </is>
      </c>
      <c r="C938" s="4" t="inlineStr">
        <is>
          <t>Beef, Pork &amp; Lamb</t>
        </is>
      </c>
      <c r="D938" s="4" t="inlineStr">
        <is>
          <t>Greek</t>
        </is>
      </c>
      <c r="E938" s="2" t="n">
        <v>4</v>
      </c>
      <c r="F938" s="2" t="n">
        <v>15</v>
      </c>
      <c r="G938" s="2" t="n">
        <v>15</v>
      </c>
      <c r="H938" s="2" t="n">
        <v>30</v>
      </c>
      <c r="I938" s="4" t="inlineStr">
        <is>
          <t>pork-souvlaki-bowls-with-cauliflower-rice.jpg</t>
        </is>
      </c>
      <c r="J938" s="3" t="inlineStr">
        <is>
          <t>Pork Souvlaki Bowls with Cauliflower Rice, healthy food photography, plated, natural light</t>
        </is>
      </c>
      <c r="K938" s="4" t="inlineStr"/>
      <c r="L938" s="3" t="inlineStr">
        <is>
          <t>Pork tenderloin — 600 g (21.2 oz)
Lemon juice — 30 g (1.1 oz)
Extra-virgin olive oil — 20 g (0.7 oz)
Garlic — 8 g (0.3 oz)
Dried oregano — 4 g (0.1 oz)
Cauliflower rice — 500 g (17.6 oz)
Cucumber — 150 g (5.3 oz)
Tomato — 150 g (5.3 oz)
Red onion — 40 g (1.4 oz)
Feta cheese — 50 g (1.8 oz)
Greek yogurt, plain 2% — 120 g (4.2 oz)
Fresh dill — 4 g (0.1 oz)
Salt — 3 g (0.1 oz)</t>
        </is>
      </c>
      <c r="M938" s="4" t="inlineStr">
        <is>
          <t>[{"ingredient_id": "pork_tenderloin", "name": "Pork tenderloin", "grams": 600.0, "note": ""}, {"ingredient_id": "lemon_juice", "name": "Lemon juice", "grams": 30.0, "note": ""}, {"ingredient_id": "olive_oil", "name": "Extra-virgin olive oil", "grams": 20.0, "note": ""}, {"ingredient_id": "garlic", "name": "Garlic", "grams": 8.0, "note": ""}, {"ingredient_id": "oregano", "name": "Dried oregano", "grams": 4.0, "note": ""}, {"ingredient_id": "cauliflower_rice", "name": "Cauliflower rice", "grams": 500.0, "note": ""}, {"ingredient_id": "cucumber", "name": "Cucumber", "grams": 150.0, "note": ""}, {"ingredient_id": "tomato", "name": "Tomato", "grams": 150.0, "note": ""}, {"ingredient_id": "red_onion", "name": "Red onion", "grams": 40.0, "note": ""}, {"ingredient_id": "feta", "name": "Feta cheese", "grams": 50.0, "note": ""}, {"ingredient_id": "greek_yogurt", "name": "Greek yogurt, plain 2%", "grams": 120.0, "note": ""}, {"ingredient_id": "dill", "name": "Fresh dill", "grams": 4.0, "note": ""}, {"ingredient_id": "salt", "name": "Salt", "grams": 3.0, "note": ""}]</t>
        </is>
      </c>
      <c r="N938" s="2" t="n">
        <v>334</v>
      </c>
      <c r="O938" s="5" t="n">
        <v>39.6</v>
      </c>
      <c r="P938" s="5" t="n">
        <v>14.1</v>
      </c>
      <c r="Q938" s="5" t="n">
        <v>13.6</v>
      </c>
      <c r="R938" s="5" t="n">
        <v>3.8</v>
      </c>
      <c r="S938" s="5" t="n">
        <v>9.800000000000001</v>
      </c>
      <c r="T938" s="2" t="n">
        <v>15</v>
      </c>
      <c r="U938" s="2" t="inlineStr">
        <is>
          <t>low</t>
        </is>
      </c>
      <c r="V938" s="5" t="n">
        <v>1.5</v>
      </c>
      <c r="W938" s="2" t="inlineStr">
        <is>
          <t>low</t>
        </is>
      </c>
      <c r="X938" s="3" t="inlineStr"/>
      <c r="Y938" s="3" t="inlineStr">
        <is>
          <t>12% of this dish's available carbohydrate comes from ingredients with a published, measured GI; the rest uses conventional placeholders (see Ingredients sheet)</t>
        </is>
      </c>
      <c r="Z938" s="2" t="n">
        <v>12</v>
      </c>
      <c r="AA938" s="3" t="inlineStr">
        <is>
          <t>gluten-free, nut-free, low-carb, high-protein</t>
        </is>
      </c>
      <c r="AB938" s="3" t="inlineStr">
        <is>
          <t>1. Marinate pork cubes; skewer; grill 12 minutes.
2. Sauté cauliflower rice with lemon and oregano.
3. Bowl with cucumber, tomato, onion, feta, yogurt-dill.</t>
        </is>
      </c>
      <c r="AC938" s="4" t="inlineStr">
        <is>
          <t>["Marinate pork cubes; skewer; grill 12 minutes.", "Sauté cauliflower rice with lemon and oregano.", "Bowl with cucumber, tomato, onion, feta, yogurt-dill."]</t>
        </is>
      </c>
    </row>
    <row r="939" ht="96" customHeight="1">
      <c r="A939" s="2" t="inlineStr">
        <is>
          <t>DB-0938</t>
        </is>
      </c>
      <c r="B939" s="3" t="inlineStr">
        <is>
          <t>Cauliflower Chickpea Coconut Curry</t>
        </is>
      </c>
      <c r="C939" s="4" t="inlineStr">
        <is>
          <t>Vegetarian &amp; Vegan</t>
        </is>
      </c>
      <c r="D939" s="4" t="inlineStr">
        <is>
          <t>Indian</t>
        </is>
      </c>
      <c r="E939" s="2" t="n">
        <v>4</v>
      </c>
      <c r="F939" s="2" t="n">
        <v>10</v>
      </c>
      <c r="G939" s="2" t="n">
        <v>25</v>
      </c>
      <c r="H939" s="2" t="n">
        <v>35</v>
      </c>
      <c r="I939" s="4" t="inlineStr">
        <is>
          <t>cauliflower-chickpea-coconut-curry.jpg</t>
        </is>
      </c>
      <c r="J939" s="3" t="inlineStr">
        <is>
          <t>Cauliflower Chickpea Coconut Curry, healthy food photography, plated, natural light</t>
        </is>
      </c>
      <c r="K939" s="4" t="inlineStr"/>
      <c r="L939" s="3" t="inlineStr">
        <is>
          <t>Cauliflower — 600 g (21.2 oz)
Chickpeas, cooked — 400 g (14.1 oz)
Coconut milk, canned light — 400 g (14.1 oz)
Yellow onion — 120 g (4.2 oz)
Garlic — 8 g (0.3 oz)
Fresh ginger — 10 g (0.4 oz)
Curry powder — 10 g (0.4 oz)
Diced tomatoes, canned — 400 g (14.1 oz)
Spinach — 150 g (5.3 oz)
Extra-virgin olive oil — 15 g (0.5 oz)
Lime juice — 15 g (0.5 oz)
Fresh cilantro — 8 g (0.3 oz)
Salt — 3 g (0.1 oz)</t>
        </is>
      </c>
      <c r="M939" s="4" t="inlineStr">
        <is>
          <t>[{"ingredient_id": "cauliflower", "name": "Cauliflower", "grams": 600.0, "note": ""}, {"ingredient_id": "chickpeas", "name": "Chickpeas, cooked", "grams": 400.0, "note": ""}, {"ingredient_id": "coconut_milk_light", "name": "Coconut milk, canned light", "grams": 400.0, "note": ""}, {"ingredient_id": "onion", "name": "Yellow onion", "grams": 120.0, "note": ""}, {"ingredient_id": "garlic", "name": "Garlic", "grams": 8.0, "note": ""}, {"ingredient_id": "ginger", "name": "Fresh ginger", "grams": 10.0, "note": ""}, {"ingredient_id": "curry_powder", "name": "Curry powder", "grams": 10.0, "note": ""}, {"ingredient_id": "diced_tomatoes", "name": "Diced tomatoes, canned", "grams": 400.0, "note": ""}, {"ingredient_id": "spinach", "name": "Spinach", "grams": 150.0, "note": ""}, {"ingredient_id": "olive_oil", "name": "Extra-virgin olive oil", "grams": 15.0, "note": ""}, {"ingredient_id": "lime_juice", "name": "Lime juice", "grams": 15.0, "note": ""}, {"ingredient_id": "cilantro", "name": "Fresh cilantro", "grams": 8.0, "note": ""}, {"ingredient_id": "salt", "name": "Salt", "grams": 3.0, "note": ""}]</t>
        </is>
      </c>
      <c r="N939" s="2" t="n">
        <v>362</v>
      </c>
      <c r="O939" s="5" t="n">
        <v>15.6</v>
      </c>
      <c r="P939" s="5" t="n">
        <v>13.6</v>
      </c>
      <c r="Q939" s="5" t="n">
        <v>49.1</v>
      </c>
      <c r="R939" s="5" t="n">
        <v>14.9</v>
      </c>
      <c r="S939" s="5" t="n">
        <v>34.2</v>
      </c>
      <c r="T939" s="2" t="n">
        <v>32</v>
      </c>
      <c r="U939" s="2" t="inlineStr">
        <is>
          <t>low</t>
        </is>
      </c>
      <c r="V939" s="5" t="n">
        <v>10.9</v>
      </c>
      <c r="W939" s="2" t="inlineStr">
        <is>
          <t>medium</t>
        </is>
      </c>
      <c r="X939" s="3" t="inlineStr"/>
      <c r="Y939" s="3" t="inlineStr">
        <is>
          <t>57% of this dish's available carbohydrate comes from ingredients with a published, measured GI; the rest uses conventional placeholders (see Ingredients sheet)</t>
        </is>
      </c>
      <c r="Z939" s="2" t="n">
        <v>57</v>
      </c>
      <c r="AA939" s="3" t="inlineStr">
        <is>
          <t>vegan, gluten-free, dairy-free, nut-free, high-fiber, make-ahead</t>
        </is>
      </c>
      <c r="AB939" s="3" t="inlineStr">
        <is>
          <t>1. Sauté onion, garlic, ginger, curry powder in oil.
2. Add cauliflower, chickpeas, tomatoes, coconut milk; simmer 15 minutes.
3. Spinach, lime, cilantro.</t>
        </is>
      </c>
      <c r="AC939" s="4" t="inlineStr">
        <is>
          <t>["Sauté onion, garlic, ginger, curry powder in oil.", "Add cauliflower, chickpeas, tomatoes, coconut milk; simmer 15 minutes.", "Spinach, lime, cilantro."]</t>
        </is>
      </c>
    </row>
    <row r="940" ht="96" customHeight="1">
      <c r="A940" s="2" t="inlineStr">
        <is>
          <t>DB-0939</t>
        </is>
      </c>
      <c r="B940" s="3" t="inlineStr">
        <is>
          <t>Zucchini Noodle Pad Thai with Egg &amp; Edamame</t>
        </is>
      </c>
      <c r="C940" s="4" t="inlineStr">
        <is>
          <t>Vegetarian &amp; Vegan</t>
        </is>
      </c>
      <c r="D940" s="4" t="inlineStr">
        <is>
          <t>Thai</t>
        </is>
      </c>
      <c r="E940" s="2" t="n">
        <v>3</v>
      </c>
      <c r="F940" s="2" t="n">
        <v>10</v>
      </c>
      <c r="G940" s="2" t="n">
        <v>10</v>
      </c>
      <c r="H940" s="2" t="n">
        <v>20</v>
      </c>
      <c r="I940" s="4" t="inlineStr">
        <is>
          <t>zucchini-noodle-pad-thai-with-egg-and-edamame.jpg</t>
        </is>
      </c>
      <c r="J940" s="3" t="inlineStr">
        <is>
          <t>Zucchini Noodle Pad Thai with Egg &amp; Edamame, healthy food photography, plated, natural light</t>
        </is>
      </c>
      <c r="K940" s="4" t="inlineStr"/>
      <c r="L940" s="3" t="inlineStr">
        <is>
          <t>Zucchini noodles (zoodles) — 550 g (19.4 oz)
Egg, large (50 g each) — 150 g (5.3 oz)
Edamame, shelled, cooked — 200 g (7.1 oz)
Mung bean sprouts — 100 g (3.5 oz)
Green onions (scallions) — 20 g (0.7 oz)
Peanuts, dry roasted — 25 g (0.9 oz)
Tamari (gluten-free soy sauce) — 25 g (0.9 oz)
Lime juice — 25 g (0.9 oz)
Monk fruit/erythritol sweetener — 6 g (0.2 oz)
Garlic — 6 g (0.2 oz)
Sriracha — 6 g (0.2 oz)
Avocado oil — 12 g (0.4 oz)</t>
        </is>
      </c>
      <c r="M940" s="4" t="inlineStr">
        <is>
          <t>[{"ingredient_id": "zucchini_noodles", "name": "Zucchini noodles (zoodles)", "grams": 550.0, "note": ""}, {"ingredient_id": "egg", "name": "Egg, large (50 g each)", "grams": 150.0, "note": ""}, {"ingredient_id": "edamame", "name": "Edamame, shelled, cooked", "grams": 200.0, "note": ""}, {"ingredient_id": "bean_sprouts", "name": "Mung bean sprouts", "grams": 100.0, "note": ""}, {"ingredient_id": "green_onion", "name": "Green onions (scallions)", "grams": 20.0, "note": ""}, {"ingredient_id": "peanuts", "name": "Peanuts, dry roasted", "grams": 25.0, "note": ""}, {"ingredient_id": "tamari", "name": "Tamari (gluten-free soy sauce)", "grams": 25.0, "note": ""}, {"ingredient_id": "lime_juice", "name": "Lime juice", "grams": 25.0, "note": ""}, {"ingredient_id": "monk_fruit_sweetener", "name": "Monk fruit/erythritol sweetener", "grams": 6.0, "note": ""}, {"ingredient_id": "garlic", "name": "Garlic", "grams": 6.0, "note": ""}, {"ingredient_id": "sriracha", "name": "Sriracha", "grams": 6.0, "note": ""}, {"ingredient_id": "avocado_oil", "name": "Avocado oil", "grams": 12.0, "note": ""}]</t>
        </is>
      </c>
      <c r="N940" s="2" t="n">
        <v>290</v>
      </c>
      <c r="O940" s="5" t="n">
        <v>20.8</v>
      </c>
      <c r="P940" s="5" t="n">
        <v>16.8</v>
      </c>
      <c r="Q940" s="5" t="n">
        <v>18</v>
      </c>
      <c r="R940" s="5" t="n">
        <v>6.8</v>
      </c>
      <c r="S940" s="5" t="n">
        <v>11.2</v>
      </c>
      <c r="T940" s="2" t="n">
        <v>17</v>
      </c>
      <c r="U940" s="2" t="inlineStr">
        <is>
          <t>low</t>
        </is>
      </c>
      <c r="V940" s="5" t="n">
        <v>1.9</v>
      </c>
      <c r="W940" s="2" t="inlineStr">
        <is>
          <t>low</t>
        </is>
      </c>
      <c r="X940" s="3" t="inlineStr"/>
      <c r="Y940" s="3" t="inlineStr">
        <is>
          <t>6% of this dish's available carbohydrate comes from ingredients with a published, measured GI; the rest uses conventional placeholders (see Ingredients sheet)</t>
        </is>
      </c>
      <c r="Z940" s="2" t="n">
        <v>6</v>
      </c>
      <c r="AA940" s="3" t="inlineStr">
        <is>
          <t>vegetarian, gluten-free, dairy-free, low-carb, quick</t>
        </is>
      </c>
      <c r="AB940" s="3" t="inlineStr">
        <is>
          <t>1. Scramble eggs in oil; push aside.
2. Add zoodles, garlic, tamari, lime, sweetener, sriracha; toss 2 minutes.
3. Edamame, sprouts, green onion, peanuts.</t>
        </is>
      </c>
      <c r="AC940" s="4" t="inlineStr">
        <is>
          <t>["Scramble eggs in oil; push aside.", "Add zoodles, garlic, tamari, lime, sweetener, sriracha; toss 2 minutes.", "Edamame, sprouts, green onion, peanuts."]</t>
        </is>
      </c>
    </row>
    <row r="941" ht="96" customHeight="1">
      <c r="A941" s="2" t="inlineStr">
        <is>
          <t>DB-0940</t>
        </is>
      </c>
      <c r="B941" s="3" t="inlineStr">
        <is>
          <t>Spinach &amp; Mushroom Tofu Scramble Bowl</t>
        </is>
      </c>
      <c r="C941" s="4" t="inlineStr">
        <is>
          <t>Vegetarian &amp; Vegan</t>
        </is>
      </c>
      <c r="D941" s="4" t="inlineStr">
        <is>
          <t>American</t>
        </is>
      </c>
      <c r="E941" s="2" t="n">
        <v>2</v>
      </c>
      <c r="F941" s="2" t="n">
        <v>10</v>
      </c>
      <c r="G941" s="2" t="n">
        <v>12</v>
      </c>
      <c r="H941" s="2" t="n">
        <v>22</v>
      </c>
      <c r="I941" s="4" t="inlineStr">
        <is>
          <t>spinach-and-mushroom-tofu-scramble-bowl.jpg</t>
        </is>
      </c>
      <c r="J941" s="3" t="inlineStr">
        <is>
          <t>Spinach &amp; Mushroom Tofu Scramble Bowl, healthy food photography, plated, natural light</t>
        </is>
      </c>
      <c r="K941" s="4" t="inlineStr"/>
      <c r="L941" s="3" t="inlineStr">
        <is>
          <t>Tofu, extra-firm — 350 g (12.3 oz)
Mushrooms (cremini/white) — 200 g (7.1 oz)
Spinach — 100 g (3.5 oz)
Ground turmeric — 2 g (0.1 oz)
Nutritional yeast — 10 g (0.4 oz)
Garlic — 5 g (0.2 oz)
Extra-virgin olive oil — 10 g (0.4 oz)
Avocado — 70 g (2.5 oz)
Cherry tomatoes — 100 g (3.5 oz)
Salt — 2 g (0.1 oz)</t>
        </is>
      </c>
      <c r="M941" s="4" t="inlineStr">
        <is>
          <t>[{"ingredient_id": "tofu", "name": "Tofu, extra-firm", "grams": 350.0, "note": ""}, {"ingredient_id": "mushrooms", "name": "Mushrooms (cremini/white)", "grams": 200.0, "note": ""}, {"ingredient_id": "spinach", "name": "Spinach", "grams": 100.0, "note": ""}, {"ingredient_id": "turmeric", "name": "Ground turmeric", "grams": 2.0, "note": ""}, {"ingredient_id": "nutritional_yeast", "name": "Nutritional yeast", "grams": 10.0, "note": ""}, {"ingredient_id": "garlic", "name": "Garlic", "grams": 5.0, "note": ""}, {"ingredient_id": "olive_oil", "name": "Extra-virgin olive oil", "grams": 10.0, "note": ""}, {"ingredient_id": "avocado", "name": "Avocado", "grams": 70.0, "note": ""}, {"ingredient_id": "cherry_tomato", "name": "Cherry tomatoes", "grams": 100.0, "note": ""}, {"ingredient_id": "salt", "name": "Salt", "grams": 2.0, "note": ""}]</t>
        </is>
      </c>
      <c r="N941" s="2" t="n">
        <v>418</v>
      </c>
      <c r="O941" s="5" t="n">
        <v>38.2</v>
      </c>
      <c r="P941" s="5" t="n">
        <v>26.9</v>
      </c>
      <c r="Q941" s="5" t="n">
        <v>18.5</v>
      </c>
      <c r="R941" s="5" t="n">
        <v>10.1</v>
      </c>
      <c r="S941" s="5" t="n">
        <v>8.4</v>
      </c>
      <c r="T941" s="2" t="n">
        <v>16</v>
      </c>
      <c r="U941" s="2" t="inlineStr">
        <is>
          <t>low</t>
        </is>
      </c>
      <c r="V941" s="5" t="n">
        <v>1.4</v>
      </c>
      <c r="W941" s="2" t="inlineStr">
        <is>
          <t>low</t>
        </is>
      </c>
      <c r="X941" s="3" t="inlineStr"/>
      <c r="Y941" s="3" t="inlineStr">
        <is>
          <t>0% of this dish's available carbohydrate comes from ingredients with a published, measured GI; the rest uses conventional placeholders (see Ingredients sheet)</t>
        </is>
      </c>
      <c r="Z941" s="2" t="n">
        <v>0</v>
      </c>
      <c r="AA941" s="3" t="inlineStr">
        <is>
          <t>vegan, gluten-free, dairy-free, nut-free, low-carb, high-protein, high-fiber</t>
        </is>
      </c>
      <c r="AB941" s="3" t="inlineStr">
        <is>
          <t>1. Sauté mushrooms and garlic in oil.
2. Crumble tofu in with turmeric, nutritional yeast, salt; cook 6 minutes; wilt spinach.
3. Bowl with avocado and tomato.</t>
        </is>
      </c>
      <c r="AC941" s="4" t="inlineStr">
        <is>
          <t>["Sauté mushrooms and garlic in oil.", "Crumble tofu in with turmeric, nutritional yeast, salt; cook 6 minutes; wilt spinach.", "Bowl with avocado and tomato."]</t>
        </is>
      </c>
    </row>
    <row r="942" ht="96" customHeight="1">
      <c r="A942" s="2" t="inlineStr">
        <is>
          <t>DB-0941</t>
        </is>
      </c>
      <c r="B942" s="3" t="inlineStr">
        <is>
          <t>Lentil &amp; Vegetable Stuffed Peppers</t>
        </is>
      </c>
      <c r="C942" s="4" t="inlineStr">
        <is>
          <t>Vegetarian &amp; Vegan</t>
        </is>
      </c>
      <c r="D942" s="4" t="inlineStr">
        <is>
          <t>Mediterranean</t>
        </is>
      </c>
      <c r="E942" s="2" t="n">
        <v>4</v>
      </c>
      <c r="F942" s="2" t="n">
        <v>15</v>
      </c>
      <c r="G942" s="2" t="n">
        <v>35</v>
      </c>
      <c r="H942" s="2" t="n">
        <v>50</v>
      </c>
      <c r="I942" s="4" t="inlineStr">
        <is>
          <t>lentil-and-vegetable-stuffed-peppers.jpg</t>
        </is>
      </c>
      <c r="J942" s="3" t="inlineStr">
        <is>
          <t>Lentil &amp; Vegetable Stuffed Peppers, healthy food photography, plated, natural light</t>
        </is>
      </c>
      <c r="K942" s="4" t="inlineStr"/>
      <c r="L942" s="3" t="inlineStr">
        <is>
          <t>Bell pepper — 600 g (21.2 oz)
Lentils, cooked — 400 g (14.1 oz)
Zucchini — 150 g (5.3 oz)
Yellow onion — 80 g (2.8 oz)
Garlic — 6 g (0.2 oz)
Diced tomatoes, canned — 300 g (10.6 oz)
Ground cumin — 3 g (0.1 oz)
Feta cheese — 60 g (2.1 oz)
Fresh parsley — 6 g (0.2 oz)
Extra-virgin olive oil — 10 g (0.4 oz)</t>
        </is>
      </c>
      <c r="M942" s="4" t="inlineStr">
        <is>
          <t>[{"ingredient_id": "bell_pepper", "name": "Bell pepper", "grams": 600.0, "note": ""}, {"ingredient_id": "lentils", "name": "Lentils, cooked", "grams": 400.0, "note": ""}, {"ingredient_id": "zucchini", "name": "Zucchini", "grams": 150.0, "note": ""}, {"ingredient_id": "onion", "name": "Yellow onion", "grams": 80.0, "note": ""}, {"ingredient_id": "garlic", "name": "Garlic", "grams": 6.0, "note": ""}, {"ingredient_id": "diced_tomatoes", "name": "Diced tomatoes, canned", "grams": 300.0, "note": ""}, {"ingredient_id": "cumin", "name": "Ground cumin", "grams": 3.0, "note": ""}, {"ingredient_id": "feta", "name": "Feta cheese", "grams": 60.0, "note": ""}, {"ingredient_id": "parsley", "name": "Fresh parsley", "grams": 6.0, "note": ""}, {"ingredient_id": "olive_oil", "name": "Extra-virgin olive oil", "grams": 10.0, "note": ""}]</t>
        </is>
      </c>
      <c r="N942" s="2" t="n">
        <v>262</v>
      </c>
      <c r="O942" s="5" t="n">
        <v>14.4</v>
      </c>
      <c r="P942" s="5" t="n">
        <v>7</v>
      </c>
      <c r="Q942" s="5" t="n">
        <v>37.3</v>
      </c>
      <c r="R942" s="5" t="n">
        <v>13</v>
      </c>
      <c r="S942" s="5" t="n">
        <v>24.2</v>
      </c>
      <c r="T942" s="2" t="n">
        <v>28</v>
      </c>
      <c r="U942" s="2" t="inlineStr">
        <is>
          <t>low</t>
        </is>
      </c>
      <c r="V942" s="5" t="n">
        <v>6.8</v>
      </c>
      <c r="W942" s="2" t="inlineStr">
        <is>
          <t>low</t>
        </is>
      </c>
      <c r="X942" s="3" t="inlineStr"/>
      <c r="Y942" s="3" t="inlineStr">
        <is>
          <t>50% of this dish's available carbohydrate comes from ingredients with a published, measured GI; the rest uses conventional placeholders (see Ingredients sheet)</t>
        </is>
      </c>
      <c r="Z942" s="2" t="n">
        <v>50</v>
      </c>
      <c r="AA942" s="3" t="inlineStr">
        <is>
          <t>vegetarian, gluten-free, nut-free, high-fiber, meal-prep</t>
        </is>
      </c>
      <c r="AB942" s="3" t="inlineStr">
        <is>
          <t>1. Halve peppers; roast 10 minutes.
2. Sauté onion, garlic, zucchini; add lentils, tomatoes, cumin.
3. Fill; top feta; bake at 400°F 20 minutes; parsley.</t>
        </is>
      </c>
      <c r="AC942" s="4" t="inlineStr">
        <is>
          <t>["Halve peppers; roast 10 minutes.", "Sauté onion, garlic, zucchini; add lentils, tomatoes, cumin.", "Fill; top feta; bake at 400°F 20 minutes; parsley."]</t>
        </is>
      </c>
    </row>
    <row r="943" ht="96" customHeight="1">
      <c r="A943" s="2" t="inlineStr">
        <is>
          <t>DB-0942</t>
        </is>
      </c>
      <c r="B943" s="3" t="inlineStr">
        <is>
          <t>Chickpea Shawarma Bowls</t>
        </is>
      </c>
      <c r="C943" s="4" t="inlineStr">
        <is>
          <t>Vegetarian &amp; Vegan</t>
        </is>
      </c>
      <c r="D943" s="4" t="inlineStr">
        <is>
          <t>Middle Eastern</t>
        </is>
      </c>
      <c r="E943" s="2" t="n">
        <v>4</v>
      </c>
      <c r="F943" s="2" t="n">
        <v>10</v>
      </c>
      <c r="G943" s="2" t="n">
        <v>25</v>
      </c>
      <c r="H943" s="2" t="n">
        <v>35</v>
      </c>
      <c r="I943" s="4" t="inlineStr">
        <is>
          <t>chickpea-shawarma-bowls.jpg</t>
        </is>
      </c>
      <c r="J943" s="3" t="inlineStr">
        <is>
          <t>Chickpea Shawarma Bowls, healthy food photography, plated, natural light</t>
        </is>
      </c>
      <c r="K943" s="4" t="inlineStr"/>
      <c r="L943" s="3" t="inlineStr">
        <is>
          <t>Chickpeas, cooked — 500 g (17.6 oz)
Ground cumin — 4 g (0.1 oz)
Paprika — 4 g (0.1 oz)
Ground turmeric — 2 g (0.1 oz)
Ground coriander — 2 g (0.1 oz)
Garlic — 6 g (0.2 oz)
Extra-virgin olive oil — 20 g (0.7 oz)
Cauliflower rice — 500 g (17.6 oz)
Cucumber — 200 g (7.1 oz)
Tomato — 200 g (7.1 oz)
Red onion — 40 g (1.4 oz)
Tahini — 40 g (1.4 oz)
Lemon juice — 25 g (0.9 oz)
Fresh parsley — 8 g (0.3 oz)
Salt — 3 g (0.1 oz)</t>
        </is>
      </c>
      <c r="M943" s="4" t="inlineStr">
        <is>
          <t>[{"ingredient_id": "chickpeas", "name": "Chickpeas, cooked", "grams": 500.0, "note": ""}, {"ingredient_id": "cumin", "name": "Ground cumin", "grams": 4.0, "note": ""}, {"ingredient_id": "paprika", "name": "Paprika", "grams": 4.0, "note": ""}, {"ingredient_id": "turmeric", "name": "Ground turmeric", "grams": 2.0, "note": ""}, {"ingredient_id": "coriander", "name": "Ground coriander", "grams": 2.0, "note": ""}, {"ingredient_id": "garlic", "name": "Garlic", "grams": 6.0, "note": ""}, {"ingredient_id": "olive_oil", "name": "Extra-virgin olive oil", "grams": 20.0, "note": ""}, {"ingredient_id": "cauliflower_rice", "name": "Cauliflower rice", "grams": 500.0, "note": ""}, {"ingredient_id": "cucumber", "name": "Cucumber", "grams": 200.0, "note": ""}, {"ingredient_id": "tomato", "name": "Tomato", "grams": 200.0, "note": ""}, {"ingredient_id": "red_onion", "name": "Red onion", "grams": 40.0, "note": ""}, {"ingredient_id": "tahini", "name": "Tahini", "grams": 40.0, "note": ""}, {"ingredient_id": "lemon_juice", "name": "Lemon juice", "grams": 25.0, "note": ""}, {"ingredient_id": "parsley", "name": "Fresh parsley", "grams": 8.0, "note": ""}, {"ingredient_id": "salt", "name": "Salt", "grams": 3.0, "note": ""}]</t>
        </is>
      </c>
      <c r="N943" s="2" t="n">
        <v>374</v>
      </c>
      <c r="O943" s="5" t="n">
        <v>16.7</v>
      </c>
      <c r="P943" s="5" t="n">
        <v>14.7</v>
      </c>
      <c r="Q943" s="5" t="n">
        <v>49.4</v>
      </c>
      <c r="R943" s="5" t="n">
        <v>14.8</v>
      </c>
      <c r="S943" s="5" t="n">
        <v>34.6</v>
      </c>
      <c r="T943" s="2" t="n">
        <v>32</v>
      </c>
      <c r="U943" s="2" t="inlineStr">
        <is>
          <t>low</t>
        </is>
      </c>
      <c r="V943" s="5" t="n">
        <v>11.1</v>
      </c>
      <c r="W943" s="2" t="inlineStr">
        <is>
          <t>medium</t>
        </is>
      </c>
      <c r="X943" s="3" t="inlineStr"/>
      <c r="Y943" s="3" t="inlineStr">
        <is>
          <t>70% of this dish's available carbohydrate comes from ingredients with a published, measured GI; the rest uses conventional placeholders (see Ingredients sheet)</t>
        </is>
      </c>
      <c r="Z943" s="2" t="n">
        <v>70</v>
      </c>
      <c r="AA943" s="3" t="inlineStr">
        <is>
          <t>vegan, gluten-free, dairy-free, nut-free, high-fiber</t>
        </is>
      </c>
      <c r="AB943" s="3" t="inlineStr">
        <is>
          <t>1. Toss chickpeas with spices, garlic, half the oil; roast at 425°F 22 minutes.
2. Sauté cauliflower rice.
3. Bowl with cucumber, tomato, onion; tahini-lemon sauce; parsley.</t>
        </is>
      </c>
      <c r="AC943" s="4" t="inlineStr">
        <is>
          <t>["Toss chickpeas with spices, garlic, half the oil; roast at 425°F 22 minutes.", "Sauté cauliflower rice.", "Bowl with cucumber, tomato, onion; tahini-lemon sauce; parsley."]</t>
        </is>
      </c>
    </row>
    <row r="944" ht="96" customHeight="1">
      <c r="A944" s="2" t="inlineStr">
        <is>
          <t>DB-0943</t>
        </is>
      </c>
      <c r="B944" s="3" t="inlineStr">
        <is>
          <t>Eggplant &amp; Chickpea Stew</t>
        </is>
      </c>
      <c r="C944" s="4" t="inlineStr">
        <is>
          <t>Vegetarian &amp; Vegan</t>
        </is>
      </c>
      <c r="D944" s="4" t="inlineStr">
        <is>
          <t>Middle Eastern</t>
        </is>
      </c>
      <c r="E944" s="2" t="n">
        <v>4</v>
      </c>
      <c r="F944" s="2" t="n">
        <v>10</v>
      </c>
      <c r="G944" s="2" t="n">
        <v>35</v>
      </c>
      <c r="H944" s="2" t="n">
        <v>45</v>
      </c>
      <c r="I944" s="4" t="inlineStr">
        <is>
          <t>eggplant-and-chickpea-stew.jpg</t>
        </is>
      </c>
      <c r="J944" s="3" t="inlineStr">
        <is>
          <t>Eggplant &amp; Chickpea Stew, healthy food photography, plated, natural light</t>
        </is>
      </c>
      <c r="K944" s="4" t="inlineStr"/>
      <c r="L944" s="3" t="inlineStr">
        <is>
          <t>Eggplant — 600 g (21.2 oz)
Chickpeas, cooked — 400 g (14.1 oz)
Diced tomatoes, canned — 400 g (14.1 oz)
Yellow onion — 120 g (4.2 oz)
Garlic — 8 g (0.3 oz)
Ground cumin — 3 g (0.1 oz)
Ground cinnamon — 1 g (0.0 oz)
Smoked paprika — 2 g (0.1 oz)
Extra-virgin olive oil — 20 g (0.7 oz)
Fresh parsley — 8 g (0.3 oz)
Lemon (with juice &amp; zest) — 30 g (1.1 oz)
Salt — 3 g (0.1 oz)</t>
        </is>
      </c>
      <c r="M944" s="4" t="inlineStr">
        <is>
          <t>[{"ingredient_id": "eggplant", "name": "Eggplant", "grams": 600.0, "note": ""}, {"ingredient_id": "chickpeas", "name": "Chickpeas, cooked", "grams": 400.0, "note": ""}, {"ingredient_id": "diced_tomatoes", "name": "Diced tomatoes, canned", "grams": 400.0, "note": ""}, {"ingredient_id": "onion", "name": "Yellow onion", "grams": 120.0, "note": ""}, {"ingredient_id": "garlic", "name": "Garlic", "grams": 8.0, "note": ""}, {"ingredient_id": "cumin", "name": "Ground cumin", "grams": 3.0, "note": ""}, {"ingredient_id": "cinnamon", "name": "Ground cinnamon", "grams": 1.0, "note": ""}, {"ingredient_id": "smoked_paprika", "name": "Smoked paprika", "grams": 2.0, "note": ""}, {"ingredient_id": "olive_oil", "name": "Extra-virgin olive oil", "grams": 20.0, "note": ""}, {"ingredient_id": "parsley", "name": "Fresh parsley", "grams": 8.0, "note": ""}, {"ingredient_id": "lemon", "name": "Lemon (with juice &amp; zest)", "grams": 30.0, "note": ""}, {"ingredient_id": "salt", "name": "Salt", "grams": 3.0, "note": ""}]</t>
        </is>
      </c>
      <c r="N944" s="2" t="n">
        <v>292</v>
      </c>
      <c r="O944" s="5" t="n">
        <v>12.4</v>
      </c>
      <c r="P944" s="5" t="n">
        <v>8.4</v>
      </c>
      <c r="Q944" s="5" t="n">
        <v>46.1</v>
      </c>
      <c r="R944" s="5" t="n">
        <v>14.8</v>
      </c>
      <c r="S944" s="5" t="n">
        <v>31.3</v>
      </c>
      <c r="T944" s="2" t="n">
        <v>32</v>
      </c>
      <c r="U944" s="2" t="inlineStr">
        <is>
          <t>low</t>
        </is>
      </c>
      <c r="V944" s="5" t="n">
        <v>10</v>
      </c>
      <c r="W944" s="2" t="inlineStr">
        <is>
          <t>low</t>
        </is>
      </c>
      <c r="X944" s="3" t="inlineStr"/>
      <c r="Y944" s="3" t="inlineStr">
        <is>
          <t>62% of this dish's available carbohydrate comes from ingredients with a published, measured GI; the rest uses conventional placeholders (see Ingredients sheet)</t>
        </is>
      </c>
      <c r="Z944" s="2" t="n">
        <v>62</v>
      </c>
      <c r="AA944" s="3" t="inlineStr">
        <is>
          <t>vegan, gluten-free, dairy-free, nut-free, high-fiber, make-ahead</t>
        </is>
      </c>
      <c r="AB944" s="3" t="inlineStr">
        <is>
          <t>1. Sauté eggplant cubes in oil until golden; remove.
2. Sauté onion, garlic, spices; add tomatoes, chickpeas, eggplant.
3. Simmer 20 minutes; parsley, lemon.</t>
        </is>
      </c>
      <c r="AC944" s="4" t="inlineStr">
        <is>
          <t>["Sauté eggplant cubes in oil until golden; remove.", "Sauté onion, garlic, spices; add tomatoes, chickpeas, eggplant.", "Simmer 20 minutes; parsley, lemon."]</t>
        </is>
      </c>
    </row>
    <row r="945" ht="96" customHeight="1">
      <c r="A945" s="2" t="inlineStr">
        <is>
          <t>DB-0944</t>
        </is>
      </c>
      <c r="B945" s="3" t="inlineStr">
        <is>
          <t>Tofu Broccoli Cauliflower Rice Bowl with Tahini</t>
        </is>
      </c>
      <c r="C945" s="4" t="inlineStr">
        <is>
          <t>Vegetarian &amp; Vegan</t>
        </is>
      </c>
      <c r="D945" s="4" t="inlineStr">
        <is>
          <t>American</t>
        </is>
      </c>
      <c r="E945" s="2" t="n">
        <v>3</v>
      </c>
      <c r="F945" s="2" t="n">
        <v>10</v>
      </c>
      <c r="G945" s="2" t="n">
        <v>20</v>
      </c>
      <c r="H945" s="2" t="n">
        <v>30</v>
      </c>
      <c r="I945" s="4" t="inlineStr">
        <is>
          <t>tofu-broccoli-cauliflower-rice-bowl-with-tahini.jpg</t>
        </is>
      </c>
      <c r="J945" s="3" t="inlineStr">
        <is>
          <t>Tofu Broccoli Cauliflower Rice Bowl with Tahini, healthy food photography, plated, natural light</t>
        </is>
      </c>
      <c r="K945" s="4" t="inlineStr"/>
      <c r="L945" s="3" t="inlineStr">
        <is>
          <t>Tofu, extra-firm — 400 g (14.1 oz)
Broccoli — 400 g (14.1 oz)
Cauliflower rice — 400 g (14.1 oz)
Tahini — 30 g (1.1 oz)
Lemon juice — 20 g (0.7 oz)
Tamari (gluten-free soy sauce) — 15 g (0.5 oz)
Garlic — 4 g (0.1 oz)
Extra-virgin olive oil — 15 g (0.5 oz)
Sesame seeds — 6 g (0.2 oz)</t>
        </is>
      </c>
      <c r="M945" s="4" t="inlineStr">
        <is>
          <t>[{"ingredient_id": "tofu", "name": "Tofu, extra-firm", "grams": 400.0, "note": ""}, {"ingredient_id": "broccoli", "name": "Broccoli", "grams": 400.0, "note": ""}, {"ingredient_id": "cauliflower_rice", "name": "Cauliflower rice", "grams": 400.0, "note": ""}, {"ingredient_id": "tahini", "name": "Tahini", "grams": 30.0, "note": ""}, {"ingredient_id": "lemon_juice", "name": "Lemon juice", "grams": 20.0, "note": ""}, {"ingredient_id": "tamari", "name": "Tamari (gluten-free soy sauce)", "grams": 15.0, "note": ""}, {"ingredient_id": "garlic", "name": "Garlic", "grams": 4.0, "note": ""}, {"ingredient_id": "olive_oil", "name": "Extra-virgin olive oil", "grams": 15.0, "note": ""}, {"ingredient_id": "sesame_seeds", "name": "Sesame seeds", "grams": 6.0, "note": ""}]</t>
        </is>
      </c>
      <c r="N945" s="2" t="n">
        <v>392</v>
      </c>
      <c r="O945" s="5" t="n">
        <v>31.6</v>
      </c>
      <c r="P945" s="5" t="n">
        <v>24.4</v>
      </c>
      <c r="Q945" s="5" t="n">
        <v>23.2</v>
      </c>
      <c r="R945" s="5" t="n">
        <v>10</v>
      </c>
      <c r="S945" s="5" t="n">
        <v>13.1</v>
      </c>
      <c r="T945" s="2" t="n">
        <v>18</v>
      </c>
      <c r="U945" s="2" t="inlineStr">
        <is>
          <t>low</t>
        </is>
      </c>
      <c r="V945" s="5" t="n">
        <v>2.4</v>
      </c>
      <c r="W945" s="2" t="inlineStr">
        <is>
          <t>low</t>
        </is>
      </c>
      <c r="X945" s="3" t="inlineStr"/>
      <c r="Y945" s="3" t="inlineStr">
        <is>
          <t>0% of this dish's available carbohydrate comes from ingredients with a published, measured GI; the rest uses conventional placeholders (see Ingredients sheet)</t>
        </is>
      </c>
      <c r="Z945" s="2" t="n">
        <v>0</v>
      </c>
      <c r="AA945" s="3" t="inlineStr">
        <is>
          <t>vegan, gluten-free, dairy-free, nut-free, low-carb, high-protein, high-fiber</t>
        </is>
      </c>
      <c r="AB945" s="3" t="inlineStr">
        <is>
          <t>1. Roast tofu and broccoli with oil at 425°F 20 minutes.
2. Sauté cauliflower rice.
3. Whisk tahini, lemon, tamari, garlic, water; bowl; sesame.</t>
        </is>
      </c>
      <c r="AC945" s="4" t="inlineStr">
        <is>
          <t>["Roast tofu and broccoli with oil at 425°F 20 minutes.", "Sauté cauliflower rice.", "Whisk tahini, lemon, tamari, garlic, water; bowl; sesame."]</t>
        </is>
      </c>
    </row>
    <row r="946" ht="96" customHeight="1">
      <c r="A946" s="2" t="inlineStr">
        <is>
          <t>DB-0945</t>
        </is>
      </c>
      <c r="B946" s="3" t="inlineStr">
        <is>
          <t>Greek Egg &amp; Feta Stuffed Zucchini</t>
        </is>
      </c>
      <c r="C946" s="4" t="inlineStr">
        <is>
          <t>Vegetarian &amp; Vegan</t>
        </is>
      </c>
      <c r="D946" s="4" t="inlineStr">
        <is>
          <t>Greek</t>
        </is>
      </c>
      <c r="E946" s="2" t="n">
        <v>4</v>
      </c>
      <c r="F946" s="2" t="n">
        <v>10</v>
      </c>
      <c r="G946" s="2" t="n">
        <v>30</v>
      </c>
      <c r="H946" s="2" t="n">
        <v>40</v>
      </c>
      <c r="I946" s="4" t="inlineStr">
        <is>
          <t>greek-egg-and-feta-stuffed-zucchini.jpg</t>
        </is>
      </c>
      <c r="J946" s="3" t="inlineStr">
        <is>
          <t>Greek Egg &amp; Feta Stuffed Zucchini, healthy food photography, plated, natural light</t>
        </is>
      </c>
      <c r="K946" s="4" t="inlineStr"/>
      <c r="L946" s="3" t="inlineStr">
        <is>
          <t>Zucchini — 800 g (28.2 oz)
Egg, large (50 g each) — 200 g (7.1 oz)
Feta cheese — 80 g (2.8 oz)
Cherry tomatoes — 120 g (4.2 oz)
Fresh dill — 5 g (0.2 oz)
Green onions (scallions) — 15 g (0.5 oz)
Extra-virgin olive oil — 8 g (0.3 oz)
Salt — 2 g (0.1 oz)</t>
        </is>
      </c>
      <c r="M946" s="4" t="inlineStr">
        <is>
          <t>[{"ingredient_id": "zucchini", "name": "Zucchini", "grams": 800.0, "note": ""}, {"ingredient_id": "egg", "name": "Egg, large (50 g each)", "grams": 200.0, "note": ""}, {"ingredient_id": "feta", "name": "Feta cheese", "grams": 80.0, "note": ""}, {"ingredient_id": "cherry_tomato", "name": "Cherry tomatoes", "grams": 120.0, "note": ""}, {"ingredient_id": "dill", "name": "Fresh dill", "grams": 5.0, "note": ""}, {"ingredient_id": "green_onion", "name": "Green onions (scallions)", "grams": 15.0, "note": ""}, {"ingredient_id": "olive_oil", "name": "Extra-virgin olive oil", "grams": 8.0, "note": ""}, {"ingredient_id": "salt", "name": "Salt", "grams": 2.0, "note": ""}]</t>
        </is>
      </c>
      <c r="N946" s="2" t="n">
        <v>183</v>
      </c>
      <c r="O946" s="5" t="n">
        <v>11.9</v>
      </c>
      <c r="P946" s="5" t="n">
        <v>11.6</v>
      </c>
      <c r="Q946" s="5" t="n">
        <v>8.9</v>
      </c>
      <c r="R946" s="5" t="n">
        <v>2.5</v>
      </c>
      <c r="S946" s="5" t="n">
        <v>6.4</v>
      </c>
      <c r="T946" s="2" t="n">
        <v>12</v>
      </c>
      <c r="U946" s="2" t="inlineStr">
        <is>
          <t>low</t>
        </is>
      </c>
      <c r="V946" s="5" t="n">
        <v>0.8</v>
      </c>
      <c r="W946" s="2" t="inlineStr">
        <is>
          <t>low</t>
        </is>
      </c>
      <c r="X946" s="3" t="inlineStr"/>
      <c r="Y946" s="3" t="inlineStr">
        <is>
          <t>0% of this dish's available carbohydrate comes from ingredients with a published, measured GI; the rest uses conventional placeholders (see Ingredients sheet)</t>
        </is>
      </c>
      <c r="Z946" s="2" t="n">
        <v>0</v>
      </c>
      <c r="AA946" s="3" t="inlineStr">
        <is>
          <t>vegetarian, gluten-free, nut-free, low-carb</t>
        </is>
      </c>
      <c r="AB946" s="3" t="inlineStr">
        <is>
          <t>1. Halve zucchini; scoop; roast 10 minutes.
2. Whisk eggs, feta, chopped tomato, dill, green onion, salt.
3. Fill; bake at 375°F 18 minutes until set.</t>
        </is>
      </c>
      <c r="AC946" s="4" t="inlineStr">
        <is>
          <t>["Halve zucchini; scoop; roast 10 minutes.", "Whisk eggs, feta, chopped tomato, dill, green onion, salt.", "Fill; bake at 375°F 18 minutes until set."]</t>
        </is>
      </c>
    </row>
    <row r="947" ht="96" customHeight="1">
      <c r="A947" s="2" t="inlineStr">
        <is>
          <t>DB-0946</t>
        </is>
      </c>
      <c r="B947" s="3" t="inlineStr">
        <is>
          <t>Black Bean Cauliflower Rice Skillet</t>
        </is>
      </c>
      <c r="C947" s="4" t="inlineStr">
        <is>
          <t>Vegetarian &amp; Vegan</t>
        </is>
      </c>
      <c r="D947" s="4" t="inlineStr">
        <is>
          <t>Tex-Mex</t>
        </is>
      </c>
      <c r="E947" s="2" t="n">
        <v>4</v>
      </c>
      <c r="F947" s="2" t="n">
        <v>10</v>
      </c>
      <c r="G947" s="2" t="n">
        <v>15</v>
      </c>
      <c r="H947" s="2" t="n">
        <v>25</v>
      </c>
      <c r="I947" s="4" t="inlineStr">
        <is>
          <t>black-bean-cauliflower-rice-skillet.jpg</t>
        </is>
      </c>
      <c r="J947" s="3" t="inlineStr">
        <is>
          <t>Black Bean Cauliflower Rice Skillet, healthy food photography, plated, natural light</t>
        </is>
      </c>
      <c r="K947" s="4" t="inlineStr"/>
      <c r="L947" s="3" t="inlineStr">
        <is>
          <t>Black beans, cooked — 500 g (17.6 oz)
Cauliflower rice — 500 g (17.6 oz)
Bell pepper — 150 g (5.3 oz)
Yellow onion — 100 g (3.5 oz)
Garlic — 6 g (0.2 oz)
Ground cumin — 4 g (0.1 oz)
Chili powder — 3 g (0.1 oz)
Diced tomatoes, canned — 300 g (10.6 oz)
Lime — 30 g (1.1 oz)
Cheddar cheese — 60 g (2.1 oz)
Avocado — 100 g (3.5 oz)
Fresh cilantro — 6 g (0.2 oz)
Extra-virgin olive oil — 12 g (0.4 oz)</t>
        </is>
      </c>
      <c r="M947" s="4" t="inlineStr">
        <is>
          <t>[{"ingredient_id": "black_beans", "name": "Black beans, cooked", "grams": 500.0, "note": ""}, {"ingredient_id": "cauliflower_rice", "name": "Cauliflower rice", "grams": 500.0, "note": ""}, {"ingredient_id": "bell_pepper", "name": "Bell pepper", "grams": 150.0, "note": ""}, {"ingredient_id": "onion", "name": "Yellow onion", "grams": 100.0, "note": ""}, {"ingredient_id": "garlic", "name": "Garlic", "grams": 6.0, "note": ""}, {"ingredient_id": "cumin", "name": "Ground cumin", "grams": 4.0, "note": ""}, {"ingredient_id": "chili_powder", "name": "Chili powder", "grams": 3.0, "note": ""}, {"ingredient_id": "diced_tomatoes", "name": "Diced tomatoes, canned", "grams": 300.0, "note": ""}, {"ingredient_id": "lime", "name": "Lime", "grams": 30.0, "note": ""}, {"ingredient_id": "cheddar", "name": "Cheddar cheese", "grams": 60.0, "note": ""}, {"ingredient_id": "avocado", "name": "Avocado", "grams": 100.0, "note": ""}, {"ingredient_id": "cilantro", "name": "Fresh cilantro", "grams": 6.0, "note": ""}, {"ingredient_id": "olive_oil", "name": "Extra-virgin olive oil", "grams": 12.0, "note": ""}]</t>
        </is>
      </c>
      <c r="N947" s="2" t="n">
        <v>374</v>
      </c>
      <c r="O947" s="5" t="n">
        <v>19.5</v>
      </c>
      <c r="P947" s="5" t="n">
        <v>13.3</v>
      </c>
      <c r="Q947" s="5" t="n">
        <v>48.7</v>
      </c>
      <c r="R947" s="5" t="n">
        <v>18</v>
      </c>
      <c r="S947" s="5" t="n">
        <v>30.6</v>
      </c>
      <c r="T947" s="2" t="n">
        <v>26</v>
      </c>
      <c r="U947" s="2" t="inlineStr">
        <is>
          <t>low</t>
        </is>
      </c>
      <c r="V947" s="5" t="n">
        <v>8</v>
      </c>
      <c r="W947" s="2" t="inlineStr">
        <is>
          <t>low</t>
        </is>
      </c>
      <c r="X947" s="3" t="inlineStr"/>
      <c r="Y947" s="3" t="inlineStr">
        <is>
          <t>61% of this dish's available carbohydrate comes from ingredients with a published, measured GI; the rest uses conventional placeholders (see Ingredients sheet)</t>
        </is>
      </c>
      <c r="Z947" s="2" t="n">
        <v>61</v>
      </c>
      <c r="AA947" s="3" t="inlineStr">
        <is>
          <t>vegetarian, gluten-free, nut-free, high-fiber, one-pan, quick</t>
        </is>
      </c>
      <c r="AB947" s="3" t="inlineStr">
        <is>
          <t>1. Sauté onion, pepper, garlic, spices in oil.
2. Add cauliflower rice, beans, tomatoes; simmer 8 minutes.
3. Cheddar, avocado, cilantro, lime.</t>
        </is>
      </c>
      <c r="AC947" s="4" t="inlineStr">
        <is>
          <t>["Sauté onion, pepper, garlic, spices in oil.", "Add cauliflower rice, beans, tomatoes; simmer 8 minutes.", "Cheddar, avocado, cilantro, lime."]</t>
        </is>
      </c>
    </row>
    <row r="948" ht="96" customHeight="1">
      <c r="A948" s="2" t="inlineStr">
        <is>
          <t>DB-0947</t>
        </is>
      </c>
      <c r="B948" s="3" t="inlineStr">
        <is>
          <t>Tempeh Lettuce Wraps with Ginger</t>
        </is>
      </c>
      <c r="C948" s="4" t="inlineStr">
        <is>
          <t>Vegetarian &amp; Vegan</t>
        </is>
      </c>
      <c r="D948" s="4" t="inlineStr">
        <is>
          <t>Asian</t>
        </is>
      </c>
      <c r="E948" s="2" t="n">
        <v>3</v>
      </c>
      <c r="F948" s="2" t="n">
        <v>10</v>
      </c>
      <c r="G948" s="2" t="n">
        <v>10</v>
      </c>
      <c r="H948" s="2" t="n">
        <v>20</v>
      </c>
      <c r="I948" s="4" t="inlineStr">
        <is>
          <t>tempeh-lettuce-wraps-with-ginger.jpg</t>
        </is>
      </c>
      <c r="J948" s="3" t="inlineStr">
        <is>
          <t>Tempeh Lettuce Wraps with Ginger, healthy food photography, plated, natural light</t>
        </is>
      </c>
      <c r="K948" s="4" t="inlineStr"/>
      <c r="L948" s="3" t="inlineStr">
        <is>
          <t>Tempeh — 350 g (12.3 oz)
Fresh ginger — 10 g (0.4 oz)
Garlic — 6 g (0.2 oz)
Tamari (gluten-free soy sauce) — 25 g (0.9 oz)
Rice vinegar, unseasoned — 12 g (0.4 oz)
Toasted sesame oil — 8 g (0.3 oz)
Water chestnuts, canned — 80 g (2.8 oz)
Green onions (scallions) — 20 g (0.7 oz)
Butter lettuce — 150 g (5.3 oz)
Avocado oil — 10 g (0.4 oz)
Sriracha — 5 g (0.2 oz)</t>
        </is>
      </c>
      <c r="M948" s="4" t="inlineStr">
        <is>
          <t>[{"ingredient_id": "tempeh", "name": "Tempeh", "grams": 350.0, "note": ""}, {"ingredient_id": "ginger", "name": "Fresh ginger", "grams": 10.0, "note": ""}, {"ingredient_id": "garlic", "name": "Garlic", "grams": 6.0, "note": ""}, {"ingredient_id": "tamari", "name": "Tamari (gluten-free soy sauce)", "grams": 25.0, "note": ""}, {"ingredient_id": "rice_vinegar", "name": "Rice vinegar, unseasoned", "grams": 12.0, "note": ""}, {"ingredient_id": "sesame_oil", "name": "Toasted sesame oil", "grams": 8.0, "note": ""}, {"ingredient_id": "water_chestnuts", "name": "Water chestnuts, canned", "grams": 80.0, "note": ""}, {"ingredient_id": "green_onion", "name": "Green onions (scallions)", "grams": 20.0, "note": ""}, {"ingredient_id": "butter_lettuce", "name": "Butter lettuce", "grams": 150.0, "note": ""}, {"ingredient_id": "avocado_oil", "name": "Avocado oil", "grams": 10.0, "note": ""}, {"ingredient_id": "sriracha", "name": "Sriracha", "grams": 5.0, "note": ""}]</t>
        </is>
      </c>
      <c r="N948" s="2" t="n">
        <v>312</v>
      </c>
      <c r="O948" s="5" t="n">
        <v>25.4</v>
      </c>
      <c r="P948" s="5" t="n">
        <v>19</v>
      </c>
      <c r="Q948" s="5" t="n">
        <v>16.1</v>
      </c>
      <c r="R948" s="5" t="n">
        <v>8.6</v>
      </c>
      <c r="S948" s="5" t="n">
        <v>7.5</v>
      </c>
      <c r="T948" s="2" t="n">
        <v>27</v>
      </c>
      <c r="U948" s="2" t="inlineStr">
        <is>
          <t>low</t>
        </is>
      </c>
      <c r="V948" s="5" t="n">
        <v>2</v>
      </c>
      <c r="W948" s="2" t="inlineStr">
        <is>
          <t>low</t>
        </is>
      </c>
      <c r="X948" s="3" t="inlineStr"/>
      <c r="Y948" s="3" t="inlineStr">
        <is>
          <t>0% of this dish's available carbohydrate comes from ingredients with a published, measured GI; the rest uses conventional placeholders (see Ingredients sheet)</t>
        </is>
      </c>
      <c r="Z948" s="2" t="n">
        <v>0</v>
      </c>
      <c r="AA948" s="3" t="inlineStr">
        <is>
          <t>vegan, gluten-free, dairy-free, nut-free, low-carb, high-protein, high-fiber, quick</t>
        </is>
      </c>
      <c r="AB948" s="3" t="inlineStr">
        <is>
          <t>1. Crumble tempeh; brown in oil with ginger and garlic.
2. Add water chestnuts, tamari, vinegar, sesame oil.
3. Fill lettuce; green onion, sriracha.</t>
        </is>
      </c>
      <c r="AC948" s="4" t="inlineStr">
        <is>
          <t>["Crumble tempeh; brown in oil with ginger and garlic.", "Add water chestnuts, tamari, vinegar, sesame oil.", "Fill lettuce; green onion, sriracha."]</t>
        </is>
      </c>
    </row>
    <row r="949" ht="96" customHeight="1">
      <c r="A949" s="2" t="inlineStr">
        <is>
          <t>DB-0948</t>
        </is>
      </c>
      <c r="B949" s="3" t="inlineStr">
        <is>
          <t>Mushroom &amp; White Bean Ragu over Spaghetti Squash</t>
        </is>
      </c>
      <c r="C949" s="4" t="inlineStr">
        <is>
          <t>Vegetarian &amp; Vegan</t>
        </is>
      </c>
      <c r="D949" s="4" t="inlineStr">
        <is>
          <t>Italian</t>
        </is>
      </c>
      <c r="E949" s="2" t="n">
        <v>4</v>
      </c>
      <c r="F949" s="2" t="n">
        <v>10</v>
      </c>
      <c r="G949" s="2" t="n">
        <v>50</v>
      </c>
      <c r="H949" s="2" t="n">
        <v>60</v>
      </c>
      <c r="I949" s="4" t="inlineStr">
        <is>
          <t>mushroom-and-white-bean-ragu-over-spaghetti-squash.jpg</t>
        </is>
      </c>
      <c r="J949" s="3" t="inlineStr">
        <is>
          <t>Mushroom &amp; White Bean Ragu over Spaghetti Squash, healthy food photography, plated, natural light</t>
        </is>
      </c>
      <c r="K949" s="4" t="inlineStr"/>
      <c r="L949" s="3" t="inlineStr">
        <is>
          <t>Spaghetti squash, cooked — 1200 g (42.3 oz)
Mushrooms (cremini/white) — 500 g (17.6 oz)
Cannellini beans, cooked — 400 g (14.1 oz)
Crushed tomatoes, canned — 400 g (14.1 oz)
Yellow onion — 100 g (3.5 oz)
Garlic — 8 g (0.3 oz)
Dry red wine (cooking) — 60 g (2.1 oz)
Extra-virgin olive oil — 15 g (0.5 oz)
Fresh rosemary — 2 g (0.1 oz)
Parmesan, grated — 30 g (1.1 oz)
Salt — 3 g (0.1 oz)</t>
        </is>
      </c>
      <c r="M949" s="4" t="inlineStr">
        <is>
          <t>[{"ingredient_id": "spaghetti_squash", "name": "Spaghetti squash, cooked", "grams": 1200.0, "note": ""}, {"ingredient_id": "mushrooms", "name": "Mushrooms (cremini/white)", "grams": 500.0, "note": ""}, {"ingredient_id": "white_beans", "name": "Cannellini beans, cooked", "grams": 400.0, "note": ""}, {"ingredient_id": "crushed_tomatoes", "name": "Crushed tomatoes, canned", "grams": 400.0, "note": ""}, {"ingredient_id": "onion", "name": "Yellow onion", "grams": 100.0, "note": ""}, {"ingredient_id": "garlic", "name": "Garlic", "grams": 8.0, "note": ""}, {"ingredient_id": "red_wine", "name": "Dry red wine (cooking)", "grams": 60.0, "note": ""}, {"ingredient_id": "olive_oil", "name": "Extra-virgin olive oil", "grams": 15.0, "note": ""}, {"ingredient_id": "rosemary", "name": "Fresh rosemary", "grams": 2.0, "note": ""}, {"ingredient_id": "parmesan", "name": "Parmesan, grated", "grams": 30.0, "note": ""}, {"ingredient_id": "salt", "name": "Salt", "grams": 3.0, "note": ""}]</t>
        </is>
      </c>
      <c r="N949" s="2" t="n">
        <v>383</v>
      </c>
      <c r="O949" s="5" t="n">
        <v>20.2</v>
      </c>
      <c r="P949" s="5" t="n">
        <v>8.9</v>
      </c>
      <c r="Q949" s="5" t="n">
        <v>60.9</v>
      </c>
      <c r="R949" s="5" t="n">
        <v>14.5</v>
      </c>
      <c r="S949" s="5" t="n">
        <v>46.4</v>
      </c>
      <c r="T949" s="2" t="n">
        <v>25</v>
      </c>
      <c r="U949" s="2" t="inlineStr">
        <is>
          <t>low</t>
        </is>
      </c>
      <c r="V949" s="5" t="n">
        <v>11.6</v>
      </c>
      <c r="W949" s="2" t="inlineStr">
        <is>
          <t>medium</t>
        </is>
      </c>
      <c r="X949" s="3" t="inlineStr"/>
      <c r="Y949" s="3" t="inlineStr">
        <is>
          <t>40% of this dish's available carbohydrate comes from ingredients with a published, measured GI; the rest uses conventional placeholders (see Ingredients sheet)</t>
        </is>
      </c>
      <c r="Z949" s="2" t="n">
        <v>40</v>
      </c>
      <c r="AA949" s="3" t="inlineStr">
        <is>
          <t>vegetarian, gluten-free, nut-free, high-fiber</t>
        </is>
      </c>
      <c r="AB949" s="3" t="inlineStr">
        <is>
          <t>1. Roast halved squash 40 minutes.
2. Sear mushrooms in oil; add onion, garlic, wine, tomatoes, beans, rosemary; simmer 15 minutes.
3. Serve over squash with parmesan.</t>
        </is>
      </c>
      <c r="AC949" s="4" t="inlineStr">
        <is>
          <t>["Roast halved squash 40 minutes.", "Sear mushrooms in oil; add onion, garlic, wine, tomatoes, beans, rosemary; simmer 15 minutes.", "Serve over squash with parmesan."]</t>
        </is>
      </c>
    </row>
    <row r="950" ht="96" customHeight="1">
      <c r="A950" s="2" t="inlineStr">
        <is>
          <t>DB-0949</t>
        </is>
      </c>
      <c r="B950" s="3" t="inlineStr">
        <is>
          <t>Cauliflower Fried 'Rice' with Egg &amp; Kimchi</t>
        </is>
      </c>
      <c r="C950" s="4" t="inlineStr">
        <is>
          <t>Vegetarian &amp; Vegan</t>
        </is>
      </c>
      <c r="D950" s="4" t="inlineStr">
        <is>
          <t>Korean</t>
        </is>
      </c>
      <c r="E950" s="2" t="n">
        <v>2</v>
      </c>
      <c r="F950" s="2" t="n">
        <v>5</v>
      </c>
      <c r="G950" s="2" t="n">
        <v>10</v>
      </c>
      <c r="H950" s="2" t="n">
        <v>15</v>
      </c>
      <c r="I950" s="4" t="inlineStr">
        <is>
          <t>cauliflower-fried-rice-with-egg-and-kimchi.jpg</t>
        </is>
      </c>
      <c r="J950" s="3" t="inlineStr">
        <is>
          <t>Cauliflower Fried 'Rice' with Egg &amp; Kimchi, healthy food photography, plated, natural light</t>
        </is>
      </c>
      <c r="K950" s="4" t="inlineStr"/>
      <c r="L950" s="3" t="inlineStr">
        <is>
          <t>Cauliflower rice — 400 g (14.1 oz)
Kimchi — 150 g (5.3 oz)
Egg, large (50 g each) — 150 g (5.3 oz)
Green onions (scallions) — 20 g (0.7 oz)
Garlic — 5 g (0.2 oz)
Tamari (gluten-free soy sauce) — 12 g (0.4 oz)
Toasted sesame oil — 8 g (0.3 oz)
Avocado oil — 8 g (0.3 oz)
Nori seaweed sheets — 2 g (0.1 oz)</t>
        </is>
      </c>
      <c r="M950" s="4" t="inlineStr">
        <is>
          <t>[{"ingredient_id": "cauliflower_rice", "name": "Cauliflower rice", "grams": 400.0, "note": ""}, {"ingredient_id": "kimchi", "name": "Kimchi", "grams": 150.0, "note": ""}, {"ingredient_id": "egg", "name": "Egg, large (50 g each)", "grams": 150.0, "note": ""}, {"ingredient_id": "green_onion", "name": "Green onions (scallions)", "grams": 20.0, "note": ""}, {"ingredient_id": "garlic", "name": "Garlic", "grams": 5.0, "note": ""}, {"ingredient_id": "tamari", "name": "Tamari (gluten-free soy sauce)", "grams": 12.0, "note": ""}, {"ingredient_id": "sesame_oil", "name": "Toasted sesame oil", "grams": 8.0, "note": ""}, {"ingredient_id": "avocado_oil", "name": "Avocado oil", "grams": 8.0, "note": ""}, {"ingredient_id": "nori", "name": "Nori seaweed sheets", "grams": 2.0, "note": ""}]</t>
        </is>
      </c>
      <c r="N950" s="2" t="n">
        <v>250</v>
      </c>
      <c r="O950" s="5" t="n">
        <v>15.1</v>
      </c>
      <c r="P950" s="5" t="n">
        <v>16.1</v>
      </c>
      <c r="Q950" s="5" t="n">
        <v>14.2</v>
      </c>
      <c r="R950" s="5" t="n">
        <v>5.6</v>
      </c>
      <c r="S950" s="5" t="n">
        <v>8.699999999999999</v>
      </c>
      <c r="T950" s="2" t="n">
        <v>16</v>
      </c>
      <c r="U950" s="2" t="inlineStr">
        <is>
          <t>low</t>
        </is>
      </c>
      <c r="V950" s="5" t="n">
        <v>1.4</v>
      </c>
      <c r="W950" s="2" t="inlineStr">
        <is>
          <t>low</t>
        </is>
      </c>
      <c r="X950" s="3" t="inlineStr"/>
      <c r="Y950" s="3" t="inlineStr">
        <is>
          <t>0% of this dish's available carbohydrate comes from ingredients with a published, measured GI; the rest uses conventional placeholders (see Ingredients sheet)</t>
        </is>
      </c>
      <c r="Z950" s="2" t="n">
        <v>0</v>
      </c>
      <c r="AA950" s="3" t="inlineStr">
        <is>
          <t>vegetarian, gluten-free, dairy-free, nut-free, low-carb, quick, probiotic</t>
        </is>
      </c>
      <c r="AB950" s="3" t="inlineStr">
        <is>
          <t>1. Stir-fry cauliflower rice and kimchi in oil 5 minutes.
2. Scramble eggs in; tamari, sesame oil.
3. Green onion, nori.</t>
        </is>
      </c>
      <c r="AC950" s="4" t="inlineStr">
        <is>
          <t>["Stir-fry cauliflower rice and kimchi in oil 5 minutes.", "Scramble eggs in; tamari, sesame oil.", "Green onion, nori."]</t>
        </is>
      </c>
    </row>
    <row r="951" ht="96" customHeight="1">
      <c r="A951" s="2" t="inlineStr">
        <is>
          <t>DB-0950</t>
        </is>
      </c>
      <c r="B951" s="3" t="inlineStr">
        <is>
          <t>Broccoli &amp; Cheddar Egg White Frittata</t>
        </is>
      </c>
      <c r="C951" s="4" t="inlineStr">
        <is>
          <t>Vegetarian &amp; Vegan</t>
        </is>
      </c>
      <c r="D951" s="4" t="inlineStr">
        <is>
          <t>American</t>
        </is>
      </c>
      <c r="E951" s="2" t="n">
        <v>4</v>
      </c>
      <c r="F951" s="2" t="n">
        <v>10</v>
      </c>
      <c r="G951" s="2" t="n">
        <v>22</v>
      </c>
      <c r="H951" s="2" t="n">
        <v>32</v>
      </c>
      <c r="I951" s="4" t="inlineStr">
        <is>
          <t>broccoli-and-cheddar-egg-white-frittata.jpg</t>
        </is>
      </c>
      <c r="J951" s="3" t="inlineStr">
        <is>
          <t>Broccoli &amp; Cheddar Egg White Frittata, healthy food photography, plated, natural light</t>
        </is>
      </c>
      <c r="K951" s="4" t="inlineStr"/>
      <c r="L951" s="3" t="inlineStr">
        <is>
          <t>Egg whites — 400 g (14.1 oz)
Egg, large (50 g each) — 100 g (3.5 oz)
Broccoli — 300 g (10.6 oz)
Cheddar cheese — 80 g (2.8 oz)
Yellow onion — 60 g (2.1 oz)
Extra-virgin olive oil — 10 g (0.4 oz)
Dijon mustard — 5 g (0.2 oz)
Salt — 2 g (0.1 oz)</t>
        </is>
      </c>
      <c r="M951" s="4" t="inlineStr">
        <is>
          <t>[{"ingredient_id": "egg_white", "name": "Egg whites", "grams": 400.0, "note": ""}, {"ingredient_id": "egg", "name": "Egg, large (50 g each)", "grams": 100.0, "note": ""}, {"ingredient_id": "broccoli", "name": "Broccoli", "grams": 300.0, "note": ""}, {"ingredient_id": "cheddar", "name": "Cheddar cheese", "grams": 80.0, "note": ""}, {"ingredient_id": "onion", "name": "Yellow onion", "grams": 60.0, "note": ""}, {"ingredient_id": "olive_oil", "name": "Extra-virgin olive oil", "grams": 10.0, "note": ""}, {"ingredient_id": "dijon", "name": "Dijon mustard", "grams": 5.0, "note": ""}, {"ingredient_id": "salt", "name": "Salt", "grams": 2.0, "note": ""}]</t>
        </is>
      </c>
      <c r="N951" s="2" t="n">
        <v>223</v>
      </c>
      <c r="O951" s="5" t="n">
        <v>21.1</v>
      </c>
      <c r="P951" s="5" t="n">
        <v>12</v>
      </c>
      <c r="Q951" s="5" t="n">
        <v>7.5</v>
      </c>
      <c r="R951" s="5" t="n">
        <v>2.2</v>
      </c>
      <c r="S951" s="5" t="n">
        <v>5.3</v>
      </c>
      <c r="T951" s="2" t="n">
        <v>12</v>
      </c>
      <c r="U951" s="2" t="inlineStr">
        <is>
          <t>low</t>
        </is>
      </c>
      <c r="V951" s="5" t="n">
        <v>0.6</v>
      </c>
      <c r="W951" s="2" t="inlineStr">
        <is>
          <t>low</t>
        </is>
      </c>
      <c r="X951" s="3" t="inlineStr"/>
      <c r="Y951" s="3" t="inlineStr">
        <is>
          <t>0% of this dish's available carbohydrate comes from ingredients with a published, measured GI; the rest uses conventional placeholders (see Ingredients sheet)</t>
        </is>
      </c>
      <c r="Z951" s="2" t="n">
        <v>0</v>
      </c>
      <c r="AA951" s="3" t="inlineStr">
        <is>
          <t>vegetarian, gluten-free, nut-free, low-carb</t>
        </is>
      </c>
      <c r="AB951" s="3" t="inlineStr">
        <is>
          <t>1. Sauté onion and chopped broccoli in oil in an ovenproof skillet 5 minutes.
2. Pour in egg whites and eggs whisked with Dijon and salt; top cheddar.
3. Bake at 375°F 15–18 minutes.</t>
        </is>
      </c>
      <c r="AC951" s="4" t="inlineStr">
        <is>
          <t>["Sauté onion and chopped broccoli in oil in an ovenproof skillet 5 minutes.", "Pour in egg whites and eggs whisked with Dijon and salt; top cheddar.", "Bake at 375°F 15–18 minutes."]</t>
        </is>
      </c>
    </row>
    <row r="952" ht="96" customHeight="1">
      <c r="A952" s="2" t="inlineStr">
        <is>
          <t>DB-0951</t>
        </is>
      </c>
      <c r="B952" s="3" t="inlineStr">
        <is>
          <t>Tofu Katsu-Style (Almond Crust) with Cabbage</t>
        </is>
      </c>
      <c r="C952" s="4" t="inlineStr">
        <is>
          <t>Vegetarian &amp; Vegan</t>
        </is>
      </c>
      <c r="D952" s="4" t="inlineStr">
        <is>
          <t>Japanese</t>
        </is>
      </c>
      <c r="E952" s="2" t="n">
        <v>3</v>
      </c>
      <c r="F952" s="2" t="n">
        <v>15</v>
      </c>
      <c r="G952" s="2" t="n">
        <v>15</v>
      </c>
      <c r="H952" s="2" t="n">
        <v>30</v>
      </c>
      <c r="I952" s="4" t="inlineStr">
        <is>
          <t>tofu-katsu-style-almond-crust-with-cabbage.jpg</t>
        </is>
      </c>
      <c r="J952" s="3" t="inlineStr">
        <is>
          <t>Tofu Katsu-Style (Almond Crust) with Cabbage, healthy food photography, plated, natural light</t>
        </is>
      </c>
      <c r="K952" s="4" t="inlineStr"/>
      <c r="L952" s="3" t="inlineStr">
        <is>
          <t>Tofu, extra-firm — 450 g (15.9 oz)
Almond flour — 60 g (2.1 oz)
Egg, large (50 g each) — 50 g (1.8 oz)
Sesame seeds — 10 g (0.4 oz)
Avocado oil — 20 g (0.7 oz)
Green cabbage — 300 g (10.6 oz)
Rice vinegar, unseasoned — 15 g (0.5 oz)
Tamari (gluten-free soy sauce) — 15 g (0.5 oz)
Monk fruit/erythritol sweetener — 3 g (0.1 oz)
Green onions (scallions) — 10 g (0.4 oz)</t>
        </is>
      </c>
      <c r="M952" s="4" t="inlineStr">
        <is>
          <t>[{"ingredient_id": "tofu", "name": "Tofu, extra-firm", "grams": 450.0, "note": ""}, {"ingredient_id": "almond_flour", "name": "Almond flour", "grams": 60.0, "note": ""}, {"ingredient_id": "egg", "name": "Egg, large (50 g each)", "grams": 50.0, "note": ""}, {"ingredient_id": "sesame_seeds", "name": "Sesame seeds", "grams": 10.0, "note": ""}, {"ingredient_id": "avocado_oil", "name": "Avocado oil", "grams": 20.0, "note": ""}, {"ingredient_id": "cabbage", "name": "Green cabbage", "grams": 300.0, "note": ""}, {"ingredient_id": "rice_vinegar", "name": "Rice vinegar, unseasoned", "grams": 15.0, "note": ""}, {"ingredient_id": "tamari", "name": "Tamari (gluten-free soy sauce)", "grams": 15.0, "note": ""}, {"ingredient_id": "monk_fruit_sweetener", "name": "Monk fruit/erythritol sweetener", "grams": 3.0, "note": ""}, {"ingredient_id": "green_onion", "name": "Green onions (scallions)", "grams": 10.0, "note": ""}]</t>
        </is>
      </c>
      <c r="N952" s="2" t="n">
        <v>466</v>
      </c>
      <c r="O952" s="5" t="n">
        <v>34.3</v>
      </c>
      <c r="P952" s="5" t="n">
        <v>33.5</v>
      </c>
      <c r="Q952" s="5" t="n">
        <v>15.9</v>
      </c>
      <c r="R952" s="5" t="n">
        <v>8.4</v>
      </c>
      <c r="S952" s="5" t="n">
        <v>7.5</v>
      </c>
      <c r="T952" s="2" t="n">
        <v>16</v>
      </c>
      <c r="U952" s="2" t="inlineStr">
        <is>
          <t>low</t>
        </is>
      </c>
      <c r="V952" s="5" t="n">
        <v>1.2</v>
      </c>
      <c r="W952" s="2" t="inlineStr">
        <is>
          <t>low</t>
        </is>
      </c>
      <c r="X952" s="3" t="inlineStr"/>
      <c r="Y952" s="3" t="inlineStr">
        <is>
          <t>0% of this dish's available carbohydrate comes from ingredients with a published, measured GI; the rest uses conventional placeholders (see Ingredients sheet)</t>
        </is>
      </c>
      <c r="Z952" s="2" t="n">
        <v>0</v>
      </c>
      <c r="AA952" s="3" t="inlineStr">
        <is>
          <t>vegetarian, gluten-free, dairy-free, low-carb, high-protein, high-fiber</t>
        </is>
      </c>
      <c r="AB952" s="3" t="inlineStr">
        <is>
          <t>1. Press tofu; slice slabs; dip in egg then almond flour-sesame; pan-fry in oil 3 minutes per side.
2. Toss shredded cabbage with vinegar.
3. Serve with tamari-sweetener dipping sauce; green onion.</t>
        </is>
      </c>
      <c r="AC952" s="4" t="inlineStr">
        <is>
          <t>["Press tofu; slice slabs; dip in egg then almond flour-sesame; pan-fry in oil 3 minutes per side.", "Toss shredded cabbage with vinegar.", "Serve with tamari-sweetener dipping sauce; green onion."]</t>
        </is>
      </c>
    </row>
    <row r="953" ht="96" customHeight="1">
      <c r="A953" s="2" t="inlineStr">
        <is>
          <t>DB-0952</t>
        </is>
      </c>
      <c r="B953" s="3" t="inlineStr">
        <is>
          <t>Lentil Walnut 'Taco' Lettuce Cups</t>
        </is>
      </c>
      <c r="C953" s="4" t="inlineStr">
        <is>
          <t>Vegetarian &amp; Vegan</t>
        </is>
      </c>
      <c r="D953" s="4" t="inlineStr">
        <is>
          <t>Mexican</t>
        </is>
      </c>
      <c r="E953" s="2" t="n">
        <v>4</v>
      </c>
      <c r="F953" s="2" t="n">
        <v>10</v>
      </c>
      <c r="G953" s="2" t="n">
        <v>12</v>
      </c>
      <c r="H953" s="2" t="n">
        <v>22</v>
      </c>
      <c r="I953" s="4" t="inlineStr">
        <is>
          <t>lentil-walnut-taco-lettuce-cups.jpg</t>
        </is>
      </c>
      <c r="J953" s="3" t="inlineStr">
        <is>
          <t>Lentil Walnut 'Taco' Lettuce Cups, healthy food photography, plated, natural light</t>
        </is>
      </c>
      <c r="K953" s="4" t="inlineStr"/>
      <c r="L953" s="3" t="inlineStr">
        <is>
          <t>Lentils, cooked — 400 g (14.1 oz)
Walnuts — 60 g (2.1 oz)
Taco seasoning, low sodium — 10 g (0.4 oz)
Tomato paste — 20 g (0.7 oz)
Yellow onion — 60 g (2.1 oz)
Garlic — 5 g (0.2 oz)
Extra-virgin olive oil — 10 g (0.4 oz)
Romaine lettuce — 200 g (7.1 oz)
Avocado — 100 g (3.5 oz)
Salsa, no sugar added — 120 g (4.2 oz)
Fresh cilantro — 6 g (0.2 oz)</t>
        </is>
      </c>
      <c r="M953" s="4" t="inlineStr">
        <is>
          <t>[{"ingredient_id": "lentils", "name": "Lentils, cooked", "grams": 400.0, "note": ""}, {"ingredient_id": "walnuts", "name": "Walnuts", "grams": 60.0, "note": ""}, {"ingredient_id": "taco_seasoning", "name": "Taco seasoning, low sodium", "grams": 10.0, "note": ""}, {"ingredient_id": "tomato_paste", "name": "Tomato paste", "grams": 20.0, "note": ""}, {"ingredient_id": "onion", "name": "Yellow onion", "grams": 60.0, "note": ""}, {"ingredient_id": "garlic", "name": "Garlic", "grams": 5.0, "note": ""}, {"ingredient_id": "olive_oil", "name": "Extra-virgin olive oil", "grams": 10.0, "note": ""}, {"ingredient_id": "romaine", "name": "Romaine lettuce", "grams": 200.0, "note": ""}, {"ingredient_id": "avocado", "name": "Avocado", "grams": 100.0, "note": ""}, {"ingredient_id": "salsa", "name": "Salsa, no sugar added", "grams": 120.0, "note": ""}, {"ingredient_id": "cilantro", "name": "Fresh cilantro", "grams": 6.0, "note": ""}]</t>
        </is>
      </c>
      <c r="N953" s="2" t="n">
        <v>315</v>
      </c>
      <c r="O953" s="5" t="n">
        <v>13.5</v>
      </c>
      <c r="P953" s="5" t="n">
        <v>16.9</v>
      </c>
      <c r="Q953" s="5" t="n">
        <v>32.2</v>
      </c>
      <c r="R953" s="5" t="n">
        <v>13.2</v>
      </c>
      <c r="S953" s="5" t="n">
        <v>18.9</v>
      </c>
      <c r="T953" s="2" t="n">
        <v>31</v>
      </c>
      <c r="U953" s="2" t="inlineStr">
        <is>
          <t>low</t>
        </is>
      </c>
      <c r="V953" s="5" t="n">
        <v>5.9</v>
      </c>
      <c r="W953" s="2" t="inlineStr">
        <is>
          <t>low</t>
        </is>
      </c>
      <c r="X953" s="3" t="inlineStr"/>
      <c r="Y953" s="3" t="inlineStr">
        <is>
          <t>64% of this dish's available carbohydrate comes from ingredients with a published, measured GI; the rest uses conventional placeholders (see Ingredients sheet)</t>
        </is>
      </c>
      <c r="Z953" s="2" t="n">
        <v>64</v>
      </c>
      <c r="AA953" s="3" t="inlineStr">
        <is>
          <t>vegan, gluten-free, dairy-free, high-fiber</t>
        </is>
      </c>
      <c r="AB953" s="3" t="inlineStr">
        <is>
          <t>1. Pulse lentils and walnuts coarsely.
2. Sauté onion, garlic; add lentil mix, seasoning, tomato paste, splash of water; cook 6 minutes.
3. Fill romaine; avocado, salsa, cilantro.</t>
        </is>
      </c>
      <c r="AC953" s="4" t="inlineStr">
        <is>
          <t>["Pulse lentils and walnuts coarsely.", "Sauté onion, garlic; add lentil mix, seasoning, tomato paste, splash of water; cook 6 minutes.", "Fill romaine; avocado, salsa, cilantro."]</t>
        </is>
      </c>
    </row>
    <row r="954" ht="96" customHeight="1">
      <c r="A954" s="2" t="inlineStr">
        <is>
          <t>DB-0953</t>
        </is>
      </c>
      <c r="B954" s="3" t="inlineStr">
        <is>
          <t>Greek Yogurt Egg Salad Stuffed Tomatoes</t>
        </is>
      </c>
      <c r="C954" s="4" t="inlineStr">
        <is>
          <t>Vegetarian &amp; Vegan</t>
        </is>
      </c>
      <c r="D954" s="4" t="inlineStr">
        <is>
          <t>American</t>
        </is>
      </c>
      <c r="E954" s="2" t="n">
        <v>2</v>
      </c>
      <c r="F954" s="2" t="n">
        <v>10</v>
      </c>
      <c r="G954" s="2" t="n">
        <v>10</v>
      </c>
      <c r="H954" s="2" t="n">
        <v>20</v>
      </c>
      <c r="I954" s="4" t="inlineStr">
        <is>
          <t>greek-yogurt-egg-salad-stuffed-tomatoes.jpg</t>
        </is>
      </c>
      <c r="J954" s="3" t="inlineStr">
        <is>
          <t>Greek Yogurt Egg Salad Stuffed Tomatoes, healthy food photography, plated, natural light</t>
        </is>
      </c>
      <c r="K954" s="4" t="inlineStr"/>
      <c r="L954" s="3" t="inlineStr">
        <is>
          <t>Egg, large (50 g each) — 200 g (7.1 oz)
Greek yogurt, plain 2% — 50 g (1.8 oz)
Dijon mustard — 8 g (0.3 oz)
Fresh chives — 4 g (0.1 oz)
Tomato — 300 g (10.6 oz)
Celery — 30 g (1.1 oz)
Salt — 1 g (0.0 oz)</t>
        </is>
      </c>
      <c r="M954" s="4" t="inlineStr">
        <is>
          <t>[{"ingredient_id": "egg", "name": "Egg, large (50 g each)", "grams": 200.0, "note": ""}, {"ingredient_id": "greek_yogurt", "name": "Greek yogurt, plain 2%", "grams": 50.0, "note": ""}, {"ingredient_id": "dijon", "name": "Dijon mustard", "grams": 8.0, "note": ""}, {"ingredient_id": "chives", "name": "Fresh chives", "grams": 4.0, "note": ""}, {"ingredient_id": "tomato", "name": "Tomato", "grams": 300.0, "note": ""}, {"ingredient_id": "celery", "name": "Celery", "grams": 30.0, "note": ""}, {"ingredient_id": "salt", "name": "Salt", "grams": 1.0, "note": ""}]</t>
        </is>
      </c>
      <c r="N954" s="2" t="n">
        <v>194</v>
      </c>
      <c r="O954" s="5" t="n">
        <v>16.8</v>
      </c>
      <c r="P954" s="5" t="n">
        <v>10.5</v>
      </c>
      <c r="Q954" s="5" t="n">
        <v>8.300000000000001</v>
      </c>
      <c r="R954" s="5" t="n">
        <v>2.2</v>
      </c>
      <c r="S954" s="5" t="n">
        <v>6.1</v>
      </c>
      <c r="T954" s="2" t="n">
        <v>13</v>
      </c>
      <c r="U954" s="2" t="inlineStr">
        <is>
          <t>low</t>
        </is>
      </c>
      <c r="V954" s="5" t="n">
        <v>0.8</v>
      </c>
      <c r="W954" s="2" t="inlineStr">
        <is>
          <t>low</t>
        </is>
      </c>
      <c r="X954" s="3" t="inlineStr"/>
      <c r="Y954" s="3" t="inlineStr">
        <is>
          <t>16% of this dish's available carbohydrate comes from ingredients with a published, measured GI; the rest uses conventional placeholders (see Ingredients sheet)</t>
        </is>
      </c>
      <c r="Z954" s="2" t="n">
        <v>16</v>
      </c>
      <c r="AA954" s="3" t="inlineStr">
        <is>
          <t>vegetarian, gluten-free, nut-free, low-carb</t>
        </is>
      </c>
      <c r="AB954" s="3" t="inlineStr">
        <is>
          <t>1. Hard-boil eggs; chop; mix with yogurt, Dijon, chives, celery, salt.
2. Hollow tomatoes.
3. Fill.</t>
        </is>
      </c>
      <c r="AC954" s="4" t="inlineStr">
        <is>
          <t>["Hard-boil eggs; chop; mix with yogurt, Dijon, chives, celery, salt.", "Hollow tomatoes.", "Fill."]</t>
        </is>
      </c>
    </row>
    <row r="955" ht="96" customHeight="1">
      <c r="A955" s="2" t="inlineStr">
        <is>
          <t>DB-0954</t>
        </is>
      </c>
      <c r="B955" s="3" t="inlineStr">
        <is>
          <t>Cauliflower &amp; Chickpea Shawarma Wraps (Low-Carb Tortilla)</t>
        </is>
      </c>
      <c r="C955" s="4" t="inlineStr">
        <is>
          <t>Vegetarian &amp; Vegan</t>
        </is>
      </c>
      <c r="D955" s="4" t="inlineStr">
        <is>
          <t>Middle Eastern</t>
        </is>
      </c>
      <c r="E955" s="2" t="n">
        <v>4</v>
      </c>
      <c r="F955" s="2" t="n">
        <v>10</v>
      </c>
      <c r="G955" s="2" t="n">
        <v>25</v>
      </c>
      <c r="H955" s="2" t="n">
        <v>35</v>
      </c>
      <c r="I955" s="4" t="inlineStr">
        <is>
          <t>cauliflower-and-chickpea-shawarma-wraps-low-carb-tortilla.jpg</t>
        </is>
      </c>
      <c r="J955" s="3" t="inlineStr">
        <is>
          <t>Cauliflower &amp; Chickpea Shawarma Wraps (Low-Carb Tortilla), healthy food photography, plated, natural light</t>
        </is>
      </c>
      <c r="K955" s="4" t="inlineStr"/>
      <c r="L955" s="3" t="inlineStr">
        <is>
          <t>Cauliflower — 500 g (17.6 oz)
Chickpeas, cooked — 300 g (10.6 oz)
Ground cumin — 4 g (0.1 oz)
Paprika — 4 g (0.1 oz)
Ground turmeric — 2 g (0.1 oz)
Garlic — 6 g (0.2 oz)
Extra-virgin olive oil — 20 g (0.7 oz)
Low-carb high-fiber tortilla — 168 g (5.9 oz) [4 tortillas]
Tahini — 35 g (1.2 oz)
Lemon juice — 20 g (0.7 oz)
Cucumber — 150 g (5.3 oz)
Tomato — 150 g (5.3 oz)
Fresh parsley — 6 g (0.2 oz)
Salt — 3 g (0.1 oz)</t>
        </is>
      </c>
      <c r="M955" s="4" t="inlineStr">
        <is>
          <t>[{"ingredient_id": "cauliflower", "name": "Cauliflower", "grams": 500.0, "note": ""}, {"ingredient_id": "chickpeas", "name": "Chickpeas, cooked", "grams": 300.0, "note": ""}, {"ingredient_id": "cumin", "name": "Ground cumin", "grams": 4.0, "note": ""}, {"ingredient_id": "paprika", "name": "Paprika", "grams": 4.0, "note": ""}, {"ingredient_id": "turmeric", "name": "Ground turmeric", "grams": 2.0, "note": ""}, {"ingredient_id": "garlic", "name": "Garlic", "grams": 6.0, "note": ""}, {"ingredient_id": "olive_oil", "name": "Extra-virgin olive oil", "grams": 20.0, "note": ""}, {"ingredient_id": "low_carb_tortilla", "name": "Low-carb high-fiber tortilla", "grams": 168.0, "note": "4 tortillas"}, {"ingredient_id": "tahini", "name": "Tahini", "grams": 35.0, "note": ""}, {"ingredient_id": "lemon_juice", "name": "Lemon juice", "grams": 20.0, "note": ""}, {"ingredient_id": "cucumber", "name": "Cucumber", "grams": 150.0, "note": ""}, {"ingredient_id": "tomato", "name": "Tomato", "grams": 150.0, "note": ""}, {"ingredient_id": "parsley", "name": "Fresh parsley", "grams": 6.0, "note": ""}, {"ingredient_id": "salt", "name": "Salt", "grams": 3.0, "note": ""}]</t>
        </is>
      </c>
      <c r="N955" s="2" t="n">
        <v>380</v>
      </c>
      <c r="O955" s="5" t="n">
        <v>16.7</v>
      </c>
      <c r="P955" s="5" t="n">
        <v>15.9</v>
      </c>
      <c r="Q955" s="5" t="n">
        <v>50.2</v>
      </c>
      <c r="R955" s="5" t="n">
        <v>20.8</v>
      </c>
      <c r="S955" s="5" t="n">
        <v>29.4</v>
      </c>
      <c r="T955" s="2" t="n">
        <v>31</v>
      </c>
      <c r="U955" s="2" t="inlineStr">
        <is>
          <t>low</t>
        </is>
      </c>
      <c r="V955" s="5" t="n">
        <v>9.1</v>
      </c>
      <c r="W955" s="2" t="inlineStr">
        <is>
          <t>low</t>
        </is>
      </c>
      <c r="X955" s="3" t="inlineStr"/>
      <c r="Y955" s="3" t="inlineStr">
        <is>
          <t>49% of this dish's available carbohydrate comes from ingredients with a published, measured GI; the rest uses conventional placeholders (see Ingredients sheet)</t>
        </is>
      </c>
      <c r="Z955" s="2" t="n">
        <v>49</v>
      </c>
      <c r="AA955" s="3" t="inlineStr">
        <is>
          <t>vegan, dairy-free, nut-free, high-fiber</t>
        </is>
      </c>
      <c r="AB955" s="3" t="inlineStr">
        <is>
          <t>1. Roast cauliflower and chickpeas with spices, garlic, oil at 425°F 22 minutes.
2. Whisk tahini, lemon, water.
3. Fill tortillas; cucumber, tomato, parsley.</t>
        </is>
      </c>
      <c r="AC955" s="4" t="inlineStr">
        <is>
          <t>["Roast cauliflower and chickpeas with spices, garlic, oil at 425°F 22 minutes.", "Whisk tahini, lemon, water.", "Fill tortillas; cucumber, tomato, parsley."]</t>
        </is>
      </c>
    </row>
    <row r="956" ht="96" customHeight="1">
      <c r="A956" s="2" t="inlineStr">
        <is>
          <t>DB-0955</t>
        </is>
      </c>
      <c r="B956" s="3" t="inlineStr">
        <is>
          <t>Miso Tofu Soup Bowl with Greens</t>
        </is>
      </c>
      <c r="C956" s="4" t="inlineStr">
        <is>
          <t>Vegetarian &amp; Vegan</t>
        </is>
      </c>
      <c r="D956" s="4" t="inlineStr">
        <is>
          <t>Japanese</t>
        </is>
      </c>
      <c r="E956" s="2" t="n">
        <v>2</v>
      </c>
      <c r="F956" s="2" t="n">
        <v>5</v>
      </c>
      <c r="G956" s="2" t="n">
        <v>10</v>
      </c>
      <c r="H956" s="2" t="n">
        <v>15</v>
      </c>
      <c r="I956" s="4" t="inlineStr">
        <is>
          <t>miso-tofu-soup-bowl-with-greens.jpg</t>
        </is>
      </c>
      <c r="J956" s="3" t="inlineStr">
        <is>
          <t>Miso Tofu Soup Bowl with Greens, healthy food photography, plated, natural light</t>
        </is>
      </c>
      <c r="K956" s="4" t="inlineStr"/>
      <c r="L956" s="3" t="inlineStr">
        <is>
          <t>Tofu, extra-firm — 300 g (10.6 oz)
Vegetable broth, low sodium — 800 g (28.2 oz)
White miso paste — 30 g (1.1 oz)
Bok choy — 200 g (7.1 oz)
Shiitake mushrooms — 100 g (3.5 oz)
Fresh ginger — 6 g (0.2 oz)
Green onions (scallions) — 15 g (0.5 oz)
Toasted sesame oil — 5 g (0.2 oz)
Egg, large (50 g each) — 100 g (3.5 oz)</t>
        </is>
      </c>
      <c r="M956" s="4" t="inlineStr">
        <is>
          <t>[{"ingredient_id": "tofu", "name": "Tofu, extra-firm", "grams": 300.0, "note": ""}, {"ingredient_id": "vegetable_broth", "name": "Vegetable broth, low sodium", "grams": 800.0, "note": ""}, {"ingredient_id": "miso", "name": "White miso paste", "grams": 30.0, "note": ""}, {"ingredient_id": "bok_choy", "name": "Bok choy", "grams": 200.0, "note": ""}, {"ingredient_id": "shiitake", "name": "Shiitake mushrooms", "grams": 100.0, "note": ""}, {"ingredient_id": "ginger", "name": "Fresh ginger", "grams": 6.0, "note": ""}, {"ingredient_id": "green_onion", "name": "Green onions (scallions)", "grams": 15.0, "note": ""}, {"ingredient_id": "sesame_oil", "name": "Toasted sesame oil", "grams": 5.0, "note": ""}, {"ingredient_id": "egg", "name": "Egg, large (50 g each)", "grams": 100.0, "note": ""}]</t>
        </is>
      </c>
      <c r="N956" s="2" t="n">
        <v>406</v>
      </c>
      <c r="O956" s="5" t="n">
        <v>38.4</v>
      </c>
      <c r="P956" s="5" t="n">
        <v>22.9</v>
      </c>
      <c r="Q956" s="5" t="n">
        <v>21.4</v>
      </c>
      <c r="R956" s="5" t="n">
        <v>6.3</v>
      </c>
      <c r="S956" s="5" t="n">
        <v>15.2</v>
      </c>
      <c r="T956" s="2" t="n">
        <v>12</v>
      </c>
      <c r="U956" s="2" t="inlineStr">
        <is>
          <t>low</t>
        </is>
      </c>
      <c r="V956" s="5" t="n">
        <v>1.8</v>
      </c>
      <c r="W956" s="2" t="inlineStr">
        <is>
          <t>low</t>
        </is>
      </c>
      <c r="X956" s="3" t="inlineStr"/>
      <c r="Y956" s="3" t="inlineStr">
        <is>
          <t>0% of this dish's available carbohydrate comes from ingredients with a published, measured GI; the rest uses conventional placeholders (see Ingredients sheet)</t>
        </is>
      </c>
      <c r="Z956" s="2" t="n">
        <v>0</v>
      </c>
      <c r="AA956" s="3" t="inlineStr">
        <is>
          <t>vegetarian, dairy-free, nut-free, high-protein, quick</t>
        </is>
      </c>
      <c r="AB956" s="3" t="inlineStr">
        <is>
          <t>1. Simmer broth with ginger and shiitake 5 minutes; add bok choy, tofu 3 minutes.
2. Poach eggs in the broth 3 minutes.
3. Whisk in miso off heat; green onion, sesame oil.</t>
        </is>
      </c>
      <c r="AC956" s="4" t="inlineStr">
        <is>
          <t>["Simmer broth with ginger and shiitake 5 minutes; add bok choy, tofu 3 minutes.", "Poach eggs in the broth 3 minutes.", "Whisk in miso off heat; green onion, sesame oil."]</t>
        </is>
      </c>
    </row>
    <row r="957" ht="96" customHeight="1">
      <c r="A957" s="2" t="inlineStr">
        <is>
          <t>DB-0956</t>
        </is>
      </c>
      <c r="B957" s="3" t="inlineStr">
        <is>
          <t>Egg White Spinach Feta Wrap</t>
        </is>
      </c>
      <c r="C957" s="4" t="inlineStr">
        <is>
          <t>Breakfast</t>
        </is>
      </c>
      <c r="D957" s="4" t="inlineStr">
        <is>
          <t>Greek</t>
        </is>
      </c>
      <c r="E957" s="2" t="n">
        <v>1</v>
      </c>
      <c r="F957" s="2" t="n">
        <v>5</v>
      </c>
      <c r="G957" s="2" t="n">
        <v>6</v>
      </c>
      <c r="H957" s="2" t="n">
        <v>11</v>
      </c>
      <c r="I957" s="4" t="inlineStr">
        <is>
          <t>egg-white-spinach-feta-wrap.jpg</t>
        </is>
      </c>
      <c r="J957" s="3" t="inlineStr">
        <is>
          <t>Egg White Spinach Feta Wrap, healthy food photography, plated, natural light</t>
        </is>
      </c>
      <c r="K957" s="4" t="inlineStr"/>
      <c r="L957" s="3" t="inlineStr">
        <is>
          <t>Egg whites — 150 g (5.3 oz)
Spinach — 50 g (1.8 oz)
Feta cheese — 20 g (0.7 oz)
Tomato — 40 g (1.4 oz)
Low-carb high-fiber tortilla — 42 g (1.5 oz)
Extra-virgin olive oil — 4 g (0.1 oz)</t>
        </is>
      </c>
      <c r="M957" s="4" t="inlineStr">
        <is>
          <t>[{"ingredient_id": "egg_white", "name": "Egg whites", "grams": 150.0, "note": ""}, {"ingredient_id": "spinach", "name": "Spinach", "grams": 50.0, "note": ""}, {"ingredient_id": "feta", "name": "Feta cheese", "grams": 20.0, "note": ""}, {"ingredient_id": "tomato", "name": "Tomato", "grams": 40.0, "note": ""}, {"ingredient_id": "low_carb_tortilla", "name": "Low-carb high-fiber tortilla", "grams": 42.0, "note": ""}, {"ingredient_id": "olive_oil", "name": "Extra-virgin olive oil", "grams": 4.0, "note": ""}]</t>
        </is>
      </c>
      <c r="N957" s="2" t="n">
        <v>290</v>
      </c>
      <c r="O957" s="5" t="n">
        <v>26.1</v>
      </c>
      <c r="P957" s="5" t="n">
        <v>12.1</v>
      </c>
      <c r="Q957" s="5" t="n">
        <v>22</v>
      </c>
      <c r="R957" s="5" t="n">
        <v>12.1</v>
      </c>
      <c r="S957" s="5" t="n">
        <v>9.9</v>
      </c>
      <c r="T957" s="2" t="n">
        <v>22</v>
      </c>
      <c r="U957" s="2" t="inlineStr">
        <is>
          <t>low</t>
        </is>
      </c>
      <c r="V957" s="5" t="n">
        <v>2.2</v>
      </c>
      <c r="W957" s="2" t="inlineStr">
        <is>
          <t>low</t>
        </is>
      </c>
      <c r="X957" s="3" t="inlineStr"/>
      <c r="Y957" s="3" t="inlineStr">
        <is>
          <t>0% of this dish's available carbohydrate comes from ingredients with a published, measured GI; the rest uses conventional placeholders (see Ingredients sheet)</t>
        </is>
      </c>
      <c r="Z957" s="2" t="n">
        <v>0</v>
      </c>
      <c r="AA957" s="3" t="inlineStr">
        <is>
          <t>vegetarian, nut-free, low-carb, high-protein, high-fiber, quick</t>
        </is>
      </c>
      <c r="AB957" s="3" t="inlineStr">
        <is>
          <t>1. Wilt spinach in oil; add egg whites; scramble.
2. Add feta and tomato.
3. Roll in tortilla.</t>
        </is>
      </c>
      <c r="AC957" s="4" t="inlineStr">
        <is>
          <t>["Wilt spinach in oil; add egg whites; scramble.", "Add feta and tomato.", "Roll in tortilla."]</t>
        </is>
      </c>
    </row>
    <row r="958" ht="96" customHeight="1">
      <c r="A958" s="2" t="inlineStr">
        <is>
          <t>DB-0957</t>
        </is>
      </c>
      <c r="B958" s="3" t="inlineStr">
        <is>
          <t>Pumpkin Protein Pancakes</t>
        </is>
      </c>
      <c r="C958" s="4" t="inlineStr">
        <is>
          <t>Breakfast</t>
        </is>
      </c>
      <c r="D958" s="4" t="inlineStr">
        <is>
          <t>American</t>
        </is>
      </c>
      <c r="E958" s="2" t="n">
        <v>2</v>
      </c>
      <c r="F958" s="2" t="n">
        <v>5</v>
      </c>
      <c r="G958" s="2" t="n">
        <v>12</v>
      </c>
      <c r="H958" s="2" t="n">
        <v>17</v>
      </c>
      <c r="I958" s="4" t="inlineStr">
        <is>
          <t>pumpkin-protein-pancakes.jpg</t>
        </is>
      </c>
      <c r="J958" s="3" t="inlineStr">
        <is>
          <t>Pumpkin Protein Pancakes, healthy food photography, plated, natural light</t>
        </is>
      </c>
      <c r="K958" s="4" t="inlineStr"/>
      <c r="L958" s="3" t="inlineStr">
        <is>
          <t>Pumpkin puree, canned — 120 g (4.2 oz)
Egg, large (50 g each) — 100 g (3.5 oz)
Whey protein powder, unsweetened — 30 g (1.1 oz)
Rolled oats, dry — 40 g (1.4 oz)
Pumpkin pie spice — 3 g (0.1 oz)
Baking powder — 3 g (0.1 oz)
Greek yogurt, plain 2% — 80 g (2.8 oz)
Pecans — 15 g (0.5 oz)
Coconut oil — 6 g (0.2 oz)</t>
        </is>
      </c>
      <c r="M958" s="4" t="inlineStr">
        <is>
          <t>[{"ingredient_id": "pumpkin_puree", "name": "Pumpkin puree, canned", "grams": 120.0, "note": ""}, {"ingredient_id": "egg", "name": "Egg, large (50 g each)", "grams": 100.0, "note": ""}, {"ingredient_id": "whey_protein", "name": "Whey protein powder, unsweetened", "grams": 30.0, "note": ""}, {"ingredient_id": "rolled_oats", "name": "Rolled oats, dry", "grams": 40.0, "note": ""}, {"ingredient_id": "pumpkin_pie_spice", "name": "Pumpkin pie spice", "grams": 3.0, "note": ""}, {"ingredient_id": "baking_powder", "name": "Baking powder", "grams": 3.0, "note": ""}, {"ingredient_id": "greek_yogurt", "name": "Greek yogurt, plain 2%", "grams": 80.0, "note": ""}, {"ingredient_id": "pecans", "name": "Pecans", "grams": 15.0, "note": ""}, {"ingredient_id": "coconut_oil", "name": "Coconut oil", "grams": 6.0, "note": ""}]</t>
        </is>
      </c>
      <c r="N958" s="2" t="n">
        <v>338</v>
      </c>
      <c r="O958" s="5" t="n">
        <v>26</v>
      </c>
      <c r="P958" s="5" t="n">
        <v>16.1</v>
      </c>
      <c r="Q958" s="5" t="n">
        <v>24.1</v>
      </c>
      <c r="R958" s="5" t="n">
        <v>5</v>
      </c>
      <c r="S958" s="5" t="n">
        <v>19.1</v>
      </c>
      <c r="T958" s="2" t="n">
        <v>50</v>
      </c>
      <c r="U958" s="2" t="inlineStr">
        <is>
          <t>low</t>
        </is>
      </c>
      <c r="V958" s="5" t="n">
        <v>9.5</v>
      </c>
      <c r="W958" s="2" t="inlineStr">
        <is>
          <t>low</t>
        </is>
      </c>
      <c r="X958" s="3" t="inlineStr"/>
      <c r="Y958" s="3" t="inlineStr">
        <is>
          <t>90% of this dish's available carbohydrate comes from ingredients with a published, measured GI; the rest uses conventional placeholders (see Ingredients sheet)</t>
        </is>
      </c>
      <c r="Z958" s="2" t="n">
        <v>90</v>
      </c>
      <c r="AA958" s="3" t="inlineStr">
        <is>
          <t>vegetarian, high-protein</t>
        </is>
      </c>
      <c r="AB958" s="3" t="inlineStr">
        <is>
          <t>1. Blend pumpkin, eggs, protein, oats, spice, baking powder.
2. Cook small pancakes in oil 2–3 minutes per side.
3. Yogurt, pecans.</t>
        </is>
      </c>
      <c r="AC958" s="4" t="inlineStr">
        <is>
          <t>["Blend pumpkin, eggs, protein, oats, spice, baking powder.", "Cook small pancakes in oil 2–3 minutes per side.", "Yogurt, pecans."]</t>
        </is>
      </c>
    </row>
    <row r="959" ht="96" customHeight="1">
      <c r="A959" s="2" t="inlineStr">
        <is>
          <t>DB-0958</t>
        </is>
      </c>
      <c r="B959" s="3" t="inlineStr">
        <is>
          <t>Sausage Egg &amp; Cheese Breakfast Bowl (Cauliflower)</t>
        </is>
      </c>
      <c r="C959" s="4" t="inlineStr">
        <is>
          <t>Breakfast</t>
        </is>
      </c>
      <c r="D959" s="4" t="inlineStr">
        <is>
          <t>American</t>
        </is>
      </c>
      <c r="E959" s="2" t="n">
        <v>2</v>
      </c>
      <c r="F959" s="2" t="n">
        <v>5</v>
      </c>
      <c r="G959" s="2" t="n">
        <v>12</v>
      </c>
      <c r="H959" s="2" t="n">
        <v>17</v>
      </c>
      <c r="I959" s="4" t="inlineStr">
        <is>
          <t>sausage-egg-and-cheese-breakfast-bowl-cauliflower.jpg</t>
        </is>
      </c>
      <c r="J959" s="3" t="inlineStr">
        <is>
          <t>Sausage Egg &amp; Cheese Breakfast Bowl (Cauliflower), healthy food photography, plated, natural light</t>
        </is>
      </c>
      <c r="K959" s="4" t="inlineStr"/>
      <c r="L959" s="3" t="inlineStr">
        <is>
          <t>Chicken sausage — 150 g (5.3 oz)
Egg, large (50 g each) — 200 g (7.1 oz)
Cauliflower rice — 250 g (8.8 oz)
Cheddar cheese — 40 g (1.4 oz)
Bell pepper — 60 g (2.1 oz)
Green onions (scallions) — 10 g (0.4 oz)
Extra-virgin olive oil — 8 g (0.3 oz)
Hot sauce (Tabasco/Frank's) — 4 g (0.1 oz)</t>
        </is>
      </c>
      <c r="M959" s="4" t="inlineStr">
        <is>
          <t>[{"ingredient_id": "chicken_sausage", "name": "Chicken sausage", "grams": 150.0, "note": ""}, {"ingredient_id": "egg", "name": "Egg, large (50 g each)", "grams": 200.0, "note": ""}, {"ingredient_id": "cauliflower_rice", "name": "Cauliflower rice", "grams": 250.0, "note": ""}, {"ingredient_id": "cheddar", "name": "Cheddar cheese", "grams": 40.0, "note": ""}, {"ingredient_id": "bell_pepper", "name": "Bell pepper", "grams": 60.0, "note": ""}, {"ingredient_id": "green_onion", "name": "Green onions (scallions)", "grams": 10.0, "note": ""}, {"ingredient_id": "olive_oil", "name": "Extra-virgin olive oil", "grams": 8.0, "note": ""}, {"ingredient_id": "hot_sauce", "name": "Hot sauce (Tabasco/Frank's)", "grams": 4.0, "note": ""}]</t>
        </is>
      </c>
      <c r="N959" s="2" t="n">
        <v>429</v>
      </c>
      <c r="O959" s="5" t="n">
        <v>31.2</v>
      </c>
      <c r="P959" s="5" t="n">
        <v>28.8</v>
      </c>
      <c r="Q959" s="5" t="n">
        <v>10.9</v>
      </c>
      <c r="R959" s="5" t="n">
        <v>3.3</v>
      </c>
      <c r="S959" s="5" t="n">
        <v>7.6</v>
      </c>
      <c r="T959" s="2" t="n">
        <v>10</v>
      </c>
      <c r="U959" s="2" t="inlineStr">
        <is>
          <t>low</t>
        </is>
      </c>
      <c r="V959" s="5" t="n">
        <v>0.8</v>
      </c>
      <c r="W959" s="2" t="inlineStr">
        <is>
          <t>low</t>
        </is>
      </c>
      <c r="X959" s="3" t="inlineStr"/>
      <c r="Y959" s="3" t="inlineStr">
        <is>
          <t>0% of this dish's available carbohydrate comes from ingredients with a published, measured GI; the rest uses conventional placeholders (see Ingredients sheet)</t>
        </is>
      </c>
      <c r="Z959" s="2" t="n">
        <v>0</v>
      </c>
      <c r="AA959" s="3" t="inlineStr">
        <is>
          <t>gluten-free, nut-free, low-carb, high-protein, quick</t>
        </is>
      </c>
      <c r="AB959" s="3" t="inlineStr">
        <is>
          <t>1. Brown sausage with pepper; add cauliflower rice 4 minutes.
2. Scramble eggs in; cheddar.
3. Green onion, hot sauce.</t>
        </is>
      </c>
      <c r="AC959" s="4" t="inlineStr">
        <is>
          <t>["Brown sausage with pepper; add cauliflower rice 4 minutes.", "Scramble eggs in; cheddar.", "Green onion, hot sauce."]</t>
        </is>
      </c>
    </row>
    <row r="960" ht="96" customHeight="1">
      <c r="A960" s="2" t="inlineStr">
        <is>
          <t>DB-0959</t>
        </is>
      </c>
      <c r="B960" s="3" t="inlineStr">
        <is>
          <t>Blueberry Almond Chia Overnight Oats</t>
        </is>
      </c>
      <c r="C960" s="4" t="inlineStr">
        <is>
          <t>Breakfast</t>
        </is>
      </c>
      <c r="D960" s="4" t="inlineStr">
        <is>
          <t>American</t>
        </is>
      </c>
      <c r="E960" s="2" t="n">
        <v>1</v>
      </c>
      <c r="F960" s="2" t="n">
        <v>5</v>
      </c>
      <c r="G960" s="2" t="n">
        <v>0</v>
      </c>
      <c r="H960" s="2" t="n">
        <v>5</v>
      </c>
      <c r="I960" s="4" t="inlineStr">
        <is>
          <t>blueberry-almond-chia-overnight-oats.jpg</t>
        </is>
      </c>
      <c r="J960" s="3" t="inlineStr">
        <is>
          <t>Blueberry Almond Chia Overnight Oats, healthy food photography, plated, natural light</t>
        </is>
      </c>
      <c r="K960" s="4" t="inlineStr"/>
      <c r="L960" s="3" t="inlineStr">
        <is>
          <t>Rolled oats, dry — 40 g (1.4 oz)
Chia seeds — 10 g (0.4 oz)
Almond milk, unsweetened — 170 g (6.0 oz)
Greek yogurt, plain 2% — 60 g (2.1 oz)
Blueberries — 70 g (2.5 oz)
Almonds — 12 g (0.4 oz)
Vanilla extract — 2 g (0.1 oz)</t>
        </is>
      </c>
      <c r="M960" s="4" t="inlineStr">
        <is>
          <t>[{"ingredient_id": "rolled_oats", "name": "Rolled oats, dry", "grams": 40.0, "note": ""}, {"ingredient_id": "chia_seeds", "name": "Chia seeds", "grams": 10.0, "note": ""}, {"ingredient_id": "almond_milk", "name": "Almond milk, unsweetened", "grams": 170.0, "note": ""}, {"ingredient_id": "greek_yogurt", "name": "Greek yogurt, plain 2%", "grams": 60.0, "note": ""}, {"ingredient_id": "blueberries", "name": "Blueberries", "grams": 70.0, "note": ""}, {"ingredient_id": "almonds", "name": "Almonds", "grams": 12.0, "note": ""}, {"ingredient_id": "vanilla_extract", "name": "Vanilla extract", "grams": 2.0, "note": ""}]</t>
        </is>
      </c>
      <c r="N960" s="2" t="n">
        <v>385</v>
      </c>
      <c r="O960" s="5" t="n">
        <v>16.9</v>
      </c>
      <c r="P960" s="5" t="n">
        <v>15.2</v>
      </c>
      <c r="Q960" s="5" t="n">
        <v>47.9</v>
      </c>
      <c r="R960" s="5" t="n">
        <v>10.6</v>
      </c>
      <c r="S960" s="5" t="n">
        <v>37.3</v>
      </c>
      <c r="T960" s="2" t="n">
        <v>50</v>
      </c>
      <c r="U960" s="2" t="inlineStr">
        <is>
          <t>low</t>
        </is>
      </c>
      <c r="V960" s="5" t="n">
        <v>18.6</v>
      </c>
      <c r="W960" s="2" t="inlineStr">
        <is>
          <t>medium</t>
        </is>
      </c>
      <c r="X960" s="3" t="inlineStr"/>
      <c r="Y960" s="3" t="inlineStr">
        <is>
          <t>91% of this dish's available carbohydrate comes from ingredients with a published, measured GI; the rest uses conventional placeholders (see Ingredients sheet)</t>
        </is>
      </c>
      <c r="Z960" s="2" t="n">
        <v>91</v>
      </c>
      <c r="AA960" s="3" t="inlineStr">
        <is>
          <t>vegetarian, high-fiber, make-ahead, no-cook</t>
        </is>
      </c>
      <c r="AB960" s="3" t="inlineStr">
        <is>
          <t>1. Stir oats, chia, milk, yogurt, vanilla.
2. Refrigerate overnight.
3. Blueberries, almonds.</t>
        </is>
      </c>
      <c r="AC960" s="4" t="inlineStr">
        <is>
          <t>["Stir oats, chia, milk, yogurt, vanilla.", "Refrigerate overnight.", "Blueberries, almonds."]</t>
        </is>
      </c>
    </row>
    <row r="961" ht="96" customHeight="1">
      <c r="A961" s="2" t="inlineStr">
        <is>
          <t>DB-0960</t>
        </is>
      </c>
      <c r="B961" s="3" t="inlineStr">
        <is>
          <t>Egg &amp; Avocado Breakfast Tacos (Low-Carb)</t>
        </is>
      </c>
      <c r="C961" s="4" t="inlineStr">
        <is>
          <t>Breakfast</t>
        </is>
      </c>
      <c r="D961" s="4" t="inlineStr">
        <is>
          <t>Tex-Mex</t>
        </is>
      </c>
      <c r="E961" s="2" t="n">
        <v>1</v>
      </c>
      <c r="F961" s="2" t="n">
        <v>5</v>
      </c>
      <c r="G961" s="2" t="n">
        <v>6</v>
      </c>
      <c r="H961" s="2" t="n">
        <v>11</v>
      </c>
      <c r="I961" s="4" t="inlineStr">
        <is>
          <t>egg-and-avocado-breakfast-tacos-low-carb.jpg</t>
        </is>
      </c>
      <c r="J961" s="3" t="inlineStr">
        <is>
          <t>Egg &amp; Avocado Breakfast Tacos (Low-Carb), healthy food photography, plated, natural light</t>
        </is>
      </c>
      <c r="K961" s="4" t="inlineStr"/>
      <c r="L961" s="3" t="inlineStr">
        <is>
          <t>Low-carb high-fiber tortilla — 84 g (3.0 oz) [2 small]
Egg, large (50 g each) — 100 g (3.5 oz)
Avocado — 50 g (1.8 oz)
Salsa, no sugar added — 40 g (1.4 oz)
Cotija cheese — 15 g (0.5 oz)
Fresh cilantro — 3 g (0.1 oz)
Extra-virgin olive oil — 4 g (0.1 oz)</t>
        </is>
      </c>
      <c r="M961" s="4" t="inlineStr">
        <is>
          <t>[{"ingredient_id": "low_carb_tortilla", "name": "Low-carb high-fiber tortilla", "grams": 84.0, "note": "2 small"}, {"ingredient_id": "egg", "name": "Egg, large (50 g each)", "grams": 100.0, "note": ""}, {"ingredient_id": "avocado", "name": "Avocado", "grams": 50.0, "note": ""}, {"ingredient_id": "salsa", "name": "Salsa, no sugar added", "grams": 40.0, "note": ""}, {"ingredient_id": "cotija", "name": "Cotija cheese", "grams": 15.0, "note": ""}, {"ingredient_id": "cilantro", "name": "Fresh cilantro", "grams": 3.0, "note": ""}, {"ingredient_id": "olive_oil", "name": "Extra-virgin olive oil", "grams": 4.0, "note": ""}]</t>
        </is>
      </c>
      <c r="N961" s="2" t="n">
        <v>538</v>
      </c>
      <c r="O961" s="5" t="n">
        <v>27.3</v>
      </c>
      <c r="P961" s="5" t="n">
        <v>32.3</v>
      </c>
      <c r="Q961" s="5" t="n">
        <v>42.1</v>
      </c>
      <c r="R961" s="5" t="n">
        <v>25</v>
      </c>
      <c r="S961" s="5" t="n">
        <v>17</v>
      </c>
      <c r="T961" s="2" t="n">
        <v>27</v>
      </c>
      <c r="U961" s="2" t="inlineStr">
        <is>
          <t>low</t>
        </is>
      </c>
      <c r="V961" s="5" t="n">
        <v>4.6</v>
      </c>
      <c r="W961" s="2" t="inlineStr">
        <is>
          <t>low</t>
        </is>
      </c>
      <c r="X961" s="3" t="inlineStr"/>
      <c r="Y961" s="3" t="inlineStr">
        <is>
          <t>0% of this dish's available carbohydrate comes from ingredients with a published, measured GI; the rest uses conventional placeholders (see Ingredients sheet)</t>
        </is>
      </c>
      <c r="Z961" s="2" t="n">
        <v>0</v>
      </c>
      <c r="AA961" s="3" t="inlineStr">
        <is>
          <t>vegetarian, nut-free, high-protein, high-fiber, quick</t>
        </is>
      </c>
      <c r="AB961" s="3" t="inlineStr">
        <is>
          <t>1. Scramble eggs in oil.
2. Warm tortillas; fill with eggs, avocado, salsa.
3. Cotija, cilantro.</t>
        </is>
      </c>
      <c r="AC961" s="4" t="inlineStr">
        <is>
          <t>["Scramble eggs in oil.", "Warm tortillas; fill with eggs, avocado, salsa.", "Cotija, cilantro."]</t>
        </is>
      </c>
    </row>
    <row r="962" ht="96" customHeight="1">
      <c r="A962" s="2" t="inlineStr">
        <is>
          <t>DB-0961</t>
        </is>
      </c>
      <c r="B962" s="3" t="inlineStr">
        <is>
          <t>Cottage Cheese Scramble with Chives</t>
        </is>
      </c>
      <c r="C962" s="4" t="inlineStr">
        <is>
          <t>Breakfast</t>
        </is>
      </c>
      <c r="D962" s="4" t="inlineStr">
        <is>
          <t>American</t>
        </is>
      </c>
      <c r="E962" s="2" t="n">
        <v>1</v>
      </c>
      <c r="F962" s="2" t="n">
        <v>3</v>
      </c>
      <c r="G962" s="2" t="n">
        <v>6</v>
      </c>
      <c r="H962" s="2" t="n">
        <v>9</v>
      </c>
      <c r="I962" s="4" t="inlineStr">
        <is>
          <t>cottage-cheese-scramble-with-chives.jpg</t>
        </is>
      </c>
      <c r="J962" s="3" t="inlineStr">
        <is>
          <t>Cottage Cheese Scramble with Chives, healthy food photography, plated, natural light</t>
        </is>
      </c>
      <c r="K962" s="4" t="inlineStr"/>
      <c r="L962" s="3" t="inlineStr">
        <is>
          <t>Egg, large (50 g each) — 100 g (3.5 oz)
Cottage cheese, low-fat — 80 g (2.8 oz)
Fresh chives — 5 g (0.2 oz)
Butter — 6 g (0.2 oz)
Tomato — 60 g (2.1 oz)
Black pepper — 1 g (0.0 oz)</t>
        </is>
      </c>
      <c r="M962" s="4" t="inlineStr">
        <is>
          <t>[{"ingredient_id": "egg", "name": "Egg, large (50 g each)", "grams": 100.0, "note": ""}, {"ingredient_id": "cottage_cheese", "name": "Cottage cheese, low-fat", "grams": 80.0, "note": ""}, {"ingredient_id": "chives", "name": "Fresh chives", "grams": 5.0, "note": ""}, {"ingredient_id": "butter", "name": "Butter", "grams": 6.0, "note": ""}, {"ingredient_id": "tomato", "name": "Tomato", "grams": 60.0, "note": ""}, {"ingredient_id": "black_pepper", "name": "Black pepper", "grams": 1.0, "note": ""}]</t>
        </is>
      </c>
      <c r="N962" s="2" t="n">
        <v>268</v>
      </c>
      <c r="O962" s="5" t="n">
        <v>22.3</v>
      </c>
      <c r="P962" s="5" t="n">
        <v>16.4</v>
      </c>
      <c r="Q962" s="5" t="n">
        <v>7.3</v>
      </c>
      <c r="R962" s="5" t="n">
        <v>1.1</v>
      </c>
      <c r="S962" s="5" t="n">
        <v>6.2</v>
      </c>
      <c r="T962" s="2" t="n">
        <v>11</v>
      </c>
      <c r="U962" s="2" t="inlineStr">
        <is>
          <t>low</t>
        </is>
      </c>
      <c r="V962" s="5" t="n">
        <v>0.7</v>
      </c>
      <c r="W962" s="2" t="inlineStr">
        <is>
          <t>low</t>
        </is>
      </c>
      <c r="X962" s="3" t="inlineStr"/>
      <c r="Y962" s="3" t="inlineStr">
        <is>
          <t>0% of this dish's available carbohydrate comes from ingredients with a published, measured GI; the rest uses conventional placeholders (see Ingredients sheet)</t>
        </is>
      </c>
      <c r="Z962" s="2" t="n">
        <v>0</v>
      </c>
      <c r="AA962" s="3" t="inlineStr">
        <is>
          <t>vegetarian, gluten-free, nut-free, low-carb, quick</t>
        </is>
      </c>
      <c r="AB962" s="3" t="inlineStr">
        <is>
          <t>1. Whisk eggs with cottage cheese and pepper.
2. Cook in butter over low heat, stirring, for soft curds.
3. Chives; tomato on the side.</t>
        </is>
      </c>
      <c r="AC962" s="4" t="inlineStr">
        <is>
          <t>["Whisk eggs with cottage cheese and pepper.", "Cook in butter over low heat, stirring, for soft curds.", "Chives; tomato on the side."]</t>
        </is>
      </c>
    </row>
    <row r="963" ht="96" customHeight="1">
      <c r="A963" s="2" t="inlineStr">
        <is>
          <t>DB-0962</t>
        </is>
      </c>
      <c r="B963" s="3" t="inlineStr">
        <is>
          <t>Greek Yogurt Bowl with Walnuts, Cinnamon &amp; Pear</t>
        </is>
      </c>
      <c r="C963" s="4" t="inlineStr">
        <is>
          <t>Breakfast</t>
        </is>
      </c>
      <c r="D963" s="4" t="inlineStr">
        <is>
          <t>American</t>
        </is>
      </c>
      <c r="E963" s="2" t="n">
        <v>1</v>
      </c>
      <c r="F963" s="2" t="n">
        <v>4</v>
      </c>
      <c r="G963" s="2" t="n">
        <v>0</v>
      </c>
      <c r="H963" s="2" t="n">
        <v>4</v>
      </c>
      <c r="I963" s="4" t="inlineStr">
        <is>
          <t>greek-yogurt-bowl-with-walnuts-cinnamon-and-pear.jpg</t>
        </is>
      </c>
      <c r="J963" s="3" t="inlineStr">
        <is>
          <t>Greek Yogurt Bowl with Walnuts, Cinnamon &amp; Pear, healthy food photography, plated, natural light</t>
        </is>
      </c>
      <c r="K963" s="4" t="inlineStr"/>
      <c r="L963" s="3" t="inlineStr">
        <is>
          <t>Greek yogurt, plain 2% — 200 g (7.1 oz)
Pear — 100 g (3.5 oz)
Walnuts — 18 g (0.6 oz)
Ground cinnamon — 1 g (0.0 oz)
Chia seeds — 5 g (0.2 oz)</t>
        </is>
      </c>
      <c r="M963" s="4" t="inlineStr">
        <is>
          <t>[{"ingredient_id": "greek_yogurt", "name": "Greek yogurt, plain 2%", "grams": 200.0, "note": ""}, {"ingredient_id": "pear", "name": "Pear", "grams": 100.0, "note": ""}, {"ingredient_id": "walnuts", "name": "Walnuts", "grams": 18.0, "note": ""}, {"ingredient_id": "cinnamon", "name": "Ground cinnamon", "grams": 1.0, "note": ""}, {"ingredient_id": "chia_seeds", "name": "Chia seeds", "grams": 5.0, "note": ""}]</t>
        </is>
      </c>
      <c r="N963" s="2" t="n">
        <v>347</v>
      </c>
      <c r="O963" s="5" t="n">
        <v>24</v>
      </c>
      <c r="P963" s="5" t="n">
        <v>17.4</v>
      </c>
      <c r="Q963" s="5" t="n">
        <v>28.4</v>
      </c>
      <c r="R963" s="5" t="n">
        <v>6.5</v>
      </c>
      <c r="S963" s="5" t="n">
        <v>21.9</v>
      </c>
      <c r="T963" s="2" t="n">
        <v>20</v>
      </c>
      <c r="U963" s="2" t="inlineStr">
        <is>
          <t>low</t>
        </is>
      </c>
      <c r="V963" s="5" t="n">
        <v>4.4</v>
      </c>
      <c r="W963" s="2" t="inlineStr">
        <is>
          <t>low</t>
        </is>
      </c>
      <c r="X963" s="3" t="inlineStr"/>
      <c r="Y963" s="3" t="inlineStr">
        <is>
          <t>91% of this dish's available carbohydrate comes from ingredients with a published, measured GI; the rest uses conventional placeholders (see Ingredients sheet)</t>
        </is>
      </c>
      <c r="Z963" s="2" t="n">
        <v>91</v>
      </c>
      <c r="AA963" s="3" t="inlineStr">
        <is>
          <t>vegetarian, gluten-free, no-cook, quick</t>
        </is>
      </c>
      <c r="AB963" s="3" t="inlineStr">
        <is>
          <t>1. Bowl yogurt.
2. Top diced pear, walnuts, chia.
3. Cinnamon.</t>
        </is>
      </c>
      <c r="AC963" s="4" t="inlineStr">
        <is>
          <t>["Bowl yogurt.", "Top diced pear, walnuts, chia.", "Cinnamon."]</t>
        </is>
      </c>
    </row>
    <row r="964" ht="96" customHeight="1">
      <c r="A964" s="2" t="inlineStr">
        <is>
          <t>DB-0963</t>
        </is>
      </c>
      <c r="B964" s="3" t="inlineStr">
        <is>
          <t>Smoked Salmon Scramble</t>
        </is>
      </c>
      <c r="C964" s="4" t="inlineStr">
        <is>
          <t>Breakfast</t>
        </is>
      </c>
      <c r="D964" s="4" t="inlineStr">
        <is>
          <t>American</t>
        </is>
      </c>
      <c r="E964" s="2" t="n">
        <v>1</v>
      </c>
      <c r="F964" s="2" t="n">
        <v>3</v>
      </c>
      <c r="G964" s="2" t="n">
        <v>5</v>
      </c>
      <c r="H964" s="2" t="n">
        <v>8</v>
      </c>
      <c r="I964" s="4" t="inlineStr">
        <is>
          <t>smoked-salmon-scramble.jpg</t>
        </is>
      </c>
      <c r="J964" s="3" t="inlineStr">
        <is>
          <t>Smoked Salmon Scramble, healthy food photography, plated, natural light</t>
        </is>
      </c>
      <c r="K964" s="4" t="inlineStr"/>
      <c r="L964" s="3" t="inlineStr">
        <is>
          <t>Egg, large (50 g each) — 150 g (5.3 oz)
Smoked salmon — 50 g (1.8 oz)
Cream cheese — 15 g (0.5 oz)
Fresh chives — 4 g (0.1 oz)
Butter — 6 g (0.2 oz)
Black pepper — 1 g (0.0 oz)</t>
        </is>
      </c>
      <c r="M964" s="4" t="inlineStr">
        <is>
          <t>[{"ingredient_id": "egg", "name": "Egg, large (50 g each)", "grams": 150.0, "note": ""}, {"ingredient_id": "smoked_salmon", "name": "Smoked salmon", "grams": 50.0, "note": ""}, {"ingredient_id": "cream_cheese", "name": "Cream cheese", "grams": 15.0, "note": ""}, {"ingredient_id": "chives", "name": "Fresh chives", "grams": 4.0, "note": ""}, {"ingredient_id": "butter", "name": "Butter", "grams": 6.0, "note": ""}, {"ingredient_id": "black_pepper", "name": "Black pepper", "grams": 1.0, "note": ""}]</t>
        </is>
      </c>
      <c r="N964" s="2" t="n">
        <v>371</v>
      </c>
      <c r="O964" s="5" t="n">
        <v>29.1</v>
      </c>
      <c r="P964" s="5" t="n">
        <v>26.4</v>
      </c>
      <c r="Q964" s="5" t="n">
        <v>2.5</v>
      </c>
      <c r="R964" s="5" t="n">
        <v>0.3</v>
      </c>
      <c r="S964" s="5" t="n">
        <v>2.1</v>
      </c>
      <c r="T964" s="2" t="n">
        <v>3</v>
      </c>
      <c r="U964" s="2" t="inlineStr">
        <is>
          <t>low</t>
        </is>
      </c>
      <c r="V964" s="5" t="n">
        <v>0.1</v>
      </c>
      <c r="W964" s="2" t="inlineStr">
        <is>
          <t>low</t>
        </is>
      </c>
      <c r="X964" s="3" t="inlineStr">
        <is>
          <t>Negligible carbohydrate (&lt;5 g net/serving): GI has little practical meaning, glycemic load is what matters.</t>
        </is>
      </c>
      <c r="Y964" s="3" t="inlineStr">
        <is>
          <t>0% of this dish's available carbohydrate comes from ingredients with a published, measured GI; the rest uses conventional placeholders (see Ingredients sheet)</t>
        </is>
      </c>
      <c r="Z964" s="2" t="n">
        <v>0</v>
      </c>
      <c r="AA964" s="3" t="inlineStr">
        <is>
          <t>pescatarian, gluten-free, nut-free, low-carb, high-protein, omega-3, quick</t>
        </is>
      </c>
      <c r="AB964" s="3" t="inlineStr">
        <is>
          <t>1. Whisk eggs; cook in butter low and slow.
2. Fold in cream cheese and salmon at the end.
3. Chives, pepper.</t>
        </is>
      </c>
      <c r="AC964" s="4" t="inlineStr">
        <is>
          <t>["Whisk eggs; cook in butter low and slow.", "Fold in cream cheese and salmon at the end.", "Chives, pepper."]</t>
        </is>
      </c>
    </row>
    <row r="965" ht="96" customHeight="1">
      <c r="A965" s="2" t="inlineStr">
        <is>
          <t>DB-0964</t>
        </is>
      </c>
      <c r="B965" s="3" t="inlineStr">
        <is>
          <t>Veggie Egg White Omelet with Hummus</t>
        </is>
      </c>
      <c r="C965" s="4" t="inlineStr">
        <is>
          <t>Breakfast</t>
        </is>
      </c>
      <c r="D965" s="4" t="inlineStr">
        <is>
          <t>Mediterranean</t>
        </is>
      </c>
      <c r="E965" s="2" t="n">
        <v>1</v>
      </c>
      <c r="F965" s="2" t="n">
        <v>5</v>
      </c>
      <c r="G965" s="2" t="n">
        <v>8</v>
      </c>
      <c r="H965" s="2" t="n">
        <v>13</v>
      </c>
      <c r="I965" s="4" t="inlineStr">
        <is>
          <t>veggie-egg-white-omelet-with-hummus.jpg</t>
        </is>
      </c>
      <c r="J965" s="3" t="inlineStr">
        <is>
          <t>Veggie Egg White Omelet with Hummus, healthy food photography, plated, natural light</t>
        </is>
      </c>
      <c r="K965" s="4" t="inlineStr"/>
      <c r="L965" s="3" t="inlineStr">
        <is>
          <t>Egg whites — 180 g (6.3 oz)
Spinach — 40 g (1.4 oz)
Mushrooms (cremini/white) — 50 g (1.8 oz)
Tomato — 50 g (1.8 oz)
Hummus — 40 g (1.4 oz)
Extra-virgin olive oil — 5 g (0.2 oz)
Za'atar — 1 g (0.0 oz)</t>
        </is>
      </c>
      <c r="M965" s="4" t="inlineStr">
        <is>
          <t>[{"ingredient_id": "egg_white", "name": "Egg whites", "grams": 180.0, "note": ""}, {"ingredient_id": "spinach", "name": "Spinach", "grams": 40.0, "note": ""}, {"ingredient_id": "mushrooms", "name": "Mushrooms (cremini/white)", "grams": 50.0, "note": ""}, {"ingredient_id": "tomato", "name": "Tomato", "grams": 50.0, "note": ""}, {"ingredient_id": "hummus", "name": "Hummus", "grams": 40.0, "note": ""}, {"ingredient_id": "olive_oil", "name": "Extra-virgin olive oil", "grams": 5.0, "note": ""}, {"ingredient_id": "zaatar", "name": "Za'atar", "grams": 1.0, "note": ""}]</t>
        </is>
      </c>
      <c r="N965" s="2" t="n">
        <v>236</v>
      </c>
      <c r="O965" s="5" t="n">
        <v>26.3</v>
      </c>
      <c r="P965" s="5" t="n">
        <v>9.699999999999999</v>
      </c>
      <c r="Q965" s="5" t="n">
        <v>12.5</v>
      </c>
      <c r="R965" s="5" t="n">
        <v>4.6</v>
      </c>
      <c r="S965" s="5" t="n">
        <v>7.8</v>
      </c>
      <c r="T965" s="2" t="n">
        <v>13</v>
      </c>
      <c r="U965" s="2" t="inlineStr">
        <is>
          <t>low</t>
        </is>
      </c>
      <c r="V965" s="5" t="n">
        <v>1</v>
      </c>
      <c r="W965" s="2" t="inlineStr">
        <is>
          <t>low</t>
        </is>
      </c>
      <c r="X965" s="3" t="inlineStr"/>
      <c r="Y965" s="3" t="inlineStr">
        <is>
          <t>41% of this dish's available carbohydrate comes from ingredients with a published, measured GI; the rest uses conventional placeholders (see Ingredients sheet)</t>
        </is>
      </c>
      <c r="Z965" s="2" t="n">
        <v>41</v>
      </c>
      <c r="AA965" s="3" t="inlineStr">
        <is>
          <t>vegetarian, gluten-free, dairy-free, nut-free, low-carb, high-protein</t>
        </is>
      </c>
      <c r="AB965" s="3" t="inlineStr">
        <is>
          <t>1. Sauté mushrooms and spinach in oil.
2. Pour egg whites; cook until set; fold with tomato.
3. Serve with hummus and za'atar.</t>
        </is>
      </c>
      <c r="AC965" s="4" t="inlineStr">
        <is>
          <t>["Sauté mushrooms and spinach in oil.", "Pour egg whites; cook until set; fold with tomato.", "Serve with hummus and za'atar."]</t>
        </is>
      </c>
    </row>
    <row r="966" ht="96" customHeight="1">
      <c r="A966" s="2" t="inlineStr">
        <is>
          <t>DB-0965</t>
        </is>
      </c>
      <c r="B966" s="3" t="inlineStr">
        <is>
          <t>Chocolate Chia Protein Overnight Oats</t>
        </is>
      </c>
      <c r="C966" s="4" t="inlineStr">
        <is>
          <t>Breakfast</t>
        </is>
      </c>
      <c r="D966" s="4" t="inlineStr">
        <is>
          <t>American</t>
        </is>
      </c>
      <c r="E966" s="2" t="n">
        <v>1</v>
      </c>
      <c r="F966" s="2" t="n">
        <v>5</v>
      </c>
      <c r="G966" s="2" t="n">
        <v>0</v>
      </c>
      <c r="H966" s="2" t="n">
        <v>5</v>
      </c>
      <c r="I966" s="4" t="inlineStr">
        <is>
          <t>chocolate-chia-protein-overnight-oats.jpg</t>
        </is>
      </c>
      <c r="J966" s="3" t="inlineStr">
        <is>
          <t>Chocolate Chia Protein Overnight Oats, healthy food photography, plated, natural light</t>
        </is>
      </c>
      <c r="K966" s="4" t="inlineStr"/>
      <c r="L966" s="3" t="inlineStr">
        <is>
          <t>Rolled oats, dry — 40 g (1.4 oz)
Chia seeds — 10 g (0.4 oz)
Almond milk, unsweetened — 180 g (6.3 oz)
Whey protein powder, unsweetened — 20 g (0.7 oz)
Cocoa powder, unsweetened — 6 g (0.2 oz)
Monk fruit/erythritol sweetener — 5 g (0.2 oz)
Raspberries — 50 g (1.8 oz)</t>
        </is>
      </c>
      <c r="M966" s="4" t="inlineStr">
        <is>
          <t>[{"ingredient_id": "rolled_oats", "name": "Rolled oats, dry", "grams": 40.0, "note": ""}, {"ingredient_id": "chia_seeds", "name": "Chia seeds", "grams": 10.0, "note": ""}, {"ingredient_id": "almond_milk", "name": "Almond milk, unsweetened", "grams": 180.0, "note": ""}, {"ingredient_id": "whey_protein", "name": "Whey protein powder, unsweetened", "grams": 20.0, "note": ""}, {"ingredient_id": "cocoa_powder", "name": "Cocoa powder, unsweetened", "grams": 6.0, "note": ""}, {"ingredient_id": "monk_fruit_sweetener", "name": "Monk fruit/erythritol sweetener", "grams": 5.0, "note": ""}, {"ingredient_id": "raspberries", "name": "Raspberries", "grams": 50.0, "note": ""}]</t>
        </is>
      </c>
      <c r="N966" s="2" t="n">
        <v>343</v>
      </c>
      <c r="O966" s="5" t="n">
        <v>25.4</v>
      </c>
      <c r="P966" s="5" t="n">
        <v>10</v>
      </c>
      <c r="Q966" s="5" t="n">
        <v>43.6</v>
      </c>
      <c r="R966" s="5" t="n">
        <v>12.8</v>
      </c>
      <c r="S966" s="5" t="n">
        <v>30.7</v>
      </c>
      <c r="T966" s="2" t="n">
        <v>50</v>
      </c>
      <c r="U966" s="2" t="inlineStr">
        <is>
          <t>low</t>
        </is>
      </c>
      <c r="V966" s="5" t="n">
        <v>15.4</v>
      </c>
      <c r="W966" s="2" t="inlineStr">
        <is>
          <t>medium</t>
        </is>
      </c>
      <c r="X966" s="3" t="inlineStr"/>
      <c r="Y966" s="3" t="inlineStr">
        <is>
          <t>80% of this dish's available carbohydrate comes from ingredients with a published, measured GI; the rest uses conventional placeholders (see Ingredients sheet)</t>
        </is>
      </c>
      <c r="Z966" s="2" t="n">
        <v>80</v>
      </c>
      <c r="AA966" s="3" t="inlineStr">
        <is>
          <t>vegetarian, high-protein, high-fiber, make-ahead, no-cook</t>
        </is>
      </c>
      <c r="AB966" s="3" t="inlineStr">
        <is>
          <t>1. Whisk protein, cocoa, sweetener into milk; stir oats and chia.
2. Refrigerate overnight.
3. Raspberries.</t>
        </is>
      </c>
      <c r="AC966" s="4" t="inlineStr">
        <is>
          <t>["Whisk protein, cocoa, sweetener into milk; stir oats and chia.", "Refrigerate overnight.", "Raspberries."]</t>
        </is>
      </c>
    </row>
    <row r="967" ht="96" customHeight="1">
      <c r="A967" s="2" t="inlineStr">
        <is>
          <t>DB-0966</t>
        </is>
      </c>
      <c r="B967" s="3" t="inlineStr">
        <is>
          <t>Turkey Sausage Egg Muffins with Spinach</t>
        </is>
      </c>
      <c r="C967" s="4" t="inlineStr">
        <is>
          <t>Breakfast</t>
        </is>
      </c>
      <c r="D967" s="4" t="inlineStr">
        <is>
          <t>American</t>
        </is>
      </c>
      <c r="E967" s="2" t="n">
        <v>6</v>
      </c>
      <c r="F967" s="2" t="n">
        <v>10</v>
      </c>
      <c r="G967" s="2" t="n">
        <v>22</v>
      </c>
      <c r="H967" s="2" t="n">
        <v>32</v>
      </c>
      <c r="I967" s="4" t="inlineStr">
        <is>
          <t>turkey-sausage-egg-muffins-with-spinach.jpg</t>
        </is>
      </c>
      <c r="J967" s="3" t="inlineStr">
        <is>
          <t>Turkey Sausage Egg Muffins with Spinach, healthy food photography, plated, natural light</t>
        </is>
      </c>
      <c r="K967" s="4" t="inlineStr"/>
      <c r="L967" s="3" t="inlineStr">
        <is>
          <t>Egg, large (50 g each) — 450 g (15.9 oz)
Turkey sausage — 200 g (7.1 oz)
Spinach — 100 g (3.5 oz)
Cheddar cheese — 80 g (2.8 oz)
Bell pepper — 80 g (2.8 oz)
Milk, 2% — 50 g (1.8 oz)
Salt — 2 g (0.1 oz)</t>
        </is>
      </c>
      <c r="M967" s="4" t="inlineStr">
        <is>
          <t>[{"ingredient_id": "egg", "name": "Egg, large (50 g each)", "grams": 450.0, "note": ""}, {"ingredient_id": "turkey_sausage", "name": "Turkey sausage", "grams": 200.0, "note": ""}, {"ingredient_id": "spinach", "name": "Spinach", "grams": 100.0, "note": ""}, {"ingredient_id": "cheddar", "name": "Cheddar cheese", "grams": 80.0, "note": ""}, {"ingredient_id": "bell_pepper", "name": "Bell pepper", "grams": 80.0, "note": ""}, {"ingredient_id": "milk", "name": "Milk, 2%", "grams": 50.0, "note": ""}, {"ingredient_id": "salt", "name": "Salt", "grams": 2.0, "note": ""}]</t>
        </is>
      </c>
      <c r="N967" s="2" t="n">
        <v>225</v>
      </c>
      <c r="O967" s="5" t="n">
        <v>18.4</v>
      </c>
      <c r="P967" s="5" t="n">
        <v>15.1</v>
      </c>
      <c r="Q967" s="5" t="n">
        <v>3.2</v>
      </c>
      <c r="R967" s="5" t="n">
        <v>0.6</v>
      </c>
      <c r="S967" s="5" t="n">
        <v>2.5</v>
      </c>
      <c r="T967" s="2" t="n">
        <v>9</v>
      </c>
      <c r="U967" s="2" t="inlineStr">
        <is>
          <t>low</t>
        </is>
      </c>
      <c r="V967" s="5" t="n">
        <v>0.2</v>
      </c>
      <c r="W967" s="2" t="inlineStr">
        <is>
          <t>low</t>
        </is>
      </c>
      <c r="X967" s="3" t="inlineStr">
        <is>
          <t>Negligible carbohydrate (&lt;5 g net/serving): GI has little practical meaning, glycemic load is what matters.</t>
        </is>
      </c>
      <c r="Y967" s="3" t="inlineStr">
        <is>
          <t>16% of this dish's available carbohydrate comes from ingredients with a published, measured GI; the rest uses conventional placeholders (see Ingredients sheet)</t>
        </is>
      </c>
      <c r="Z967" s="2" t="n">
        <v>16</v>
      </c>
      <c r="AA967" s="3" t="inlineStr">
        <is>
          <t>gluten-free, nut-free, low-carb, meal-prep</t>
        </is>
      </c>
      <c r="AB967" s="3" t="inlineStr">
        <is>
          <t>1. Brown crumbled sausage.
2. Divide sausage, spinach, pepper, cheddar into 12 oiled cups; pour whisked eggs with milk and salt.
3. Bake at 350°F 20 minutes.</t>
        </is>
      </c>
      <c r="AC967" s="4" t="inlineStr">
        <is>
          <t>["Brown crumbled sausage.", "Divide sausage, spinach, pepper, cheddar into 12 oiled cups; pour whisked eggs with milk and salt.", "Bake at 350°F 20 minutes."]</t>
        </is>
      </c>
    </row>
    <row r="968" ht="96" customHeight="1">
      <c r="A968" s="2" t="inlineStr">
        <is>
          <t>DB-0967</t>
        </is>
      </c>
      <c r="B968" s="3" t="inlineStr">
        <is>
          <t>Avocado Cottage Cheese Toast</t>
        </is>
      </c>
      <c r="C968" s="4" t="inlineStr">
        <is>
          <t>Breakfast</t>
        </is>
      </c>
      <c r="D968" s="4" t="inlineStr">
        <is>
          <t>American</t>
        </is>
      </c>
      <c r="E968" s="2" t="n">
        <v>1</v>
      </c>
      <c r="F968" s="2" t="n">
        <v>4</v>
      </c>
      <c r="G968" s="2" t="n">
        <v>3</v>
      </c>
      <c r="H968" s="2" t="n">
        <v>7</v>
      </c>
      <c r="I968" s="4" t="inlineStr">
        <is>
          <t>avocado-cottage-cheese-toast.jpg</t>
        </is>
      </c>
      <c r="J968" s="3" t="inlineStr">
        <is>
          <t>Avocado Cottage Cheese Toast, healthy food photography, plated, natural light</t>
        </is>
      </c>
      <c r="K968" s="4" t="inlineStr"/>
      <c r="L968" s="3" t="inlineStr">
        <is>
          <t>Sprouted grain bread (Ezekiel-style) — 34 g (1.2 oz)
Cottage cheese, low-fat — 80 g (2.8 oz)
Avocado — 50 g (1.8 oz)
Everything bagel seasoning — 2 g (0.1 oz)
Red pepper flakes — 0.5 g (0.0 oz)</t>
        </is>
      </c>
      <c r="M968" s="4" t="inlineStr">
        <is>
          <t>[{"ingredient_id": "ezekiel_bread", "name": "Sprouted grain bread (Ezekiel-style)", "grams": 34.0, "note": ""}, {"ingredient_id": "cottage_cheese", "name": "Cottage cheese, low-fat", "grams": 80.0, "note": ""}, {"ingredient_id": "avocado", "name": "Avocado", "grams": 50.0, "note": ""}, {"ingredient_id": "everything_seasoning", "name": "Everything bagel seasoning", "grams": 2.0, "note": ""}, {"ingredient_id": "red_pepper_flakes", "name": "Red pepper flakes", "grams": 0.5, "note": ""}]</t>
        </is>
      </c>
      <c r="N968" s="2" t="n">
        <v>236</v>
      </c>
      <c r="O968" s="5" t="n">
        <v>14.2</v>
      </c>
      <c r="P968" s="5" t="n">
        <v>10.3</v>
      </c>
      <c r="Q968" s="5" t="n">
        <v>23.5</v>
      </c>
      <c r="R968" s="5" t="n">
        <v>6.7</v>
      </c>
      <c r="S968" s="5" t="n">
        <v>16.8</v>
      </c>
      <c r="T968" s="2" t="n">
        <v>47</v>
      </c>
      <c r="U968" s="2" t="inlineStr">
        <is>
          <t>low</t>
        </is>
      </c>
      <c r="V968" s="5" t="n">
        <v>7.9</v>
      </c>
      <c r="W968" s="2" t="inlineStr">
        <is>
          <t>low</t>
        </is>
      </c>
      <c r="X968" s="3" t="inlineStr"/>
      <c r="Y968" s="3" t="inlineStr">
        <is>
          <t>71% of this dish's available carbohydrate comes from ingredients with a published, measured GI; the rest uses conventional placeholders (see Ingredients sheet)</t>
        </is>
      </c>
      <c r="Z968" s="2" t="n">
        <v>71</v>
      </c>
      <c r="AA968" s="3" t="inlineStr">
        <is>
          <t>vegetarian, gluten-free, nut-free, quick</t>
        </is>
      </c>
      <c r="AB968" s="3" t="inlineStr">
        <is>
          <t>1. Toast bread.
2. Spread cottage cheese; top sliced avocado.
3. Seasoning, pepper flakes.</t>
        </is>
      </c>
      <c r="AC968" s="4" t="inlineStr">
        <is>
          <t>["Toast bread.", "Spread cottage cheese; top sliced avocado.", "Seasoning, pepper flakes."]</t>
        </is>
      </c>
    </row>
    <row r="969" ht="96" customHeight="1">
      <c r="A969" s="2" t="inlineStr">
        <is>
          <t>DB-0968</t>
        </is>
      </c>
      <c r="B969" s="3" t="inlineStr">
        <is>
          <t>Strawberry Protein Smoothie Bowl</t>
        </is>
      </c>
      <c r="C969" s="4" t="inlineStr">
        <is>
          <t>Breakfast</t>
        </is>
      </c>
      <c r="D969" s="4" t="inlineStr">
        <is>
          <t>American</t>
        </is>
      </c>
      <c r="E969" s="2" t="n">
        <v>1</v>
      </c>
      <c r="F969" s="2" t="n">
        <v>5</v>
      </c>
      <c r="G969" s="2" t="n">
        <v>0</v>
      </c>
      <c r="H969" s="2" t="n">
        <v>5</v>
      </c>
      <c r="I969" s="4" t="inlineStr">
        <is>
          <t>strawberry-protein-smoothie-bowl.jpg</t>
        </is>
      </c>
      <c r="J969" s="3" t="inlineStr">
        <is>
          <t>Strawberry Protein Smoothie Bowl, healthy food photography, plated, natural light</t>
        </is>
      </c>
      <c r="K969" s="4" t="inlineStr"/>
      <c r="L969" s="3" t="inlineStr">
        <is>
          <t>Strawberries — 120 g (4.2 oz) [frozen]
Greek yogurt, plain 2% — 150 g (5.3 oz)
Whey protein powder, unsweetened — 20 g (0.7 oz)
Almond milk, unsweetened — 60 g (2.1 oz)
Chia seeds — 6 g (0.2 oz)
Almonds — 10 g (0.4 oz)
Coconut, unsweetened shredded — 5 g (0.2 oz)</t>
        </is>
      </c>
      <c r="M969" s="4" t="inlineStr">
        <is>
          <t>[{"ingredient_id": "strawberries", "name": "Strawberries", "grams": 120.0, "note": "frozen"}, {"ingredient_id": "greek_yogurt", "name": "Greek yogurt, plain 2%", "grams": 150.0, "note": ""}, {"ingredient_id": "whey_protein", "name": "Whey protein powder, unsweetened", "grams": 20.0, "note": ""}, {"ingredient_id": "almond_milk", "name": "Almond milk, unsweetened", "grams": 60.0, "note": ""}, {"ingredient_id": "chia_seeds", "name": "Chia seeds", "grams": 6.0, "note": ""}, {"ingredient_id": "almonds", "name": "Almonds", "grams": 10.0, "note": ""}, {"ingredient_id": "coconut_shredded", "name": "Coconut, unsweetened shredded", "grams": 5.0, "note": ""}]</t>
        </is>
      </c>
      <c r="N969" s="2" t="n">
        <v>353</v>
      </c>
      <c r="O969" s="5" t="n">
        <v>35.3</v>
      </c>
      <c r="P969" s="5" t="n">
        <v>15.2</v>
      </c>
      <c r="Q969" s="5" t="n">
        <v>23.1</v>
      </c>
      <c r="R969" s="5" t="n">
        <v>6.7</v>
      </c>
      <c r="S969" s="5" t="n">
        <v>16.4</v>
      </c>
      <c r="T969" s="2" t="n">
        <v>26</v>
      </c>
      <c r="U969" s="2" t="inlineStr">
        <is>
          <t>low</t>
        </is>
      </c>
      <c r="V969" s="5" t="n">
        <v>4.3</v>
      </c>
      <c r="W969" s="2" t="inlineStr">
        <is>
          <t>low</t>
        </is>
      </c>
      <c r="X969" s="3" t="inlineStr"/>
      <c r="Y969" s="3" t="inlineStr">
        <is>
          <t>87% of this dish's available carbohydrate comes from ingredients with a published, measured GI; the rest uses conventional placeholders (see Ingredients sheet)</t>
        </is>
      </c>
      <c r="Z969" s="2" t="n">
        <v>87</v>
      </c>
      <c r="AA969" s="3" t="inlineStr">
        <is>
          <t>vegetarian, gluten-free, high-protein, quick, no-cook</t>
        </is>
      </c>
      <c r="AB969" s="3" t="inlineStr">
        <is>
          <t>1. Blend strawberries, yogurt, protein, milk until thick.
2. Bowl; top chia, almonds, coconut.</t>
        </is>
      </c>
      <c r="AC969" s="4" t="inlineStr">
        <is>
          <t>["Blend strawberries, yogurt, protein, milk until thick.", "Bowl; top chia, almonds, coconut."]</t>
        </is>
      </c>
    </row>
    <row r="970" ht="96" customHeight="1">
      <c r="A970" s="2" t="inlineStr">
        <is>
          <t>DB-0969</t>
        </is>
      </c>
      <c r="B970" s="3" t="inlineStr">
        <is>
          <t>Mushroom Spinach Egg White Cups</t>
        </is>
      </c>
      <c r="C970" s="4" t="inlineStr">
        <is>
          <t>Breakfast</t>
        </is>
      </c>
      <c r="D970" s="4" t="inlineStr">
        <is>
          <t>American</t>
        </is>
      </c>
      <c r="E970" s="2" t="n">
        <v>4</v>
      </c>
      <c r="F970" s="2" t="n">
        <v>10</v>
      </c>
      <c r="G970" s="2" t="n">
        <v>20</v>
      </c>
      <c r="H970" s="2" t="n">
        <v>30</v>
      </c>
      <c r="I970" s="4" t="inlineStr">
        <is>
          <t>mushroom-spinach-egg-white-cups.jpg</t>
        </is>
      </c>
      <c r="J970" s="3" t="inlineStr">
        <is>
          <t>Mushroom Spinach Egg White Cups, healthy food photography, plated, natural light</t>
        </is>
      </c>
      <c r="K970" s="4" t="inlineStr"/>
      <c r="L970" s="3" t="inlineStr">
        <is>
          <t>Egg whites — 360 g (12.7 oz)
Mushrooms (cremini/white) — 150 g (5.3 oz)
Spinach — 80 g (2.8 oz)
Parmesan, grated — 30 g (1.1 oz)
Garlic powder — 1 g (0.0 oz)
Extra-virgin olive oil — 6 g (0.2 oz)
Salt — 1 g (0.0 oz)</t>
        </is>
      </c>
      <c r="M970" s="4" t="inlineStr">
        <is>
          <t>[{"ingredient_id": "egg_white", "name": "Egg whites", "grams": 360.0, "note": ""}, {"ingredient_id": "mushrooms", "name": "Mushrooms (cremini/white)", "grams": 150.0, "note": ""}, {"ingredient_id": "spinach", "name": "Spinach", "grams": 80.0, "note": ""}, {"ingredient_id": "parmesan", "name": "Parmesan, grated", "grams": 30.0, "note": ""}, {"ingredient_id": "garlic_powder", "name": "Garlic powder", "grams": 1.0, "note": ""}, {"ingredient_id": "olive_oil", "name": "Extra-virgin olive oil", "grams": 6.0, "note": ""}, {"ingredient_id": "salt", "name": "Salt", "grams": 1.0, "note": ""}]</t>
        </is>
      </c>
      <c r="N970" s="2" t="n">
        <v>106</v>
      </c>
      <c r="O970" s="5" t="n">
        <v>14.5</v>
      </c>
      <c r="P970" s="5" t="n">
        <v>4</v>
      </c>
      <c r="Q970" s="5" t="n">
        <v>3.1</v>
      </c>
      <c r="R970" s="5" t="n">
        <v>0.8</v>
      </c>
      <c r="S970" s="5" t="n">
        <v>2.2</v>
      </c>
      <c r="T970" s="2" t="n">
        <v>9</v>
      </c>
      <c r="U970" s="2" t="inlineStr">
        <is>
          <t>low</t>
        </is>
      </c>
      <c r="V970" s="5" t="n">
        <v>0.2</v>
      </c>
      <c r="W970" s="2" t="inlineStr">
        <is>
          <t>low</t>
        </is>
      </c>
      <c r="X970" s="3" t="inlineStr">
        <is>
          <t>Negligible carbohydrate (&lt;5 g net/serving): GI has little practical meaning, glycemic load is what matters.</t>
        </is>
      </c>
      <c r="Y970" s="3" t="inlineStr">
        <is>
          <t>0% of this dish's available carbohydrate comes from ingredients with a published, measured GI; the rest uses conventional placeholders (see Ingredients sheet)</t>
        </is>
      </c>
      <c r="Z970" s="2" t="n">
        <v>0</v>
      </c>
      <c r="AA970" s="3" t="inlineStr">
        <is>
          <t>vegetarian, gluten-free, nut-free, low-carb, meal-prep</t>
        </is>
      </c>
      <c r="AB970" s="3" t="inlineStr">
        <is>
          <t>1. Sauté mushrooms in oil; add spinach.
2. Divide into 8 oiled cups; pour egg whites with parmesan, garlic powder, salt.
3. Bake at 350°F 18 minutes.</t>
        </is>
      </c>
      <c r="AC970" s="4" t="inlineStr">
        <is>
          <t>["Sauté mushrooms in oil; add spinach.", "Divide into 8 oiled cups; pour egg whites with parmesan, garlic powder, salt.", "Bake at 350°F 18 minutes."]</t>
        </is>
      </c>
    </row>
    <row r="971" ht="96" customHeight="1">
      <c r="A971" s="2" t="inlineStr">
        <is>
          <t>DB-0970</t>
        </is>
      </c>
      <c r="B971" s="3" t="inlineStr">
        <is>
          <t>Peanut Butter Chia Pudding</t>
        </is>
      </c>
      <c r="C971" s="4" t="inlineStr">
        <is>
          <t>Breakfast</t>
        </is>
      </c>
      <c r="D971" s="4" t="inlineStr">
        <is>
          <t>American</t>
        </is>
      </c>
      <c r="E971" s="2" t="n">
        <v>2</v>
      </c>
      <c r="F971" s="2" t="n">
        <v>5</v>
      </c>
      <c r="G971" s="2" t="n">
        <v>0</v>
      </c>
      <c r="H971" s="2" t="n">
        <v>5</v>
      </c>
      <c r="I971" s="4" t="inlineStr">
        <is>
          <t>peanut-butter-chia-pudding.jpg</t>
        </is>
      </c>
      <c r="J971" s="3" t="inlineStr">
        <is>
          <t>Peanut Butter Chia Pudding, healthy food photography, plated, natural light</t>
        </is>
      </c>
      <c r="K971" s="4" t="inlineStr"/>
      <c r="L971" s="3" t="inlineStr">
        <is>
          <t>Chia seeds — 40 g (1.4 oz)
Almond milk, unsweetened — 320 g (11.3 oz)
Peanut butter, natural — 30 g (1.1 oz)
Monk fruit/erythritol sweetener — 8 g (0.3 oz)
Vanilla extract — 2 g (0.1 oz)
Strawberries — 80 g (2.8 oz)</t>
        </is>
      </c>
      <c r="M971" s="4" t="inlineStr">
        <is>
          <t>[{"ingredient_id": "chia_seeds", "name": "Chia seeds", "grams": 40.0, "note": ""}, {"ingredient_id": "almond_milk", "name": "Almond milk, unsweetened", "grams": 320.0, "note": ""}, {"ingredient_id": "peanut_butter", "name": "Peanut butter, natural", "grams": 30.0, "note": ""}, {"ingredient_id": "monk_fruit_sweetener", "name": "Monk fruit/erythritol sweetener", "grams": 8.0, "note": ""}, {"ingredient_id": "vanilla_extract", "name": "Vanilla extract", "grams": 2.0, "note": ""}, {"ingredient_id": "strawberries", "name": "Strawberries", "grams": 80.0, "note": ""}]</t>
        </is>
      </c>
      <c r="N971" s="2" t="n">
        <v>225</v>
      </c>
      <c r="O971" s="5" t="n">
        <v>8.4</v>
      </c>
      <c r="P971" s="5" t="n">
        <v>15.7</v>
      </c>
      <c r="Q971" s="5" t="n">
        <v>15.6</v>
      </c>
      <c r="R971" s="5" t="n">
        <v>8.5</v>
      </c>
      <c r="S971" s="5" t="n">
        <v>7.1</v>
      </c>
      <c r="T971" s="2" t="n">
        <v>24</v>
      </c>
      <c r="U971" s="2" t="inlineStr">
        <is>
          <t>low</t>
        </is>
      </c>
      <c r="V971" s="5" t="n">
        <v>1.7</v>
      </c>
      <c r="W971" s="2" t="inlineStr">
        <is>
          <t>low</t>
        </is>
      </c>
      <c r="X971" s="3" t="inlineStr"/>
      <c r="Y971" s="3" t="inlineStr">
        <is>
          <t>32% of this dish's available carbohydrate comes from ingredients with a published, measured GI; the rest uses conventional placeholders (see Ingredients sheet)</t>
        </is>
      </c>
      <c r="Z971" s="2" t="n">
        <v>32</v>
      </c>
      <c r="AA971" s="3" t="inlineStr">
        <is>
          <t>vegan, gluten-free, dairy-free, low-carb, high-fiber, make-ahead</t>
        </is>
      </c>
      <c r="AB971" s="3" t="inlineStr">
        <is>
          <t>1. Whisk peanut butter, sweetener, vanilla into milk; stir chia.
2. Refrigerate 4+ hours.
3. Strawberries.</t>
        </is>
      </c>
      <c r="AC971" s="4" t="inlineStr">
        <is>
          <t>["Whisk peanut butter, sweetener, vanilla into milk; stir chia.", "Refrigerate 4+ hours.", "Strawberries."]</t>
        </is>
      </c>
    </row>
    <row r="972" ht="96" customHeight="1">
      <c r="A972" s="2" t="inlineStr">
        <is>
          <t>DB-0971</t>
        </is>
      </c>
      <c r="B972" s="3" t="inlineStr">
        <is>
          <t>Southwest Veggie Egg Scramble</t>
        </is>
      </c>
      <c r="C972" s="4" t="inlineStr">
        <is>
          <t>Breakfast</t>
        </is>
      </c>
      <c r="D972" s="4" t="inlineStr">
        <is>
          <t>Tex-Mex</t>
        </is>
      </c>
      <c r="E972" s="2" t="n">
        <v>2</v>
      </c>
      <c r="F972" s="2" t="n">
        <v>8</v>
      </c>
      <c r="G972" s="2" t="n">
        <v>10</v>
      </c>
      <c r="H972" s="2" t="n">
        <v>18</v>
      </c>
      <c r="I972" s="4" t="inlineStr">
        <is>
          <t>southwest-veggie-egg-scramble.jpg</t>
        </is>
      </c>
      <c r="J972" s="3" t="inlineStr">
        <is>
          <t>Southwest Veggie Egg Scramble, healthy food photography, plated, natural light</t>
        </is>
      </c>
      <c r="K972" s="4" t="inlineStr"/>
      <c r="L972" s="3" t="inlineStr">
        <is>
          <t>Egg, large (50 g each) — 200 g (7.1 oz)
Bell pepper — 80 g (2.8 oz)
Yellow onion — 40 g (1.4 oz)
Black beans, cooked — 80 g (2.8 oz)
Jalapeño — 8 g (0.3 oz)
Cheddar cheese — 30 g (1.1 oz)
Salsa, no sugar added — 60 g (2.1 oz)
Fresh cilantro — 4 g (0.1 oz)
Extra-virgin olive oil — 8 g (0.3 oz)
Ground cumin — 1 g (0.0 oz)</t>
        </is>
      </c>
      <c r="M972" s="4" t="inlineStr">
        <is>
          <t>[{"ingredient_id": "egg", "name": "Egg, large (50 g each)", "grams": 200.0, "note": ""}, {"ingredient_id": "bell_pepper", "name": "Bell pepper", "grams": 80.0, "note": ""}, {"ingredient_id": "onion", "name": "Yellow onion", "grams": 40.0, "note": ""}, {"ingredient_id": "black_beans", "name": "Black beans, cooked", "grams": 80.0, "note": ""}, {"ingredient_id": "jalapeno", "name": "Jalapeño", "grams": 8.0, "note": ""}, {"ingredient_id": "cheddar", "name": "Cheddar cheese", "grams": 30.0, "note": ""}, {"ingredient_id": "salsa", "name": "Salsa, no sugar added", "grams": 60.0, "note": ""}, {"ingredient_id": "cilantro", "name": "Fresh cilantro", "grams": 4.0, "note": ""}, {"ingredient_id": "olive_oil", "name": "Extra-virgin olive oil", "grams": 8.0, "note": ""}, {"ingredient_id": "cumin", "name": "Ground cumin", "grams": 1.0, "note": ""}]</t>
        </is>
      </c>
      <c r="N972" s="2" t="n">
        <v>326</v>
      </c>
      <c r="O972" s="5" t="n">
        <v>20.8</v>
      </c>
      <c r="P972" s="5" t="n">
        <v>19</v>
      </c>
      <c r="Q972" s="5" t="n">
        <v>17.3</v>
      </c>
      <c r="R972" s="5" t="n">
        <v>5.3</v>
      </c>
      <c r="S972" s="5" t="n">
        <v>12</v>
      </c>
      <c r="T972" s="2" t="n">
        <v>23</v>
      </c>
      <c r="U972" s="2" t="inlineStr">
        <is>
          <t>low</t>
        </is>
      </c>
      <c r="V972" s="5" t="n">
        <v>2.8</v>
      </c>
      <c r="W972" s="2" t="inlineStr">
        <is>
          <t>low</t>
        </is>
      </c>
      <c r="X972" s="3" t="inlineStr"/>
      <c r="Y972" s="3" t="inlineStr">
        <is>
          <t>50% of this dish's available carbohydrate comes from ingredients with a published, measured GI; the rest uses conventional placeholders (see Ingredients sheet)</t>
        </is>
      </c>
      <c r="Z972" s="2" t="n">
        <v>50</v>
      </c>
      <c r="AA972" s="3" t="inlineStr">
        <is>
          <t>vegetarian, gluten-free, nut-free, low-carb, quick</t>
        </is>
      </c>
      <c r="AB972" s="3" t="inlineStr">
        <is>
          <t>1. Sauté onion, pepper, jalapeño with cumin in oil; add beans.
2. Add whisked eggs; scramble; cheddar.
3. Salsa, cilantro.</t>
        </is>
      </c>
      <c r="AC972" s="4" t="inlineStr">
        <is>
          <t>["Sauté onion, pepper, jalapeño with cumin in oil; add beans.", "Add whisked eggs; scramble; cheddar.", "Salsa, cilantro."]</t>
        </is>
      </c>
    </row>
    <row r="973" ht="96" customHeight="1">
      <c r="A973" s="2" t="inlineStr">
        <is>
          <t>DB-0972</t>
        </is>
      </c>
      <c r="B973" s="3" t="inlineStr">
        <is>
          <t>Cinnamon Cottage Cheese Pancakes</t>
        </is>
      </c>
      <c r="C973" s="4" t="inlineStr">
        <is>
          <t>Breakfast</t>
        </is>
      </c>
      <c r="D973" s="4" t="inlineStr">
        <is>
          <t>American</t>
        </is>
      </c>
      <c r="E973" s="2" t="n">
        <v>2</v>
      </c>
      <c r="F973" s="2" t="n">
        <v>5</v>
      </c>
      <c r="G973" s="2" t="n">
        <v>12</v>
      </c>
      <c r="H973" s="2" t="n">
        <v>17</v>
      </c>
      <c r="I973" s="4" t="inlineStr">
        <is>
          <t>cinnamon-cottage-cheese-pancakes.jpg</t>
        </is>
      </c>
      <c r="J973" s="3" t="inlineStr">
        <is>
          <t>Cinnamon Cottage Cheese Pancakes, healthy food photography, plated, natural light</t>
        </is>
      </c>
      <c r="K973" s="4" t="inlineStr"/>
      <c r="L973" s="3" t="inlineStr">
        <is>
          <t>Cottage cheese, low-fat — 200 g (7.1 oz)
Egg, large (50 g each) — 100 g (3.5 oz)
Rolled oats, dry — 50 g (1.8 oz)
Ground cinnamon — 2 g (0.1 oz)
Vanilla extract — 2 g (0.1 oz)
Baking powder — 3 g (0.1 oz)
Coconut oil — 8 g (0.3 oz)
Greek yogurt, plain 2% — 60 g (2.1 oz)
Blueberries — 60 g (2.1 oz)</t>
        </is>
      </c>
      <c r="M973" s="4" t="inlineStr">
        <is>
          <t>[{"ingredient_id": "cottage_cheese", "name": "Cottage cheese, low-fat", "grams": 200.0, "note": ""}, {"ingredient_id": "egg", "name": "Egg, large (50 g each)", "grams": 100.0, "note": ""}, {"ingredient_id": "rolled_oats", "name": "Rolled oats, dry", "grams": 50.0, "note": ""}, {"ingredient_id": "cinnamon", "name": "Ground cinnamon", "grams": 2.0, "note": ""}, {"ingredient_id": "vanilla_extract", "name": "Vanilla extract", "grams": 2.0, "note": ""}, {"ingredient_id": "baking_powder", "name": "Baking powder", "grams": 3.0, "note": ""}, {"ingredient_id": "coconut_oil", "name": "Coconut oil", "grams": 8.0, "note": ""}, {"ingredient_id": "greek_yogurt", "name": "Greek yogurt, plain 2%", "grams": 60.0, "note": ""}, {"ingredient_id": "blueberries", "name": "Blueberries", "grams": 60.0, "note": ""}]</t>
        </is>
      </c>
      <c r="N973" s="2" t="n">
        <v>330</v>
      </c>
      <c r="O973" s="5" t="n">
        <v>23.8</v>
      </c>
      <c r="P973" s="5" t="n">
        <v>13.4</v>
      </c>
      <c r="Q973" s="5" t="n">
        <v>28.6</v>
      </c>
      <c r="R973" s="5" t="n">
        <v>3.8</v>
      </c>
      <c r="S973" s="5" t="n">
        <v>24.8</v>
      </c>
      <c r="T973" s="2" t="n">
        <v>43</v>
      </c>
      <c r="U973" s="2" t="inlineStr">
        <is>
          <t>low</t>
        </is>
      </c>
      <c r="V973" s="5" t="n">
        <v>10.7</v>
      </c>
      <c r="W973" s="2" t="inlineStr">
        <is>
          <t>medium</t>
        </is>
      </c>
      <c r="X973" s="3" t="inlineStr"/>
      <c r="Y973" s="3" t="inlineStr">
        <is>
          <t>78% of this dish's available carbohydrate comes from ingredients with a published, measured GI; the rest uses conventional placeholders (see Ingredients sheet)</t>
        </is>
      </c>
      <c r="Z973" s="2" t="n">
        <v>78</v>
      </c>
      <c r="AA973" s="3" t="inlineStr">
        <is>
          <t>vegetarian, nut-free</t>
        </is>
      </c>
      <c r="AB973" s="3" t="inlineStr">
        <is>
          <t>1. Blend cottage cheese, eggs, oats, cinnamon, vanilla, baking powder.
2. Cook small pancakes in oil 2–3 minutes per side.
3. Yogurt, blueberries.</t>
        </is>
      </c>
      <c r="AC973" s="4" t="inlineStr">
        <is>
          <t>["Blend cottage cheese, eggs, oats, cinnamon, vanilla, baking powder.", "Cook small pancakes in oil 2–3 minutes per side.", "Yogurt, blueberries."]</t>
        </is>
      </c>
    </row>
    <row r="974" ht="96" customHeight="1">
      <c r="A974" s="2" t="inlineStr">
        <is>
          <t>DB-0973</t>
        </is>
      </c>
      <c r="B974" s="3" t="inlineStr">
        <is>
          <t>Ham &amp; Swiss Egg Cups</t>
        </is>
      </c>
      <c r="C974" s="4" t="inlineStr">
        <is>
          <t>Breakfast</t>
        </is>
      </c>
      <c r="D974" s="4" t="inlineStr">
        <is>
          <t>American</t>
        </is>
      </c>
      <c r="E974" s="2" t="n">
        <v>3</v>
      </c>
      <c r="F974" s="2" t="n">
        <v>5</v>
      </c>
      <c r="G974" s="2" t="n">
        <v>15</v>
      </c>
      <c r="H974" s="2" t="n">
        <v>20</v>
      </c>
      <c r="I974" s="4" t="inlineStr">
        <is>
          <t>ham-and-swiss-egg-cups.jpg</t>
        </is>
      </c>
      <c r="J974" s="3" t="inlineStr">
        <is>
          <t>Ham &amp; Swiss Egg Cups, healthy food photography, plated, natural light</t>
        </is>
      </c>
      <c r="K974" s="4" t="inlineStr"/>
      <c r="L974" s="3" t="inlineStr">
        <is>
          <t>Ham, lean — 90 g (3.2 oz) [6 slices]
Egg, large (50 g each) — 300 g (10.6 oz)
Swiss cheese — 50 g (1.8 oz)
Spinach — 40 g (1.4 oz)
Black pepper — 1 g (0.0 oz)</t>
        </is>
      </c>
      <c r="M974" s="4" t="inlineStr">
        <is>
          <t>[{"ingredient_id": "ham", "name": "Ham, lean", "grams": 90.0, "note": "6 slices"}, {"ingredient_id": "egg", "name": "Egg, large (50 g each)", "grams": 300.0, "note": ""}, {"ingredient_id": "swiss_cheese", "name": "Swiss cheese", "grams": 50.0, "note": ""}, {"ingredient_id": "spinach", "name": "Spinach", "grams": 40.0, "note": ""}, {"ingredient_id": "black_pepper", "name": "Black pepper", "grams": 1.0, "note": ""}]</t>
        </is>
      </c>
      <c r="N974" s="2" t="n">
        <v>254</v>
      </c>
      <c r="O974" s="5" t="n">
        <v>23.8</v>
      </c>
      <c r="P974" s="5" t="n">
        <v>16</v>
      </c>
      <c r="Q974" s="5" t="n">
        <v>2.1</v>
      </c>
      <c r="R974" s="5" t="n">
        <v>0.4</v>
      </c>
      <c r="S974" s="5" t="n">
        <v>1.7</v>
      </c>
      <c r="T974" s="2" t="n">
        <v>3</v>
      </c>
      <c r="U974" s="2" t="inlineStr">
        <is>
          <t>low</t>
        </is>
      </c>
      <c r="V974" s="5" t="n">
        <v>0.1</v>
      </c>
      <c r="W974" s="2" t="inlineStr">
        <is>
          <t>low</t>
        </is>
      </c>
      <c r="X974" s="3" t="inlineStr">
        <is>
          <t>Negligible carbohydrate (&lt;5 g net/serving): GI has little practical meaning, glycemic load is what matters.</t>
        </is>
      </c>
      <c r="Y974" s="3" t="inlineStr">
        <is>
          <t>0% of this dish's available carbohydrate comes from ingredients with a published, measured GI; the rest uses conventional placeholders (see Ingredients sheet)</t>
        </is>
      </c>
      <c r="Z974" s="2" t="n">
        <v>0</v>
      </c>
      <c r="AA974" s="3" t="inlineStr">
        <is>
          <t>gluten-free, nut-free, low-carb, quick</t>
        </is>
      </c>
      <c r="AB974" s="3" t="inlineStr">
        <is>
          <t>1. Line 6 muffin cups with ham slices.
2. Add spinach and cheese; crack an egg into each; pepper.
3. Bake at 375°F 13–15 minutes.</t>
        </is>
      </c>
      <c r="AC974" s="4" t="inlineStr">
        <is>
          <t>["Line 6 muffin cups with ham slices.", "Add spinach and cheese; crack an egg into each; pepper.", "Bake at 375°F 13–15 minutes."]</t>
        </is>
      </c>
    </row>
    <row r="975" ht="96" customHeight="1">
      <c r="A975" s="2" t="inlineStr">
        <is>
          <t>DB-0974</t>
        </is>
      </c>
      <c r="B975" s="3" t="inlineStr">
        <is>
          <t>Tofu Veggie Breakfast Burrito (Low-Carb)</t>
        </is>
      </c>
      <c r="C975" s="4" t="inlineStr">
        <is>
          <t>Breakfast</t>
        </is>
      </c>
      <c r="D975" s="4" t="inlineStr">
        <is>
          <t>Tex-Mex</t>
        </is>
      </c>
      <c r="E975" s="2" t="n">
        <v>2</v>
      </c>
      <c r="F975" s="2" t="n">
        <v>10</v>
      </c>
      <c r="G975" s="2" t="n">
        <v>10</v>
      </c>
      <c r="H975" s="2" t="n">
        <v>20</v>
      </c>
      <c r="I975" s="4" t="inlineStr">
        <is>
          <t>tofu-veggie-breakfast-burrito-low-carb.jpg</t>
        </is>
      </c>
      <c r="J975" s="3" t="inlineStr">
        <is>
          <t>Tofu Veggie Breakfast Burrito (Low-Carb), healthy food photography, plated, natural light</t>
        </is>
      </c>
      <c r="K975" s="4" t="inlineStr"/>
      <c r="L975" s="3" t="inlineStr">
        <is>
          <t>Tofu, extra-firm — 250 g (8.8 oz)
Low-carb high-fiber tortilla — 84 g (3.0 oz)
Bell pepper — 60 g (2.1 oz)
Spinach — 50 g (1.8 oz)
Ground turmeric — 1 g (0.0 oz)
Ground cumin — 1 g (0.0 oz)
Nutritional yeast — 8 g (0.3 oz)
Salsa, no sugar added — 60 g (2.1 oz)
Avocado — 60 g (2.1 oz)
Extra-virgin olive oil — 8 g (0.3 oz)</t>
        </is>
      </c>
      <c r="M975" s="4" t="inlineStr">
        <is>
          <t>[{"ingredient_id": "tofu", "name": "Tofu, extra-firm", "grams": 250.0, "note": ""}, {"ingredient_id": "low_carb_tortilla", "name": "Low-carb high-fiber tortilla", "grams": 84.0, "note": ""}, {"ingredient_id": "bell_pepper", "name": "Bell pepper", "grams": 60.0, "note": ""}, {"ingredient_id": "spinach", "name": "Spinach", "grams": 50.0, "note": ""}, {"ingredient_id": "turmeric", "name": "Ground turmeric", "grams": 1.0, "note": ""}, {"ingredient_id": "cumin", "name": "Ground cumin", "grams": 1.0, "note": ""}, {"ingredient_id": "nutritional_yeast", "name": "Nutritional yeast", "grams": 8.0, "note": ""}, {"ingredient_id": "salsa", "name": "Salsa, no sugar added", "grams": 60.0, "note": ""}, {"ingredient_id": "avocado", "name": "Avocado", "grams": 60.0, "note": ""}, {"ingredient_id": "olive_oil", "name": "Extra-virgin olive oil", "grams": 8.0, "note": ""}]</t>
        </is>
      </c>
      <c r="N975" s="2" t="n">
        <v>411</v>
      </c>
      <c r="O975" s="5" t="n">
        <v>30.5</v>
      </c>
      <c r="P975" s="5" t="n">
        <v>23.7</v>
      </c>
      <c r="Q975" s="5" t="n">
        <v>29.9</v>
      </c>
      <c r="R975" s="5" t="n">
        <v>17.8</v>
      </c>
      <c r="S975" s="5" t="n">
        <v>12</v>
      </c>
      <c r="T975" s="2" t="n">
        <v>25</v>
      </c>
      <c r="U975" s="2" t="inlineStr">
        <is>
          <t>low</t>
        </is>
      </c>
      <c r="V975" s="5" t="n">
        <v>3</v>
      </c>
      <c r="W975" s="2" t="inlineStr">
        <is>
          <t>low</t>
        </is>
      </c>
      <c r="X975" s="3" t="inlineStr"/>
      <c r="Y975" s="3" t="inlineStr">
        <is>
          <t>0% of this dish's available carbohydrate comes from ingredients with a published, measured GI; the rest uses conventional placeholders (see Ingredients sheet)</t>
        </is>
      </c>
      <c r="Z975" s="2" t="n">
        <v>0</v>
      </c>
      <c r="AA975" s="3" t="inlineStr">
        <is>
          <t>vegan, dairy-free, nut-free, low-carb, high-protein, high-fiber</t>
        </is>
      </c>
      <c r="AB975" s="3" t="inlineStr">
        <is>
          <t>1. Crumble tofu; sauté with pepper, turmeric, cumin, nutritional yeast; wilt spinach.
2. Fill tortillas with tofu, salsa, avocado.
3. Roll.</t>
        </is>
      </c>
      <c r="AC975" s="4" t="inlineStr">
        <is>
          <t>["Crumble tofu; sauté with pepper, turmeric, cumin, nutritional yeast; wilt spinach.", "Fill tortillas with tofu, salsa, avocado.", "Roll."]</t>
        </is>
      </c>
    </row>
    <row r="976" ht="96" customHeight="1">
      <c r="A976" s="2" t="inlineStr">
        <is>
          <t>DB-0975</t>
        </is>
      </c>
      <c r="B976" s="3" t="inlineStr">
        <is>
          <t>Salmon Kale Salad with Lemon Tahini</t>
        </is>
      </c>
      <c r="C976" s="4" t="inlineStr">
        <is>
          <t>Salad</t>
        </is>
      </c>
      <c r="D976" s="4" t="inlineStr">
        <is>
          <t>American</t>
        </is>
      </c>
      <c r="E976" s="2" t="n">
        <v>2</v>
      </c>
      <c r="F976" s="2" t="n">
        <v>10</v>
      </c>
      <c r="G976" s="2" t="n">
        <v>12</v>
      </c>
      <c r="H976" s="2" t="n">
        <v>22</v>
      </c>
      <c r="I976" s="4" t="inlineStr">
        <is>
          <t>salmon-kale-salad-with-lemon-tahini.jpg</t>
        </is>
      </c>
      <c r="J976" s="3" t="inlineStr">
        <is>
          <t>Salmon Kale Salad with Lemon Tahini, healthy food photography, plated, natural light</t>
        </is>
      </c>
      <c r="K976" s="4" t="inlineStr"/>
      <c r="L976" s="3" t="inlineStr">
        <is>
          <t>Salmon fillet — 280 g (9.9 oz)
Kale — 150 g (5.3 oz)
Cucumber — 100 g (3.5 oz)
Radishes — 40 g (1.4 oz)
Avocado — 70 g (2.5 oz)
Tahini — 25 g (0.9 oz)
Lemon juice — 20 g (0.7 oz)
Garlic — 3 g (0.1 oz)
Water / ice — 25 g (0.9 oz)
Hemp seeds — 10 g (0.4 oz)
Salt — 1 g (0.0 oz)</t>
        </is>
      </c>
      <c r="M976" s="4" t="inlineStr">
        <is>
          <t>[{"ingredient_id": "salmon", "name": "Salmon fillet", "grams": 280.0, "note": ""}, {"ingredient_id": "kale", "name": "Kale", "grams": 150.0, "note": ""}, {"ingredient_id": "cucumber", "name": "Cucumber", "grams": 100.0, "note": ""}, {"ingredient_id": "radish", "name": "Radishes", "grams": 40.0, "note": ""}, {"ingredient_id": "avocado", "name": "Avocado", "grams": 70.0, "note": ""}, {"ingredient_id": "tahini", "name": "Tahini", "grams": 25.0, "note": ""}, {"ingredient_id": "lemon_juice", "name": "Lemon juice", "grams": 20.0, "note": ""}, {"ingredient_id": "garlic", "name": "Garlic", "grams": 3.0, "note": ""}, {"ingredient_id": "water", "name": "Water / ice", "grams": 25.0, "note": ""}, {"ingredient_id": "hemp_seeds", "name": "Hemp seeds", "grams": 10.0, "note": ""}, {"ingredient_id": "salt", "name": "Salt", "grams": 1.0, "note": ""}]</t>
        </is>
      </c>
      <c r="N976" s="2" t="n">
        <v>501</v>
      </c>
      <c r="O976" s="5" t="n">
        <v>36.3</v>
      </c>
      <c r="P976" s="5" t="n">
        <v>33.4</v>
      </c>
      <c r="Q976" s="5" t="n">
        <v>16.3</v>
      </c>
      <c r="R976" s="5" t="n">
        <v>7</v>
      </c>
      <c r="S976" s="5" t="n">
        <v>9.300000000000001</v>
      </c>
      <c r="T976" s="2" t="n">
        <v>20</v>
      </c>
      <c r="U976" s="2" t="inlineStr">
        <is>
          <t>low</t>
        </is>
      </c>
      <c r="V976" s="5" t="n">
        <v>1.9</v>
      </c>
      <c r="W976" s="2" t="inlineStr">
        <is>
          <t>low</t>
        </is>
      </c>
      <c r="X976" s="3" t="inlineStr"/>
      <c r="Y976" s="3" t="inlineStr">
        <is>
          <t>0% of this dish's available carbohydrate comes from ingredients with a published, measured GI; the rest uses conventional placeholders (see Ingredients sheet)</t>
        </is>
      </c>
      <c r="Z976" s="2" t="n">
        <v>0</v>
      </c>
      <c r="AA976" s="3" t="inlineStr">
        <is>
          <t>pescatarian, gluten-free, dairy-free, nut-free, low-carb, high-protein, high-fiber, omega-3</t>
        </is>
      </c>
      <c r="AB976" s="3" t="inlineStr">
        <is>
          <t>1. Roast salmon 12 minutes.
2. Whisk tahini, lemon, garlic, water, salt; massage into kale.
3. Top cucumber, radish, avocado, salmon, hemp.</t>
        </is>
      </c>
      <c r="AC976" s="4" t="inlineStr">
        <is>
          <t>["Roast salmon 12 minutes.", "Whisk tahini, lemon, garlic, water, salt; massage into kale.", "Top cucumber, radish, avocado, salmon, hemp."]</t>
        </is>
      </c>
    </row>
    <row r="977" ht="96" customHeight="1">
      <c r="A977" s="2" t="inlineStr">
        <is>
          <t>DB-0976</t>
        </is>
      </c>
      <c r="B977" s="3" t="inlineStr">
        <is>
          <t>Chicken Cucumber Avocado Salad</t>
        </is>
      </c>
      <c r="C977" s="4" t="inlineStr">
        <is>
          <t>Salad</t>
        </is>
      </c>
      <c r="D977" s="4" t="inlineStr">
        <is>
          <t>American</t>
        </is>
      </c>
      <c r="E977" s="2" t="n">
        <v>2</v>
      </c>
      <c r="F977" s="2" t="n">
        <v>10</v>
      </c>
      <c r="G977" s="2" t="n">
        <v>0</v>
      </c>
      <c r="H977" s="2" t="n">
        <v>10</v>
      </c>
      <c r="I977" s="4" t="inlineStr">
        <is>
          <t>chicken-cucumber-avocado-salad.jpg</t>
        </is>
      </c>
      <c r="J977" s="3" t="inlineStr">
        <is>
          <t>Chicken Cucumber Avocado Salad, healthy food photography, plated, natural light</t>
        </is>
      </c>
      <c r="K977" s="4" t="inlineStr"/>
      <c r="L977" s="3" t="inlineStr">
        <is>
          <t>Rotisserie chicken, skin removed — 250 g (8.8 oz)
Cucumber — 200 g (7.1 oz)
Avocado — 100 g (3.5 oz)
Cherry tomatoes — 120 g (4.2 oz)
Red onion — 30 g (1.1 oz)
Fresh cilantro — 6 g (0.2 oz)
Lime juice — 20 g (0.7 oz)
Extra-virgin olive oil — 12 g (0.4 oz)
Salt — 1 g (0.0 oz)</t>
        </is>
      </c>
      <c r="M977" s="4" t="inlineStr">
        <is>
          <t>[{"ingredient_id": "rotisserie_chicken", "name": "Rotisserie chicken, skin removed", "grams": 250.0, "note": ""}, {"ingredient_id": "cucumber", "name": "Cucumber", "grams": 200.0, "note": ""}, {"ingredient_id": "avocado", "name": "Avocado", "grams": 100.0, "note": ""}, {"ingredient_id": "cherry_tomato", "name": "Cherry tomatoes", "grams": 120.0, "note": ""}, {"ingredient_id": "red_onion", "name": "Red onion", "grams": 30.0, "note": ""}, {"ingredient_id": "cilantro", "name": "Fresh cilantro", "grams": 6.0, "note": ""}, {"ingredient_id": "lime_juice", "name": "Lime juice", "grams": 20.0, "note": ""}, {"ingredient_id": "olive_oil", "name": "Extra-virgin olive oil", "grams": 12.0, "note": ""}, {"ingredient_id": "salt", "name": "Salt", "grams": 1.0, "note": ""}]</t>
        </is>
      </c>
      <c r="N977" s="2" t="n">
        <v>368</v>
      </c>
      <c r="O977" s="5" t="n">
        <v>31.3</v>
      </c>
      <c r="P977" s="5" t="n">
        <v>22.5</v>
      </c>
      <c r="Q977" s="5" t="n">
        <v>12.5</v>
      </c>
      <c r="R977" s="5" t="n">
        <v>4.9</v>
      </c>
      <c r="S977" s="5" t="n">
        <v>7.6</v>
      </c>
      <c r="T977" s="2" t="n">
        <v>16</v>
      </c>
      <c r="U977" s="2" t="inlineStr">
        <is>
          <t>low</t>
        </is>
      </c>
      <c r="V977" s="5" t="n">
        <v>1.2</v>
      </c>
      <c r="W977" s="2" t="inlineStr">
        <is>
          <t>low</t>
        </is>
      </c>
      <c r="X977" s="3" t="inlineStr"/>
      <c r="Y977" s="3" t="inlineStr">
        <is>
          <t>0% of this dish's available carbohydrate comes from ingredients with a published, measured GI; the rest uses conventional placeholders (see Ingredients sheet)</t>
        </is>
      </c>
      <c r="Z977" s="2" t="n">
        <v>0</v>
      </c>
      <c r="AA977" s="3" t="inlineStr">
        <is>
          <t>gluten-free, dairy-free, nut-free, low-carb, high-protein, no-cook, quick</t>
        </is>
      </c>
      <c r="AB977" s="3" t="inlineStr">
        <is>
          <t>1. Chop chicken, cucumber, avocado, tomato, onion.
2. Toss with cilantro, lime, oil, salt.</t>
        </is>
      </c>
      <c r="AC977" s="4" t="inlineStr">
        <is>
          <t>["Chop chicken, cucumber, avocado, tomato, onion.", "Toss with cilantro, lime, oil, salt."]</t>
        </is>
      </c>
    </row>
    <row r="978" ht="96" customHeight="1">
      <c r="A978" s="2" t="inlineStr">
        <is>
          <t>DB-0977</t>
        </is>
      </c>
      <c r="B978" s="3" t="inlineStr">
        <is>
          <t>Tuna Kale Caesar</t>
        </is>
      </c>
      <c r="C978" s="4" t="inlineStr">
        <is>
          <t>Salad</t>
        </is>
      </c>
      <c r="D978" s="4" t="inlineStr">
        <is>
          <t>American</t>
        </is>
      </c>
      <c r="E978" s="2" t="n">
        <v>2</v>
      </c>
      <c r="F978" s="2" t="n">
        <v>10</v>
      </c>
      <c r="G978" s="2" t="n">
        <v>0</v>
      </c>
      <c r="H978" s="2" t="n">
        <v>10</v>
      </c>
      <c r="I978" s="4" t="inlineStr">
        <is>
          <t>tuna-kale-caesar.jpg</t>
        </is>
      </c>
      <c r="J978" s="3" t="inlineStr">
        <is>
          <t>Tuna Kale Caesar, healthy food photography, plated, natural light</t>
        </is>
      </c>
      <c r="K978" s="4" t="inlineStr"/>
      <c r="L978" s="3" t="inlineStr">
        <is>
          <t>Tuna, canned in water — 170 g (6.0 oz)
Kale — 180 g (6.3 oz)
Parmesan, grated — 25 g (0.9 oz)
Greek yogurt, plain 2% — 60 g (2.1 oz)
Lemon juice — 15 g (0.5 oz)
Dijon mustard — 6 g (0.2 oz)
Anchovies, canned — 6 g (0.2 oz)
Garlic — 3 g (0.1 oz)
Extra-virgin olive oil — 10 g (0.4 oz)
Pumpkin seeds (pepitas) — 12 g (0.4 oz)</t>
        </is>
      </c>
      <c r="M978" s="4" t="inlineStr">
        <is>
          <t>[{"ingredient_id": "tuna_canned", "name": "Tuna, canned in water", "grams": 170.0, "note": ""}, {"ingredient_id": "kale", "name": "Kale", "grams": 180.0, "note": ""}, {"ingredient_id": "parmesan", "name": "Parmesan, grated", "grams": 25.0, "note": ""}, {"ingredient_id": "greek_yogurt", "name": "Greek yogurt, plain 2%", "grams": 60.0, "note": ""}, {"ingredient_id": "lemon_juice", "name": "Lemon juice", "grams": 15.0, "note": ""}, {"ingredient_id": "dijon", "name": "Dijon mustard", "grams": 6.0, "note": ""}, {"ingredient_id": "anchovies", "name": "Anchovies, canned", "grams": 6.0, "note": ""}, {"ingredient_id": "garlic", "name": "Garlic", "grams": 3.0, "note": ""}, {"ingredient_id": "olive_oil", "name": "Extra-virgin olive oil", "grams": 10.0, "note": ""}, {"ingredient_id": "pumpkin_seeds", "name": "Pumpkin seeds (pepitas)", "grams": 12.0, "note": ""}]</t>
        </is>
      </c>
      <c r="N978" s="2" t="n">
        <v>308</v>
      </c>
      <c r="O978" s="5" t="n">
        <v>36.6</v>
      </c>
      <c r="P978" s="5" t="n">
        <v>14.2</v>
      </c>
      <c r="Q978" s="5" t="n">
        <v>11.4</v>
      </c>
      <c r="R978" s="5" t="n">
        <v>3.7</v>
      </c>
      <c r="S978" s="5" t="n">
        <v>7.7</v>
      </c>
      <c r="T978" s="2" t="n">
        <v>15</v>
      </c>
      <c r="U978" s="2" t="inlineStr">
        <is>
          <t>low</t>
        </is>
      </c>
      <c r="V978" s="5" t="n">
        <v>1.2</v>
      </c>
      <c r="W978" s="2" t="inlineStr">
        <is>
          <t>low</t>
        </is>
      </c>
      <c r="X978" s="3" t="inlineStr"/>
      <c r="Y978" s="3" t="inlineStr">
        <is>
          <t>16% of this dish's available carbohydrate comes from ingredients with a published, measured GI; the rest uses conventional placeholders (see Ingredients sheet)</t>
        </is>
      </c>
      <c r="Z978" s="2" t="n">
        <v>16</v>
      </c>
      <c r="AA978" s="3" t="inlineStr">
        <is>
          <t>pescatarian, gluten-free, nut-free, low-carb, high-protein, no-cook</t>
        </is>
      </c>
      <c r="AB978" s="3" t="inlineStr">
        <is>
          <t>1. Whisk yogurt, lemon, Dijon, anchovy, garlic, oil.
2. Massage into kale.
3. Top tuna, parmesan, pumpkin seeds.</t>
        </is>
      </c>
      <c r="AC978" s="4" t="inlineStr">
        <is>
          <t>["Whisk yogurt, lemon, Dijon, anchovy, garlic, oil.", "Massage into kale.", "Top tuna, parmesan, pumpkin seeds."]</t>
        </is>
      </c>
    </row>
    <row r="979" ht="96" customHeight="1">
      <c r="A979" s="2" t="inlineStr">
        <is>
          <t>DB-0978</t>
        </is>
      </c>
      <c r="B979" s="3" t="inlineStr">
        <is>
          <t>Shrimp &amp; Quinoa Mediterranean Salad</t>
        </is>
      </c>
      <c r="C979" s="4" t="inlineStr">
        <is>
          <t>Salad</t>
        </is>
      </c>
      <c r="D979" s="4" t="inlineStr">
        <is>
          <t>Mediterranean</t>
        </is>
      </c>
      <c r="E979" s="2" t="n">
        <v>3</v>
      </c>
      <c r="F979" s="2" t="n">
        <v>10</v>
      </c>
      <c r="G979" s="2" t="n">
        <v>5</v>
      </c>
      <c r="H979" s="2" t="n">
        <v>15</v>
      </c>
      <c r="I979" s="4" t="inlineStr">
        <is>
          <t>shrimp-and-quinoa-mediterranean-salad.jpg</t>
        </is>
      </c>
      <c r="J979" s="3" t="inlineStr">
        <is>
          <t>Shrimp &amp; Quinoa Mediterranean Salad, healthy food photography, plated, natural light</t>
        </is>
      </c>
      <c r="K979" s="4" t="inlineStr"/>
      <c r="L979" s="3" t="inlineStr">
        <is>
          <t>Shrimp, peeled — 350 g (12.3 oz)
Quinoa, cooked — 300 g (10.6 oz)
Cucumber — 150 g (5.3 oz)
Cherry tomatoes — 150 g (5.3 oz)
Feta cheese — 50 g (1.8 oz)
Olives (kalamata/green) — 30 g (1.1 oz)
Fresh parsley — 8 g (0.3 oz)
Lemon juice — 20 g (0.7 oz)
Extra-virgin olive oil — 18 g (0.6 oz)
Dried oregano — 1 g (0.0 oz)</t>
        </is>
      </c>
      <c r="M979" s="4" t="inlineStr">
        <is>
          <t>[{"ingredient_id": "shrimp", "name": "Shrimp, peeled", "grams": 350.0, "note": ""}, {"ingredient_id": "quinoa", "name": "Quinoa, cooked", "grams": 300.0, "note": ""}, {"ingredient_id": "cucumber", "name": "Cucumber", "grams": 150.0, "note": ""}, {"ingredient_id": "cherry_tomato", "name": "Cherry tomatoes", "grams": 150.0, "note": ""}, {"ingredient_id": "feta", "name": "Feta cheese", "grams": 50.0, "note": ""}, {"ingredient_id": "olives", "name": "Olives (kalamata/green)", "grams": 30.0, "note": ""}, {"ingredient_id": "parsley", "name": "Fresh parsley", "grams": 8.0, "note": ""}, {"ingredient_id": "lemon_juice", "name": "Lemon juice", "grams": 20.0, "note": ""}, {"ingredient_id": "olive_oil", "name": "Extra-virgin olive oil", "grams": 18.0, "note": ""}, {"ingredient_id": "oregano", "name": "Dried oregano", "grams": 1.0, "note": ""}]</t>
        </is>
      </c>
      <c r="N979" s="2" t="n">
        <v>348</v>
      </c>
      <c r="O979" s="5" t="n">
        <v>31.1</v>
      </c>
      <c r="P979" s="5" t="n">
        <v>13.3</v>
      </c>
      <c r="Q979" s="5" t="n">
        <v>26.9</v>
      </c>
      <c r="R979" s="5" t="n">
        <v>4.2</v>
      </c>
      <c r="S979" s="5" t="n">
        <v>22.7</v>
      </c>
      <c r="T979" s="2" t="n">
        <v>45</v>
      </c>
      <c r="U979" s="2" t="inlineStr">
        <is>
          <t>low</t>
        </is>
      </c>
      <c r="V979" s="5" t="n">
        <v>10.2</v>
      </c>
      <c r="W979" s="2" t="inlineStr">
        <is>
          <t>medium</t>
        </is>
      </c>
      <c r="X979" s="3" t="inlineStr"/>
      <c r="Y979" s="3" t="inlineStr">
        <is>
          <t>80% of this dish's available carbohydrate comes from ingredients with a published, measured GI; the rest uses conventional placeholders (see Ingredients sheet)</t>
        </is>
      </c>
      <c r="Z979" s="2" t="n">
        <v>80</v>
      </c>
      <c r="AA979" s="3" t="inlineStr">
        <is>
          <t>pescatarian, gluten-free, nut-free, high-protein</t>
        </is>
      </c>
      <c r="AB979" s="3" t="inlineStr">
        <is>
          <t>1. Sauté shrimp 3 minutes; cool.
2. Toss quinoa, cucumber, tomato, olives, parsley with lemon, oil, oregano.
3. Add shrimp and feta.</t>
        </is>
      </c>
      <c r="AC979" s="4" t="inlineStr">
        <is>
          <t>["Sauté shrimp 3 minutes; cool.", "Toss quinoa, cucumber, tomato, olives, parsley with lemon, oil, oregano.", "Add shrimp and feta."]</t>
        </is>
      </c>
    </row>
    <row r="980" ht="96" customHeight="1">
      <c r="A980" s="2" t="inlineStr">
        <is>
          <t>DB-0979</t>
        </is>
      </c>
      <c r="B980" s="3" t="inlineStr">
        <is>
          <t>Egg &amp; Asparagus Spring Salad</t>
        </is>
      </c>
      <c r="C980" s="4" t="inlineStr">
        <is>
          <t>Salad</t>
        </is>
      </c>
      <c r="D980" s="4" t="inlineStr">
        <is>
          <t>French</t>
        </is>
      </c>
      <c r="E980" s="2" t="n">
        <v>2</v>
      </c>
      <c r="F980" s="2" t="n">
        <v>10</v>
      </c>
      <c r="G980" s="2" t="n">
        <v>8</v>
      </c>
      <c r="H980" s="2" t="n">
        <v>18</v>
      </c>
      <c r="I980" s="4" t="inlineStr">
        <is>
          <t>egg-and-asparagus-spring-salad.jpg</t>
        </is>
      </c>
      <c r="J980" s="3" t="inlineStr">
        <is>
          <t>Egg &amp; Asparagus Spring Salad, healthy food photography, plated, natural light</t>
        </is>
      </c>
      <c r="K980" s="4" t="inlineStr"/>
      <c r="L980" s="3" t="inlineStr">
        <is>
          <t>Egg, large (50 g each) — 200 g (7.1 oz)
Asparagus — 250 g (8.8 oz)
Mixed salad greens — 100 g (3.5 oz)
Radishes — 50 g (1.8 oz)
Extra-virgin olive oil — 15 g (0.5 oz)
Dijon mustard — 6 g (0.2 oz)
Lemon juice — 12 g (0.4 oz)
Fresh chives — 4 g (0.1 oz)
Parmesan, grated — 15 g (0.5 oz)</t>
        </is>
      </c>
      <c r="M980" s="4" t="inlineStr">
        <is>
          <t>[{"ingredient_id": "egg", "name": "Egg, large (50 g each)", "grams": 200.0, "note": ""}, {"ingredient_id": "asparagus", "name": "Asparagus", "grams": 250.0, "note": ""}, {"ingredient_id": "mixed_greens", "name": "Mixed salad greens", "grams": 100.0, "note": ""}, {"ingredient_id": "radish", "name": "Radishes", "grams": 50.0, "note": ""}, {"ingredient_id": "olive_oil", "name": "Extra-virgin olive oil", "grams": 15.0, "note": ""}, {"ingredient_id": "dijon", "name": "Dijon mustard", "grams": 6.0, "note": ""}, {"ingredient_id": "lemon_juice", "name": "Lemon juice", "grams": 12.0, "note": ""}, {"ingredient_id": "chives", "name": "Fresh chives", "grams": 4.0, "note": ""}, {"ingredient_id": "parmesan", "name": "Parmesan, grated", "grams": 15.0, "note": ""}]</t>
        </is>
      </c>
      <c r="N980" s="2" t="n">
        <v>285</v>
      </c>
      <c r="O980" s="5" t="n">
        <v>19.6</v>
      </c>
      <c r="P980" s="5" t="n">
        <v>19.6</v>
      </c>
      <c r="Q980" s="5" t="n">
        <v>9.1</v>
      </c>
      <c r="R980" s="5" t="n">
        <v>4.2</v>
      </c>
      <c r="S980" s="5" t="n">
        <v>4.9</v>
      </c>
      <c r="T980" s="2" t="n">
        <v>12</v>
      </c>
      <c r="U980" s="2" t="inlineStr">
        <is>
          <t>low</t>
        </is>
      </c>
      <c r="V980" s="5" t="n">
        <v>0.6</v>
      </c>
      <c r="W980" s="2" t="inlineStr">
        <is>
          <t>low</t>
        </is>
      </c>
      <c r="X980" s="3" t="inlineStr">
        <is>
          <t>Negligible carbohydrate (&lt;5 g net/serving): GI has little practical meaning, glycemic load is what matters.</t>
        </is>
      </c>
      <c r="Y980" s="3" t="inlineStr">
        <is>
          <t>0% of this dish's available carbohydrate comes from ingredients with a published, measured GI; the rest uses conventional placeholders (see Ingredients sheet)</t>
        </is>
      </c>
      <c r="Z980" s="2" t="n">
        <v>0</v>
      </c>
      <c r="AA980" s="3" t="inlineStr">
        <is>
          <t>vegetarian, gluten-free, nut-free, low-carb</t>
        </is>
      </c>
      <c r="AB980" s="3" t="inlineStr">
        <is>
          <t>1. Soft-boil eggs 7 minutes; blanch asparagus 3 minutes.
2. Whisk oil, Dijon, lemon.
3. Toss greens, asparagus, radish; top halved eggs, parmesan, chives.</t>
        </is>
      </c>
      <c r="AC980" s="4" t="inlineStr">
        <is>
          <t>["Soft-boil eggs 7 minutes; blanch asparagus 3 minutes.", "Whisk oil, Dijon, lemon.", "Toss greens, asparagus, radish; top halved eggs, parmesan, chives."]</t>
        </is>
      </c>
    </row>
    <row r="981" ht="96" customHeight="1">
      <c r="A981" s="2" t="inlineStr">
        <is>
          <t>DB-0980</t>
        </is>
      </c>
      <c r="B981" s="3" t="inlineStr">
        <is>
          <t>Steak Cobb Salad</t>
        </is>
      </c>
      <c r="C981" s="4" t="inlineStr">
        <is>
          <t>Salad</t>
        </is>
      </c>
      <c r="D981" s="4" t="inlineStr">
        <is>
          <t>American</t>
        </is>
      </c>
      <c r="E981" s="2" t="n">
        <v>2</v>
      </c>
      <c r="F981" s="2" t="n">
        <v>15</v>
      </c>
      <c r="G981" s="2" t="n">
        <v>12</v>
      </c>
      <c r="H981" s="2" t="n">
        <v>27</v>
      </c>
      <c r="I981" s="4" t="inlineStr">
        <is>
          <t>steak-cobb-salad.jpg</t>
        </is>
      </c>
      <c r="J981" s="3" t="inlineStr">
        <is>
          <t>Steak Cobb Salad, healthy food photography, plated, natural light</t>
        </is>
      </c>
      <c r="K981" s="4" t="inlineStr"/>
      <c r="L981" s="3" t="inlineStr">
        <is>
          <t>Beef sirloin, trimmed — 300 g (10.6 oz)
Egg, large (50 g each) — 100 g (3.5 oz)
Turkey bacon — 45 g (1.6 oz)
Romaine lettuce — 200 g (7.1 oz)
Avocado — 100 g (3.5 oz)
Cherry tomatoes — 150 g (5.3 oz)
Blue cheese, crumbled — 30 g (1.1 oz)
Extra-virgin olive oil — 15 g (0.5 oz)
Red wine vinegar — 10 g (0.4 oz)
Dijon mustard — 5 g (0.2 oz)</t>
        </is>
      </c>
      <c r="M981" s="4" t="inlineStr">
        <is>
          <t>[{"ingredient_id": "beef_sirloin", "name": "Beef sirloin, trimmed", "grams": 300.0, "note": ""}, {"ingredient_id": "egg", "name": "Egg, large (50 g each)", "grams": 100.0, "note": ""}, {"ingredient_id": "turkey_bacon", "name": "Turkey bacon", "grams": 45.0, "note": ""}, {"ingredient_id": "romaine", "name": "Romaine lettuce", "grams": 200.0, "note": ""}, {"ingredient_id": "avocado", "name": "Avocado", "grams": 100.0, "note": ""}, {"ingredient_id": "cherry_tomato", "name": "Cherry tomatoes", "grams": 150.0, "note": ""}, {"ingredient_id": "blue_cheese", "name": "Blue cheese, crumbled", "grams": 30.0, "note": ""}, {"ingredient_id": "olive_oil", "name": "Extra-virgin olive oil", "grams": 15.0, "note": ""}, {"ingredient_id": "red_wine_vinegar", "name": "Red wine vinegar", "grams": 10.0, "note": ""}, {"ingredient_id": "dijon", "name": "Dijon mustard", "grams": 5.0, "note": ""}]</t>
        </is>
      </c>
      <c r="N981" s="2" t="n">
        <v>548</v>
      </c>
      <c r="O981" s="5" t="n">
        <v>49.5</v>
      </c>
      <c r="P981" s="5" t="n">
        <v>34.8</v>
      </c>
      <c r="Q981" s="5" t="n">
        <v>11.8</v>
      </c>
      <c r="R981" s="5" t="n">
        <v>6.4</v>
      </c>
      <c r="S981" s="5" t="n">
        <v>5.3</v>
      </c>
      <c r="T981" s="2" t="n">
        <v>12</v>
      </c>
      <c r="U981" s="2" t="inlineStr">
        <is>
          <t>low</t>
        </is>
      </c>
      <c r="V981" s="5" t="n">
        <v>0.6</v>
      </c>
      <c r="W981" s="2" t="inlineStr">
        <is>
          <t>low</t>
        </is>
      </c>
      <c r="X981" s="3" t="inlineStr"/>
      <c r="Y981" s="3" t="inlineStr">
        <is>
          <t>0% of this dish's available carbohydrate comes from ingredients with a published, measured GI; the rest uses conventional placeholders (see Ingredients sheet)</t>
        </is>
      </c>
      <c r="Z981" s="2" t="n">
        <v>0</v>
      </c>
      <c r="AA981" s="3" t="inlineStr">
        <is>
          <t>gluten-free, nut-free, low-carb, high-protein</t>
        </is>
      </c>
      <c r="AB981" s="3" t="inlineStr">
        <is>
          <t>1. Sear steak; rest; slice. Boil eggs; crisp bacon.
2. Whisk oil, vinegar, Dijon.
3. Arrange over romaine; dressing.</t>
        </is>
      </c>
      <c r="AC981" s="4" t="inlineStr">
        <is>
          <t>["Sear steak; rest; slice. Boil eggs; crisp bacon.", "Whisk oil, vinegar, Dijon.", "Arrange over romaine; dressing."]</t>
        </is>
      </c>
    </row>
    <row r="982" ht="96" customHeight="1">
      <c r="A982" s="2" t="inlineStr">
        <is>
          <t>DB-0981</t>
        </is>
      </c>
      <c r="B982" s="3" t="inlineStr">
        <is>
          <t>Chickpea Feta Cucumber Salad</t>
        </is>
      </c>
      <c r="C982" s="4" t="inlineStr">
        <is>
          <t>Salad</t>
        </is>
      </c>
      <c r="D982" s="4" t="inlineStr">
        <is>
          <t>Greek</t>
        </is>
      </c>
      <c r="E982" s="2" t="n">
        <v>3</v>
      </c>
      <c r="F982" s="2" t="n">
        <v>10</v>
      </c>
      <c r="G982" s="2" t="n">
        <v>0</v>
      </c>
      <c r="H982" s="2" t="n">
        <v>10</v>
      </c>
      <c r="I982" s="4" t="inlineStr">
        <is>
          <t>chickpea-feta-cucumber-salad.jpg</t>
        </is>
      </c>
      <c r="J982" s="3" t="inlineStr">
        <is>
          <t>Chickpea Feta Cucumber Salad, healthy food photography, plated, natural light</t>
        </is>
      </c>
      <c r="K982" s="4" t="inlineStr"/>
      <c r="L982" s="3" t="inlineStr">
        <is>
          <t>Chickpeas, cooked — 400 g (14.1 oz)
Cucumber — 250 g (8.8 oz)
Feta cheese — 70 g (2.5 oz)
Red onion — 40 g (1.4 oz)
Fresh dill — 6 g (0.2 oz)
Lemon juice — 20 g (0.7 oz)
Extra-virgin olive oil — 18 g (0.6 oz)
Salt — 1 g (0.0 oz)</t>
        </is>
      </c>
      <c r="M982" s="4" t="inlineStr">
        <is>
          <t>[{"ingredient_id": "chickpeas", "name": "Chickpeas, cooked", "grams": 400.0, "note": ""}, {"ingredient_id": "cucumber", "name": "Cucumber", "grams": 250.0, "note": ""}, {"ingredient_id": "feta", "name": "Feta cheese", "grams": 70.0, "note": ""}, {"ingredient_id": "red_onion", "name": "Red onion", "grams": 40.0, "note": ""}, {"ingredient_id": "dill", "name": "Fresh dill", "grams": 6.0, "note": ""}, {"ingredient_id": "lemon_juice", "name": "Lemon juice", "grams": 20.0, "note": ""}, {"ingredient_id": "olive_oil", "name": "Extra-virgin olive oil", "grams": 18.0, "note": ""}, {"ingredient_id": "salt", "name": "Salt", "grams": 1.0, "note": ""}]</t>
        </is>
      </c>
      <c r="N982" s="2" t="n">
        <v>353</v>
      </c>
      <c r="O982" s="5" t="n">
        <v>16</v>
      </c>
      <c r="P982" s="5" t="n">
        <v>14.5</v>
      </c>
      <c r="Q982" s="5" t="n">
        <v>41.8</v>
      </c>
      <c r="R982" s="5" t="n">
        <v>10.8</v>
      </c>
      <c r="S982" s="5" t="n">
        <v>30.9</v>
      </c>
      <c r="T982" s="2" t="n">
        <v>34</v>
      </c>
      <c r="U982" s="2" t="inlineStr">
        <is>
          <t>low</t>
        </is>
      </c>
      <c r="V982" s="5" t="n">
        <v>10.5</v>
      </c>
      <c r="W982" s="2" t="inlineStr">
        <is>
          <t>medium</t>
        </is>
      </c>
      <c r="X982" s="3" t="inlineStr"/>
      <c r="Y982" s="3" t="inlineStr">
        <is>
          <t>84% of this dish's available carbohydrate comes from ingredients with a published, measured GI; the rest uses conventional placeholders (see Ingredients sheet)</t>
        </is>
      </c>
      <c r="Z982" s="2" t="n">
        <v>84</v>
      </c>
      <c r="AA982" s="3" t="inlineStr">
        <is>
          <t>vegetarian, gluten-free, nut-free, high-fiber, no-cook, quick</t>
        </is>
      </c>
      <c r="AB982" s="3" t="inlineStr">
        <is>
          <t>1. Combine chickpeas, cucumber, onion, dill.
2. Dress with lemon, oil, salt.
3. Feta.</t>
        </is>
      </c>
      <c r="AC982" s="4" t="inlineStr">
        <is>
          <t>["Combine chickpeas, cucumber, onion, dill.", "Dress with lemon, oil, salt.", "Feta."]</t>
        </is>
      </c>
    </row>
    <row r="983" ht="96" customHeight="1">
      <c r="A983" s="2" t="inlineStr">
        <is>
          <t>DB-0982</t>
        </is>
      </c>
      <c r="B983" s="3" t="inlineStr">
        <is>
          <t>Thai Chicken Zoodle Salad</t>
        </is>
      </c>
      <c r="C983" s="4" t="inlineStr">
        <is>
          <t>Salad</t>
        </is>
      </c>
      <c r="D983" s="4" t="inlineStr">
        <is>
          <t>Thai</t>
        </is>
      </c>
      <c r="E983" s="2" t="n">
        <v>3</v>
      </c>
      <c r="F983" s="2" t="n">
        <v>15</v>
      </c>
      <c r="G983" s="2" t="n">
        <v>0</v>
      </c>
      <c r="H983" s="2" t="n">
        <v>15</v>
      </c>
      <c r="I983" s="4" t="inlineStr">
        <is>
          <t>thai-chicken-zoodle-salad.jpg</t>
        </is>
      </c>
      <c r="J983" s="3" t="inlineStr">
        <is>
          <t>Thai Chicken Zoodle Salad, healthy food photography, plated, natural light</t>
        </is>
      </c>
      <c r="K983" s="4" t="inlineStr"/>
      <c r="L983" s="3" t="inlineStr">
        <is>
          <t>Rotisserie chicken, skin removed — 300 g (10.6 oz)
Zucchini noodles (zoodles) — 400 g (14.1 oz)
Carrot — 60 g (2.1 oz)
Red cabbage — 80 g (2.8 oz)
Fresh cilantro — 8 g (0.3 oz)
Peanut butter, natural — 30 g (1.1 oz)
Lime juice — 25 g (0.9 oz)
Tamari (gluten-free soy sauce) — 15 g (0.5 oz)
Fresh ginger — 6 g (0.2 oz)
Sriracha — 5 g (0.2 oz)
Peanuts, dry roasted — 15 g (0.5 oz)</t>
        </is>
      </c>
      <c r="M983" s="4" t="inlineStr">
        <is>
          <t>[{"ingredient_id": "rotisserie_chicken", "name": "Rotisserie chicken, skin removed", "grams": 300.0, "note": ""}, {"ingredient_id": "zucchini_noodles", "name": "Zucchini noodles (zoodles)", "grams": 400.0, "note": ""}, {"ingredient_id": "carrot", "name": "Carrot", "grams": 60.0, "note": ""}, {"ingredient_id": "red_cabbage", "name": "Red cabbage", "grams": 80.0, "note": ""}, {"ingredient_id": "cilantro", "name": "Fresh cilantro", "grams": 8.0, "note": ""}, {"ingredient_id": "peanut_butter", "name": "Peanut butter, natural", "grams": 30.0, "note": ""}, {"ingredient_id": "lime_juice", "name": "Lime juice", "grams": 25.0, "note": ""}, {"ingredient_id": "tamari", "name": "Tamari (gluten-free soy sauce)", "grams": 15.0, "note": ""}, {"ingredient_id": "ginger", "name": "Fresh ginger", "grams": 6.0, "note": ""}, {"ingredient_id": "sriracha", "name": "Sriracha", "grams": 5.0, "note": ""}, {"ingredient_id": "peanuts", "name": "Peanuts, dry roasted", "grams": 15.0, "note": ""}]</t>
        </is>
      </c>
      <c r="N983" s="2" t="n">
        <v>295</v>
      </c>
      <c r="O983" s="5" t="n">
        <v>29.6</v>
      </c>
      <c r="P983" s="5" t="n">
        <v>15</v>
      </c>
      <c r="Q983" s="5" t="n">
        <v>12.6</v>
      </c>
      <c r="R983" s="5" t="n">
        <v>3.7</v>
      </c>
      <c r="S983" s="5" t="n">
        <v>8.9</v>
      </c>
      <c r="T983" s="2" t="n">
        <v>20</v>
      </c>
      <c r="U983" s="2" t="inlineStr">
        <is>
          <t>low</t>
        </is>
      </c>
      <c r="V983" s="5" t="n">
        <v>1.8</v>
      </c>
      <c r="W983" s="2" t="inlineStr">
        <is>
          <t>low</t>
        </is>
      </c>
      <c r="X983" s="3" t="inlineStr"/>
      <c r="Y983" s="3" t="inlineStr">
        <is>
          <t>20% of this dish's available carbohydrate comes from ingredients with a published, measured GI; the rest uses conventional placeholders (see Ingredients sheet)</t>
        </is>
      </c>
      <c r="Z983" s="2" t="n">
        <v>20</v>
      </c>
      <c r="AA983" s="3" t="inlineStr">
        <is>
          <t>gluten-free, dairy-free, low-carb, high-protein, no-cook</t>
        </is>
      </c>
      <c r="AB983" s="3" t="inlineStr">
        <is>
          <t>1. Whisk peanut butter, lime, tamari, ginger, sriracha, water.
2. Toss zoodles, carrot, cabbage, chicken, cilantro with dressing.
3. Peanuts.</t>
        </is>
      </c>
      <c r="AC983" s="4" t="inlineStr">
        <is>
          <t>["Whisk peanut butter, lime, tamari, ginger, sriracha, water.", "Toss zoodles, carrot, cabbage, chicken, cilantro with dressing.", "Peanuts."]</t>
        </is>
      </c>
    </row>
    <row r="984" ht="96" customHeight="1">
      <c r="A984" s="2" t="inlineStr">
        <is>
          <t>DB-0983</t>
        </is>
      </c>
      <c r="B984" s="3" t="inlineStr">
        <is>
          <t>Avocado Shrimp Chopped Salad</t>
        </is>
      </c>
      <c r="C984" s="4" t="inlineStr">
        <is>
          <t>Salad</t>
        </is>
      </c>
      <c r="D984" s="4" t="inlineStr">
        <is>
          <t>American</t>
        </is>
      </c>
      <c r="E984" s="2" t="n">
        <v>2</v>
      </c>
      <c r="F984" s="2" t="n">
        <v>10</v>
      </c>
      <c r="G984" s="2" t="n">
        <v>5</v>
      </c>
      <c r="H984" s="2" t="n">
        <v>15</v>
      </c>
      <c r="I984" s="4" t="inlineStr">
        <is>
          <t>avocado-shrimp-chopped-salad.jpg</t>
        </is>
      </c>
      <c r="J984" s="3" t="inlineStr">
        <is>
          <t>Avocado Shrimp Chopped Salad, healthy food photography, plated, natural light</t>
        </is>
      </c>
      <c r="K984" s="4" t="inlineStr"/>
      <c r="L984" s="3" t="inlineStr">
        <is>
          <t>Shrimp, peeled — 300 g (10.6 oz)
Avocado — 100 g (3.5 oz)
Cucumber — 150 g (5.3 oz)
Cherry tomatoes — 120 g (4.2 oz)
Romaine lettuce — 120 g (4.2 oz)
Red onion — 20 g (0.7 oz)
Lemon juice — 15 g (0.5 oz)
Extra-virgin olive oil — 12 g (0.4 oz)
Fresh dill — 3 g (0.1 oz)
Salt — 1 g (0.0 oz)</t>
        </is>
      </c>
      <c r="M984" s="4" t="inlineStr">
        <is>
          <t>[{"ingredient_id": "shrimp", "name": "Shrimp, peeled", "grams": 300.0, "note": ""}, {"ingredient_id": "avocado", "name": "Avocado", "grams": 100.0, "note": ""}, {"ingredient_id": "cucumber", "name": "Cucumber", "grams": 150.0, "note": ""}, {"ingredient_id": "cherry_tomato", "name": "Cherry tomatoes", "grams": 120.0, "note": ""}, {"ingredient_id": "romaine", "name": "Romaine lettuce", "grams": 120.0, "note": ""}, {"ingredient_id": "red_onion", "name": "Red onion", "grams": 20.0, "note": ""}, {"ingredient_id": "lemon_juice", "name": "Lemon juice", "grams": 15.0, "note": ""}, {"ingredient_id": "olive_oil", "name": "Extra-virgin olive oil", "grams": 12.0, "note": ""}, {"ingredient_id": "dill", "name": "Fresh dill", "grams": 3.0, "note": ""}, {"ingredient_id": "salt", "name": "Salt", "grams": 1.0, "note": ""}]</t>
        </is>
      </c>
      <c r="N984" s="2" t="n">
        <v>299</v>
      </c>
      <c r="O984" s="5" t="n">
        <v>33</v>
      </c>
      <c r="P984" s="5" t="n">
        <v>14.7</v>
      </c>
      <c r="Q984" s="5" t="n">
        <v>12.8</v>
      </c>
      <c r="R984" s="5" t="n">
        <v>5.9</v>
      </c>
      <c r="S984" s="5" t="n">
        <v>6.9</v>
      </c>
      <c r="T984" s="2" t="n">
        <v>15</v>
      </c>
      <c r="U984" s="2" t="inlineStr">
        <is>
          <t>low</t>
        </is>
      </c>
      <c r="V984" s="5" t="n">
        <v>1</v>
      </c>
      <c r="W984" s="2" t="inlineStr">
        <is>
          <t>low</t>
        </is>
      </c>
      <c r="X984" s="3" t="inlineStr"/>
      <c r="Y984" s="3" t="inlineStr">
        <is>
          <t>0% of this dish's available carbohydrate comes from ingredients with a published, measured GI; the rest uses conventional placeholders (see Ingredients sheet)</t>
        </is>
      </c>
      <c r="Z984" s="2" t="n">
        <v>0</v>
      </c>
      <c r="AA984" s="3" t="inlineStr">
        <is>
          <t>pescatarian, gluten-free, dairy-free, nut-free, low-carb, high-protein, quick</t>
        </is>
      </c>
      <c r="AB984" s="3" t="inlineStr">
        <is>
          <t>1. Sauté shrimp; cool.
2. Chop vegetables.
3. Toss with lemon, oil, dill, salt; add shrimp.</t>
        </is>
      </c>
      <c r="AC984" s="4" t="inlineStr">
        <is>
          <t>["Sauté shrimp; cool.", "Chop vegetables.", "Toss with lemon, oil, dill, salt; add shrimp."]</t>
        </is>
      </c>
    </row>
    <row r="985" ht="96" customHeight="1">
      <c r="A985" s="2" t="inlineStr">
        <is>
          <t>DB-0984</t>
        </is>
      </c>
      <c r="B985" s="3" t="inlineStr">
        <is>
          <t>Lentil Beet &amp; Goat Cheese Salad</t>
        </is>
      </c>
      <c r="C985" s="4" t="inlineStr">
        <is>
          <t>Salad</t>
        </is>
      </c>
      <c r="D985" s="4" t="inlineStr">
        <is>
          <t>French</t>
        </is>
      </c>
      <c r="E985" s="2" t="n">
        <v>3</v>
      </c>
      <c r="F985" s="2" t="n">
        <v>10</v>
      </c>
      <c r="G985" s="2" t="n">
        <v>0</v>
      </c>
      <c r="H985" s="2" t="n">
        <v>10</v>
      </c>
      <c r="I985" s="4" t="inlineStr">
        <is>
          <t>lentil-beet-and-goat-cheese-salad.jpg</t>
        </is>
      </c>
      <c r="J985" s="3" t="inlineStr">
        <is>
          <t>Lentil Beet &amp; Goat Cheese Salad, healthy food photography, plated, natural light</t>
        </is>
      </c>
      <c r="K985" s="4" t="inlineStr"/>
      <c r="L985" s="3" t="inlineStr">
        <is>
          <t>Lentils, cooked — 350 g (12.3 oz)
Beets — 150 g (5.3 oz) [cooked]
Goat cheese — 50 g (1.8 oz)
Arugula — 100 g (3.5 oz)
Walnuts — 25 g (0.9 oz)
Extra-virgin olive oil — 15 g (0.5 oz)
Balsamic vinegar — 12 g (0.4 oz)
Dijon mustard — 5 g (0.2 oz)</t>
        </is>
      </c>
      <c r="M985" s="4" t="inlineStr">
        <is>
          <t>[{"ingredient_id": "lentils", "name": "Lentils, cooked", "grams": 350.0, "note": ""}, {"ingredient_id": "beet", "name": "Beets", "grams": 150.0, "note": "cooked"}, {"ingredient_id": "goat_cheese", "name": "Goat cheese", "grams": 50.0, "note": ""}, {"ingredient_id": "arugula", "name": "Arugula", "grams": 100.0, "note": ""}, {"ingredient_id": "walnuts", "name": "Walnuts", "grams": 25.0, "note": ""}, {"ingredient_id": "olive_oil", "name": "Extra-virgin olive oil", "grams": 15.0, "note": ""}, {"ingredient_id": "balsamic_vinegar", "name": "Balsamic vinegar", "grams": 12.0, "note": ""}, {"ingredient_id": "dijon", "name": "Dijon mustard", "grams": 5.0, "note": ""}]</t>
        </is>
      </c>
      <c r="N985" s="2" t="n">
        <v>329</v>
      </c>
      <c r="O985" s="5" t="n">
        <v>17.2</v>
      </c>
      <c r="P985" s="5" t="n">
        <v>16.3</v>
      </c>
      <c r="Q985" s="5" t="n">
        <v>31.3</v>
      </c>
      <c r="R985" s="5" t="n">
        <v>11.8</v>
      </c>
      <c r="S985" s="5" t="n">
        <v>19.5</v>
      </c>
      <c r="T985" s="2" t="n">
        <v>39</v>
      </c>
      <c r="U985" s="2" t="inlineStr">
        <is>
          <t>low</t>
        </is>
      </c>
      <c r="V985" s="5" t="n">
        <v>7.6</v>
      </c>
      <c r="W985" s="2" t="inlineStr">
        <is>
          <t>low</t>
        </is>
      </c>
      <c r="X985" s="3" t="inlineStr"/>
      <c r="Y985" s="3" t="inlineStr">
        <is>
          <t>90% of this dish's available carbohydrate comes from ingredients with a published, measured GI; the rest uses conventional placeholders (see Ingredients sheet)</t>
        </is>
      </c>
      <c r="Z985" s="2" t="n">
        <v>90</v>
      </c>
      <c r="AA985" s="3" t="inlineStr">
        <is>
          <t>vegetarian, gluten-free, high-fiber, no-cook</t>
        </is>
      </c>
      <c r="AB985" s="3" t="inlineStr">
        <is>
          <t>1. Whisk oil, balsamic, Dijon.
2. Toss lentils, diced beet, arugula with dressing.
3. Goat cheese, walnuts.</t>
        </is>
      </c>
      <c r="AC985" s="4" t="inlineStr">
        <is>
          <t>["Whisk oil, balsamic, Dijon.", "Toss lentils, diced beet, arugula with dressing.", "Goat cheese, walnuts."]</t>
        </is>
      </c>
    </row>
    <row r="986" ht="96" customHeight="1">
      <c r="A986" s="2" t="inlineStr">
        <is>
          <t>DB-0985</t>
        </is>
      </c>
      <c r="B986" s="3" t="inlineStr">
        <is>
          <t>Turkey Cobb Lettuce Bowl</t>
        </is>
      </c>
      <c r="C986" s="4" t="inlineStr">
        <is>
          <t>Salad</t>
        </is>
      </c>
      <c r="D986" s="4" t="inlineStr">
        <is>
          <t>American</t>
        </is>
      </c>
      <c r="E986" s="2" t="n">
        <v>2</v>
      </c>
      <c r="F986" s="2" t="n">
        <v>10</v>
      </c>
      <c r="G986" s="2" t="n">
        <v>8</v>
      </c>
      <c r="H986" s="2" t="n">
        <v>18</v>
      </c>
      <c r="I986" s="4" t="inlineStr">
        <is>
          <t>turkey-cobb-lettuce-bowl.jpg</t>
        </is>
      </c>
      <c r="J986" s="3" t="inlineStr">
        <is>
          <t>Turkey Cobb Lettuce Bowl, healthy food photography, plated, natural light</t>
        </is>
      </c>
      <c r="K986" s="4" t="inlineStr"/>
      <c r="L986" s="3" t="inlineStr">
        <is>
          <t>Deli turkey breast, low sodium — 200 g (7.1 oz)
Egg, large (50 g each) — 100 g (3.5 oz)
Turkey bacon — 45 g (1.6 oz)
Romaine lettuce — 200 g (7.1 oz)
Avocado — 80 g (2.8 oz)
Cherry tomatoes — 120 g (4.2 oz)
Cheddar cheese — 30 g (1.1 oz)
Greek yogurt, plain 2% — 50 g (1.8 oz)
Ranch seasoning (dry) — 3 g (0.1 oz)
Lemon juice — 8 g (0.3 oz)</t>
        </is>
      </c>
      <c r="M986" s="4" t="inlineStr">
        <is>
          <t>[{"ingredient_id": "deli_turkey", "name": "Deli turkey breast, low sodium", "grams": 200.0, "note": ""}, {"ingredient_id": "egg", "name": "Egg, large (50 g each)", "grams": 100.0, "note": ""}, {"ingredient_id": "turkey_bacon", "name": "Turkey bacon", "grams": 45.0, "note": ""}, {"ingredient_id": "romaine", "name": "Romaine lettuce", "grams": 200.0, "note": ""}, {"ingredient_id": "avocado", "name": "Avocado", "grams": 80.0, "note": ""}, {"ingredient_id": "cherry_tomato", "name": "Cherry tomatoes", "grams": 120.0, "note": ""}, {"ingredient_id": "cheddar", "name": "Cheddar cheese", "grams": 30.0, "note": ""}, {"ingredient_id": "greek_yogurt", "name": "Greek yogurt, plain 2%", "grams": 50.0, "note": ""}, {"ingredient_id": "ranch_seasoning", "name": "Ranch seasoning (dry)", "grams": 3.0, "note": ""}, {"ingredient_id": "lemon_juice", "name": "Lemon juice", "grams": 8.0, "note": ""}]</t>
        </is>
      </c>
      <c r="N986" s="2" t="n">
        <v>400</v>
      </c>
      <c r="O986" s="5" t="n">
        <v>36</v>
      </c>
      <c r="P986" s="5" t="n">
        <v>21.6</v>
      </c>
      <c r="Q986" s="5" t="n">
        <v>16.1</v>
      </c>
      <c r="R986" s="5" t="n">
        <v>5.9</v>
      </c>
      <c r="S986" s="5" t="n">
        <v>10.2</v>
      </c>
      <c r="T986" s="2" t="n">
        <v>7</v>
      </c>
      <c r="U986" s="2" t="inlineStr">
        <is>
          <t>low</t>
        </is>
      </c>
      <c r="V986" s="5" t="n">
        <v>0.7</v>
      </c>
      <c r="W986" s="2" t="inlineStr">
        <is>
          <t>low</t>
        </is>
      </c>
      <c r="X986" s="3" t="inlineStr"/>
      <c r="Y986" s="3" t="inlineStr">
        <is>
          <t>10% of this dish's available carbohydrate comes from ingredients with a published, measured GI; the rest uses conventional placeholders (see Ingredients sheet)</t>
        </is>
      </c>
      <c r="Z986" s="2" t="n">
        <v>10</v>
      </c>
      <c r="AA986" s="3" t="inlineStr">
        <is>
          <t>gluten-free, nut-free, low-carb, high-protein</t>
        </is>
      </c>
      <c r="AB986" s="3" t="inlineStr">
        <is>
          <t>1. Boil eggs; crisp bacon.
2. Mix yogurt, ranch seasoning, lemon.
3. Arrange over romaine; dressing.</t>
        </is>
      </c>
      <c r="AC986" s="4" t="inlineStr">
        <is>
          <t>["Boil eggs; crisp bacon.", "Mix yogurt, ranch seasoning, lemon.", "Arrange over romaine; dressing."]</t>
        </is>
      </c>
    </row>
    <row r="987" ht="96" customHeight="1">
      <c r="A987" s="2" t="inlineStr">
        <is>
          <t>DB-0986</t>
        </is>
      </c>
      <c r="B987" s="3" t="inlineStr">
        <is>
          <t>Edamame Avocado Salad with Lime</t>
        </is>
      </c>
      <c r="C987" s="4" t="inlineStr">
        <is>
          <t>Salad</t>
        </is>
      </c>
      <c r="D987" s="4" t="inlineStr">
        <is>
          <t>Asian</t>
        </is>
      </c>
      <c r="E987" s="2" t="n">
        <v>2</v>
      </c>
      <c r="F987" s="2" t="n">
        <v>10</v>
      </c>
      <c r="G987" s="2" t="n">
        <v>0</v>
      </c>
      <c r="H987" s="2" t="n">
        <v>10</v>
      </c>
      <c r="I987" s="4" t="inlineStr">
        <is>
          <t>edamame-avocado-salad-with-lime.jpg</t>
        </is>
      </c>
      <c r="J987" s="3" t="inlineStr">
        <is>
          <t>Edamame Avocado Salad with Lime, healthy food photography, plated, natural light</t>
        </is>
      </c>
      <c r="K987" s="4" t="inlineStr"/>
      <c r="L987" s="3" t="inlineStr">
        <is>
          <t>Edamame, shelled, cooked — 250 g (8.8 oz)
Avocado — 100 g (3.5 oz)
Cucumber — 150 g (5.3 oz)
Cherry tomatoes — 100 g (3.5 oz)
Fresh cilantro — 6 g (0.2 oz)
Lime juice — 20 g (0.7 oz)
Toasted sesame oil — 6 g (0.2 oz)
Tamari (gluten-free soy sauce) — 8 g (0.3 oz)
Sesame seeds — 4 g (0.1 oz)</t>
        </is>
      </c>
      <c r="M987" s="4" t="inlineStr">
        <is>
          <t>[{"ingredient_id": "edamame", "name": "Edamame, shelled, cooked", "grams": 250.0, "note": ""}, {"ingredient_id": "avocado", "name": "Avocado", "grams": 100.0, "note": ""}, {"ingredient_id": "cucumber", "name": "Cucumber", "grams": 150.0, "note": ""}, {"ingredient_id": "cherry_tomato", "name": "Cherry tomatoes", "grams": 100.0, "note": ""}, {"ingredient_id": "cilantro", "name": "Fresh cilantro", "grams": 6.0, "note": ""}, {"ingredient_id": "lime_juice", "name": "Lime juice", "grams": 20.0, "note": ""}, {"ingredient_id": "sesame_oil", "name": "Toasted sesame oil", "grams": 6.0, "note": ""}, {"ingredient_id": "tamari", "name": "Tamari (gluten-free soy sauce)", "grams": 8.0, "note": ""}, {"ingredient_id": "sesame_seeds", "name": "Sesame seeds", "grams": 4.0, "note": ""}]</t>
        </is>
      </c>
      <c r="N987" s="2" t="n">
        <v>295</v>
      </c>
      <c r="O987" s="5" t="n">
        <v>17.8</v>
      </c>
      <c r="P987" s="5" t="n">
        <v>17.9</v>
      </c>
      <c r="Q987" s="5" t="n">
        <v>21.8</v>
      </c>
      <c r="R987" s="5" t="n">
        <v>11</v>
      </c>
      <c r="S987" s="5" t="n">
        <v>10.8</v>
      </c>
      <c r="T987" s="2" t="n">
        <v>17</v>
      </c>
      <c r="U987" s="2" t="inlineStr">
        <is>
          <t>low</t>
        </is>
      </c>
      <c r="V987" s="5" t="n">
        <v>1.8</v>
      </c>
      <c r="W987" s="2" t="inlineStr">
        <is>
          <t>low</t>
        </is>
      </c>
      <c r="X987" s="3" t="inlineStr"/>
      <c r="Y987" s="3" t="inlineStr">
        <is>
          <t>0% of this dish's available carbohydrate comes from ingredients with a published, measured GI; the rest uses conventional placeholders (see Ingredients sheet)</t>
        </is>
      </c>
      <c r="Z987" s="2" t="n">
        <v>0</v>
      </c>
      <c r="AA987" s="3" t="inlineStr">
        <is>
          <t>vegan, gluten-free, dairy-free, nut-free, low-carb, high-fiber, no-cook, quick</t>
        </is>
      </c>
      <c r="AB987" s="3" t="inlineStr">
        <is>
          <t>1. Combine edamame, avocado, cucumber, tomato, cilantro.
2. Dress with lime, sesame oil, tamari.
3. Sesame seeds.</t>
        </is>
      </c>
      <c r="AC987" s="4" t="inlineStr">
        <is>
          <t>["Combine edamame, avocado, cucumber, tomato, cilantro.", "Dress with lime, sesame oil, tamari.", "Sesame seeds."]</t>
        </is>
      </c>
    </row>
    <row r="988" ht="96" customHeight="1">
      <c r="A988" s="2" t="inlineStr">
        <is>
          <t>DB-0987</t>
        </is>
      </c>
      <c r="B988" s="3" t="inlineStr">
        <is>
          <t>Grilled Chicken &amp; Peach Arugula Salad</t>
        </is>
      </c>
      <c r="C988" s="4" t="inlineStr">
        <is>
          <t>Salad</t>
        </is>
      </c>
      <c r="D988" s="4" t="inlineStr">
        <is>
          <t>American</t>
        </is>
      </c>
      <c r="E988" s="2" t="n">
        <v>2</v>
      </c>
      <c r="F988" s="2" t="n">
        <v>10</v>
      </c>
      <c r="G988" s="2" t="n">
        <v>12</v>
      </c>
      <c r="H988" s="2" t="n">
        <v>22</v>
      </c>
      <c r="I988" s="4" t="inlineStr">
        <is>
          <t>grilled-chicken-and-peach-arugula-salad.jpg</t>
        </is>
      </c>
      <c r="J988" s="3" t="inlineStr">
        <is>
          <t>Grilled Chicken &amp; Peach Arugula Salad, healthy food photography, plated, natural light</t>
        </is>
      </c>
      <c r="K988" s="4" t="inlineStr"/>
      <c r="L988" s="3" t="inlineStr">
        <is>
          <t>Chicken breast, skinless — 280 g (9.9 oz)
Peach — 150 g (5.3 oz)
Arugula — 120 g (4.2 oz)
Goat cheese — 40 g (1.4 oz)
Almonds — 20 g (0.7 oz)
Extra-virgin olive oil — 15 g (0.5 oz)
Balsamic vinegar — 10 g (0.4 oz)
Fresh basil — 4 g (0.1 oz)</t>
        </is>
      </c>
      <c r="M988" s="4" t="inlineStr">
        <is>
          <t>[{"ingredient_id": "chicken_breast", "name": "Chicken breast, skinless", "grams": 280.0, "note": ""}, {"ingredient_id": "peach", "name": "Peach", "grams": 150.0, "note": ""}, {"ingredient_id": "arugula", "name": "Arugula", "grams": 120.0, "note": ""}, {"ingredient_id": "goat_cheese", "name": "Goat cheese", "grams": 40.0, "note": ""}, {"ingredient_id": "almonds", "name": "Almonds", "grams": 20.0, "note": ""}, {"ingredient_id": "olive_oil", "name": "Extra-virgin olive oil", "grams": 15.0, "note": ""}, {"ingredient_id": "balsamic_vinegar", "name": "Balsamic vinegar", "grams": 10.0, "note": ""}, {"ingredient_id": "basil", "name": "Fresh basil", "grams": 4.0, "note": ""}]</t>
        </is>
      </c>
      <c r="N988" s="2" t="n">
        <v>414</v>
      </c>
      <c r="O988" s="5" t="n">
        <v>40.3</v>
      </c>
      <c r="P988" s="5" t="n">
        <v>22.8</v>
      </c>
      <c r="Q988" s="5" t="n">
        <v>12.4</v>
      </c>
      <c r="R988" s="5" t="n">
        <v>3.4</v>
      </c>
      <c r="S988" s="5" t="n">
        <v>9.1</v>
      </c>
      <c r="T988" s="2" t="n">
        <v>45</v>
      </c>
      <c r="U988" s="2" t="inlineStr">
        <is>
          <t>low</t>
        </is>
      </c>
      <c r="V988" s="5" t="n">
        <v>4.1</v>
      </c>
      <c r="W988" s="2" t="inlineStr">
        <is>
          <t>low</t>
        </is>
      </c>
      <c r="X988" s="3" t="inlineStr"/>
      <c r="Y988" s="3" t="inlineStr">
        <is>
          <t>66% of this dish's available carbohydrate comes from ingredients with a published, measured GI; the rest uses conventional placeholders (see Ingredients sheet)</t>
        </is>
      </c>
      <c r="Z988" s="2" t="n">
        <v>66</v>
      </c>
      <c r="AA988" s="3" t="inlineStr">
        <is>
          <t>gluten-free, low-carb, high-protein</t>
        </is>
      </c>
      <c r="AB988" s="3" t="inlineStr">
        <is>
          <t>1. Grill chicken; slice. Grill peach halves 2 minutes.
2. Toss arugula with oil and balsamic.
3. Top chicken, peach, goat cheese, almonds, basil.</t>
        </is>
      </c>
      <c r="AC988" s="4" t="inlineStr">
        <is>
          <t>["Grill chicken; slice. Grill peach halves 2 minutes.", "Toss arugula with oil and balsamic.", "Top chicken, peach, goat cheese, almonds, basil."]</t>
        </is>
      </c>
    </row>
    <row r="989" ht="96" customHeight="1">
      <c r="A989" s="2" t="inlineStr">
        <is>
          <t>DB-0988</t>
        </is>
      </c>
      <c r="B989" s="3" t="inlineStr">
        <is>
          <t>Chicken Vegetable Quinoa Soup</t>
        </is>
      </c>
      <c r="C989" s="4" t="inlineStr">
        <is>
          <t>Soup &amp; Stew</t>
        </is>
      </c>
      <c r="D989" s="4" t="inlineStr">
        <is>
          <t>American</t>
        </is>
      </c>
      <c r="E989" s="2" t="n">
        <v>5</v>
      </c>
      <c r="F989" s="2" t="n">
        <v>10</v>
      </c>
      <c r="G989" s="2" t="n">
        <v>30</v>
      </c>
      <c r="H989" s="2" t="n">
        <v>40</v>
      </c>
      <c r="I989" s="4" t="inlineStr">
        <is>
          <t>chicken-vegetable-quinoa-soup.jpg</t>
        </is>
      </c>
      <c r="J989" s="3" t="inlineStr">
        <is>
          <t>Chicken Vegetable Quinoa Soup, healthy food photography, plated, natural light</t>
        </is>
      </c>
      <c r="K989" s="4" t="inlineStr"/>
      <c r="L989" s="3" t="inlineStr">
        <is>
          <t>Chicken breast, skinless — 450 g (15.9 oz)
Quinoa, cooked — 250 g (8.8 oz)
Chicken broth, low sodium — 1400 g (49.4 oz)
Carrot — 120 g (4.2 oz)
Celery — 100 g (3.5 oz)
Yellow onion — 100 g (3.5 oz)
Zucchini — 150 g (5.3 oz)
Garlic — 8 g (0.3 oz)
Fresh thyme — 2 g (0.1 oz)
Extra-virgin olive oil — 12 g (0.4 oz)
Fresh parsley — 6 g (0.2 oz)
Salt — 3 g (0.1 oz)</t>
        </is>
      </c>
      <c r="M989" s="4" t="inlineStr">
        <is>
          <t>[{"ingredient_id": "chicken_breast", "name": "Chicken breast, skinless", "grams": 450.0, "note": ""}, {"ingredient_id": "quinoa", "name": "Quinoa, cooked", "grams": 250.0, "note": ""}, {"ingredient_id": "chicken_broth", "name": "Chicken broth, low sodium", "grams": 1400.0, "note": ""}, {"ingredient_id": "carrot", "name": "Carrot", "grams": 120.0, "note": ""}, {"ingredient_id": "celery", "name": "Celery", "grams": 100.0, "note": ""}, {"ingredient_id": "onion", "name": "Yellow onion", "grams": 100.0, "note": ""}, {"ingredient_id": "zucchini", "name": "Zucchini", "grams": 150.0, "note": ""}, {"ingredient_id": "garlic", "name": "Garlic", "grams": 8.0, "note": ""}, {"ingredient_id": "thyme", "name": "Fresh thyme", "grams": 2.0, "note": ""}, {"ingredient_id": "olive_oil", "name": "Extra-virgin olive oil", "grams": 12.0, "note": ""}, {"ingredient_id": "parsley", "name": "Fresh parsley", "grams": 6.0, "note": ""}, {"ingredient_id": "salt", "name": "Salt", "grams": 3.0, "note": ""}]</t>
        </is>
      </c>
      <c r="N989" s="2" t="n">
        <v>238</v>
      </c>
      <c r="O989" s="5" t="n">
        <v>26.3</v>
      </c>
      <c r="P989" s="5" t="n">
        <v>6.5</v>
      </c>
      <c r="Q989" s="5" t="n">
        <v>18.3</v>
      </c>
      <c r="R989" s="5" t="n">
        <v>3.2</v>
      </c>
      <c r="S989" s="5" t="n">
        <v>15.1</v>
      </c>
      <c r="T989" s="2" t="n">
        <v>40</v>
      </c>
      <c r="U989" s="2" t="inlineStr">
        <is>
          <t>low</t>
        </is>
      </c>
      <c r="V989" s="5" t="n">
        <v>6.1</v>
      </c>
      <c r="W989" s="2" t="inlineStr">
        <is>
          <t>low</t>
        </is>
      </c>
      <c r="X989" s="3" t="inlineStr"/>
      <c r="Y989" s="3" t="inlineStr">
        <is>
          <t>71% of this dish's available carbohydrate comes from ingredients with a published, measured GI; the rest uses conventional placeholders (see Ingredients sheet)</t>
        </is>
      </c>
      <c r="Z989" s="2" t="n">
        <v>71</v>
      </c>
      <c r="AA989" s="3" t="inlineStr">
        <is>
          <t>gluten-free, dairy-free, nut-free, high-protein</t>
        </is>
      </c>
      <c r="AB989" s="3" t="inlineStr">
        <is>
          <t>1. Sauté onion, carrot, celery, garlic in oil.
2. Add broth and chicken; simmer 20 minutes; shred chicken.
3. Add zucchini and cooked quinoa 5 minutes; parsley.</t>
        </is>
      </c>
      <c r="AC989" s="4" t="inlineStr">
        <is>
          <t>["Sauté onion, carrot, celery, garlic in oil.", "Add broth and chicken; simmer 20 minutes; shred chicken.", "Add zucchini and cooked quinoa 5 minutes; parsley."]</t>
        </is>
      </c>
    </row>
    <row r="990" ht="96" customHeight="1">
      <c r="A990" s="2" t="inlineStr">
        <is>
          <t>DB-0989</t>
        </is>
      </c>
      <c r="B990" s="3" t="inlineStr">
        <is>
          <t>Creamy Tomato Basil Soup with White Beans</t>
        </is>
      </c>
      <c r="C990" s="4" t="inlineStr">
        <is>
          <t>Soup &amp; Stew</t>
        </is>
      </c>
      <c r="D990" s="4" t="inlineStr">
        <is>
          <t>Italian</t>
        </is>
      </c>
      <c r="E990" s="2" t="n">
        <v>4</v>
      </c>
      <c r="F990" s="2" t="n">
        <v>5</v>
      </c>
      <c r="G990" s="2" t="n">
        <v>25</v>
      </c>
      <c r="H990" s="2" t="n">
        <v>30</v>
      </c>
      <c r="I990" s="4" t="inlineStr">
        <is>
          <t>creamy-tomato-basil-soup-with-white-beans.jpg</t>
        </is>
      </c>
      <c r="J990" s="3" t="inlineStr">
        <is>
          <t>Creamy Tomato Basil Soup with White Beans, healthy food photography, plated, natural light</t>
        </is>
      </c>
      <c r="K990" s="4" t="inlineStr"/>
      <c r="L990" s="3" t="inlineStr">
        <is>
          <t>Crushed tomatoes, canned — 800 g (28.2 oz)
Cannellini beans, cooked — 250 g (8.8 oz)
Yellow onion — 100 g (3.5 oz)
Garlic — 8 g (0.3 oz)
Vegetable broth, low sodium — 500 g (17.6 oz)
Fresh basil — 20 g (0.7 oz)
Greek yogurt, plain 2% — 100 g (3.5 oz)
Extra-virgin olive oil — 15 g (0.5 oz)
Salt — 3 g (0.1 oz)</t>
        </is>
      </c>
      <c r="M990" s="4" t="inlineStr">
        <is>
          <t>[{"ingredient_id": "crushed_tomatoes", "name": "Crushed tomatoes, canned", "grams": 800.0, "note": ""}, {"ingredient_id": "white_beans", "name": "Cannellini beans, cooked", "grams": 250.0, "note": ""}, {"ingredient_id": "onion", "name": "Yellow onion", "grams": 100.0, "note": ""}, {"ingredient_id": "garlic", "name": "Garlic", "grams": 8.0, "note": ""}, {"ingredient_id": "vegetable_broth", "name": "Vegetable broth, low sodium", "grams": 500.0, "note": ""}, {"ingredient_id": "basil", "name": "Fresh basil", "grams": 20.0, "note": ""}, {"ingredient_id": "greek_yogurt", "name": "Greek yogurt, plain 2%", "grams": 100.0, "note": ""}, {"ingredient_id": "olive_oil", "name": "Extra-virgin olive oil", "grams": 15.0, "note": ""}, {"ingredient_id": "salt", "name": "Salt", "grams": 3.0, "note": ""}]</t>
        </is>
      </c>
      <c r="N990" s="2" t="n">
        <v>226</v>
      </c>
      <c r="O990" s="5" t="n">
        <v>13</v>
      </c>
      <c r="P990" s="5" t="n">
        <v>5.4</v>
      </c>
      <c r="Q990" s="5" t="n">
        <v>35.6</v>
      </c>
      <c r="R990" s="5" t="n">
        <v>8.300000000000001</v>
      </c>
      <c r="S990" s="5" t="n">
        <v>27.3</v>
      </c>
      <c r="T990" s="2" t="n">
        <v>28</v>
      </c>
      <c r="U990" s="2" t="inlineStr">
        <is>
          <t>low</t>
        </is>
      </c>
      <c r="V990" s="5" t="n">
        <v>7.7</v>
      </c>
      <c r="W990" s="2" t="inlineStr">
        <is>
          <t>low</t>
        </is>
      </c>
      <c r="X990" s="3" t="inlineStr"/>
      <c r="Y990" s="3" t="inlineStr">
        <is>
          <t>46% of this dish's available carbohydrate comes from ingredients with a published, measured GI; the rest uses conventional placeholders (see Ingredients sheet)</t>
        </is>
      </c>
      <c r="Z990" s="2" t="n">
        <v>46</v>
      </c>
      <c r="AA990" s="3" t="inlineStr">
        <is>
          <t>vegetarian, gluten-free, nut-free, high-fiber, make-ahead</t>
        </is>
      </c>
      <c r="AB990" s="3" t="inlineStr">
        <is>
          <t>1. Sauté onion and garlic in oil.
2. Add tomatoes, beans, broth; simmer 15 minutes.
3. Blend with basil; stir in yogurt; salt.</t>
        </is>
      </c>
      <c r="AC990" s="4" t="inlineStr">
        <is>
          <t>["Sauté onion and garlic in oil.", "Add tomatoes, beans, broth; simmer 15 minutes.", "Blend with basil; stir in yogurt; salt."]</t>
        </is>
      </c>
    </row>
    <row r="991" ht="96" customHeight="1">
      <c r="A991" s="2" t="inlineStr">
        <is>
          <t>DB-0990</t>
        </is>
      </c>
      <c r="B991" s="3" t="inlineStr">
        <is>
          <t>Beef &amp; Vegetable Soup</t>
        </is>
      </c>
      <c r="C991" s="4" t="inlineStr">
        <is>
          <t>Soup &amp; Stew</t>
        </is>
      </c>
      <c r="D991" s="4" t="inlineStr">
        <is>
          <t>American</t>
        </is>
      </c>
      <c r="E991" s="2" t="n">
        <v>6</v>
      </c>
      <c r="F991" s="2" t="n">
        <v>15</v>
      </c>
      <c r="G991" s="2" t="n">
        <v>75</v>
      </c>
      <c r="H991" s="2" t="n">
        <v>90</v>
      </c>
      <c r="I991" s="4" t="inlineStr">
        <is>
          <t>beef-and-vegetable-soup.jpg</t>
        </is>
      </c>
      <c r="J991" s="3" t="inlineStr">
        <is>
          <t>Beef &amp; Vegetable Soup, healthy food photography, plated, natural light</t>
        </is>
      </c>
      <c r="K991" s="4" t="inlineStr"/>
      <c r="L991" s="3" t="inlineStr">
        <is>
          <t>Beef chuck roast, trimmed — 600 g (21.2 oz)
Beef broth, low sodium — 1500 g (52.9 oz)
Carrot — 150 g (5.3 oz)
Celery — 120 g (4.2 oz)
Yellow onion — 150 g (5.3 oz)
Green beans — 150 g (5.3 oz)
Zucchini — 150 g (5.3 oz)
Diced tomatoes, canned — 400 g (14.1 oz)
Garlic — 8 g (0.3 oz)
Fresh thyme — 3 g (0.1 oz)
Bay leaves — 1 g (0.0 oz)
Extra-virgin olive oil — 15 g (0.5 oz)
Salt — 4 g (0.1 oz)</t>
        </is>
      </c>
      <c r="M991" s="4" t="inlineStr">
        <is>
          <t>[{"ingredient_id": "beef_chuck", "name": "Beef chuck roast, trimmed", "grams": 600.0, "note": ""}, {"ingredient_id": "beef_broth", "name": "Beef broth, low sodium", "grams": 1500.0, "note": ""}, {"ingredient_id": "carrot", "name": "Carrot", "grams": 150.0, "note": ""}, {"ingredient_id": "celery", "name": "Celery", "grams": 120.0, "note": ""}, {"ingredient_id": "onion", "name": "Yellow onion", "grams": 150.0, "note": ""}, {"ingredient_id": "green_beans", "name": "Green beans", "grams": 150.0, "note": ""}, {"ingredient_id": "zucchini", "name": "Zucchini", "grams": 150.0, "note": ""}, {"ingredient_id": "diced_tomatoes", "name": "Diced tomatoes, canned", "grams": 400.0, "note": ""}, {"ingredient_id": "garlic", "name": "Garlic", "grams": 8.0, "note": ""}, {"ingredient_id": "thyme", "name": "Fresh thyme", "grams": 3.0, "note": ""}, {"ingredient_id": "bay_leaf", "name": "Bay leaves", "grams": 1.0, "note": ""}, {"ingredient_id": "olive_oil", "name": "Extra-virgin olive oil", "grams": 15.0, "note": ""}, {"ingredient_id": "salt", "name": "Salt", "grams": 4.0, "note": ""}]</t>
        </is>
      </c>
      <c r="N991" s="2" t="n">
        <v>274</v>
      </c>
      <c r="O991" s="5" t="n">
        <v>25.6</v>
      </c>
      <c r="P991" s="5" t="n">
        <v>14.4</v>
      </c>
      <c r="Q991" s="5" t="n">
        <v>12.9</v>
      </c>
      <c r="R991" s="5" t="n">
        <v>3.5</v>
      </c>
      <c r="S991" s="5" t="n">
        <v>9.4</v>
      </c>
      <c r="T991" s="2" t="n">
        <v>23</v>
      </c>
      <c r="U991" s="2" t="inlineStr">
        <is>
          <t>low</t>
        </is>
      </c>
      <c r="V991" s="5" t="n">
        <v>2.2</v>
      </c>
      <c r="W991" s="2" t="inlineStr">
        <is>
          <t>low</t>
        </is>
      </c>
      <c r="X991" s="3" t="inlineStr"/>
      <c r="Y991" s="3" t="inlineStr">
        <is>
          <t>18% of this dish's available carbohydrate comes from ingredients with a published, measured GI; the rest uses conventional placeholders (see Ingredients sheet)</t>
        </is>
      </c>
      <c r="Z991" s="2" t="n">
        <v>18</v>
      </c>
      <c r="AA991" s="3" t="inlineStr">
        <is>
          <t>gluten-free, dairy-free, nut-free, low-carb, high-protein, make-ahead</t>
        </is>
      </c>
      <c r="AB991" s="3" t="inlineStr">
        <is>
          <t>1. Brown beef cubes in oil; add onion, carrot, celery, garlic.
2. Add broth, tomatoes, thyme, bay; simmer 60 minutes.
3. Add green beans and zucchini 8 minutes.</t>
        </is>
      </c>
      <c r="AC991" s="4" t="inlineStr">
        <is>
          <t>["Brown beef cubes in oil; add onion, carrot, celery, garlic.", "Add broth, tomatoes, thyme, bay; simmer 60 minutes.", "Add green beans and zucchini 8 minutes."]</t>
        </is>
      </c>
    </row>
    <row r="992" ht="96" customHeight="1">
      <c r="A992" s="2" t="inlineStr">
        <is>
          <t>DB-0991</t>
        </is>
      </c>
      <c r="B992" s="3" t="inlineStr">
        <is>
          <t>Zucchini Chicken Meatball Soup</t>
        </is>
      </c>
      <c r="C992" s="4" t="inlineStr">
        <is>
          <t>Soup &amp; Stew</t>
        </is>
      </c>
      <c r="D992" s="4" t="inlineStr">
        <is>
          <t>Italian</t>
        </is>
      </c>
      <c r="E992" s="2" t="n">
        <v>4</v>
      </c>
      <c r="F992" s="2" t="n">
        <v>15</v>
      </c>
      <c r="G992" s="2" t="n">
        <v>25</v>
      </c>
      <c r="H992" s="2" t="n">
        <v>40</v>
      </c>
      <c r="I992" s="4" t="inlineStr">
        <is>
          <t>zucchini-chicken-meatball-soup.jpg</t>
        </is>
      </c>
      <c r="J992" s="3" t="inlineStr">
        <is>
          <t>Zucchini Chicken Meatball Soup, healthy food photography, plated, natural light</t>
        </is>
      </c>
      <c r="K992" s="4" t="inlineStr"/>
      <c r="L992" s="3" t="inlineStr">
        <is>
          <t>Ground chicken — 450 g (15.9 oz)
Egg, large (50 g each) — 50 g (1.8 oz)
Parmesan, grated — 30 g (1.1 oz)
Almond flour — 25 g (0.9 oz)
Garlic — 6 g (0.2 oz)
Chicken broth, low sodium — 1200 g (42.3 oz)
Zucchini — 250 g (8.8 oz)
Spinach — 100 g (3.5 oz)
Yellow onion — 80 g (2.8 oz)
Carrot — 80 g (2.8 oz)
Extra-virgin olive oil — 10 g (0.4 oz)
Italian seasoning — 2 g (0.1 oz)
Salt — 3 g (0.1 oz)</t>
        </is>
      </c>
      <c r="M992" s="4" t="inlineStr">
        <is>
          <t>[{"ingredient_id": "ground_chicken", "name": "Ground chicken", "grams": 450.0, "note": ""}, {"ingredient_id": "egg", "name": "Egg, large (50 g each)", "grams": 50.0, "note": ""}, {"ingredient_id": "parmesan", "name": "Parmesan, grated", "grams": 30.0, "note": ""}, {"ingredient_id": "almond_flour", "name": "Almond flour", "grams": 25.0, "note": ""}, {"ingredient_id": "garlic", "name": "Garlic", "grams": 6.0, "note": ""}, {"ingredient_id": "chicken_broth", "name": "Chicken broth, low sodium", "grams": 1200.0, "note": ""}, {"ingredient_id": "zucchini", "name": "Zucchini", "grams": 250.0, "note": ""}, {"ingredient_id": "spinach", "name": "Spinach", "grams": 100.0, "note": ""}, {"ingredient_id": "onion", "name": "Yellow onion", "grams": 80.0, "note": ""}, {"ingredient_id": "carrot", "name": "Carrot", "grams": 80.0, "note": ""}, {"ingredient_id": "olive_oil", "name": "Extra-virgin olive oil", "grams": 10.0, "note": ""}, {"ingredient_id": "italian_seasoning", "name": "Italian seasoning", "grams": 2.0, "note": ""}, {"ingredient_id": "salt", "name": "Salt", "grams": 3.0, "note": ""}]</t>
        </is>
      </c>
      <c r="N992" s="2" t="n">
        <v>327</v>
      </c>
      <c r="O992" s="5" t="n">
        <v>29.9</v>
      </c>
      <c r="P992" s="5" t="n">
        <v>19</v>
      </c>
      <c r="Q992" s="5" t="n">
        <v>10.7</v>
      </c>
      <c r="R992" s="5" t="n">
        <v>3.1</v>
      </c>
      <c r="S992" s="5" t="n">
        <v>7.6</v>
      </c>
      <c r="T992" s="2" t="n">
        <v>16</v>
      </c>
      <c r="U992" s="2" t="inlineStr">
        <is>
          <t>low</t>
        </is>
      </c>
      <c r="V992" s="5" t="n">
        <v>1.2</v>
      </c>
      <c r="W992" s="2" t="inlineStr">
        <is>
          <t>low</t>
        </is>
      </c>
      <c r="X992" s="3" t="inlineStr"/>
      <c r="Y992" s="3" t="inlineStr">
        <is>
          <t>18% of this dish's available carbohydrate comes from ingredients with a published, measured GI; the rest uses conventional placeholders (see Ingredients sheet)</t>
        </is>
      </c>
      <c r="Z992" s="2" t="n">
        <v>18</v>
      </c>
      <c r="AA992" s="3" t="inlineStr">
        <is>
          <t>gluten-free, low-carb, high-protein</t>
        </is>
      </c>
      <c r="AB992" s="3" t="inlineStr">
        <is>
          <t>1. Mix chicken, egg, parmesan, almond flour, garlic; form small meatballs.
2. Sauté onion and carrot; add broth and seasoning; simmer; drop in meatballs 12 minutes.
3. Add zucchini and spinach 4 minutes.</t>
        </is>
      </c>
      <c r="AC992" s="4" t="inlineStr">
        <is>
          <t>["Mix chicken, egg, parmesan, almond flour, garlic; form small meatballs.", "Sauté onion and carrot; add broth and seasoning; simmer; drop in meatballs 12 minutes.", "Add zucchini and spinach 4 minutes."]</t>
        </is>
      </c>
    </row>
    <row r="993" ht="96" customHeight="1">
      <c r="A993" s="2" t="inlineStr">
        <is>
          <t>DB-0992</t>
        </is>
      </c>
      <c r="B993" s="3" t="inlineStr">
        <is>
          <t>Shrimp &amp; Vegetable Miso Soup</t>
        </is>
      </c>
      <c r="C993" s="4" t="inlineStr">
        <is>
          <t>Soup &amp; Stew</t>
        </is>
      </c>
      <c r="D993" s="4" t="inlineStr">
        <is>
          <t>Japanese</t>
        </is>
      </c>
      <c r="E993" s="2" t="n">
        <v>3</v>
      </c>
      <c r="F993" s="2" t="n">
        <v>10</v>
      </c>
      <c r="G993" s="2" t="n">
        <v>12</v>
      </c>
      <c r="H993" s="2" t="n">
        <v>22</v>
      </c>
      <c r="I993" s="4" t="inlineStr">
        <is>
          <t>shrimp-and-vegetable-miso-soup.jpg</t>
        </is>
      </c>
      <c r="J993" s="3" t="inlineStr">
        <is>
          <t>Shrimp &amp; Vegetable Miso Soup, healthy food photography, plated, natural light</t>
        </is>
      </c>
      <c r="K993" s="4" t="inlineStr"/>
      <c r="L993" s="3" t="inlineStr">
        <is>
          <t>Shrimp, peeled — 300 g (10.6 oz)
Vegetable broth, low sodium — 900 g (31.7 oz)
White miso paste — 30 g (1.1 oz)
Bok choy — 150 g (5.3 oz)
Mushrooms (cremini/white) — 100 g (3.5 oz)
Tofu, extra-firm — 150 g (5.3 oz)
Fresh ginger — 6 g (0.2 oz)
Green onions (scallions) — 15 g (0.5 oz)
Toasted sesame oil — 5 g (0.2 oz)</t>
        </is>
      </c>
      <c r="M993" s="4" t="inlineStr">
        <is>
          <t>[{"ingredient_id": "shrimp", "name": "Shrimp, peeled", "grams": 300.0, "note": ""}, {"ingredient_id": "vegetable_broth", "name": "Vegetable broth, low sodium", "grams": 900.0, "note": ""}, {"ingredient_id": "miso", "name": "White miso paste", "grams": 30.0, "note": ""}, {"ingredient_id": "bok_choy", "name": "Bok choy", "grams": 150.0, "note": ""}, {"ingredient_id": "mushrooms", "name": "Mushrooms (cremini/white)", "grams": 100.0, "note": ""}, {"ingredient_id": "tofu", "name": "Tofu, extra-firm", "grams": 150.0, "note": ""}, {"ingredient_id": "ginger", "name": "Fresh ginger", "grams": 6.0, "note": ""}, {"ingredient_id": "green_onion", "name": "Green onions (scallions)", "grams": 15.0, "note": ""}, {"ingredient_id": "sesame_oil", "name": "Toasted sesame oil", "grams": 5.0, "note": ""}]</t>
        </is>
      </c>
      <c r="N993" s="2" t="n">
        <v>233</v>
      </c>
      <c r="O993" s="5" t="n">
        <v>33.1</v>
      </c>
      <c r="P993" s="5" t="n">
        <v>8.1</v>
      </c>
      <c r="Q993" s="5" t="n">
        <v>11.5</v>
      </c>
      <c r="R993" s="5" t="n">
        <v>2.5</v>
      </c>
      <c r="S993" s="5" t="n">
        <v>9</v>
      </c>
      <c r="T993" s="2" t="n">
        <v>11</v>
      </c>
      <c r="U993" s="2" t="inlineStr">
        <is>
          <t>low</t>
        </is>
      </c>
      <c r="V993" s="5" t="n">
        <v>1</v>
      </c>
      <c r="W993" s="2" t="inlineStr">
        <is>
          <t>low</t>
        </is>
      </c>
      <c r="X993" s="3" t="inlineStr"/>
      <c r="Y993" s="3" t="inlineStr">
        <is>
          <t>0% of this dish's available carbohydrate comes from ingredients with a published, measured GI; the rest uses conventional placeholders (see Ingredients sheet)</t>
        </is>
      </c>
      <c r="Z993" s="2" t="n">
        <v>0</v>
      </c>
      <c r="AA993" s="3" t="inlineStr">
        <is>
          <t>pescatarian, dairy-free, nut-free, low-carb, high-protein, quick</t>
        </is>
      </c>
      <c r="AB993" s="3" t="inlineStr">
        <is>
          <t>1. Simmer broth with ginger and mushrooms 5 minutes; add bok choy and tofu.
2. Add shrimp 3 minutes.
3. Whisk in miso off heat; green onion, sesame oil.</t>
        </is>
      </c>
      <c r="AC993" s="4" t="inlineStr">
        <is>
          <t>["Simmer broth with ginger and mushrooms 5 minutes; add bok choy and tofu.", "Add shrimp 3 minutes.", "Whisk in miso off heat; green onion, sesame oil."]</t>
        </is>
      </c>
    </row>
    <row r="994" ht="96" customHeight="1">
      <c r="A994" s="2" t="inlineStr">
        <is>
          <t>DB-0993</t>
        </is>
      </c>
      <c r="B994" s="3" t="inlineStr">
        <is>
          <t>Lentil Kale Soup with Lemon</t>
        </is>
      </c>
      <c r="C994" s="4" t="inlineStr">
        <is>
          <t>Soup &amp; Stew</t>
        </is>
      </c>
      <c r="D994" s="4" t="inlineStr">
        <is>
          <t>Mediterranean</t>
        </is>
      </c>
      <c r="E994" s="2" t="n">
        <v>5</v>
      </c>
      <c r="F994" s="2" t="n">
        <v>10</v>
      </c>
      <c r="G994" s="2" t="n">
        <v>35</v>
      </c>
      <c r="H994" s="2" t="n">
        <v>45</v>
      </c>
      <c r="I994" s="4" t="inlineStr">
        <is>
          <t>lentil-kale-soup-with-lemon.jpg</t>
        </is>
      </c>
      <c r="J994" s="3" t="inlineStr">
        <is>
          <t>Lentil Kale Soup with Lemon, healthy food photography, plated, natural light</t>
        </is>
      </c>
      <c r="K994" s="4" t="inlineStr"/>
      <c r="L994" s="3" t="inlineStr">
        <is>
          <t>Lentils, cooked — 600 g (21.2 oz)
Kale — 200 g (7.1 oz)
Vegetable broth, low sodium — 1200 g (42.3 oz)
Yellow onion — 120 g (4.2 oz)
Carrot — 120 g (4.2 oz)
Garlic — 8 g (0.3 oz)
Ground cumin — 3 g (0.1 oz)
Lemon juice — 30 g (1.1 oz)
Extra-virgin olive oil — 15 g (0.5 oz)
Salt — 3 g (0.1 oz)</t>
        </is>
      </c>
      <c r="M994" s="4" t="inlineStr">
        <is>
          <t>[{"ingredient_id": "lentils", "name": "Lentils, cooked", "grams": 600.0, "note": ""}, {"ingredient_id": "kale", "name": "Kale", "grams": 200.0, "note": ""}, {"ingredient_id": "vegetable_broth", "name": "Vegetable broth, low sodium", "grams": 1200.0, "note": ""}, {"ingredient_id": "onion", "name": "Yellow onion", "grams": 120.0, "note": ""}, {"ingredient_id": "carrot", "name": "Carrot", "grams": 120.0, "note": ""}, {"ingredient_id": "garlic", "name": "Garlic", "grams": 8.0, "note": ""}, {"ingredient_id": "cumin", "name": "Ground cumin", "grams": 3.0, "note": ""}, {"ingredient_id": "lemon_juice", "name": "Lemon juice", "grams": 30.0, "note": ""}, {"ingredient_id": "olive_oil", "name": "Extra-virgin olive oil", "grams": 15.0, "note": ""}, {"ingredient_id": "salt", "name": "Salt", "grams": 3.0, "note": ""}]</t>
        </is>
      </c>
      <c r="N994" s="2" t="n">
        <v>230</v>
      </c>
      <c r="O994" s="5" t="n">
        <v>14.4</v>
      </c>
      <c r="P994" s="5" t="n">
        <v>4.5</v>
      </c>
      <c r="Q994" s="5" t="n">
        <v>36.9</v>
      </c>
      <c r="R994" s="5" t="n">
        <v>12.1</v>
      </c>
      <c r="S994" s="5" t="n">
        <v>24.7</v>
      </c>
      <c r="T994" s="2" t="n">
        <v>27</v>
      </c>
      <c r="U994" s="2" t="inlineStr">
        <is>
          <t>low</t>
        </is>
      </c>
      <c r="V994" s="5" t="n">
        <v>6.7</v>
      </c>
      <c r="W994" s="2" t="inlineStr">
        <is>
          <t>low</t>
        </is>
      </c>
      <c r="X994" s="3" t="inlineStr"/>
      <c r="Y994" s="3" t="inlineStr">
        <is>
          <t>65% of this dish's available carbohydrate comes from ingredients with a published, measured GI; the rest uses conventional placeholders (see Ingredients sheet)</t>
        </is>
      </c>
      <c r="Z994" s="2" t="n">
        <v>65</v>
      </c>
      <c r="AA994" s="3" t="inlineStr">
        <is>
          <t>vegan, gluten-free, dairy-free, nut-free, high-fiber, make-ahead</t>
        </is>
      </c>
      <c r="AB994" s="3" t="inlineStr">
        <is>
          <t>1. Sauté onion, carrot, garlic, cumin in oil.
2. Add lentils and broth; simmer 20 minutes.
3. Add kale 5 minutes; lemon, salt.</t>
        </is>
      </c>
      <c r="AC994" s="4" t="inlineStr">
        <is>
          <t>["Sauté onion, carrot, garlic, cumin in oil.", "Add lentils and broth; simmer 20 minutes.", "Add kale 5 minutes; lemon, salt."]</t>
        </is>
      </c>
    </row>
    <row r="995" ht="96" customHeight="1">
      <c r="A995" s="2" t="inlineStr">
        <is>
          <t>DB-0994</t>
        </is>
      </c>
      <c r="B995" s="3" t="inlineStr">
        <is>
          <t>Turkey Taco Soup</t>
        </is>
      </c>
      <c r="C995" s="4" t="inlineStr">
        <is>
          <t>Soup &amp; Stew</t>
        </is>
      </c>
      <c r="D995" s="4" t="inlineStr">
        <is>
          <t>Tex-Mex</t>
        </is>
      </c>
      <c r="E995" s="2" t="n">
        <v>5</v>
      </c>
      <c r="F995" s="2" t="n">
        <v>10</v>
      </c>
      <c r="G995" s="2" t="n">
        <v>30</v>
      </c>
      <c r="H995" s="2" t="n">
        <v>40</v>
      </c>
      <c r="I995" s="4" t="inlineStr">
        <is>
          <t>turkey-taco-soup.jpg</t>
        </is>
      </c>
      <c r="J995" s="3" t="inlineStr">
        <is>
          <t>Turkey Taco Soup, healthy food photography, plated, natural light</t>
        </is>
      </c>
      <c r="K995" s="4" t="inlineStr"/>
      <c r="L995" s="3" t="inlineStr">
        <is>
          <t>Ground turkey 93% lean — 500 g (17.6 oz)
Taco seasoning, low sodium — 12 g (0.4 oz)
Black beans, cooked — 300 g (10.6 oz)
Diced tomatoes, canned — 400 g (14.1 oz)
Chicken broth, low sodium — 1000 g (35.3 oz)
Yellow onion — 100 g (3.5 oz)
Bell pepper — 120 g (4.2 oz)
Sweet corn kernels — 80 g (2.8 oz)
Diced green chiles, canned — 100 g (3.5 oz)
Cheddar cheese — 60 g (2.1 oz)
Greek yogurt, plain 2% — 80 g (2.8 oz)
Fresh cilantro — 6 g (0.2 oz)
Extra-virgin olive oil — 10 g (0.4 oz)</t>
        </is>
      </c>
      <c r="M995" s="4" t="inlineStr">
        <is>
          <t>[{"ingredient_id": "ground_turkey", "name": "Ground turkey 93% lean", "grams": 500.0, "note": ""}, {"ingredient_id": "taco_seasoning", "name": "Taco seasoning, low sodium", "grams": 12.0, "note": ""}, {"ingredient_id": "black_beans", "name": "Black beans, cooked", "grams": 300.0, "note": ""}, {"ingredient_id": "diced_tomatoes", "name": "Diced tomatoes, canned", "grams": 400.0, "note": ""}, {"ingredient_id": "chicken_broth", "name": "Chicken broth, low sodium", "grams": 1000.0, "note": ""}, {"ingredient_id": "onion", "name": "Yellow onion", "grams": 100.0, "note": ""}, {"ingredient_id": "bell_pepper", "name": "Bell pepper", "grams": 120.0, "note": ""}, {"ingredient_id": "corn", "name": "Sweet corn kernels", "grams": 80.0, "note": ""}, {"ingredient_id": "green_chiles", "name": "Diced green chiles, canned", "grams": 100.0, "note": ""}, {"ingredient_id": "cheddar", "name": "Cheddar cheese", "grams": 60.0, "note": ""}, {"ingredient_id": "greek_yogurt", "name": "Greek yogurt, plain 2%", "grams": 80.0, "note": ""}, {"ingredient_id": "cilantro", "name": "Fresh cilantro", "grams": 6.0, "note": ""}, {"ingredient_id": "olive_oil", "name": "Extra-virgin olive oil", "grams": 10.0, "note": ""}]</t>
        </is>
      </c>
      <c r="N995" s="2" t="n">
        <v>381</v>
      </c>
      <c r="O995" s="5" t="n">
        <v>32.8</v>
      </c>
      <c r="P995" s="5" t="n">
        <v>15.7</v>
      </c>
      <c r="Q995" s="5" t="n">
        <v>28.6</v>
      </c>
      <c r="R995" s="5" t="n">
        <v>8.6</v>
      </c>
      <c r="S995" s="5" t="n">
        <v>20</v>
      </c>
      <c r="T995" s="2" t="n">
        <v>28</v>
      </c>
      <c r="U995" s="2" t="inlineStr">
        <is>
          <t>low</t>
        </is>
      </c>
      <c r="V995" s="5" t="n">
        <v>5.6</v>
      </c>
      <c r="W995" s="2" t="inlineStr">
        <is>
          <t>low</t>
        </is>
      </c>
      <c r="X995" s="3" t="inlineStr"/>
      <c r="Y995" s="3" t="inlineStr">
        <is>
          <t>61% of this dish's available carbohydrate comes from ingredients with a published, measured GI; the rest uses conventional placeholders (see Ingredients sheet)</t>
        </is>
      </c>
      <c r="Z995" s="2" t="n">
        <v>61</v>
      </c>
      <c r="AA995" s="3" t="inlineStr">
        <is>
          <t>gluten-free, nut-free, high-protein, high-fiber, make-ahead</t>
        </is>
      </c>
      <c r="AB995" s="3" t="inlineStr">
        <is>
          <t>1. Brown turkey with onion and pepper in oil; add seasoning.
2. Add beans, tomatoes, broth, corn, chiles; simmer 20 minutes.
3. Cheddar, yogurt, cilantro.</t>
        </is>
      </c>
      <c r="AC995" s="4" t="inlineStr">
        <is>
          <t>["Brown turkey with onion and pepper in oil; add seasoning.", "Add beans, tomatoes, broth, corn, chiles; simmer 20 minutes.", "Cheddar, yogurt, cilantro."]</t>
        </is>
      </c>
    </row>
    <row r="996" ht="96" customHeight="1">
      <c r="A996" s="2" t="inlineStr">
        <is>
          <t>DB-0995</t>
        </is>
      </c>
      <c r="B996" s="3" t="inlineStr">
        <is>
          <t>Cauliflower Curry Soup</t>
        </is>
      </c>
      <c r="C996" s="4" t="inlineStr">
        <is>
          <t>Soup &amp; Stew</t>
        </is>
      </c>
      <c r="D996" s="4" t="inlineStr">
        <is>
          <t>Indian</t>
        </is>
      </c>
      <c r="E996" s="2" t="n">
        <v>4</v>
      </c>
      <c r="F996" s="2" t="n">
        <v>10</v>
      </c>
      <c r="G996" s="2" t="n">
        <v>25</v>
      </c>
      <c r="H996" s="2" t="n">
        <v>35</v>
      </c>
      <c r="I996" s="4" t="inlineStr">
        <is>
          <t>cauliflower-curry-soup.jpg</t>
        </is>
      </c>
      <c r="J996" s="3" t="inlineStr">
        <is>
          <t>Cauliflower Curry Soup, healthy food photography, plated, natural light</t>
        </is>
      </c>
      <c r="K996" s="4" t="inlineStr"/>
      <c r="L996" s="3" t="inlineStr">
        <is>
          <t>Cauliflower — 800 g (28.2 oz)
Yellow onion — 100 g (3.5 oz)
Garlic — 8 g (0.3 oz)
Fresh ginger — 8 g (0.3 oz)
Curry powder — 8 g (0.3 oz)
Vegetable broth, low sodium — 800 g (28.2 oz)
Coconut milk, canned light — 250 g (8.8 oz)
Chickpeas, cooked — 200 g (7.1 oz)
Extra-virgin olive oil — 15 g (0.5 oz)
Fresh cilantro — 6 g (0.2 oz)
Lime juice — 10 g (0.4 oz)
Salt — 3 g (0.1 oz)</t>
        </is>
      </c>
      <c r="M996" s="4" t="inlineStr">
        <is>
          <t>[{"ingredient_id": "cauliflower", "name": "Cauliflower", "grams": 800.0, "note": ""}, {"ingredient_id": "onion", "name": "Yellow onion", "grams": 100.0, "note": ""}, {"ingredient_id": "garlic", "name": "Garlic", "grams": 8.0, "note": ""}, {"ingredient_id": "ginger", "name": "Fresh ginger", "grams": 8.0, "note": ""}, {"ingredient_id": "curry_powder", "name": "Curry powder", "grams": 8.0, "note": ""}, {"ingredient_id": "vegetable_broth", "name": "Vegetable broth, low sodium", "grams": 800.0, "note": ""}, {"ingredient_id": "coconut_milk_light", "name": "Coconut milk, canned light", "grams": 250.0, "note": ""}, {"ingredient_id": "chickpeas", "name": "Chickpeas, cooked", "grams": 200.0, "note": ""}, {"ingredient_id": "olive_oil", "name": "Extra-virgin olive oil", "grams": 15.0, "note": ""}, {"ingredient_id": "cilantro", "name": "Fresh cilantro", "grams": 6.0, "note": ""}, {"ingredient_id": "lime_juice", "name": "Lime juice", "grams": 10.0, "note": ""}, {"ingredient_id": "salt", "name": "Salt", "grams": 3.0, "note": ""}]</t>
        </is>
      </c>
      <c r="N996" s="2" t="n">
        <v>246</v>
      </c>
      <c r="O996" s="5" t="n">
        <v>10.4</v>
      </c>
      <c r="P996" s="5" t="n">
        <v>10.1</v>
      </c>
      <c r="Q996" s="5" t="n">
        <v>32.8</v>
      </c>
      <c r="R996" s="5" t="n">
        <v>9.4</v>
      </c>
      <c r="S996" s="5" t="n">
        <v>23.4</v>
      </c>
      <c r="T996" s="2" t="n">
        <v>24</v>
      </c>
      <c r="U996" s="2" t="inlineStr">
        <is>
          <t>low</t>
        </is>
      </c>
      <c r="V996" s="5" t="n">
        <v>5.6</v>
      </c>
      <c r="W996" s="2" t="inlineStr">
        <is>
          <t>low</t>
        </is>
      </c>
      <c r="X996" s="3" t="inlineStr"/>
      <c r="Y996" s="3" t="inlineStr">
        <is>
          <t>41% of this dish's available carbohydrate comes from ingredients with a published, measured GI; the rest uses conventional placeholders (see Ingredients sheet)</t>
        </is>
      </c>
      <c r="Z996" s="2" t="n">
        <v>41</v>
      </c>
      <c r="AA996" s="3" t="inlineStr">
        <is>
          <t>vegan, gluten-free, dairy-free, nut-free, high-fiber</t>
        </is>
      </c>
      <c r="AB996" s="3" t="inlineStr">
        <is>
          <t>1. Sauté onion, garlic, ginger, curry powder in oil.
2. Add cauliflower and broth; simmer 15 minutes; blend.
3. Stir in coconut milk and chickpeas; lime, cilantro.</t>
        </is>
      </c>
      <c r="AC996" s="4" t="inlineStr">
        <is>
          <t>["Sauté onion, garlic, ginger, curry powder in oil.", "Add cauliflower and broth; simmer 15 minutes; blend.", "Stir in coconut milk and chickpeas; lime, cilantro."]</t>
        </is>
      </c>
    </row>
    <row r="997" ht="96" customHeight="1">
      <c r="A997" s="2" t="inlineStr">
        <is>
          <t>DB-0996</t>
        </is>
      </c>
      <c r="B997" s="3" t="inlineStr">
        <is>
          <t>Chicken, Kale &amp; White Bean Soup</t>
        </is>
      </c>
      <c r="C997" s="4" t="inlineStr">
        <is>
          <t>Soup &amp; Stew</t>
        </is>
      </c>
      <c r="D997" s="4" t="inlineStr">
        <is>
          <t>Italian</t>
        </is>
      </c>
      <c r="E997" s="2" t="n">
        <v>4</v>
      </c>
      <c r="F997" s="2" t="n">
        <v>10</v>
      </c>
      <c r="G997" s="2" t="n">
        <v>25</v>
      </c>
      <c r="H997" s="2" t="n">
        <v>35</v>
      </c>
      <c r="I997" s="4" t="inlineStr">
        <is>
          <t>chicken-kale-and-white-bean-soup.jpg</t>
        </is>
      </c>
      <c r="J997" s="3" t="inlineStr">
        <is>
          <t>Chicken, Kale &amp; White Bean Soup, healthy food photography, plated, natural light</t>
        </is>
      </c>
      <c r="K997" s="4" t="inlineStr"/>
      <c r="L997" s="3" t="inlineStr">
        <is>
          <t>Chicken thigh, skinless boneless — 400 g (14.1 oz)
Cannellini beans, cooked — 300 g (10.6 oz)
Kale — 200 g (7.1 oz)
Chicken broth, low sodium — 1200 g (42.3 oz)
Yellow onion — 80 g (2.8 oz)
Garlic — 8 g (0.3 oz)
Extra-virgin olive oil — 12 g (0.4 oz)
Parmesan, grated — 30 g (1.1 oz)
Red pepper flakes — 1 g (0.0 oz)
Lemon (with juice &amp; zest) — 20 g (0.7 oz)</t>
        </is>
      </c>
      <c r="M997" s="4" t="inlineStr">
        <is>
          <t>[{"ingredient_id": "chicken_thigh", "name": "Chicken thigh, skinless boneless", "grams": 400.0, "note": ""}, {"ingredient_id": "white_beans", "name": "Cannellini beans, cooked", "grams": 300.0, "note": ""}, {"ingredient_id": "kale", "name": "Kale", "grams": 200.0, "note": ""}, {"ingredient_id": "chicken_broth", "name": "Chicken broth, low sodium", "grams": 1200.0, "note": ""}, {"ingredient_id": "onion", "name": "Yellow onion", "grams": 80.0, "note": ""}, {"ingredient_id": "garlic", "name": "Garlic", "grams": 8.0, "note": ""}, {"ingredient_id": "olive_oil", "name": "Extra-virgin olive oil", "grams": 12.0, "note": ""}, {"ingredient_id": "parmesan", "name": "Parmesan, grated", "grams": 30.0, "note": ""}, {"ingredient_id": "red_pepper_flakes", "name": "Red pepper flakes", "grams": 1.0, "note": ""}, {"ingredient_id": "lemon", "name": "Lemon (with juice &amp; zest)", "grams": 20.0, "note": ""}]</t>
        </is>
      </c>
      <c r="N997" s="2" t="n">
        <v>343</v>
      </c>
      <c r="O997" s="5" t="n">
        <v>35.4</v>
      </c>
      <c r="P997" s="5" t="n">
        <v>10.7</v>
      </c>
      <c r="Q997" s="5" t="n">
        <v>28.1</v>
      </c>
      <c r="R997" s="5" t="n">
        <v>7.1</v>
      </c>
      <c r="S997" s="5" t="n">
        <v>21</v>
      </c>
      <c r="T997" s="2" t="n">
        <v>25</v>
      </c>
      <c r="U997" s="2" t="inlineStr">
        <is>
          <t>low</t>
        </is>
      </c>
      <c r="V997" s="5" t="n">
        <v>5.2</v>
      </c>
      <c r="W997" s="2" t="inlineStr">
        <is>
          <t>low</t>
        </is>
      </c>
      <c r="X997" s="3" t="inlineStr"/>
      <c r="Y997" s="3" t="inlineStr">
        <is>
          <t>67% of this dish's available carbohydrate comes from ingredients with a published, measured GI; the rest uses conventional placeholders (see Ingredients sheet)</t>
        </is>
      </c>
      <c r="Z997" s="2" t="n">
        <v>67</v>
      </c>
      <c r="AA997" s="3" t="inlineStr">
        <is>
          <t>gluten-free, nut-free, high-protein, high-fiber</t>
        </is>
      </c>
      <c r="AB997" s="3" t="inlineStr">
        <is>
          <t>1. Sauté onion and garlic in oil; add broth and chicken; simmer 15 minutes; shred.
2. Add beans and kale 5 minutes.
3. Parmesan, pepper flakes, lemon.</t>
        </is>
      </c>
      <c r="AC997" s="4" t="inlineStr">
        <is>
          <t>["Sauté onion and garlic in oil; add broth and chicken; simmer 15 minutes; shred.", "Add beans and kale 5 minutes.", "Parmesan, pepper flakes, lemon."]</t>
        </is>
      </c>
    </row>
    <row r="998" ht="96" customHeight="1">
      <c r="A998" s="2" t="inlineStr">
        <is>
          <t>DB-0997</t>
        </is>
      </c>
      <c r="B998" s="3" t="inlineStr">
        <is>
          <t>Salmon Miso Soup Bowl</t>
        </is>
      </c>
      <c r="C998" s="4" t="inlineStr">
        <is>
          <t>Soup &amp; Stew</t>
        </is>
      </c>
      <c r="D998" s="4" t="inlineStr">
        <is>
          <t>Japanese</t>
        </is>
      </c>
      <c r="E998" s="2" t="n">
        <v>2</v>
      </c>
      <c r="F998" s="2" t="n">
        <v>5</v>
      </c>
      <c r="G998" s="2" t="n">
        <v>12</v>
      </c>
      <c r="H998" s="2" t="n">
        <v>17</v>
      </c>
      <c r="I998" s="4" t="inlineStr">
        <is>
          <t>salmon-miso-soup-bowl.jpg</t>
        </is>
      </c>
      <c r="J998" s="3" t="inlineStr">
        <is>
          <t>Salmon Miso Soup Bowl, healthy food photography, plated, natural light</t>
        </is>
      </c>
      <c r="K998" s="4" t="inlineStr"/>
      <c r="L998" s="3" t="inlineStr">
        <is>
          <t>Salmon fillet — 250 g (8.8 oz)
Vegetable broth, low sodium — 700 g (24.7 oz)
White miso paste — 25 g (0.9 oz)
Shiitake mushrooms — 80 g (2.8 oz)
Bok choy — 150 g (5.3 oz)
Fresh ginger — 6 g (0.2 oz)
Green onions (scallions) — 10 g (0.4 oz)
Shirataki noodles — 200 g (7.1 oz)</t>
        </is>
      </c>
      <c r="M998" s="4" t="inlineStr">
        <is>
          <t>[{"ingredient_id": "salmon", "name": "Salmon fillet", "grams": 250.0, "note": ""}, {"ingredient_id": "vegetable_broth", "name": "Vegetable broth, low sodium", "grams": 700.0, "note": ""}, {"ingredient_id": "miso", "name": "White miso paste", "grams": 25.0, "note": ""}, {"ingredient_id": "shiitake", "name": "Shiitake mushrooms", "grams": 80.0, "note": ""}, {"ingredient_id": "bok_choy", "name": "Bok choy", "grams": 150.0, "note": ""}, {"ingredient_id": "ginger", "name": "Fresh ginger", "grams": 6.0, "note": ""}, {"ingredient_id": "green_onion", "name": "Green onions (scallions)", "grams": 10.0, "note": ""}, {"ingredient_id": "shirataki", "name": "Shirataki noodles", "grams": 200.0, "note": ""}]</t>
        </is>
      </c>
      <c r="N998" s="2" t="n">
        <v>350</v>
      </c>
      <c r="O998" s="5" t="n">
        <v>30.4</v>
      </c>
      <c r="P998" s="5" t="n">
        <v>18.1</v>
      </c>
      <c r="Q998" s="5" t="n">
        <v>16.8</v>
      </c>
      <c r="R998" s="5" t="n">
        <v>5.6</v>
      </c>
      <c r="S998" s="5" t="n">
        <v>11.2</v>
      </c>
      <c r="T998" s="2" t="n">
        <v>11</v>
      </c>
      <c r="U998" s="2" t="inlineStr">
        <is>
          <t>low</t>
        </is>
      </c>
      <c r="V998" s="5" t="n">
        <v>1.2</v>
      </c>
      <c r="W998" s="2" t="inlineStr">
        <is>
          <t>low</t>
        </is>
      </c>
      <c r="X998" s="3" t="inlineStr"/>
      <c r="Y998" s="3" t="inlineStr">
        <is>
          <t>0% of this dish's available carbohydrate comes from ingredients with a published, measured GI; the rest uses conventional placeholders (see Ingredients sheet)</t>
        </is>
      </c>
      <c r="Z998" s="2" t="n">
        <v>0</v>
      </c>
      <c r="AA998" s="3" t="inlineStr">
        <is>
          <t>pescatarian, dairy-free, nut-free, low-carb, high-protein, omega-3</t>
        </is>
      </c>
      <c r="AB998" s="3" t="inlineStr">
        <is>
          <t>1. Simmer broth with ginger and shiitake 5 minutes; add bok choy and rinsed shirataki.
2. Add salmon chunks 4 minutes.
3. Miso off heat; green onion.</t>
        </is>
      </c>
      <c r="AC998" s="4" t="inlineStr">
        <is>
          <t>["Simmer broth with ginger and shiitake 5 minutes; add bok choy and rinsed shirataki.", "Add salmon chunks 4 minutes.", "Miso off heat; green onion."]</t>
        </is>
      </c>
    </row>
    <row r="999" ht="96" customHeight="1">
      <c r="A999" s="2" t="inlineStr">
        <is>
          <t>DB-0998</t>
        </is>
      </c>
      <c r="B999" s="3" t="inlineStr">
        <is>
          <t>Mexican Chicken Lime Soup</t>
        </is>
      </c>
      <c r="C999" s="4" t="inlineStr">
        <is>
          <t>Soup &amp; Stew</t>
        </is>
      </c>
      <c r="D999" s="4" t="inlineStr">
        <is>
          <t>Mexican</t>
        </is>
      </c>
      <c r="E999" s="2" t="n">
        <v>4</v>
      </c>
      <c r="F999" s="2" t="n">
        <v>10</v>
      </c>
      <c r="G999" s="2" t="n">
        <v>25</v>
      </c>
      <c r="H999" s="2" t="n">
        <v>35</v>
      </c>
      <c r="I999" s="4" t="inlineStr">
        <is>
          <t>mexican-chicken-lime-soup.jpg</t>
        </is>
      </c>
      <c r="J999" s="3" t="inlineStr">
        <is>
          <t>Mexican Chicken Lime Soup, healthy food photography, plated, natural light</t>
        </is>
      </c>
      <c r="K999" s="4" t="inlineStr"/>
      <c r="L999" s="3" t="inlineStr">
        <is>
          <t>Chicken breast, skinless — 450 g (15.9 oz)
Chicken broth, low sodium — 1200 g (42.3 oz)
Yellow onion — 100 g (3.5 oz)
Garlic — 8 g (0.3 oz)
Jalapeño — 10 g (0.4 oz)
Tomato — 150 g (5.3 oz)
Lime — 60 g (2.1 oz)
Fresh cilantro — 12 g (0.4 oz)
Avocado — 100 g (3.5 oz)
Ground cumin — 2 g (0.1 oz)
Extra-virgin olive oil — 10 g (0.4 oz)
Salt — 3 g (0.1 oz)</t>
        </is>
      </c>
      <c r="M999" s="4" t="inlineStr">
        <is>
          <t>[{"ingredient_id": "chicken_breast", "name": "Chicken breast, skinless", "grams": 450.0, "note": ""}, {"ingredient_id": "chicken_broth", "name": "Chicken broth, low sodium", "grams": 1200.0, "note": ""}, {"ingredient_id": "onion", "name": "Yellow onion", "grams": 100.0, "note": ""}, {"ingredient_id": "garlic", "name": "Garlic", "grams": 8.0, "note": ""}, {"ingredient_id": "jalapeno", "name": "Jalapeño", "grams": 10.0, "note": ""}, {"ingredient_id": "tomato", "name": "Tomato", "grams": 150.0, "note": ""}, {"ingredient_id": "lime", "name": "Lime", "grams": 60.0, "note": ""}, {"ingredient_id": "cilantro", "name": "Fresh cilantro", "grams": 12.0, "note": ""}, {"ingredient_id": "avocado", "name": "Avocado", "grams": 100.0, "note": ""}, {"ingredient_id": "cumin", "name": "Ground cumin", "grams": 2.0, "note": ""}, {"ingredient_id": "olive_oil", "name": "Extra-virgin olive oil", "grams": 10.0, "note": ""}, {"ingredient_id": "salt", "name": "Salt", "grams": 3.0, "note": ""}]</t>
        </is>
      </c>
      <c r="N999" s="2" t="n">
        <v>246</v>
      </c>
      <c r="O999" s="5" t="n">
        <v>29.8</v>
      </c>
      <c r="P999" s="5" t="n">
        <v>10.1</v>
      </c>
      <c r="Q999" s="5" t="n">
        <v>10.1</v>
      </c>
      <c r="R999" s="5" t="n">
        <v>3.2</v>
      </c>
      <c r="S999" s="5" t="n">
        <v>6.9</v>
      </c>
      <c r="T999" s="2" t="n">
        <v>14</v>
      </c>
      <c r="U999" s="2" t="inlineStr">
        <is>
          <t>low</t>
        </is>
      </c>
      <c r="V999" s="5" t="n">
        <v>1</v>
      </c>
      <c r="W999" s="2" t="inlineStr">
        <is>
          <t>low</t>
        </is>
      </c>
      <c r="X999" s="3" t="inlineStr"/>
      <c r="Y999" s="3" t="inlineStr">
        <is>
          <t>0% of this dish's available carbohydrate comes from ingredients with a published, measured GI; the rest uses conventional placeholders (see Ingredients sheet)</t>
        </is>
      </c>
      <c r="Z999" s="2" t="n">
        <v>0</v>
      </c>
      <c r="AA999" s="3" t="inlineStr">
        <is>
          <t>gluten-free, dairy-free, nut-free, low-carb, high-protein</t>
        </is>
      </c>
      <c r="AB999" s="3" t="inlineStr">
        <is>
          <t>1. Sauté onion, garlic, jalapeño, cumin in oil.
2. Add broth, tomato, chicken; simmer 18 minutes; shred.
3. Lime juice, cilantro, avocado.</t>
        </is>
      </c>
      <c r="AC999" s="4" t="inlineStr">
        <is>
          <t>["Sauté onion, garlic, jalapeño, cumin in oil.", "Add broth, tomato, chicken; simmer 18 minutes; shred.", "Lime juice, cilantro, avocado."]</t>
        </is>
      </c>
    </row>
    <row r="1000" ht="96" customHeight="1">
      <c r="A1000" s="2" t="inlineStr">
        <is>
          <t>DB-0999</t>
        </is>
      </c>
      <c r="B1000" s="3" t="inlineStr">
        <is>
          <t>White Bean Rosemary Soup</t>
        </is>
      </c>
      <c r="C1000" s="4" t="inlineStr">
        <is>
          <t>Soup &amp; Stew</t>
        </is>
      </c>
      <c r="D1000" s="4" t="inlineStr">
        <is>
          <t>Italian</t>
        </is>
      </c>
      <c r="E1000" s="2" t="n">
        <v>4</v>
      </c>
      <c r="F1000" s="2" t="n">
        <v>5</v>
      </c>
      <c r="G1000" s="2" t="n">
        <v>25</v>
      </c>
      <c r="H1000" s="2" t="n">
        <v>30</v>
      </c>
      <c r="I1000" s="4" t="inlineStr">
        <is>
          <t>white-bean-rosemary-soup.jpg</t>
        </is>
      </c>
      <c r="J1000" s="3" t="inlineStr">
        <is>
          <t>White Bean Rosemary Soup, healthy food photography, plated, natural light</t>
        </is>
      </c>
      <c r="K1000" s="4" t="inlineStr"/>
      <c r="L1000" s="3" t="inlineStr">
        <is>
          <t>Cannellini beans, cooked — 600 g (21.2 oz)
Vegetable broth, low sodium — 900 g (31.7 oz)
Yellow onion — 100 g (3.5 oz)
Garlic — 8 g (0.3 oz)
Fresh rosemary — 3 g (0.1 oz)
Extra-virgin olive oil — 18 g (0.6 oz)
Lemon (with juice &amp; zest) — 20 g (0.7 oz)
Parmesan, grated — 25 g (0.9 oz)
Salt — 3 g (0.1 oz)</t>
        </is>
      </c>
      <c r="M1000" s="4" t="inlineStr">
        <is>
          <t>[{"ingredient_id": "white_beans", "name": "Cannellini beans, cooked", "grams": 600.0, "note": ""}, {"ingredient_id": "vegetable_broth", "name": "Vegetable broth, low sodium", "grams": 900.0, "note": ""}, {"ingredient_id": "onion", "name": "Yellow onion", "grams": 100.0, "note": ""}, {"ingredient_id": "garlic", "name": "Garlic", "grams": 8.0, "note": ""}, {"ingredient_id": "rosemary", "name": "Fresh rosemary", "grams": 3.0, "note": ""}, {"ingredient_id": "olive_oil", "name": "Extra-virgin olive oil", "grams": 18.0, "note": ""}, {"ingredient_id": "lemon", "name": "Lemon (with juice &amp; zest)", "grams": 20.0, "note": ""}, {"ingredient_id": "parmesan", "name": "Parmesan, grated", "grams": 25.0, "note": ""}, {"ingredient_id": "salt", "name": "Salt", "grams": 3.0, "note": ""}]</t>
        </is>
      </c>
      <c r="N1000" s="2" t="n">
        <v>309</v>
      </c>
      <c r="O1000" s="5" t="n">
        <v>18.5</v>
      </c>
      <c r="P1000" s="5" t="n">
        <v>7.5</v>
      </c>
      <c r="Q1000" s="5" t="n">
        <v>44.7</v>
      </c>
      <c r="R1000" s="5" t="n">
        <v>10.2</v>
      </c>
      <c r="S1000" s="5" t="n">
        <v>34.6</v>
      </c>
      <c r="T1000" s="2" t="n">
        <v>27</v>
      </c>
      <c r="U1000" s="2" t="inlineStr">
        <is>
          <t>low</t>
        </is>
      </c>
      <c r="V1000" s="5" t="n">
        <v>9.300000000000001</v>
      </c>
      <c r="W1000" s="2" t="inlineStr">
        <is>
          <t>low</t>
        </is>
      </c>
      <c r="X1000" s="3" t="inlineStr"/>
      <c r="Y1000" s="3" t="inlineStr">
        <is>
          <t>81% of this dish's available carbohydrate comes from ingredients with a published, measured GI; the rest uses conventional placeholders (see Ingredients sheet)</t>
        </is>
      </c>
      <c r="Z1000" s="2" t="n">
        <v>81</v>
      </c>
      <c r="AA1000" s="3" t="inlineStr">
        <is>
          <t>vegetarian, gluten-free, nut-free, high-fiber, make-ahead</t>
        </is>
      </c>
      <c r="AB1000" s="3" t="inlineStr">
        <is>
          <t>1. Sauté onion, garlic, rosemary in oil.
2. Add beans and broth; simmer 15 minutes; blend half.
3. Lemon, parmesan, salt.</t>
        </is>
      </c>
      <c r="AC1000" s="4" t="inlineStr">
        <is>
          <t>["Sauté onion, garlic, rosemary in oil.", "Add beans and broth; simmer 15 minutes; blend half.", "Lemon, parmesan, salt."]</t>
        </is>
      </c>
    </row>
    <row r="1001" ht="96" customHeight="1">
      <c r="A1001" s="2" t="inlineStr">
        <is>
          <t>DB-1000</t>
        </is>
      </c>
      <c r="B1001" s="3" t="inlineStr">
        <is>
          <t>Roasted Garlic Chicken Thighs with Broccolini</t>
        </is>
      </c>
      <c r="C1001" s="4" t="inlineStr">
        <is>
          <t>Poultry</t>
        </is>
      </c>
      <c r="D1001" s="4" t="inlineStr">
        <is>
          <t>American</t>
        </is>
      </c>
      <c r="E1001" s="2" t="n">
        <v>4</v>
      </c>
      <c r="F1001" s="2" t="n">
        <v>10</v>
      </c>
      <c r="G1001" s="2" t="n">
        <v>30</v>
      </c>
      <c r="H1001" s="2" t="n">
        <v>40</v>
      </c>
      <c r="I1001" s="4" t="inlineStr">
        <is>
          <t>roasted-garlic-chicken-thighs-with-broccolini.jpg</t>
        </is>
      </c>
      <c r="J1001" s="3" t="inlineStr">
        <is>
          <t>Roasted Garlic Chicken Thighs with Broccolini, healthy food photography, plated, natural light</t>
        </is>
      </c>
      <c r="K1001" s="4" t="inlineStr"/>
      <c r="L1001" s="3" t="inlineStr">
        <is>
          <t>Chicken thigh, skinless boneless — 700 g (24.7 oz)
Broccolini — 400 g (14.1 oz)
Garlic — 12 g (0.4 oz)
Lemon (with juice &amp; zest) — 50 g (1.8 oz)
Extra-virgin olive oil — 18 g (0.6 oz)
Fresh rosemary — 2 g (0.1 oz)
Red pepper flakes — 1 g (0.0 oz)
Salt — 3 g (0.1 oz)</t>
        </is>
      </c>
      <c r="M1001" s="4" t="inlineStr">
        <is>
          <t>[{"ingredient_id": "chicken_thigh", "name": "Chicken thigh, skinless boneless", "grams": 700.0, "note": ""}, {"ingredient_id": "broccolini", "name": "Broccolini", "grams": 400.0, "note": ""}, {"ingredient_id": "garlic", "name": "Garlic", "grams": 12.0, "note": ""}, {"ingredient_id": "lemon", "name": "Lemon (with juice &amp; zest)", "grams": 50.0, "note": ""}, {"ingredient_id": "olive_oil", "name": "Extra-virgin olive oil", "grams": 18.0, "note": ""}, {"ingredient_id": "rosemary", "name": "Fresh rosemary", "grams": 2.0, "note": ""}, {"ingredient_id": "red_pepper_flakes", "name": "Red pepper flakes", "grams": 1.0, "note": ""}, {"ingredient_id": "salt", "name": "Salt", "grams": 3.0, "note": ""}]</t>
        </is>
      </c>
      <c r="N1001" s="2" t="n">
        <v>296</v>
      </c>
      <c r="O1001" s="5" t="n">
        <v>37.9</v>
      </c>
      <c r="P1001" s="5" t="n">
        <v>12.3</v>
      </c>
      <c r="Q1001" s="5" t="n">
        <v>8.9</v>
      </c>
      <c r="R1001" s="5" t="n">
        <v>3.1</v>
      </c>
      <c r="S1001" s="5" t="n">
        <v>5.8</v>
      </c>
      <c r="T1001" s="2" t="n">
        <v>18</v>
      </c>
      <c r="U1001" s="2" t="inlineStr">
        <is>
          <t>low</t>
        </is>
      </c>
      <c r="V1001" s="5" t="n">
        <v>1.1</v>
      </c>
      <c r="W1001" s="2" t="inlineStr">
        <is>
          <t>low</t>
        </is>
      </c>
      <c r="X1001" s="3" t="inlineStr"/>
      <c r="Y1001" s="3" t="inlineStr">
        <is>
          <t>0% of this dish's available carbohydrate comes from ingredients with a published, measured GI; the rest uses conventional placeholders (see Ingredients sheet)</t>
        </is>
      </c>
      <c r="Z1001" s="2" t="n">
        <v>0</v>
      </c>
      <c r="AA1001" s="3" t="inlineStr">
        <is>
          <t>gluten-free, dairy-free, nut-free, low-carb, high-protein, one-pan</t>
        </is>
      </c>
      <c r="AB1001" s="3" t="inlineStr">
        <is>
          <t>1. Rub chicken with oil, garlic, rosemary, salt; roast at 425°F 20 minutes.
2. Add broccolini tossed in oil and pepper flakes; roast 10 minutes more.
3. Squeeze lemon over everything.</t>
        </is>
      </c>
      <c r="AC1001" s="4" t="inlineStr">
        <is>
          <t>["Rub chicken with oil, garlic, rosemary, salt; roast at 425°F 20 minutes.", "Add broccolini tossed in oil and pepper flakes; roast 10 minutes more.", "Squeeze lemon over everything."]</t>
        </is>
      </c>
    </row>
    <row r="1002" ht="96" customHeight="1">
      <c r="A1002" s="2" t="inlineStr">
        <is>
          <t>DB-1001</t>
        </is>
      </c>
      <c r="B1002" s="3" t="inlineStr">
        <is>
          <t>Diner Veggie Omelet with Cheddar</t>
        </is>
      </c>
      <c r="C1002" s="4" t="inlineStr">
        <is>
          <t>Breakfast</t>
        </is>
      </c>
      <c r="D1002" s="4" t="inlineStr">
        <is>
          <t>American</t>
        </is>
      </c>
      <c r="E1002" s="2" t="n">
        <v>2</v>
      </c>
      <c r="F1002" s="2" t="n">
        <v>10</v>
      </c>
      <c r="G1002" s="2" t="n">
        <v>8</v>
      </c>
      <c r="H1002" s="2" t="n">
        <v>18</v>
      </c>
      <c r="I1002" s="4" t="inlineStr">
        <is>
          <t>diner-veggie-omelet-with-cheddar.jpg</t>
        </is>
      </c>
      <c r="J1002" s="3" t="inlineStr">
        <is>
          <t>Diner Veggie Omelet with Cheddar, healthy food photography, plated, natural light</t>
        </is>
      </c>
      <c r="K1002" s="4" t="inlineStr"/>
      <c r="L1002" s="3" t="inlineStr">
        <is>
          <t>Egg, large (50 g each) — 300 g (10.6 oz)
Bell pepper — 100 g (3.5 oz)
Mushrooms (cremini/white) — 100 g (3.5 oz)
Yellow onion — 40 g (1.4 oz)
Cheddar cheese — 40 g (1.4 oz)
Extra-virgin olive oil — 10 g (0.4 oz)
Salt — 2 g (0.1 oz)
Black pepper — 1 g (0.0 oz)</t>
        </is>
      </c>
      <c r="M1002" s="4" t="inlineStr">
        <is>
          <t>[{"ingredient_id": "egg", "name": "Egg, large (50 g each)", "grams": 300.0, "note": ""}, {"ingredient_id": "bell_pepper", "name": "Bell pepper", "grams": 100.0, "note": ""}, {"ingredient_id": "mushrooms", "name": "Mushrooms (cremini/white)", "grams": 100.0, "note": ""}, {"ingredient_id": "onion", "name": "Yellow onion", "grams": 40.0, "note": ""}, {"ingredient_id": "cheddar", "name": "Cheddar cheese", "grams": 40.0, "note": ""}, {"ingredient_id": "olive_oil", "name": "Extra-virgin olive oil", "grams": 10.0, "note": ""}, {"ingredient_id": "salt", "name": "Salt", "grams": 2.0, "note": ""}, {"ingredient_id": "black_pepper", "name": "Black pepper", "grams": 1.0, "note": ""}]</t>
        </is>
      </c>
      <c r="N1002" s="2" t="n">
        <v>375</v>
      </c>
      <c r="O1002" s="5" t="n">
        <v>25.8</v>
      </c>
      <c r="P1002" s="5" t="n">
        <v>26.2</v>
      </c>
      <c r="Q1002" s="5" t="n">
        <v>8.1</v>
      </c>
      <c r="R1002" s="5" t="n">
        <v>2</v>
      </c>
      <c r="S1002" s="5" t="n">
        <v>6.1</v>
      </c>
      <c r="T1002" s="2" t="n">
        <v>12</v>
      </c>
      <c r="U1002" s="2" t="inlineStr">
        <is>
          <t>low</t>
        </is>
      </c>
      <c r="V1002" s="5" t="n">
        <v>0.7</v>
      </c>
      <c r="W1002" s="2" t="inlineStr">
        <is>
          <t>low</t>
        </is>
      </c>
      <c r="X1002" s="3" t="inlineStr"/>
      <c r="Y1002" s="3" t="inlineStr">
        <is>
          <t>0% of this dish's available carbohydrate comes from ingredients with a published, measured GI; the rest uses conventional placeholders (see Ingredients sheet)</t>
        </is>
      </c>
      <c r="Z1002" s="2" t="n">
        <v>0</v>
      </c>
      <c r="AA1002" s="3" t="inlineStr">
        <is>
          <t>vegetarian, gluten-free, nut-free, low-carb, high-protein</t>
        </is>
      </c>
      <c r="AB1002" s="3" t="inlineStr">
        <is>
          <t>1. Sauté the pepper, mushrooms and onion in half the oil until soft; set aside.
2. Beat the eggs with salt and pepper and cook in the rest of the oil over medium heat.
3. When nearly set, add the vegetables and cheddar to one half and fold.
4. Slide onto a plate and serve hot.</t>
        </is>
      </c>
      <c r="AC1002" s="4" t="inlineStr">
        <is>
          <t>["Sauté the pepper, mushrooms and onion in half the oil until soft; set aside.", "Beat the eggs with salt and pepper and cook in the rest of the oil over medium heat.", "When nearly set, add the vegetables and cheddar to one half and fold.", "Slide onto a plate and serve hot."]</t>
        </is>
      </c>
    </row>
    <row r="1003" ht="96" customHeight="1">
      <c r="A1003" s="2" t="inlineStr">
        <is>
          <t>DB-1002</t>
        </is>
      </c>
      <c r="B1003" s="3" t="inlineStr">
        <is>
          <t>Denver Scramble</t>
        </is>
      </c>
      <c r="C1003" s="4" t="inlineStr">
        <is>
          <t>Breakfast</t>
        </is>
      </c>
      <c r="D1003" s="4" t="inlineStr">
        <is>
          <t>American</t>
        </is>
      </c>
      <c r="E1003" s="2" t="n">
        <v>2</v>
      </c>
      <c r="F1003" s="2" t="n">
        <v>10</v>
      </c>
      <c r="G1003" s="2" t="n">
        <v>10</v>
      </c>
      <c r="H1003" s="2" t="n">
        <v>20</v>
      </c>
      <c r="I1003" s="4" t="inlineStr">
        <is>
          <t>denver-scramble.jpg</t>
        </is>
      </c>
      <c r="J1003" s="3" t="inlineStr">
        <is>
          <t>Denver Scramble, healthy food photography, plated, natural light</t>
        </is>
      </c>
      <c r="K1003" s="4" t="inlineStr"/>
      <c r="L1003" s="3" t="inlineStr">
        <is>
          <t>Egg, large (50 g each) — 300 g (10.6 oz)
Ham, lean — 80 g (2.8 oz)
Bell pepper — 100 g (3.5 oz)
Yellow onion — 50 g (1.8 oz)
Extra-virgin olive oil — 10 g (0.4 oz)
Black pepper — 1 g (0.0 oz)
Fresh chives — 3 g (0.1 oz)</t>
        </is>
      </c>
      <c r="M1003" s="4" t="inlineStr">
        <is>
          <t>[{"ingredient_id": "egg", "name": "Egg, large (50 g each)", "grams": 300.0, "note": ""}, {"ingredient_id": "ham", "name": "Ham, lean", "grams": 80.0, "note": ""}, {"ingredient_id": "bell_pepper", "name": "Bell pepper", "grams": 100.0, "note": ""}, {"ingredient_id": "onion", "name": "Yellow onion", "grams": 50.0, "note": ""}, {"ingredient_id": "olive_oil", "name": "Extra-virgin olive oil", "grams": 10.0, "note": ""}, {"ingredient_id": "black_pepper", "name": "Black pepper", "grams": 1.0, "note": ""}, {"ingredient_id": "chives", "name": "Fresh chives", "grams": 3.0, "note": ""}]</t>
        </is>
      </c>
      <c r="N1003" s="2" t="n">
        <v>344</v>
      </c>
      <c r="O1003" s="5" t="n">
        <v>28.2</v>
      </c>
      <c r="P1003" s="5" t="n">
        <v>21.9</v>
      </c>
      <c r="Q1003" s="5" t="n">
        <v>7.4</v>
      </c>
      <c r="R1003" s="5" t="n">
        <v>1.6</v>
      </c>
      <c r="S1003" s="5" t="n">
        <v>5.7</v>
      </c>
      <c r="T1003" s="2" t="n">
        <v>11</v>
      </c>
      <c r="U1003" s="2" t="inlineStr">
        <is>
          <t>low</t>
        </is>
      </c>
      <c r="V1003" s="5" t="n">
        <v>0.6</v>
      </c>
      <c r="W1003" s="2" t="inlineStr">
        <is>
          <t>low</t>
        </is>
      </c>
      <c r="X1003" s="3" t="inlineStr"/>
      <c r="Y1003" s="3" t="inlineStr">
        <is>
          <t>0% of this dish's available carbohydrate comes from ingredients with a published, measured GI; the rest uses conventional placeholders (see Ingredients sheet)</t>
        </is>
      </c>
      <c r="Z1003" s="2" t="n">
        <v>0</v>
      </c>
      <c r="AA1003" s="3" t="inlineStr">
        <is>
          <t>gluten-free, dairy-free, nut-free, low-carb, high-protein</t>
        </is>
      </c>
      <c r="AB1003" s="3" t="inlineStr">
        <is>
          <t>1. Dice the ham, pepper and onion.
2. Sauté them in oil for 4 minutes.
3. Pour in the beaten eggs and stir gently until just set.
4. Finish with pepper and chives.</t>
        </is>
      </c>
      <c r="AC1003" s="4" t="inlineStr">
        <is>
          <t>["Dice the ham, pepper and onion.", "Sauté them in oil for 4 minutes.", "Pour in the beaten eggs and stir gently until just set.", "Finish with pepper and chives."]</t>
        </is>
      </c>
    </row>
    <row r="1004" ht="96" customHeight="1">
      <c r="A1004" s="2" t="inlineStr">
        <is>
          <t>DB-1003</t>
        </is>
      </c>
      <c r="B1004" s="3" t="inlineStr">
        <is>
          <t>Egg and Turkey Sausage Breakfast Sandwich</t>
        </is>
      </c>
      <c r="C1004" s="4" t="inlineStr">
        <is>
          <t>Breakfast</t>
        </is>
      </c>
      <c r="D1004" s="4" t="inlineStr">
        <is>
          <t>American</t>
        </is>
      </c>
      <c r="E1004" s="2" t="n">
        <v>2</v>
      </c>
      <c r="F1004" s="2" t="n">
        <v>5</v>
      </c>
      <c r="G1004" s="2" t="n">
        <v>10</v>
      </c>
      <c r="H1004" s="2" t="n">
        <v>15</v>
      </c>
      <c r="I1004" s="4" t="inlineStr">
        <is>
          <t>egg-and-turkey-sausage-breakfast-sandwich.jpg</t>
        </is>
      </c>
      <c r="J1004" s="3" t="inlineStr">
        <is>
          <t>Egg and Turkey Sausage Breakfast Sandwich, healthy food photography, plated, natural light</t>
        </is>
      </c>
      <c r="K1004" s="4" t="inlineStr"/>
      <c r="L1004" s="3" t="inlineStr">
        <is>
          <t>Whole wheat English muffin — 114 g (4.0 oz)
Egg, large (50 g each) — 100 g (3.5 oz)
Turkey sausage — 100 g (3.5 oz)
Cheddar cheese — 30 g (1.1 oz)
Spinach — 30 g (1.1 oz)
Extra-virgin olive oil — 5 g (0.2 oz)</t>
        </is>
      </c>
      <c r="M1004" s="4" t="inlineStr">
        <is>
          <t>[{"ingredient_id": "whole_wheat_english_muffin", "name": "Whole wheat English muffin", "grams": 114.0, "note": ""}, {"ingredient_id": "egg", "name": "Egg, large (50 g each)", "grams": 100.0, "note": ""}, {"ingredient_id": "turkey_sausage", "name": "Turkey sausage", "grams": 100.0, "note": ""}, {"ingredient_id": "cheddar", "name": "Cheddar cheese", "grams": 30.0, "note": ""}, {"ingredient_id": "spinach", "name": "Spinach", "grams": 30.0, "note": ""}, {"ingredient_id": "olive_oil", "name": "Extra-virgin olive oil", "grams": 5.0, "note": ""}]</t>
        </is>
      </c>
      <c r="N1004" s="2" t="n">
        <v>360</v>
      </c>
      <c r="O1004" s="5" t="n">
        <v>22.8</v>
      </c>
      <c r="P1004" s="5" t="n">
        <v>18.4</v>
      </c>
      <c r="Q1004" s="5" t="n">
        <v>27.7</v>
      </c>
      <c r="R1004" s="5" t="n">
        <v>4.3</v>
      </c>
      <c r="S1004" s="5" t="n">
        <v>23.4</v>
      </c>
      <c r="T1004" s="2" t="n">
        <v>42</v>
      </c>
      <c r="U1004" s="2" t="inlineStr">
        <is>
          <t>low</t>
        </is>
      </c>
      <c r="V1004" s="5" t="n">
        <v>9.800000000000001</v>
      </c>
      <c r="W1004" s="2" t="inlineStr">
        <is>
          <t>low</t>
        </is>
      </c>
      <c r="X1004" s="3" t="inlineStr"/>
      <c r="Y1004" s="3" t="inlineStr">
        <is>
          <t>93% of this dish's available carbohydrate comes from ingredients with a published, measured GI; the rest uses conventional placeholders (see Ingredients sheet)</t>
        </is>
      </c>
      <c r="Z1004" s="2" t="n">
        <v>93</v>
      </c>
      <c r="AA1004" s="3" t="inlineStr">
        <is>
          <t>nut-free</t>
        </is>
      </c>
      <c r="AB1004" s="3" t="inlineStr">
        <is>
          <t>1. Shape the sausage into two thin patties and brown 3 minutes a side.
2. Fry the eggs in the oil.
3. Toast the muffins.
4. Layer sausage, egg, cheddar and spinach in each muffin.</t>
        </is>
      </c>
      <c r="AC1004" s="4" t="inlineStr">
        <is>
          <t>["Shape the sausage into two thin patties and brown 3 minutes a side.", "Fry the eggs in the oil.", "Toast the muffins.", "Layer sausage, egg, cheddar and spinach in each muffin."]</t>
        </is>
      </c>
    </row>
    <row r="1005" ht="96" customHeight="1">
      <c r="A1005" s="2" t="inlineStr">
        <is>
          <t>DB-1004</t>
        </is>
      </c>
      <c r="B1005" s="3" t="inlineStr">
        <is>
          <t>Huevos Rancheros Bowl</t>
        </is>
      </c>
      <c r="C1005" s="4" t="inlineStr">
        <is>
          <t>Breakfast</t>
        </is>
      </c>
      <c r="D1005" s="4" t="inlineStr">
        <is>
          <t>Tex-Mex</t>
        </is>
      </c>
      <c r="E1005" s="2" t="n">
        <v>2</v>
      </c>
      <c r="F1005" s="2" t="n">
        <v>10</v>
      </c>
      <c r="G1005" s="2" t="n">
        <v>12</v>
      </c>
      <c r="H1005" s="2" t="n">
        <v>22</v>
      </c>
      <c r="I1005" s="4" t="inlineStr">
        <is>
          <t>huevos-rancheros-bowl.jpg</t>
        </is>
      </c>
      <c r="J1005" s="3" t="inlineStr">
        <is>
          <t>Huevos Rancheros Bowl, healthy food photography, plated, natural light</t>
        </is>
      </c>
      <c r="K1005" s="4" t="inlineStr"/>
      <c r="L1005" s="3" t="inlineStr">
        <is>
          <t>Egg, large (50 g each) — 200 g (7.1 oz)
Pinto beans, cooked — 200 g (7.1 oz)
Salsa, no sugar added — 120 g (4.2 oz)
Avocado — 70 g (2.5 oz)
Cotija cheese — 20 g (0.7 oz)
Fresh cilantro — 5 g (0.2 oz)
Extra-virgin olive oil — 5 g (0.2 oz)</t>
        </is>
      </c>
      <c r="M1005" s="4" t="inlineStr">
        <is>
          <t>[{"ingredient_id": "egg", "name": "Egg, large (50 g each)", "grams": 200.0, "note": ""}, {"ingredient_id": "pinto_beans", "name": "Pinto beans, cooked", "grams": 200.0, "note": ""}, {"ingredient_id": "salsa", "name": "Salsa, no sugar added", "grams": 120.0, "note": ""}, {"ingredient_id": "avocado", "name": "Avocado", "grams": 70.0, "note": ""}, {"ingredient_id": "cotija", "name": "Cotija cheese", "grams": 20.0, "note": ""}, {"ingredient_id": "cilantro", "name": "Fresh cilantro", "grams": 5.0, "note": ""}, {"ingredient_id": "olive_oil", "name": "Extra-virgin olive oil", "grams": 5.0, "note": ""}]</t>
        </is>
      </c>
      <c r="N1005" s="2" t="n">
        <v>423</v>
      </c>
      <c r="O1005" s="5" t="n">
        <v>25.3</v>
      </c>
      <c r="P1005" s="5" t="n">
        <v>21</v>
      </c>
      <c r="Q1005" s="5" t="n">
        <v>34.4</v>
      </c>
      <c r="R1005" s="5" t="n">
        <v>12.3</v>
      </c>
      <c r="S1005" s="5" t="n">
        <v>22.1</v>
      </c>
      <c r="T1005" s="2" t="n">
        <v>30</v>
      </c>
      <c r="U1005" s="2" t="inlineStr">
        <is>
          <t>low</t>
        </is>
      </c>
      <c r="V1005" s="5" t="n">
        <v>6.6</v>
      </c>
      <c r="W1005" s="2" t="inlineStr">
        <is>
          <t>low</t>
        </is>
      </c>
      <c r="X1005" s="3" t="inlineStr"/>
      <c r="Y1005" s="3" t="inlineStr">
        <is>
          <t>77% of this dish's available carbohydrate comes from ingredients with a published, measured GI; the rest uses conventional placeholders (see Ingredients sheet)</t>
        </is>
      </c>
      <c r="Z1005" s="2" t="n">
        <v>77</v>
      </c>
      <c r="AA1005" s="3" t="inlineStr">
        <is>
          <t>vegetarian, gluten-free, nut-free, high-protein, high-fiber</t>
        </is>
      </c>
      <c r="AB1005" s="3" t="inlineStr">
        <is>
          <t>1. Warm the beans with a third of the salsa.
2. Fry the eggs in the oil until the whites are set.
3. Spoon the beans into bowls and top with eggs.
4. Finish with the rest of the salsa, avocado, cotija and cilantro.</t>
        </is>
      </c>
      <c r="AC1005" s="4" t="inlineStr">
        <is>
          <t>["Warm the beans with a third of the salsa.", "Fry the eggs in the oil until the whites are set.", "Spoon the beans into bowls and top with eggs.", "Finish with the rest of the salsa, avocado, cotija and cilantro."]</t>
        </is>
      </c>
    </row>
    <row r="1006" ht="96" customHeight="1">
      <c r="A1006" s="2" t="inlineStr">
        <is>
          <t>DB-1005</t>
        </is>
      </c>
      <c r="B1006" s="3" t="inlineStr">
        <is>
          <t>Greek Yogurt Parfait with Berries and Pecans</t>
        </is>
      </c>
      <c r="C1006" s="4" t="inlineStr">
        <is>
          <t>Breakfast</t>
        </is>
      </c>
      <c r="D1006" s="4" t="inlineStr">
        <is>
          <t>American</t>
        </is>
      </c>
      <c r="E1006" s="2" t="n">
        <v>2</v>
      </c>
      <c r="F1006" s="2" t="n">
        <v>5</v>
      </c>
      <c r="G1006" s="2" t="n">
        <v>0</v>
      </c>
      <c r="H1006" s="2" t="n">
        <v>5</v>
      </c>
      <c r="I1006" s="4" t="inlineStr">
        <is>
          <t>greek-yogurt-parfait-with-berries-and-pecans.jpg</t>
        </is>
      </c>
      <c r="J1006" s="3" t="inlineStr">
        <is>
          <t>Greek Yogurt Parfait with Berries and Pecans, healthy food photography, plated, natural light</t>
        </is>
      </c>
      <c r="K1006" s="4" t="inlineStr"/>
      <c r="L1006" s="3" t="inlineStr">
        <is>
          <t>Greek yogurt, plain 2% — 400 g (14.1 oz)
Mixed berries, frozen — 150 g (5.3 oz)
Pecans — 25 g (0.9 oz)
Ground cinnamon — 1 g (0.0 oz)
Vanilla extract — 3 g (0.1 oz)</t>
        </is>
      </c>
      <c r="M1006" s="4" t="inlineStr">
        <is>
          <t>[{"ingredient_id": "greek_yogurt", "name": "Greek yogurt, plain 2%", "grams": 400.0, "note": ""}, {"ingredient_id": "mixed_berries", "name": "Mixed berries, frozen", "grams": 150.0, "note": ""}, {"ingredient_id": "pecans", "name": "Pecans", "grams": 25.0, "note": ""}, {"ingredient_id": "cinnamon", "name": "Ground cinnamon", "grams": 1.0, "note": ""}, {"ingredient_id": "vanilla_extract", "name": "Vanilla extract", "grams": 3.0, "note": ""}]</t>
        </is>
      </c>
      <c r="N1006" s="2" t="n">
        <v>272</v>
      </c>
      <c r="O1006" s="5" t="n">
        <v>21.7</v>
      </c>
      <c r="P1006" s="5" t="n">
        <v>13.3</v>
      </c>
      <c r="Q1006" s="5" t="n">
        <v>18.6</v>
      </c>
      <c r="R1006" s="5" t="n">
        <v>4.5</v>
      </c>
      <c r="S1006" s="5" t="n">
        <v>14.1</v>
      </c>
      <c r="T1006" s="2" t="n">
        <v>22</v>
      </c>
      <c r="U1006" s="2" t="inlineStr">
        <is>
          <t>low</t>
        </is>
      </c>
      <c r="V1006" s="5" t="n">
        <v>3.1</v>
      </c>
      <c r="W1006" s="2" t="inlineStr">
        <is>
          <t>low</t>
        </is>
      </c>
      <c r="X1006" s="3" t="inlineStr"/>
      <c r="Y1006" s="3" t="inlineStr">
        <is>
          <t>57% of this dish's available carbohydrate comes from ingredients with a published, measured GI; the rest uses conventional placeholders (see Ingredients sheet)</t>
        </is>
      </c>
      <c r="Z1006" s="2" t="n">
        <v>57</v>
      </c>
      <c r="AA1006" s="3" t="inlineStr">
        <is>
          <t>vegetarian, gluten-free, low-carb, no-cook</t>
        </is>
      </c>
      <c r="AB1006" s="3" t="inlineStr">
        <is>
          <t>1. Stir the vanilla and cinnamon into the yogurt.
2. Layer yogurt and berries in two glasses.
3. Top with chopped pecans.</t>
        </is>
      </c>
      <c r="AC1006" s="4" t="inlineStr">
        <is>
          <t>["Stir the vanilla and cinnamon into the yogurt.", "Layer yogurt and berries in two glasses.", "Top with chopped pecans."]</t>
        </is>
      </c>
    </row>
    <row r="1007" ht="96" customHeight="1">
      <c r="A1007" s="2" t="inlineStr">
        <is>
          <t>DB-1006</t>
        </is>
      </c>
      <c r="B1007" s="3" t="inlineStr">
        <is>
          <t>Blueberry Protein Pancakes</t>
        </is>
      </c>
      <c r="C1007" s="4" t="inlineStr">
        <is>
          <t>Breakfast</t>
        </is>
      </c>
      <c r="D1007" s="4" t="inlineStr">
        <is>
          <t>American</t>
        </is>
      </c>
      <c r="E1007" s="2" t="n">
        <v>3</v>
      </c>
      <c r="F1007" s="2" t="n">
        <v>10</v>
      </c>
      <c r="G1007" s="2" t="n">
        <v>12</v>
      </c>
      <c r="H1007" s="2" t="n">
        <v>22</v>
      </c>
      <c r="I1007" s="4" t="inlineStr">
        <is>
          <t>blueberry-protein-pancakes.jpg</t>
        </is>
      </c>
      <c r="J1007" s="3" t="inlineStr">
        <is>
          <t>Blueberry Protein Pancakes, healthy food photography, plated, natural light</t>
        </is>
      </c>
      <c r="K1007" s="4" t="inlineStr"/>
      <c r="L1007" s="3" t="inlineStr">
        <is>
          <t>Oat flour — 90 g (3.2 oz)
Egg, large (50 g each) — 150 g (5.3 oz)
Greek yogurt, plain 2% — 150 g (5.3 oz)
Blueberries — 100 g (3.5 oz)
Baking powder — 4 g (0.1 oz)
Vanilla extract — 3 g (0.1 oz)
Butter — 10 g (0.4 oz)</t>
        </is>
      </c>
      <c r="M1007" s="4" t="inlineStr">
        <is>
          <t>[{"ingredient_id": "oat_flour", "name": "Oat flour", "grams": 90.0, "note": ""}, {"ingredient_id": "egg", "name": "Egg, large (50 g each)", "grams": 150.0, "note": ""}, {"ingredient_id": "greek_yogurt", "name": "Greek yogurt, plain 2%", "grams": 150.0, "note": ""}, {"ingredient_id": "blueberries", "name": "Blueberries", "grams": 100.0, "note": ""}, {"ingredient_id": "baking_powder", "name": "Baking powder", "grams": 4.0, "note": ""}, {"ingredient_id": "vanilla_extract", "name": "Vanilla extract", "grams": 3.0, "note": ""}, {"ingredient_id": "butter", "name": "Butter", "grams": 10.0, "note": ""}]</t>
        </is>
      </c>
      <c r="N1007" s="2" t="n">
        <v>276</v>
      </c>
      <c r="O1007" s="5" t="n">
        <v>16.1</v>
      </c>
      <c r="P1007" s="5" t="n">
        <v>11.2</v>
      </c>
      <c r="Q1007" s="5" t="n">
        <v>27.5</v>
      </c>
      <c r="R1007" s="5" t="n">
        <v>2.8</v>
      </c>
      <c r="S1007" s="5" t="n">
        <v>24.7</v>
      </c>
      <c r="T1007" s="2" t="n">
        <v>49</v>
      </c>
      <c r="U1007" s="2" t="inlineStr">
        <is>
          <t>low</t>
        </is>
      </c>
      <c r="V1007" s="5" t="n">
        <v>12.1</v>
      </c>
      <c r="W1007" s="2" t="inlineStr">
        <is>
          <t>medium</t>
        </is>
      </c>
      <c r="X1007" s="3" t="inlineStr"/>
      <c r="Y1007" s="3" t="inlineStr">
        <is>
          <t>24% of this dish's available carbohydrate comes from ingredients with a published, measured GI; the rest uses conventional placeholders (see Ingredients sheet)</t>
        </is>
      </c>
      <c r="Z1007" s="2" t="n">
        <v>24</v>
      </c>
      <c r="AA1007" s="3" t="inlineStr">
        <is>
          <t>vegetarian, nut-free</t>
        </is>
      </c>
      <c r="AB1007" s="3" t="inlineStr">
        <is>
          <t>1. Whisk the oat flour, baking powder, eggs, yogurt and vanilla into a thick batter.
2. Fold in the blueberries.
3. Cook small pancakes in a buttered pan, 2 minutes a side.
4. Serve warm.</t>
        </is>
      </c>
      <c r="AC1007" s="4" t="inlineStr">
        <is>
          <t>["Whisk the oat flour, baking powder, eggs, yogurt and vanilla into a thick batter.", "Fold in the blueberries.", "Cook small pancakes in a buttered pan, 2 minutes a side.", "Serve warm."]</t>
        </is>
      </c>
    </row>
    <row r="1008" ht="96" customHeight="1">
      <c r="A1008" s="2" t="inlineStr">
        <is>
          <t>DB-1007</t>
        </is>
      </c>
      <c r="B1008" s="3" t="inlineStr">
        <is>
          <t>Almond Flour Waffles with Strawberries</t>
        </is>
      </c>
      <c r="C1008" s="4" t="inlineStr">
        <is>
          <t>Breakfast</t>
        </is>
      </c>
      <c r="D1008" s="4" t="inlineStr">
        <is>
          <t>American</t>
        </is>
      </c>
      <c r="E1008" s="2" t="n">
        <v>3</v>
      </c>
      <c r="F1008" s="2" t="n">
        <v>10</v>
      </c>
      <c r="G1008" s="2" t="n">
        <v>10</v>
      </c>
      <c r="H1008" s="2" t="n">
        <v>20</v>
      </c>
      <c r="I1008" s="4" t="inlineStr">
        <is>
          <t>almond-flour-waffles-with-strawberries.jpg</t>
        </is>
      </c>
      <c r="J1008" s="3" t="inlineStr">
        <is>
          <t>Almond Flour Waffles with Strawberries, healthy food photography, plated, natural light</t>
        </is>
      </c>
      <c r="K1008" s="4" t="inlineStr"/>
      <c r="L1008" s="3" t="inlineStr">
        <is>
          <t>Almond flour — 90 g (3.2 oz)
Egg, large (50 g each) — 150 g (5.3 oz)
Greek yogurt, plain 2% — 90 g (3.2 oz)
Baking powder — 4 g (0.1 oz)
Vanilla extract — 3 g (0.1 oz)
Strawberries — 150 g (5.3 oz)
Butter — 10 g (0.4 oz)</t>
        </is>
      </c>
      <c r="M1008" s="4" t="inlineStr">
        <is>
          <t>[{"ingredient_id": "almond_flour", "name": "Almond flour", "grams": 90.0, "note": ""}, {"ingredient_id": "egg", "name": "Egg, large (50 g each)", "grams": 150.0, "note": ""}, {"ingredient_id": "greek_yogurt", "name": "Greek yogurt, plain 2%", "grams": 90.0, "note": ""}, {"ingredient_id": "baking_powder", "name": "Baking powder", "grams": 4.0, "note": ""}, {"ingredient_id": "vanilla_extract", "name": "Vanilla extract", "grams": 3.0, "note": ""}, {"ingredient_id": "strawberries", "name": "Strawberries", "grams": 150.0, "note": ""}, {"ingredient_id": "butter", "name": "Butter", "grams": 10.0, "note": ""}]</t>
        </is>
      </c>
      <c r="N1008" s="2" t="n">
        <v>314</v>
      </c>
      <c r="O1008" s="5" t="n">
        <v>16</v>
      </c>
      <c r="P1008" s="5" t="n">
        <v>23.2</v>
      </c>
      <c r="Q1008" s="5" t="n">
        <v>12.2</v>
      </c>
      <c r="R1008" s="5" t="n">
        <v>4.6</v>
      </c>
      <c r="S1008" s="5" t="n">
        <v>7.6</v>
      </c>
      <c r="T1008" s="2" t="n">
        <v>22</v>
      </c>
      <c r="U1008" s="2" t="inlineStr">
        <is>
          <t>low</t>
        </is>
      </c>
      <c r="V1008" s="5" t="n">
        <v>1.7</v>
      </c>
      <c r="W1008" s="2" t="inlineStr">
        <is>
          <t>low</t>
        </is>
      </c>
      <c r="X1008" s="3" t="inlineStr"/>
      <c r="Y1008" s="3" t="inlineStr">
        <is>
          <t>53% of this dish's available carbohydrate comes from ingredients with a published, measured GI; the rest uses conventional placeholders (see Ingredients sheet)</t>
        </is>
      </c>
      <c r="Z1008" s="2" t="n">
        <v>53</v>
      </c>
      <c r="AA1008" s="3" t="inlineStr">
        <is>
          <t>vegetarian, gluten-free, low-carb</t>
        </is>
      </c>
      <c r="AB1008" s="3" t="inlineStr">
        <is>
          <t>1. Whisk the almond flour, baking powder, eggs, yogurt and vanilla.
2. Cook in a greased waffle iron until golden.
3. Slice the strawberries.
4. Serve the waffles topped with berries.</t>
        </is>
      </c>
      <c r="AC1008" s="4" t="inlineStr">
        <is>
          <t>["Whisk the almond flour, baking powder, eggs, yogurt and vanilla.", "Cook in a greased waffle iron until golden.", "Slice the strawberries.", "Serve the waffles topped with berries."]</t>
        </is>
      </c>
    </row>
    <row r="1009" ht="96" customHeight="1">
      <c r="A1009" s="2" t="inlineStr">
        <is>
          <t>DB-1008</t>
        </is>
      </c>
      <c r="B1009" s="3" t="inlineStr">
        <is>
          <t>Cottage Cheese Bowl with Peaches</t>
        </is>
      </c>
      <c r="C1009" s="4" t="inlineStr">
        <is>
          <t>Breakfast</t>
        </is>
      </c>
      <c r="D1009" s="4" t="inlineStr">
        <is>
          <t>American</t>
        </is>
      </c>
      <c r="E1009" s="2" t="n">
        <v>2</v>
      </c>
      <c r="F1009" s="2" t="n">
        <v>5</v>
      </c>
      <c r="G1009" s="2" t="n">
        <v>0</v>
      </c>
      <c r="H1009" s="2" t="n">
        <v>5</v>
      </c>
      <c r="I1009" s="4" t="inlineStr">
        <is>
          <t>cottage-cheese-bowl-with-peaches.jpg</t>
        </is>
      </c>
      <c r="J1009" s="3" t="inlineStr">
        <is>
          <t>Cottage Cheese Bowl with Peaches, healthy food photography, plated, natural light</t>
        </is>
      </c>
      <c r="K1009" s="4" t="inlineStr"/>
      <c r="L1009" s="3" t="inlineStr">
        <is>
          <t>Cottage cheese, low-fat — 400 g (14.1 oz)
Peach — 200 g (7.1 oz)
Almonds — 20 g (0.7 oz)
Ground cinnamon — 1 g (0.0 oz)
Hemp seeds — 10 g (0.4 oz)</t>
        </is>
      </c>
      <c r="M1009" s="4" t="inlineStr">
        <is>
          <t>[{"ingredient_id": "cottage_cheese", "name": "Cottage cheese, low-fat", "grams": 400.0, "note": ""}, {"ingredient_id": "peach", "name": "Peach", "grams": 200.0, "note": ""}, {"ingredient_id": "almonds", "name": "Almonds", "grams": 20.0, "note": ""}, {"ingredient_id": "cinnamon", "name": "Ground cinnamon", "grams": 1.0, "note": ""}, {"ingredient_id": "hemp_seeds", "name": "Hemp seeds", "grams": 10.0, "note": ""}]</t>
        </is>
      </c>
      <c r="N1009" s="2" t="n">
        <v>294</v>
      </c>
      <c r="O1009" s="5" t="n">
        <v>26.6</v>
      </c>
      <c r="P1009" s="5" t="n">
        <v>12.4</v>
      </c>
      <c r="Q1009" s="5" t="n">
        <v>21.1</v>
      </c>
      <c r="R1009" s="5" t="n">
        <v>3.2</v>
      </c>
      <c r="S1009" s="5" t="n">
        <v>17.9</v>
      </c>
      <c r="T1009" s="2" t="n">
        <v>31</v>
      </c>
      <c r="U1009" s="2" t="inlineStr">
        <is>
          <t>low</t>
        </is>
      </c>
      <c r="V1009" s="5" t="n">
        <v>5.6</v>
      </c>
      <c r="W1009" s="2" t="inlineStr">
        <is>
          <t>low</t>
        </is>
      </c>
      <c r="X1009" s="3" t="inlineStr"/>
      <c r="Y1009" s="3" t="inlineStr">
        <is>
          <t>45% of this dish's available carbohydrate comes from ingredients with a published, measured GI; the rest uses conventional placeholders (see Ingredients sheet)</t>
        </is>
      </c>
      <c r="Z1009" s="2" t="n">
        <v>45</v>
      </c>
      <c r="AA1009" s="3" t="inlineStr">
        <is>
          <t>vegetarian, gluten-free, high-protein, no-cook</t>
        </is>
      </c>
      <c r="AB1009" s="3" t="inlineStr">
        <is>
          <t>1. Divide the cottage cheese between two bowls.
2. Top with sliced peach, almonds and hemp seeds.
3. Dust with cinnamon.</t>
        </is>
      </c>
      <c r="AC1009" s="4" t="inlineStr">
        <is>
          <t>["Divide the cottage cheese between two bowls.", "Top with sliced peach, almonds and hemp seeds.", "Dust with cinnamon."]</t>
        </is>
      </c>
    </row>
    <row r="1010" ht="96" customHeight="1">
      <c r="A1010" s="2" t="inlineStr">
        <is>
          <t>DB-1009</t>
        </is>
      </c>
      <c r="B1010" s="3" t="inlineStr">
        <is>
          <t>Sweet Potato and Sausage Breakfast Hash</t>
        </is>
      </c>
      <c r="C1010" s="4" t="inlineStr">
        <is>
          <t>Breakfast</t>
        </is>
      </c>
      <c r="D1010" s="4" t="inlineStr">
        <is>
          <t>American</t>
        </is>
      </c>
      <c r="E1010" s="2" t="n">
        <v>3</v>
      </c>
      <c r="F1010" s="2" t="n">
        <v>15</v>
      </c>
      <c r="G1010" s="2" t="n">
        <v>20</v>
      </c>
      <c r="H1010" s="2" t="n">
        <v>35</v>
      </c>
      <c r="I1010" s="4" t="inlineStr">
        <is>
          <t>sweet-potato-and-sausage-breakfast-hash.jpg</t>
        </is>
      </c>
      <c r="J1010" s="3" t="inlineStr">
        <is>
          <t>Sweet Potato and Sausage Breakfast Hash, healthy food photography, plated, natural light</t>
        </is>
      </c>
      <c r="K1010" s="4" t="inlineStr"/>
      <c r="L1010" s="3" t="inlineStr">
        <is>
          <t>Sweet potato, boiled/simmered — 300 g (10.6 oz)
Turkey sausage — 200 g (7.1 oz)
Bell pepper — 120 g (4.2 oz)
Yellow onion — 80 g (2.8 oz)
Egg, large (50 g each) — 150 g (5.3 oz)
Extra-virgin olive oil — 15 g (0.5 oz)
Smoked paprika — 2 g (0.1 oz)
Salt — 2 g (0.1 oz)</t>
        </is>
      </c>
      <c r="M1010" s="4" t="inlineStr">
        <is>
          <t>[{"ingredient_id": "sweet_potato", "name": "Sweet potato, boiled/simmered", "grams": 300.0, "note": ""}, {"ingredient_id": "turkey_sausage", "name": "Turkey sausage", "grams": 200.0, "note": ""}, {"ingredient_id": "bell_pepper", "name": "Bell pepper", "grams": 120.0, "note": ""}, {"ingredient_id": "onion", "name": "Yellow onion", "grams": 80.0, "note": ""}, {"ingredient_id": "egg", "name": "Egg, large (50 g each)", "grams": 150.0, "note": ""}, {"ingredient_id": "olive_oil", "name": "Extra-virgin olive oil", "grams": 15.0, "note": ""}, {"ingredient_id": "smoked_paprika", "name": "Smoked paprika", "grams": 2.0, "note": ""}, {"ingredient_id": "salt", "name": "Salt", "grams": 2.0, "note": ""}]</t>
        </is>
      </c>
      <c r="N1010" s="2" t="n">
        <v>330</v>
      </c>
      <c r="O1010" s="5" t="n">
        <v>18.7</v>
      </c>
      <c r="P1010" s="5" t="n">
        <v>16.7</v>
      </c>
      <c r="Q1010" s="5" t="n">
        <v>26.9</v>
      </c>
      <c r="R1010" s="5" t="n">
        <v>4.5</v>
      </c>
      <c r="S1010" s="5" t="n">
        <v>22.4</v>
      </c>
      <c r="T1010" s="2" t="n">
        <v>37</v>
      </c>
      <c r="U1010" s="2" t="inlineStr">
        <is>
          <t>low</t>
        </is>
      </c>
      <c r="V1010" s="5" t="n">
        <v>8.300000000000001</v>
      </c>
      <c r="W1010" s="2" t="inlineStr">
        <is>
          <t>low</t>
        </is>
      </c>
      <c r="X1010" s="3" t="inlineStr"/>
      <c r="Y1010" s="3" t="inlineStr">
        <is>
          <t>76% of this dish's available carbohydrate comes from ingredients with a published, measured GI; the rest uses conventional placeholders (see Ingredients sheet)</t>
        </is>
      </c>
      <c r="Z1010" s="2" t="n">
        <v>76</v>
      </c>
      <c r="AA1010" s="3" t="inlineStr">
        <is>
          <t>gluten-free, dairy-free, nut-free, one-pan</t>
        </is>
      </c>
      <c r="AB1010" s="3" t="inlineStr">
        <is>
          <t>1. Dice the sweet potato small and sauté in oil for 10 minutes.
2. Add the sausage, pepper and onion and cook 8 minutes.
3. Season with paprika and salt.
4. Make wells, crack in the eggs and cover until set.</t>
        </is>
      </c>
      <c r="AC1010" s="4" t="inlineStr">
        <is>
          <t>["Dice the sweet potato small and sauté in oil for 10 minutes.", "Add the sausage, pepper and onion and cook 8 minutes.", "Season with paprika and salt.", "Make wells, crack in the eggs and cover until set."]</t>
        </is>
      </c>
    </row>
    <row r="1011" ht="96" customHeight="1">
      <c r="A1011" s="2" t="inlineStr">
        <is>
          <t>DB-1010</t>
        </is>
      </c>
      <c r="B1011" s="3" t="inlineStr">
        <is>
          <t>Avocado Toast with Egg</t>
        </is>
      </c>
      <c r="C1011" s="4" t="inlineStr">
        <is>
          <t>Breakfast</t>
        </is>
      </c>
      <c r="D1011" s="4" t="inlineStr">
        <is>
          <t>American</t>
        </is>
      </c>
      <c r="E1011" s="2" t="n">
        <v>2</v>
      </c>
      <c r="F1011" s="2" t="n">
        <v>5</v>
      </c>
      <c r="G1011" s="2" t="n">
        <v>5</v>
      </c>
      <c r="H1011" s="2" t="n">
        <v>10</v>
      </c>
      <c r="I1011" s="4" t="inlineStr">
        <is>
          <t>avocado-toast-with-egg.jpg</t>
        </is>
      </c>
      <c r="J1011" s="3" t="inlineStr">
        <is>
          <t>Avocado Toast with Egg, healthy food photography, plated, natural light</t>
        </is>
      </c>
      <c r="K1011" s="4" t="inlineStr"/>
      <c r="L1011" s="3" t="inlineStr">
        <is>
          <t>Sprouted grain bread (Ezekiel-style) — 70 g (2.5 oz)
Avocado — 140 g (4.9 oz)
Egg, large (50 g each) — 100 g (3.5 oz)
Red pepper flakes — 1 g (0.0 oz)
Lemon juice — 5 g (0.2 oz)
Salt — 1 g (0.0 oz)</t>
        </is>
      </c>
      <c r="M1011" s="4" t="inlineStr">
        <is>
          <t>[{"ingredient_id": "ezekiel_bread", "name": "Sprouted grain bread (Ezekiel-style)", "grams": 70.0, "note": ""}, {"ingredient_id": "avocado", "name": "Avocado", "grams": 140.0, "note": ""}, {"ingredient_id": "egg", "name": "Egg, large (50 g each)", "grams": 100.0, "note": ""}, {"ingredient_id": "red_pepper_flakes", "name": "Red pepper flakes", "grams": 1.0, "note": ""}, {"ingredient_id": "lemon_juice", "name": "Lemon juice", "grams": 5.0, "note": ""}, {"ingredient_id": "salt", "name": "Salt", "grams": 1.0, "note": ""}]</t>
        </is>
      </c>
      <c r="N1011" s="2" t="n">
        <v>268</v>
      </c>
      <c r="O1011" s="5" t="n">
        <v>12</v>
      </c>
      <c r="P1011" s="5" t="n">
        <v>15.9</v>
      </c>
      <c r="Q1011" s="5" t="n">
        <v>22.2</v>
      </c>
      <c r="R1011" s="5" t="n">
        <v>8</v>
      </c>
      <c r="S1011" s="5" t="n">
        <v>14.2</v>
      </c>
      <c r="T1011" s="2" t="n">
        <v>55</v>
      </c>
      <c r="U1011" s="2" t="inlineStr">
        <is>
          <t>low</t>
        </is>
      </c>
      <c r="V1011" s="5" t="n">
        <v>7.8</v>
      </c>
      <c r="W1011" s="2" t="inlineStr">
        <is>
          <t>low</t>
        </is>
      </c>
      <c r="X1011" s="3" t="inlineStr"/>
      <c r="Y1011" s="3" t="inlineStr">
        <is>
          <t>86% of this dish's available carbohydrate comes from ingredients with a published, measured GI; the rest uses conventional placeholders (see Ingredients sheet)</t>
        </is>
      </c>
      <c r="Z1011" s="2" t="n">
        <v>86</v>
      </c>
      <c r="AA1011" s="3" t="inlineStr">
        <is>
          <t>vegetarian, gluten-free, dairy-free, nut-free, low-carb, high-fiber</t>
        </is>
      </c>
      <c r="AB1011" s="3" t="inlineStr">
        <is>
          <t>1. Toast the bread.
2. Mash the avocado with lemon juice and salt.
3. Fry or poach the eggs.
4. Spread, top with egg and a pinch of pepper flakes.</t>
        </is>
      </c>
      <c r="AC1011" s="4" t="inlineStr">
        <is>
          <t>["Toast the bread.", "Mash the avocado with lemon juice and salt.", "Fry or poach the eggs.", "Spread, top with egg and a pinch of pepper flakes."]</t>
        </is>
      </c>
    </row>
    <row r="1012" ht="96" customHeight="1">
      <c r="A1012" s="2" t="inlineStr">
        <is>
          <t>DB-1011</t>
        </is>
      </c>
      <c r="B1012" s="3" t="inlineStr">
        <is>
          <t>Spinach and Feta Egg Muffins</t>
        </is>
      </c>
      <c r="C1012" s="4" t="inlineStr">
        <is>
          <t>Breakfast</t>
        </is>
      </c>
      <c r="D1012" s="4" t="inlineStr">
        <is>
          <t>American</t>
        </is>
      </c>
      <c r="E1012" s="2" t="n">
        <v>4</v>
      </c>
      <c r="F1012" s="2" t="n">
        <v>10</v>
      </c>
      <c r="G1012" s="2" t="n">
        <v>20</v>
      </c>
      <c r="H1012" s="2" t="n">
        <v>30</v>
      </c>
      <c r="I1012" s="4" t="inlineStr">
        <is>
          <t>spinach-and-feta-egg-muffins.jpg</t>
        </is>
      </c>
      <c r="J1012" s="3" t="inlineStr">
        <is>
          <t>Spinach and Feta Egg Muffins, healthy food photography, plated, natural light</t>
        </is>
      </c>
      <c r="K1012" s="4" t="inlineStr"/>
      <c r="L1012" s="3" t="inlineStr">
        <is>
          <t>Egg, large (50 g each) — 300 g (10.6 oz)
Spinach — 100 g (3.5 oz)
Feta cheese — 60 g (2.1 oz)
Roasted red peppers, jarred — 60 g (2.1 oz)
Black pepper — 1 g (0.0 oz)
Extra-virgin olive oil — 5 g (0.2 oz)</t>
        </is>
      </c>
      <c r="M1012" s="4" t="inlineStr">
        <is>
          <t>[{"ingredient_id": "egg", "name": "Egg, large (50 g each)", "grams": 300.0, "note": ""}, {"ingredient_id": "spinach", "name": "Spinach", "grams": 100.0, "note": ""}, {"ingredient_id": "feta", "name": "Feta cheese", "grams": 60.0, "note": ""}, {"ingredient_id": "roasted_red_pepper", "name": "Roasted red peppers, jarred", "grams": 60.0, "note": ""}, {"ingredient_id": "black_pepper", "name": "Black pepper", "grams": 1.0, "note": ""}, {"ingredient_id": "olive_oil", "name": "Extra-virgin olive oil", "grams": 5.0, "note": ""}]</t>
        </is>
      </c>
      <c r="N1012" s="2" t="n">
        <v>169</v>
      </c>
      <c r="O1012" s="5" t="n">
        <v>12.4</v>
      </c>
      <c r="P1012" s="5" t="n">
        <v>11.7</v>
      </c>
      <c r="Q1012" s="5" t="n">
        <v>3.1</v>
      </c>
      <c r="R1012" s="5" t="n">
        <v>0.9</v>
      </c>
      <c r="S1012" s="5" t="n">
        <v>2.2</v>
      </c>
      <c r="T1012" s="2" t="n">
        <v>7</v>
      </c>
      <c r="U1012" s="2" t="inlineStr">
        <is>
          <t>low</t>
        </is>
      </c>
      <c r="V1012" s="5" t="n">
        <v>0.2</v>
      </c>
      <c r="W1012" s="2" t="inlineStr">
        <is>
          <t>low</t>
        </is>
      </c>
      <c r="X1012" s="3" t="inlineStr">
        <is>
          <t>Negligible carbohydrate (&lt;5 g net/serving): GI has little practical meaning, glycemic load is what matters.</t>
        </is>
      </c>
      <c r="Y1012" s="3" t="inlineStr">
        <is>
          <t>0% of this dish's available carbohydrate comes from ingredients with a published, measured GI; the rest uses conventional placeholders (see Ingredients sheet)</t>
        </is>
      </c>
      <c r="Z1012" s="2" t="n">
        <v>0</v>
      </c>
      <c r="AA1012" s="3" t="inlineStr">
        <is>
          <t>vegetarian, gluten-free, nut-free, low-carb, meal-prep</t>
        </is>
      </c>
      <c r="AB1012" s="3" t="inlineStr">
        <is>
          <t>1. Heat the oven to 350°F and oil a 6-cup muffin tin.
2. Chop the spinach and pepper and divide among the cups.
3. Pour in the beaten eggs and add the feta.
4. Bake 18 to 20 minutes.</t>
        </is>
      </c>
      <c r="AC1012" s="4" t="inlineStr">
        <is>
          <t>["Heat the oven to 350°F and oil a 6-cup muffin tin.", "Chop the spinach and pepper and divide among the cups.", "Pour in the beaten eggs and add the feta.", "Bake 18 to 20 minutes."]</t>
        </is>
      </c>
    </row>
    <row r="1013" ht="96" customHeight="1">
      <c r="A1013" s="2" t="inlineStr">
        <is>
          <t>DB-1012</t>
        </is>
      </c>
      <c r="B1013" s="3" t="inlineStr">
        <is>
          <t>Southwest Tofu Scramble</t>
        </is>
      </c>
      <c r="C1013" s="4" t="inlineStr">
        <is>
          <t>Breakfast</t>
        </is>
      </c>
      <c r="D1013" s="4" t="inlineStr">
        <is>
          <t>Tex-Mex</t>
        </is>
      </c>
      <c r="E1013" s="2" t="n">
        <v>2</v>
      </c>
      <c r="F1013" s="2" t="n">
        <v>10</v>
      </c>
      <c r="G1013" s="2" t="n">
        <v>10</v>
      </c>
      <c r="H1013" s="2" t="n">
        <v>20</v>
      </c>
      <c r="I1013" s="4" t="inlineStr">
        <is>
          <t>southwest-tofu-scramble.jpg</t>
        </is>
      </c>
      <c r="J1013" s="3" t="inlineStr">
        <is>
          <t>Southwest Tofu Scramble, healthy food photography, plated, natural light</t>
        </is>
      </c>
      <c r="K1013" s="4" t="inlineStr"/>
      <c r="L1013" s="3" t="inlineStr">
        <is>
          <t>Tofu, extra-firm — 300 g (10.6 oz)
Black beans, cooked — 100 g (3.5 oz)
Bell pepper — 100 g (3.5 oz)
Yellow onion — 50 g (1.8 oz)
Ground turmeric — 1 g (0.0 oz)
Ground cumin — 1 g (0.0 oz)
Salsa, no sugar added — 60 g (2.1 oz)
Extra-virgin olive oil — 10 g (0.4 oz)</t>
        </is>
      </c>
      <c r="M1013" s="4" t="inlineStr">
        <is>
          <t>[{"ingredient_id": "tofu", "name": "Tofu, extra-firm", "grams": 300.0, "note": ""}, {"ingredient_id": "black_beans", "name": "Black beans, cooked", "grams": 100.0, "note": ""}, {"ingredient_id": "bell_pepper", "name": "Bell pepper", "grams": 100.0, "note": ""}, {"ingredient_id": "onion", "name": "Yellow onion", "grams": 50.0, "note": ""}, {"ingredient_id": "turmeric", "name": "Ground turmeric", "grams": 1.0, "note": ""}, {"ingredient_id": "cumin", "name": "Ground cumin", "grams": 1.0, "note": ""}, {"ingredient_id": "salsa", "name": "Salsa, no sugar added", "grams": 60.0, "note": ""}, {"ingredient_id": "olive_oil", "name": "Extra-virgin olive oil", "grams": 10.0, "note": ""}]</t>
        </is>
      </c>
      <c r="N1013" s="2" t="n">
        <v>366</v>
      </c>
      <c r="O1013" s="5" t="n">
        <v>31.3</v>
      </c>
      <c r="P1013" s="5" t="n">
        <v>19.1</v>
      </c>
      <c r="Q1013" s="5" t="n">
        <v>24.3</v>
      </c>
      <c r="R1013" s="5" t="n">
        <v>9.4</v>
      </c>
      <c r="S1013" s="5" t="n">
        <v>14.9</v>
      </c>
      <c r="T1013" s="2" t="n">
        <v>24</v>
      </c>
      <c r="U1013" s="2" t="inlineStr">
        <is>
          <t>low</t>
        </is>
      </c>
      <c r="V1013" s="5" t="n">
        <v>3.6</v>
      </c>
      <c r="W1013" s="2" t="inlineStr">
        <is>
          <t>low</t>
        </is>
      </c>
      <c r="X1013" s="3" t="inlineStr"/>
      <c r="Y1013" s="3" t="inlineStr">
        <is>
          <t>50% of this dish's available carbohydrate comes from ingredients with a published, measured GI; the rest uses conventional placeholders (see Ingredients sheet)</t>
        </is>
      </c>
      <c r="Z1013" s="2" t="n">
        <v>50</v>
      </c>
      <c r="AA1013" s="3" t="inlineStr">
        <is>
          <t>vegan, gluten-free, dairy-free, nut-free, low-carb, high-protein, high-fiber</t>
        </is>
      </c>
      <c r="AB1013" s="3" t="inlineStr">
        <is>
          <t>1. Crumble the tofu and sauté with the onion and pepper in oil.
2. Stir in turmeric and cumin.
3. Add the beans and heat through.
4. Serve with salsa.</t>
        </is>
      </c>
      <c r="AC1013" s="4" t="inlineStr">
        <is>
          <t>["Crumble the tofu and sauté with the onion and pepper in oil.", "Stir in turmeric and cumin.", "Add the beans and heat through.", "Serve with salsa."]</t>
        </is>
      </c>
    </row>
    <row r="1014" ht="96" customHeight="1">
      <c r="A1014" s="2" t="inlineStr">
        <is>
          <t>DB-1013</t>
        </is>
      </c>
      <c r="B1014" s="3" t="inlineStr">
        <is>
          <t>Steel-Cut Oatmeal with Walnuts and Cinnamon Apples</t>
        </is>
      </c>
      <c r="C1014" s="4" t="inlineStr">
        <is>
          <t>Breakfast</t>
        </is>
      </c>
      <c r="D1014" s="4" t="inlineStr">
        <is>
          <t>American</t>
        </is>
      </c>
      <c r="E1014" s="2" t="n">
        <v>3</v>
      </c>
      <c r="F1014" s="2" t="n">
        <v>5</v>
      </c>
      <c r="G1014" s="2" t="n">
        <v>25</v>
      </c>
      <c r="H1014" s="2" t="n">
        <v>30</v>
      </c>
      <c r="I1014" s="4" t="inlineStr">
        <is>
          <t>steel-cut-oatmeal-with-walnuts-and-cinnamon-apples.jpg</t>
        </is>
      </c>
      <c r="J1014" s="3" t="inlineStr">
        <is>
          <t>Steel-Cut Oatmeal with Walnuts and Cinnamon Apples, healthy food photography, plated, natural light</t>
        </is>
      </c>
      <c r="K1014" s="4" t="inlineStr"/>
      <c r="L1014" s="3" t="inlineStr">
        <is>
          <t>Steel-cut oats, dry — 90 g (3.2 oz)
Water / ice — 600 g (21.2 oz)
Apple — 180 g (6.3 oz)
Ground cinnamon — 3 g (0.1 oz)
Walnuts — 30 g (1.1 oz)
Salt — 1 g (0.0 oz)</t>
        </is>
      </c>
      <c r="M1014" s="4" t="inlineStr">
        <is>
          <t>[{"ingredient_id": "steel_cut_oats", "name": "Steel-cut oats, dry", "grams": 90.0, "note": ""}, {"ingredient_id": "water", "name": "Water / ice", "grams": 600.0, "note": ""}, {"ingredient_id": "apple", "name": "Apple", "grams": 180.0, "note": ""}, {"ingredient_id": "cinnamon", "name": "Ground cinnamon", "grams": 3.0, "note": ""}, {"ingredient_id": "walnuts", "name": "Walnuts", "grams": 30.0, "note": ""}, {"ingredient_id": "salt", "name": "Salt", "grams": 1.0, "note": ""}]</t>
        </is>
      </c>
      <c r="N1014" s="2" t="n">
        <v>212</v>
      </c>
      <c r="O1014" s="5" t="n">
        <v>5.6</v>
      </c>
      <c r="P1014" s="5" t="n">
        <v>8.6</v>
      </c>
      <c r="Q1014" s="5" t="n">
        <v>30.7</v>
      </c>
      <c r="R1014" s="5" t="n">
        <v>5.6</v>
      </c>
      <c r="S1014" s="5" t="n">
        <v>25.1</v>
      </c>
      <c r="T1014" s="2" t="n">
        <v>46</v>
      </c>
      <c r="U1014" s="2" t="inlineStr">
        <is>
          <t>low</t>
        </is>
      </c>
      <c r="V1014" s="5" t="n">
        <v>11.5</v>
      </c>
      <c r="W1014" s="2" t="inlineStr">
        <is>
          <t>medium</t>
        </is>
      </c>
      <c r="X1014" s="3" t="inlineStr"/>
      <c r="Y1014" s="3" t="inlineStr">
        <is>
          <t>96% of this dish's available carbohydrate comes from ingredients with a published, measured GI; the rest uses conventional placeholders (see Ingredients sheet)</t>
        </is>
      </c>
      <c r="Z1014" s="2" t="n">
        <v>96</v>
      </c>
      <c r="AA1014" s="3" t="inlineStr">
        <is>
          <t>vegan, dairy-free</t>
        </is>
      </c>
      <c r="AB1014" s="3" t="inlineStr">
        <is>
          <t>1. Simmer the oats in water with salt for 20 minutes.
2. Cook the diced apple with cinnamon in a splash of water until tender.
3. Spoon the oats into bowls and top with apples and walnuts.</t>
        </is>
      </c>
      <c r="AC1014" s="4" t="inlineStr">
        <is>
          <t>["Simmer the oats in water with salt for 20 minutes.", "Cook the diced apple with cinnamon in a splash of water until tender.", "Spoon the oats into bowls and top with apples and walnuts."]</t>
        </is>
      </c>
    </row>
    <row r="1015" ht="96" customHeight="1">
      <c r="A1015" s="2" t="inlineStr">
        <is>
          <t>DB-1014</t>
        </is>
      </c>
      <c r="B1015" s="3" t="inlineStr">
        <is>
          <t>Smoked Salmon and Cream Cheese Cucumber Bites</t>
        </is>
      </c>
      <c r="C1015" s="4" t="inlineStr">
        <is>
          <t>Breakfast</t>
        </is>
      </c>
      <c r="D1015" s="4" t="inlineStr">
        <is>
          <t>American</t>
        </is>
      </c>
      <c r="E1015" s="2" t="n">
        <v>2</v>
      </c>
      <c r="F1015" s="2" t="n">
        <v>10</v>
      </c>
      <c r="G1015" s="2" t="n">
        <v>0</v>
      </c>
      <c r="H1015" s="2" t="n">
        <v>10</v>
      </c>
      <c r="I1015" s="4" t="inlineStr">
        <is>
          <t>smoked-salmon-and-cream-cheese-cucumber-bites.jpg</t>
        </is>
      </c>
      <c r="J1015" s="3" t="inlineStr">
        <is>
          <t>Smoked Salmon and Cream Cheese Cucumber Bites, healthy food photography, plated, natural light</t>
        </is>
      </c>
      <c r="K1015" s="4" t="inlineStr"/>
      <c r="L1015" s="3" t="inlineStr">
        <is>
          <t>Cucumber — 200 g (7.1 oz)
Cream cheese — 60 g (2.1 oz)
Smoked salmon — 80 g (2.8 oz)
Fresh dill — 3 g (0.1 oz)
Capers — 10 g (0.4 oz)
Black pepper — 1 g (0.0 oz)</t>
        </is>
      </c>
      <c r="M1015" s="4" t="inlineStr">
        <is>
          <t>[{"ingredient_id": "cucumber", "name": "Cucumber", "grams": 200.0, "note": ""}, {"ingredient_id": "cream_cheese", "name": "Cream cheese", "grams": 60.0, "note": ""}, {"ingredient_id": "smoked_salmon", "name": "Smoked salmon", "grams": 80.0, "note": ""}, {"ingredient_id": "dill", "name": "Fresh dill", "grams": 3.0, "note": ""}, {"ingredient_id": "capers", "name": "Capers", "grams": 10.0, "note": ""}, {"ingredient_id": "black_pepper", "name": "Black pepper", "grams": 1.0, "note": ""}]</t>
        </is>
      </c>
      <c r="N1015" s="2" t="n">
        <v>167</v>
      </c>
      <c r="O1015" s="5" t="n">
        <v>9.9</v>
      </c>
      <c r="P1015" s="5" t="n">
        <v>12.1</v>
      </c>
      <c r="Q1015" s="5" t="n">
        <v>5.5</v>
      </c>
      <c r="R1015" s="5" t="n">
        <v>0.8</v>
      </c>
      <c r="S1015" s="5" t="n">
        <v>4.7</v>
      </c>
      <c r="T1015" s="2" t="n">
        <v>11</v>
      </c>
      <c r="U1015" s="2" t="inlineStr">
        <is>
          <t>low</t>
        </is>
      </c>
      <c r="V1015" s="5" t="n">
        <v>0.5</v>
      </c>
      <c r="W1015" s="2" t="inlineStr">
        <is>
          <t>low</t>
        </is>
      </c>
      <c r="X1015" s="3" t="inlineStr">
        <is>
          <t>Negligible carbohydrate (&lt;5 g net/serving): GI has little practical meaning, glycemic load is what matters.</t>
        </is>
      </c>
      <c r="Y1015" s="3" t="inlineStr">
        <is>
          <t>0% of this dish's available carbohydrate comes from ingredients with a published, measured GI; the rest uses conventional placeholders (see Ingredients sheet)</t>
        </is>
      </c>
      <c r="Z1015" s="2" t="n">
        <v>0</v>
      </c>
      <c r="AA1015" s="3" t="inlineStr">
        <is>
          <t>pescatarian, gluten-free, nut-free, low-carb, no-cook</t>
        </is>
      </c>
      <c r="AB1015" s="3" t="inlineStr">
        <is>
          <t>1. Slice the cucumber into thick rounds.
2. Spread each with cream cheese.
3. Top with salmon, capers and dill.</t>
        </is>
      </c>
      <c r="AC1015" s="4" t="inlineStr">
        <is>
          <t>["Slice the cucumber into thick rounds.", "Spread each with cream cheese.", "Top with salmon, capers and dill."]</t>
        </is>
      </c>
    </row>
    <row r="1016" ht="96" customHeight="1">
      <c r="A1016" s="2" t="inlineStr">
        <is>
          <t>DB-1015</t>
        </is>
      </c>
      <c r="B1016" s="3" t="inlineStr">
        <is>
          <t>Turkey Bacon and Egg Cups</t>
        </is>
      </c>
      <c r="C1016" s="4" t="inlineStr">
        <is>
          <t>Breakfast</t>
        </is>
      </c>
      <c r="D1016" s="4" t="inlineStr">
        <is>
          <t>American</t>
        </is>
      </c>
      <c r="E1016" s="2" t="n">
        <v>3</v>
      </c>
      <c r="F1016" s="2" t="n">
        <v>10</v>
      </c>
      <c r="G1016" s="2" t="n">
        <v>18</v>
      </c>
      <c r="H1016" s="2" t="n">
        <v>28</v>
      </c>
      <c r="I1016" s="4" t="inlineStr">
        <is>
          <t>turkey-bacon-and-egg-cups.jpg</t>
        </is>
      </c>
      <c r="J1016" s="3" t="inlineStr">
        <is>
          <t>Turkey Bacon and Egg Cups, healthy food photography, plated, natural light</t>
        </is>
      </c>
      <c r="K1016" s="4" t="inlineStr"/>
      <c r="L1016" s="3" t="inlineStr">
        <is>
          <t>Turkey bacon — 90 g (3.2 oz)
Egg, large (50 g each) — 150 g (5.3 oz)
Cheddar cheese — 30 g (1.1 oz)
Fresh chives — 3 g (0.1 oz)
Black pepper — 1 g (0.0 oz)</t>
        </is>
      </c>
      <c r="M1016" s="4" t="inlineStr">
        <is>
          <t>[{"ingredient_id": "turkey_bacon", "name": "Turkey bacon", "grams": 90.0, "note": ""}, {"ingredient_id": "egg", "name": "Egg, large (50 g each)", "grams": 150.0, "note": ""}, {"ingredient_id": "cheddar", "name": "Cheddar cheese", "grams": 30.0, "note": ""}, {"ingredient_id": "chives", "name": "Fresh chives", "grams": 3.0, "note": ""}, {"ingredient_id": "black_pepper", "name": "Black pepper", "grams": 1.0, "note": ""}]</t>
        </is>
      </c>
      <c r="N1016" s="2" t="n">
        <v>178</v>
      </c>
      <c r="O1016" s="5" t="n">
        <v>14.1</v>
      </c>
      <c r="P1016" s="5" t="n">
        <v>12.6</v>
      </c>
      <c r="Q1016" s="5" t="n">
        <v>1.3</v>
      </c>
      <c r="R1016" s="5" t="n">
        <v>0.1</v>
      </c>
      <c r="S1016" s="5" t="n">
        <v>1.2</v>
      </c>
      <c r="T1016" s="2" t="n">
        <v>2</v>
      </c>
      <c r="U1016" s="2" t="inlineStr">
        <is>
          <t>low</t>
        </is>
      </c>
      <c r="V1016" s="5" t="n">
        <v>0</v>
      </c>
      <c r="W1016" s="2" t="inlineStr">
        <is>
          <t>low</t>
        </is>
      </c>
      <c r="X1016" s="3" t="inlineStr">
        <is>
          <t>Negligible carbohydrate (&lt;5 g net/serving): GI has little practical meaning, glycemic load is what matters.</t>
        </is>
      </c>
      <c r="Y1016" s="3" t="inlineStr">
        <is>
          <t>0% of this dish's available carbohydrate comes from ingredients with a published, measured GI; the rest uses conventional placeholders (see Ingredients sheet)</t>
        </is>
      </c>
      <c r="Z1016" s="2" t="n">
        <v>0</v>
      </c>
      <c r="AA1016" s="3" t="inlineStr">
        <is>
          <t>gluten-free, nut-free, low-carb</t>
        </is>
      </c>
      <c r="AB1016" s="3" t="inlineStr">
        <is>
          <t>1. Heat the oven to 375°F.
2. Line three muffin cups with turkey bacon.
3. Crack an egg into each and scatter with cheddar.
4. Bake 15 to 18 minutes and finish with chives.</t>
        </is>
      </c>
      <c r="AC1016" s="4" t="inlineStr">
        <is>
          <t>["Heat the oven to 375°F.", "Line three muffin cups with turkey bacon.", "Crack an egg into each and scatter with cheddar.", "Bake 15 to 18 minutes and finish with chives."]</t>
        </is>
      </c>
    </row>
    <row r="1017" ht="96" customHeight="1">
      <c r="A1017" s="2" t="inlineStr">
        <is>
          <t>DB-1016</t>
        </is>
      </c>
      <c r="B1017" s="3" t="inlineStr">
        <is>
          <t>Chia Pudding with Raspberries</t>
        </is>
      </c>
      <c r="C1017" s="4" t="inlineStr">
        <is>
          <t>Breakfast</t>
        </is>
      </c>
      <c r="D1017" s="4" t="inlineStr">
        <is>
          <t>American</t>
        </is>
      </c>
      <c r="E1017" s="2" t="n">
        <v>2</v>
      </c>
      <c r="F1017" s="2" t="n">
        <v>5</v>
      </c>
      <c r="G1017" s="2" t="n">
        <v>0</v>
      </c>
      <c r="H1017" s="2" t="n">
        <v>5</v>
      </c>
      <c r="I1017" s="4" t="inlineStr">
        <is>
          <t>chia-pudding-with-raspberries.jpg</t>
        </is>
      </c>
      <c r="J1017" s="3" t="inlineStr">
        <is>
          <t>Chia Pudding with Raspberries, healthy food photography, plated, natural light</t>
        </is>
      </c>
      <c r="K1017" s="4" t="inlineStr"/>
      <c r="L1017" s="3" t="inlineStr">
        <is>
          <t>Chia seeds — 40 g (1.4 oz)
Almond milk, unsweetened — 300 g (10.6 oz)
Raspberries — 120 g (4.2 oz)
Vanilla extract — 3 g (0.1 oz)
Monk fruit/erythritol sweetener — 2 g (0.1 oz)</t>
        </is>
      </c>
      <c r="M1017" s="4" t="inlineStr">
        <is>
          <t>[{"ingredient_id": "chia_seeds", "name": "Chia seeds", "grams": 40.0, "note": ""}, {"ingredient_id": "almond_milk", "name": "Almond milk, unsweetened", "grams": 300.0, "note": ""}, {"ingredient_id": "raspberries", "name": "Raspberries", "grams": 120.0, "note": ""}, {"ingredient_id": "vanilla_extract", "name": "Vanilla extract", "grams": 3.0, "note": ""}, {"ingredient_id": "monk_fruit_sweetener", "name": "Monk fruit/erythritol sweetener", "grams": 2.0, "note": ""}]</t>
        </is>
      </c>
      <c r="N1017" s="2" t="n">
        <v>155</v>
      </c>
      <c r="O1017" s="5" t="n">
        <v>5</v>
      </c>
      <c r="P1017" s="5" t="n">
        <v>8.4</v>
      </c>
      <c r="Q1017" s="5" t="n">
        <v>16.7</v>
      </c>
      <c r="R1017" s="5" t="n">
        <v>10.7</v>
      </c>
      <c r="S1017" s="5" t="n">
        <v>6</v>
      </c>
      <c r="T1017" s="2" t="n">
        <v>25</v>
      </c>
      <c r="U1017" s="2" t="inlineStr">
        <is>
          <t>low</t>
        </is>
      </c>
      <c r="V1017" s="5" t="n">
        <v>1.5</v>
      </c>
      <c r="W1017" s="2" t="inlineStr">
        <is>
          <t>low</t>
        </is>
      </c>
      <c r="X1017" s="3" t="inlineStr"/>
      <c r="Y1017" s="3" t="inlineStr">
        <is>
          <t>0% of this dish's available carbohydrate comes from ingredients with a published, measured GI; the rest uses conventional placeholders (see Ingredients sheet)</t>
        </is>
      </c>
      <c r="Z1017" s="2" t="n">
        <v>0</v>
      </c>
      <c r="AA1017" s="3" t="inlineStr">
        <is>
          <t>vegan, gluten-free, dairy-free, low-carb, high-fiber, no-cook, meal-prep</t>
        </is>
      </c>
      <c r="AB1017" s="3" t="inlineStr">
        <is>
          <t>1. Stir the chia, almond milk, vanilla and sweetener.
2. Refrigerate at least 4 hours, stirring once.
3. Top with raspberries.</t>
        </is>
      </c>
      <c r="AC1017" s="4" t="inlineStr">
        <is>
          <t>["Stir the chia, almond milk, vanilla and sweetener.", "Refrigerate at least 4 hours, stirring once.", "Top with raspberries."]</t>
        </is>
      </c>
    </row>
    <row r="1018" ht="96" customHeight="1">
      <c r="A1018" s="2" t="inlineStr">
        <is>
          <t>DB-1017</t>
        </is>
      </c>
      <c r="B1018" s="3" t="inlineStr">
        <is>
          <t>Peanut Butter Banana Oat Bowl</t>
        </is>
      </c>
      <c r="C1018" s="4" t="inlineStr">
        <is>
          <t>Breakfast</t>
        </is>
      </c>
      <c r="D1018" s="4" t="inlineStr">
        <is>
          <t>American</t>
        </is>
      </c>
      <c r="E1018" s="2" t="n">
        <v>2</v>
      </c>
      <c r="F1018" s="2" t="n">
        <v>5</v>
      </c>
      <c r="G1018" s="2" t="n">
        <v>5</v>
      </c>
      <c r="H1018" s="2" t="n">
        <v>10</v>
      </c>
      <c r="I1018" s="4" t="inlineStr">
        <is>
          <t>peanut-butter-banana-oat-bowl.jpg</t>
        </is>
      </c>
      <c r="J1018" s="3" t="inlineStr">
        <is>
          <t>Peanut Butter Banana Oat Bowl, healthy food photography, plated, natural light</t>
        </is>
      </c>
      <c r="K1018" s="4" t="inlineStr"/>
      <c r="L1018" s="3" t="inlineStr">
        <is>
          <t>Rolled oats, dry — 50 g (1.8 oz)
Milk, 2% — 300 g (10.6 oz)
Banana (small amount) — 70 g (2.5 oz)
Peanut butter, natural — 30 g (1.1 oz)
Ground cinnamon — 1 g (0.0 oz)</t>
        </is>
      </c>
      <c r="M1018" s="4" t="inlineStr">
        <is>
          <t>[{"ingredient_id": "rolled_oats", "name": "Rolled oats, dry", "grams": 50.0, "note": ""}, {"ingredient_id": "milk", "name": "Milk, 2%", "grams": 300.0, "note": ""}, {"ingredient_id": "banana", "name": "Banana (small amount)", "grams": 70.0, "note": ""}, {"ingredient_id": "peanut_butter", "name": "Peanut butter, natural", "grams": 30.0, "note": ""}, {"ingredient_id": "cinnamon", "name": "Ground cinnamon", "grams": 1.0, "note": ""}]</t>
        </is>
      </c>
      <c r="N1018" s="2" t="n">
        <v>290</v>
      </c>
      <c r="O1018" s="5" t="n">
        <v>12.4</v>
      </c>
      <c r="P1018" s="5" t="n">
        <v>12.2</v>
      </c>
      <c r="Q1018" s="5" t="n">
        <v>35.7</v>
      </c>
      <c r="R1018" s="5" t="n">
        <v>4.6</v>
      </c>
      <c r="S1018" s="5" t="n">
        <v>31.1</v>
      </c>
      <c r="T1018" s="2" t="n">
        <v>46</v>
      </c>
      <c r="U1018" s="2" t="inlineStr">
        <is>
          <t>low</t>
        </is>
      </c>
      <c r="V1018" s="5" t="n">
        <v>14.3</v>
      </c>
      <c r="W1018" s="2" t="inlineStr">
        <is>
          <t>medium</t>
        </is>
      </c>
      <c r="X1018" s="3" t="inlineStr"/>
      <c r="Y1018" s="3" t="inlineStr">
        <is>
          <t>93% of this dish's available carbohydrate comes from ingredients with a published, measured GI; the rest uses conventional placeholders (see Ingredients sheet)</t>
        </is>
      </c>
      <c r="Z1018" s="2" t="n">
        <v>93</v>
      </c>
      <c r="AA1018" s="3" t="inlineStr">
        <is>
          <t>vegetarian</t>
        </is>
      </c>
      <c r="AB1018" s="3" t="inlineStr">
        <is>
          <t>1. Simmer the oats in the milk for 5 minutes.
2. Stir in half the banana, mashed.
3. Top with sliced banana and a spoon of peanut butter each.</t>
        </is>
      </c>
      <c r="AC1018" s="4" t="inlineStr">
        <is>
          <t>["Simmer the oats in the milk for 5 minutes.", "Stir in half the banana, mashed.", "Top with sliced banana and a spoon of peanut butter each."]</t>
        </is>
      </c>
    </row>
    <row r="1019" ht="96" customHeight="1">
      <c r="A1019" s="2" t="inlineStr">
        <is>
          <t>DB-1018</t>
        </is>
      </c>
      <c r="B1019" s="3" t="inlineStr">
        <is>
          <t>Chicken Caesar Wrap</t>
        </is>
      </c>
      <c r="C1019" s="4" t="inlineStr">
        <is>
          <t>Sandwiches &amp; Wraps</t>
        </is>
      </c>
      <c r="D1019" s="4" t="inlineStr">
        <is>
          <t>American</t>
        </is>
      </c>
      <c r="E1019" s="2" t="n">
        <v>2</v>
      </c>
      <c r="F1019" s="2" t="n">
        <v>10</v>
      </c>
      <c r="G1019" s="2" t="n">
        <v>0</v>
      </c>
      <c r="H1019" s="2" t="n">
        <v>10</v>
      </c>
      <c r="I1019" s="4" t="inlineStr">
        <is>
          <t>chicken-caesar-wrap.jpg</t>
        </is>
      </c>
      <c r="J1019" s="3" t="inlineStr">
        <is>
          <t>Chicken Caesar Wrap, healthy food photography, plated, natural light</t>
        </is>
      </c>
      <c r="K1019" s="4" t="inlineStr"/>
      <c r="L1019" s="3" t="inlineStr">
        <is>
          <t>Low-carb high-fiber tortilla — 100 g (3.5 oz)
Rotisserie chicken, skin removed — 160 g (5.6 oz)
Romaine lettuce — 80 g (2.8 oz)
Parmesan, grated — 20 g (0.7 oz)
Greek yogurt, plain 2% — 40 g (1.4 oz)
Lemon juice — 10 g (0.4 oz)
Garlic — 3 g (0.1 oz)
Dijon mustard — 5 g (0.2 oz)</t>
        </is>
      </c>
      <c r="M1019" s="4" t="inlineStr">
        <is>
          <t>[{"ingredient_id": "low_carb_tortilla", "name": "Low-carb high-fiber tortilla", "grams": 100.0, "note": ""}, {"ingredient_id": "rotisserie_chicken", "name": "Rotisserie chicken, skin removed", "grams": 160.0, "note": ""}, {"ingredient_id": "romaine", "name": "Romaine lettuce", "grams": 80.0, "note": ""}, {"ingredient_id": "parmesan", "name": "Parmesan, grated", "grams": 20.0, "note": ""}, {"ingredient_id": "greek_yogurt", "name": "Greek yogurt, plain 2%", "grams": 40.0, "note": ""}, {"ingredient_id": "lemon_juice", "name": "Lemon juice", "grams": 10.0, "note": ""}, {"ingredient_id": "garlic", "name": "Garlic", "grams": 3.0, "note": ""}, {"ingredient_id": "dijon", "name": "Dijon mustard", "grams": 5.0, "note": ""}]</t>
        </is>
      </c>
      <c r="N1019" s="2" t="n">
        <v>322</v>
      </c>
      <c r="O1019" s="5" t="n">
        <v>30.9</v>
      </c>
      <c r="P1019" s="5" t="n">
        <v>13.1</v>
      </c>
      <c r="Q1019" s="5" t="n">
        <v>23.5</v>
      </c>
      <c r="R1019" s="5" t="n">
        <v>13.5</v>
      </c>
      <c r="S1019" s="5" t="n">
        <v>10</v>
      </c>
      <c r="T1019" s="2" t="n">
        <v>26</v>
      </c>
      <c r="U1019" s="2" t="inlineStr">
        <is>
          <t>low</t>
        </is>
      </c>
      <c r="V1019" s="5" t="n">
        <v>2.6</v>
      </c>
      <c r="W1019" s="2" t="inlineStr">
        <is>
          <t>low</t>
        </is>
      </c>
      <c r="X1019" s="3" t="inlineStr"/>
      <c r="Y1019" s="3" t="inlineStr">
        <is>
          <t>8% of this dish's available carbohydrate comes from ingredients with a published, measured GI; the rest uses conventional placeholders (see Ingredients sheet)</t>
        </is>
      </c>
      <c r="Z1019" s="2" t="n">
        <v>8</v>
      </c>
      <c r="AA1019" s="3" t="inlineStr">
        <is>
          <t>nut-free, low-carb, high-protein, high-fiber, no-cook</t>
        </is>
      </c>
      <c r="AB1019" s="3" t="inlineStr">
        <is>
          <t>1. Whisk the yogurt, lemon, garlic and mustard into a quick dressing.
2. Toss the shredded chicken and romaine with the dressing.
3. Spoon onto the tortillas, add parmesan and roll.</t>
        </is>
      </c>
      <c r="AC1019" s="4" t="inlineStr">
        <is>
          <t>["Whisk the yogurt, lemon, garlic and mustard into a quick dressing.", "Toss the shredded chicken and romaine with the dressing.", "Spoon onto the tortillas, add parmesan and roll."]</t>
        </is>
      </c>
    </row>
    <row r="1020" ht="96" customHeight="1">
      <c r="A1020" s="2" t="inlineStr">
        <is>
          <t>DB-1019</t>
        </is>
      </c>
      <c r="B1020" s="3" t="inlineStr">
        <is>
          <t>Tuna Salad Melt on Rye</t>
        </is>
      </c>
      <c r="C1020" s="4" t="inlineStr">
        <is>
          <t>Sandwiches &amp; Wraps</t>
        </is>
      </c>
      <c r="D1020" s="4" t="inlineStr">
        <is>
          <t>American</t>
        </is>
      </c>
      <c r="E1020" s="2" t="n">
        <v>2</v>
      </c>
      <c r="F1020" s="2" t="n">
        <v>10</v>
      </c>
      <c r="G1020" s="2" t="n">
        <v>5</v>
      </c>
      <c r="H1020" s="2" t="n">
        <v>15</v>
      </c>
      <c r="I1020" s="4" t="inlineStr">
        <is>
          <t>tuna-salad-melt-on-rye.jpg</t>
        </is>
      </c>
      <c r="J1020" s="3" t="inlineStr">
        <is>
          <t>Tuna Salad Melt on Rye, healthy food photography, plated, natural light</t>
        </is>
      </c>
      <c r="K1020" s="4" t="inlineStr"/>
      <c r="L1020" s="3" t="inlineStr">
        <is>
          <t>Tuna, canned in water — 240 g (8.5 oz)
Pumpernickel / whole rye bread — 80 g (2.8 oz)
Celery — 40 g (1.4 oz)
Greek yogurt, plain 2% — 50 g (1.8 oz)
Dijon mustard — 5 g (0.2 oz)
Cheddar cheese — 40 g (1.4 oz)
Dill pickles — 30 g (1.1 oz)</t>
        </is>
      </c>
      <c r="M1020" s="4" t="inlineStr">
        <is>
          <t>[{"ingredient_id": "tuna_canned", "name": "Tuna, canned in water", "grams": 240.0, "note": ""}, {"ingredient_id": "rye_bread", "name": "Pumpernickel / whole rye bread", "grams": 80.0, "note": ""}, {"ingredient_id": "celery", "name": "Celery", "grams": 40.0, "note": ""}, {"ingredient_id": "greek_yogurt", "name": "Greek yogurt, plain 2%", "grams": 50.0, "note": ""}, {"ingredient_id": "dijon", "name": "Dijon mustard", "grams": 5.0, "note": ""}, {"ingredient_id": "cheddar", "name": "Cheddar cheese", "grams": 40.0, "note": ""}, {"ingredient_id": "dill_pickle", "name": "Dill pickles", "grams": 30.0, "note": ""}]</t>
        </is>
      </c>
      <c r="N1020" s="2" t="n">
        <v>345</v>
      </c>
      <c r="O1020" s="5" t="n">
        <v>42.1</v>
      </c>
      <c r="P1020" s="5" t="n">
        <v>9.699999999999999</v>
      </c>
      <c r="Q1020" s="5" t="n">
        <v>21.1</v>
      </c>
      <c r="R1020" s="5" t="n">
        <v>3.2</v>
      </c>
      <c r="S1020" s="5" t="n">
        <v>18</v>
      </c>
      <c r="T1020" s="2" t="n">
        <v>46</v>
      </c>
      <c r="U1020" s="2" t="inlineStr">
        <is>
          <t>low</t>
        </is>
      </c>
      <c r="V1020" s="5" t="n">
        <v>8.300000000000001</v>
      </c>
      <c r="W1020" s="2" t="inlineStr">
        <is>
          <t>low</t>
        </is>
      </c>
      <c r="X1020" s="3" t="inlineStr"/>
      <c r="Y1020" s="3" t="inlineStr">
        <is>
          <t>96% of this dish's available carbohydrate comes from ingredients with a published, measured GI; the rest uses conventional placeholders (see Ingredients sheet)</t>
        </is>
      </c>
      <c r="Z1020" s="2" t="n">
        <v>96</v>
      </c>
      <c r="AA1020" s="3" t="inlineStr">
        <is>
          <t>pescatarian, nut-free, high-protein</t>
        </is>
      </c>
      <c r="AB1020" s="3" t="inlineStr">
        <is>
          <t>1. Mix the tuna, celery, chopped pickle, yogurt and mustard.
2. Pile onto the bread and top with cheddar.
3. Broil 3 minutes until the cheese melts.</t>
        </is>
      </c>
      <c r="AC1020" s="4" t="inlineStr">
        <is>
          <t>["Mix the tuna, celery, chopped pickle, yogurt and mustard.", "Pile onto the bread and top with cheddar.", "Broil 3 minutes until the cheese melts."]</t>
        </is>
      </c>
    </row>
    <row r="1021" ht="96" customHeight="1">
      <c r="A1021" s="2" t="inlineStr">
        <is>
          <t>DB-1020</t>
        </is>
      </c>
      <c r="B1021" s="3" t="inlineStr">
        <is>
          <t>Grilled Chicken Avocado Sandwich</t>
        </is>
      </c>
      <c r="C1021" s="4" t="inlineStr">
        <is>
          <t>Sandwiches &amp; Wraps</t>
        </is>
      </c>
      <c r="D1021" s="4" t="inlineStr">
        <is>
          <t>American</t>
        </is>
      </c>
      <c r="E1021" s="2" t="n">
        <v>2</v>
      </c>
      <c r="F1021" s="2" t="n">
        <v>10</v>
      </c>
      <c r="G1021" s="2" t="n">
        <v>10</v>
      </c>
      <c r="H1021" s="2" t="n">
        <v>20</v>
      </c>
      <c r="I1021" s="4" t="inlineStr">
        <is>
          <t>grilled-chicken-avocado-sandwich.jpg</t>
        </is>
      </c>
      <c r="J1021" s="3" t="inlineStr">
        <is>
          <t>Grilled Chicken Avocado Sandwich, healthy food photography, plated, natural light</t>
        </is>
      </c>
      <c r="K1021" s="4" t="inlineStr"/>
      <c r="L1021" s="3" t="inlineStr">
        <is>
          <t>Chicken breast, skinless — 240 g (8.5 oz)
Whole wheat bread (100% whole wheat) — 90 g (3.2 oz)
Avocado — 100 g (3.5 oz)
Tomato — 100 g (3.5 oz)
Arugula — 20 g (0.7 oz)
Dijon mustard — 5 g (0.2 oz)
Extra-virgin olive oil — 5 g (0.2 oz)</t>
        </is>
      </c>
      <c r="M1021" s="4" t="inlineStr">
        <is>
          <t>[{"ingredient_id": "chicken_breast", "name": "Chicken breast, skinless", "grams": 240.0, "note": ""}, {"ingredient_id": "whole_grain_bread", "name": "Whole wheat bread (100% whole wheat)", "grams": 90.0, "note": ""}, {"ingredient_id": "avocado", "name": "Avocado", "grams": 100.0, "note": ""}, {"ingredient_id": "tomato", "name": "Tomato", "grams": 100.0, "note": ""}, {"ingredient_id": "arugula", "name": "Arugula", "grams": 20.0, "note": ""}, {"ingredient_id": "dijon", "name": "Dijon mustard", "grams": 5.0, "note": ""}, {"ingredient_id": "olive_oil", "name": "Extra-virgin olive oil", "grams": 5.0, "note": ""}]</t>
        </is>
      </c>
      <c r="N1021" s="2" t="n">
        <v>372</v>
      </c>
      <c r="O1021" s="5" t="n">
        <v>34.2</v>
      </c>
      <c r="P1021" s="5" t="n">
        <v>14.9</v>
      </c>
      <c r="Q1021" s="5" t="n">
        <v>26</v>
      </c>
      <c r="R1021" s="5" t="n">
        <v>7.1</v>
      </c>
      <c r="S1021" s="5" t="n">
        <v>18.9</v>
      </c>
      <c r="T1021" s="2" t="n">
        <v>64</v>
      </c>
      <c r="U1021" s="2" t="inlineStr">
        <is>
          <t>medium</t>
        </is>
      </c>
      <c r="V1021" s="5" t="n">
        <v>12.1</v>
      </c>
      <c r="W1021" s="2" t="inlineStr">
        <is>
          <t>medium</t>
        </is>
      </c>
      <c r="X1021" s="3" t="inlineStr">
        <is>
          <t>Medium-GI dish: keep to the stated portion and pair with the protein/fat in the recipe; GL per serving is the better guide.</t>
        </is>
      </c>
      <c r="Y1021" s="3" t="inlineStr">
        <is>
          <t>87% of this dish's available carbohydrate comes from ingredients with a published, measured GI; the rest uses conventional placeholders (see Ingredients sheet)</t>
        </is>
      </c>
      <c r="Z1021" s="2" t="n">
        <v>87</v>
      </c>
      <c r="AA1021" s="3" t="inlineStr">
        <is>
          <t>dairy-free, nut-free, high-protein, high-fiber</t>
        </is>
      </c>
      <c r="AB1021" s="3" t="inlineStr">
        <is>
          <t>1. Pound the chicken thin, brush with oil and grill 4 minutes a side.
2. Toast the bread and spread with mashed avocado and mustard.
3. Layer chicken, tomato and arugula.</t>
        </is>
      </c>
      <c r="AC1021" s="4" t="inlineStr">
        <is>
          <t>["Pound the chicken thin, brush with oil and grill 4 minutes a side.", "Toast the bread and spread with mashed avocado and mustard.", "Layer chicken, tomato and arugula."]</t>
        </is>
      </c>
    </row>
    <row r="1022" ht="96" customHeight="1">
      <c r="A1022" s="2" t="inlineStr">
        <is>
          <t>DB-1021</t>
        </is>
      </c>
      <c r="B1022" s="3" t="inlineStr">
        <is>
          <t>Turkey Burger Lettuce Wrap</t>
        </is>
      </c>
      <c r="C1022" s="4" t="inlineStr">
        <is>
          <t>Sandwiches &amp; Wraps</t>
        </is>
      </c>
      <c r="D1022" s="4" t="inlineStr">
        <is>
          <t>American</t>
        </is>
      </c>
      <c r="E1022" s="2" t="n">
        <v>3</v>
      </c>
      <c r="F1022" s="2" t="n">
        <v>10</v>
      </c>
      <c r="G1022" s="2" t="n">
        <v>12</v>
      </c>
      <c r="H1022" s="2" t="n">
        <v>22</v>
      </c>
      <c r="I1022" s="4" t="inlineStr">
        <is>
          <t>turkey-burger-lettuce-wrap.jpg</t>
        </is>
      </c>
      <c r="J1022" s="3" t="inlineStr">
        <is>
          <t>Turkey Burger Lettuce Wrap, healthy food photography, plated, natural light</t>
        </is>
      </c>
      <c r="K1022" s="4" t="inlineStr"/>
      <c r="L1022" s="3" t="inlineStr">
        <is>
          <t>Ground turkey 93% lean — 450 g (15.9 oz)
Butter lettuce — 120 g (4.2 oz)
Tomato — 120 g (4.2 oz)
Red onion — 40 g (1.4 oz)
Dill pickles — 40 g (1.4 oz)
Yellow mustard — 10 g (0.4 oz)
Egg, large (50 g each) — 50 g (1.8 oz)
Smoked paprika — 2 g (0.1 oz)
Salt — 2 g (0.1 oz)</t>
        </is>
      </c>
      <c r="M1022" s="4" t="inlineStr">
        <is>
          <t>[{"ingredient_id": "ground_turkey", "name": "Ground turkey 93% lean", "grams": 450.0, "note": ""}, {"ingredient_id": "butter_lettuce", "name": "Butter lettuce", "grams": 120.0, "note": ""}, {"ingredient_id": "tomato", "name": "Tomato", "grams": 120.0, "note": ""}, {"ingredient_id": "red_onion", "name": "Red onion", "grams": 40.0, "note": ""}, {"ingredient_id": "dill_pickle", "name": "Dill pickles", "grams": 40.0, "note": ""}, {"ingredient_id": "yellow_mustard", "name": "Yellow mustard", "grams": 10.0, "note": ""}, {"ingredient_id": "egg", "name": "Egg, large (50 g each)", "grams": 50.0, "note": ""}, {"ingredient_id": "smoked_paprika", "name": "Smoked paprika", "grams": 2.0, "note": ""}, {"ingredient_id": "salt", "name": "Salt", "grams": 2.0, "note": ""}]</t>
        </is>
      </c>
      <c r="N1022" s="2" t="n">
        <v>272</v>
      </c>
      <c r="O1022" s="5" t="n">
        <v>31.5</v>
      </c>
      <c r="P1022" s="5" t="n">
        <v>14</v>
      </c>
      <c r="Q1022" s="5" t="n">
        <v>4.6</v>
      </c>
      <c r="R1022" s="5" t="n">
        <v>1.6</v>
      </c>
      <c r="S1022" s="5" t="n">
        <v>3</v>
      </c>
      <c r="T1022" s="2" t="n">
        <v>14</v>
      </c>
      <c r="U1022" s="2" t="inlineStr">
        <is>
          <t>low</t>
        </is>
      </c>
      <c r="V1022" s="5" t="n">
        <v>0.4</v>
      </c>
      <c r="W1022" s="2" t="inlineStr">
        <is>
          <t>low</t>
        </is>
      </c>
      <c r="X1022" s="3" t="inlineStr">
        <is>
          <t>Negligible carbohydrate (&lt;5 g net/serving): GI has little practical meaning, glycemic load is what matters.</t>
        </is>
      </c>
      <c r="Y1022" s="3" t="inlineStr">
        <is>
          <t>0% of this dish's available carbohydrate comes from ingredients with a published, measured GI; the rest uses conventional placeholders (see Ingredients sheet)</t>
        </is>
      </c>
      <c r="Z1022" s="2" t="n">
        <v>0</v>
      </c>
      <c r="AA1022" s="3" t="inlineStr">
        <is>
          <t>gluten-free, dairy-free, nut-free, low-carb, high-protein</t>
        </is>
      </c>
      <c r="AB1022" s="3" t="inlineStr">
        <is>
          <t>1. Mix the turkey, egg, paprika and salt and shape three patties.
2. Grill or pan-sear 5 to 6 minutes a side.
3. Wrap each patty in lettuce with tomato, onion, pickle and mustard.</t>
        </is>
      </c>
      <c r="AC1022" s="4" t="inlineStr">
        <is>
          <t>["Mix the turkey, egg, paprika and salt and shape three patties.", "Grill or pan-sear 5 to 6 minutes a side.", "Wrap each patty in lettuce with tomato, onion, pickle and mustard."]</t>
        </is>
      </c>
    </row>
    <row r="1023" ht="96" customHeight="1">
      <c r="A1023" s="2" t="inlineStr">
        <is>
          <t>DB-1022</t>
        </is>
      </c>
      <c r="B1023" s="3" t="inlineStr">
        <is>
          <t>Philly Cheesesteak Stuffed Peppers</t>
        </is>
      </c>
      <c r="C1023" s="4" t="inlineStr">
        <is>
          <t>Sandwiches &amp; Wraps</t>
        </is>
      </c>
      <c r="D1023" s="4" t="inlineStr">
        <is>
          <t>American</t>
        </is>
      </c>
      <c r="E1023" s="2" t="n">
        <v>4</v>
      </c>
      <c r="F1023" s="2" t="n">
        <v>15</v>
      </c>
      <c r="G1023" s="2" t="n">
        <v>25</v>
      </c>
      <c r="H1023" s="2" t="n">
        <v>40</v>
      </c>
      <c r="I1023" s="4" t="inlineStr">
        <is>
          <t>philly-cheesesteak-stuffed-peppers.jpg</t>
        </is>
      </c>
      <c r="J1023" s="3" t="inlineStr">
        <is>
          <t>Philly Cheesesteak Stuffed Peppers, healthy food photography, plated, natural light</t>
        </is>
      </c>
      <c r="K1023" s="4" t="inlineStr"/>
      <c r="L1023" s="3" t="inlineStr">
        <is>
          <t>Bell pepper — 500 g (17.6 oz)
Flank steak — 400 g (14.1 oz)
Yellow onion — 120 g (4.2 oz)
Mushrooms (cremini/white) — 120 g (4.2 oz)
Swiss cheese — 80 g (2.8 oz)
Extra-virgin olive oil — 15 g (0.5 oz)
Black pepper — 1 g (0.0 oz)
Salt — 2 g (0.1 oz)</t>
        </is>
      </c>
      <c r="M1023" s="4" t="inlineStr">
        <is>
          <t>[{"ingredient_id": "bell_pepper", "name": "Bell pepper", "grams": 500.0, "note": ""}, {"ingredient_id": "flank_steak", "name": "Flank steak", "grams": 400.0, "note": ""}, {"ingredient_id": "onion", "name": "Yellow onion", "grams": 120.0, "note": ""}, {"ingredient_id": "mushrooms", "name": "Mushrooms (cremini/white)", "grams": 120.0, "note": ""}, {"ingredient_id": "swiss_cheese", "name": "Swiss cheese", "grams": 80.0, "note": ""}, {"ingredient_id": "olive_oil", "name": "Extra-virgin olive oil", "grams": 15.0, "note": ""}, {"ingredient_id": "black_pepper", "name": "Black pepper", "grams": 1.0, "note": ""}, {"ingredient_id": "salt", "name": "Salt", "grams": 2.0, "note": ""}]</t>
        </is>
      </c>
      <c r="N1023" s="2" t="n">
        <v>317</v>
      </c>
      <c r="O1023" s="5" t="n">
        <v>28.9</v>
      </c>
      <c r="P1023" s="5" t="n">
        <v>16.9</v>
      </c>
      <c r="Q1023" s="5" t="n">
        <v>11.7</v>
      </c>
      <c r="R1023" s="5" t="n">
        <v>3.5</v>
      </c>
      <c r="S1023" s="5" t="n">
        <v>8.199999999999999</v>
      </c>
      <c r="T1023" s="2" t="n">
        <v>14</v>
      </c>
      <c r="U1023" s="2" t="inlineStr">
        <is>
          <t>low</t>
        </is>
      </c>
      <c r="V1023" s="5" t="n">
        <v>1.2</v>
      </c>
      <c r="W1023" s="2" t="inlineStr">
        <is>
          <t>low</t>
        </is>
      </c>
      <c r="X1023" s="3" t="inlineStr"/>
      <c r="Y1023" s="3" t="inlineStr">
        <is>
          <t>0% of this dish's available carbohydrate comes from ingredients with a published, measured GI; the rest uses conventional placeholders (see Ingredients sheet)</t>
        </is>
      </c>
      <c r="Z1023" s="2" t="n">
        <v>0</v>
      </c>
      <c r="AA1023" s="3" t="inlineStr">
        <is>
          <t>gluten-free, nut-free, low-carb, high-protein</t>
        </is>
      </c>
      <c r="AB1023" s="3" t="inlineStr">
        <is>
          <t>1. Halve the peppers and roast them cut-side up for 10 minutes at 400°F.
2. Slice the steak thin and sear with the onion and mushrooms in oil.
3. Fill the peppers, top with Swiss and bake 8 minutes.</t>
        </is>
      </c>
      <c r="AC1023" s="4" t="inlineStr">
        <is>
          <t>["Halve the peppers and roast them cut-side up for 10 minutes at 400°F.", "Slice the steak thin and sear with the onion and mushrooms in oil.", "Fill the peppers, top with Swiss and bake 8 minutes."]</t>
        </is>
      </c>
    </row>
    <row r="1024" ht="96" customHeight="1">
      <c r="A1024" s="2" t="inlineStr">
        <is>
          <t>DB-1023</t>
        </is>
      </c>
      <c r="B1024" s="3" t="inlineStr">
        <is>
          <t>Egg Salad on Ezekiel Toast</t>
        </is>
      </c>
      <c r="C1024" s="4" t="inlineStr">
        <is>
          <t>Sandwiches &amp; Wraps</t>
        </is>
      </c>
      <c r="D1024" s="4" t="inlineStr">
        <is>
          <t>American</t>
        </is>
      </c>
      <c r="E1024" s="2" t="n">
        <v>2</v>
      </c>
      <c r="F1024" s="2" t="n">
        <v>15</v>
      </c>
      <c r="G1024" s="2" t="n">
        <v>10</v>
      </c>
      <c r="H1024" s="2" t="n">
        <v>25</v>
      </c>
      <c r="I1024" s="4" t="inlineStr">
        <is>
          <t>egg-salad-on-ezekiel-toast.jpg</t>
        </is>
      </c>
      <c r="J1024" s="3" t="inlineStr">
        <is>
          <t>Egg Salad on Ezekiel Toast, healthy food photography, plated, natural light</t>
        </is>
      </c>
      <c r="K1024" s="4" t="inlineStr"/>
      <c r="L1024" s="3" t="inlineStr">
        <is>
          <t>Egg, large (50 g each) — 250 g (8.8 oz)
Sprouted grain bread (Ezekiel-style) — 70 g (2.5 oz)
Greek yogurt, plain 2% — 40 g (1.4 oz)
Dijon mustard — 5 g (0.2 oz)
Celery — 30 g (1.1 oz)
Fresh chives — 3 g (0.1 oz)
Paprika — 1 g (0.0 oz)</t>
        </is>
      </c>
      <c r="M1024" s="4" t="inlineStr">
        <is>
          <t>[{"ingredient_id": "egg", "name": "Egg, large (50 g each)", "grams": 250.0, "note": ""}, {"ingredient_id": "ezekiel_bread", "name": "Sprouted grain bread (Ezekiel-style)", "grams": 70.0, "note": ""}, {"ingredient_id": "greek_yogurt", "name": "Greek yogurt, plain 2%", "grams": 40.0, "note": ""}, {"ingredient_id": "dijon", "name": "Dijon mustard", "grams": 5.0, "note": ""}, {"ingredient_id": "celery", "name": "Celery", "grams": 30.0, "note": ""}, {"ingredient_id": "chives", "name": "Fresh chives", "grams": 3.0, "note": ""}, {"ingredient_id": "paprika", "name": "Paprika", "grams": 1.0, "note": ""}]</t>
        </is>
      </c>
      <c r="N1024" s="2" t="n">
        <v>282</v>
      </c>
      <c r="O1024" s="5" t="n">
        <v>22.3</v>
      </c>
      <c r="P1024" s="5" t="n">
        <v>13</v>
      </c>
      <c r="Q1024" s="5" t="n">
        <v>18</v>
      </c>
      <c r="R1024" s="5" t="n">
        <v>3.7</v>
      </c>
      <c r="S1024" s="5" t="n">
        <v>14.3</v>
      </c>
      <c r="T1024" s="2" t="n">
        <v>54</v>
      </c>
      <c r="U1024" s="2" t="inlineStr">
        <is>
          <t>low</t>
        </is>
      </c>
      <c r="V1024" s="5" t="n">
        <v>7.7</v>
      </c>
      <c r="W1024" s="2" t="inlineStr">
        <is>
          <t>low</t>
        </is>
      </c>
      <c r="X1024" s="3" t="inlineStr"/>
      <c r="Y1024" s="3" t="inlineStr">
        <is>
          <t>91% of this dish's available carbohydrate comes from ingredients with a published, measured GI; the rest uses conventional placeholders (see Ingredients sheet)</t>
        </is>
      </c>
      <c r="Z1024" s="2" t="n">
        <v>91</v>
      </c>
      <c r="AA1024" s="3" t="inlineStr">
        <is>
          <t>vegetarian, gluten-free, nut-free, low-carb</t>
        </is>
      </c>
      <c r="AB1024" s="3" t="inlineStr">
        <is>
          <t>1. Hard-boil the eggs for 10 minutes, cool and chop.
2. Fold in the yogurt, mustard, celery and chives.
3. Pile onto the toast and dust with paprika.</t>
        </is>
      </c>
      <c r="AC1024" s="4" t="inlineStr">
        <is>
          <t>["Hard-boil the eggs for 10 minutes, cool and chop.", "Fold in the yogurt, mustard, celery and chives.", "Pile onto the toast and dust with paprika."]</t>
        </is>
      </c>
    </row>
    <row r="1025" ht="96" customHeight="1">
      <c r="A1025" s="2" t="inlineStr">
        <is>
          <t>DB-1024</t>
        </is>
      </c>
      <c r="B1025" s="3" t="inlineStr">
        <is>
          <t>Pulled Chicken BBQ Sandwich</t>
        </is>
      </c>
      <c r="C1025" s="4" t="inlineStr">
        <is>
          <t>Sandwiches &amp; Wraps</t>
        </is>
      </c>
      <c r="D1025" s="4" t="inlineStr">
        <is>
          <t>American</t>
        </is>
      </c>
      <c r="E1025" s="2" t="n">
        <v>4</v>
      </c>
      <c r="F1025" s="2" t="n">
        <v>15</v>
      </c>
      <c r="G1025" s="2" t="n">
        <v>25</v>
      </c>
      <c r="H1025" s="2" t="n">
        <v>40</v>
      </c>
      <c r="I1025" s="4" t="inlineStr">
        <is>
          <t>pulled-chicken-bbq-sandwich.jpg</t>
        </is>
      </c>
      <c r="J1025" s="3" t="inlineStr">
        <is>
          <t>Pulled Chicken BBQ Sandwich, healthy food photography, plated, natural light</t>
        </is>
      </c>
      <c r="K1025" s="4" t="inlineStr"/>
      <c r="L1025" s="3" t="inlineStr">
        <is>
          <t>Chicken breast, skinless — 560 g (19.8 oz)
Tomato paste — 60 g (2.1 oz)
Apple cider vinegar — 30 g (1.1 oz)
Smoked paprika — 4 g (0.1 oz)
Garlic powder — 3 g (0.1 oz)
Monk fruit/erythritol sweetener — 5 g (0.2 oz)
Whole wheat English muffin — 228 g (8.0 oz)
Coleslaw mix (cabbage &amp; carrot) — 120 g (4.2 oz)</t>
        </is>
      </c>
      <c r="M1025" s="4" t="inlineStr">
        <is>
          <t>[{"ingredient_id": "chicken_breast", "name": "Chicken breast, skinless", "grams": 560.0, "note": ""}, {"ingredient_id": "tomato_paste", "name": "Tomato paste", "grams": 60.0, "note": ""}, {"ingredient_id": "apple_cider_vinegar", "name": "Apple cider vinegar", "grams": 30.0, "note": ""}, {"ingredient_id": "smoked_paprika", "name": "Smoked paprika", "grams": 4.0, "note": ""}, {"ingredient_id": "garlic_powder", "name": "Garlic powder", "grams": 3.0, "note": ""}, {"ingredient_id": "monk_fruit_sweetener", "name": "Monk fruit/erythritol sweetener", "grams": 5.0, "note": ""}, {"ingredient_id": "whole_wheat_english_muffin", "name": "Whole wheat English muffin", "grams": 228.0, "note": ""}, {"ingredient_id": "coleslaw_mix", "name": "Coleslaw mix (cabbage &amp; carrot)", "grams": 120.0, "note": ""}]</t>
        </is>
      </c>
      <c r="N1025" s="2" t="n">
        <v>321</v>
      </c>
      <c r="O1025" s="5" t="n">
        <v>37.9</v>
      </c>
      <c r="P1025" s="5" t="n">
        <v>5</v>
      </c>
      <c r="Q1025" s="5" t="n">
        <v>31.5</v>
      </c>
      <c r="R1025" s="5" t="n">
        <v>5.7</v>
      </c>
      <c r="S1025" s="5" t="n">
        <v>25.7</v>
      </c>
      <c r="T1025" s="2" t="n">
        <v>42</v>
      </c>
      <c r="U1025" s="2" t="inlineStr">
        <is>
          <t>low</t>
        </is>
      </c>
      <c r="V1025" s="5" t="n">
        <v>10.8</v>
      </c>
      <c r="W1025" s="2" t="inlineStr">
        <is>
          <t>medium</t>
        </is>
      </c>
      <c r="X1025" s="3" t="inlineStr"/>
      <c r="Y1025" s="3" t="inlineStr">
        <is>
          <t>84% of this dish's available carbohydrate comes from ingredients with a published, measured GI; the rest uses conventional placeholders (see Ingredients sheet)</t>
        </is>
      </c>
      <c r="Z1025" s="2" t="n">
        <v>84</v>
      </c>
      <c r="AA1025" s="3" t="inlineStr">
        <is>
          <t>dairy-free, nut-free, high-protein</t>
        </is>
      </c>
      <c r="AB1025" s="3" t="inlineStr">
        <is>
          <t>1. Simmer the chicken in broth-free water until cooked, then shred.
2. Whisk the tomato paste, vinegar, paprika, garlic and sweetener into a sauce.
3. Toss the chicken in the sauce and warm through.
4. Pile onto toasted muffins with coleslaw mix.</t>
        </is>
      </c>
      <c r="AC1025" s="4" t="inlineStr">
        <is>
          <t>["Simmer the chicken in broth-free water until cooked, then shred.", "Whisk the tomato paste, vinegar, paprika, garlic and sweetener into a sauce.", "Toss the chicken in the sauce and warm through.", "Pile onto toasted muffins with coleslaw mix."]</t>
        </is>
      </c>
    </row>
    <row r="1026" ht="96" customHeight="1">
      <c r="A1026" s="2" t="inlineStr">
        <is>
          <t>DB-1025</t>
        </is>
      </c>
      <c r="B1026" s="3" t="inlineStr">
        <is>
          <t>Reuben Roll-Ups</t>
        </is>
      </c>
      <c r="C1026" s="4" t="inlineStr">
        <is>
          <t>Sandwiches &amp; Wraps</t>
        </is>
      </c>
      <c r="D1026" s="4" t="inlineStr">
        <is>
          <t>American</t>
        </is>
      </c>
      <c r="E1026" s="2" t="n">
        <v>2</v>
      </c>
      <c r="F1026" s="2" t="n">
        <v>10</v>
      </c>
      <c r="G1026" s="2" t="n">
        <v>5</v>
      </c>
      <c r="H1026" s="2" t="n">
        <v>15</v>
      </c>
      <c r="I1026" s="4" t="inlineStr">
        <is>
          <t>reuben-roll-ups.jpg</t>
        </is>
      </c>
      <c r="J1026" s="3" t="inlineStr">
        <is>
          <t>Reuben Roll-Ups, healthy food photography, plated, natural light</t>
        </is>
      </c>
      <c r="K1026" s="4" t="inlineStr"/>
      <c r="L1026" s="3" t="inlineStr">
        <is>
          <t>Deli turkey breast, low sodium — 180 g (6.3 oz)
Swiss cheese — 60 g (2.1 oz)
Sauerkraut — 90 g (3.2 oz)
Dijon mustard — 10 g (0.4 oz)
Dill pickles — 40 g (1.4 oz)</t>
        </is>
      </c>
      <c r="M1026" s="4" t="inlineStr">
        <is>
          <t>[{"ingredient_id": "deli_turkey", "name": "Deli turkey breast, low sodium", "grams": 180.0, "note": ""}, {"ingredient_id": "swiss_cheese", "name": "Swiss cheese", "grams": 60.0, "note": ""}, {"ingredient_id": "sauerkraut", "name": "Sauerkraut", "grams": 90.0, "note": ""}, {"ingredient_id": "dijon", "name": "Dijon mustard", "grams": 10.0, "note": ""}, {"ingredient_id": "dill_pickle", "name": "Dill pickles", "grams": 40.0, "note": ""}]</t>
        </is>
      </c>
      <c r="N1026" s="2" t="n">
        <v>222</v>
      </c>
      <c r="O1026" s="5" t="n">
        <v>24.1</v>
      </c>
      <c r="P1026" s="5" t="n">
        <v>10</v>
      </c>
      <c r="Q1026" s="5" t="n">
        <v>6.7</v>
      </c>
      <c r="R1026" s="5" t="n">
        <v>1.7</v>
      </c>
      <c r="S1026" s="5" t="n">
        <v>5</v>
      </c>
      <c r="T1026" s="2" t="n">
        <v>3</v>
      </c>
      <c r="U1026" s="2" t="inlineStr">
        <is>
          <t>low</t>
        </is>
      </c>
      <c r="V1026" s="5" t="n">
        <v>0.2</v>
      </c>
      <c r="W1026" s="2" t="inlineStr">
        <is>
          <t>low</t>
        </is>
      </c>
      <c r="X1026" s="3" t="inlineStr"/>
      <c r="Y1026" s="3" t="inlineStr">
        <is>
          <t>0% of this dish's available carbohydrate comes from ingredients with a published, measured GI; the rest uses conventional placeholders (see Ingredients sheet)</t>
        </is>
      </c>
      <c r="Z1026" s="2" t="n">
        <v>0</v>
      </c>
      <c r="AA1026" s="3" t="inlineStr">
        <is>
          <t>gluten-free, nut-free, low-carb</t>
        </is>
      </c>
      <c r="AB1026" s="3" t="inlineStr">
        <is>
          <t>1. Lay out the turkey slices and spread with mustard.
2. Add Swiss, sauerkraut and a pickle spear.
3. Roll tight and sear seam-side down for 2 minutes.</t>
        </is>
      </c>
      <c r="AC1026" s="4" t="inlineStr">
        <is>
          <t>["Lay out the turkey slices and spread with mustard.", "Add Swiss, sauerkraut and a pickle spear.", "Roll tight and sear seam-side down for 2 minutes."]</t>
        </is>
      </c>
    </row>
    <row r="1027" ht="96" customHeight="1">
      <c r="A1027" s="2" t="inlineStr">
        <is>
          <t>DB-1026</t>
        </is>
      </c>
      <c r="B1027" s="3" t="inlineStr">
        <is>
          <t>Hummus and Veggie Pita Pocket</t>
        </is>
      </c>
      <c r="C1027" s="4" t="inlineStr">
        <is>
          <t>Sandwiches &amp; Wraps</t>
        </is>
      </c>
      <c r="D1027" s="4" t="inlineStr">
        <is>
          <t>American</t>
        </is>
      </c>
      <c r="E1027" s="2" t="n">
        <v>2</v>
      </c>
      <c r="F1027" s="2" t="n">
        <v>10</v>
      </c>
      <c r="G1027" s="2" t="n">
        <v>0</v>
      </c>
      <c r="H1027" s="2" t="n">
        <v>10</v>
      </c>
      <c r="I1027" s="4" t="inlineStr">
        <is>
          <t>hummus-and-veggie-pita-pocket.jpg</t>
        </is>
      </c>
      <c r="J1027" s="3" t="inlineStr">
        <is>
          <t>Hummus and Veggie Pita Pocket, healthy food photography, plated, natural light</t>
        </is>
      </c>
      <c r="K1027" s="4" t="inlineStr"/>
      <c r="L1027" s="3" t="inlineStr">
        <is>
          <t>Whole wheat pita — 120 g (4.2 oz)
Hummus — 100 g (3.5 oz)
Cucumber — 100 g (3.5 oz)
Tomato — 80 g (2.8 oz)
Mixed salad greens — 40 g (1.4 oz)
Red onion — 20 g (0.7 oz)
Feta cheese — 30 g (1.1 oz)</t>
        </is>
      </c>
      <c r="M1027" s="4" t="inlineStr">
        <is>
          <t>[{"ingredient_id": "whole_wheat_pita", "name": "Whole wheat pita", "grams": 120.0, "note": ""}, {"ingredient_id": "hummus", "name": "Hummus", "grams": 100.0, "note": ""}, {"ingredient_id": "cucumber", "name": "Cucumber", "grams": 100.0, "note": ""}, {"ingredient_id": "tomato", "name": "Tomato", "grams": 80.0, "note": ""}, {"ingredient_id": "mixed_greens", "name": "Mixed salad greens", "grams": 40.0, "note": ""}, {"ingredient_id": "red_onion", "name": "Red onion", "grams": 20.0, "note": ""}, {"ingredient_id": "feta", "name": "Feta cheese", "grams": 30.0, "note": ""}]</t>
        </is>
      </c>
      <c r="N1027" s="2" t="n">
        <v>305</v>
      </c>
      <c r="O1027" s="5" t="n">
        <v>13.3</v>
      </c>
      <c r="P1027" s="5" t="n">
        <v>9.699999999999999</v>
      </c>
      <c r="Q1027" s="5" t="n">
        <v>45.6</v>
      </c>
      <c r="R1027" s="5" t="n">
        <v>8.699999999999999</v>
      </c>
      <c r="S1027" s="5" t="n">
        <v>36.9</v>
      </c>
      <c r="T1027" s="2" t="n">
        <v>47</v>
      </c>
      <c r="U1027" s="2" t="inlineStr">
        <is>
          <t>low</t>
        </is>
      </c>
      <c r="V1027" s="5" t="n">
        <v>17.3</v>
      </c>
      <c r="W1027" s="2" t="inlineStr">
        <is>
          <t>medium</t>
        </is>
      </c>
      <c r="X1027" s="3" t="inlineStr"/>
      <c r="Y1027" s="3" t="inlineStr">
        <is>
          <t>88% of this dish's available carbohydrate comes from ingredients with a published, measured GI; the rest uses conventional placeholders (see Ingredients sheet)</t>
        </is>
      </c>
      <c r="Z1027" s="2" t="n">
        <v>88</v>
      </c>
      <c r="AA1027" s="3" t="inlineStr">
        <is>
          <t>vegetarian, nut-free, high-fiber, no-cook</t>
        </is>
      </c>
      <c r="AB1027" s="3" t="inlineStr">
        <is>
          <t>1. Halve the pitas and open the pockets.
2. Spread with hummus.
3. Stuff with cucumber, tomato, greens, onion and feta.</t>
        </is>
      </c>
      <c r="AC1027" s="4" t="inlineStr">
        <is>
          <t>["Halve the pitas and open the pockets.", "Spread with hummus.", "Stuff with cucumber, tomato, greens, onion and feta."]</t>
        </is>
      </c>
    </row>
    <row r="1028" ht="96" customHeight="1">
      <c r="A1028" s="2" t="inlineStr">
        <is>
          <t>DB-1027</t>
        </is>
      </c>
      <c r="B1028" s="3" t="inlineStr">
        <is>
          <t>California Turkey Wrap</t>
        </is>
      </c>
      <c r="C1028" s="4" t="inlineStr">
        <is>
          <t>Sandwiches &amp; Wraps</t>
        </is>
      </c>
      <c r="D1028" s="4" t="inlineStr">
        <is>
          <t>American</t>
        </is>
      </c>
      <c r="E1028" s="2" t="n">
        <v>2</v>
      </c>
      <c r="F1028" s="2" t="n">
        <v>10</v>
      </c>
      <c r="G1028" s="2" t="n">
        <v>0</v>
      </c>
      <c r="H1028" s="2" t="n">
        <v>10</v>
      </c>
      <c r="I1028" s="4" t="inlineStr">
        <is>
          <t>california-turkey-wrap.jpg</t>
        </is>
      </c>
      <c r="J1028" s="3" t="inlineStr">
        <is>
          <t>California Turkey Wrap, healthy food photography, plated, natural light</t>
        </is>
      </c>
      <c r="K1028" s="4" t="inlineStr"/>
      <c r="L1028" s="3" t="inlineStr">
        <is>
          <t>Low-carb high-fiber tortilla — 100 g (3.5 oz)
Deli turkey breast, low sodium — 120 g (4.2 oz)
Avocado — 100 g (3.5 oz)
Spinach — 40 g (1.4 oz)
Tomato — 80 g (2.8 oz)
Sunflower seeds — 10 g (0.4 oz)
Dijon mustard — 5 g (0.2 oz)</t>
        </is>
      </c>
      <c r="M1028" s="4" t="inlineStr">
        <is>
          <t>[{"ingredient_id": "low_carb_tortilla", "name": "Low-carb high-fiber tortilla", "grams": 100.0, "note": ""}, {"ingredient_id": "deli_turkey", "name": "Deli turkey breast, low sodium", "grams": 120.0, "note": ""}, {"ingredient_id": "avocado", "name": "Avocado", "grams": 100.0, "note": ""}, {"ingredient_id": "spinach", "name": "Spinach", "grams": 40.0, "note": ""}, {"ingredient_id": "tomato", "name": "Tomato", "grams": 80.0, "note": ""}, {"ingredient_id": "sunflower_seeds", "name": "Sunflower seeds", "grams": 10.0, "note": ""}, {"ingredient_id": "dijon", "name": "Dijon mustard", "grams": 5.0, "note": ""}]</t>
        </is>
      </c>
      <c r="N1028" s="2" t="n">
        <v>310</v>
      </c>
      <c r="O1028" s="5" t="n">
        <v>19.3</v>
      </c>
      <c r="P1028" s="5" t="n">
        <v>15.2</v>
      </c>
      <c r="Q1028" s="5" t="n">
        <v>30.1</v>
      </c>
      <c r="R1028" s="5" t="n">
        <v>17.3</v>
      </c>
      <c r="S1028" s="5" t="n">
        <v>12.8</v>
      </c>
      <c r="T1028" s="2" t="n">
        <v>21</v>
      </c>
      <c r="U1028" s="2" t="inlineStr">
        <is>
          <t>low</t>
        </is>
      </c>
      <c r="V1028" s="5" t="n">
        <v>2.7</v>
      </c>
      <c r="W1028" s="2" t="inlineStr">
        <is>
          <t>low</t>
        </is>
      </c>
      <c r="X1028" s="3" t="inlineStr"/>
      <c r="Y1028" s="3" t="inlineStr">
        <is>
          <t>0% of this dish's available carbohydrate comes from ingredients with a published, measured GI; the rest uses conventional placeholders (see Ingredients sheet)</t>
        </is>
      </c>
      <c r="Z1028" s="2" t="n">
        <v>0</v>
      </c>
      <c r="AA1028" s="3" t="inlineStr">
        <is>
          <t>dairy-free, nut-free, low-carb, high-fiber, no-cook</t>
        </is>
      </c>
      <c r="AB1028" s="3" t="inlineStr">
        <is>
          <t>1. Spread the tortillas with mashed avocado and mustard.
2. Layer turkey, spinach and tomato.
3. Sprinkle with seeds, roll and halve.</t>
        </is>
      </c>
      <c r="AC1028" s="4" t="inlineStr">
        <is>
          <t>["Spread the tortillas with mashed avocado and mustard.", "Layer turkey, spinach and tomato.", "Sprinkle with seeds, roll and halve."]</t>
        </is>
      </c>
    </row>
    <row r="1029" ht="96" customHeight="1">
      <c r="A1029" s="2" t="inlineStr">
        <is>
          <t>DB-1028</t>
        </is>
      </c>
      <c r="B1029" s="3" t="inlineStr">
        <is>
          <t>Sloppy Joe Stuffed Sweet Potato</t>
        </is>
      </c>
      <c r="C1029" s="4" t="inlineStr">
        <is>
          <t>Sandwiches &amp; Wraps</t>
        </is>
      </c>
      <c r="D1029" s="4" t="inlineStr">
        <is>
          <t>American</t>
        </is>
      </c>
      <c r="E1029" s="2" t="n">
        <v>4</v>
      </c>
      <c r="F1029" s="2" t="n">
        <v>15</v>
      </c>
      <c r="G1029" s="2" t="n">
        <v>35</v>
      </c>
      <c r="H1029" s="2" t="n">
        <v>50</v>
      </c>
      <c r="I1029" s="4" t="inlineStr">
        <is>
          <t>sloppy-joe-stuffed-sweet-potato.jpg</t>
        </is>
      </c>
      <c r="J1029" s="3" t="inlineStr">
        <is>
          <t>Sloppy Joe Stuffed Sweet Potato, healthy food photography, plated, natural light</t>
        </is>
      </c>
      <c r="K1029" s="4" t="inlineStr"/>
      <c r="L1029" s="3" t="inlineStr">
        <is>
          <t>Sweet potato, boiled/simmered — 600 g (21.2 oz)
Ground turkey 93% lean — 400 g (14.1 oz)
Tomato sauce, canned, no sugar added — 200 g (7.1 oz)
Yellow onion — 100 g (3.5 oz)
Bell pepper — 100 g (3.5 oz)
Yellow mustard — 10 g (0.4 oz)
Apple cider vinegar — 15 g (0.5 oz)
Chili powder — 3 g (0.1 oz)</t>
        </is>
      </c>
      <c r="M1029" s="4" t="inlineStr">
        <is>
          <t>[{"ingredient_id": "sweet_potato", "name": "Sweet potato, boiled/simmered", "grams": 600.0, "note": ""}, {"ingredient_id": "ground_turkey", "name": "Ground turkey 93% lean", "grams": 400.0, "note": ""}, {"ingredient_id": "tomato_sauce", "name": "Tomato sauce, canned, no sugar added", "grams": 200.0, "note": ""}, {"ingredient_id": "onion", "name": "Yellow onion", "grams": 100.0, "note": ""}, {"ingredient_id": "bell_pepper", "name": "Bell pepper", "grams": 100.0, "note": ""}, {"ingredient_id": "yellow_mustard", "name": "Yellow mustard", "grams": 10.0, "note": ""}, {"ingredient_id": "apple_cider_vinegar", "name": "Apple cider vinegar", "grams": 15.0, "note": ""}, {"ingredient_id": "chili_powder", "name": "Chili powder", "grams": 3.0, "note": ""}]</t>
        </is>
      </c>
      <c r="N1029" s="2" t="n">
        <v>313</v>
      </c>
      <c r="O1029" s="5" t="n">
        <v>22.5</v>
      </c>
      <c r="P1029" s="5" t="n">
        <v>8.5</v>
      </c>
      <c r="Q1029" s="5" t="n">
        <v>37</v>
      </c>
      <c r="R1029" s="5" t="n">
        <v>6.5</v>
      </c>
      <c r="S1029" s="5" t="n">
        <v>30.5</v>
      </c>
      <c r="T1029" s="2" t="n">
        <v>42</v>
      </c>
      <c r="U1029" s="2" t="inlineStr">
        <is>
          <t>low</t>
        </is>
      </c>
      <c r="V1029" s="5" t="n">
        <v>12.8</v>
      </c>
      <c r="W1029" s="2" t="inlineStr">
        <is>
          <t>medium</t>
        </is>
      </c>
      <c r="X1029" s="3" t="inlineStr"/>
      <c r="Y1029" s="3" t="inlineStr">
        <is>
          <t>84% of this dish's available carbohydrate comes from ingredients with a published, measured GI; the rest uses conventional placeholders (see Ingredients sheet)</t>
        </is>
      </c>
      <c r="Z1029" s="2" t="n">
        <v>84</v>
      </c>
      <c r="AA1029" s="3" t="inlineStr">
        <is>
          <t>gluten-free, dairy-free, nut-free</t>
        </is>
      </c>
      <c r="AB1029" s="3" t="inlineStr">
        <is>
          <t>1. Bake the sweet potatoes at 400°F until tender, about 35 minutes.
2. Brown the turkey with onion and pepper.
3. Add tomato sauce, mustard, vinegar and chili powder and simmer 10 minutes.
4. Split the potatoes and spoon the filling over.</t>
        </is>
      </c>
      <c r="AC1029" s="4" t="inlineStr">
        <is>
          <t>["Bake the sweet potatoes at 400°F until tender, about 35 minutes.", "Brown the turkey with onion and pepper.", "Add tomato sauce, mustard, vinegar and chili powder and simmer 10 minutes.", "Split the potatoes and spoon the filling over."]</t>
        </is>
      </c>
    </row>
    <row r="1030" ht="96" customHeight="1">
      <c r="A1030" s="2" t="inlineStr">
        <is>
          <t>DB-1029</t>
        </is>
      </c>
      <c r="B1030" s="3" t="inlineStr">
        <is>
          <t>Lemon Herb Roast Chicken with Green Beans</t>
        </is>
      </c>
      <c r="C1030" s="4" t="inlineStr">
        <is>
          <t>Poultry</t>
        </is>
      </c>
      <c r="D1030" s="4" t="inlineStr">
        <is>
          <t>American</t>
        </is>
      </c>
      <c r="E1030" s="2" t="n">
        <v>4</v>
      </c>
      <c r="F1030" s="2" t="n">
        <v>15</v>
      </c>
      <c r="G1030" s="2" t="n">
        <v>45</v>
      </c>
      <c r="H1030" s="2" t="n">
        <v>60</v>
      </c>
      <c r="I1030" s="4" t="inlineStr">
        <is>
          <t>lemon-herb-roast-chicken-with-green-beans.jpg</t>
        </is>
      </c>
      <c r="J1030" s="3" t="inlineStr">
        <is>
          <t>Lemon Herb Roast Chicken with Green Beans, healthy food photography, plated, natural light</t>
        </is>
      </c>
      <c r="K1030" s="4" t="inlineStr"/>
      <c r="L1030" s="3" t="inlineStr">
        <is>
          <t>Chicken thigh, skinless boneless — 700 g (24.7 oz)
Green beans — 300 g (10.6 oz)
Lemon (with juice &amp; zest) — 60 g (2.1 oz)
Garlic — 10 g (0.4 oz)
Fresh thyme — 3 g (0.1 oz)
Extra-virgin olive oil — 20 g (0.7 oz)
Salt — 3 g (0.1 oz)
Black pepper — 1 g (0.0 oz)</t>
        </is>
      </c>
      <c r="M1030" s="4" t="inlineStr">
        <is>
          <t>[{"ingredient_id": "chicken_thigh", "name": "Chicken thigh, skinless boneless", "grams": 700.0, "note": ""}, {"ingredient_id": "green_beans", "name": "Green beans", "grams": 300.0, "note": ""}, {"ingredient_id": "lemon", "name": "Lemon (with juice &amp; zest)", "grams": 60.0, "note": ""}, {"ingredient_id": "garlic", "name": "Garlic", "grams": 10.0, "note": ""}, {"ingredient_id": "thyme", "name": "Fresh thyme", "grams": 3.0, "note": ""}, {"ingredient_id": "olive_oil", "name": "Extra-virgin olive oil", "grams": 20.0, "note": ""}, {"ingredient_id": "salt", "name": "Salt", "grams": 3.0, "note": ""}, {"ingredient_id": "black_pepper", "name": "Black pepper", "grams": 1.0, "note": ""}]</t>
        </is>
      </c>
      <c r="N1030" s="2" t="n">
        <v>289</v>
      </c>
      <c r="O1030" s="5" t="n">
        <v>36.2</v>
      </c>
      <c r="P1030" s="5" t="n">
        <v>12.4</v>
      </c>
      <c r="Q1030" s="5" t="n">
        <v>7.8</v>
      </c>
      <c r="R1030" s="5" t="n">
        <v>2.7</v>
      </c>
      <c r="S1030" s="5" t="n">
        <v>5.1</v>
      </c>
      <c r="T1030" s="2" t="n">
        <v>18</v>
      </c>
      <c r="U1030" s="2" t="inlineStr">
        <is>
          <t>low</t>
        </is>
      </c>
      <c r="V1030" s="5" t="n">
        <v>0.9</v>
      </c>
      <c r="W1030" s="2" t="inlineStr">
        <is>
          <t>low</t>
        </is>
      </c>
      <c r="X1030" s="3" t="inlineStr"/>
      <c r="Y1030" s="3" t="inlineStr">
        <is>
          <t>0% of this dish's available carbohydrate comes from ingredients with a published, measured GI; the rest uses conventional placeholders (see Ingredients sheet)</t>
        </is>
      </c>
      <c r="Z1030" s="2" t="n">
        <v>0</v>
      </c>
      <c r="AA1030" s="3" t="inlineStr">
        <is>
          <t>gluten-free, dairy-free, nut-free, low-carb, high-protein, one-pan</t>
        </is>
      </c>
      <c r="AB1030" s="3" t="inlineStr">
        <is>
          <t>1. Heat the oven to 425°F.
2. Toss the chicken with oil, lemon, garlic, thyme, salt and pepper.
3. Roast on a tray with the green beans for 40 to 45 minutes.</t>
        </is>
      </c>
      <c r="AC1030" s="4" t="inlineStr">
        <is>
          <t>["Heat the oven to 425°F.", "Toss the chicken with oil, lemon, garlic, thyme, salt and pepper.", "Roast on a tray with the green beans for 40 to 45 minutes."]</t>
        </is>
      </c>
    </row>
    <row r="1031" ht="96" customHeight="1">
      <c r="A1031" s="2" t="inlineStr">
        <is>
          <t>DB-1030</t>
        </is>
      </c>
      <c r="B1031" s="3" t="inlineStr">
        <is>
          <t>Slow Cooker Chicken Chili</t>
        </is>
      </c>
      <c r="C1031" s="4" t="inlineStr">
        <is>
          <t>Soup &amp; Stew</t>
        </is>
      </c>
      <c r="D1031" s="4" t="inlineStr">
        <is>
          <t>American</t>
        </is>
      </c>
      <c r="E1031" s="2" t="n">
        <v>6</v>
      </c>
      <c r="F1031" s="2" t="n">
        <v>15</v>
      </c>
      <c r="G1031" s="2" t="n">
        <v>240</v>
      </c>
      <c r="H1031" s="2" t="n">
        <v>255</v>
      </c>
      <c r="I1031" s="4" t="inlineStr">
        <is>
          <t>slow-cooker-chicken-chili.jpg</t>
        </is>
      </c>
      <c r="J1031" s="3" t="inlineStr">
        <is>
          <t>Slow Cooker Chicken Chili, healthy food photography, plated, natural light</t>
        </is>
      </c>
      <c r="K1031" s="4" t="inlineStr"/>
      <c r="L1031" s="3" t="inlineStr">
        <is>
          <t>Chicken breast, skinless — 600 g (21.2 oz)
Cannellini beans, cooked — 300 g (10.6 oz)
Diced green chiles, canned — 120 g (4.2 oz)
Yellow onion — 120 g (4.2 oz)
Chicken broth, low sodium — 500 g (17.6 oz)
Ground cumin — 3 g (0.1 oz)
Dried oregano — 2 g (0.1 oz)
Garlic — 10 g (0.4 oz)
Lime juice — 15 g (0.5 oz)</t>
        </is>
      </c>
      <c r="M1031" s="4" t="inlineStr">
        <is>
          <t>[{"ingredient_id": "chicken_breast", "name": "Chicken breast, skinless", "grams": 600.0, "note": ""}, {"ingredient_id": "white_beans", "name": "Cannellini beans, cooked", "grams": 300.0, "note": ""}, {"ingredient_id": "green_chiles", "name": "Diced green chiles, canned", "grams": 120.0, "note": ""}, {"ingredient_id": "onion", "name": "Yellow onion", "grams": 120.0, "note": ""}, {"ingredient_id": "chicken_broth", "name": "Chicken broth, low sodium", "grams": 500.0, "note": ""}, {"ingredient_id": "cumin", "name": "Ground cumin", "grams": 3.0, "note": ""}, {"ingredient_id": "oregano", "name": "Dried oregano", "grams": 2.0, "note": ""}, {"ingredient_id": "garlic", "name": "Garlic", "grams": 10.0, "note": ""}, {"ingredient_id": "lime_juice", "name": "Lime juice", "grams": 15.0, "note": ""}]</t>
        </is>
      </c>
      <c r="N1031" s="2" t="n">
        <v>213</v>
      </c>
      <c r="O1031" s="5" t="n">
        <v>28.8</v>
      </c>
      <c r="P1031" s="5" t="n">
        <v>3.1</v>
      </c>
      <c r="Q1031" s="5" t="n">
        <v>16.9</v>
      </c>
      <c r="R1031" s="5" t="n">
        <v>4</v>
      </c>
      <c r="S1031" s="5" t="n">
        <v>12.9</v>
      </c>
      <c r="T1031" s="2" t="n">
        <v>27</v>
      </c>
      <c r="U1031" s="2" t="inlineStr">
        <is>
          <t>low</t>
        </is>
      </c>
      <c r="V1031" s="5" t="n">
        <v>3.5</v>
      </c>
      <c r="W1031" s="2" t="inlineStr">
        <is>
          <t>low</t>
        </is>
      </c>
      <c r="X1031" s="3" t="inlineStr"/>
      <c r="Y1031" s="3" t="inlineStr">
        <is>
          <t>73% of this dish's available carbohydrate comes from ingredients with a published, measured GI; the rest uses conventional placeholders (see Ingredients sheet)</t>
        </is>
      </c>
      <c r="Z1031" s="2" t="n">
        <v>73</v>
      </c>
      <c r="AA1031" s="3" t="inlineStr">
        <is>
          <t>gluten-free, dairy-free, nut-free, low-carb, high-protein, slow-cooker</t>
        </is>
      </c>
      <c r="AB1031" s="3" t="inlineStr">
        <is>
          <t>1. Put the chicken, beans, chiles, onion, garlic, spices and broth in the slow cooker.
2. Cook on low for 4 hours.
3. Shred the chicken, stir back in and finish with lime juice.</t>
        </is>
      </c>
      <c r="AC1031" s="4" t="inlineStr">
        <is>
          <t>["Put the chicken, beans, chiles, onion, garlic, spices and broth in the slow cooker.", "Cook on low for 4 hours.", "Shred the chicken, stir back in and finish with lime juice."]</t>
        </is>
      </c>
    </row>
    <row r="1032" ht="96" customHeight="1">
      <c r="A1032" s="2" t="inlineStr">
        <is>
          <t>DB-1031</t>
        </is>
      </c>
      <c r="B1032" s="3" t="inlineStr">
        <is>
          <t>Chicken Pot Pie Soup</t>
        </is>
      </c>
      <c r="C1032" s="4" t="inlineStr">
        <is>
          <t>Soup &amp; Stew</t>
        </is>
      </c>
      <c r="D1032" s="4" t="inlineStr">
        <is>
          <t>American</t>
        </is>
      </c>
      <c r="E1032" s="2" t="n">
        <v>5</v>
      </c>
      <c r="F1032" s="2" t="n">
        <v>15</v>
      </c>
      <c r="G1032" s="2" t="n">
        <v>30</v>
      </c>
      <c r="H1032" s="2" t="n">
        <v>45</v>
      </c>
      <c r="I1032" s="4" t="inlineStr">
        <is>
          <t>chicken-pot-pie-soup.jpg</t>
        </is>
      </c>
      <c r="J1032" s="3" t="inlineStr">
        <is>
          <t>Chicken Pot Pie Soup, healthy food photography, plated, natural light</t>
        </is>
      </c>
      <c r="K1032" s="4" t="inlineStr"/>
      <c r="L1032" s="3" t="inlineStr">
        <is>
          <t>Chicken breast, skinless — 500 g (17.6 oz)
Chicken broth, low sodium — 800 g (28.2 oz)
Carrot — 120 g (4.2 oz)
Celery — 80 g (2.8 oz)
Green peas — 100 g (3.5 oz)
Yellow onion — 100 g (3.5 oz)
Heavy cream — 60 g (2.1 oz)
Fresh thyme — 2 g (0.1 oz)
Extra-virgin olive oil — 10 g (0.4 oz)
Cauliflower — 150 g (5.3 oz)</t>
        </is>
      </c>
      <c r="M1032" s="4" t="inlineStr">
        <is>
          <t>[{"ingredient_id": "chicken_breast", "name": "Chicken breast, skinless", "grams": 500.0, "note": ""}, {"ingredient_id": "chicken_broth", "name": "Chicken broth, low sodium", "grams": 800.0, "note": ""}, {"ingredient_id": "carrot", "name": "Carrot", "grams": 120.0, "note": ""}, {"ingredient_id": "celery", "name": "Celery", "grams": 80.0, "note": ""}, {"ingredient_id": "green_peas", "name": "Green peas", "grams": 100.0, "note": ""}, {"ingredient_id": "onion", "name": "Yellow onion", "grams": 100.0, "note": ""}, {"ingredient_id": "heavy_cream", "name": "Heavy cream", "grams": 60.0, "note": ""}, {"ingredient_id": "thyme", "name": "Fresh thyme", "grams": 2.0, "note": ""}, {"ingredient_id": "olive_oil", "name": "Extra-virgin olive oil", "grams": 10.0, "note": ""}, {"ingredient_id": "cauliflower", "name": "Cauliflower", "grams": 150.0, "note": ""}]</t>
        </is>
      </c>
      <c r="N1032" s="2" t="n">
        <v>234</v>
      </c>
      <c r="O1032" s="5" t="n">
        <v>26.6</v>
      </c>
      <c r="P1032" s="5" t="n">
        <v>9.5</v>
      </c>
      <c r="Q1032" s="5" t="n">
        <v>10.2</v>
      </c>
      <c r="R1032" s="5" t="n">
        <v>3.1</v>
      </c>
      <c r="S1032" s="5" t="n">
        <v>7.1</v>
      </c>
      <c r="T1032" s="2" t="n">
        <v>23</v>
      </c>
      <c r="U1032" s="2" t="inlineStr">
        <is>
          <t>low</t>
        </is>
      </c>
      <c r="V1032" s="5" t="n">
        <v>1.6</v>
      </c>
      <c r="W1032" s="2" t="inlineStr">
        <is>
          <t>low</t>
        </is>
      </c>
      <c r="X1032" s="3" t="inlineStr"/>
      <c r="Y1032" s="3" t="inlineStr">
        <is>
          <t>46% of this dish's available carbohydrate comes from ingredients with a published, measured GI; the rest uses conventional placeholders (see Ingredients sheet)</t>
        </is>
      </c>
      <c r="Z1032" s="2" t="n">
        <v>46</v>
      </c>
      <c r="AA1032" s="3" t="inlineStr">
        <is>
          <t>gluten-free, nut-free, low-carb, high-protein</t>
        </is>
      </c>
      <c r="AB1032" s="3" t="inlineStr">
        <is>
          <t>1. Sauté the onion, carrot and celery in oil.
2. Add the broth, cauliflower and chicken and simmer 20 minutes.
3. Shred the chicken, add peas, cream and thyme and heat through.</t>
        </is>
      </c>
      <c r="AC1032" s="4" t="inlineStr">
        <is>
          <t>["Sauté the onion, carrot and celery in oil.", "Add the broth, cauliflower and chicken and simmer 20 minutes.", "Shred the chicken, add peas, cream and thyme and heat through."]</t>
        </is>
      </c>
    </row>
    <row r="1033" ht="96" customHeight="1">
      <c r="A1033" s="2" t="inlineStr">
        <is>
          <t>DB-1032</t>
        </is>
      </c>
      <c r="B1033" s="3" t="inlineStr">
        <is>
          <t>Chicken Fajita Skillet</t>
        </is>
      </c>
      <c r="C1033" s="4" t="inlineStr">
        <is>
          <t>Poultry</t>
        </is>
      </c>
      <c r="D1033" s="4" t="inlineStr">
        <is>
          <t>Tex-Mex</t>
        </is>
      </c>
      <c r="E1033" s="2" t="n">
        <v>4</v>
      </c>
      <c r="F1033" s="2" t="n">
        <v>15</v>
      </c>
      <c r="G1033" s="2" t="n">
        <v>15</v>
      </c>
      <c r="H1033" s="2" t="n">
        <v>30</v>
      </c>
      <c r="I1033" s="4" t="inlineStr">
        <is>
          <t>chicken-fajita-skillet.jpg</t>
        </is>
      </c>
      <c r="J1033" s="3" t="inlineStr">
        <is>
          <t>Chicken Fajita Skillet, healthy food photography, plated, natural light</t>
        </is>
      </c>
      <c r="K1033" s="4" t="inlineStr"/>
      <c r="L1033" s="3" t="inlineStr">
        <is>
          <t>Chicken breast, skinless — 600 g (21.2 oz)
Bell pepper — 300 g (10.6 oz)
Yellow onion — 150 g (5.3 oz)
Taco seasoning, low sodium — 12 g (0.4 oz)
Lime juice — 20 g (0.7 oz)
Extra-virgin olive oil — 20 g (0.7 oz)
Corn tortilla — 120 g (4.2 oz)
Avocado — 100 g (3.5 oz)</t>
        </is>
      </c>
      <c r="M1033" s="4" t="inlineStr">
        <is>
          <t>[{"ingredient_id": "chicken_breast", "name": "Chicken breast, skinless", "grams": 600.0, "note": ""}, {"ingredient_id": "bell_pepper", "name": "Bell pepper", "grams": 300.0, "note": ""}, {"ingredient_id": "onion", "name": "Yellow onion", "grams": 150.0, "note": ""}, {"ingredient_id": "taco_seasoning", "name": "Taco seasoning, low sodium", "grams": 12.0, "note": ""}, {"ingredient_id": "lime_juice", "name": "Lime juice", "grams": 20.0, "note": ""}, {"ingredient_id": "olive_oil", "name": "Extra-virgin olive oil", "grams": 20.0, "note": ""}, {"ingredient_id": "corn_tortilla", "name": "Corn tortilla", "grams": 120.0, "note": ""}, {"ingredient_id": "avocado", "name": "Avocado", "grams": 100.0, "note": ""}]</t>
        </is>
      </c>
      <c r="N1033" s="2" t="n">
        <v>378</v>
      </c>
      <c r="O1033" s="5" t="n">
        <v>37.4</v>
      </c>
      <c r="P1033" s="5" t="n">
        <v>14</v>
      </c>
      <c r="Q1033" s="5" t="n">
        <v>25.7</v>
      </c>
      <c r="R1033" s="5" t="n">
        <v>6.5</v>
      </c>
      <c r="S1033" s="5" t="n">
        <v>19.1</v>
      </c>
      <c r="T1033" s="2" t="n">
        <v>38</v>
      </c>
      <c r="U1033" s="2" t="inlineStr">
        <is>
          <t>low</t>
        </is>
      </c>
      <c r="V1033" s="5" t="n">
        <v>7.3</v>
      </c>
      <c r="W1033" s="2" t="inlineStr">
        <is>
          <t>low</t>
        </is>
      </c>
      <c r="X1033" s="3" t="inlineStr"/>
      <c r="Y1033" s="3" t="inlineStr">
        <is>
          <t>61% of this dish's available carbohydrate comes from ingredients with a published, measured GI; the rest uses conventional placeholders (see Ingredients sheet)</t>
        </is>
      </c>
      <c r="Z1033" s="2" t="n">
        <v>61</v>
      </c>
      <c r="AA1033" s="3" t="inlineStr">
        <is>
          <t>gluten-free, dairy-free, nut-free, high-protein, one-pan</t>
        </is>
      </c>
      <c r="AB1033" s="3" t="inlineStr">
        <is>
          <t>1. Slice the chicken, peppers and onion into strips.
2. Toss the chicken in taco seasoning and sear in oil for 6 minutes.
3. Add the vegetables and cook until charred at the edges.
4. Finish with lime and serve with warm tortillas and avocado.</t>
        </is>
      </c>
      <c r="AC1033" s="4" t="inlineStr">
        <is>
          <t>["Slice the chicken, peppers and onion into strips.", "Toss the chicken in taco seasoning and sear in oil for 6 minutes.", "Add the vegetables and cook until charred at the edges.", "Finish with lime and serve with warm tortillas and avocado."]</t>
        </is>
      </c>
    </row>
    <row r="1034" ht="96" customHeight="1">
      <c r="A1034" s="2" t="inlineStr">
        <is>
          <t>DB-1033</t>
        </is>
      </c>
      <c r="B1034" s="3" t="inlineStr">
        <is>
          <t>Turkey Meatloaf with Tomato Glaze</t>
        </is>
      </c>
      <c r="C1034" s="4" t="inlineStr">
        <is>
          <t>Poultry</t>
        </is>
      </c>
      <c r="D1034" s="4" t="inlineStr">
        <is>
          <t>American</t>
        </is>
      </c>
      <c r="E1034" s="2" t="n">
        <v>6</v>
      </c>
      <c r="F1034" s="2" t="n">
        <v>15</v>
      </c>
      <c r="G1034" s="2" t="n">
        <v>50</v>
      </c>
      <c r="H1034" s="2" t="n">
        <v>65</v>
      </c>
      <c r="I1034" s="4" t="inlineStr">
        <is>
          <t>turkey-meatloaf-with-tomato-glaze.jpg</t>
        </is>
      </c>
      <c r="J1034" s="3" t="inlineStr">
        <is>
          <t>Turkey Meatloaf with Tomato Glaze, healthy food photography, plated, natural light</t>
        </is>
      </c>
      <c r="K1034" s="4" t="inlineStr"/>
      <c r="L1034" s="3" t="inlineStr">
        <is>
          <t>Ground turkey 93% lean — 700 g (24.7 oz)
Egg, large (50 g each) — 100 g (3.5 oz)
Oat bran, dry — 40 g (1.4 oz)
Yellow onion — 100 g (3.5 oz)
Tomato paste — 50 g (1.8 oz)
Apple cider vinegar — 15 g (0.5 oz)
Garlic — 6 g (0.2 oz)
Salt — 3 g (0.1 oz)
Black pepper — 1 g (0.0 oz)</t>
        </is>
      </c>
      <c r="M1034" s="4" t="inlineStr">
        <is>
          <t>[{"ingredient_id": "ground_turkey", "name": "Ground turkey 93% lean", "grams": 700.0, "note": ""}, {"ingredient_id": "egg", "name": "Egg, large (50 g each)", "grams": 100.0, "note": ""}, {"ingredient_id": "oat_bran", "name": "Oat bran, dry", "grams": 40.0, "note": ""}, {"ingredient_id": "onion", "name": "Yellow onion", "grams": 100.0, "note": ""}, {"ingredient_id": "tomato_paste", "name": "Tomato paste", "grams": 50.0, "note": ""}, {"ingredient_id": "apple_cider_vinegar", "name": "Apple cider vinegar", "grams": 15.0, "note": ""}, {"ingredient_id": "garlic", "name": "Garlic", "grams": 6.0, "note": ""}, {"ingredient_id": "salt", "name": "Salt", "grams": 3.0, "note": ""}, {"ingredient_id": "black_pepper", "name": "Black pepper", "grams": 1.0, "note": ""}]</t>
        </is>
      </c>
      <c r="N1034" s="2" t="n">
        <v>231</v>
      </c>
      <c r="O1034" s="5" t="n">
        <v>25.7</v>
      </c>
      <c r="P1034" s="5" t="n">
        <v>11.5</v>
      </c>
      <c r="Q1034" s="5" t="n">
        <v>8.1</v>
      </c>
      <c r="R1034" s="5" t="n">
        <v>1.7</v>
      </c>
      <c r="S1034" s="5" t="n">
        <v>6.4</v>
      </c>
      <c r="T1034" s="2" t="n">
        <v>40</v>
      </c>
      <c r="U1034" s="2" t="inlineStr">
        <is>
          <t>low</t>
        </is>
      </c>
      <c r="V1034" s="5" t="n">
        <v>2.6</v>
      </c>
      <c r="W1034" s="2" t="inlineStr">
        <is>
          <t>low</t>
        </is>
      </c>
      <c r="X1034" s="3" t="inlineStr"/>
      <c r="Y1034" s="3" t="inlineStr">
        <is>
          <t>53% of this dish's available carbohydrate comes from ingredients with a published, measured GI; the rest uses conventional placeholders (see Ingredients sheet)</t>
        </is>
      </c>
      <c r="Z1034" s="2" t="n">
        <v>53</v>
      </c>
      <c r="AA1034" s="3" t="inlineStr">
        <is>
          <t>dairy-free, nut-free, low-carb, high-protein, meal-prep</t>
        </is>
      </c>
      <c r="AB1034" s="3" t="inlineStr">
        <is>
          <t>1. Heat the oven to 375°F.
2. Mix the turkey, egg, oat bran, onion, garlic, salt and pepper.
3. Press into a loaf pan.
4. Stir the tomato paste with vinegar and spread over the top.
5. Bake 50 minutes.</t>
        </is>
      </c>
      <c r="AC1034" s="4" t="inlineStr">
        <is>
          <t>["Heat the oven to 375°F.", "Mix the turkey, egg, oat bran, onion, garlic, salt and pepper.", "Press into a loaf pan.", "Stir the tomato paste with vinegar and spread over the top.", "Bake 50 minutes."]</t>
        </is>
      </c>
    </row>
    <row r="1035" ht="96" customHeight="1">
      <c r="A1035" s="2" t="inlineStr">
        <is>
          <t>DB-1034</t>
        </is>
      </c>
      <c r="B1035" s="3" t="inlineStr">
        <is>
          <t>Chicken and Broccoli Stir-Fry</t>
        </is>
      </c>
      <c r="C1035" s="4" t="inlineStr">
        <is>
          <t>Poultry</t>
        </is>
      </c>
      <c r="D1035" s="4" t="inlineStr">
        <is>
          <t>American</t>
        </is>
      </c>
      <c r="E1035" s="2" t="n">
        <v>4</v>
      </c>
      <c r="F1035" s="2" t="n">
        <v>15</v>
      </c>
      <c r="G1035" s="2" t="n">
        <v>12</v>
      </c>
      <c r="H1035" s="2" t="n">
        <v>27</v>
      </c>
      <c r="I1035" s="4" t="inlineStr">
        <is>
          <t>chicken-and-broccoli-stir-fry.jpg</t>
        </is>
      </c>
      <c r="J1035" s="3" t="inlineStr">
        <is>
          <t>Chicken and Broccoli Stir-Fry, healthy food photography, plated, natural light</t>
        </is>
      </c>
      <c r="K1035" s="4" t="inlineStr"/>
      <c r="L1035" s="3" t="inlineStr">
        <is>
          <t>Chicken breast, skinless — 500 g (17.6 oz)
Broccoli — 400 g (14.1 oz)
Garlic — 8 g (0.3 oz)
Fresh ginger — 8 g (0.3 oz)
Soy sauce, low sodium — 30 g (1.1 oz)
Toasted sesame oil — 10 g (0.4 oz)
Extra-virgin olive oil — 10 g (0.4 oz)
Red pepper flakes — 1 g (0.0 oz)
Brown rice, cooked — 120 g (4.2 oz)</t>
        </is>
      </c>
      <c r="M1035" s="4" t="inlineStr">
        <is>
          <t>[{"ingredient_id": "chicken_breast", "name": "Chicken breast, skinless", "grams": 500.0, "note": ""}, {"ingredient_id": "broccoli", "name": "Broccoli", "grams": 400.0, "note": ""}, {"ingredient_id": "garlic", "name": "Garlic", "grams": 8.0, "note": ""}, {"ingredient_id": "ginger", "name": "Fresh ginger", "grams": 8.0, "note": ""}, {"ingredient_id": "soy_sauce", "name": "Soy sauce, low sodium", "grams": 30.0, "note": ""}, {"ingredient_id": "sesame_oil", "name": "Toasted sesame oil", "grams": 10.0, "note": ""}, {"ingredient_id": "olive_oil", "name": "Extra-virgin olive oil", "grams": 10.0, "note": ""}, {"ingredient_id": "red_pepper_flakes", "name": "Red pepper flakes", "grams": 1.0, "note": ""}, {"ingredient_id": "brown_rice", "name": "Brown rice, cooked", "grams": 120.0, "note": ""}]</t>
        </is>
      </c>
      <c r="N1035" s="2" t="n">
        <v>271</v>
      </c>
      <c r="O1035" s="5" t="n">
        <v>32.4</v>
      </c>
      <c r="P1035" s="5" t="n">
        <v>9</v>
      </c>
      <c r="Q1035" s="5" t="n">
        <v>15.3</v>
      </c>
      <c r="R1035" s="5" t="n">
        <v>3.3</v>
      </c>
      <c r="S1035" s="5" t="n">
        <v>12</v>
      </c>
      <c r="T1035" s="2" t="n">
        <v>45</v>
      </c>
      <c r="U1035" s="2" t="inlineStr">
        <is>
          <t>low</t>
        </is>
      </c>
      <c r="V1035" s="5" t="n">
        <v>5.4</v>
      </c>
      <c r="W1035" s="2" t="inlineStr">
        <is>
          <t>low</t>
        </is>
      </c>
      <c r="X1035" s="3" t="inlineStr"/>
      <c r="Y1035" s="3" t="inlineStr">
        <is>
          <t>56% of this dish's available carbohydrate comes from ingredients with a published, measured GI; the rest uses conventional placeholders (see Ingredients sheet)</t>
        </is>
      </c>
      <c r="Z1035" s="2" t="n">
        <v>56</v>
      </c>
      <c r="AA1035" s="3" t="inlineStr">
        <is>
          <t>dairy-free, nut-free, low-carb, high-protein</t>
        </is>
      </c>
      <c r="AB1035" s="3" t="inlineStr">
        <is>
          <t>1. Cook the rice according to the package.
2. Sear the sliced chicken in oil, then set aside.
3. Stir-fry the broccoli, garlic and ginger 4 minutes.
4. Return the chicken with soy sauce and sesame oil and serve over rice.</t>
        </is>
      </c>
      <c r="AC1035" s="4" t="inlineStr">
        <is>
          <t>["Cook the rice according to the package.", "Sear the sliced chicken in oil, then set aside.", "Stir-fry the broccoli, garlic and ginger 4 minutes.", "Return the chicken with soy sauce and sesame oil and serve over rice."]</t>
        </is>
      </c>
    </row>
    <row r="1036" ht="96" customHeight="1">
      <c r="A1036" s="2" t="inlineStr">
        <is>
          <t>DB-1035</t>
        </is>
      </c>
      <c r="B1036" s="3" t="inlineStr">
        <is>
          <t>Buffalo Chicken Stuffed Sweet Potatoes</t>
        </is>
      </c>
      <c r="C1036" s="4" t="inlineStr">
        <is>
          <t>Poultry</t>
        </is>
      </c>
      <c r="D1036" s="4" t="inlineStr">
        <is>
          <t>American</t>
        </is>
      </c>
      <c r="E1036" s="2" t="n">
        <v>4</v>
      </c>
      <c r="F1036" s="2" t="n">
        <v>15</v>
      </c>
      <c r="G1036" s="2" t="n">
        <v>45</v>
      </c>
      <c r="H1036" s="2" t="n">
        <v>60</v>
      </c>
      <c r="I1036" s="4" t="inlineStr">
        <is>
          <t>buffalo-chicken-stuffed-sweet-potatoes.jpg</t>
        </is>
      </c>
      <c r="J1036" s="3" t="inlineStr">
        <is>
          <t>Buffalo Chicken Stuffed Sweet Potatoes, healthy food photography, plated, natural light</t>
        </is>
      </c>
      <c r="K1036" s="4" t="inlineStr"/>
      <c r="L1036" s="3" t="inlineStr">
        <is>
          <t>Sweet potato, boiled/simmered — 560 g (19.8 oz)
Rotisserie chicken, skin removed — 360 g (12.7 oz)
Hot sauce (Tabasco/Frank's) — 50 g (1.8 oz)
Greek yogurt, plain 2% — 100 g (3.5 oz)
Celery — 60 g (2.1 oz)
Green onions (scallions) — 20 g (0.7 oz)
Blue cheese, crumbled — 30 g (1.1 oz)</t>
        </is>
      </c>
      <c r="M1036" s="4" t="inlineStr">
        <is>
          <t>[{"ingredient_id": "sweet_potato", "name": "Sweet potato, boiled/simmered", "grams": 560.0, "note": ""}, {"ingredient_id": "rotisserie_chicken", "name": "Rotisserie chicken, skin removed", "grams": 360.0, "note": ""}, {"ingredient_id": "hot_sauce", "name": "Hot sauce (Tabasco/Frank's)", "grams": 50.0, "note": ""}, {"ingredient_id": "greek_yogurt", "name": "Greek yogurt, plain 2%", "grams": 100.0, "note": ""}, {"ingredient_id": "celery", "name": "Celery", "grams": 60.0, "note": ""}, {"ingredient_id": "green_onion", "name": "Green onions (scallions)", "grams": 20.0, "note": ""}, {"ingredient_id": "blue_cheese", "name": "Blue cheese, crumbled", "grams": 30.0, "note": ""}]</t>
        </is>
      </c>
      <c r="N1036" s="2" t="n">
        <v>315</v>
      </c>
      <c r="O1036" s="5" t="n">
        <v>27.3</v>
      </c>
      <c r="P1036" s="5" t="n">
        <v>9.199999999999999</v>
      </c>
      <c r="Q1036" s="5" t="n">
        <v>30.2</v>
      </c>
      <c r="R1036" s="5" t="n">
        <v>4.6</v>
      </c>
      <c r="S1036" s="5" t="n">
        <v>25.6</v>
      </c>
      <c r="T1036" s="2" t="n">
        <v>44</v>
      </c>
      <c r="U1036" s="2" t="inlineStr">
        <is>
          <t>low</t>
        </is>
      </c>
      <c r="V1036" s="5" t="n">
        <v>11.3</v>
      </c>
      <c r="W1036" s="2" t="inlineStr">
        <is>
          <t>medium</t>
        </is>
      </c>
      <c r="X1036" s="3" t="inlineStr"/>
      <c r="Y1036" s="3" t="inlineStr">
        <is>
          <t>97% of this dish's available carbohydrate comes from ingredients with a published, measured GI; the rest uses conventional placeholders (see Ingredients sheet)</t>
        </is>
      </c>
      <c r="Z1036" s="2" t="n">
        <v>97</v>
      </c>
      <c r="AA1036" s="3" t="inlineStr">
        <is>
          <t>gluten-free, nut-free, high-protein</t>
        </is>
      </c>
      <c r="AB1036" s="3" t="inlineStr">
        <is>
          <t>1. Bake the sweet potatoes until tender, about 45 minutes.
2. Shred the chicken and toss with hot sauce and yogurt.
3. Split the potatoes and fill with the chicken.
4. Top with celery, green onion and blue cheese.</t>
        </is>
      </c>
      <c r="AC1036" s="4" t="inlineStr">
        <is>
          <t>["Bake the sweet potatoes until tender, about 45 minutes.", "Shred the chicken and toss with hot sauce and yogurt.", "Split the potatoes and fill with the chicken.", "Top with celery, green onion and blue cheese."]</t>
        </is>
      </c>
    </row>
    <row r="1037" ht="96" customHeight="1">
      <c r="A1037" s="2" t="inlineStr">
        <is>
          <t>DB-1036</t>
        </is>
      </c>
      <c r="B1037" s="3" t="inlineStr">
        <is>
          <t>Garlic Parmesan Chicken Thighs</t>
        </is>
      </c>
      <c r="C1037" s="4" t="inlineStr">
        <is>
          <t>Poultry</t>
        </is>
      </c>
      <c r="D1037" s="4" t="inlineStr">
        <is>
          <t>American</t>
        </is>
      </c>
      <c r="E1037" s="2" t="n">
        <v>4</v>
      </c>
      <c r="F1037" s="2" t="n">
        <v>10</v>
      </c>
      <c r="G1037" s="2" t="n">
        <v>30</v>
      </c>
      <c r="H1037" s="2" t="n">
        <v>40</v>
      </c>
      <c r="I1037" s="4" t="inlineStr">
        <is>
          <t>garlic-parmesan-chicken-thighs.jpg</t>
        </is>
      </c>
      <c r="J1037" s="3" t="inlineStr">
        <is>
          <t>Garlic Parmesan Chicken Thighs, healthy food photography, plated, natural light</t>
        </is>
      </c>
      <c r="K1037" s="4" t="inlineStr"/>
      <c r="L1037" s="3" t="inlineStr">
        <is>
          <t>Chicken thigh, skinless boneless — 700 g (24.7 oz)
Parmesan, grated — 40 g (1.4 oz)
Garlic — 12 g (0.4 oz)
Extra-virgin olive oil — 15 g (0.5 oz)
Italian seasoning — 3 g (0.1 oz)
Salt — 2 g (0.1 oz)
Broccolini — 300 g (10.6 oz)</t>
        </is>
      </c>
      <c r="M1037" s="4" t="inlineStr">
        <is>
          <t>[{"ingredient_id": "chicken_thigh", "name": "Chicken thigh, skinless boneless", "grams": 700.0, "note": ""}, {"ingredient_id": "parmesan", "name": "Parmesan, grated", "grams": 40.0, "note": ""}, {"ingredient_id": "garlic", "name": "Garlic", "grams": 12.0, "note": ""}, {"ingredient_id": "olive_oil", "name": "Extra-virgin olive oil", "grams": 15.0, "note": ""}, {"ingredient_id": "italian_seasoning", "name": "Italian seasoning", "grams": 3.0, "note": ""}, {"ingredient_id": "salt", "name": "Salt", "grams": 2.0, "note": ""}, {"ingredient_id": "broccolini", "name": "Broccolini", "grams": 300.0, "note": ""}]</t>
        </is>
      </c>
      <c r="N1037" s="2" t="n">
        <v>321</v>
      </c>
      <c r="O1037" s="5" t="n">
        <v>40.8</v>
      </c>
      <c r="P1037" s="5" t="n">
        <v>14.2</v>
      </c>
      <c r="Q1037" s="5" t="n">
        <v>6.8</v>
      </c>
      <c r="R1037" s="5" t="n">
        <v>2.3</v>
      </c>
      <c r="S1037" s="5" t="n">
        <v>4.5</v>
      </c>
      <c r="T1037" s="2" t="n">
        <v>17</v>
      </c>
      <c r="U1037" s="2" t="inlineStr">
        <is>
          <t>low</t>
        </is>
      </c>
      <c r="V1037" s="5" t="n">
        <v>0.8</v>
      </c>
      <c r="W1037" s="2" t="inlineStr">
        <is>
          <t>low</t>
        </is>
      </c>
      <c r="X1037" s="3" t="inlineStr">
        <is>
          <t>Negligible carbohydrate (&lt;5 g net/serving): GI has little practical meaning, glycemic load is what matters.</t>
        </is>
      </c>
      <c r="Y1037" s="3" t="inlineStr">
        <is>
          <t>0% of this dish's available carbohydrate comes from ingredients with a published, measured GI; the rest uses conventional placeholders (see Ingredients sheet)</t>
        </is>
      </c>
      <c r="Z1037" s="2" t="n">
        <v>0</v>
      </c>
      <c r="AA1037" s="3" t="inlineStr">
        <is>
          <t>gluten-free, nut-free, low-carb, high-protein, one-pan</t>
        </is>
      </c>
      <c r="AB1037" s="3" t="inlineStr">
        <is>
          <t>1. Heat the oven to 425°F.
2. Rub the chicken with oil, garlic, seasoning and salt.
3. Roast 25 minutes with the broccolini.
4. Scatter parmesan on top for the last 5 minutes.</t>
        </is>
      </c>
      <c r="AC1037" s="4" t="inlineStr">
        <is>
          <t>["Heat the oven to 425°F.", "Rub the chicken with oil, garlic, seasoning and salt.", "Roast 25 minutes with the broccolini.", "Scatter parmesan on top for the last 5 minutes."]</t>
        </is>
      </c>
    </row>
    <row r="1038" ht="96" customHeight="1">
      <c r="A1038" s="2" t="inlineStr">
        <is>
          <t>DB-1037</t>
        </is>
      </c>
      <c r="B1038" s="3" t="inlineStr">
        <is>
          <t>Ground Turkey Taco Skillet with Beans and Corn</t>
        </is>
      </c>
      <c r="C1038" s="4" t="inlineStr">
        <is>
          <t>Poultry</t>
        </is>
      </c>
      <c r="D1038" s="4" t="inlineStr">
        <is>
          <t>Tex-Mex</t>
        </is>
      </c>
      <c r="E1038" s="2" t="n">
        <v>4</v>
      </c>
      <c r="F1038" s="2" t="n">
        <v>10</v>
      </c>
      <c r="G1038" s="2" t="n">
        <v>20</v>
      </c>
      <c r="H1038" s="2" t="n">
        <v>30</v>
      </c>
      <c r="I1038" s="4" t="inlineStr">
        <is>
          <t>ground-turkey-taco-skillet-with-beans-and-corn.jpg</t>
        </is>
      </c>
      <c r="J1038" s="3" t="inlineStr">
        <is>
          <t>Ground Turkey Taco Skillet with Beans and Corn, healthy food photography, plated, natural light</t>
        </is>
      </c>
      <c r="K1038" s="4" t="inlineStr"/>
      <c r="L1038" s="3" t="inlineStr">
        <is>
          <t>Ground turkey 93% lean — 500 g (17.6 oz)
Black beans, cooked — 200 g (7.1 oz)
Sweet corn kernels — 100 g (3.5 oz)
Diced tomatoes, canned — 200 g (7.1 oz)
Taco seasoning, low sodium — 12 g (0.4 oz)
Yellow onion — 100 g (3.5 oz)
Cheddar cheese — 50 g (1.8 oz)
Fresh cilantro — 5 g (0.2 oz)
Extra-virgin olive oil — 10 g (0.4 oz)</t>
        </is>
      </c>
      <c r="M1038" s="4" t="inlineStr">
        <is>
          <t>[{"ingredient_id": "ground_turkey", "name": "Ground turkey 93% lean", "grams": 500.0, "note": ""}, {"ingredient_id": "black_beans", "name": "Black beans, cooked", "grams": 200.0, "note": ""}, {"ingredient_id": "corn", "name": "Sweet corn kernels", "grams": 100.0, "note": ""}, {"ingredient_id": "diced_tomatoes", "name": "Diced tomatoes, canned", "grams": 200.0, "note": ""}, {"ingredient_id": "taco_seasoning", "name": "Taco seasoning, low sodium", "grams": 12.0, "note": ""}, {"ingredient_id": "onion", "name": "Yellow onion", "grams": 100.0, "note": ""}, {"ingredient_id": "cheddar", "name": "Cheddar cheese", "grams": 50.0, "note": ""}, {"ingredient_id": "cilantro", "name": "Fresh cilantro", "grams": 5.0, "note": ""}, {"ingredient_id": "olive_oil", "name": "Extra-virgin olive oil", "grams": 10.0, "note": ""}]</t>
        </is>
      </c>
      <c r="N1038" s="2" t="n">
        <v>379</v>
      </c>
      <c r="O1038" s="5" t="n">
        <v>32.7</v>
      </c>
      <c r="P1038" s="5" t="n">
        <v>17.6</v>
      </c>
      <c r="Q1038" s="5" t="n">
        <v>23.3</v>
      </c>
      <c r="R1038" s="5" t="n">
        <v>7</v>
      </c>
      <c r="S1038" s="5" t="n">
        <v>16.3</v>
      </c>
      <c r="T1038" s="2" t="n">
        <v>33</v>
      </c>
      <c r="U1038" s="2" t="inlineStr">
        <is>
          <t>low</t>
        </is>
      </c>
      <c r="V1038" s="5" t="n">
        <v>5.4</v>
      </c>
      <c r="W1038" s="2" t="inlineStr">
        <is>
          <t>low</t>
        </is>
      </c>
      <c r="X1038" s="3" t="inlineStr"/>
      <c r="Y1038" s="3" t="inlineStr">
        <is>
          <t>71% of this dish's available carbohydrate comes from ingredients with a published, measured GI; the rest uses conventional placeholders (see Ingredients sheet)</t>
        </is>
      </c>
      <c r="Z1038" s="2" t="n">
        <v>71</v>
      </c>
      <c r="AA1038" s="3" t="inlineStr">
        <is>
          <t>gluten-free, nut-free, high-protein, one-pan</t>
        </is>
      </c>
      <c r="AB1038" s="3" t="inlineStr">
        <is>
          <t>1. Brown the turkey with the onion in oil.
2. Stir in the taco seasoning, beans, corn and tomatoes.
3. Simmer 10 minutes.
4. Top with cheddar and cilantro.</t>
        </is>
      </c>
      <c r="AC1038" s="4" t="inlineStr">
        <is>
          <t>["Brown the turkey with the onion in oil.", "Stir in the taco seasoning, beans, corn and tomatoes.", "Simmer 10 minutes.", "Top with cheddar and cilantro."]</t>
        </is>
      </c>
    </row>
    <row r="1039" ht="96" customHeight="1">
      <c r="A1039" s="2" t="inlineStr">
        <is>
          <t>DB-1038</t>
        </is>
      </c>
      <c r="B1039" s="3" t="inlineStr">
        <is>
          <t>Chicken Parmesan with Zucchini Noodles</t>
        </is>
      </c>
      <c r="C1039" s="4" t="inlineStr">
        <is>
          <t>Poultry</t>
        </is>
      </c>
      <c r="D1039" s="4" t="inlineStr">
        <is>
          <t>Italian</t>
        </is>
      </c>
      <c r="E1039" s="2" t="n">
        <v>4</v>
      </c>
      <c r="F1039" s="2" t="n">
        <v>20</v>
      </c>
      <c r="G1039" s="2" t="n">
        <v>25</v>
      </c>
      <c r="H1039" s="2" t="n">
        <v>45</v>
      </c>
      <c r="I1039" s="4" t="inlineStr">
        <is>
          <t>chicken-parmesan-with-zucchini-noodles.jpg</t>
        </is>
      </c>
      <c r="J1039" s="3" t="inlineStr">
        <is>
          <t>Chicken Parmesan with Zucchini Noodles, healthy food photography, plated, natural light</t>
        </is>
      </c>
      <c r="K1039" s="4" t="inlineStr"/>
      <c r="L1039" s="3" t="inlineStr">
        <is>
          <t>Chicken breast, skinless — 560 g (19.8 oz)
Almond flour — 50 g (1.8 oz)
Parmesan, grated — 30 g (1.1 oz)
Egg, large (50 g each) — 50 g (1.8 oz)
Marinara sauce, no sugar added — 250 g (8.8 oz)
Mozzarella, part-skim — 100 g (3.5 oz)
Zucchini noodles (zoodles) — 400 g (14.1 oz)
Extra-virgin olive oil — 15 g (0.5 oz)</t>
        </is>
      </c>
      <c r="M1039" s="4" t="inlineStr">
        <is>
          <t>[{"ingredient_id": "chicken_breast", "name": "Chicken breast, skinless", "grams": 560.0, "note": ""}, {"ingredient_id": "almond_flour", "name": "Almond flour", "grams": 50.0, "note": ""}, {"ingredient_id": "parmesan", "name": "Parmesan, grated", "grams": 30.0, "note": ""}, {"ingredient_id": "egg", "name": "Egg, large (50 g each)", "grams": 50.0, "note": ""}, {"ingredient_id": "marinara", "name": "Marinara sauce, no sugar added", "grams": 250.0, "note": ""}, {"ingredient_id": "mozzarella", "name": "Mozzarella, part-skim", "grams": 100.0, "note": ""}, {"ingredient_id": "zucchini_noodles", "name": "Zucchini noodles (zoodles)", "grams": 400.0, "note": ""}, {"ingredient_id": "olive_oil", "name": "Extra-virgin olive oil", "grams": 15.0, "note": ""}]</t>
        </is>
      </c>
      <c r="N1039" s="2" t="n">
        <v>434</v>
      </c>
      <c r="O1039" s="5" t="n">
        <v>46.7</v>
      </c>
      <c r="P1039" s="5" t="n">
        <v>22.9</v>
      </c>
      <c r="Q1039" s="5" t="n">
        <v>10</v>
      </c>
      <c r="R1039" s="5" t="n">
        <v>3.4</v>
      </c>
      <c r="S1039" s="5" t="n">
        <v>6.5</v>
      </c>
      <c r="T1039" s="2" t="n">
        <v>19</v>
      </c>
      <c r="U1039" s="2" t="inlineStr">
        <is>
          <t>low</t>
        </is>
      </c>
      <c r="V1039" s="5" t="n">
        <v>1.2</v>
      </c>
      <c r="W1039" s="2" t="inlineStr">
        <is>
          <t>low</t>
        </is>
      </c>
      <c r="X1039" s="3" t="inlineStr"/>
      <c r="Y1039" s="3" t="inlineStr">
        <is>
          <t>33% of this dish's available carbohydrate comes from ingredients with a published, measured GI; the rest uses conventional placeholders (see Ingredients sheet)</t>
        </is>
      </c>
      <c r="Z1039" s="2" t="n">
        <v>33</v>
      </c>
      <c r="AA1039" s="3" t="inlineStr">
        <is>
          <t>gluten-free, low-carb, high-protein</t>
        </is>
      </c>
      <c r="AB1039" s="3" t="inlineStr">
        <is>
          <t>1. Coat the pounded chicken in egg, then almond flour mixed with parmesan.
2. Sear in oil 3 minutes a side.
3. Top with marinara and mozzarella and bake at 400°F for 12 minutes.
4. Warm the zucchini noodles briefly and serve alongside.</t>
        </is>
      </c>
      <c r="AC1039" s="4" t="inlineStr">
        <is>
          <t>["Coat the pounded chicken in egg, then almond flour mixed with parmesan.", "Sear in oil 3 minutes a side.", "Top with marinara and mozzarella and bake at 400°F for 12 minutes.", "Warm the zucchini noodles briefly and serve alongside."]</t>
        </is>
      </c>
    </row>
    <row r="1040" ht="96" customHeight="1">
      <c r="A1040" s="2" t="inlineStr">
        <is>
          <t>DB-1039</t>
        </is>
      </c>
      <c r="B1040" s="3" t="inlineStr">
        <is>
          <t>One-Pan Chicken Sausage and Peppers</t>
        </is>
      </c>
      <c r="C1040" s="4" t="inlineStr">
        <is>
          <t>Poultry</t>
        </is>
      </c>
      <c r="D1040" s="4" t="inlineStr">
        <is>
          <t>American</t>
        </is>
      </c>
      <c r="E1040" s="2" t="n">
        <v>4</v>
      </c>
      <c r="F1040" s="2" t="n">
        <v>10</v>
      </c>
      <c r="G1040" s="2" t="n">
        <v>25</v>
      </c>
      <c r="H1040" s="2" t="n">
        <v>35</v>
      </c>
      <c r="I1040" s="4" t="inlineStr">
        <is>
          <t>one-pan-chicken-sausage-and-peppers.jpg</t>
        </is>
      </c>
      <c r="J1040" s="3" t="inlineStr">
        <is>
          <t>One-Pan Chicken Sausage and Peppers, healthy food photography, plated, natural light</t>
        </is>
      </c>
      <c r="K1040" s="4" t="inlineStr"/>
      <c r="L1040" s="3" t="inlineStr">
        <is>
          <t>Chicken sausage — 450 g (15.9 oz)
Bell pepper — 400 g (14.1 oz)
Yellow onion — 150 g (5.3 oz)
Extra-virgin olive oil — 15 g (0.5 oz)
Italian seasoning — 3 g (0.1 oz)
Garlic — 8 g (0.3 oz)
Balsamic vinegar — 10 g (0.4 oz)</t>
        </is>
      </c>
      <c r="M1040" s="4" t="inlineStr">
        <is>
          <t>[{"ingredient_id": "chicken_sausage", "name": "Chicken sausage", "grams": 450.0, "note": ""}, {"ingredient_id": "bell_pepper", "name": "Bell pepper", "grams": 400.0, "note": ""}, {"ingredient_id": "onion", "name": "Yellow onion", "grams": 150.0, "note": ""}, {"ingredient_id": "olive_oil", "name": "Extra-virgin olive oil", "grams": 15.0, "note": ""}, {"ingredient_id": "italian_seasoning", "name": "Italian seasoning", "grams": 3.0, "note": ""}, {"ingredient_id": "garlic", "name": "Garlic", "grams": 8.0, "note": ""}, {"ingredient_id": "balsamic_vinegar", "name": "Balsamic vinegar", "grams": 10.0, "note": ""}]</t>
        </is>
      </c>
      <c r="N1040" s="2" t="n">
        <v>278</v>
      </c>
      <c r="O1040" s="5" t="n">
        <v>18.5</v>
      </c>
      <c r="P1040" s="5" t="n">
        <v>16.5</v>
      </c>
      <c r="Q1040" s="5" t="n">
        <v>13.3</v>
      </c>
      <c r="R1040" s="5" t="n">
        <v>3.1</v>
      </c>
      <c r="S1040" s="5" t="n">
        <v>10.2</v>
      </c>
      <c r="T1040" s="2" t="n">
        <v>13</v>
      </c>
      <c r="U1040" s="2" t="inlineStr">
        <is>
          <t>low</t>
        </is>
      </c>
      <c r="V1040" s="5" t="n">
        <v>1.3</v>
      </c>
      <c r="W1040" s="2" t="inlineStr">
        <is>
          <t>low</t>
        </is>
      </c>
      <c r="X1040" s="3" t="inlineStr"/>
      <c r="Y1040" s="3" t="inlineStr">
        <is>
          <t>0% of this dish's available carbohydrate comes from ingredients with a published, measured GI; the rest uses conventional placeholders (see Ingredients sheet)</t>
        </is>
      </c>
      <c r="Z1040" s="2" t="n">
        <v>0</v>
      </c>
      <c r="AA1040" s="3" t="inlineStr">
        <is>
          <t>gluten-free, dairy-free, nut-free, low-carb, one-pan</t>
        </is>
      </c>
      <c r="AB1040" s="3" t="inlineStr">
        <is>
          <t>1. Heat the oven to 425°F.
2. Toss everything on a tray.
3. Roast 25 minutes, stirring once.
4. Splash with balsamic to finish.</t>
        </is>
      </c>
      <c r="AC1040" s="4" t="inlineStr">
        <is>
          <t>["Heat the oven to 425°F.", "Toss everything on a tray.", "Roast 25 minutes, stirring once.", "Splash with balsamic to finish."]</t>
        </is>
      </c>
    </row>
    <row r="1041" ht="96" customHeight="1">
      <c r="A1041" s="2" t="inlineStr">
        <is>
          <t>DB-1040</t>
        </is>
      </c>
      <c r="B1041" s="3" t="inlineStr">
        <is>
          <t>Honey Mustard Chicken (No Added Sugar)</t>
        </is>
      </c>
      <c r="C1041" s="4" t="inlineStr">
        <is>
          <t>Poultry</t>
        </is>
      </c>
      <c r="D1041" s="4" t="inlineStr">
        <is>
          <t>American</t>
        </is>
      </c>
      <c r="E1041" s="2" t="n">
        <v>4</v>
      </c>
      <c r="F1041" s="2" t="n">
        <v>10</v>
      </c>
      <c r="G1041" s="2" t="n">
        <v>25</v>
      </c>
      <c r="H1041" s="2" t="n">
        <v>35</v>
      </c>
      <c r="I1041" s="4" t="inlineStr">
        <is>
          <t>honey-mustard-chicken-no-added-sugar.jpg</t>
        </is>
      </c>
      <c r="J1041" s="3" t="inlineStr">
        <is>
          <t>Honey Mustard Chicken (No Added Sugar), healthy food photography, plated, natural light</t>
        </is>
      </c>
      <c r="K1041" s="4" t="inlineStr"/>
      <c r="L1041" s="3" t="inlineStr">
        <is>
          <t>Chicken breast, skinless — 600 g (21.2 oz)
Dijon mustard — 40 g (1.4 oz)
Greek yogurt, plain 2% — 60 g (2.1 oz)
Apple cider vinegar — 10 g (0.4 oz)
Garlic powder — 3 g (0.1 oz)
Paprika — 2 g (0.1 oz)
Asparagus — 300 g (10.6 oz)
Extra-virgin olive oil — 15 g (0.5 oz)</t>
        </is>
      </c>
      <c r="M1041" s="4" t="inlineStr">
        <is>
          <t>[{"ingredient_id": "chicken_breast", "name": "Chicken breast, skinless", "grams": 600.0, "note": ""}, {"ingredient_id": "dijon", "name": "Dijon mustard", "grams": 40.0, "note": ""}, {"ingredient_id": "greek_yogurt", "name": "Greek yogurt, plain 2%", "grams": 60.0, "note": ""}, {"ingredient_id": "apple_cider_vinegar", "name": "Apple cider vinegar", "grams": 10.0, "note": ""}, {"ingredient_id": "garlic_powder", "name": "Garlic powder", "grams": 3.0, "note": ""}, {"ingredient_id": "paprika", "name": "Paprika", "grams": 2.0, "note": ""}, {"ingredient_id": "asparagus", "name": "Asparagus", "grams": 300.0, "note": ""}, {"ingredient_id": "olive_oil", "name": "Extra-virgin olive oil", "grams": 15.0, "note": ""}]</t>
        </is>
      </c>
      <c r="N1041" s="2" t="n">
        <v>250</v>
      </c>
      <c r="O1041" s="5" t="n">
        <v>37.5</v>
      </c>
      <c r="P1041" s="5" t="n">
        <v>8.4</v>
      </c>
      <c r="Q1041" s="5" t="n">
        <v>4.9</v>
      </c>
      <c r="R1041" s="5" t="n">
        <v>2.1</v>
      </c>
      <c r="S1041" s="5" t="n">
        <v>2.7</v>
      </c>
      <c r="T1041" s="2" t="n">
        <v>14</v>
      </c>
      <c r="U1041" s="2" t="inlineStr">
        <is>
          <t>low</t>
        </is>
      </c>
      <c r="V1041" s="5" t="n">
        <v>0.4</v>
      </c>
      <c r="W1041" s="2" t="inlineStr">
        <is>
          <t>low</t>
        </is>
      </c>
      <c r="X1041" s="3" t="inlineStr">
        <is>
          <t>Negligible carbohydrate (&lt;5 g net/serving): GI has little practical meaning, glycemic load is what matters.</t>
        </is>
      </c>
      <c r="Y1041" s="3" t="inlineStr">
        <is>
          <t>22% of this dish's available carbohydrate comes from ingredients with a published, measured GI; the rest uses conventional placeholders (see Ingredients sheet)</t>
        </is>
      </c>
      <c r="Z1041" s="2" t="n">
        <v>22</v>
      </c>
      <c r="AA1041" s="3" t="inlineStr">
        <is>
          <t>gluten-free, nut-free, low-carb, high-protein</t>
        </is>
      </c>
      <c r="AB1041" s="3" t="inlineStr">
        <is>
          <t>1. Stir the mustard, yogurt, vinegar and spices.
2. Coat the chicken and roast at 400°F for 22 minutes.
3. Roast the asparagus in the oil alongside for the last 10 minutes.</t>
        </is>
      </c>
      <c r="AC1041" s="4" t="inlineStr">
        <is>
          <t>["Stir the mustard, yogurt, vinegar and spices.", "Coat the chicken and roast at 400°F for 22 minutes.", "Roast the asparagus in the oil alongside for the last 10 minutes."]</t>
        </is>
      </c>
    </row>
    <row r="1042" ht="96" customHeight="1">
      <c r="A1042" s="2" t="inlineStr">
        <is>
          <t>DB-1041</t>
        </is>
      </c>
      <c r="B1042" s="3" t="inlineStr">
        <is>
          <t>Classic Pot Roast with Root Vegetables</t>
        </is>
      </c>
      <c r="C1042" s="4" t="inlineStr">
        <is>
          <t>Beef, Pork &amp; Lamb</t>
        </is>
      </c>
      <c r="D1042" s="4" t="inlineStr">
        <is>
          <t>American</t>
        </is>
      </c>
      <c r="E1042" s="2" t="n">
        <v>6</v>
      </c>
      <c r="F1042" s="2" t="n">
        <v>20</v>
      </c>
      <c r="G1042" s="2" t="n">
        <v>180</v>
      </c>
      <c r="H1042" s="2" t="n">
        <v>200</v>
      </c>
      <c r="I1042" s="4" t="inlineStr">
        <is>
          <t>classic-pot-roast-with-root-vegetables.jpg</t>
        </is>
      </c>
      <c r="J1042" s="3" t="inlineStr">
        <is>
          <t>Classic Pot Roast with Root Vegetables, healthy food photography, plated, natural light</t>
        </is>
      </c>
      <c r="K1042" s="4" t="inlineStr"/>
      <c r="L1042" s="3" t="inlineStr">
        <is>
          <t>Beef chuck roast, trimmed — 900 g (31.7 oz)
Carrot — 250 g (8.8 oz)
Turnip (GI of swede/rutabaga, closest tested) — 250 g (8.8 oz)
Yellow onion — 150 g (5.3 oz)
Celery — 80 g (2.8 oz)
Beef broth, low sodium — 500 g (17.6 oz)
Tomato paste — 30 g (1.1 oz)
Fresh thyme — 3 g (0.1 oz)
Bay leaves — 1 g (0.0 oz)
Extra-virgin olive oil — 15 g (0.5 oz)</t>
        </is>
      </c>
      <c r="M1042" s="4" t="inlineStr">
        <is>
          <t>[{"ingredient_id": "beef_chuck", "name": "Beef chuck roast, trimmed", "grams": 900.0, "note": ""}, {"ingredient_id": "carrot", "name": "Carrot", "grams": 250.0, "note": ""}, {"ingredient_id": "turnip", "name": "Turnip (GI of swede/rutabaga, closest tested)", "grams": 250.0, "note": ""}, {"ingredient_id": "onion", "name": "Yellow onion", "grams": 150.0, "note": ""}, {"ingredient_id": "celery", "name": "Celery", "grams": 80.0, "note": ""}, {"ingredient_id": "beef_broth", "name": "Beef broth, low sodium", "grams": 500.0, "note": ""}, {"ingredient_id": "tomato_paste", "name": "Tomato paste", "grams": 30.0, "note": ""}, {"ingredient_id": "thyme", "name": "Fresh thyme", "grams": 3.0, "note": ""}, {"ingredient_id": "bay_leaf", "name": "Bay leaves", "grams": 1.0, "note": ""}, {"ingredient_id": "olive_oil", "name": "Extra-virgin olive oil", "grams": 15.0, "note": ""}]</t>
        </is>
      </c>
      <c r="N1042" s="2" t="n">
        <v>344</v>
      </c>
      <c r="O1042" s="5" t="n">
        <v>32.5</v>
      </c>
      <c r="P1042" s="5" t="n">
        <v>19.4</v>
      </c>
      <c r="Q1042" s="5" t="n">
        <v>10.9</v>
      </c>
      <c r="R1042" s="5" t="n">
        <v>2.9</v>
      </c>
      <c r="S1042" s="5" t="n">
        <v>8.1</v>
      </c>
      <c r="T1042" s="2" t="n">
        <v>38</v>
      </c>
      <c r="U1042" s="2" t="inlineStr">
        <is>
          <t>low</t>
        </is>
      </c>
      <c r="V1042" s="5" t="n">
        <v>3.1</v>
      </c>
      <c r="W1042" s="2" t="inlineStr">
        <is>
          <t>low</t>
        </is>
      </c>
      <c r="X1042" s="3" t="inlineStr"/>
      <c r="Y1042" s="3" t="inlineStr">
        <is>
          <t>59% of this dish's available carbohydrate comes from ingredients with a published, measured GI; the rest uses conventional placeholders (see Ingredients sheet)</t>
        </is>
      </c>
      <c r="Z1042" s="2" t="n">
        <v>59</v>
      </c>
      <c r="AA1042" s="3" t="inlineStr">
        <is>
          <t>gluten-free, dairy-free, nut-free, low-carb, high-protein</t>
        </is>
      </c>
      <c r="AB1042" s="3" t="inlineStr">
        <is>
          <t>1. Sear the beef in oil in a heavy pot.
2. Add the onion, tomato paste, broth, thyme and bay leaf.
3. Cover and braise at 300°F for 2 hours.
4. Add the carrot, turnip and celery and cook 1 hour more until tender.</t>
        </is>
      </c>
      <c r="AC1042" s="4" t="inlineStr">
        <is>
          <t>["Sear the beef in oil in a heavy pot.", "Add the onion, tomato paste, broth, thyme and bay leaf.", "Cover and braise at 300°F for 2 hours.", "Add the carrot, turnip and celery and cook 1 hour more until tender."]</t>
        </is>
      </c>
    </row>
    <row r="1043" ht="96" customHeight="1">
      <c r="A1043" s="2" t="inlineStr">
        <is>
          <t>DB-1042</t>
        </is>
      </c>
      <c r="B1043" s="3" t="inlineStr">
        <is>
          <t>Bison Burger with Roasted Vegetables</t>
        </is>
      </c>
      <c r="C1043" s="4" t="inlineStr">
        <is>
          <t>Beef, Pork &amp; Lamb</t>
        </is>
      </c>
      <c r="D1043" s="4" t="inlineStr">
        <is>
          <t>American</t>
        </is>
      </c>
      <c r="E1043" s="2" t="n">
        <v>4</v>
      </c>
      <c r="F1043" s="2" t="n">
        <v>15</v>
      </c>
      <c r="G1043" s="2" t="n">
        <v>20</v>
      </c>
      <c r="H1043" s="2" t="n">
        <v>35</v>
      </c>
      <c r="I1043" s="4" t="inlineStr">
        <is>
          <t>bison-burger-with-roasted-vegetables.jpg</t>
        </is>
      </c>
      <c r="J1043" s="3" t="inlineStr">
        <is>
          <t>Bison Burger with Roasted Vegetables, healthy food photography, plated, natural light</t>
        </is>
      </c>
      <c r="K1043" s="4" t="inlineStr"/>
      <c r="L1043" s="3" t="inlineStr">
        <is>
          <t>Ground bison — 500 g (17.6 oz)
Yellow onion — 50 g (1.8 oz)
Yellow mustard — 10 g (0.4 oz)
Salt — 3 g (0.1 oz)
Zucchini — 250 g (8.8 oz)
Bell pepper — 200 g (7.1 oz)
Extra-virgin olive oil — 20 g (0.7 oz)
Tomato — 120 g (4.2 oz)
Romaine lettuce — 60 g (2.1 oz)</t>
        </is>
      </c>
      <c r="M1043" s="4" t="inlineStr">
        <is>
          <t>[{"ingredient_id": "bison", "name": "Ground bison", "grams": 500.0, "note": ""}, {"ingredient_id": "onion", "name": "Yellow onion", "grams": 50.0, "note": ""}, {"ingredient_id": "yellow_mustard", "name": "Yellow mustard", "grams": 10.0, "note": ""}, {"ingredient_id": "salt", "name": "Salt", "grams": 3.0, "note": ""}, {"ingredient_id": "zucchini", "name": "Zucchini", "grams": 250.0, "note": ""}, {"ingredient_id": "bell_pepper", "name": "Bell pepper", "grams": 200.0, "note": ""}, {"ingredient_id": "olive_oil", "name": "Extra-virgin olive oil", "grams": 20.0, "note": ""}, {"ingredient_id": "tomato", "name": "Tomato", "grams": 120.0, "note": ""}, {"ingredient_id": "romaine", "name": "Romaine lettuce", "grams": 60.0, "note": ""}]</t>
        </is>
      </c>
      <c r="N1043" s="2" t="n">
        <v>266</v>
      </c>
      <c r="O1043" s="5" t="n">
        <v>26.9</v>
      </c>
      <c r="P1043" s="5" t="n">
        <v>14.3</v>
      </c>
      <c r="Q1043" s="5" t="n">
        <v>7.9</v>
      </c>
      <c r="R1043" s="5" t="n">
        <v>2.6</v>
      </c>
      <c r="S1043" s="5" t="n">
        <v>5.3</v>
      </c>
      <c r="T1043" s="2" t="n">
        <v>15</v>
      </c>
      <c r="U1043" s="2" t="inlineStr">
        <is>
          <t>low</t>
        </is>
      </c>
      <c r="V1043" s="5" t="n">
        <v>0.8</v>
      </c>
      <c r="W1043" s="2" t="inlineStr">
        <is>
          <t>low</t>
        </is>
      </c>
      <c r="X1043" s="3" t="inlineStr"/>
      <c r="Y1043" s="3" t="inlineStr">
        <is>
          <t>0% of this dish's available carbohydrate comes from ingredients with a published, measured GI; the rest uses conventional placeholders (see Ingredients sheet)</t>
        </is>
      </c>
      <c r="Z1043" s="2" t="n">
        <v>0</v>
      </c>
      <c r="AA1043" s="3" t="inlineStr">
        <is>
          <t>gluten-free, dairy-free, nut-free, low-carb, high-protein</t>
        </is>
      </c>
      <c r="AB1043" s="3" t="inlineStr">
        <is>
          <t>1. Mix the bison with onion, mustard and salt and shape four patties.
2. Roast the zucchini and pepper in oil at 425°F for 20 minutes.
3. Grill the patties 4 minutes a side.
4. Serve on romaine with tomato and the roasted vegetables.</t>
        </is>
      </c>
      <c r="AC1043" s="4" t="inlineStr">
        <is>
          <t>["Mix the bison with onion, mustard and salt and shape four patties.", "Roast the zucchini and pepper in oil at 425°F for 20 minutes.", "Grill the patties 4 minutes a side.", "Serve on romaine with tomato and the roasted vegetables."]</t>
        </is>
      </c>
    </row>
    <row r="1044" ht="96" customHeight="1">
      <c r="A1044" s="2" t="inlineStr">
        <is>
          <t>DB-1043</t>
        </is>
      </c>
      <c r="B1044" s="3" t="inlineStr">
        <is>
          <t>Beef and Broccoli</t>
        </is>
      </c>
      <c r="C1044" s="4" t="inlineStr">
        <is>
          <t>Beef, Pork &amp; Lamb</t>
        </is>
      </c>
      <c r="D1044" s="4" t="inlineStr">
        <is>
          <t>American</t>
        </is>
      </c>
      <c r="E1044" s="2" t="n">
        <v>4</v>
      </c>
      <c r="F1044" s="2" t="n">
        <v>15</v>
      </c>
      <c r="G1044" s="2" t="n">
        <v>12</v>
      </c>
      <c r="H1044" s="2" t="n">
        <v>27</v>
      </c>
      <c r="I1044" s="4" t="inlineStr">
        <is>
          <t>beef-and-broccoli.jpg</t>
        </is>
      </c>
      <c r="J1044" s="3" t="inlineStr">
        <is>
          <t>Beef and Broccoli, healthy food photography, plated, natural light</t>
        </is>
      </c>
      <c r="K1044" s="4" t="inlineStr"/>
      <c r="L1044" s="3" t="inlineStr">
        <is>
          <t>Flank steak — 500 g (17.6 oz)
Broccoli — 400 g (14.1 oz)
Garlic — 8 g (0.3 oz)
Fresh ginger — 8 g (0.3 oz)
Coconut aminos — 40 g (1.4 oz)
Toasted sesame oil — 10 g (0.4 oz)
Extra-virgin olive oil — 10 g (0.4 oz)
Cauliflower rice — 300 g (10.6 oz)</t>
        </is>
      </c>
      <c r="M1044" s="4" t="inlineStr">
        <is>
          <t>[{"ingredient_id": "flank_steak", "name": "Flank steak", "grams": 500.0, "note": ""}, {"ingredient_id": "broccoli", "name": "Broccoli", "grams": 400.0, "note": ""}, {"ingredient_id": "garlic", "name": "Garlic", "grams": 8.0, "note": ""}, {"ingredient_id": "ginger", "name": "Fresh ginger", "grams": 8.0, "note": ""}, {"ingredient_id": "coconut_aminos", "name": "Coconut aminos", "grams": 40.0, "note": ""}, {"ingredient_id": "sesame_oil", "name": "Toasted sesame oil", "grams": 10.0, "note": ""}, {"ingredient_id": "olive_oil", "name": "Extra-virgin olive oil", "grams": 10.0, "note": ""}, {"ingredient_id": "cauliflower_rice", "name": "Cauliflower rice", "grams": 300.0, "note": ""}]</t>
        </is>
      </c>
      <c r="N1044" s="2" t="n">
        <v>298</v>
      </c>
      <c r="O1044" s="5" t="n">
        <v>30.6</v>
      </c>
      <c r="P1044" s="5" t="n">
        <v>14.4</v>
      </c>
      <c r="Q1044" s="5" t="n">
        <v>13.6</v>
      </c>
      <c r="R1044" s="5" t="n">
        <v>4.2</v>
      </c>
      <c r="S1044" s="5" t="n">
        <v>9.4</v>
      </c>
      <c r="T1044" s="2" t="n">
        <v>21</v>
      </c>
      <c r="U1044" s="2" t="inlineStr">
        <is>
          <t>low</t>
        </is>
      </c>
      <c r="V1044" s="5" t="n">
        <v>2</v>
      </c>
      <c r="W1044" s="2" t="inlineStr">
        <is>
          <t>low</t>
        </is>
      </c>
      <c r="X1044" s="3" t="inlineStr"/>
      <c r="Y1044" s="3" t="inlineStr">
        <is>
          <t>0% of this dish's available carbohydrate comes from ingredients with a published, measured GI; the rest uses conventional placeholders (see Ingredients sheet)</t>
        </is>
      </c>
      <c r="Z1044" s="2" t="n">
        <v>0</v>
      </c>
      <c r="AA1044" s="3" t="inlineStr">
        <is>
          <t>gluten-free, dairy-free, nut-free, low-carb, high-protein</t>
        </is>
      </c>
      <c r="AB1044" s="3" t="inlineStr">
        <is>
          <t>1. Slice the steak thin against the grain.
2. Sear in oil, then set aside.
3. Stir-fry the broccoli, garlic and ginger 4 minutes.
4. Add the steak and coconut aminos and serve over cauliflower rice with sesame oil.</t>
        </is>
      </c>
      <c r="AC1044" s="4" t="inlineStr">
        <is>
          <t>["Slice the steak thin against the grain.", "Sear in oil, then set aside.", "Stir-fry the broccoli, garlic and ginger 4 minutes.", "Add the steak and coconut aminos and serve over cauliflower rice with sesame oil."]</t>
        </is>
      </c>
    </row>
    <row r="1045" ht="96" customHeight="1">
      <c r="A1045" s="2" t="inlineStr">
        <is>
          <t>DB-1044</t>
        </is>
      </c>
      <c r="B1045" s="3" t="inlineStr">
        <is>
          <t>Steak Fajita Bowls</t>
        </is>
      </c>
      <c r="C1045" s="4" t="inlineStr">
        <is>
          <t>Beef, Pork &amp; Lamb</t>
        </is>
      </c>
      <c r="D1045" s="4" t="inlineStr">
        <is>
          <t>Tex-Mex</t>
        </is>
      </c>
      <c r="E1045" s="2" t="n">
        <v>4</v>
      </c>
      <c r="F1045" s="2" t="n">
        <v>15</v>
      </c>
      <c r="G1045" s="2" t="n">
        <v>15</v>
      </c>
      <c r="H1045" s="2" t="n">
        <v>30</v>
      </c>
      <c r="I1045" s="4" t="inlineStr">
        <is>
          <t>steak-fajita-bowls.jpg</t>
        </is>
      </c>
      <c r="J1045" s="3" t="inlineStr">
        <is>
          <t>Steak Fajita Bowls, healthy food photography, plated, natural light</t>
        </is>
      </c>
      <c r="K1045" s="4" t="inlineStr"/>
      <c r="L1045" s="3" t="inlineStr">
        <is>
          <t>Flank steak — 500 g (17.6 oz)
Bell pepper — 300 g (10.6 oz)
Yellow onion — 150 g (5.3 oz)
Black beans, cooked — 200 g (7.1 oz)
Cauliflower rice — 300 g (10.6 oz)
Taco seasoning, low sodium — 12 g (0.4 oz)
Lime juice — 20 g (0.7 oz)
Avocado — 100 g (3.5 oz)
Extra-virgin olive oil — 15 g (0.5 oz)</t>
        </is>
      </c>
      <c r="M1045" s="4" t="inlineStr">
        <is>
          <t>[{"ingredient_id": "flank_steak", "name": "Flank steak", "grams": 500.0, "note": ""}, {"ingredient_id": "bell_pepper", "name": "Bell pepper", "grams": 300.0, "note": ""}, {"ingredient_id": "onion", "name": "Yellow onion", "grams": 150.0, "note": ""}, {"ingredient_id": "black_beans", "name": "Black beans, cooked", "grams": 200.0, "note": ""}, {"ingredient_id": "cauliflower_rice", "name": "Cauliflower rice", "grams": 300.0, "note": ""}, {"ingredient_id": "taco_seasoning", "name": "Taco seasoning, low sodium", "grams": 12.0, "note": ""}, {"ingredient_id": "lime_juice", "name": "Lime juice", "grams": 20.0, "note": ""}, {"ingredient_id": "avocado", "name": "Avocado", "grams": 100.0, "note": ""}, {"ingredient_id": "olive_oil", "name": "Extra-virgin olive oil", "grams": 15.0, "note": ""}]</t>
        </is>
      </c>
      <c r="N1045" s="2" t="n">
        <v>394</v>
      </c>
      <c r="O1045" s="5" t="n">
        <v>34.1</v>
      </c>
      <c r="P1045" s="5" t="n">
        <v>17.2</v>
      </c>
      <c r="Q1045" s="5" t="n">
        <v>27.8</v>
      </c>
      <c r="R1045" s="5" t="n">
        <v>10.5</v>
      </c>
      <c r="S1045" s="5" t="n">
        <v>17.3</v>
      </c>
      <c r="T1045" s="2" t="n">
        <v>22</v>
      </c>
      <c r="U1045" s="2" t="inlineStr">
        <is>
          <t>low</t>
        </is>
      </c>
      <c r="V1045" s="5" t="n">
        <v>3.8</v>
      </c>
      <c r="W1045" s="2" t="inlineStr">
        <is>
          <t>low</t>
        </is>
      </c>
      <c r="X1045" s="3" t="inlineStr"/>
      <c r="Y1045" s="3" t="inlineStr">
        <is>
          <t>43% of this dish's available carbohydrate comes from ingredients with a published, measured GI; the rest uses conventional placeholders (see Ingredients sheet)</t>
        </is>
      </c>
      <c r="Z1045" s="2" t="n">
        <v>43</v>
      </c>
      <c r="AA1045" s="3" t="inlineStr">
        <is>
          <t>gluten-free, dairy-free, nut-free, high-protein, high-fiber</t>
        </is>
      </c>
      <c r="AB1045" s="3" t="inlineStr">
        <is>
          <t>1. Season and sear the steak, rest and slice.
2. Sauté the peppers and onion in oil.
3. Warm the beans and cauliflower rice.
4. Build the bowls and finish with avocado and lime.</t>
        </is>
      </c>
      <c r="AC1045" s="4" t="inlineStr">
        <is>
          <t>["Season and sear the steak, rest and slice.", "Sauté the peppers and onion in oil.", "Warm the beans and cauliflower rice.", "Build the bowls and finish with avocado and lime."]</t>
        </is>
      </c>
    </row>
    <row r="1046" ht="96" customHeight="1">
      <c r="A1046" s="2" t="inlineStr">
        <is>
          <t>DB-1045</t>
        </is>
      </c>
      <c r="B1046" s="3" t="inlineStr">
        <is>
          <t>Pork Chops with Apple and Sauteed Cabbage</t>
        </is>
      </c>
      <c r="C1046" s="4" t="inlineStr">
        <is>
          <t>Beef, Pork &amp; Lamb</t>
        </is>
      </c>
      <c r="D1046" s="4" t="inlineStr">
        <is>
          <t>American</t>
        </is>
      </c>
      <c r="E1046" s="2" t="n">
        <v>4</v>
      </c>
      <c r="F1046" s="2" t="n">
        <v>10</v>
      </c>
      <c r="G1046" s="2" t="n">
        <v>25</v>
      </c>
      <c r="H1046" s="2" t="n">
        <v>35</v>
      </c>
      <c r="I1046" s="4" t="inlineStr">
        <is>
          <t>pork-chops-with-apple-and-sauteed-cabbage.jpg</t>
        </is>
      </c>
      <c r="J1046" s="3" t="inlineStr">
        <is>
          <t>Pork Chops with Apple and Sauteed Cabbage, healthy food photography, plated, natural light</t>
        </is>
      </c>
      <c r="K1046" s="4" t="inlineStr"/>
      <c r="L1046" s="3" t="inlineStr">
        <is>
          <t>Pork loin chop, trimmed — 600 g (21.2 oz)
Apple — 200 g (7.1 oz)
Green cabbage — 400 g (14.1 oz)
Yellow onion — 80 g (2.8 oz)
Apple cider vinegar — 15 g (0.5 oz)
Dijon mustard — 10 g (0.4 oz)
Extra-virgin olive oil — 20 g (0.7 oz)
Fresh thyme — 2 g (0.1 oz)
Salt — 3 g (0.1 oz)</t>
        </is>
      </c>
      <c r="M1046" s="4" t="inlineStr">
        <is>
          <t>[{"ingredient_id": "pork_chop", "name": "Pork loin chop, trimmed", "grams": 600.0, "note": ""}, {"ingredient_id": "apple", "name": "Apple", "grams": 200.0, "note": ""}, {"ingredient_id": "cabbage", "name": "Green cabbage", "grams": 400.0, "note": ""}, {"ingredient_id": "onion", "name": "Yellow onion", "grams": 80.0, "note": ""}, {"ingredient_id": "apple_cider_vinegar", "name": "Apple cider vinegar", "grams": 15.0, "note": ""}, {"ingredient_id": "dijon", "name": "Dijon mustard", "grams": 10.0, "note": ""}, {"ingredient_id": "olive_oil", "name": "Extra-virgin olive oil", "grams": 20.0, "note": ""}, {"ingredient_id": "thyme", "name": "Fresh thyme", "grams": 2.0, "note": ""}, {"ingredient_id": "salt", "name": "Salt", "grams": 3.0, "note": ""}]</t>
        </is>
      </c>
      <c r="N1046" s="2" t="n">
        <v>331</v>
      </c>
      <c r="O1046" s="5" t="n">
        <v>34.8</v>
      </c>
      <c r="P1046" s="5" t="n">
        <v>15.1</v>
      </c>
      <c r="Q1046" s="5" t="n">
        <v>14.9</v>
      </c>
      <c r="R1046" s="5" t="n">
        <v>4.2</v>
      </c>
      <c r="S1046" s="5" t="n">
        <v>10.8</v>
      </c>
      <c r="T1046" s="2" t="n">
        <v>26</v>
      </c>
      <c r="U1046" s="2" t="inlineStr">
        <is>
          <t>low</t>
        </is>
      </c>
      <c r="V1046" s="5" t="n">
        <v>2.8</v>
      </c>
      <c r="W1046" s="2" t="inlineStr">
        <is>
          <t>low</t>
        </is>
      </c>
      <c r="X1046" s="3" t="inlineStr"/>
      <c r="Y1046" s="3" t="inlineStr">
        <is>
          <t>54% of this dish's available carbohydrate comes from ingredients with a published, measured GI; the rest uses conventional placeholders (see Ingredients sheet)</t>
        </is>
      </c>
      <c r="Z1046" s="2" t="n">
        <v>54</v>
      </c>
      <c r="AA1046" s="3" t="inlineStr">
        <is>
          <t>gluten-free, dairy-free, nut-free, low-carb, high-protein</t>
        </is>
      </c>
      <c r="AB1046" s="3" t="inlineStr">
        <is>
          <t>1. Season the chops and sear 4 minutes a side; set aside.
2. Sauté the onion, cabbage and apple in the same pan.
3. Stir in the vinegar, mustard and thyme.
4. Return the chops and finish in a 375°F oven for 8 minutes.</t>
        </is>
      </c>
      <c r="AC1046" s="4" t="inlineStr">
        <is>
          <t>["Season the chops and sear 4 minutes a side; set aside.", "Sauté the onion, cabbage and apple in the same pan.", "Stir in the vinegar, mustard and thyme.", "Return the chops and finish in a 375°F oven for 8 minutes."]</t>
        </is>
      </c>
    </row>
    <row r="1047" ht="96" customHeight="1">
      <c r="A1047" s="2" t="inlineStr">
        <is>
          <t>DB-1046</t>
        </is>
      </c>
      <c r="B1047" s="3" t="inlineStr">
        <is>
          <t>Slow Cooker Pulled Pork (Low Sugar BBQ)</t>
        </is>
      </c>
      <c r="C1047" s="4" t="inlineStr">
        <is>
          <t>Beef, Pork &amp; Lamb</t>
        </is>
      </c>
      <c r="D1047" s="4" t="inlineStr">
        <is>
          <t>American</t>
        </is>
      </c>
      <c r="E1047" s="2" t="n">
        <v>8</v>
      </c>
      <c r="F1047" s="2" t="n">
        <v>15</v>
      </c>
      <c r="G1047" s="2" t="n">
        <v>480</v>
      </c>
      <c r="H1047" s="2" t="n">
        <v>495</v>
      </c>
      <c r="I1047" s="4" t="inlineStr">
        <is>
          <t>slow-cooker-pulled-pork-low-sugar-bbq.jpg</t>
        </is>
      </c>
      <c r="J1047" s="3" t="inlineStr">
        <is>
          <t>Slow Cooker Pulled Pork (Low Sugar BBQ), healthy food photography, plated, natural light</t>
        </is>
      </c>
      <c r="K1047" s="4" t="inlineStr"/>
      <c r="L1047" s="3" t="inlineStr">
        <is>
          <t>Pork shoulder, trimmed — 1200 g (42.3 oz)
Tomato paste — 90 g (3.2 oz)
Apple cider vinegar — 60 g (2.1 oz)
Smoked paprika — 6 g (0.2 oz)
Garlic powder — 4 g (0.1 oz)
Onion powder — 3 g (0.1 oz)
Monk fruit/erythritol sweetener — 8 g (0.3 oz)
Salt — 5 g (0.2 oz)
Water / ice — 200 g (7.1 oz)</t>
        </is>
      </c>
      <c r="M1047" s="4" t="inlineStr">
        <is>
          <t>[{"ingredient_id": "pork_shoulder", "name": "Pork shoulder, trimmed", "grams": 1200.0, "note": ""}, {"ingredient_id": "tomato_paste", "name": "Tomato paste", "grams": 90.0, "note": ""}, {"ingredient_id": "apple_cider_vinegar", "name": "Apple cider vinegar", "grams": 60.0, "note": ""}, {"ingredient_id": "smoked_paprika", "name": "Smoked paprika", "grams": 6.0, "note": ""}, {"ingredient_id": "garlic_powder", "name": "Garlic powder", "grams": 4.0, "note": ""}, {"ingredient_id": "onion_powder", "name": "Onion powder", "grams": 3.0, "note": ""}, {"ingredient_id": "monk_fruit_sweetener", "name": "Monk fruit/erythritol sweetener", "grams": 8.0, "note": ""}, {"ingredient_id": "salt", "name": "Salt", "grams": 5.0, "note": ""}, {"ingredient_id": "water", "name": "Water / ice", "grams": 200.0, "note": ""}]</t>
        </is>
      </c>
      <c r="N1047" s="2" t="n">
        <v>316</v>
      </c>
      <c r="O1047" s="5" t="n">
        <v>29.2</v>
      </c>
      <c r="P1047" s="5" t="n">
        <v>21.2</v>
      </c>
      <c r="Q1047" s="5" t="n">
        <v>3.3</v>
      </c>
      <c r="R1047" s="5" t="n">
        <v>0.8</v>
      </c>
      <c r="S1047" s="5" t="n">
        <v>2.5</v>
      </c>
      <c r="T1047" s="2" t="n">
        <v>28</v>
      </c>
      <c r="U1047" s="2" t="inlineStr">
        <is>
          <t>low</t>
        </is>
      </c>
      <c r="V1047" s="5" t="n">
        <v>0.7</v>
      </c>
      <c r="W1047" s="2" t="inlineStr">
        <is>
          <t>low</t>
        </is>
      </c>
      <c r="X1047" s="3" t="inlineStr">
        <is>
          <t>Negligible carbohydrate (&lt;5 g net/serving): GI has little practical meaning, glycemic load is what matters.</t>
        </is>
      </c>
      <c r="Y1047" s="3" t="inlineStr">
        <is>
          <t>0% of this dish's available carbohydrate comes from ingredients with a published, measured GI; the rest uses conventional placeholders (see Ingredients sheet)</t>
        </is>
      </c>
      <c r="Z1047" s="2" t="n">
        <v>0</v>
      </c>
      <c r="AA1047" s="3" t="inlineStr">
        <is>
          <t>gluten-free, dairy-free, nut-free, low-carb, high-protein, slow-cooker</t>
        </is>
      </c>
      <c r="AB1047" s="3" t="inlineStr">
        <is>
          <t>1. Rub the pork with paprika, garlic, onion powder and salt.
2. Whisk the tomato paste, vinegar, sweetener and water and pour over.
3. Cook on low 8 hours.
4. Shred and toss in the juices.</t>
        </is>
      </c>
      <c r="AC1047" s="4" t="inlineStr">
        <is>
          <t>["Rub the pork with paprika, garlic, onion powder and salt.", "Whisk the tomato paste, vinegar, sweetener and water and pour over.", "Cook on low 8 hours.", "Shred and toss in the juices."]</t>
        </is>
      </c>
    </row>
    <row r="1048" ht="96" customHeight="1">
      <c r="A1048" s="2" t="inlineStr">
        <is>
          <t>DB-1047</t>
        </is>
      </c>
      <c r="B1048" s="3" t="inlineStr">
        <is>
          <t>Stuffed Cabbage Rolls</t>
        </is>
      </c>
      <c r="C1048" s="4" t="inlineStr">
        <is>
          <t>Beef, Pork &amp; Lamb</t>
        </is>
      </c>
      <c r="D1048" s="4" t="inlineStr">
        <is>
          <t>American</t>
        </is>
      </c>
      <c r="E1048" s="2" t="n">
        <v>6</v>
      </c>
      <c r="F1048" s="2" t="n">
        <v>30</v>
      </c>
      <c r="G1048" s="2" t="n">
        <v>60</v>
      </c>
      <c r="H1048" s="2" t="n">
        <v>90</v>
      </c>
      <c r="I1048" s="4" t="inlineStr">
        <is>
          <t>stuffed-cabbage-rolls.jpg</t>
        </is>
      </c>
      <c r="J1048" s="3" t="inlineStr">
        <is>
          <t>Stuffed Cabbage Rolls, healthy food photography, plated, natural light</t>
        </is>
      </c>
      <c r="K1048" s="4" t="inlineStr"/>
      <c r="L1048" s="3" t="inlineStr">
        <is>
          <t>Green cabbage — 700 g (24.7 oz)
Ground beef 90% lean — 500 g (17.6 oz)
Brown rice, cooked — 150 g (5.3 oz)
Yellow onion — 100 g (3.5 oz)
Tomato sauce, canned, no sugar added — 400 g (14.1 oz)
Garlic — 6 g (0.2 oz)
Fresh parsley — 5 g (0.2 oz)
Salt — 3 g (0.1 oz)</t>
        </is>
      </c>
      <c r="M1048" s="4" t="inlineStr">
        <is>
          <t>[{"ingredient_id": "cabbage", "name": "Green cabbage", "grams": 700.0, "note": ""}, {"ingredient_id": "ground_beef", "name": "Ground beef 90% lean", "grams": 500.0, "note": ""}, {"ingredient_id": "brown_rice", "name": "Brown rice, cooked", "grams": 150.0, "note": ""}, {"ingredient_id": "onion", "name": "Yellow onion", "grams": 100.0, "note": ""}, {"ingredient_id": "tomato_sauce", "name": "Tomato sauce, canned, no sugar added", "grams": 400.0, "note": ""}, {"ingredient_id": "garlic", "name": "Garlic", "grams": 6.0, "note": ""}, {"ingredient_id": "parsley", "name": "Fresh parsley", "grams": 5.0, "note": ""}, {"ingredient_id": "salt", "name": "Salt", "grams": 3.0, "note": ""}]</t>
        </is>
      </c>
      <c r="N1048" s="2" t="n">
        <v>228</v>
      </c>
      <c r="O1048" s="5" t="n">
        <v>19.9</v>
      </c>
      <c r="P1048" s="5" t="n">
        <v>8.800000000000001</v>
      </c>
      <c r="Q1048" s="5" t="n">
        <v>18.2</v>
      </c>
      <c r="R1048" s="5" t="n">
        <v>4.7</v>
      </c>
      <c r="S1048" s="5" t="n">
        <v>13.5</v>
      </c>
      <c r="T1048" s="2" t="n">
        <v>41</v>
      </c>
      <c r="U1048" s="2" t="inlineStr">
        <is>
          <t>low</t>
        </is>
      </c>
      <c r="V1048" s="5" t="n">
        <v>5.5</v>
      </c>
      <c r="W1048" s="2" t="inlineStr">
        <is>
          <t>low</t>
        </is>
      </c>
      <c r="X1048" s="3" t="inlineStr"/>
      <c r="Y1048" s="3" t="inlineStr">
        <is>
          <t>41% of this dish's available carbohydrate comes from ingredients with a published, measured GI; the rest uses conventional placeholders (see Ingredients sheet)</t>
        </is>
      </c>
      <c r="Z1048" s="2" t="n">
        <v>41</v>
      </c>
      <c r="AA1048" s="3" t="inlineStr">
        <is>
          <t>gluten-free, dairy-free, nut-free, low-carb</t>
        </is>
      </c>
      <c r="AB1048" s="3" t="inlineStr">
        <is>
          <t>1. Blanch the cabbage leaves until pliable.
2. Mix the beef, cooked rice, onion, garlic, parsley and salt.
3. Roll the filling in the leaves and pack into a baking dish.
4. Cover with tomato sauce and bake at 350°F for 1 hour.</t>
        </is>
      </c>
      <c r="AC1048" s="4" t="inlineStr">
        <is>
          <t>["Blanch the cabbage leaves until pliable.", "Mix the beef, cooked rice, onion, garlic, parsley and salt.", "Roll the filling in the leaves and pack into a baking dish.", "Cover with tomato sauce and bake at 350°F for 1 hour."]</t>
        </is>
      </c>
    </row>
    <row r="1049" ht="96" customHeight="1">
      <c r="A1049" s="2" t="inlineStr">
        <is>
          <t>DB-1048</t>
        </is>
      </c>
      <c r="B1049" s="3" t="inlineStr">
        <is>
          <t>Sheet Pan Steak and Asparagus</t>
        </is>
      </c>
      <c r="C1049" s="4" t="inlineStr">
        <is>
          <t>Beef, Pork &amp; Lamb</t>
        </is>
      </c>
      <c r="D1049" s="4" t="inlineStr">
        <is>
          <t>American</t>
        </is>
      </c>
      <c r="E1049" s="2" t="n">
        <v>3</v>
      </c>
      <c r="F1049" s="2" t="n">
        <v>10</v>
      </c>
      <c r="G1049" s="2" t="n">
        <v>15</v>
      </c>
      <c r="H1049" s="2" t="n">
        <v>25</v>
      </c>
      <c r="I1049" s="4" t="inlineStr">
        <is>
          <t>sheet-pan-steak-and-asparagus.jpg</t>
        </is>
      </c>
      <c r="J1049" s="3" t="inlineStr">
        <is>
          <t>Sheet Pan Steak and Asparagus, healthy food photography, plated, natural light</t>
        </is>
      </c>
      <c r="K1049" s="4" t="inlineStr"/>
      <c r="L1049" s="3" t="inlineStr">
        <is>
          <t>Beef sirloin, trimmed — 420 g (14.8 oz)
Asparagus — 300 g (10.6 oz)
Cherry tomatoes — 150 g (5.3 oz)
Extra-virgin olive oil — 20 g (0.7 oz)
Garlic — 6 g (0.2 oz)
Salt — 3 g (0.1 oz)
Black pepper — 1 g (0.0 oz)</t>
        </is>
      </c>
      <c r="M1049" s="4" t="inlineStr">
        <is>
          <t>[{"ingredient_id": "beef_sirloin", "name": "Beef sirloin, trimmed", "grams": 420.0, "note": ""}, {"ingredient_id": "asparagus", "name": "Asparagus", "grams": 300.0, "note": ""}, {"ingredient_id": "cherry_tomato", "name": "Cherry tomatoes", "grams": 150.0, "note": ""}, {"ingredient_id": "olive_oil", "name": "Extra-virgin olive oil", "grams": 20.0, "note": ""}, {"ingredient_id": "garlic", "name": "Garlic", "grams": 6.0, "note": ""}, {"ingredient_id": "salt", "name": "Salt", "grams": 3.0, "note": ""}, {"ingredient_id": "black_pepper", "name": "Black pepper", "grams": 1.0, "note": ""}]</t>
        </is>
      </c>
      <c r="N1049" s="2" t="n">
        <v>274</v>
      </c>
      <c r="O1049" s="5" t="n">
        <v>33.6</v>
      </c>
      <c r="P1049" s="5" t="n">
        <v>13.2</v>
      </c>
      <c r="Q1049" s="5" t="n">
        <v>6.7</v>
      </c>
      <c r="R1049" s="5" t="n">
        <v>2.8</v>
      </c>
      <c r="S1049" s="5" t="n">
        <v>3.9</v>
      </c>
      <c r="T1049" s="2" t="n">
        <v>17</v>
      </c>
      <c r="U1049" s="2" t="inlineStr">
        <is>
          <t>low</t>
        </is>
      </c>
      <c r="V1049" s="5" t="n">
        <v>0.7</v>
      </c>
      <c r="W1049" s="2" t="inlineStr">
        <is>
          <t>low</t>
        </is>
      </c>
      <c r="X1049" s="3" t="inlineStr">
        <is>
          <t>Negligible carbohydrate (&lt;5 g net/serving): GI has little practical meaning, glycemic load is what matters.</t>
        </is>
      </c>
      <c r="Y1049" s="3" t="inlineStr">
        <is>
          <t>0% of this dish's available carbohydrate comes from ingredients with a published, measured GI; the rest uses conventional placeholders (see Ingredients sheet)</t>
        </is>
      </c>
      <c r="Z1049" s="2" t="n">
        <v>0</v>
      </c>
      <c r="AA1049" s="3" t="inlineStr">
        <is>
          <t>gluten-free, dairy-free, nut-free, low-carb, high-protein, one-pan</t>
        </is>
      </c>
      <c r="AB1049" s="3" t="inlineStr">
        <is>
          <t>1. Heat the oven to 450°F.
2. Rub the steak with oil, garlic, salt and pepper.
3. Roast on a tray with the asparagus and tomatoes for 12 to 15 minutes.
4. Rest and slice.</t>
        </is>
      </c>
      <c r="AC1049" s="4" t="inlineStr">
        <is>
          <t>["Heat the oven to 450°F.", "Rub the steak with oil, garlic, salt and pepper.", "Roast on a tray with the asparagus and tomatoes for 12 to 15 minutes.", "Rest and slice."]</t>
        </is>
      </c>
    </row>
    <row r="1050" ht="96" customHeight="1">
      <c r="A1050" s="2" t="inlineStr">
        <is>
          <t>DB-1049</t>
        </is>
      </c>
      <c r="B1050" s="3" t="inlineStr">
        <is>
          <t>Beef Chili with Beans</t>
        </is>
      </c>
      <c r="C1050" s="4" t="inlineStr">
        <is>
          <t>Soup &amp; Stew</t>
        </is>
      </c>
      <c r="D1050" s="4" t="inlineStr">
        <is>
          <t>American</t>
        </is>
      </c>
      <c r="E1050" s="2" t="n">
        <v>6</v>
      </c>
      <c r="F1050" s="2" t="n">
        <v>15</v>
      </c>
      <c r="G1050" s="2" t="n">
        <v>50</v>
      </c>
      <c r="H1050" s="2" t="n">
        <v>65</v>
      </c>
      <c r="I1050" s="4" t="inlineStr">
        <is>
          <t>beef-chili-with-beans.jpg</t>
        </is>
      </c>
      <c r="J1050" s="3" t="inlineStr">
        <is>
          <t>Beef Chili with Beans, healthy food photography, plated, natural light</t>
        </is>
      </c>
      <c r="K1050" s="4" t="inlineStr"/>
      <c r="L1050" s="3" t="inlineStr">
        <is>
          <t>Ground beef 90% lean — 500 g (17.6 oz)
Kidney beans, cooked — 300 g (10.6 oz)
Diced tomatoes, canned — 400 g (14.1 oz)
Tomato paste — 40 g (1.4 oz)
Yellow onion — 150 g (5.3 oz)
Bell pepper — 120 g (4.2 oz)
Chili powder — 12 g (0.4 oz)
Ground cumin — 4 g (0.1 oz)
Garlic — 8 g (0.3 oz)
Beef broth, low sodium — 300 g (10.6 oz)</t>
        </is>
      </c>
      <c r="M1050" s="4" t="inlineStr">
        <is>
          <t>[{"ingredient_id": "ground_beef", "name": "Ground beef 90% lean", "grams": 500.0, "note": ""}, {"ingredient_id": "kidney_beans", "name": "Kidney beans, cooked", "grams": 300.0, "note": ""}, {"ingredient_id": "diced_tomatoes", "name": "Diced tomatoes, canned", "grams": 400.0, "note": ""}, {"ingredient_id": "tomato_paste", "name": "Tomato paste", "grams": 40.0, "note": ""}, {"ingredient_id": "onion", "name": "Yellow onion", "grams": 150.0, "note": ""}, {"ingredient_id": "bell_pepper", "name": "Bell pepper", "grams": 120.0, "note": ""}, {"ingredient_id": "chili_powder", "name": "Chili powder", "grams": 12.0, "note": ""}, {"ingredient_id": "cumin", "name": "Ground cumin", "grams": 4.0, "note": ""}, {"ingredient_id": "garlic", "name": "Garlic", "grams": 8.0, "note": ""}, {"ingredient_id": "beef_broth", "name": "Beef broth, low sodium", "grams": 300.0, "note": ""}]</t>
        </is>
      </c>
      <c r="N1050" s="2" t="n">
        <v>261</v>
      </c>
      <c r="O1050" s="5" t="n">
        <v>23.7</v>
      </c>
      <c r="P1050" s="5" t="n">
        <v>9.4</v>
      </c>
      <c r="Q1050" s="5" t="n">
        <v>21.5</v>
      </c>
      <c r="R1050" s="5" t="n">
        <v>6.1</v>
      </c>
      <c r="S1050" s="5" t="n">
        <v>15.3</v>
      </c>
      <c r="T1050" s="2" t="n">
        <v>30</v>
      </c>
      <c r="U1050" s="2" t="inlineStr">
        <is>
          <t>low</t>
        </is>
      </c>
      <c r="V1050" s="5" t="n">
        <v>4.6</v>
      </c>
      <c r="W1050" s="2" t="inlineStr">
        <is>
          <t>low</t>
        </is>
      </c>
      <c r="X1050" s="3" t="inlineStr"/>
      <c r="Y1050" s="3" t="inlineStr">
        <is>
          <t>53% of this dish's available carbohydrate comes from ingredients with a published, measured GI; the rest uses conventional placeholders (see Ingredients sheet)</t>
        </is>
      </c>
      <c r="Z1050" s="2" t="n">
        <v>53</v>
      </c>
      <c r="AA1050" s="3" t="inlineStr">
        <is>
          <t>gluten-free, dairy-free, nut-free</t>
        </is>
      </c>
      <c r="AB1050" s="3" t="inlineStr">
        <is>
          <t>1. Brown the beef with the onion and pepper.
2. Stir in the garlic, chili powder, cumin and tomato paste.
3. Add the tomatoes, beans and broth and simmer 40 minutes.</t>
        </is>
      </c>
      <c r="AC1050" s="4" t="inlineStr">
        <is>
          <t>["Brown the beef with the onion and pepper.", "Stir in the garlic, chili powder, cumin and tomato paste.", "Add the tomatoes, beans and broth and simmer 40 minutes."]</t>
        </is>
      </c>
    </row>
    <row r="1051" ht="96" customHeight="1">
      <c r="A1051" s="2" t="inlineStr">
        <is>
          <t>DB-1050</t>
        </is>
      </c>
      <c r="B1051" s="3" t="inlineStr">
        <is>
          <t>Korean-Style Beef Lettuce Wraps</t>
        </is>
      </c>
      <c r="C1051" s="4" t="inlineStr">
        <is>
          <t>Beef, Pork &amp; Lamb</t>
        </is>
      </c>
      <c r="D1051" s="4" t="inlineStr">
        <is>
          <t>Korean</t>
        </is>
      </c>
      <c r="E1051" s="2" t="n">
        <v>4</v>
      </c>
      <c r="F1051" s="2" t="n">
        <v>15</v>
      </c>
      <c r="G1051" s="2" t="n">
        <v>10</v>
      </c>
      <c r="H1051" s="2" t="n">
        <v>25</v>
      </c>
      <c r="I1051" s="4" t="inlineStr">
        <is>
          <t>korean-style-beef-lettuce-wraps.jpg</t>
        </is>
      </c>
      <c r="J1051" s="3" t="inlineStr">
        <is>
          <t>Korean-Style Beef Lettuce Wraps, healthy food photography, plated, natural light</t>
        </is>
      </c>
      <c r="K1051" s="4" t="inlineStr"/>
      <c r="L1051" s="3" t="inlineStr">
        <is>
          <t>Ground beef 90% lean — 500 g (17.6 oz)
Butter lettuce — 160 g (5.6 oz)
Gochujang (small amount) — 20 g (0.7 oz)
Coconut aminos — 30 g (1.1 oz)
Garlic — 8 g (0.3 oz)
Fresh ginger — 6 g (0.2 oz)
Green onions (scallions) — 30 g (1.1 oz)
Sesame seeds — 6 g (0.2 oz)
Cucumber — 100 g (3.5 oz)</t>
        </is>
      </c>
      <c r="M1051" s="4" t="inlineStr">
        <is>
          <t>[{"ingredient_id": "ground_beef", "name": "Ground beef 90% lean", "grams": 500.0, "note": ""}, {"ingredient_id": "butter_lettuce", "name": "Butter lettuce", "grams": 160.0, "note": ""}, {"ingredient_id": "gochujang", "name": "Gochujang (small amount)", "grams": 20.0, "note": ""}, {"ingredient_id": "coconut_aminos", "name": "Coconut aminos", "grams": 30.0, "note": ""}, {"ingredient_id": "garlic", "name": "Garlic", "grams": 8.0, "note": ""}, {"ingredient_id": "ginger", "name": "Fresh ginger", "grams": 6.0, "note": ""}, {"ingredient_id": "green_onion", "name": "Green onions (scallions)", "grams": 30.0, "note": ""}, {"ingredient_id": "sesame_seeds", "name": "Sesame seeds", "grams": 6.0, "note": ""}, {"ingredient_id": "cucumber", "name": "Cucumber", "grams": 100.0, "note": ""}]</t>
        </is>
      </c>
      <c r="N1051" s="2" t="n">
        <v>261</v>
      </c>
      <c r="O1051" s="5" t="n">
        <v>26.5</v>
      </c>
      <c r="P1051" s="5" t="n">
        <v>13.4</v>
      </c>
      <c r="Q1051" s="5" t="n">
        <v>7.5</v>
      </c>
      <c r="R1051" s="5" t="n">
        <v>1.2</v>
      </c>
      <c r="S1051" s="5" t="n">
        <v>6.3</v>
      </c>
      <c r="T1051" s="2" t="n">
        <v>32</v>
      </c>
      <c r="U1051" s="2" t="inlineStr">
        <is>
          <t>low</t>
        </is>
      </c>
      <c r="V1051" s="5" t="n">
        <v>2</v>
      </c>
      <c r="W1051" s="2" t="inlineStr">
        <is>
          <t>low</t>
        </is>
      </c>
      <c r="X1051" s="3" t="inlineStr"/>
      <c r="Y1051" s="3" t="inlineStr">
        <is>
          <t>0% of this dish's available carbohydrate comes from ingredients with a published, measured GI; the rest uses conventional placeholders (see Ingredients sheet)</t>
        </is>
      </c>
      <c r="Z1051" s="2" t="n">
        <v>0</v>
      </c>
      <c r="AA1051" s="3" t="inlineStr">
        <is>
          <t>dairy-free, nut-free, low-carb, high-protein</t>
        </is>
      </c>
      <c r="AB1051" s="3" t="inlineStr">
        <is>
          <t>1. Brown the beef with garlic and ginger.
2. Stir in gochujang and coconut aminos.
3. Spoon into lettuce leaves and top with green onion, cucumber and sesame.</t>
        </is>
      </c>
      <c r="AC1051" s="4" t="inlineStr">
        <is>
          <t>["Brown the beef with garlic and ginger.", "Stir in gochujang and coconut aminos.", "Spoon into lettuce leaves and top with green onion, cucumber and sesame."]</t>
        </is>
      </c>
    </row>
    <row r="1052" ht="96" customHeight="1">
      <c r="A1052" s="2" t="inlineStr">
        <is>
          <t>DB-1051</t>
        </is>
      </c>
      <c r="B1052" s="3" t="inlineStr">
        <is>
          <t>Baked Salmon with Dill and Roasted Broccoli</t>
        </is>
      </c>
      <c r="C1052" s="4" t="inlineStr">
        <is>
          <t>Seafood</t>
        </is>
      </c>
      <c r="D1052" s="4" t="inlineStr">
        <is>
          <t>American</t>
        </is>
      </c>
      <c r="E1052" s="2" t="n">
        <v>4</v>
      </c>
      <c r="F1052" s="2" t="n">
        <v>10</v>
      </c>
      <c r="G1052" s="2" t="n">
        <v>18</v>
      </c>
      <c r="H1052" s="2" t="n">
        <v>28</v>
      </c>
      <c r="I1052" s="4" t="inlineStr">
        <is>
          <t>baked-salmon-with-dill-and-roasted-broccoli.jpg</t>
        </is>
      </c>
      <c r="J1052" s="3" t="inlineStr">
        <is>
          <t>Baked Salmon with Dill and Roasted Broccoli, healthy food photography, plated, natural light</t>
        </is>
      </c>
      <c r="K1052" s="4" t="inlineStr"/>
      <c r="L1052" s="3" t="inlineStr">
        <is>
          <t>Salmon fillet — 560 g (19.8 oz)
Broccoli — 400 g (14.1 oz)
Lemon (with juice &amp; zest) — 60 g (2.1 oz)
Fresh dill — 5 g (0.2 oz)
Extra-virgin olive oil — 20 g (0.7 oz)
Garlic — 6 g (0.2 oz)
Salt — 3 g (0.1 oz)</t>
        </is>
      </c>
      <c r="M1052" s="4" t="inlineStr">
        <is>
          <t>[{"ingredient_id": "salmon", "name": "Salmon fillet", "grams": 560.0, "note": ""}, {"ingredient_id": "broccoli", "name": "Broccoli", "grams": 400.0, "note": ""}, {"ingredient_id": "lemon", "name": "Lemon (with juice &amp; zest)", "grams": 60.0, "note": ""}, {"ingredient_id": "dill", "name": "Fresh dill", "grams": 5.0, "note": ""}, {"ingredient_id": "olive_oil", "name": "Extra-virgin olive oil", "grams": 20.0, "note": ""}, {"ingredient_id": "garlic", "name": "Garlic", "grams": 6.0, "note": ""}, {"ingredient_id": "salt", "name": "Salt", "grams": 3.0, "note": ""}]</t>
        </is>
      </c>
      <c r="N1052" s="2" t="n">
        <v>377</v>
      </c>
      <c r="O1052" s="5" t="n">
        <v>31.1</v>
      </c>
      <c r="P1052" s="5" t="n">
        <v>23.7</v>
      </c>
      <c r="Q1052" s="5" t="n">
        <v>8.6</v>
      </c>
      <c r="R1052" s="5" t="n">
        <v>3.1</v>
      </c>
      <c r="S1052" s="5" t="n">
        <v>5.5</v>
      </c>
      <c r="T1052" s="2" t="n">
        <v>17</v>
      </c>
      <c r="U1052" s="2" t="inlineStr">
        <is>
          <t>low</t>
        </is>
      </c>
      <c r="V1052" s="5" t="n">
        <v>0.9</v>
      </c>
      <c r="W1052" s="2" t="inlineStr">
        <is>
          <t>low</t>
        </is>
      </c>
      <c r="X1052" s="3" t="inlineStr"/>
      <c r="Y1052" s="3" t="inlineStr">
        <is>
          <t>0% of this dish's available carbohydrate comes from ingredients with a published, measured GI; the rest uses conventional placeholders (see Ingredients sheet)</t>
        </is>
      </c>
      <c r="Z1052" s="2" t="n">
        <v>0</v>
      </c>
      <c r="AA1052" s="3" t="inlineStr">
        <is>
          <t>pescatarian, gluten-free, dairy-free, nut-free, low-carb, high-protein, one-pan</t>
        </is>
      </c>
      <c r="AB1052" s="3" t="inlineStr">
        <is>
          <t>1. Heat the oven to 400°F.
2. Place the salmon and broccoli on a tray and drizzle with oil.
3. Add garlic, lemon slices and salt.
4. Roast 15 to 18 minutes and finish with dill.</t>
        </is>
      </c>
      <c r="AC1052" s="4" t="inlineStr">
        <is>
          <t>["Heat the oven to 400°F.", "Place the salmon and broccoli on a tray and drizzle with oil.", "Add garlic, lemon slices and salt.", "Roast 15 to 18 minutes and finish with dill."]</t>
        </is>
      </c>
    </row>
    <row r="1053" ht="96" customHeight="1">
      <c r="A1053" s="2" t="inlineStr">
        <is>
          <t>DB-1052</t>
        </is>
      </c>
      <c r="B1053" s="3" t="inlineStr">
        <is>
          <t>Shrimp Scampi with Zucchini Noodles</t>
        </is>
      </c>
      <c r="C1053" s="4" t="inlineStr">
        <is>
          <t>Seafood</t>
        </is>
      </c>
      <c r="D1053" s="4" t="inlineStr">
        <is>
          <t>Italian</t>
        </is>
      </c>
      <c r="E1053" s="2" t="n">
        <v>3</v>
      </c>
      <c r="F1053" s="2" t="n">
        <v>10</v>
      </c>
      <c r="G1053" s="2" t="n">
        <v>10</v>
      </c>
      <c r="H1053" s="2" t="n">
        <v>20</v>
      </c>
      <c r="I1053" s="4" t="inlineStr">
        <is>
          <t>shrimp-scampi-with-zucchini-noodles.jpg</t>
        </is>
      </c>
      <c r="J1053" s="3" t="inlineStr">
        <is>
          <t>Shrimp Scampi with Zucchini Noodles, healthy food photography, plated, natural light</t>
        </is>
      </c>
      <c r="K1053" s="4" t="inlineStr"/>
      <c r="L1053" s="3" t="inlineStr">
        <is>
          <t>Shrimp, peeled — 450 g (15.9 oz)
Zucchini noodles (zoodles) — 450 g (15.9 oz)
Garlic — 12 g (0.4 oz)
Butter — 20 g (0.7 oz)
Extra-virgin olive oil — 10 g (0.4 oz)
Lemon juice — 20 g (0.7 oz)
Dry white wine (cooking) — 50 g (1.8 oz)
Fresh parsley — 5 g (0.2 oz)
Red pepper flakes — 1 g (0.0 oz)</t>
        </is>
      </c>
      <c r="M1053" s="4" t="inlineStr">
        <is>
          <t>[{"ingredient_id": "shrimp", "name": "Shrimp, peeled", "grams": 450.0, "note": ""}, {"ingredient_id": "zucchini_noodles", "name": "Zucchini noodles (zoodles)", "grams": 450.0, "note": ""}, {"ingredient_id": "garlic", "name": "Garlic", "grams": 12.0, "note": ""}, {"ingredient_id": "butter", "name": "Butter", "grams": 20.0, "note": ""}, {"ingredient_id": "olive_oil", "name": "Extra-virgin olive oil", "grams": 10.0, "note": ""}, {"ingredient_id": "lemon_juice", "name": "Lemon juice", "grams": 20.0, "note": ""}, {"ingredient_id": "white_wine", "name": "Dry white wine (cooking)", "grams": 50.0, "note": ""}, {"ingredient_id": "parsley", "name": "Fresh parsley", "grams": 5.0, "note": ""}, {"ingredient_id": "red_pepper_flakes", "name": "Red pepper flakes", "grams": 1.0, "note": ""}]</t>
        </is>
      </c>
      <c r="N1053" s="2" t="n">
        <v>253</v>
      </c>
      <c r="O1053" s="5" t="n">
        <v>32.2</v>
      </c>
      <c r="P1053" s="5" t="n">
        <v>10</v>
      </c>
      <c r="Q1053" s="5" t="n">
        <v>7.2</v>
      </c>
      <c r="R1053" s="5" t="n">
        <v>1.7</v>
      </c>
      <c r="S1053" s="5" t="n">
        <v>5.4</v>
      </c>
      <c r="T1053" s="2" t="n">
        <v>18</v>
      </c>
      <c r="U1053" s="2" t="inlineStr">
        <is>
          <t>low</t>
        </is>
      </c>
      <c r="V1053" s="5" t="n">
        <v>1</v>
      </c>
      <c r="W1053" s="2" t="inlineStr">
        <is>
          <t>low</t>
        </is>
      </c>
      <c r="X1053" s="3" t="inlineStr"/>
      <c r="Y1053" s="3" t="inlineStr">
        <is>
          <t>0% of this dish's available carbohydrate comes from ingredients with a published, measured GI; the rest uses conventional placeholders (see Ingredients sheet)</t>
        </is>
      </c>
      <c r="Z1053" s="2" t="n">
        <v>0</v>
      </c>
      <c r="AA1053" s="3" t="inlineStr">
        <is>
          <t>pescatarian, gluten-free, nut-free, low-carb, high-protein</t>
        </is>
      </c>
      <c r="AB1053" s="3" t="inlineStr">
        <is>
          <t>1. Sauté the garlic in butter and oil.
2. Add the shrimp and cook 2 minutes a side.
3. Add wine and lemon and reduce briefly.
4. Toss with the zucchini noodles and parsley.</t>
        </is>
      </c>
      <c r="AC1053" s="4" t="inlineStr">
        <is>
          <t>["Sauté the garlic in butter and oil.", "Add the shrimp and cook 2 minutes a side.", "Add wine and lemon and reduce briefly.", "Toss with the zucchini noodles and parsley."]</t>
        </is>
      </c>
    </row>
    <row r="1054" ht="96" customHeight="1">
      <c r="A1054" s="2" t="inlineStr">
        <is>
          <t>DB-1053</t>
        </is>
      </c>
      <c r="B1054" s="3" t="inlineStr">
        <is>
          <t>Cajun Shrimp and Cauliflower Grits Bowl</t>
        </is>
      </c>
      <c r="C1054" s="4" t="inlineStr">
        <is>
          <t>Seafood</t>
        </is>
      </c>
      <c r="D1054" s="4" t="inlineStr">
        <is>
          <t>American</t>
        </is>
      </c>
      <c r="E1054" s="2" t="n">
        <v>3</v>
      </c>
      <c r="F1054" s="2" t="n">
        <v>10</v>
      </c>
      <c r="G1054" s="2" t="n">
        <v>20</v>
      </c>
      <c r="H1054" s="2" t="n">
        <v>30</v>
      </c>
      <c r="I1054" s="4" t="inlineStr">
        <is>
          <t>cajun-shrimp-and-cauliflower-grits-bowl.jpg</t>
        </is>
      </c>
      <c r="J1054" s="3" t="inlineStr">
        <is>
          <t>Cajun Shrimp and Cauliflower Grits Bowl, healthy food photography, plated, natural light</t>
        </is>
      </c>
      <c r="K1054" s="4" t="inlineStr"/>
      <c r="L1054" s="3" t="inlineStr">
        <is>
          <t>Shrimp, peeled — 400 g (14.1 oz)
Cajun seasoning — 8 g (0.3 oz)
Cauliflower rice — 400 g (14.1 oz)
Cheddar cheese — 40 g (1.4 oz)
Bell pepper — 100 g (3.5 oz)
Green onions (scallions) — 20 g (0.7 oz)
Extra-virgin olive oil — 15 g (0.5 oz)
Milk, 2% — 60 g (2.1 oz)</t>
        </is>
      </c>
      <c r="M1054" s="4" t="inlineStr">
        <is>
          <t>[{"ingredient_id": "shrimp", "name": "Shrimp, peeled", "grams": 400.0, "note": ""}, {"ingredient_id": "cajun_seasoning", "name": "Cajun seasoning", "grams": 8.0, "note": ""}, {"ingredient_id": "cauliflower_rice", "name": "Cauliflower rice", "grams": 400.0, "note": ""}, {"ingredient_id": "cheddar", "name": "Cheddar cheese", "grams": 40.0, "note": ""}, {"ingredient_id": "bell_pepper", "name": "Bell pepper", "grams": 100.0, "note": ""}, {"ingredient_id": "green_onion", "name": "Green onions (scallions)", "grams": 20.0, "note": ""}, {"ingredient_id": "olive_oil", "name": "Extra-virgin olive oil", "grams": 15.0, "note": ""}, {"ingredient_id": "milk", "name": "Milk, 2%", "grams": 60.0, "note": ""}]</t>
        </is>
      </c>
      <c r="N1054" s="2" t="n">
        <v>275</v>
      </c>
      <c r="O1054" s="5" t="n">
        <v>33.6</v>
      </c>
      <c r="P1054" s="5" t="n">
        <v>11.2</v>
      </c>
      <c r="Q1054" s="5" t="n">
        <v>11.8</v>
      </c>
      <c r="R1054" s="5" t="n">
        <v>4.2</v>
      </c>
      <c r="S1054" s="5" t="n">
        <v>7.5</v>
      </c>
      <c r="T1054" s="2" t="n">
        <v>16</v>
      </c>
      <c r="U1054" s="2" t="inlineStr">
        <is>
          <t>low</t>
        </is>
      </c>
      <c r="V1054" s="5" t="n">
        <v>1.2</v>
      </c>
      <c r="W1054" s="2" t="inlineStr">
        <is>
          <t>low</t>
        </is>
      </c>
      <c r="X1054" s="3" t="inlineStr"/>
      <c r="Y1054" s="3" t="inlineStr">
        <is>
          <t>13% of this dish's available carbohydrate comes from ingredients with a published, measured GI; the rest uses conventional placeholders (see Ingredients sheet)</t>
        </is>
      </c>
      <c r="Z1054" s="2" t="n">
        <v>13</v>
      </c>
      <c r="AA1054" s="3" t="inlineStr">
        <is>
          <t>pescatarian, gluten-free, nut-free, low-carb, high-protein</t>
        </is>
      </c>
      <c r="AB1054" s="3" t="inlineStr">
        <is>
          <t>1. Simmer the cauliflower rice with milk until creamy, then stir in cheddar.
2. Toss the shrimp in Cajun seasoning and sear in oil.
3. Add the pepper and cook 3 minutes.
4. Spoon over the cauliflower base and top with green onion.</t>
        </is>
      </c>
      <c r="AC1054" s="4" t="inlineStr">
        <is>
          <t>["Simmer the cauliflower rice with milk until creamy, then stir in cheddar.", "Toss the shrimp in Cajun seasoning and sear in oil.", "Add the pepper and cook 3 minutes.", "Spoon over the cauliflower base and top with green onion."]</t>
        </is>
      </c>
    </row>
    <row r="1055" ht="96" customHeight="1">
      <c r="A1055" s="2" t="inlineStr">
        <is>
          <t>DB-1054</t>
        </is>
      </c>
      <c r="B1055" s="3" t="inlineStr">
        <is>
          <t>Tuna Patties with Lemon Yogurt Sauce</t>
        </is>
      </c>
      <c r="C1055" s="4" t="inlineStr">
        <is>
          <t>Seafood</t>
        </is>
      </c>
      <c r="D1055" s="4" t="inlineStr">
        <is>
          <t>American</t>
        </is>
      </c>
      <c r="E1055" s="2" t="n">
        <v>4</v>
      </c>
      <c r="F1055" s="2" t="n">
        <v>15</v>
      </c>
      <c r="G1055" s="2" t="n">
        <v>10</v>
      </c>
      <c r="H1055" s="2" t="n">
        <v>25</v>
      </c>
      <c r="I1055" s="4" t="inlineStr">
        <is>
          <t>tuna-patties-with-lemon-yogurt-sauce.jpg</t>
        </is>
      </c>
      <c r="J1055" s="3" t="inlineStr">
        <is>
          <t>Tuna Patties with Lemon Yogurt Sauce, healthy food photography, plated, natural light</t>
        </is>
      </c>
      <c r="K1055" s="4" t="inlineStr"/>
      <c r="L1055" s="3" t="inlineStr">
        <is>
          <t>Tuna, canned in water — 480 g (16.9 oz)
Egg, large (50 g each) — 100 g (3.5 oz)
Almond flour — 40 g (1.4 oz)
Celery — 40 g (1.4 oz)
Green onions (scallions) — 20 g (0.7 oz)
Dijon mustard — 10 g (0.4 oz)
Greek yogurt, plain 2% — 100 g (3.5 oz)
Lemon juice — 15 g (0.5 oz)
Extra-virgin olive oil — 15 g (0.5 oz)</t>
        </is>
      </c>
      <c r="M1055" s="4" t="inlineStr">
        <is>
          <t>[{"ingredient_id": "tuna_canned", "name": "Tuna, canned in water", "grams": 480.0, "note": ""}, {"ingredient_id": "egg", "name": "Egg, large (50 g each)", "grams": 100.0, "note": ""}, {"ingredient_id": "almond_flour", "name": "Almond flour", "grams": 40.0, "note": ""}, {"ingredient_id": "celery", "name": "Celery", "grams": 40.0, "note": ""}, {"ingredient_id": "green_onion", "name": "Green onions (scallions)", "grams": 20.0, "note": ""}, {"ingredient_id": "dijon", "name": "Dijon mustard", "grams": 10.0, "note": ""}, {"ingredient_id": "greek_yogurt", "name": "Greek yogurt, plain 2%", "grams": 100.0, "note": ""}, {"ingredient_id": "lemon_juice", "name": "Lemon juice", "grams": 15.0, "note": ""}, {"ingredient_id": "olive_oil", "name": "Extra-virgin olive oil", "grams": 15.0, "note": ""}]</t>
        </is>
      </c>
      <c r="N1055" s="2" t="n">
        <v>291</v>
      </c>
      <c r="O1055" s="5" t="n">
        <v>39.2</v>
      </c>
      <c r="P1055" s="5" t="n">
        <v>12.9</v>
      </c>
      <c r="Q1055" s="5" t="n">
        <v>4.3</v>
      </c>
      <c r="R1055" s="5" t="n">
        <v>1.6</v>
      </c>
      <c r="S1055" s="5" t="n">
        <v>2.7</v>
      </c>
      <c r="T1055" s="2" t="n">
        <v>13</v>
      </c>
      <c r="U1055" s="2" t="inlineStr">
        <is>
          <t>low</t>
        </is>
      </c>
      <c r="V1055" s="5" t="n">
        <v>0.4</v>
      </c>
      <c r="W1055" s="2" t="inlineStr">
        <is>
          <t>low</t>
        </is>
      </c>
      <c r="X1055" s="3" t="inlineStr">
        <is>
          <t>Negligible carbohydrate (&lt;5 g net/serving): GI has little practical meaning, glycemic load is what matters.</t>
        </is>
      </c>
      <c r="Y1055" s="3" t="inlineStr">
        <is>
          <t>36% of this dish's available carbohydrate comes from ingredients with a published, measured GI; the rest uses conventional placeholders (see Ingredients sheet)</t>
        </is>
      </c>
      <c r="Z1055" s="2" t="n">
        <v>36</v>
      </c>
      <c r="AA1055" s="3" t="inlineStr">
        <is>
          <t>pescatarian, gluten-free, low-carb, high-protein</t>
        </is>
      </c>
      <c r="AB1055" s="3" t="inlineStr">
        <is>
          <t>1. Mix the tuna, egg, almond flour, celery, green onion and mustard and form patties.
2. Pan-fry in oil 3 to 4 minutes a side.
3. Stir the yogurt with lemon juice and serve on the side.</t>
        </is>
      </c>
      <c r="AC1055" s="4" t="inlineStr">
        <is>
          <t>["Mix the tuna, egg, almond flour, celery, green onion and mustard and form patties.", "Pan-fry in oil 3 to 4 minutes a side.", "Stir the yogurt with lemon juice and serve on the side."]</t>
        </is>
      </c>
    </row>
    <row r="1056" ht="96" customHeight="1">
      <c r="A1056" s="2" t="inlineStr">
        <is>
          <t>DB-1055</t>
        </is>
      </c>
      <c r="B1056" s="3" t="inlineStr">
        <is>
          <t>Blackened Catfish with Collard Greens</t>
        </is>
      </c>
      <c r="C1056" s="4" t="inlineStr">
        <is>
          <t>Seafood</t>
        </is>
      </c>
      <c r="D1056" s="4" t="inlineStr">
        <is>
          <t>American</t>
        </is>
      </c>
      <c r="E1056" s="2" t="n">
        <v>4</v>
      </c>
      <c r="F1056" s="2" t="n">
        <v>10</v>
      </c>
      <c r="G1056" s="2" t="n">
        <v>20</v>
      </c>
      <c r="H1056" s="2" t="n">
        <v>30</v>
      </c>
      <c r="I1056" s="4" t="inlineStr">
        <is>
          <t>blackened-catfish-with-collard-greens.jpg</t>
        </is>
      </c>
      <c r="J1056" s="3" t="inlineStr">
        <is>
          <t>Blackened Catfish with Collard Greens, healthy food photography, plated, natural light</t>
        </is>
      </c>
      <c r="K1056" s="4" t="inlineStr"/>
      <c r="L1056" s="3" t="inlineStr">
        <is>
          <t>Catfish fillet — 560 g (19.8 oz)
Cajun seasoning — 10 g (0.4 oz)
Collard greens — 400 g (14.1 oz)
Yellow onion — 80 g (2.8 oz)
Garlic — 6 g (0.2 oz)
Apple cider vinegar — 15 g (0.5 oz)
Extra-virgin olive oil — 25 g (0.9 oz)
Turkey bacon — 40 g (1.4 oz)</t>
        </is>
      </c>
      <c r="M1056" s="4" t="inlineStr">
        <is>
          <t>[{"ingredient_id": "catfish", "name": "Catfish fillet", "grams": 560.0, "note": ""}, {"ingredient_id": "cajun_seasoning", "name": "Cajun seasoning", "grams": 10.0, "note": ""}, {"ingredient_id": "collard_greens", "name": "Collard greens", "grams": 400.0, "note": ""}, {"ingredient_id": "onion", "name": "Yellow onion", "grams": 80.0, "note": ""}, {"ingredient_id": "garlic", "name": "Garlic", "grams": 6.0, "note": ""}, {"ingredient_id": "apple_cider_vinegar", "name": "Apple cider vinegar", "grams": 15.0, "note": ""}, {"ingredient_id": "olive_oil", "name": "Extra-virgin olive oil", "grams": 25.0, "note": ""}, {"ingredient_id": "turkey_bacon", "name": "Turkey bacon", "grams": 40.0, "note": ""}]</t>
        </is>
      </c>
      <c r="N1056" s="2" t="n">
        <v>261</v>
      </c>
      <c r="O1056" s="5" t="n">
        <v>27.8</v>
      </c>
      <c r="P1056" s="5" t="n">
        <v>12.8</v>
      </c>
      <c r="Q1056" s="5" t="n">
        <v>9.4</v>
      </c>
      <c r="R1056" s="5" t="n">
        <v>5</v>
      </c>
      <c r="S1056" s="5" t="n">
        <v>4.4</v>
      </c>
      <c r="T1056" s="2" t="n">
        <v>16</v>
      </c>
      <c r="U1056" s="2" t="inlineStr">
        <is>
          <t>low</t>
        </is>
      </c>
      <c r="V1056" s="5" t="n">
        <v>0.7</v>
      </c>
      <c r="W1056" s="2" t="inlineStr">
        <is>
          <t>low</t>
        </is>
      </c>
      <c r="X1056" s="3" t="inlineStr">
        <is>
          <t>Negligible carbohydrate (&lt;5 g net/serving): GI has little practical meaning, glycemic load is what matters.</t>
        </is>
      </c>
      <c r="Y1056" s="3" t="inlineStr">
        <is>
          <t>0% of this dish's available carbohydrate comes from ingredients with a published, measured GI; the rest uses conventional placeholders (see Ingredients sheet)</t>
        </is>
      </c>
      <c r="Z1056" s="2" t="n">
        <v>0</v>
      </c>
      <c r="AA1056" s="3" t="inlineStr">
        <is>
          <t>gluten-free, dairy-free, nut-free, low-carb, high-protein</t>
        </is>
      </c>
      <c r="AB1056" s="3" t="inlineStr">
        <is>
          <t>1. Sauté the bacon, onion and garlic, then the collards with vinegar and a splash of water until tender.
2. Coat the catfish in Cajun seasoning.
3. Sear in oil 4 minutes a side.
4. Serve on the greens.</t>
        </is>
      </c>
      <c r="AC1056" s="4" t="inlineStr">
        <is>
          <t>["Sauté the bacon, onion and garlic, then the collards with vinegar and a splash of water until tender.", "Coat the catfish in Cajun seasoning.", "Sear in oil 4 minutes a side.", "Serve on the greens."]</t>
        </is>
      </c>
    </row>
    <row r="1057" ht="96" customHeight="1">
      <c r="A1057" s="2" t="inlineStr">
        <is>
          <t>DB-1056</t>
        </is>
      </c>
      <c r="B1057" s="3" t="inlineStr">
        <is>
          <t>Lemon Pepper Tilapia with Green Beans</t>
        </is>
      </c>
      <c r="C1057" s="4" t="inlineStr">
        <is>
          <t>Seafood</t>
        </is>
      </c>
      <c r="D1057" s="4" t="inlineStr">
        <is>
          <t>American</t>
        </is>
      </c>
      <c r="E1057" s="2" t="n">
        <v>4</v>
      </c>
      <c r="F1057" s="2" t="n">
        <v>5</v>
      </c>
      <c r="G1057" s="2" t="n">
        <v>15</v>
      </c>
      <c r="H1057" s="2" t="n">
        <v>20</v>
      </c>
      <c r="I1057" s="4" t="inlineStr">
        <is>
          <t>lemon-pepper-tilapia-with-green-beans.jpg</t>
        </is>
      </c>
      <c r="J1057" s="3" t="inlineStr">
        <is>
          <t>Lemon Pepper Tilapia with Green Beans, healthy food photography, plated, natural light</t>
        </is>
      </c>
      <c r="K1057" s="4" t="inlineStr"/>
      <c r="L1057" s="3" t="inlineStr">
        <is>
          <t>Tilapia fillet — 560 g (19.8 oz)
Green beans — 400 g (14.1 oz)
Lemon juice — 25 g (0.9 oz)
Black pepper — 2 g (0.1 oz)
Garlic powder — 3 g (0.1 oz)
Extra-virgin olive oil — 20 g (0.7 oz)
Salt — 3 g (0.1 oz)</t>
        </is>
      </c>
      <c r="M1057" s="4" t="inlineStr">
        <is>
          <t>[{"ingredient_id": "tilapia", "name": "Tilapia fillet", "grams": 560.0, "note": ""}, {"ingredient_id": "green_beans", "name": "Green beans", "grams": 400.0, "note": ""}, {"ingredient_id": "lemon_juice", "name": "Lemon juice", "grams": 25.0, "note": ""}, {"ingredient_id": "black_pepper", "name": "Black pepper", "grams": 2.0, "note": ""}, {"ingredient_id": "garlic_powder", "name": "Garlic powder", "grams": 3.0, "note": ""}, {"ingredient_id": "olive_oil", "name": "Extra-virgin olive oil", "grams": 20.0, "note": ""}, {"ingredient_id": "salt", "name": "Salt", "grams": 3.0, "note": ""}]</t>
        </is>
      </c>
      <c r="N1057" s="2" t="n">
        <v>215</v>
      </c>
      <c r="O1057" s="5" t="n">
        <v>30</v>
      </c>
      <c r="P1057" s="5" t="n">
        <v>7.6</v>
      </c>
      <c r="Q1057" s="5" t="n">
        <v>8.300000000000001</v>
      </c>
      <c r="R1057" s="5" t="n">
        <v>2.9</v>
      </c>
      <c r="S1057" s="5" t="n">
        <v>5.4</v>
      </c>
      <c r="T1057" s="2" t="n">
        <v>15</v>
      </c>
      <c r="U1057" s="2" t="inlineStr">
        <is>
          <t>low</t>
        </is>
      </c>
      <c r="V1057" s="5" t="n">
        <v>0.8</v>
      </c>
      <c r="W1057" s="2" t="inlineStr">
        <is>
          <t>low</t>
        </is>
      </c>
      <c r="X1057" s="3" t="inlineStr"/>
      <c r="Y1057" s="3" t="inlineStr">
        <is>
          <t>0% of this dish's available carbohydrate comes from ingredients with a published, measured GI; the rest uses conventional placeholders (see Ingredients sheet)</t>
        </is>
      </c>
      <c r="Z1057" s="2" t="n">
        <v>0</v>
      </c>
      <c r="AA1057" s="3" t="inlineStr">
        <is>
          <t>pescatarian, gluten-free, dairy-free, nut-free, low-carb, high-protein</t>
        </is>
      </c>
      <c r="AB1057" s="3" t="inlineStr">
        <is>
          <t>1. Season the tilapia with pepper, garlic powder and salt.
2. Pan-sear in half the oil, 3 minutes a side.
3. Sauté the beans in the remaining oil.
4. Finish both with lemon juice.</t>
        </is>
      </c>
      <c r="AC1057" s="4" t="inlineStr">
        <is>
          <t>["Season the tilapia with pepper, garlic powder and salt.", "Pan-sear in half the oil, 3 minutes a side.", "Sauté the beans in the remaining oil.", "Finish both with lemon juice."]</t>
        </is>
      </c>
    </row>
    <row r="1058" ht="96" customHeight="1">
      <c r="A1058" s="2" t="inlineStr">
        <is>
          <t>DB-1057</t>
        </is>
      </c>
      <c r="B1058" s="3" t="inlineStr">
        <is>
          <t>Crab Cakes with Greek Yogurt Remoulade</t>
        </is>
      </c>
      <c r="C1058" s="4" t="inlineStr">
        <is>
          <t>Seafood</t>
        </is>
      </c>
      <c r="D1058" s="4" t="inlineStr">
        <is>
          <t>American</t>
        </is>
      </c>
      <c r="E1058" s="2" t="n">
        <v>4</v>
      </c>
      <c r="F1058" s="2" t="n">
        <v>15</v>
      </c>
      <c r="G1058" s="2" t="n">
        <v>10</v>
      </c>
      <c r="H1058" s="2" t="n">
        <v>25</v>
      </c>
      <c r="I1058" s="4" t="inlineStr">
        <is>
          <t>crab-cakes-with-greek-yogurt-remoulade.jpg</t>
        </is>
      </c>
      <c r="J1058" s="3" t="inlineStr">
        <is>
          <t>Crab Cakes with Greek Yogurt Remoulade, healthy food photography, plated, natural light</t>
        </is>
      </c>
      <c r="K1058" s="4" t="inlineStr"/>
      <c r="L1058" s="3" t="inlineStr">
        <is>
          <t>Crab meat, lump — 450 g (15.9 oz)
Egg, large (50 g each) — 50 g (1.8 oz)
Almond flour — 40 g (1.4 oz)
Celery — 30 g (1.1 oz)
Old Bay seasoning — 4 g (0.1 oz)
Dijon mustard — 10 g (0.4 oz)
Lemon juice — 15 g (0.5 oz)
Greek yogurt, plain 2% — 100 g (3.5 oz)
Extra-virgin olive oil — 15 g (0.5 oz)
Dill pickles — 20 g (0.7 oz)</t>
        </is>
      </c>
      <c r="M1058" s="4" t="inlineStr">
        <is>
          <t>[{"ingredient_id": "crab", "name": "Crab meat, lump", "grams": 450.0, "note": ""}, {"ingredient_id": "egg", "name": "Egg, large (50 g each)", "grams": 50.0, "note": ""}, {"ingredient_id": "almond_flour", "name": "Almond flour", "grams": 40.0, "note": ""}, {"ingredient_id": "celery", "name": "Celery", "grams": 30.0, "note": ""}, {"ingredient_id": "old_bay", "name": "Old Bay seasoning", "grams": 4.0, "note": ""}, {"ingredient_id": "dijon", "name": "Dijon mustard", "grams": 10.0, "note": ""}, {"ingredient_id": "lemon_juice", "name": "Lemon juice", "grams": 15.0, "note": ""}, {"ingredient_id": "greek_yogurt", "name": "Greek yogurt, plain 2%", "grams": 100.0, "note": ""}, {"ingredient_id": "olive_oil", "name": "Extra-virgin olive oil", "grams": 15.0, "note": ""}, {"ingredient_id": "dill_pickle", "name": "Dill pickles", "grams": 20.0, "note": ""}]</t>
        </is>
      </c>
      <c r="N1058" s="2" t="n">
        <v>230</v>
      </c>
      <c r="O1058" s="5" t="n">
        <v>26.7</v>
      </c>
      <c r="P1058" s="5" t="n">
        <v>11.8</v>
      </c>
      <c r="Q1058" s="5" t="n">
        <v>4.5</v>
      </c>
      <c r="R1058" s="5" t="n">
        <v>1.7</v>
      </c>
      <c r="S1058" s="5" t="n">
        <v>2.8</v>
      </c>
      <c r="T1058" s="2" t="n">
        <v>14</v>
      </c>
      <c r="U1058" s="2" t="inlineStr">
        <is>
          <t>low</t>
        </is>
      </c>
      <c r="V1058" s="5" t="n">
        <v>0.4</v>
      </c>
      <c r="W1058" s="2" t="inlineStr">
        <is>
          <t>low</t>
        </is>
      </c>
      <c r="X1058" s="3" t="inlineStr">
        <is>
          <t>Negligible carbohydrate (&lt;5 g net/serving): GI has little practical meaning, glycemic load is what matters.</t>
        </is>
      </c>
      <c r="Y1058" s="3" t="inlineStr">
        <is>
          <t>36% of this dish's available carbohydrate comes from ingredients with a published, measured GI; the rest uses conventional placeholders (see Ingredients sheet)</t>
        </is>
      </c>
      <c r="Z1058" s="2" t="n">
        <v>36</v>
      </c>
      <c r="AA1058" s="3" t="inlineStr">
        <is>
          <t>pescatarian, gluten-free, low-carb, high-protein</t>
        </is>
      </c>
      <c r="AB1058" s="3" t="inlineStr">
        <is>
          <t>1. Mix the crab, egg, almond flour, celery, Old Bay and mustard gently and form cakes.
2. Chill 15 minutes.
3. Pan-fry in oil 4 minutes a side.
4. Stir the yogurt, lemon and chopped pickle for the sauce.</t>
        </is>
      </c>
      <c r="AC1058" s="4" t="inlineStr">
        <is>
          <t>["Mix the crab, egg, almond flour, celery, Old Bay and mustard gently and form cakes.", "Chill 15 minutes.", "Pan-fry in oil 4 minutes a side.", "Stir the yogurt, lemon and chopped pickle for the sauce."]</t>
        </is>
      </c>
    </row>
    <row r="1059" ht="96" customHeight="1">
      <c r="A1059" s="2" t="inlineStr">
        <is>
          <t>DB-1058</t>
        </is>
      </c>
      <c r="B1059" s="3" t="inlineStr">
        <is>
          <t>Grilled Salmon Burgers</t>
        </is>
      </c>
      <c r="C1059" s="4" t="inlineStr">
        <is>
          <t>Seafood</t>
        </is>
      </c>
      <c r="D1059" s="4" t="inlineStr">
        <is>
          <t>American</t>
        </is>
      </c>
      <c r="E1059" s="2" t="n">
        <v>4</v>
      </c>
      <c r="F1059" s="2" t="n">
        <v>15</v>
      </c>
      <c r="G1059" s="2" t="n">
        <v>10</v>
      </c>
      <c r="H1059" s="2" t="n">
        <v>25</v>
      </c>
      <c r="I1059" s="4" t="inlineStr">
        <is>
          <t>grilled-salmon-burgers.jpg</t>
        </is>
      </c>
      <c r="J1059" s="3" t="inlineStr">
        <is>
          <t>Grilled Salmon Burgers, healthy food photography, plated, natural light</t>
        </is>
      </c>
      <c r="K1059" s="4" t="inlineStr"/>
      <c r="L1059" s="3" t="inlineStr">
        <is>
          <t>Salmon fillet — 500 g (17.6 oz)
Egg, large (50 g each) — 50 g (1.8 oz)
Oat bran, dry — 30 g (1.1 oz)
Dijon mustard — 10 g (0.4 oz)
Fresh dill — 4 g (0.1 oz)
Lemon juice — 10 g (0.4 oz)
Butter lettuce — 100 g (3.5 oz)
Tomato — 120 g (4.2 oz)
Avocado — 80 g (2.8 oz)</t>
        </is>
      </c>
      <c r="M1059" s="4" t="inlineStr">
        <is>
          <t>[{"ingredient_id": "salmon", "name": "Salmon fillet", "grams": 500.0, "note": ""}, {"ingredient_id": "egg", "name": "Egg, large (50 g each)", "grams": 50.0, "note": ""}, {"ingredient_id": "oat_bran", "name": "Oat bran, dry", "grams": 30.0, "note": ""}, {"ingredient_id": "dijon", "name": "Dijon mustard", "grams": 10.0, "note": ""}, {"ingredient_id": "dill", "name": "Fresh dill", "grams": 4.0, "note": ""}, {"ingredient_id": "lemon_juice", "name": "Lemon juice", "grams": 10.0, "note": ""}, {"ingredient_id": "butter_lettuce", "name": "Butter lettuce", "grams": 100.0, "note": ""}, {"ingredient_id": "tomato", "name": "Tomato", "grams": 120.0, "note": ""}, {"ingredient_id": "avocado", "name": "Avocado", "grams": 80.0, "note": ""}]</t>
        </is>
      </c>
      <c r="N1059" s="2" t="n">
        <v>340</v>
      </c>
      <c r="O1059" s="5" t="n">
        <v>29</v>
      </c>
      <c r="P1059" s="5" t="n">
        <v>21.2</v>
      </c>
      <c r="Q1059" s="5" t="n">
        <v>8.800000000000001</v>
      </c>
      <c r="R1059" s="5" t="n">
        <v>3.2</v>
      </c>
      <c r="S1059" s="5" t="n">
        <v>5.6</v>
      </c>
      <c r="T1059" s="2" t="n">
        <v>42</v>
      </c>
      <c r="U1059" s="2" t="inlineStr">
        <is>
          <t>low</t>
        </is>
      </c>
      <c r="V1059" s="5" t="n">
        <v>2.4</v>
      </c>
      <c r="W1059" s="2" t="inlineStr">
        <is>
          <t>low</t>
        </is>
      </c>
      <c r="X1059" s="3" t="inlineStr"/>
      <c r="Y1059" s="3" t="inlineStr">
        <is>
          <t>68% of this dish's available carbohydrate comes from ingredients with a published, measured GI; the rest uses conventional placeholders (see Ingredients sheet)</t>
        </is>
      </c>
      <c r="Z1059" s="2" t="n">
        <v>68</v>
      </c>
      <c r="AA1059" s="3" t="inlineStr">
        <is>
          <t>pescatarian, dairy-free, nut-free, low-carb, high-protein</t>
        </is>
      </c>
      <c r="AB1059" s="3" t="inlineStr">
        <is>
          <t>1. Chop the salmon finely and mix with egg, oat bran, mustard, dill and lemon.
2. Shape four patties and chill.
3. Grill 4 minutes a side.
4. Serve in lettuce with tomato and avocado.</t>
        </is>
      </c>
      <c r="AC1059" s="4" t="inlineStr">
        <is>
          <t>["Chop the salmon finely and mix with egg, oat bran, mustard, dill and lemon.", "Shape four patties and chill.", "Grill 4 minutes a side.", "Serve in lettuce with tomato and avocado."]</t>
        </is>
      </c>
    </row>
    <row r="1060" ht="96" customHeight="1">
      <c r="A1060" s="2" t="inlineStr">
        <is>
          <t>DB-1059</t>
        </is>
      </c>
      <c r="B1060" s="3" t="inlineStr">
        <is>
          <t>Homestyle Chicken Noodle Soup (Chickpea Pasta)</t>
        </is>
      </c>
      <c r="C1060" s="4" t="inlineStr">
        <is>
          <t>Soup &amp; Stew</t>
        </is>
      </c>
      <c r="D1060" s="4" t="inlineStr">
        <is>
          <t>American</t>
        </is>
      </c>
      <c r="E1060" s="2" t="n">
        <v>5</v>
      </c>
      <c r="F1060" s="2" t="n">
        <v>15</v>
      </c>
      <c r="G1060" s="2" t="n">
        <v>30</v>
      </c>
      <c r="H1060" s="2" t="n">
        <v>45</v>
      </c>
      <c r="I1060" s="4" t="inlineStr">
        <is>
          <t>homestyle-chicken-noodle-soup-chickpea-pasta.jpg</t>
        </is>
      </c>
      <c r="J1060" s="3" t="inlineStr">
        <is>
          <t>Homestyle Chicken Noodle Soup (Chickpea Pasta), healthy food photography, plated, natural light</t>
        </is>
      </c>
      <c r="K1060" s="4" t="inlineStr"/>
      <c r="L1060" s="3" t="inlineStr">
        <is>
          <t>Chicken breast, skinless — 450 g (15.9 oz)
Chicken broth, low sodium — 1000 g (35.3 oz)
Carrot — 120 g (4.2 oz)
Celery — 100 g (3.5 oz)
Yellow onion — 100 g (3.5 oz)
Chickpea pasta, cooked — 100 g (3.5 oz)
Fresh parsley — 5 g (0.2 oz)
Fresh thyme — 2 g (0.1 oz)
Garlic — 6 g (0.2 oz)</t>
        </is>
      </c>
      <c r="M1060" s="4" t="inlineStr">
        <is>
          <t>[{"ingredient_id": "chicken_breast", "name": "Chicken breast, skinless", "grams": 450.0, "note": ""}, {"ingredient_id": "chicken_broth", "name": "Chicken broth, low sodium", "grams": 1000.0, "note": ""}, {"ingredient_id": "carrot", "name": "Carrot", "grams": 120.0, "note": ""}, {"ingredient_id": "celery", "name": "Celery", "grams": 100.0, "note": ""}, {"ingredient_id": "onion", "name": "Yellow onion", "grams": 100.0, "note": ""}, {"ingredient_id": "chickpea_pasta", "name": "Chickpea pasta, cooked", "grams": 100.0, "note": ""}, {"ingredient_id": "parsley", "name": "Fresh parsley", "grams": 5.0, "note": ""}, {"ingredient_id": "thyme", "name": "Fresh thyme", "grams": 2.0, "note": ""}, {"ingredient_id": "garlic", "name": "Garlic", "grams": 6.0, "note": ""}]</t>
        </is>
      </c>
      <c r="N1060" s="2" t="n">
        <v>179</v>
      </c>
      <c r="O1060" s="5" t="n">
        <v>25.4</v>
      </c>
      <c r="P1060" s="5" t="n">
        <v>3.5</v>
      </c>
      <c r="Q1060" s="5" t="n">
        <v>11.7</v>
      </c>
      <c r="R1060" s="5" t="n">
        <v>2.6</v>
      </c>
      <c r="S1060" s="5" t="n">
        <v>9.1</v>
      </c>
      <c r="T1060" s="2" t="n">
        <v>25</v>
      </c>
      <c r="U1060" s="2" t="inlineStr">
        <is>
          <t>low</t>
        </is>
      </c>
      <c r="V1060" s="5" t="n">
        <v>2.3</v>
      </c>
      <c r="W1060" s="2" t="inlineStr">
        <is>
          <t>low</t>
        </is>
      </c>
      <c r="X1060" s="3" t="inlineStr"/>
      <c r="Y1060" s="3" t="inlineStr">
        <is>
          <t>18% of this dish's available carbohydrate comes from ingredients with a published, measured GI; the rest uses conventional placeholders (see Ingredients sheet)</t>
        </is>
      </c>
      <c r="Z1060" s="2" t="n">
        <v>18</v>
      </c>
      <c r="AA1060" s="3" t="inlineStr">
        <is>
          <t>gluten-free, dairy-free, nut-free, low-carb, high-protein</t>
        </is>
      </c>
      <c r="AB1060" s="3" t="inlineStr">
        <is>
          <t>1. Simmer the chicken, vegetables, garlic and thyme in the broth for 20 minutes.
2. Remove and shred the chicken.
3. Cook the pasta in the soup for 6 to 8 minutes.
4. Return the chicken and finish with parsley.</t>
        </is>
      </c>
      <c r="AC1060" s="4" t="inlineStr">
        <is>
          <t>["Simmer the chicken, vegetables, garlic and thyme in the broth for 20 minutes.", "Remove and shred the chicken.", "Cook the pasta in the soup for 6 to 8 minutes.", "Return the chicken and finish with parsley."]</t>
        </is>
      </c>
    </row>
    <row r="1061" ht="96" customHeight="1">
      <c r="A1061" s="2" t="inlineStr">
        <is>
          <t>DB-1060</t>
        </is>
      </c>
      <c r="B1061" s="3" t="inlineStr">
        <is>
          <t>Broccoli Cheddar Soup</t>
        </is>
      </c>
      <c r="C1061" s="4" t="inlineStr">
        <is>
          <t>Soup &amp; Stew</t>
        </is>
      </c>
      <c r="D1061" s="4" t="inlineStr">
        <is>
          <t>American</t>
        </is>
      </c>
      <c r="E1061" s="2" t="n">
        <v>4</v>
      </c>
      <c r="F1061" s="2" t="n">
        <v>10</v>
      </c>
      <c r="G1061" s="2" t="n">
        <v>25</v>
      </c>
      <c r="H1061" s="2" t="n">
        <v>35</v>
      </c>
      <c r="I1061" s="4" t="inlineStr">
        <is>
          <t>broccoli-cheddar-soup.jpg</t>
        </is>
      </c>
      <c r="J1061" s="3" t="inlineStr">
        <is>
          <t>Broccoli Cheddar Soup, healthy food photography, plated, natural light</t>
        </is>
      </c>
      <c r="K1061" s="4" t="inlineStr"/>
      <c r="L1061" s="3" t="inlineStr">
        <is>
          <t>Broccoli — 500 g (17.6 oz)
Cheddar cheese — 120 g (4.2 oz)
Yellow onion — 100 g (3.5 oz)
Chicken broth, low sodium — 600 g (21.2 oz)
Milk, 2% — 200 g (7.1 oz)
Garlic — 6 g (0.2 oz)
Extra-virgin olive oil — 10 g (0.4 oz)
Dijon mustard — 5 g (0.2 oz)</t>
        </is>
      </c>
      <c r="M1061" s="4" t="inlineStr">
        <is>
          <t>[{"ingredient_id": "broccoli", "name": "Broccoli", "grams": 500.0, "note": ""}, {"ingredient_id": "cheddar", "name": "Cheddar cheese", "grams": 120.0, "note": ""}, {"ingredient_id": "onion", "name": "Yellow onion", "grams": 100.0, "note": ""}, {"ingredient_id": "chicken_broth", "name": "Chicken broth, low sodium", "grams": 600.0, "note": ""}, {"ingredient_id": "milk", "name": "Milk, 2%", "grams": 200.0, "note": ""}, {"ingredient_id": "garlic", "name": "Garlic", "grams": 6.0, "note": ""}, {"ingredient_id": "olive_oil", "name": "Extra-virgin olive oil", "grams": 10.0, "note": ""}, {"ingredient_id": "dijon", "name": "Dijon mustard", "grams": 5.0, "note": ""}]</t>
        </is>
      </c>
      <c r="N1061" s="2" t="n">
        <v>234</v>
      </c>
      <c r="O1061" s="5" t="n">
        <v>14</v>
      </c>
      <c r="P1061" s="5" t="n">
        <v>14.3</v>
      </c>
      <c r="Q1061" s="5" t="n">
        <v>14.7</v>
      </c>
      <c r="R1061" s="5" t="n">
        <v>3.7</v>
      </c>
      <c r="S1061" s="5" t="n">
        <v>10.9</v>
      </c>
      <c r="T1061" s="2" t="n">
        <v>17</v>
      </c>
      <c r="U1061" s="2" t="inlineStr">
        <is>
          <t>low</t>
        </is>
      </c>
      <c r="V1061" s="5" t="n">
        <v>1.9</v>
      </c>
      <c r="W1061" s="2" t="inlineStr">
        <is>
          <t>low</t>
        </is>
      </c>
      <c r="X1061" s="3" t="inlineStr"/>
      <c r="Y1061" s="3" t="inlineStr">
        <is>
          <t>22% of this dish's available carbohydrate comes from ingredients with a published, measured GI; the rest uses conventional placeholders (see Ingredients sheet)</t>
        </is>
      </c>
      <c r="Z1061" s="2" t="n">
        <v>22</v>
      </c>
      <c r="AA1061" s="3" t="inlineStr">
        <is>
          <t>vegetarian, gluten-free, nut-free, low-carb</t>
        </is>
      </c>
      <c r="AB1061" s="3" t="inlineStr">
        <is>
          <t>1. Sauté the onion and garlic in oil.
2. Add the broccoli and broth and simmer 15 minutes.
3. Blend partly smooth, stir in the milk and mustard.
4. Melt in the cheddar off the heat.</t>
        </is>
      </c>
      <c r="AC1061" s="4" t="inlineStr">
        <is>
          <t>["Sauté the onion and garlic in oil.", "Add the broccoli and broth and simmer 15 minutes.", "Blend partly smooth, stir in the milk and mustard.", "Melt in the cheddar off the heat."]</t>
        </is>
      </c>
    </row>
    <row r="1062" ht="96" customHeight="1">
      <c r="A1062" s="2" t="inlineStr">
        <is>
          <t>DB-1061</t>
        </is>
      </c>
      <c r="B1062" s="3" t="inlineStr">
        <is>
          <t>Minestrone with White Beans</t>
        </is>
      </c>
      <c r="C1062" s="4" t="inlineStr">
        <is>
          <t>Soup &amp; Stew</t>
        </is>
      </c>
      <c r="D1062" s="4" t="inlineStr">
        <is>
          <t>Italian</t>
        </is>
      </c>
      <c r="E1062" s="2" t="n">
        <v>6</v>
      </c>
      <c r="F1062" s="2" t="n">
        <v>15</v>
      </c>
      <c r="G1062" s="2" t="n">
        <v>35</v>
      </c>
      <c r="H1062" s="2" t="n">
        <v>50</v>
      </c>
      <c r="I1062" s="4" t="inlineStr">
        <is>
          <t>minestrone-with-white-beans.jpg</t>
        </is>
      </c>
      <c r="J1062" s="3" t="inlineStr">
        <is>
          <t>Minestrone with White Beans, healthy food photography, plated, natural light</t>
        </is>
      </c>
      <c r="K1062" s="4" t="inlineStr"/>
      <c r="L1062" s="3" t="inlineStr">
        <is>
          <t>Cannellini beans, cooked — 300 g (10.6 oz)
Diced tomatoes, canned — 400 g (14.1 oz)
Zucchini — 150 g (5.3 oz)
Carrot — 120 g (4.2 oz)
Celery — 80 g (2.8 oz)
Yellow onion — 100 g (3.5 oz)
Kale — 80 g (2.8 oz)
Vegetable broth, low sodium — 800 g (28.2 oz)
Italian seasoning — 3 g (0.1 oz)
Garlic — 8 g (0.3 oz)
Extra-virgin olive oil — 15 g (0.5 oz)
Parmesan, grated — 30 g (1.1 oz)</t>
        </is>
      </c>
      <c r="M1062" s="4" t="inlineStr">
        <is>
          <t>[{"ingredient_id": "white_beans", "name": "Cannellini beans, cooked", "grams": 300.0, "note": ""}, {"ingredient_id": "diced_tomatoes", "name": "Diced tomatoes, canned", "grams": 400.0, "note": ""}, {"ingredient_id": "zucchini", "name": "Zucchini", "grams": 150.0, "note": ""}, {"ingredient_id": "carrot", "name": "Carrot", "grams": 120.0, "note": ""}, {"ingredient_id": "celery", "name": "Celery", "grams": 80.0, "note": ""}, {"ingredient_id": "onion", "name": "Yellow onion", "grams": 100.0, "note": ""}, {"ingredient_id": "kale", "name": "Kale", "grams": 80.0, "note": ""}, {"ingredient_id": "vegetable_broth", "name": "Vegetable broth, low sodium", "grams": 800.0, "note": ""}, {"ingredient_id": "italian_seasoning", "name": "Italian seasoning", "grams": 3.0, "note": ""}, {"ingredient_id": "garlic", "name": "Garlic", "grams": 8.0, "note": ""}, {"ingredient_id": "olive_oil", "name": "Extra-virgin olive oil", "grams": 15.0, "note": ""}, {"ingredient_id": "parmesan", "name": "Parmesan, grated", "grams": 30.0, "note": ""}]</t>
        </is>
      </c>
      <c r="N1062" s="2" t="n">
        <v>171</v>
      </c>
      <c r="O1062" s="5" t="n">
        <v>9.699999999999999</v>
      </c>
      <c r="P1062" s="5" t="n">
        <v>4.9</v>
      </c>
      <c r="Q1062" s="5" t="n">
        <v>24.6</v>
      </c>
      <c r="R1062" s="5" t="n">
        <v>6.2</v>
      </c>
      <c r="S1062" s="5" t="n">
        <v>18.5</v>
      </c>
      <c r="T1062" s="2" t="n">
        <v>26</v>
      </c>
      <c r="U1062" s="2" t="inlineStr">
        <is>
          <t>low</t>
        </is>
      </c>
      <c r="V1062" s="5" t="n">
        <v>4.8</v>
      </c>
      <c r="W1062" s="2" t="inlineStr">
        <is>
          <t>low</t>
        </is>
      </c>
      <c r="X1062" s="3" t="inlineStr"/>
      <c r="Y1062" s="3" t="inlineStr">
        <is>
          <t>58% of this dish's available carbohydrate comes from ingredients with a published, measured GI; the rest uses conventional placeholders (see Ingredients sheet)</t>
        </is>
      </c>
      <c r="Z1062" s="2" t="n">
        <v>58</v>
      </c>
      <c r="AA1062" s="3" t="inlineStr">
        <is>
          <t>vegetarian, gluten-free, nut-free</t>
        </is>
      </c>
      <c r="AB1062" s="3" t="inlineStr">
        <is>
          <t>1. Sauté the onion, carrot, celery and garlic in oil.
2. Add tomatoes, broth, beans and seasoning and simmer 20 minutes.
3. Add zucchini and kale for the last 8 minutes.
4. Serve with grated parmesan.</t>
        </is>
      </c>
      <c r="AC1062" s="4" t="inlineStr">
        <is>
          <t>["Sauté the onion, carrot, celery and garlic in oil.", "Add tomatoes, broth, beans and seasoning and simmer 20 minutes.", "Add zucchini and kale for the last 8 minutes.", "Serve with grated parmesan."]</t>
        </is>
      </c>
    </row>
    <row r="1063" ht="96" customHeight="1">
      <c r="A1063" s="2" t="inlineStr">
        <is>
          <t>DB-1062</t>
        </is>
      </c>
      <c r="B1063" s="3" t="inlineStr">
        <is>
          <t>Creamy Tomato Soup with Basil</t>
        </is>
      </c>
      <c r="C1063" s="4" t="inlineStr">
        <is>
          <t>Soup &amp; Stew</t>
        </is>
      </c>
      <c r="D1063" s="4" t="inlineStr">
        <is>
          <t>American</t>
        </is>
      </c>
      <c r="E1063" s="2" t="n">
        <v>4</v>
      </c>
      <c r="F1063" s="2" t="n">
        <v>10</v>
      </c>
      <c r="G1063" s="2" t="n">
        <v>25</v>
      </c>
      <c r="H1063" s="2" t="n">
        <v>35</v>
      </c>
      <c r="I1063" s="4" t="inlineStr">
        <is>
          <t>creamy-tomato-soup-with-basil.jpg</t>
        </is>
      </c>
      <c r="J1063" s="3" t="inlineStr">
        <is>
          <t>Creamy Tomato Soup with Basil, healthy food photography, plated, natural light</t>
        </is>
      </c>
      <c r="K1063" s="4" t="inlineStr"/>
      <c r="L1063" s="3" t="inlineStr">
        <is>
          <t>Crushed tomatoes, canned — 700 g (24.7 oz)
Yellow onion — 100 g (3.5 oz)
Garlic — 8 g (0.3 oz)
Vegetable broth, low sodium — 300 g (10.6 oz)
Heavy cream — 60 g (2.1 oz)
Fresh basil — 8 g (0.3 oz)
Extra-virgin olive oil — 15 g (0.5 oz)
Salt — 2 g (0.1 oz)</t>
        </is>
      </c>
      <c r="M1063" s="4" t="inlineStr">
        <is>
          <t>[{"ingredient_id": "crushed_tomatoes", "name": "Crushed tomatoes, canned", "grams": 700.0, "note": ""}, {"ingredient_id": "onion", "name": "Yellow onion", "grams": 100.0, "note": ""}, {"ingredient_id": "garlic", "name": "Garlic", "grams": 8.0, "note": ""}, {"ingredient_id": "vegetable_broth", "name": "Vegetable broth, low sodium", "grams": 300.0, "note": ""}, {"ingredient_id": "heavy_cream", "name": "Heavy cream", "grams": 60.0, "note": ""}, {"ingredient_id": "basil", "name": "Fresh basil", "grams": 8.0, "note": ""}, {"ingredient_id": "olive_oil", "name": "Extra-virgin olive oil", "grams": 15.0, "note": ""}, {"ingredient_id": "salt", "name": "Salt", "grams": 2.0, "note": ""}]</t>
        </is>
      </c>
      <c r="N1063" s="2" t="n">
        <v>160</v>
      </c>
      <c r="O1063" s="5" t="n">
        <v>3.9</v>
      </c>
      <c r="P1063" s="5" t="n">
        <v>9.9</v>
      </c>
      <c r="Q1063" s="5" t="n">
        <v>16.9</v>
      </c>
      <c r="R1063" s="5" t="n">
        <v>3.8</v>
      </c>
      <c r="S1063" s="5" t="n">
        <v>13</v>
      </c>
      <c r="T1063" s="2" t="n">
        <v>28</v>
      </c>
      <c r="U1063" s="2" t="inlineStr">
        <is>
          <t>low</t>
        </is>
      </c>
      <c r="V1063" s="5" t="n">
        <v>3.7</v>
      </c>
      <c r="W1063" s="2" t="inlineStr">
        <is>
          <t>low</t>
        </is>
      </c>
      <c r="X1063" s="3" t="inlineStr"/>
      <c r="Y1063" s="3" t="inlineStr">
        <is>
          <t>0% of this dish's available carbohydrate comes from ingredients with a published, measured GI; the rest uses conventional placeholders (see Ingredients sheet)</t>
        </is>
      </c>
      <c r="Z1063" s="2" t="n">
        <v>0</v>
      </c>
      <c r="AA1063" s="3" t="inlineStr">
        <is>
          <t>vegetarian, gluten-free, nut-free, low-carb</t>
        </is>
      </c>
      <c r="AB1063" s="3" t="inlineStr">
        <is>
          <t>1. Sauté the onion and garlic in oil.
2. Add the tomatoes and broth and simmer 15 minutes.
3. Blend smooth, stir in cream and basil.</t>
        </is>
      </c>
      <c r="AC1063" s="4" t="inlineStr">
        <is>
          <t>["Sauté the onion and garlic in oil.", "Add the tomatoes and broth and simmer 15 minutes.", "Blend smooth, stir in cream and basil."]</t>
        </is>
      </c>
    </row>
    <row r="1064" ht="96" customHeight="1">
      <c r="A1064" s="2" t="inlineStr">
        <is>
          <t>DB-1063</t>
        </is>
      </c>
      <c r="B1064" s="3" t="inlineStr">
        <is>
          <t>Turkey and Vegetable Soup</t>
        </is>
      </c>
      <c r="C1064" s="4" t="inlineStr">
        <is>
          <t>Soup &amp; Stew</t>
        </is>
      </c>
      <c r="D1064" s="4" t="inlineStr">
        <is>
          <t>American</t>
        </is>
      </c>
      <c r="E1064" s="2" t="n">
        <v>6</v>
      </c>
      <c r="F1064" s="2" t="n">
        <v>15</v>
      </c>
      <c r="G1064" s="2" t="n">
        <v>30</v>
      </c>
      <c r="H1064" s="2" t="n">
        <v>45</v>
      </c>
      <c r="I1064" s="4" t="inlineStr">
        <is>
          <t>turkey-and-vegetable-soup.jpg</t>
        </is>
      </c>
      <c r="J1064" s="3" t="inlineStr">
        <is>
          <t>Turkey and Vegetable Soup, healthy food photography, plated, natural light</t>
        </is>
      </c>
      <c r="K1064" s="4" t="inlineStr"/>
      <c r="L1064" s="3" t="inlineStr">
        <is>
          <t>Ground turkey 93% lean — 450 g (15.9 oz)
Chicken broth, low sodium — 1000 g (35.3 oz)
Carrot — 150 g (5.3 oz)
Celery — 100 g (3.5 oz)
Green beans — 150 g (5.3 oz)
Diced tomatoes, canned — 200 g (7.1 oz)
Yellow onion — 100 g (3.5 oz)
Italian seasoning — 3 g (0.1 oz)
Extra-virgin olive oil — 10 g (0.4 oz)</t>
        </is>
      </c>
      <c r="M1064" s="4" t="inlineStr">
        <is>
          <t>[{"ingredient_id": "ground_turkey", "name": "Ground turkey 93% lean", "grams": 450.0, "note": ""}, {"ingredient_id": "chicken_broth", "name": "Chicken broth, low sodium", "grams": 1000.0, "note": ""}, {"ingredient_id": "carrot", "name": "Carrot", "grams": 150.0, "note": ""}, {"ingredient_id": "celery", "name": "Celery", "grams": 100.0, "note": ""}, {"ingredient_id": "green_beans", "name": "Green beans", "grams": 150.0, "note": ""}, {"ingredient_id": "diced_tomatoes", "name": "Diced tomatoes, canned", "grams": 200.0, "note": ""}, {"ingredient_id": "onion", "name": "Yellow onion", "grams": 100.0, "note": ""}, {"ingredient_id": "italian_seasoning", "name": "Italian seasoning", "grams": 3.0, "note": ""}, {"ingredient_id": "olive_oil", "name": "Extra-virgin olive oil", "grams": 10.0, "note": ""}]</t>
        </is>
      </c>
      <c r="N1064" s="2" t="n">
        <v>176</v>
      </c>
      <c r="O1064" s="5" t="n">
        <v>17.1</v>
      </c>
      <c r="P1064" s="5" t="n">
        <v>8.199999999999999</v>
      </c>
      <c r="Q1064" s="5" t="n">
        <v>9</v>
      </c>
      <c r="R1064" s="5" t="n">
        <v>2.6</v>
      </c>
      <c r="S1064" s="5" t="n">
        <v>6.4</v>
      </c>
      <c r="T1064" s="2" t="n">
        <v>23</v>
      </c>
      <c r="U1064" s="2" t="inlineStr">
        <is>
          <t>low</t>
        </is>
      </c>
      <c r="V1064" s="5" t="n">
        <v>1.5</v>
      </c>
      <c r="W1064" s="2" t="inlineStr">
        <is>
          <t>low</t>
        </is>
      </c>
      <c r="X1064" s="3" t="inlineStr"/>
      <c r="Y1064" s="3" t="inlineStr">
        <is>
          <t>27% of this dish's available carbohydrate comes from ingredients with a published, measured GI; the rest uses conventional placeholders (see Ingredients sheet)</t>
        </is>
      </c>
      <c r="Z1064" s="2" t="n">
        <v>27</v>
      </c>
      <c r="AA1064" s="3" t="inlineStr">
        <is>
          <t>gluten-free, dairy-free, nut-free, low-carb</t>
        </is>
      </c>
      <c r="AB1064" s="3" t="inlineStr">
        <is>
          <t>1. Brown the turkey with the onion in oil.
2. Add the broth, vegetables, tomatoes and seasoning.
3. Simmer 25 minutes.</t>
        </is>
      </c>
      <c r="AC1064" s="4" t="inlineStr">
        <is>
          <t>["Brown the turkey with the onion in oil.", "Add the broth, vegetables, tomatoes and seasoning.", "Simmer 25 minutes."]</t>
        </is>
      </c>
    </row>
    <row r="1065" ht="96" customHeight="1">
      <c r="A1065" s="2" t="inlineStr">
        <is>
          <t>DB-1064</t>
        </is>
      </c>
      <c r="B1065" s="3" t="inlineStr">
        <is>
          <t>Smoky Black Bean Soup with Lime Yogurt</t>
        </is>
      </c>
      <c r="C1065" s="4" t="inlineStr">
        <is>
          <t>Soup &amp; Stew</t>
        </is>
      </c>
      <c r="D1065" s="4" t="inlineStr">
        <is>
          <t>Tex-Mex</t>
        </is>
      </c>
      <c r="E1065" s="2" t="n">
        <v>5</v>
      </c>
      <c r="F1065" s="2" t="n">
        <v>10</v>
      </c>
      <c r="G1065" s="2" t="n">
        <v>30</v>
      </c>
      <c r="H1065" s="2" t="n">
        <v>40</v>
      </c>
      <c r="I1065" s="4" t="inlineStr">
        <is>
          <t>smoky-black-bean-soup-with-lime-yogurt.jpg</t>
        </is>
      </c>
      <c r="J1065" s="3" t="inlineStr">
        <is>
          <t>Smoky Black Bean Soup with Lime Yogurt, healthy food photography, plated, natural light</t>
        </is>
      </c>
      <c r="K1065" s="4" t="inlineStr"/>
      <c r="L1065" s="3" t="inlineStr">
        <is>
          <t>Black beans, cooked — 480 g (16.9 oz)
Yellow onion — 120 g (4.2 oz)
Bell pepper — 100 g (3.5 oz)
Garlic — 8 g (0.3 oz)
Ground cumin — 3 g (0.1 oz)
Vegetable broth, low sodium — 600 g (21.2 oz)
Lime juice — 20 g (0.7 oz)
Greek yogurt, plain 2% — 100 g (3.5 oz)
Fresh cilantro — 6 g (0.2 oz)
Extra-virgin olive oil — 10 g (0.4 oz)</t>
        </is>
      </c>
      <c r="M1065" s="4" t="inlineStr">
        <is>
          <t>[{"ingredient_id": "black_beans", "name": "Black beans, cooked", "grams": 480.0, "note": ""}, {"ingredient_id": "onion", "name": "Yellow onion", "grams": 120.0, "note": ""}, {"ingredient_id": "bell_pepper", "name": "Bell pepper", "grams": 100.0, "note": ""}, {"ingredient_id": "garlic", "name": "Garlic", "grams": 8.0, "note": ""}, {"ingredient_id": "cumin", "name": "Ground cumin", "grams": 3.0, "note": ""}, {"ingredient_id": "vegetable_broth", "name": "Vegetable broth, low sodium", "grams": 600.0, "note": ""}, {"ingredient_id": "lime_juice", "name": "Lime juice", "grams": 20.0, "note": ""}, {"ingredient_id": "greek_yogurt", "name": "Greek yogurt, plain 2%", "grams": 100.0, "note": ""}, {"ingredient_id": "cilantro", "name": "Fresh cilantro", "grams": 6.0, "note": ""}, {"ingredient_id": "olive_oil", "name": "Extra-virgin olive oil", "grams": 10.0, "note": ""}]</t>
        </is>
      </c>
      <c r="N1065" s="2" t="n">
        <v>190</v>
      </c>
      <c r="O1065" s="5" t="n">
        <v>11.9</v>
      </c>
      <c r="P1065" s="5" t="n">
        <v>3.4</v>
      </c>
      <c r="Q1065" s="5" t="n">
        <v>30</v>
      </c>
      <c r="R1065" s="5" t="n">
        <v>9.300000000000001</v>
      </c>
      <c r="S1065" s="5" t="n">
        <v>20.6</v>
      </c>
      <c r="T1065" s="2" t="n">
        <v>24</v>
      </c>
      <c r="U1065" s="2" t="inlineStr">
        <is>
          <t>low</t>
        </is>
      </c>
      <c r="V1065" s="5" t="n">
        <v>5</v>
      </c>
      <c r="W1065" s="2" t="inlineStr">
        <is>
          <t>low</t>
        </is>
      </c>
      <c r="X1065" s="3" t="inlineStr"/>
      <c r="Y1065" s="3" t="inlineStr">
        <is>
          <t>74% of this dish's available carbohydrate comes from ingredients with a published, measured GI; the rest uses conventional placeholders (see Ingredients sheet)</t>
        </is>
      </c>
      <c r="Z1065" s="2" t="n">
        <v>74</v>
      </c>
      <c r="AA1065" s="3" t="inlineStr">
        <is>
          <t>vegetarian, gluten-free, nut-free, high-fiber</t>
        </is>
      </c>
      <c r="AB1065" s="3" t="inlineStr">
        <is>
          <t>1. Sauté the onion, pepper and garlic in oil with cumin.
2. Add the beans and broth and simmer 20 minutes.
3. Blend half for body.
4. Serve with a spoon of yogurt, lime and cilantro.</t>
        </is>
      </c>
      <c r="AC1065" s="4" t="inlineStr">
        <is>
          <t>["Sauté the onion, pepper and garlic in oil with cumin.", "Add the beans and broth and simmer 20 minutes.", "Blend half for body.", "Serve with a spoon of yogurt, lime and cilantro."]</t>
        </is>
      </c>
    </row>
    <row r="1066" ht="96" customHeight="1">
      <c r="A1066" s="2" t="inlineStr">
        <is>
          <t>DB-1065</t>
        </is>
      </c>
      <c r="B1066" s="3" t="inlineStr">
        <is>
          <t>Beef and Barley Stew</t>
        </is>
      </c>
      <c r="C1066" s="4" t="inlineStr">
        <is>
          <t>Soup &amp; Stew</t>
        </is>
      </c>
      <c r="D1066" s="4" t="inlineStr">
        <is>
          <t>American</t>
        </is>
      </c>
      <c r="E1066" s="2" t="n">
        <v>6</v>
      </c>
      <c r="F1066" s="2" t="n">
        <v>20</v>
      </c>
      <c r="G1066" s="2" t="n">
        <v>90</v>
      </c>
      <c r="H1066" s="2" t="n">
        <v>110</v>
      </c>
      <c r="I1066" s="4" t="inlineStr">
        <is>
          <t>beef-and-barley-stew.jpg</t>
        </is>
      </c>
      <c r="J1066" s="3" t="inlineStr">
        <is>
          <t>Beef and Barley Stew, healthy food photography, plated, natural light</t>
        </is>
      </c>
      <c r="K1066" s="4" t="inlineStr"/>
      <c r="L1066" s="3" t="inlineStr">
        <is>
          <t>Beef chuck roast, trimmed — 600 g (21.2 oz)
Pearl barley, cooked — 120 g (4.2 oz)
Carrot — 200 g (7.1 oz)
Celery — 100 g (3.5 oz)
Yellow onion — 120 g (4.2 oz)
Beef broth, low sodium — 1000 g (35.3 oz)
Tomato paste — 30 g (1.1 oz)
Fresh thyme — 2 g (0.1 oz)
Extra-virgin olive oil — 15 g (0.5 oz)</t>
        </is>
      </c>
      <c r="M1066" s="4" t="inlineStr">
        <is>
          <t>[{"ingredient_id": "beef_chuck", "name": "Beef chuck roast, trimmed", "grams": 600.0, "note": ""}, {"ingredient_id": "barley", "name": "Pearl barley, cooked", "grams": 120.0, "note": ""}, {"ingredient_id": "carrot", "name": "Carrot", "grams": 200.0, "note": ""}, {"ingredient_id": "celery", "name": "Celery", "grams": 100.0, "note": ""}, {"ingredient_id": "onion", "name": "Yellow onion", "grams": 120.0, "note": ""}, {"ingredient_id": "beef_broth", "name": "Beef broth, low sodium", "grams": 1000.0, "note": ""}, {"ingredient_id": "tomato_paste", "name": "Tomato paste", "grams": 30.0, "note": ""}, {"ingredient_id": "thyme", "name": "Fresh thyme", "grams": 2.0, "note": ""}, {"ingredient_id": "olive_oil", "name": "Extra-virgin olive oil", "grams": 15.0, "note": ""}]</t>
        </is>
      </c>
      <c r="N1066" s="2" t="n">
        <v>267</v>
      </c>
      <c r="O1066" s="5" t="n">
        <v>23.5</v>
      </c>
      <c r="P1066" s="5" t="n">
        <v>14.1</v>
      </c>
      <c r="Q1066" s="5" t="n">
        <v>12.9</v>
      </c>
      <c r="R1066" s="5" t="n">
        <v>2.5</v>
      </c>
      <c r="S1066" s="5" t="n">
        <v>10.3</v>
      </c>
      <c r="T1066" s="2" t="n">
        <v>34</v>
      </c>
      <c r="U1066" s="2" t="inlineStr">
        <is>
          <t>low</t>
        </is>
      </c>
      <c r="V1066" s="5" t="n">
        <v>3.5</v>
      </c>
      <c r="W1066" s="2" t="inlineStr">
        <is>
          <t>low</t>
        </is>
      </c>
      <c r="X1066" s="3" t="inlineStr"/>
      <c r="Y1066" s="3" t="inlineStr">
        <is>
          <t>69% of this dish's available carbohydrate comes from ingredients with a published, measured GI; the rest uses conventional placeholders (see Ingredients sheet)</t>
        </is>
      </c>
      <c r="Z1066" s="2" t="n">
        <v>69</v>
      </c>
      <c r="AA1066" s="3" t="inlineStr">
        <is>
          <t>dairy-free, nut-free, low-carb</t>
        </is>
      </c>
      <c r="AB1066" s="3" t="inlineStr">
        <is>
          <t>1. Brown the cubed beef in oil.
2. Add the onion, tomato paste, broth and thyme and simmer 1 hour.
3. Add the barley, carrot and celery and cook 30 minutes more.</t>
        </is>
      </c>
      <c r="AC1066" s="4" t="inlineStr">
        <is>
          <t>["Brown the cubed beef in oil.", "Add the onion, tomato paste, broth and thyme and simmer 1 hour.", "Add the barley, carrot and celery and cook 30 minutes more."]</t>
        </is>
      </c>
    </row>
    <row r="1067" ht="96" customHeight="1">
      <c r="A1067" s="2" t="inlineStr">
        <is>
          <t>DB-1066</t>
        </is>
      </c>
      <c r="B1067" s="3" t="inlineStr">
        <is>
          <t>Old-Fashioned Split Pea and Ham Soup</t>
        </is>
      </c>
      <c r="C1067" s="4" t="inlineStr">
        <is>
          <t>Soup &amp; Stew</t>
        </is>
      </c>
      <c r="D1067" s="4" t="inlineStr">
        <is>
          <t>American</t>
        </is>
      </c>
      <c r="E1067" s="2" t="n">
        <v>6</v>
      </c>
      <c r="F1067" s="2" t="n">
        <v>10</v>
      </c>
      <c r="G1067" s="2" t="n">
        <v>75</v>
      </c>
      <c r="H1067" s="2" t="n">
        <v>85</v>
      </c>
      <c r="I1067" s="4" t="inlineStr">
        <is>
          <t>old-fashioned-split-pea-and-ham-soup.jpg</t>
        </is>
      </c>
      <c r="J1067" s="3" t="inlineStr">
        <is>
          <t>Old-Fashioned Split Pea and Ham Soup, healthy food photography, plated, natural light</t>
        </is>
      </c>
      <c r="K1067" s="4" t="inlineStr"/>
      <c r="L1067" s="3" t="inlineStr">
        <is>
          <t>Split peas, cooked — 300 g (10.6 oz)
Ham, lean — 150 g (5.3 oz)
Carrot — 150 g (5.3 oz)
Celery — 100 g (3.5 oz)
Yellow onion — 120 g (4.2 oz)
Chicken broth, low sodium — 1200 g (42.3 oz)
Bay leaves — 1 g (0.0 oz)
Black pepper — 1 g (0.0 oz)</t>
        </is>
      </c>
      <c r="M1067" s="4" t="inlineStr">
        <is>
          <t>[{"ingredient_id": "split_peas", "name": "Split peas, cooked", "grams": 300.0, "note": ""}, {"ingredient_id": "ham", "name": "Ham, lean", "grams": 150.0, "note": ""}, {"ingredient_id": "carrot", "name": "Carrot", "grams": 150.0, "note": ""}, {"ingredient_id": "celery", "name": "Celery", "grams": 100.0, "note": ""}, {"ingredient_id": "onion", "name": "Yellow onion", "grams": 120.0, "note": ""}, {"ingredient_id": "chicken_broth", "name": "Chicken broth, low sodium", "grams": 1200.0, "note": ""}, {"ingredient_id": "bay_leaf", "name": "Bay leaves", "grams": 1.0, "note": ""}, {"ingredient_id": "black_pepper", "name": "Black pepper", "grams": 1.0, "note": ""}]</t>
        </is>
      </c>
      <c r="N1067" s="2" t="n">
        <v>131</v>
      </c>
      <c r="O1067" s="5" t="n">
        <v>12</v>
      </c>
      <c r="P1067" s="5" t="n">
        <v>2.2</v>
      </c>
      <c r="Q1067" s="5" t="n">
        <v>16.9</v>
      </c>
      <c r="R1067" s="5" t="n">
        <v>5.5</v>
      </c>
      <c r="S1067" s="5" t="n">
        <v>11.3</v>
      </c>
      <c r="T1067" s="2" t="n">
        <v>26</v>
      </c>
      <c r="U1067" s="2" t="inlineStr">
        <is>
          <t>low</t>
        </is>
      </c>
      <c r="V1067" s="5" t="n">
        <v>2.9</v>
      </c>
      <c r="W1067" s="2" t="inlineStr">
        <is>
          <t>low</t>
        </is>
      </c>
      <c r="X1067" s="3" t="inlineStr"/>
      <c r="Y1067" s="3" t="inlineStr">
        <is>
          <t>71% of this dish's available carbohydrate comes from ingredients with a published, measured GI; the rest uses conventional placeholders (see Ingredients sheet)</t>
        </is>
      </c>
      <c r="Z1067" s="2" t="n">
        <v>71</v>
      </c>
      <c r="AA1067" s="3" t="inlineStr">
        <is>
          <t>gluten-free, dairy-free, nut-free, low-carb</t>
        </is>
      </c>
      <c r="AB1067" s="3" t="inlineStr">
        <is>
          <t>1. Combine everything in a pot.
2. Simmer 70 minutes, stirring, until the peas collapse.
3. Remove the bay leaf and season with pepper.</t>
        </is>
      </c>
      <c r="AC1067" s="4" t="inlineStr">
        <is>
          <t>["Combine everything in a pot.", "Simmer 70 minutes, stirring, until the peas collapse.", "Remove the bay leaf and season with pepper."]</t>
        </is>
      </c>
    </row>
    <row r="1068" ht="96" customHeight="1">
      <c r="A1068" s="2" t="inlineStr">
        <is>
          <t>DB-1067</t>
        </is>
      </c>
      <c r="B1068" s="3" t="inlineStr">
        <is>
          <t>Loaded Cauliflower Mash</t>
        </is>
      </c>
      <c r="C1068" s="4" t="inlineStr">
        <is>
          <t>Side Dish</t>
        </is>
      </c>
      <c r="D1068" s="4" t="inlineStr">
        <is>
          <t>American</t>
        </is>
      </c>
      <c r="E1068" s="2" t="n">
        <v>4</v>
      </c>
      <c r="F1068" s="2" t="n">
        <v>10</v>
      </c>
      <c r="G1068" s="2" t="n">
        <v>15</v>
      </c>
      <c r="H1068" s="2" t="n">
        <v>25</v>
      </c>
      <c r="I1068" s="4" t="inlineStr">
        <is>
          <t>loaded-cauliflower-mash.jpg</t>
        </is>
      </c>
      <c r="J1068" s="3" t="inlineStr">
        <is>
          <t>Loaded Cauliflower Mash, healthy food photography, plated, natural light</t>
        </is>
      </c>
      <c r="K1068" s="4" t="inlineStr"/>
      <c r="L1068" s="3" t="inlineStr">
        <is>
          <t>Cauliflower — 600 g (21.2 oz)
Butter — 20 g (0.7 oz)
Greek yogurt, plain 2% — 60 g (2.1 oz)
Garlic — 6 g (0.2 oz)
Cheddar cheese — 40 g (1.4 oz)
Fresh chives — 5 g (0.2 oz)
Salt — 2 g (0.1 oz)</t>
        </is>
      </c>
      <c r="M1068" s="4" t="inlineStr">
        <is>
          <t>[{"ingredient_id": "cauliflower", "name": "Cauliflower", "grams": 600.0, "note": ""}, {"ingredient_id": "butter", "name": "Butter", "grams": 20.0, "note": ""}, {"ingredient_id": "greek_yogurt", "name": "Greek yogurt, plain 2%", "grams": 60.0, "note": ""}, {"ingredient_id": "garlic", "name": "Garlic", "grams": 6.0, "note": ""}, {"ingredient_id": "cheddar", "name": "Cheddar cheese", "grams": 40.0, "note": ""}, {"ingredient_id": "chives", "name": "Fresh chives", "grams": 5.0, "note": ""}, {"ingredient_id": "salt", "name": "Salt", "grams": 2.0, "note": ""}]</t>
        </is>
      </c>
      <c r="N1068" s="2" t="n">
        <v>127</v>
      </c>
      <c r="O1068" s="5" t="n">
        <v>6.8</v>
      </c>
      <c r="P1068" s="5" t="n">
        <v>8.1</v>
      </c>
      <c r="Q1068" s="5" t="n">
        <v>8.800000000000001</v>
      </c>
      <c r="R1068" s="5" t="n">
        <v>3.1</v>
      </c>
      <c r="S1068" s="5" t="n">
        <v>5.7</v>
      </c>
      <c r="T1068" s="2" t="n">
        <v>15</v>
      </c>
      <c r="U1068" s="2" t="inlineStr">
        <is>
          <t>low</t>
        </is>
      </c>
      <c r="V1068" s="5" t="n">
        <v>0.9</v>
      </c>
      <c r="W1068" s="2" t="inlineStr">
        <is>
          <t>low</t>
        </is>
      </c>
      <c r="X1068" s="3" t="inlineStr"/>
      <c r="Y1068" s="3" t="inlineStr">
        <is>
          <t>10% of this dish's available carbohydrate comes from ingredients with a published, measured GI; the rest uses conventional placeholders (see Ingredients sheet)</t>
        </is>
      </c>
      <c r="Z1068" s="2" t="n">
        <v>10</v>
      </c>
      <c r="AA1068" s="3" t="inlineStr">
        <is>
          <t>vegetarian, gluten-free, nut-free, low-carb</t>
        </is>
      </c>
      <c r="AB1068" s="3" t="inlineStr">
        <is>
          <t>1. Steam the cauliflower with the garlic until very tender.
2. Blend with butter, yogurt and salt.
3. Top with cheddar and chives.</t>
        </is>
      </c>
      <c r="AC1068" s="4" t="inlineStr">
        <is>
          <t>["Steam the cauliflower with the garlic until very tender.", "Blend with butter, yogurt and salt.", "Top with cheddar and chives."]</t>
        </is>
      </c>
    </row>
    <row r="1069" ht="96" customHeight="1">
      <c r="A1069" s="2" t="inlineStr">
        <is>
          <t>DB-1068</t>
        </is>
      </c>
      <c r="B1069" s="3" t="inlineStr">
        <is>
          <t>Roasted Brussels Sprouts with Bacon</t>
        </is>
      </c>
      <c r="C1069" s="4" t="inlineStr">
        <is>
          <t>Side Dish</t>
        </is>
      </c>
      <c r="D1069" s="4" t="inlineStr">
        <is>
          <t>American</t>
        </is>
      </c>
      <c r="E1069" s="2" t="n">
        <v>4</v>
      </c>
      <c r="F1069" s="2" t="n">
        <v>10</v>
      </c>
      <c r="G1069" s="2" t="n">
        <v>25</v>
      </c>
      <c r="H1069" s="2" t="n">
        <v>35</v>
      </c>
      <c r="I1069" s="4" t="inlineStr">
        <is>
          <t>roasted-brussels-sprouts-with-bacon.jpg</t>
        </is>
      </c>
      <c r="J1069" s="3" t="inlineStr">
        <is>
          <t>Roasted Brussels Sprouts with Bacon, healthy food photography, plated, natural light</t>
        </is>
      </c>
      <c r="K1069" s="4" t="inlineStr"/>
      <c r="L1069" s="3" t="inlineStr">
        <is>
          <t>Brussels sprouts — 500 g (17.6 oz)
Bacon — 50 g (1.8 oz)
Extra-virgin olive oil — 15 g (0.5 oz)
Balsamic vinegar — 10 g (0.4 oz)
Salt — 2 g (0.1 oz)
Black pepper — 1 g (0.0 oz)</t>
        </is>
      </c>
      <c r="M1069" s="4" t="inlineStr">
        <is>
          <t>[{"ingredient_id": "brussels_sprouts", "name": "Brussels sprouts", "grams": 500.0, "note": ""}, {"ingredient_id": "bacon", "name": "Bacon", "grams": 50.0, "note": ""}, {"ingredient_id": "olive_oil", "name": "Extra-virgin olive oil", "grams": 15.0, "note": ""}, {"ingredient_id": "balsamic_vinegar", "name": "Balsamic vinegar", "grams": 10.0, "note": ""}, {"ingredient_id": "salt", "name": "Salt", "grams": 2.0, "note": ""}, {"ingredient_id": "black_pepper", "name": "Black pepper", "grams": 1.0, "note": ""}]</t>
        </is>
      </c>
      <c r="N1069" s="2" t="n">
        <v>157</v>
      </c>
      <c r="O1069" s="5" t="n">
        <v>8.9</v>
      </c>
      <c r="P1069" s="5" t="n">
        <v>9.4</v>
      </c>
      <c r="Q1069" s="5" t="n">
        <v>12</v>
      </c>
      <c r="R1069" s="5" t="n">
        <v>4.8</v>
      </c>
      <c r="S1069" s="5" t="n">
        <v>7.2</v>
      </c>
      <c r="T1069" s="2" t="n">
        <v>16</v>
      </c>
      <c r="U1069" s="2" t="inlineStr">
        <is>
          <t>low</t>
        </is>
      </c>
      <c r="V1069" s="5" t="n">
        <v>1.2</v>
      </c>
      <c r="W1069" s="2" t="inlineStr">
        <is>
          <t>low</t>
        </is>
      </c>
      <c r="X1069" s="3" t="inlineStr"/>
      <c r="Y1069" s="3" t="inlineStr">
        <is>
          <t>0% of this dish's available carbohydrate comes from ingredients with a published, measured GI; the rest uses conventional placeholders (see Ingredients sheet)</t>
        </is>
      </c>
      <c r="Z1069" s="2" t="n">
        <v>0</v>
      </c>
      <c r="AA1069" s="3" t="inlineStr">
        <is>
          <t>gluten-free, dairy-free, nut-free, low-carb</t>
        </is>
      </c>
      <c r="AB1069" s="3" t="inlineStr">
        <is>
          <t>1. Heat the oven to 425°F.
2. Halve the sprouts and toss with oil, salt and pepper.
3. Roast with the chopped bacon for 25 minutes.
4. Finish with balsamic.</t>
        </is>
      </c>
      <c r="AC1069" s="4" t="inlineStr">
        <is>
          <t>["Heat the oven to 425°F.", "Halve the sprouts and toss with oil, salt and pepper.", "Roast with the chopped bacon for 25 minutes.", "Finish with balsamic."]</t>
        </is>
      </c>
    </row>
    <row r="1070" ht="96" customHeight="1">
      <c r="A1070" s="2" t="inlineStr">
        <is>
          <t>DB-1069</t>
        </is>
      </c>
      <c r="B1070" s="3" t="inlineStr">
        <is>
          <t>Southern-Style Green Beans</t>
        </is>
      </c>
      <c r="C1070" s="4" t="inlineStr">
        <is>
          <t>Side Dish</t>
        </is>
      </c>
      <c r="D1070" s="4" t="inlineStr">
        <is>
          <t>American</t>
        </is>
      </c>
      <c r="E1070" s="2" t="n">
        <v>4</v>
      </c>
      <c r="F1070" s="2" t="n">
        <v>10</v>
      </c>
      <c r="G1070" s="2" t="n">
        <v>30</v>
      </c>
      <c r="H1070" s="2" t="n">
        <v>40</v>
      </c>
      <c r="I1070" s="4" t="inlineStr">
        <is>
          <t>southern-style-green-beans.jpg</t>
        </is>
      </c>
      <c r="J1070" s="3" t="inlineStr">
        <is>
          <t>Southern-Style Green Beans, healthy food photography, plated, natural light</t>
        </is>
      </c>
      <c r="K1070" s="4" t="inlineStr"/>
      <c r="L1070" s="3" t="inlineStr">
        <is>
          <t>Green beans — 500 g (17.6 oz)
Turkey bacon — 50 g (1.8 oz)
Yellow onion — 80 g (2.8 oz)
Garlic — 4 g (0.1 oz)
Chicken broth, low sodium — 200 g (7.1 oz)
Apple cider vinegar — 10 g (0.4 oz)
Black pepper — 1 g (0.0 oz)</t>
        </is>
      </c>
      <c r="M1070" s="4" t="inlineStr">
        <is>
          <t>[{"ingredient_id": "green_beans", "name": "Green beans", "grams": 500.0, "note": ""}, {"ingredient_id": "turkey_bacon", "name": "Turkey bacon", "grams": 50.0, "note": ""}, {"ingredient_id": "onion", "name": "Yellow onion", "grams": 80.0, "note": ""}, {"ingredient_id": "garlic", "name": "Garlic", "grams": 4.0, "note": ""}, {"ingredient_id": "chicken_broth", "name": "Chicken broth, low sodium", "grams": 200.0, "note": ""}, {"ingredient_id": "apple_cider_vinegar", "name": "Apple cider vinegar", "grams": 10.0, "note": ""}, {"ingredient_id": "black_pepper", "name": "Black pepper", "grams": 1.0, "note": ""}]</t>
        </is>
      </c>
      <c r="N1070" s="2" t="n">
        <v>80</v>
      </c>
      <c r="O1070" s="5" t="n">
        <v>5.3</v>
      </c>
      <c r="P1070" s="5" t="n">
        <v>2.3</v>
      </c>
      <c r="Q1070" s="5" t="n">
        <v>11.6</v>
      </c>
      <c r="R1070" s="5" t="n">
        <v>3.8</v>
      </c>
      <c r="S1070" s="5" t="n">
        <v>7.8</v>
      </c>
      <c r="T1070" s="2" t="n">
        <v>15</v>
      </c>
      <c r="U1070" s="2" t="inlineStr">
        <is>
          <t>low</t>
        </is>
      </c>
      <c r="V1070" s="5" t="n">
        <v>1.2</v>
      </c>
      <c r="W1070" s="2" t="inlineStr">
        <is>
          <t>low</t>
        </is>
      </c>
      <c r="X1070" s="3" t="inlineStr"/>
      <c r="Y1070" s="3" t="inlineStr">
        <is>
          <t>0% of this dish's available carbohydrate comes from ingredients with a published, measured GI; the rest uses conventional placeholders (see Ingredients sheet)</t>
        </is>
      </c>
      <c r="Z1070" s="2" t="n">
        <v>0</v>
      </c>
      <c r="AA1070" s="3" t="inlineStr">
        <is>
          <t>gluten-free, dairy-free, nut-free, low-carb</t>
        </is>
      </c>
      <c r="AB1070" s="3" t="inlineStr">
        <is>
          <t>1. Crisp the turkey bacon and set aside.
2. Cook the onion and garlic in the pan.
3. Add the beans, broth and vinegar and simmer 20 minutes.
4. Top with the bacon.</t>
        </is>
      </c>
      <c r="AC1070" s="4" t="inlineStr">
        <is>
          <t>["Crisp the turkey bacon and set aside.", "Cook the onion and garlic in the pan.", "Add the beans, broth and vinegar and simmer 20 minutes.", "Top with the bacon."]</t>
        </is>
      </c>
    </row>
    <row r="1071" ht="96" customHeight="1">
      <c r="A1071" s="2" t="inlineStr">
        <is>
          <t>DB-1070</t>
        </is>
      </c>
      <c r="B1071" s="3" t="inlineStr">
        <is>
          <t>Collard Greens with Smoked Turkey</t>
        </is>
      </c>
      <c r="C1071" s="4" t="inlineStr">
        <is>
          <t>Side Dish</t>
        </is>
      </c>
      <c r="D1071" s="4" t="inlineStr">
        <is>
          <t>American</t>
        </is>
      </c>
      <c r="E1071" s="2" t="n">
        <v>5</v>
      </c>
      <c r="F1071" s="2" t="n">
        <v>15</v>
      </c>
      <c r="G1071" s="2" t="n">
        <v>45</v>
      </c>
      <c r="H1071" s="2" t="n">
        <v>60</v>
      </c>
      <c r="I1071" s="4" t="inlineStr">
        <is>
          <t>collard-greens-with-smoked-turkey.jpg</t>
        </is>
      </c>
      <c r="J1071" s="3" t="inlineStr">
        <is>
          <t>Collard Greens with Smoked Turkey, healthy food photography, plated, natural light</t>
        </is>
      </c>
      <c r="K1071" s="4" t="inlineStr"/>
      <c r="L1071" s="3" t="inlineStr">
        <is>
          <t>Collard greens — 600 g (21.2 oz)
Deli turkey breast, low sodium — 100 g (3.5 oz)
Yellow onion — 100 g (3.5 oz)
Garlic — 8 g (0.3 oz)
Chicken broth, low sodium — 400 g (14.1 oz)
Apple cider vinegar — 20 g (0.7 oz)
Red pepper flakes — 1 g (0.0 oz)
Extra-virgin olive oil — 10 g (0.4 oz)</t>
        </is>
      </c>
      <c r="M1071" s="4" t="inlineStr">
        <is>
          <t>[{"ingredient_id": "collard_greens", "name": "Collard greens", "grams": 600.0, "note": ""}, {"ingredient_id": "deli_turkey", "name": "Deli turkey breast, low sodium", "grams": 100.0, "note": ""}, {"ingredient_id": "onion", "name": "Yellow onion", "grams": 100.0, "note": ""}, {"ingredient_id": "garlic", "name": "Garlic", "grams": 8.0, "note": ""}, {"ingredient_id": "chicken_broth", "name": "Chicken broth, low sodium", "grams": 400.0, "note": ""}, {"ingredient_id": "apple_cider_vinegar", "name": "Apple cider vinegar", "grams": 20.0, "note": ""}, {"ingredient_id": "red_pepper_flakes", "name": "Red pepper flakes", "grams": 1.0, "note": ""}, {"ingredient_id": "olive_oil", "name": "Extra-virgin olive oil", "grams": 10.0, "note": ""}]</t>
        </is>
      </c>
      <c r="N1071" s="2" t="n">
        <v>94</v>
      </c>
      <c r="O1071" s="5" t="n">
        <v>8.1</v>
      </c>
      <c r="P1071" s="5" t="n">
        <v>3.2</v>
      </c>
      <c r="Q1071" s="5" t="n">
        <v>10.2</v>
      </c>
      <c r="R1071" s="5" t="n">
        <v>5.2</v>
      </c>
      <c r="S1071" s="5" t="n">
        <v>5</v>
      </c>
      <c r="T1071" s="2" t="n">
        <v>13</v>
      </c>
      <c r="U1071" s="2" t="inlineStr">
        <is>
          <t>low</t>
        </is>
      </c>
      <c r="V1071" s="5" t="n">
        <v>0.6</v>
      </c>
      <c r="W1071" s="2" t="inlineStr">
        <is>
          <t>low</t>
        </is>
      </c>
      <c r="X1071" s="3" t="inlineStr">
        <is>
          <t>Negligible carbohydrate (&lt;5 g net/serving): GI has little practical meaning, glycemic load is what matters.</t>
        </is>
      </c>
      <c r="Y1071" s="3" t="inlineStr">
        <is>
          <t>0% of this dish's available carbohydrate comes from ingredients with a published, measured GI; the rest uses conventional placeholders (see Ingredients sheet)</t>
        </is>
      </c>
      <c r="Z1071" s="2" t="n">
        <v>0</v>
      </c>
      <c r="AA1071" s="3" t="inlineStr">
        <is>
          <t>gluten-free, dairy-free, nut-free, low-carb</t>
        </is>
      </c>
      <c r="AB1071" s="3" t="inlineStr">
        <is>
          <t>1. Sauté the onion and garlic in oil.
2. Add the chopped collards, turkey, broth and pepper flakes.
3. Simmer 40 minutes until tender.
4. Brighten with vinegar.</t>
        </is>
      </c>
      <c r="AC1071" s="4" t="inlineStr">
        <is>
          <t>["Sauté the onion and garlic in oil.", "Add the chopped collards, turkey, broth and pepper flakes.", "Simmer 40 minutes until tender.", "Brighten with vinegar."]</t>
        </is>
      </c>
    </row>
    <row r="1072" ht="96" customHeight="1">
      <c r="A1072" s="2" t="inlineStr">
        <is>
          <t>DB-1071</t>
        </is>
      </c>
      <c r="B1072" s="3" t="inlineStr">
        <is>
          <t>Oven-Baked Sweet Potato Fries</t>
        </is>
      </c>
      <c r="C1072" s="4" t="inlineStr">
        <is>
          <t>Side Dish</t>
        </is>
      </c>
      <c r="D1072" s="4" t="inlineStr">
        <is>
          <t>American</t>
        </is>
      </c>
      <c r="E1072" s="2" t="n">
        <v>4</v>
      </c>
      <c r="F1072" s="2" t="n">
        <v>10</v>
      </c>
      <c r="G1072" s="2" t="n">
        <v>30</v>
      </c>
      <c r="H1072" s="2" t="n">
        <v>40</v>
      </c>
      <c r="I1072" s="4" t="inlineStr">
        <is>
          <t>oven-baked-sweet-potato-fries.jpg</t>
        </is>
      </c>
      <c r="J1072" s="3" t="inlineStr">
        <is>
          <t>Oven-Baked Sweet Potato Fries, healthy food photography, plated, natural light</t>
        </is>
      </c>
      <c r="K1072" s="4" t="inlineStr"/>
      <c r="L1072" s="3" t="inlineStr">
        <is>
          <t>Sweet potato, baked/roasted — 400 g (14.1 oz)
Extra-virgin olive oil — 20 g (0.7 oz)
Smoked paprika — 3 g (0.1 oz)
Garlic powder — 2 g (0.1 oz)
Salt — 2 g (0.1 oz)</t>
        </is>
      </c>
      <c r="M1072" s="4" t="inlineStr">
        <is>
          <t>[{"ingredient_id": "sweet_potato_roasted", "name": "Sweet potato, baked/roasted", "grams": 400.0, "note": ""}, {"ingredient_id": "olive_oil", "name": "Extra-virgin olive oil", "grams": 20.0, "note": ""}, {"ingredient_id": "smoked_paprika", "name": "Smoked paprika", "grams": 3.0, "note": ""}, {"ingredient_id": "garlic_powder", "name": "Garlic powder", "grams": 2.0, "note": ""}, {"ingredient_id": "salt", "name": "Salt", "grams": 2.0, "note": ""}]</t>
        </is>
      </c>
      <c r="N1072" s="2" t="n">
        <v>134</v>
      </c>
      <c r="O1072" s="5" t="n">
        <v>1.8</v>
      </c>
      <c r="P1072" s="5" t="n">
        <v>5.2</v>
      </c>
      <c r="Q1072" s="5" t="n">
        <v>20.8</v>
      </c>
      <c r="R1072" s="5" t="n">
        <v>3.3</v>
      </c>
      <c r="S1072" s="5" t="n">
        <v>17.5</v>
      </c>
      <c r="T1072" s="2" t="n">
        <v>83</v>
      </c>
      <c r="U1072" s="2" t="inlineStr">
        <is>
          <t>high</t>
        </is>
      </c>
      <c r="V1072" s="5" t="n">
        <v>14.5</v>
      </c>
      <c r="W1072" s="2" t="inlineStr">
        <is>
          <t>medium</t>
        </is>
      </c>
      <c r="X1072" s="3" t="inlineStr">
        <is>
          <t>Medium-GI dish: keep to the stated portion and pair with the protein/fat in the recipe; GL per serving is the better guide.</t>
        </is>
      </c>
      <c r="Y1072" s="3" t="inlineStr">
        <is>
          <t>97% of this dish's available carbohydrate comes from ingredients with a published, measured GI; the rest uses conventional placeholders (see Ingredients sheet)</t>
        </is>
      </c>
      <c r="Z1072" s="2" t="n">
        <v>97</v>
      </c>
      <c r="AA1072" s="3" t="inlineStr">
        <is>
          <t>vegan, gluten-free, dairy-free, nut-free</t>
        </is>
      </c>
      <c r="AB1072" s="3" t="inlineStr">
        <is>
          <t>1. Heat the oven to 425°F.
2. Cut the sweet potato into thin sticks and toss with oil and spices.
3. Roast 25 to 30 minutes, turning once.</t>
        </is>
      </c>
      <c r="AC1072" s="4" t="inlineStr">
        <is>
          <t>["Heat the oven to 425°F.", "Cut the sweet potato into thin sticks and toss with oil and spices.", "Roast 25 to 30 minutes, turning once."]</t>
        </is>
      </c>
    </row>
    <row r="1073" ht="96" customHeight="1">
      <c r="A1073" s="2" t="inlineStr">
        <is>
          <t>DB-1072</t>
        </is>
      </c>
      <c r="B1073" s="3" t="inlineStr">
        <is>
          <t>Taqueria-Style Cilantro Lime Cauliflower Rice</t>
        </is>
      </c>
      <c r="C1073" s="4" t="inlineStr">
        <is>
          <t>Side Dish</t>
        </is>
      </c>
      <c r="D1073" s="4" t="inlineStr">
        <is>
          <t>Tex-Mex</t>
        </is>
      </c>
      <c r="E1073" s="2" t="n">
        <v>4</v>
      </c>
      <c r="F1073" s="2" t="n">
        <v>5</v>
      </c>
      <c r="G1073" s="2" t="n">
        <v>8</v>
      </c>
      <c r="H1073" s="2" t="n">
        <v>13</v>
      </c>
      <c r="I1073" s="4" t="inlineStr">
        <is>
          <t>taqueria-style-cilantro-lime-cauliflower-rice.jpg</t>
        </is>
      </c>
      <c r="J1073" s="3" t="inlineStr">
        <is>
          <t>Taqueria-Style Cilantro Lime Cauliflower Rice, healthy food photography, plated, natural light</t>
        </is>
      </c>
      <c r="K1073" s="4" t="inlineStr"/>
      <c r="L1073" s="3" t="inlineStr">
        <is>
          <t>Cauliflower rice — 500 g (17.6 oz)
Lime juice — 25 g (0.9 oz)
Fresh cilantro — 10 g (0.4 oz)
Garlic — 4 g (0.1 oz)
Extra-virgin olive oil — 10 g (0.4 oz)
Salt — 2 g (0.1 oz)</t>
        </is>
      </c>
      <c r="M1073" s="4" t="inlineStr">
        <is>
          <t>[{"ingredient_id": "cauliflower_rice", "name": "Cauliflower rice", "grams": 500.0, "note": ""}, {"ingredient_id": "lime_juice", "name": "Lime juice", "grams": 25.0, "note": ""}, {"ingredient_id": "cilantro", "name": "Fresh cilantro", "grams": 10.0, "note": ""}, {"ingredient_id": "garlic", "name": "Garlic", "grams": 4.0, "note": ""}, {"ingredient_id": "olive_oil", "name": "Extra-virgin olive oil", "grams": 10.0, "note": ""}, {"ingredient_id": "salt", "name": "Salt", "grams": 2.0, "note": ""}]</t>
        </is>
      </c>
      <c r="N1073" s="2" t="n">
        <v>57</v>
      </c>
      <c r="O1073" s="5" t="n">
        <v>2.5</v>
      </c>
      <c r="P1073" s="5" t="n">
        <v>2.9</v>
      </c>
      <c r="Q1073" s="5" t="n">
        <v>7.2</v>
      </c>
      <c r="R1073" s="5" t="n">
        <v>2.6</v>
      </c>
      <c r="S1073" s="5" t="n">
        <v>4.6</v>
      </c>
      <c r="T1073" s="2" t="n">
        <v>17</v>
      </c>
      <c r="U1073" s="2" t="inlineStr">
        <is>
          <t>low</t>
        </is>
      </c>
      <c r="V1073" s="5" t="n">
        <v>0.8</v>
      </c>
      <c r="W1073" s="2" t="inlineStr">
        <is>
          <t>low</t>
        </is>
      </c>
      <c r="X1073" s="3" t="inlineStr">
        <is>
          <t>Negligible carbohydrate (&lt;5 g net/serving): GI has little practical meaning, glycemic load is what matters.</t>
        </is>
      </c>
      <c r="Y1073" s="3" t="inlineStr">
        <is>
          <t>0% of this dish's available carbohydrate comes from ingredients with a published, measured GI; the rest uses conventional placeholders (see Ingredients sheet)</t>
        </is>
      </c>
      <c r="Z1073" s="2" t="n">
        <v>0</v>
      </c>
      <c r="AA1073" s="3" t="inlineStr">
        <is>
          <t>vegan, gluten-free, dairy-free, nut-free, low-carb</t>
        </is>
      </c>
      <c r="AB1073" s="3" t="inlineStr">
        <is>
          <t>1. Sauté the garlic in oil.
2. Add the cauliflower rice and cook 5 minutes.
3. Stir in lime juice, cilantro and salt.</t>
        </is>
      </c>
      <c r="AC1073" s="4" t="inlineStr">
        <is>
          <t>["Sauté the garlic in oil.", "Add the cauliflower rice and cook 5 minutes.", "Stir in lime juice, cilantro and salt."]</t>
        </is>
      </c>
    </row>
    <row r="1074" ht="96" customHeight="1">
      <c r="A1074" s="2" t="inlineStr">
        <is>
          <t>DB-1073</t>
        </is>
      </c>
      <c r="B1074" s="3" t="inlineStr">
        <is>
          <t>Corn and Black Bean Salsa Salad</t>
        </is>
      </c>
      <c r="C1074" s="4" t="inlineStr">
        <is>
          <t>Side Dish</t>
        </is>
      </c>
      <c r="D1074" s="4" t="inlineStr">
        <is>
          <t>Tex-Mex</t>
        </is>
      </c>
      <c r="E1074" s="2" t="n">
        <v>5</v>
      </c>
      <c r="F1074" s="2" t="n">
        <v>15</v>
      </c>
      <c r="G1074" s="2" t="n">
        <v>0</v>
      </c>
      <c r="H1074" s="2" t="n">
        <v>15</v>
      </c>
      <c r="I1074" s="4" t="inlineStr">
        <is>
          <t>corn-and-black-bean-salsa-salad.jpg</t>
        </is>
      </c>
      <c r="J1074" s="3" t="inlineStr">
        <is>
          <t>Corn and Black Bean Salsa Salad, healthy food photography, plated, natural light</t>
        </is>
      </c>
      <c r="K1074" s="4" t="inlineStr"/>
      <c r="L1074" s="3" t="inlineStr">
        <is>
          <t>Sweet corn kernels — 150 g (5.3 oz)
Black beans, cooked — 200 g (7.1 oz)
Tomato — 150 g (5.3 oz)
Red onion — 50 g (1.8 oz)
Jalapeño — 10 g (0.4 oz)
Lime juice — 30 g (1.1 oz)
Fresh cilantro — 8 g (0.3 oz)
Extra-virgin olive oil — 15 g (0.5 oz)</t>
        </is>
      </c>
      <c r="M1074" s="4" t="inlineStr">
        <is>
          <t>[{"ingredient_id": "corn", "name": "Sweet corn kernels", "grams": 150.0, "note": ""}, {"ingredient_id": "black_beans", "name": "Black beans, cooked", "grams": 200.0, "note": ""}, {"ingredient_id": "tomato", "name": "Tomato", "grams": 150.0, "note": ""}, {"ingredient_id": "red_onion", "name": "Red onion", "grams": 50.0, "note": ""}, {"ingredient_id": "jalapeno", "name": "Jalapeño", "grams": 10.0, "note": ""}, {"ingredient_id": "lime_juice", "name": "Lime juice", "grams": 30.0, "note": ""}, {"ingredient_id": "cilantro", "name": "Fresh cilantro", "grams": 8.0, "note": ""}, {"ingredient_id": "olive_oil", "name": "Extra-virgin olive oil", "grams": 15.0, "note": ""}]</t>
        </is>
      </c>
      <c r="N1074" s="2" t="n">
        <v>117</v>
      </c>
      <c r="O1074" s="5" t="n">
        <v>5</v>
      </c>
      <c r="P1074" s="5" t="n">
        <v>3.7</v>
      </c>
      <c r="Q1074" s="5" t="n">
        <v>18</v>
      </c>
      <c r="R1074" s="5" t="n">
        <v>4.9</v>
      </c>
      <c r="S1074" s="5" t="n">
        <v>13</v>
      </c>
      <c r="T1074" s="2" t="n">
        <v>36</v>
      </c>
      <c r="U1074" s="2" t="inlineStr">
        <is>
          <t>low</t>
        </is>
      </c>
      <c r="V1074" s="5" t="n">
        <v>4.7</v>
      </c>
      <c r="W1074" s="2" t="inlineStr">
        <is>
          <t>low</t>
        </is>
      </c>
      <c r="X1074" s="3" t="inlineStr"/>
      <c r="Y1074" s="3" t="inlineStr">
        <is>
          <t>84% of this dish's available carbohydrate comes from ingredients with a published, measured GI; the rest uses conventional placeholders (see Ingredients sheet)</t>
        </is>
      </c>
      <c r="Z1074" s="2" t="n">
        <v>84</v>
      </c>
      <c r="AA1074" s="3" t="inlineStr">
        <is>
          <t>vegan, gluten-free, dairy-free, nut-free, low-carb, no-cook</t>
        </is>
      </c>
      <c r="AB1074" s="3" t="inlineStr">
        <is>
          <t>1. Combine the corn, beans, tomato, onion and jalapeno.
2. Dress with lime juice and oil.
3. Fold in cilantro and chill briefly.</t>
        </is>
      </c>
      <c r="AC1074" s="4" t="inlineStr">
        <is>
          <t>["Combine the corn, beans, tomato, onion and jalapeno.", "Dress with lime juice and oil.", "Fold in cilantro and chill briefly."]</t>
        </is>
      </c>
    </row>
    <row r="1075" ht="96" customHeight="1">
      <c r="A1075" s="2" t="inlineStr">
        <is>
          <t>DB-1074</t>
        </is>
      </c>
      <c r="B1075" s="3" t="inlineStr">
        <is>
          <t>Garlic Roasted Broccoli with Lemon</t>
        </is>
      </c>
      <c r="C1075" s="4" t="inlineStr">
        <is>
          <t>Side Dish</t>
        </is>
      </c>
      <c r="D1075" s="4" t="inlineStr">
        <is>
          <t>American</t>
        </is>
      </c>
      <c r="E1075" s="2" t="n">
        <v>4</v>
      </c>
      <c r="F1075" s="2" t="n">
        <v>5</v>
      </c>
      <c r="G1075" s="2" t="n">
        <v>20</v>
      </c>
      <c r="H1075" s="2" t="n">
        <v>25</v>
      </c>
      <c r="I1075" s="4" t="inlineStr">
        <is>
          <t>garlic-roasted-broccoli-with-lemon.jpg</t>
        </is>
      </c>
      <c r="J1075" s="3" t="inlineStr">
        <is>
          <t>Garlic Roasted Broccoli with Lemon, healthy food photography, plated, natural light</t>
        </is>
      </c>
      <c r="K1075" s="4" t="inlineStr"/>
      <c r="L1075" s="3" t="inlineStr">
        <is>
          <t>Broccoli — 500 g (17.6 oz)
Garlic — 10 g (0.4 oz)
Extra-virgin olive oil — 20 g (0.7 oz)
Lemon (with juice &amp; zest) — 40 g (1.4 oz)
Parmesan, grated — 20 g (0.7 oz)
Salt — 2 g (0.1 oz)</t>
        </is>
      </c>
      <c r="M1075" s="4" t="inlineStr">
        <is>
          <t>[{"ingredient_id": "broccoli", "name": "Broccoli", "grams": 500.0, "note": ""}, {"ingredient_id": "garlic", "name": "Garlic", "grams": 10.0, "note": ""}, {"ingredient_id": "olive_oil", "name": "Extra-virgin olive oil", "grams": 20.0, "note": ""}, {"ingredient_id": "lemon", "name": "Lemon (with juice &amp; zest)", "grams": 40.0, "note": ""}, {"ingredient_id": "parmesan", "name": "Parmesan, grated", "grams": 20.0, "note": ""}, {"ingredient_id": "salt", "name": "Salt", "grams": 2.0, "note": ""}]</t>
        </is>
      </c>
      <c r="N1075" s="2" t="n">
        <v>115</v>
      </c>
      <c r="O1075" s="5" t="n">
        <v>5.7</v>
      </c>
      <c r="P1075" s="5" t="n">
        <v>7</v>
      </c>
      <c r="Q1075" s="5" t="n">
        <v>10.2</v>
      </c>
      <c r="R1075" s="5" t="n">
        <v>3.6</v>
      </c>
      <c r="S1075" s="5" t="n">
        <v>6.6</v>
      </c>
      <c r="T1075" s="2" t="n">
        <v>17</v>
      </c>
      <c r="U1075" s="2" t="inlineStr">
        <is>
          <t>low</t>
        </is>
      </c>
      <c r="V1075" s="5" t="n">
        <v>1.1</v>
      </c>
      <c r="W1075" s="2" t="inlineStr">
        <is>
          <t>low</t>
        </is>
      </c>
      <c r="X1075" s="3" t="inlineStr"/>
      <c r="Y1075" s="3" t="inlineStr">
        <is>
          <t>0% of this dish's available carbohydrate comes from ingredients with a published, measured GI; the rest uses conventional placeholders (see Ingredients sheet)</t>
        </is>
      </c>
      <c r="Z1075" s="2" t="n">
        <v>0</v>
      </c>
      <c r="AA1075" s="3" t="inlineStr">
        <is>
          <t>vegetarian, gluten-free, nut-free, low-carb</t>
        </is>
      </c>
      <c r="AB1075" s="3" t="inlineStr">
        <is>
          <t>1. Heat the oven to 425°F.
2. Toss the broccoli with oil, garlic and salt.
3. Roast 18 to 20 minutes.
4. Finish with lemon and parmesan.</t>
        </is>
      </c>
      <c r="AC1075" s="4" t="inlineStr">
        <is>
          <t>["Heat the oven to 425°F.", "Toss the broccoli with oil, garlic and salt.", "Roast 18 to 20 minutes.", "Finish with lemon and parmesan."]</t>
        </is>
      </c>
    </row>
    <row r="1076" ht="96" customHeight="1">
      <c r="A1076" s="2" t="inlineStr">
        <is>
          <t>DB-1075</t>
        </is>
      </c>
      <c r="B1076" s="3" t="inlineStr">
        <is>
          <t>Creamed Spinach</t>
        </is>
      </c>
      <c r="C1076" s="4" t="inlineStr">
        <is>
          <t>Side Dish</t>
        </is>
      </c>
      <c r="D1076" s="4" t="inlineStr">
        <is>
          <t>American</t>
        </is>
      </c>
      <c r="E1076" s="2" t="n">
        <v>4</v>
      </c>
      <c r="F1076" s="2" t="n">
        <v>5</v>
      </c>
      <c r="G1076" s="2" t="n">
        <v>12</v>
      </c>
      <c r="H1076" s="2" t="n">
        <v>17</v>
      </c>
      <c r="I1076" s="4" t="inlineStr">
        <is>
          <t>creamed-spinach.jpg</t>
        </is>
      </c>
      <c r="J1076" s="3" t="inlineStr">
        <is>
          <t>Creamed Spinach, healthy food photography, plated, natural light</t>
        </is>
      </c>
      <c r="K1076" s="4" t="inlineStr"/>
      <c r="L1076" s="3" t="inlineStr">
        <is>
          <t>Spinach — 500 g (17.6 oz)
Cream cheese — 80 g (2.8 oz)
Garlic — 4 g (0.1 oz)
Parmesan, grated — 20 g (0.7 oz)
Milk, 2% — 60 g (2.1 oz)
Ground nutmeg — 1 g (0.0 oz)
Butter — 10 g (0.4 oz)</t>
        </is>
      </c>
      <c r="M1076" s="4" t="inlineStr">
        <is>
          <t>[{"ingredient_id": "spinach", "name": "Spinach", "grams": 500.0, "note": ""}, {"ingredient_id": "cream_cheese", "name": "Cream cheese", "grams": 80.0, "note": ""}, {"ingredient_id": "garlic", "name": "Garlic", "grams": 4.0, "note": ""}, {"ingredient_id": "parmesan", "name": "Parmesan, grated", "grams": 20.0, "note": ""}, {"ingredient_id": "milk", "name": "Milk, 2%", "grams": 60.0, "note": ""}, {"ingredient_id": "nutmeg", "name": "Ground nutmeg", "grams": 1.0, "note": ""}, {"ingredient_id": "butter", "name": "Butter", "grams": 10.0, "note": ""}]</t>
        </is>
      </c>
      <c r="N1076" s="2" t="n">
        <v>147</v>
      </c>
      <c r="O1076" s="5" t="n">
        <v>7.3</v>
      </c>
      <c r="P1076" s="5" t="n">
        <v>11.2</v>
      </c>
      <c r="Q1076" s="5" t="n">
        <v>6.7</v>
      </c>
      <c r="R1076" s="5" t="n">
        <v>2.8</v>
      </c>
      <c r="S1076" s="5" t="n">
        <v>3.8</v>
      </c>
      <c r="T1076" s="2" t="n">
        <v>15</v>
      </c>
      <c r="U1076" s="2" t="inlineStr">
        <is>
          <t>low</t>
        </is>
      </c>
      <c r="V1076" s="5" t="n">
        <v>0.6</v>
      </c>
      <c r="W1076" s="2" t="inlineStr">
        <is>
          <t>low</t>
        </is>
      </c>
      <c r="X1076" s="3" t="inlineStr">
        <is>
          <t>Negligible carbohydrate (&lt;5 g net/serving): GI has little practical meaning, glycemic load is what matters.</t>
        </is>
      </c>
      <c r="Y1076" s="3" t="inlineStr">
        <is>
          <t>19% of this dish's available carbohydrate comes from ingredients with a published, measured GI; the rest uses conventional placeholders (see Ingredients sheet)</t>
        </is>
      </c>
      <c r="Z1076" s="2" t="n">
        <v>19</v>
      </c>
      <c r="AA1076" s="3" t="inlineStr">
        <is>
          <t>vegetarian, gluten-free, nut-free, low-carb</t>
        </is>
      </c>
      <c r="AB1076" s="3" t="inlineStr">
        <is>
          <t>1. Wilt the spinach with butter and garlic.
2. Stir in cream cheese and milk until smooth.
3. Add parmesan and nutmeg.</t>
        </is>
      </c>
      <c r="AC1076" s="4" t="inlineStr">
        <is>
          <t>["Wilt the spinach with butter and garlic.", "Stir in cream cheese and milk until smooth.", "Add parmesan and nutmeg."]</t>
        </is>
      </c>
    </row>
    <row r="1077" ht="96" customHeight="1">
      <c r="A1077" s="2" t="inlineStr">
        <is>
          <t>DB-1076</t>
        </is>
      </c>
      <c r="B1077" s="3" t="inlineStr">
        <is>
          <t>Cheesy Zucchini Boats</t>
        </is>
      </c>
      <c r="C1077" s="4" t="inlineStr">
        <is>
          <t>Side Dish</t>
        </is>
      </c>
      <c r="D1077" s="4" t="inlineStr">
        <is>
          <t>American</t>
        </is>
      </c>
      <c r="E1077" s="2" t="n">
        <v>4</v>
      </c>
      <c r="F1077" s="2" t="n">
        <v>15</v>
      </c>
      <c r="G1077" s="2" t="n">
        <v>25</v>
      </c>
      <c r="H1077" s="2" t="n">
        <v>40</v>
      </c>
      <c r="I1077" s="4" t="inlineStr">
        <is>
          <t>cheesy-zucchini-boats.jpg</t>
        </is>
      </c>
      <c r="J1077" s="3" t="inlineStr">
        <is>
          <t>Cheesy Zucchini Boats, healthy food photography, plated, natural light</t>
        </is>
      </c>
      <c r="K1077" s="4" t="inlineStr"/>
      <c r="L1077" s="3" t="inlineStr">
        <is>
          <t>Zucchini — 600 g (21.2 oz)
Ground turkey 93% lean — 200 g (7.1 oz)
Marinara sauce, no sugar added — 150 g (5.3 oz)
Mozzarella, part-skim — 80 g (2.8 oz)
Parmesan, grated — 20 g (0.7 oz)
Yellow onion — 50 g (1.8 oz)
Extra-virgin olive oil — 10 g (0.4 oz)</t>
        </is>
      </c>
      <c r="M1077" s="4" t="inlineStr">
        <is>
          <t>[{"ingredient_id": "zucchini", "name": "Zucchini", "grams": 600.0, "note": ""}, {"ingredient_id": "ground_turkey", "name": "Ground turkey 93% lean", "grams": 200.0, "note": ""}, {"ingredient_id": "marinara", "name": "Marinara sauce, no sugar added", "grams": 150.0, "note": ""}, {"ingredient_id": "mozzarella", "name": "Mozzarella, part-skim", "grams": 80.0, "note": ""}, {"ingredient_id": "parmesan", "name": "Parmesan, grated", "grams": 20.0, "note": ""}, {"ingredient_id": "onion", "name": "Yellow onion", "grams": 50.0, "note": ""}, {"ingredient_id": "olive_oil", "name": "Extra-virgin olive oil", "grams": 10.0, "note": ""}]</t>
        </is>
      </c>
      <c r="N1077" s="2" t="n">
        <v>217</v>
      </c>
      <c r="O1077" s="5" t="n">
        <v>18.5</v>
      </c>
      <c r="P1077" s="5" t="n">
        <v>12.6</v>
      </c>
      <c r="Q1077" s="5" t="n">
        <v>8.5</v>
      </c>
      <c r="R1077" s="5" t="n">
        <v>2.3</v>
      </c>
      <c r="S1077" s="5" t="n">
        <v>6.2</v>
      </c>
      <c r="T1077" s="2" t="n">
        <v>17</v>
      </c>
      <c r="U1077" s="2" t="inlineStr">
        <is>
          <t>low</t>
        </is>
      </c>
      <c r="V1077" s="5" t="n">
        <v>1.1</v>
      </c>
      <c r="W1077" s="2" t="inlineStr">
        <is>
          <t>low</t>
        </is>
      </c>
      <c r="X1077" s="3" t="inlineStr"/>
      <c r="Y1077" s="3" t="inlineStr">
        <is>
          <t>21% of this dish's available carbohydrate comes from ingredients with a published, measured GI; the rest uses conventional placeholders (see Ingredients sheet)</t>
        </is>
      </c>
      <c r="Z1077" s="2" t="n">
        <v>21</v>
      </c>
      <c r="AA1077" s="3" t="inlineStr">
        <is>
          <t>gluten-free, nut-free, low-carb</t>
        </is>
      </c>
      <c r="AB1077" s="3" t="inlineStr">
        <is>
          <t>1. Halve the zucchini and scoop out the centres.
2. Brown the turkey with the onion and chopped zucchini flesh.
3. Stir in marinara and fill the boats.
4. Top with cheeses and bake at 400°F for 20 minutes.</t>
        </is>
      </c>
      <c r="AC1077" s="4" t="inlineStr">
        <is>
          <t>["Halve the zucchini and scoop out the centres.", "Brown the turkey with the onion and chopped zucchini flesh.", "Stir in marinara and fill the boats.", "Top with cheeses and bake at 400°F for 20 minutes."]</t>
        </is>
      </c>
    </row>
    <row r="1078" ht="96" customHeight="1">
      <c r="A1078" s="2" t="inlineStr">
        <is>
          <t>DB-1077</t>
        </is>
      </c>
      <c r="B1078" s="3" t="inlineStr">
        <is>
          <t>Stuffed Portobello Mushrooms</t>
        </is>
      </c>
      <c r="C1078" s="4" t="inlineStr">
        <is>
          <t>Vegetarian &amp; Vegan</t>
        </is>
      </c>
      <c r="D1078" s="4" t="inlineStr">
        <is>
          <t>American</t>
        </is>
      </c>
      <c r="E1078" s="2" t="n">
        <v>4</v>
      </c>
      <c r="F1078" s="2" t="n">
        <v>15</v>
      </c>
      <c r="G1078" s="2" t="n">
        <v>20</v>
      </c>
      <c r="H1078" s="2" t="n">
        <v>35</v>
      </c>
      <c r="I1078" s="4" t="inlineStr">
        <is>
          <t>stuffed-portobello-mushrooms.jpg</t>
        </is>
      </c>
      <c r="J1078" s="3" t="inlineStr">
        <is>
          <t>Stuffed Portobello Mushrooms, healthy food photography, plated, natural light</t>
        </is>
      </c>
      <c r="K1078" s="4" t="inlineStr"/>
      <c r="L1078" s="3" t="inlineStr">
        <is>
          <t>Portobello mushrooms — 480 g (16.9 oz)
Spinach — 100 g (3.5 oz)
Ricotta, part-skim — 120 g (4.2 oz)
Mozzarella, part-skim — 60 g (2.1 oz)
Garlic — 6 g (0.2 oz)
Sun-dried tomatoes in oil, drained — 30 g (1.1 oz)
Extra-virgin olive oil — 15 g (0.5 oz)</t>
        </is>
      </c>
      <c r="M1078" s="4" t="inlineStr">
        <is>
          <t>[{"ingredient_id": "portobello", "name": "Portobello mushrooms", "grams": 480.0, "note": ""}, {"ingredient_id": "spinach", "name": "Spinach", "grams": 100.0, "note": ""}, {"ingredient_id": "ricotta", "name": "Ricotta, part-skim", "grams": 120.0, "note": ""}, {"ingredient_id": "mozzarella", "name": "Mozzarella, part-skim", "grams": 60.0, "note": ""}, {"ingredient_id": "garlic", "name": "Garlic", "grams": 6.0, "note": ""}, {"ingredient_id": "sun_dried_tomato", "name": "Sun-dried tomatoes in oil, drained", "grams": 30.0, "note": ""}, {"ingredient_id": "olive_oil", "name": "Extra-virgin olive oil", "grams": 15.0, "note": ""}]</t>
        </is>
      </c>
      <c r="N1078" s="2" t="n">
        <v>163</v>
      </c>
      <c r="O1078" s="5" t="n">
        <v>10.6</v>
      </c>
      <c r="P1078" s="5" t="n">
        <v>10.2</v>
      </c>
      <c r="Q1078" s="5" t="n">
        <v>9.800000000000001</v>
      </c>
      <c r="R1078" s="5" t="n">
        <v>2.6</v>
      </c>
      <c r="S1078" s="5" t="n">
        <v>7.2</v>
      </c>
      <c r="T1078" s="2" t="n">
        <v>19</v>
      </c>
      <c r="U1078" s="2" t="inlineStr">
        <is>
          <t>low</t>
        </is>
      </c>
      <c r="V1078" s="5" t="n">
        <v>1.4</v>
      </c>
      <c r="W1078" s="2" t="inlineStr">
        <is>
          <t>low</t>
        </is>
      </c>
      <c r="X1078" s="3" t="inlineStr"/>
      <c r="Y1078" s="3" t="inlineStr">
        <is>
          <t>0% of this dish's available carbohydrate comes from ingredients with a published, measured GI; the rest uses conventional placeholders (see Ingredients sheet)</t>
        </is>
      </c>
      <c r="Z1078" s="2" t="n">
        <v>0</v>
      </c>
      <c r="AA1078" s="3" t="inlineStr">
        <is>
          <t>vegetarian, gluten-free, nut-free, low-carb</t>
        </is>
      </c>
      <c r="AB1078" s="3" t="inlineStr">
        <is>
          <t>1. Heat the oven to 400°F and brush the caps with oil.
2. Mix the wilted spinach, ricotta, garlic and sun-dried tomato.
3. Fill the caps and top with mozzarella.
4. Bake 18 to 20 minutes.</t>
        </is>
      </c>
      <c r="AC1078" s="4" t="inlineStr">
        <is>
          <t>["Heat the oven to 400°F and brush the caps with oil.", "Mix the wilted spinach, ricotta, garlic and sun-dried tomato.", "Fill the caps and top with mozzarella.", "Bake 18 to 20 minutes."]</t>
        </is>
      </c>
    </row>
    <row r="1079" ht="96" customHeight="1">
      <c r="A1079" s="2" t="inlineStr">
        <is>
          <t>DB-1078</t>
        </is>
      </c>
      <c r="B1079" s="3" t="inlineStr">
        <is>
          <t>Vegetarian Black Bean Burgers</t>
        </is>
      </c>
      <c r="C1079" s="4" t="inlineStr">
        <is>
          <t>Vegetarian &amp; Vegan</t>
        </is>
      </c>
      <c r="D1079" s="4" t="inlineStr">
        <is>
          <t>American</t>
        </is>
      </c>
      <c r="E1079" s="2" t="n">
        <v>4</v>
      </c>
      <c r="F1079" s="2" t="n">
        <v>15</v>
      </c>
      <c r="G1079" s="2" t="n">
        <v>15</v>
      </c>
      <c r="H1079" s="2" t="n">
        <v>30</v>
      </c>
      <c r="I1079" s="4" t="inlineStr">
        <is>
          <t>vegetarian-black-bean-burgers.jpg</t>
        </is>
      </c>
      <c r="J1079" s="3" t="inlineStr">
        <is>
          <t>Vegetarian Black Bean Burgers, healthy food photography, plated, natural light</t>
        </is>
      </c>
      <c r="K1079" s="4" t="inlineStr"/>
      <c r="L1079" s="3" t="inlineStr">
        <is>
          <t>Black beans, cooked — 400 g (14.1 oz)
Rolled oats, dry — 50 g (1.8 oz)
Egg, large (50 g each) — 50 g (1.8 oz)
Yellow onion — 60 g (2.1 oz)
Ground cumin — 2 g (0.1 oz)
Smoked paprika — 2 g (0.1 oz)
Extra-virgin olive oil — 15 g (0.5 oz)
Butter lettuce — 100 g (3.5 oz)
Tomato — 120 g (4.2 oz)
Avocado — 80 g (2.8 oz)</t>
        </is>
      </c>
      <c r="M1079" s="4" t="inlineStr">
        <is>
          <t>[{"ingredient_id": "black_beans", "name": "Black beans, cooked", "grams": 400.0, "note": ""}, {"ingredient_id": "rolled_oats", "name": "Rolled oats, dry", "grams": 50.0, "note": ""}, {"ingredient_id": "egg", "name": "Egg, large (50 g each)", "grams": 50.0, "note": ""}, {"ingredient_id": "onion", "name": "Yellow onion", "grams": 60.0, "note": ""}, {"ingredient_id": "cumin", "name": "Ground cumin", "grams": 2.0, "note": ""}, {"ingredient_id": "smoked_paprika", "name": "Smoked paprika", "grams": 2.0, "note": ""}, {"ingredient_id": "olive_oil", "name": "Extra-virgin olive oil", "grams": 15.0, "note": ""}, {"ingredient_id": "butter_lettuce", "name": "Butter lettuce", "grams": 100.0, "note": ""}, {"ingredient_id": "tomato", "name": "Tomato", "grams": 120.0, "note": ""}, {"ingredient_id": "avocado", "name": "Avocado", "grams": 80.0, "note": ""}]</t>
        </is>
      </c>
      <c r="N1079" s="2" t="n">
        <v>280</v>
      </c>
      <c r="O1079" s="5" t="n">
        <v>13.4</v>
      </c>
      <c r="P1079" s="5" t="n">
        <v>9.5</v>
      </c>
      <c r="Q1079" s="5" t="n">
        <v>37.6</v>
      </c>
      <c r="R1079" s="5" t="n">
        <v>12.4</v>
      </c>
      <c r="S1079" s="5" t="n">
        <v>25.2</v>
      </c>
      <c r="T1079" s="2" t="n">
        <v>36</v>
      </c>
      <c r="U1079" s="2" t="inlineStr">
        <is>
          <t>low</t>
        </is>
      </c>
      <c r="V1079" s="5" t="n">
        <v>9.1</v>
      </c>
      <c r="W1079" s="2" t="inlineStr">
        <is>
          <t>low</t>
        </is>
      </c>
      <c r="X1079" s="3" t="inlineStr"/>
      <c r="Y1079" s="3" t="inlineStr">
        <is>
          <t>88% of this dish's available carbohydrate comes from ingredients with a published, measured GI; the rest uses conventional placeholders (see Ingredients sheet)</t>
        </is>
      </c>
      <c r="Z1079" s="2" t="n">
        <v>88</v>
      </c>
      <c r="AA1079" s="3" t="inlineStr">
        <is>
          <t>vegetarian, dairy-free, nut-free, high-fiber</t>
        </is>
      </c>
      <c r="AB1079" s="3" t="inlineStr">
        <is>
          <t>1. Mash the beans with oats, egg, onion and spices and shape four patties.
2. Pan-fry in oil 5 minutes a side.
3. Serve in lettuce with tomato and avocado.</t>
        </is>
      </c>
      <c r="AC1079" s="4" t="inlineStr">
        <is>
          <t>["Mash the beans with oats, egg, onion and spices and shape four patties.", "Pan-fry in oil 5 minutes a side.", "Serve in lettuce with tomato and avocado."]</t>
        </is>
      </c>
    </row>
    <row r="1080" ht="96" customHeight="1">
      <c r="A1080" s="2" t="inlineStr">
        <is>
          <t>DB-1079</t>
        </is>
      </c>
      <c r="B1080" s="3" t="inlineStr">
        <is>
          <t>Eggplant Parmesan Stacks</t>
        </is>
      </c>
      <c r="C1080" s="4" t="inlineStr">
        <is>
          <t>Vegetarian &amp; Vegan</t>
        </is>
      </c>
      <c r="D1080" s="4" t="inlineStr">
        <is>
          <t>Italian</t>
        </is>
      </c>
      <c r="E1080" s="2" t="n">
        <v>4</v>
      </c>
      <c r="F1080" s="2" t="n">
        <v>20</v>
      </c>
      <c r="G1080" s="2" t="n">
        <v>35</v>
      </c>
      <c r="H1080" s="2" t="n">
        <v>55</v>
      </c>
      <c r="I1080" s="4" t="inlineStr">
        <is>
          <t>eggplant-parmesan-stacks.jpg</t>
        </is>
      </c>
      <c r="J1080" s="3" t="inlineStr">
        <is>
          <t>Eggplant Parmesan Stacks, healthy food photography, plated, natural light</t>
        </is>
      </c>
      <c r="K1080" s="4" t="inlineStr"/>
      <c r="L1080" s="3" t="inlineStr">
        <is>
          <t>Eggplant — 600 g (21.2 oz)
Marinara sauce, no sugar added — 300 g (10.6 oz)
Mozzarella, part-skim — 120 g (4.2 oz)
Parmesan, grated — 30 g (1.1 oz)
Egg, large (50 g each) — 50 g (1.8 oz)
Almond flour — 50 g (1.8 oz)
Fresh basil — 5 g (0.2 oz)
Extra-virgin olive oil — 20 g (0.7 oz)</t>
        </is>
      </c>
      <c r="M1080" s="4" t="inlineStr">
        <is>
          <t>[{"ingredient_id": "eggplant", "name": "Eggplant", "grams": 600.0, "note": ""}, {"ingredient_id": "marinara", "name": "Marinara sauce, no sugar added", "grams": 300.0, "note": ""}, {"ingredient_id": "mozzarella", "name": "Mozzarella, part-skim", "grams": 120.0, "note": ""}, {"ingredient_id": "parmesan", "name": "Parmesan, grated", "grams": 30.0, "note": ""}, {"ingredient_id": "egg", "name": "Egg, large (50 g each)", "grams": 50.0, "note": ""}, {"ingredient_id": "almond_flour", "name": "Almond flour", "grams": 50.0, "note": ""}, {"ingredient_id": "basil", "name": "Fresh basil", "grams": 5.0, "note": ""}, {"ingredient_id": "olive_oil", "name": "Extra-virgin olive oil", "grams": 20.0, "note": ""}]</t>
        </is>
      </c>
      <c r="N1080" s="2" t="n">
        <v>316</v>
      </c>
      <c r="O1080" s="5" t="n">
        <v>16.9</v>
      </c>
      <c r="P1080" s="5" t="n">
        <v>21.6</v>
      </c>
      <c r="Q1080" s="5" t="n">
        <v>16.7</v>
      </c>
      <c r="R1080" s="5" t="n">
        <v>7.1</v>
      </c>
      <c r="S1080" s="5" t="n">
        <v>9.6</v>
      </c>
      <c r="T1080" s="2" t="n">
        <v>18</v>
      </c>
      <c r="U1080" s="2" t="inlineStr">
        <is>
          <t>low</t>
        </is>
      </c>
      <c r="V1080" s="5" t="n">
        <v>1.7</v>
      </c>
      <c r="W1080" s="2" t="inlineStr">
        <is>
          <t>low</t>
        </is>
      </c>
      <c r="X1080" s="3" t="inlineStr"/>
      <c r="Y1080" s="3" t="inlineStr">
        <is>
          <t>27% of this dish's available carbohydrate comes from ingredients with a published, measured GI; the rest uses conventional placeholders (see Ingredients sheet)</t>
        </is>
      </c>
      <c r="Z1080" s="2" t="n">
        <v>27</v>
      </c>
      <c r="AA1080" s="3" t="inlineStr">
        <is>
          <t>vegetarian, gluten-free, low-carb, high-fiber</t>
        </is>
      </c>
      <c r="AB1080" s="3" t="inlineStr">
        <is>
          <t>1. Slice the eggplant and dip in egg, then almond flour.
2. Bake on an oiled tray at 425°F until golden, 20 minutes.
3. Stack with marinara and mozzarella.
4. Bake 12 minutes more and finish with basil and parmesan.</t>
        </is>
      </c>
      <c r="AC1080" s="4" t="inlineStr">
        <is>
          <t>["Slice the eggplant and dip in egg, then almond flour.", "Bake on an oiled tray at 425°F until golden, 20 minutes.", "Stack with marinara and mozzarella.", "Bake 12 minutes more and finish with basil and parmesan."]</t>
        </is>
      </c>
    </row>
    <row r="1081" ht="96" customHeight="1">
      <c r="A1081" s="2" t="inlineStr">
        <is>
          <t>DB-1080</t>
        </is>
      </c>
      <c r="B1081" s="3" t="inlineStr">
        <is>
          <t>Cauliflower Mac and Cheese</t>
        </is>
      </c>
      <c r="C1081" s="4" t="inlineStr">
        <is>
          <t>Vegetarian &amp; Vegan</t>
        </is>
      </c>
      <c r="D1081" s="4" t="inlineStr">
        <is>
          <t>American</t>
        </is>
      </c>
      <c r="E1081" s="2" t="n">
        <v>5</v>
      </c>
      <c r="F1081" s="2" t="n">
        <v>10</v>
      </c>
      <c r="G1081" s="2" t="n">
        <v>25</v>
      </c>
      <c r="H1081" s="2" t="n">
        <v>35</v>
      </c>
      <c r="I1081" s="4" t="inlineStr">
        <is>
          <t>cauliflower-mac-and-cheese.jpg</t>
        </is>
      </c>
      <c r="J1081" s="3" t="inlineStr">
        <is>
          <t>Cauliflower Mac and Cheese, healthy food photography, plated, natural light</t>
        </is>
      </c>
      <c r="K1081" s="4" t="inlineStr"/>
      <c r="L1081" s="3" t="inlineStr">
        <is>
          <t>Cauliflower — 600 g (21.2 oz)
Whole wheat pasta, cooked al dente — 100 g (3.5 oz)
Cheddar cheese — 150 g (5.3 oz)
Milk, 2% — 200 g (7.1 oz)
Cream cheese — 40 g (1.4 oz)
Dijon mustard — 5 g (0.2 oz)
Smoked paprika — 2 g (0.1 oz)
Extra-virgin olive oil — 5 g (0.2 oz)</t>
        </is>
      </c>
      <c r="M1081" s="4" t="inlineStr">
        <is>
          <t>[{"ingredient_id": "cauliflower", "name": "Cauliflower", "grams": 600.0, "note": ""}, {"ingredient_id": "whole_wheat_pasta", "name": "Whole wheat pasta, cooked al dente", "grams": 100.0, "note": ""}, {"ingredient_id": "cheddar", "name": "Cheddar cheese", "grams": 150.0, "note": ""}, {"ingredient_id": "milk", "name": "Milk, 2%", "grams": 200.0, "note": ""}, {"ingredient_id": "cream_cheese", "name": "Cream cheese", "grams": 40.0, "note": ""}, {"ingredient_id": "dijon", "name": "Dijon mustard", "grams": 5.0, "note": ""}, {"ingredient_id": "smoked_paprika", "name": "Smoked paprika", "grams": 2.0, "note": ""}, {"ingredient_id": "olive_oil", "name": "Extra-virgin olive oil", "grams": 5.0, "note": ""}]</t>
        </is>
      </c>
      <c r="N1081" s="2" t="n">
        <v>234</v>
      </c>
      <c r="O1081" s="5" t="n">
        <v>12.1</v>
      </c>
      <c r="P1081" s="5" t="n">
        <v>15</v>
      </c>
      <c r="Q1081" s="5" t="n">
        <v>14.2</v>
      </c>
      <c r="R1081" s="5" t="n">
        <v>3.4</v>
      </c>
      <c r="S1081" s="5" t="n">
        <v>10.8</v>
      </c>
      <c r="T1081" s="2" t="n">
        <v>32</v>
      </c>
      <c r="U1081" s="2" t="inlineStr">
        <is>
          <t>low</t>
        </is>
      </c>
      <c r="V1081" s="5" t="n">
        <v>3.5</v>
      </c>
      <c r="W1081" s="2" t="inlineStr">
        <is>
          <t>low</t>
        </is>
      </c>
      <c r="X1081" s="3" t="inlineStr"/>
      <c r="Y1081" s="3" t="inlineStr">
        <is>
          <t>59% of this dish's available carbohydrate comes from ingredients with a published, measured GI; the rest uses conventional placeholders (see Ingredients sheet)</t>
        </is>
      </c>
      <c r="Z1081" s="2" t="n">
        <v>59</v>
      </c>
      <c r="AA1081" s="3" t="inlineStr">
        <is>
          <t>vegetarian, nut-free, low-carb</t>
        </is>
      </c>
      <c r="AB1081" s="3" t="inlineStr">
        <is>
          <t>1. Boil the pasta and cauliflower florets together until tender; drain.
2. Warm the milk, cream cheese, mustard and paprika.
3. Melt in the cheddar.
4. Fold in the pasta and cauliflower and bake 10 minutes at 400°F.</t>
        </is>
      </c>
      <c r="AC1081" s="4" t="inlineStr">
        <is>
          <t>["Boil the pasta and cauliflower florets together until tender; drain.", "Warm the milk, cream cheese, mustard and paprika.", "Melt in the cheddar.", "Fold in the pasta and cauliflower and bake 10 minutes at 400°F."]</t>
        </is>
      </c>
    </row>
    <row r="1082" ht="96" customHeight="1">
      <c r="A1082" s="2" t="inlineStr">
        <is>
          <t>DB-1081</t>
        </is>
      </c>
      <c r="B1082" s="3" t="inlineStr">
        <is>
          <t>Lentil Sloppy Joes</t>
        </is>
      </c>
      <c r="C1082" s="4" t="inlineStr">
        <is>
          <t>Vegetarian &amp; Vegan</t>
        </is>
      </c>
      <c r="D1082" s="4" t="inlineStr">
        <is>
          <t>American</t>
        </is>
      </c>
      <c r="E1082" s="2" t="n">
        <v>5</v>
      </c>
      <c r="F1082" s="2" t="n">
        <v>10</v>
      </c>
      <c r="G1082" s="2" t="n">
        <v>35</v>
      </c>
      <c r="H1082" s="2" t="n">
        <v>45</v>
      </c>
      <c r="I1082" s="4" t="inlineStr">
        <is>
          <t>lentil-sloppy-joes.jpg</t>
        </is>
      </c>
      <c r="J1082" s="3" t="inlineStr">
        <is>
          <t>Lentil Sloppy Joes, healthy food photography, plated, natural light</t>
        </is>
      </c>
      <c r="K1082" s="4" t="inlineStr"/>
      <c r="L1082" s="3" t="inlineStr">
        <is>
          <t>Lentils, cooked — 250 g (8.8 oz)
Tomato sauce, canned, no sugar added — 300 g (10.6 oz)
Yellow onion — 120 g (4.2 oz)
Bell pepper — 100 g (3.5 oz)
Tomato paste — 30 g (1.1 oz)
Yellow mustard — 10 g (0.4 oz)
Apple cider vinegar — 15 g (0.5 oz)
Chili powder — 3 g (0.1 oz)
Vegetable broth, low sodium — 400 g (14.1 oz)
Whole wheat English muffin — 285 g (10.1 oz)</t>
        </is>
      </c>
      <c r="M1082" s="4" t="inlineStr">
        <is>
          <t>[{"ingredient_id": "lentils", "name": "Lentils, cooked", "grams": 250.0, "note": ""}, {"ingredient_id": "tomato_sauce", "name": "Tomato sauce, canned, no sugar added", "grams": 300.0, "note": ""}, {"ingredient_id": "onion", "name": "Yellow onion", "grams": 120.0, "note": ""}, {"ingredient_id": "bell_pepper", "name": "Bell pepper", "grams": 100.0, "note": ""}, {"ingredient_id": "tomato_paste", "name": "Tomato paste", "grams": 30.0, "note": ""}, {"ingredient_id": "yellow_mustard", "name": "Yellow mustard", "grams": 10.0, "note": ""}, {"ingredient_id": "apple_cider_vinegar", "name": "Apple cider vinegar", "grams": 15.0, "note": ""}, {"ingredient_id": "chili_powder", "name": "Chili powder", "grams": 3.0, "note": ""}, {"ingredient_id": "vegetable_broth", "name": "Vegetable broth, low sodium", "grams": 400.0, "note": ""}, {"ingredient_id": "whole_wheat_english_muffin", "name": "Whole wheat English muffin", "grams": 285.0, "note": ""}]</t>
        </is>
      </c>
      <c r="N1082" s="2" t="n">
        <v>228</v>
      </c>
      <c r="O1082" s="5" t="n">
        <v>11.7</v>
      </c>
      <c r="P1082" s="5" t="n">
        <v>1.9</v>
      </c>
      <c r="Q1082" s="5" t="n">
        <v>45</v>
      </c>
      <c r="R1082" s="5" t="n">
        <v>10.2</v>
      </c>
      <c r="S1082" s="5" t="n">
        <v>34.9</v>
      </c>
      <c r="T1082" s="2" t="n">
        <v>39</v>
      </c>
      <c r="U1082" s="2" t="inlineStr">
        <is>
          <t>low</t>
        </is>
      </c>
      <c r="V1082" s="5" t="n">
        <v>13.6</v>
      </c>
      <c r="W1082" s="2" t="inlineStr">
        <is>
          <t>medium</t>
        </is>
      </c>
      <c r="X1082" s="3" t="inlineStr"/>
      <c r="Y1082" s="3" t="inlineStr">
        <is>
          <t>80% of this dish's available carbohydrate comes from ingredients with a published, measured GI; the rest uses conventional placeholders (see Ingredients sheet)</t>
        </is>
      </c>
      <c r="Z1082" s="2" t="n">
        <v>80</v>
      </c>
      <c r="AA1082" s="3" t="inlineStr">
        <is>
          <t>vegan, dairy-free, nut-free, high-fiber</t>
        </is>
      </c>
      <c r="AB1082" s="3" t="inlineStr">
        <is>
          <t>1. Simmer the lentils in the broth until tender, 20 minutes.
2. Sauté the onion and pepper and add the sauce, paste, mustard, vinegar and chili.
3. Combine and simmer 10 minutes.
4. Spoon over toasted muffins.</t>
        </is>
      </c>
      <c r="AC1082" s="4" t="inlineStr">
        <is>
          <t>["Simmer the lentils in the broth until tender, 20 minutes.", "Sauté the onion and pepper and add the sauce, paste, mustard, vinegar and chili.", "Combine and simmer 10 minutes.", "Spoon over toasted muffins."]</t>
        </is>
      </c>
    </row>
    <row r="1083" ht="96" customHeight="1">
      <c r="A1083" s="2" t="inlineStr">
        <is>
          <t>DB-1082</t>
        </is>
      </c>
      <c r="B1083" s="3" t="inlineStr">
        <is>
          <t>Chopped Italian-Style Salad with Chickpeas</t>
        </is>
      </c>
      <c r="C1083" s="4" t="inlineStr">
        <is>
          <t>Salad</t>
        </is>
      </c>
      <c r="D1083" s="4" t="inlineStr">
        <is>
          <t>American</t>
        </is>
      </c>
      <c r="E1083" s="2" t="n">
        <v>4</v>
      </c>
      <c r="F1083" s="2" t="n">
        <v>15</v>
      </c>
      <c r="G1083" s="2" t="n">
        <v>0</v>
      </c>
      <c r="H1083" s="2" t="n">
        <v>15</v>
      </c>
      <c r="I1083" s="4" t="inlineStr">
        <is>
          <t>chopped-italian-style-salad-with-chickpeas.jpg</t>
        </is>
      </c>
      <c r="J1083" s="3" t="inlineStr">
        <is>
          <t>Chopped Italian-Style Salad with Chickpeas, healthy food photography, plated, natural light</t>
        </is>
      </c>
      <c r="K1083" s="4" t="inlineStr"/>
      <c r="L1083" s="3" t="inlineStr">
        <is>
          <t>Romaine lettuce — 200 g (7.1 oz)
Chickpeas, cooked — 200 g (7.1 oz)
Cucumber — 120 g (4.2 oz)
Cherry tomatoes — 150 g (5.3 oz)
Red onion — 40 g (1.4 oz)
Mozzarella, part-skim — 60 g (2.1 oz)
Olives (kalamata/green) — 40 g (1.4 oz)
Red wine vinegar — 20 g (0.7 oz)
Extra-virgin olive oil — 25 g (0.9 oz)
Italian seasoning — 2 g (0.1 oz)</t>
        </is>
      </c>
      <c r="M1083" s="4" t="inlineStr">
        <is>
          <t>[{"ingredient_id": "romaine", "name": "Romaine lettuce", "grams": 200.0, "note": ""}, {"ingredient_id": "chickpeas", "name": "Chickpeas, cooked", "grams": 200.0, "note": ""}, {"ingredient_id": "cucumber", "name": "Cucumber", "grams": 120.0, "note": ""}, {"ingredient_id": "cherry_tomato", "name": "Cherry tomatoes", "grams": 150.0, "note": ""}, {"ingredient_id": "red_onion", "name": "Red onion", "grams": 40.0, "note": ""}, {"ingredient_id": "mozzarella", "name": "Mozzarella, part-skim", "grams": 60.0, "note": ""}, {"ingredient_id": "olives", "name": "Olives (kalamata/green)", "grams": 40.0, "note": ""}, {"ingredient_id": "red_wine_vinegar", "name": "Red wine vinegar", "grams": 20.0, "note": ""}, {"ingredient_id": "olive_oil", "name": "Extra-virgin olive oil", "grams": 25.0, "note": ""}, {"ingredient_id": "italian_seasoning", "name": "Italian seasoning", "grams": 2.0, "note": ""}]</t>
        </is>
      </c>
      <c r="N1083" s="2" t="n">
        <v>213</v>
      </c>
      <c r="O1083" s="5" t="n">
        <v>9.4</v>
      </c>
      <c r="P1083" s="5" t="n">
        <v>11.3</v>
      </c>
      <c r="Q1083" s="5" t="n">
        <v>20</v>
      </c>
      <c r="R1083" s="5" t="n">
        <v>6.2</v>
      </c>
      <c r="S1083" s="5" t="n">
        <v>13.9</v>
      </c>
      <c r="T1083" s="2" t="n">
        <v>31</v>
      </c>
      <c r="U1083" s="2" t="inlineStr">
        <is>
          <t>low</t>
        </is>
      </c>
      <c r="V1083" s="5" t="n">
        <v>4.3</v>
      </c>
      <c r="W1083" s="2" t="inlineStr">
        <is>
          <t>low</t>
        </is>
      </c>
      <c r="X1083" s="3" t="inlineStr"/>
      <c r="Y1083" s="3" t="inlineStr">
        <is>
          <t>70% of this dish's available carbohydrate comes from ingredients with a published, measured GI; the rest uses conventional placeholders (see Ingredients sheet)</t>
        </is>
      </c>
      <c r="Z1083" s="2" t="n">
        <v>70</v>
      </c>
      <c r="AA1083" s="3" t="inlineStr">
        <is>
          <t>vegetarian, gluten-free, nut-free, low-carb, no-cook</t>
        </is>
      </c>
      <c r="AB1083" s="3" t="inlineStr">
        <is>
          <t>1. Chop the romaine, cucumber, tomatoes and onion.
2. Add the chickpeas, mozzarella and olives.
3. Whisk the vinegar, oil and seasoning and toss through.</t>
        </is>
      </c>
      <c r="AC1083" s="4" t="inlineStr">
        <is>
          <t>["Chop the romaine, cucumber, tomatoes and onion.", "Add the chickpeas, mozzarella and olives.", "Whisk the vinegar, oil and seasoning and toss through."]</t>
        </is>
      </c>
    </row>
    <row r="1084" ht="96" customHeight="1">
      <c r="A1084" s="2" t="inlineStr">
        <is>
          <t>DB-1083</t>
        </is>
      </c>
      <c r="B1084" s="3" t="inlineStr">
        <is>
          <t>Cobb Salad</t>
        </is>
      </c>
      <c r="C1084" s="4" t="inlineStr">
        <is>
          <t>Salad</t>
        </is>
      </c>
      <c r="D1084" s="4" t="inlineStr">
        <is>
          <t>American</t>
        </is>
      </c>
      <c r="E1084" s="2" t="n">
        <v>3</v>
      </c>
      <c r="F1084" s="2" t="n">
        <v>15</v>
      </c>
      <c r="G1084" s="2" t="n">
        <v>10</v>
      </c>
      <c r="H1084" s="2" t="n">
        <v>25</v>
      </c>
      <c r="I1084" s="4" t="inlineStr">
        <is>
          <t>cobb-salad.jpg</t>
        </is>
      </c>
      <c r="J1084" s="3" t="inlineStr">
        <is>
          <t>Cobb Salad, healthy food photography, plated, natural light</t>
        </is>
      </c>
      <c r="K1084" s="4" t="inlineStr"/>
      <c r="L1084" s="3" t="inlineStr">
        <is>
          <t>Romaine lettuce — 200 g (7.1 oz)
Chicken breast, skinless — 300 g (10.6 oz)
Egg, large (50 g each) — 150 g (5.3 oz)
Bacon — 30 g (1.1 oz)
Avocado — 120 g (4.2 oz)
Tomato — 150 g (5.3 oz)
Blue cheese, crumbled — 40 g (1.4 oz)
Extra-virgin olive oil — 20 g (0.7 oz)
Red wine vinegar — 15 g (0.5 oz)
Dijon mustard — 5 g (0.2 oz)</t>
        </is>
      </c>
      <c r="M1084" s="4" t="inlineStr">
        <is>
          <t>[{"ingredient_id": "romaine", "name": "Romaine lettuce", "grams": 200.0, "note": ""}, {"ingredient_id": "chicken_breast", "name": "Chicken breast, skinless", "grams": 300.0, "note": ""}, {"ingredient_id": "egg", "name": "Egg, large (50 g each)", "grams": 150.0, "note": ""}, {"ingredient_id": "bacon", "name": "Bacon", "grams": 30.0, "note": ""}, {"ingredient_id": "avocado", "name": "Avocado", "grams": 120.0, "note": ""}, {"ingredient_id": "tomato", "name": "Tomato", "grams": 150.0, "note": ""}, {"ingredient_id": "blue_cheese", "name": "Blue cheese, crumbled", "grams": 40.0, "note": ""}, {"ingredient_id": "olive_oil", "name": "Extra-virgin olive oil", "grams": 20.0, "note": ""}, {"ingredient_id": "red_wine_vinegar", "name": "Red wine vinegar", "grams": 15.0, "note": ""}, {"ingredient_id": "dijon", "name": "Dijon mustard", "grams": 5.0, "note": ""}]</t>
        </is>
      </c>
      <c r="N1084" s="2" t="n">
        <v>438</v>
      </c>
      <c r="O1084" s="5" t="n">
        <v>37.4</v>
      </c>
      <c r="P1084" s="5" t="n">
        <v>28.4</v>
      </c>
      <c r="Q1084" s="5" t="n">
        <v>8.4</v>
      </c>
      <c r="R1084" s="5" t="n">
        <v>4.7</v>
      </c>
      <c r="S1084" s="5" t="n">
        <v>3.7</v>
      </c>
      <c r="T1084" s="2" t="n">
        <v>12</v>
      </c>
      <c r="U1084" s="2" t="inlineStr">
        <is>
          <t>low</t>
        </is>
      </c>
      <c r="V1084" s="5" t="n">
        <v>0.4</v>
      </c>
      <c r="W1084" s="2" t="inlineStr">
        <is>
          <t>low</t>
        </is>
      </c>
      <c r="X1084" s="3" t="inlineStr">
        <is>
          <t>Negligible carbohydrate (&lt;5 g net/serving): GI has little practical meaning, glycemic load is what matters.</t>
        </is>
      </c>
      <c r="Y1084" s="3" t="inlineStr">
        <is>
          <t>0% of this dish's available carbohydrate comes from ingredients with a published, measured GI; the rest uses conventional placeholders (see Ingredients sheet)</t>
        </is>
      </c>
      <c r="Z1084" s="2" t="n">
        <v>0</v>
      </c>
      <c r="AA1084" s="3" t="inlineStr">
        <is>
          <t>gluten-free, nut-free, low-carb, high-protein</t>
        </is>
      </c>
      <c r="AB1084" s="3" t="inlineStr">
        <is>
          <t>1. Grill and slice the chicken; hard-boil and slice the eggs; crisp the bacon.
2. Arrange the romaine on a platter with rows of each topping.
3. Whisk the oil, vinegar and mustard and drizzle.</t>
        </is>
      </c>
      <c r="AC1084" s="4" t="inlineStr">
        <is>
          <t>["Grill and slice the chicken; hard-boil and slice the eggs; crisp the bacon.", "Arrange the romaine on a platter with rows of each topping.", "Whisk the oil, vinegar and mustard and drizzle."]</t>
        </is>
      </c>
    </row>
    <row r="1085" ht="96" customHeight="1">
      <c r="A1085" s="2" t="inlineStr">
        <is>
          <t>DB-1084</t>
        </is>
      </c>
      <c r="B1085" s="3" t="inlineStr">
        <is>
          <t>Wedge Salad with Yogurt Blue Cheese Dressing</t>
        </is>
      </c>
      <c r="C1085" s="4" t="inlineStr">
        <is>
          <t>Salad</t>
        </is>
      </c>
      <c r="D1085" s="4" t="inlineStr">
        <is>
          <t>American</t>
        </is>
      </c>
      <c r="E1085" s="2" t="n">
        <v>4</v>
      </c>
      <c r="F1085" s="2" t="n">
        <v>10</v>
      </c>
      <c r="G1085" s="2" t="n">
        <v>0</v>
      </c>
      <c r="H1085" s="2" t="n">
        <v>10</v>
      </c>
      <c r="I1085" s="4" t="inlineStr">
        <is>
          <t>wedge-salad-with-yogurt-blue-cheese-dressing.jpg</t>
        </is>
      </c>
      <c r="J1085" s="3" t="inlineStr">
        <is>
          <t>Wedge Salad with Yogurt Blue Cheese Dressing, healthy food photography, plated, natural light</t>
        </is>
      </c>
      <c r="K1085" s="4" t="inlineStr"/>
      <c r="L1085" s="3" t="inlineStr">
        <is>
          <t>Iceberg lettuce — 400 g (14.1 oz)
Greek yogurt, plain 2% — 100 g (3.5 oz)
Blue cheese, crumbled — 40 g (1.4 oz)
Cherry tomatoes — 100 g (3.5 oz)
Turkey bacon — 40 g (1.4 oz)
Red onion — 30 g (1.1 oz)
Lemon juice — 10 g (0.4 oz)</t>
        </is>
      </c>
      <c r="M1085" s="4" t="inlineStr">
        <is>
          <t>[{"ingredient_id": "iceberg", "name": "Iceberg lettuce", "grams": 400.0, "note": ""}, {"ingredient_id": "greek_yogurt", "name": "Greek yogurt, plain 2%", "grams": 100.0, "note": ""}, {"ingredient_id": "blue_cheese", "name": "Blue cheese, crumbled", "grams": 40.0, "note": ""}, {"ingredient_id": "cherry_tomato", "name": "Cherry tomatoes", "grams": 100.0, "note": ""}, {"ingredient_id": "turkey_bacon", "name": "Turkey bacon", "grams": 40.0, "note": ""}, {"ingredient_id": "red_onion", "name": "Red onion", "grams": 30.0, "note": ""}, {"ingredient_id": "lemon_juice", "name": "Lemon juice", "grams": 10.0, "note": ""}]</t>
        </is>
      </c>
      <c r="N1085" s="2" t="n">
        <v>97</v>
      </c>
      <c r="O1085" s="5" t="n">
        <v>7.6</v>
      </c>
      <c r="P1085" s="5" t="n">
        <v>5.1</v>
      </c>
      <c r="Q1085" s="5" t="n">
        <v>6.3</v>
      </c>
      <c r="R1085" s="5" t="n">
        <v>1.6</v>
      </c>
      <c r="S1085" s="5" t="n">
        <v>4.6</v>
      </c>
      <c r="T1085" s="2" t="n">
        <v>13</v>
      </c>
      <c r="U1085" s="2" t="inlineStr">
        <is>
          <t>low</t>
        </is>
      </c>
      <c r="V1085" s="5" t="n">
        <v>0.6</v>
      </c>
      <c r="W1085" s="2" t="inlineStr">
        <is>
          <t>low</t>
        </is>
      </c>
      <c r="X1085" s="3" t="inlineStr">
        <is>
          <t>Negligible carbohydrate (&lt;5 g net/serving): GI has little practical meaning, glycemic load is what matters.</t>
        </is>
      </c>
      <c r="Y1085" s="3" t="inlineStr">
        <is>
          <t>22% of this dish's available carbohydrate comes from ingredients with a published, measured GI; the rest uses conventional placeholders (see Ingredients sheet)</t>
        </is>
      </c>
      <c r="Z1085" s="2" t="n">
        <v>22</v>
      </c>
      <c r="AA1085" s="3" t="inlineStr">
        <is>
          <t>gluten-free, nut-free, low-carb</t>
        </is>
      </c>
      <c r="AB1085" s="3" t="inlineStr">
        <is>
          <t>1. Cut the iceberg into wedges.
2. Blend the yogurt, blue cheese and lemon into a dressing.
3. Top with tomatoes, crisp bacon and onion.</t>
        </is>
      </c>
      <c r="AC1085" s="4" t="inlineStr">
        <is>
          <t>["Cut the iceberg into wedges.", "Blend the yogurt, blue cheese and lemon into a dressing.", "Top with tomatoes, crisp bacon and onion."]</t>
        </is>
      </c>
    </row>
    <row r="1086" ht="96" customHeight="1">
      <c r="A1086" s="2" t="inlineStr">
        <is>
          <t>DB-1085</t>
        </is>
      </c>
      <c r="B1086" s="3" t="inlineStr">
        <is>
          <t>Apple Walnut Chicken Salad</t>
        </is>
      </c>
      <c r="C1086" s="4" t="inlineStr">
        <is>
          <t>Salad</t>
        </is>
      </c>
      <c r="D1086" s="4" t="inlineStr">
        <is>
          <t>American</t>
        </is>
      </c>
      <c r="E1086" s="2" t="n">
        <v>3</v>
      </c>
      <c r="F1086" s="2" t="n">
        <v>15</v>
      </c>
      <c r="G1086" s="2" t="n">
        <v>0</v>
      </c>
      <c r="H1086" s="2" t="n">
        <v>15</v>
      </c>
      <c r="I1086" s="4" t="inlineStr">
        <is>
          <t>apple-walnut-chicken-salad.jpg</t>
        </is>
      </c>
      <c r="J1086" s="3" t="inlineStr">
        <is>
          <t>Apple Walnut Chicken Salad, healthy food photography, plated, natural light</t>
        </is>
      </c>
      <c r="K1086" s="4" t="inlineStr"/>
      <c r="L1086" s="3" t="inlineStr">
        <is>
          <t>Rotisserie chicken, skin removed — 300 g (10.6 oz)
Apple — 120 g (4.2 oz)
Celery — 60 g (2.1 oz)
Walnuts — 30 g (1.1 oz)
Greek yogurt, plain 2% — 90 g (3.2 oz)
Lemon juice — 10 g (0.4 oz)
Mixed salad greens — 100 g (3.5 oz)
Dijon mustard — 5 g (0.2 oz)</t>
        </is>
      </c>
      <c r="M1086" s="4" t="inlineStr">
        <is>
          <t>[{"ingredient_id": "rotisserie_chicken", "name": "Rotisserie chicken, skin removed", "grams": 300.0, "note": ""}, {"ingredient_id": "apple", "name": "Apple", "grams": 120.0, "note": ""}, {"ingredient_id": "celery", "name": "Celery", "grams": 60.0, "note": ""}, {"ingredient_id": "walnuts", "name": "Walnuts", "grams": 30.0, "note": ""}, {"ingredient_id": "greek_yogurt", "name": "Greek yogurt, plain 2%", "grams": 90.0, "note": ""}, {"ingredient_id": "lemon_juice", "name": "Lemon juice", "grams": 10.0, "note": ""}, {"ingredient_id": "mixed_greens", "name": "Mixed salad greens", "grams": 100.0, "note": ""}, {"ingredient_id": "dijon", "name": "Dijon mustard", "grams": 5.0, "note": ""}]</t>
        </is>
      </c>
      <c r="N1086" s="2" t="n">
        <v>280</v>
      </c>
      <c r="O1086" s="5" t="n">
        <v>28.5</v>
      </c>
      <c r="P1086" s="5" t="n">
        <v>14.4</v>
      </c>
      <c r="Q1086" s="5" t="n">
        <v>10.3</v>
      </c>
      <c r="R1086" s="5" t="n">
        <v>2.7</v>
      </c>
      <c r="S1086" s="5" t="n">
        <v>7.6</v>
      </c>
      <c r="T1086" s="2" t="n">
        <v>27</v>
      </c>
      <c r="U1086" s="2" t="inlineStr">
        <is>
          <t>low</t>
        </is>
      </c>
      <c r="V1086" s="5" t="n">
        <v>2.1</v>
      </c>
      <c r="W1086" s="2" t="inlineStr">
        <is>
          <t>low</t>
        </is>
      </c>
      <c r="X1086" s="3" t="inlineStr"/>
      <c r="Y1086" s="3" t="inlineStr">
        <is>
          <t>77% of this dish's available carbohydrate comes from ingredients with a published, measured GI; the rest uses conventional placeholders (see Ingredients sheet)</t>
        </is>
      </c>
      <c r="Z1086" s="2" t="n">
        <v>77</v>
      </c>
      <c r="AA1086" s="3" t="inlineStr">
        <is>
          <t>gluten-free, low-carb, high-protein, no-cook</t>
        </is>
      </c>
      <c r="AB1086" s="3" t="inlineStr">
        <is>
          <t>1. Shred the chicken and dice the apple and celery.
2. Mix with yogurt, lemon and mustard.
3. Fold in the walnuts and serve on the greens.</t>
        </is>
      </c>
      <c r="AC1086" s="4" t="inlineStr">
        <is>
          <t>["Shred the chicken and dice the apple and celery.", "Mix with yogurt, lemon and mustard.", "Fold in the walnuts and serve on the greens."]</t>
        </is>
      </c>
    </row>
    <row r="1087" ht="96" customHeight="1">
      <c r="A1087" s="2" t="inlineStr">
        <is>
          <t>DB-1086</t>
        </is>
      </c>
      <c r="B1087" s="3" t="inlineStr">
        <is>
          <t>Taco Salad with Ground Turkey</t>
        </is>
      </c>
      <c r="C1087" s="4" t="inlineStr">
        <is>
          <t>Salad</t>
        </is>
      </c>
      <c r="D1087" s="4" t="inlineStr">
        <is>
          <t>Tex-Mex</t>
        </is>
      </c>
      <c r="E1087" s="2" t="n">
        <v>4</v>
      </c>
      <c r="F1087" s="2" t="n">
        <v>15</v>
      </c>
      <c r="G1087" s="2" t="n">
        <v>12</v>
      </c>
      <c r="H1087" s="2" t="n">
        <v>27</v>
      </c>
      <c r="I1087" s="4" t="inlineStr">
        <is>
          <t>taco-salad-with-ground-turkey.jpg</t>
        </is>
      </c>
      <c r="J1087" s="3" t="inlineStr">
        <is>
          <t>Taco Salad with Ground Turkey, healthy food photography, plated, natural light</t>
        </is>
      </c>
      <c r="K1087" s="4" t="inlineStr"/>
      <c r="L1087" s="3" t="inlineStr">
        <is>
          <t>Ground turkey 93% lean — 450 g (15.9 oz)
Taco seasoning, low sodium — 12 g (0.4 oz)
Romaine lettuce — 250 g (8.8 oz)
Black beans, cooked — 150 g (5.3 oz)
Tomato — 150 g (5.3 oz)
Avocado — 100 g (3.5 oz)
Cheddar cheese — 50 g (1.8 oz)
Salsa, no sugar added — 100 g (3.5 oz)
Greek yogurt, plain 2% — 60 g (2.1 oz)
Extra-virgin olive oil — 10 g (0.4 oz)</t>
        </is>
      </c>
      <c r="M1087" s="4" t="inlineStr">
        <is>
          <t>[{"ingredient_id": "ground_turkey", "name": "Ground turkey 93% lean", "grams": 450.0, "note": ""}, {"ingredient_id": "taco_seasoning", "name": "Taco seasoning, low sodium", "grams": 12.0, "note": ""}, {"ingredient_id": "romaine", "name": "Romaine lettuce", "grams": 250.0, "note": ""}, {"ingredient_id": "black_beans", "name": "Black beans, cooked", "grams": 150.0, "note": ""}, {"ingredient_id": "tomato", "name": "Tomato", "grams": 150.0, "note": ""}, {"ingredient_id": "avocado", "name": "Avocado", "grams": 100.0, "note": ""}, {"ingredient_id": "cheddar", "name": "Cheddar cheese", "grams": 50.0, "note": ""}, {"ingredient_id": "salsa", "name": "Salsa, no sugar added", "grams": 100.0, "note": ""}, {"ingredient_id": "greek_yogurt", "name": "Greek yogurt, plain 2%", "grams": 60.0, "note": ""}, {"ingredient_id": "olive_oil", "name": "Extra-virgin olive oil", "grams": 10.0, "note": ""}]</t>
        </is>
      </c>
      <c r="N1087" s="2" t="n">
        <v>377</v>
      </c>
      <c r="O1087" s="5" t="n">
        <v>31</v>
      </c>
      <c r="P1087" s="5" t="n">
        <v>20.4</v>
      </c>
      <c r="Q1087" s="5" t="n">
        <v>18.7</v>
      </c>
      <c r="R1087" s="5" t="n">
        <v>7.8</v>
      </c>
      <c r="S1087" s="5" t="n">
        <v>10.9</v>
      </c>
      <c r="T1087" s="2" t="n">
        <v>24</v>
      </c>
      <c r="U1087" s="2" t="inlineStr">
        <is>
          <t>low</t>
        </is>
      </c>
      <c r="V1087" s="5" t="n">
        <v>2.6</v>
      </c>
      <c r="W1087" s="2" t="inlineStr">
        <is>
          <t>low</t>
        </is>
      </c>
      <c r="X1087" s="3" t="inlineStr"/>
      <c r="Y1087" s="3" t="inlineStr">
        <is>
          <t>57% of this dish's available carbohydrate comes from ingredients with a published, measured GI; the rest uses conventional placeholders (see Ingredients sheet)</t>
        </is>
      </c>
      <c r="Z1087" s="2" t="n">
        <v>57</v>
      </c>
      <c r="AA1087" s="3" t="inlineStr">
        <is>
          <t>gluten-free, nut-free, low-carb, high-protein, high-fiber</t>
        </is>
      </c>
      <c r="AB1087" s="3" t="inlineStr">
        <is>
          <t>1. Brown the turkey in oil with taco seasoning.
2. Arrange the romaine, beans and tomato in bowls.
3. Add the turkey, cheddar and avocado.
4. Top with salsa mixed with yogurt.</t>
        </is>
      </c>
      <c r="AC1087" s="4" t="inlineStr">
        <is>
          <t>["Brown the turkey in oil with taco seasoning.", "Arrange the romaine, beans and tomato in bowls.", "Add the turkey, cheddar and avocado.", "Top with salsa mixed with yogurt."]</t>
        </is>
      </c>
    </row>
    <row r="1088" ht="96" customHeight="1">
      <c r="A1088" s="2" t="inlineStr">
        <is>
          <t>DB-1087</t>
        </is>
      </c>
      <c r="B1088" s="3" t="inlineStr">
        <is>
          <t>Spinach Salad with Warm Bacon Dressing</t>
        </is>
      </c>
      <c r="C1088" s="4" t="inlineStr">
        <is>
          <t>Salad</t>
        </is>
      </c>
      <c r="D1088" s="4" t="inlineStr">
        <is>
          <t>American</t>
        </is>
      </c>
      <c r="E1088" s="2" t="n">
        <v>3</v>
      </c>
      <c r="F1088" s="2" t="n">
        <v>10</v>
      </c>
      <c r="G1088" s="2" t="n">
        <v>8</v>
      </c>
      <c r="H1088" s="2" t="n">
        <v>18</v>
      </c>
      <c r="I1088" s="4" t="inlineStr">
        <is>
          <t>spinach-salad-with-warm-bacon-dressing.jpg</t>
        </is>
      </c>
      <c r="J1088" s="3" t="inlineStr">
        <is>
          <t>Spinach Salad with Warm Bacon Dressing, healthy food photography, plated, natural light</t>
        </is>
      </c>
      <c r="K1088" s="4" t="inlineStr"/>
      <c r="L1088" s="3" t="inlineStr">
        <is>
          <t>Spinach — 200 g (7.1 oz)
Egg, large (50 g each) — 100 g (3.5 oz)
Bacon — 40 g (1.4 oz)
Red onion — 30 g (1.1 oz)
Mushrooms (cremini/white) — 100 g (3.5 oz)
Red wine vinegar — 20 g (0.7 oz)
Dijon mustard — 5 g (0.2 oz)
Extra-virgin olive oil — 10 g (0.4 oz)</t>
        </is>
      </c>
      <c r="M1088" s="4" t="inlineStr">
        <is>
          <t>[{"ingredient_id": "spinach", "name": "Spinach", "grams": 200.0, "note": ""}, {"ingredient_id": "egg", "name": "Egg, large (50 g each)", "grams": 100.0, "note": ""}, {"ingredient_id": "bacon", "name": "Bacon", "grams": 40.0, "note": ""}, {"ingredient_id": "red_onion", "name": "Red onion", "grams": 30.0, "note": ""}, {"ingredient_id": "mushrooms", "name": "Mushrooms (cremini/white)", "grams": 100.0, "note": ""}, {"ingredient_id": "red_wine_vinegar", "name": "Red wine vinegar", "grams": 20.0, "note": ""}, {"ingredient_id": "dijon", "name": "Dijon mustard", "grams": 5.0, "note": ""}, {"ingredient_id": "olive_oil", "name": "Extra-virgin olive oil", "grams": 10.0, "note": ""}]</t>
        </is>
      </c>
      <c r="N1088" s="2" t="n">
        <v>178</v>
      </c>
      <c r="O1088" s="5" t="n">
        <v>12.3</v>
      </c>
      <c r="P1088" s="5" t="n">
        <v>12.5</v>
      </c>
      <c r="Q1088" s="5" t="n">
        <v>5</v>
      </c>
      <c r="R1088" s="5" t="n">
        <v>2</v>
      </c>
      <c r="S1088" s="5" t="n">
        <v>2.9</v>
      </c>
      <c r="T1088" s="2" t="n">
        <v>13</v>
      </c>
      <c r="U1088" s="2" t="inlineStr">
        <is>
          <t>low</t>
        </is>
      </c>
      <c r="V1088" s="5" t="n">
        <v>0.4</v>
      </c>
      <c r="W1088" s="2" t="inlineStr">
        <is>
          <t>low</t>
        </is>
      </c>
      <c r="X1088" s="3" t="inlineStr">
        <is>
          <t>Negligible carbohydrate (&lt;5 g net/serving): GI has little practical meaning, glycemic load is what matters.</t>
        </is>
      </c>
      <c r="Y1088" s="3" t="inlineStr">
        <is>
          <t>0% of this dish's available carbohydrate comes from ingredients with a published, measured GI; the rest uses conventional placeholders (see Ingredients sheet)</t>
        </is>
      </c>
      <c r="Z1088" s="2" t="n">
        <v>0</v>
      </c>
      <c r="AA1088" s="3" t="inlineStr">
        <is>
          <t>gluten-free, dairy-free, nut-free, low-carb</t>
        </is>
      </c>
      <c r="AB1088" s="3" t="inlineStr">
        <is>
          <t>1. Crisp the bacon and keep a spoonful of fat.
2. Whisk in vinegar, mustard and oil for a warm dressing.
3. Toss with the spinach, mushrooms and onion.
4. Top with sliced boiled egg and bacon.</t>
        </is>
      </c>
      <c r="AC1088" s="4" t="inlineStr">
        <is>
          <t>["Crisp the bacon and keep a spoonful of fat.", "Whisk in vinegar, mustard and oil for a warm dressing.", "Toss with the spinach, mushrooms and onion.", "Top with sliced boiled egg and bacon."]</t>
        </is>
      </c>
    </row>
    <row r="1089" ht="96" customHeight="1">
      <c r="A1089" s="2" t="inlineStr">
        <is>
          <t>DB-1088</t>
        </is>
      </c>
      <c r="B1089" s="3" t="inlineStr">
        <is>
          <t>West Coast Shrimp Louie Salad</t>
        </is>
      </c>
      <c r="C1089" s="4" t="inlineStr">
        <is>
          <t>Salad</t>
        </is>
      </c>
      <c r="D1089" s="4" t="inlineStr">
        <is>
          <t>American</t>
        </is>
      </c>
      <c r="E1089" s="2" t="n">
        <v>3</v>
      </c>
      <c r="F1089" s="2" t="n">
        <v>15</v>
      </c>
      <c r="G1089" s="2" t="n">
        <v>4</v>
      </c>
      <c r="H1089" s="2" t="n">
        <v>19</v>
      </c>
      <c r="I1089" s="4" t="inlineStr">
        <is>
          <t>west-coast-shrimp-louie-salad.jpg</t>
        </is>
      </c>
      <c r="J1089" s="3" t="inlineStr">
        <is>
          <t>West Coast Shrimp Louie Salad, healthy food photography, plated, natural light</t>
        </is>
      </c>
      <c r="K1089" s="4" t="inlineStr"/>
      <c r="L1089" s="3" t="inlineStr">
        <is>
          <t>Shrimp, peeled — 300 g (10.6 oz)
Romaine lettuce — 200 g (7.1 oz)
Avocado — 100 g (3.5 oz)
Cherry tomatoes — 120 g (4.2 oz)
Egg, large (50 g each) — 100 g (3.5 oz)
Greek yogurt, plain 2% — 60 g (2.1 oz)
Tomato paste — 10 g (0.4 oz)
Lemon juice — 10 g (0.4 oz)</t>
        </is>
      </c>
      <c r="M1089" s="4" t="inlineStr">
        <is>
          <t>[{"ingredient_id": "shrimp", "name": "Shrimp, peeled", "grams": 300.0, "note": ""}, {"ingredient_id": "romaine", "name": "Romaine lettuce", "grams": 200.0, "note": ""}, {"ingredient_id": "avocado", "name": "Avocado", "grams": 100.0, "note": ""}, {"ingredient_id": "cherry_tomato", "name": "Cherry tomatoes", "grams": 120.0, "note": ""}, {"ingredient_id": "egg", "name": "Egg, large (50 g each)", "grams": 100.0, "note": ""}, {"ingredient_id": "greek_yogurt", "name": "Greek yogurt, plain 2%", "grams": 60.0, "note": ""}, {"ingredient_id": "tomato_paste", "name": "Tomato paste", "grams": 10.0, "note": ""}, {"ingredient_id": "lemon_juice", "name": "Lemon juice", "grams": 10.0, "note": ""}]</t>
        </is>
      </c>
      <c r="N1089" s="2" t="n">
        <v>223</v>
      </c>
      <c r="O1089" s="5" t="n">
        <v>28.2</v>
      </c>
      <c r="P1089" s="5" t="n">
        <v>9.4</v>
      </c>
      <c r="Q1089" s="5" t="n">
        <v>8.5</v>
      </c>
      <c r="R1089" s="5" t="n">
        <v>4.3</v>
      </c>
      <c r="S1089" s="5" t="n">
        <v>4.2</v>
      </c>
      <c r="T1089" s="2" t="n">
        <v>16</v>
      </c>
      <c r="U1089" s="2" t="inlineStr">
        <is>
          <t>low</t>
        </is>
      </c>
      <c r="V1089" s="5" t="n">
        <v>0.7</v>
      </c>
      <c r="W1089" s="2" t="inlineStr">
        <is>
          <t>low</t>
        </is>
      </c>
      <c r="X1089" s="3" t="inlineStr">
        <is>
          <t>Negligible carbohydrate (&lt;5 g net/serving): GI has little practical meaning, glycemic load is what matters.</t>
        </is>
      </c>
      <c r="Y1089" s="3" t="inlineStr">
        <is>
          <t>19% of this dish's available carbohydrate comes from ingredients with a published, measured GI; the rest uses conventional placeholders (see Ingredients sheet)</t>
        </is>
      </c>
      <c r="Z1089" s="2" t="n">
        <v>19</v>
      </c>
      <c r="AA1089" s="3" t="inlineStr">
        <is>
          <t>pescatarian, gluten-free, nut-free, low-carb, high-protein</t>
        </is>
      </c>
      <c r="AB1089" s="3" t="inlineStr">
        <is>
          <t>1. Poach the shrimp 3 minutes and cool.
2. Arrange the romaine, avocado, tomatoes and sliced eggs.
3. Stir the yogurt, tomato paste and lemon for a pink dressing.
4. Top with shrimp.</t>
        </is>
      </c>
      <c r="AC1089" s="4" t="inlineStr">
        <is>
          <t>["Poach the shrimp 3 minutes and cool.", "Arrange the romaine, avocado, tomatoes and sliced eggs.", "Stir the yogurt, tomato paste and lemon for a pink dressing.", "Top with shrimp."]</t>
        </is>
      </c>
    </row>
    <row r="1090" ht="96" customHeight="1">
      <c r="A1090" s="2" t="inlineStr">
        <is>
          <t>DB-1089</t>
        </is>
      </c>
      <c r="B1090" s="3" t="inlineStr">
        <is>
          <t>Southwest Chicken Chopped Salad</t>
        </is>
      </c>
      <c r="C1090" s="4" t="inlineStr">
        <is>
          <t>Salad</t>
        </is>
      </c>
      <c r="D1090" s="4" t="inlineStr">
        <is>
          <t>Tex-Mex</t>
        </is>
      </c>
      <c r="E1090" s="2" t="n">
        <v>4</v>
      </c>
      <c r="F1090" s="2" t="n">
        <v>15</v>
      </c>
      <c r="G1090" s="2" t="n">
        <v>10</v>
      </c>
      <c r="H1090" s="2" t="n">
        <v>25</v>
      </c>
      <c r="I1090" s="4" t="inlineStr">
        <is>
          <t>southwest-chicken-chopped-salad.jpg</t>
        </is>
      </c>
      <c r="J1090" s="3" t="inlineStr">
        <is>
          <t>Southwest Chicken Chopped Salad, healthy food photography, plated, natural light</t>
        </is>
      </c>
      <c r="K1090" s="4" t="inlineStr"/>
      <c r="L1090" s="3" t="inlineStr">
        <is>
          <t>Chicken breast, skinless — 450 g (15.9 oz)
Romaine lettuce — 200 g (7.1 oz)
Sweet corn kernels — 80 g (2.8 oz)
Black beans, cooked — 120 g (4.2 oz)
Cherry tomatoes — 120 g (4.2 oz)
Avocado — 100 g (3.5 oz)
Lime juice — 25 g (0.9 oz)
Chili powder — 3 g (0.1 oz)
Ground cumin — 2 g (0.1 oz)
Extra-virgin olive oil — 25 g (0.9 oz)
Fresh cilantro — 6 g (0.2 oz)</t>
        </is>
      </c>
      <c r="M1090" s="4" t="inlineStr">
        <is>
          <t>[{"ingredient_id": "chicken_breast", "name": "Chicken breast, skinless", "grams": 450.0, "note": ""}, {"ingredient_id": "romaine", "name": "Romaine lettuce", "grams": 200.0, "note": ""}, {"ingredient_id": "corn", "name": "Sweet corn kernels", "grams": 80.0, "note": ""}, {"ingredient_id": "black_beans", "name": "Black beans, cooked", "grams": 120.0, "note": ""}, {"ingredient_id": "cherry_tomato", "name": "Cherry tomatoes", "grams": 120.0, "note": ""}, {"ingredient_id": "avocado", "name": "Avocado", "grams": 100.0, "note": ""}, {"ingredient_id": "lime_juice", "name": "Lime juice", "grams": 25.0, "note": ""}, {"ingredient_id": "chili_powder", "name": "Chili powder", "grams": 3.0, "note": ""}, {"ingredient_id": "cumin", "name": "Ground cumin", "grams": 2.0, "note": ""}, {"ingredient_id": "olive_oil", "name": "Extra-virgin olive oil", "grams": 25.0, "note": ""}, {"ingredient_id": "cilantro", "name": "Fresh cilantro", "grams": 6.0, "note": ""}]</t>
        </is>
      </c>
      <c r="N1090" s="2" t="n">
        <v>307</v>
      </c>
      <c r="O1090" s="5" t="n">
        <v>30.3</v>
      </c>
      <c r="P1090" s="5" t="n">
        <v>13.8</v>
      </c>
      <c r="Q1090" s="5" t="n">
        <v>17</v>
      </c>
      <c r="R1090" s="5" t="n">
        <v>6.6</v>
      </c>
      <c r="S1090" s="5" t="n">
        <v>10.4</v>
      </c>
      <c r="T1090" s="2" t="n">
        <v>33</v>
      </c>
      <c r="U1090" s="2" t="inlineStr">
        <is>
          <t>low</t>
        </is>
      </c>
      <c r="V1090" s="5" t="n">
        <v>3.4</v>
      </c>
      <c r="W1090" s="2" t="inlineStr">
        <is>
          <t>low</t>
        </is>
      </c>
      <c r="X1090" s="3" t="inlineStr"/>
      <c r="Y1090" s="3" t="inlineStr">
        <is>
          <t>75% of this dish's available carbohydrate comes from ingredients with a published, measured GI; the rest uses conventional placeholders (see Ingredients sheet)</t>
        </is>
      </c>
      <c r="Z1090" s="2" t="n">
        <v>75</v>
      </c>
      <c r="AA1090" s="3" t="inlineStr">
        <is>
          <t>gluten-free, dairy-free, nut-free, low-carb, high-protein</t>
        </is>
      </c>
      <c r="AB1090" s="3" t="inlineStr">
        <is>
          <t>1. Season the chicken with chili powder and cumin and grill; slice.
2. Chop the romaine and combine with corn, beans, tomatoes and avocado.
3. Whisk the lime juice and oil and toss with the chicken and cilantro.</t>
        </is>
      </c>
      <c r="AC1090" s="4" t="inlineStr">
        <is>
          <t>["Season the chicken with chili powder and cumin and grill; slice.", "Chop the romaine and combine with corn, beans, tomatoes and avocado.", "Whisk the lime juice and oil and toss with the chicken and cilantro."]</t>
        </is>
      </c>
    </row>
    <row r="1091" ht="96" customHeight="1">
      <c r="A1091" s="2" t="inlineStr">
        <is>
          <t>DB-1090</t>
        </is>
      </c>
      <c r="B1091" s="3" t="inlineStr">
        <is>
          <t>Buffalo Cauliflower Bites with Yogurt Dill Dip</t>
        </is>
      </c>
      <c r="C1091" s="4" t="inlineStr">
        <is>
          <t>Snack &amp; Appetizer</t>
        </is>
      </c>
      <c r="D1091" s="4" t="inlineStr">
        <is>
          <t>American</t>
        </is>
      </c>
      <c r="E1091" s="2" t="n">
        <v>4</v>
      </c>
      <c r="F1091" s="2" t="n">
        <v>10</v>
      </c>
      <c r="G1091" s="2" t="n">
        <v>25</v>
      </c>
      <c r="H1091" s="2" t="n">
        <v>35</v>
      </c>
      <c r="I1091" s="4" t="inlineStr">
        <is>
          <t>buffalo-cauliflower-bites-with-yogurt-dill-dip.jpg</t>
        </is>
      </c>
      <c r="J1091" s="3" t="inlineStr">
        <is>
          <t>Buffalo Cauliflower Bites with Yogurt Dill Dip, healthy food photography, plated, natural light</t>
        </is>
      </c>
      <c r="K1091" s="4" t="inlineStr"/>
      <c r="L1091" s="3" t="inlineStr">
        <is>
          <t>Cauliflower — 500 g (17.6 oz)
Almond flour — 40 g (1.4 oz)
Hot sauce (Tabasco/Frank's) — 40 g (1.4 oz)
Extra-virgin olive oil — 20 g (0.7 oz)
Garlic powder — 3 g (0.1 oz)
Greek yogurt, plain 2% — 80 g (2.8 oz)
Fresh dill — 3 g (0.1 oz)
Celery — 60 g (2.1 oz)</t>
        </is>
      </c>
      <c r="M1091" s="4" t="inlineStr">
        <is>
          <t>[{"ingredient_id": "cauliflower", "name": "Cauliflower", "grams": 500.0, "note": ""}, {"ingredient_id": "almond_flour", "name": "Almond flour", "grams": 40.0, "note": ""}, {"ingredient_id": "hot_sauce", "name": "Hot sauce (Tabasco/Frank's)", "grams": 40.0, "note": ""}, {"ingredient_id": "olive_oil", "name": "Extra-virgin olive oil", "grams": 20.0, "note": ""}, {"ingredient_id": "garlic_powder", "name": "Garlic powder", "grams": 3.0, "note": ""}, {"ingredient_id": "greek_yogurt", "name": "Greek yogurt, plain 2%", "grams": 80.0, "note": ""}, {"ingredient_id": "dill", "name": "Fresh dill", "grams": 3.0, "note": ""}, {"ingredient_id": "celery", "name": "Celery", "grams": 60.0, "note": ""}]</t>
        </is>
      </c>
      <c r="N1091" s="2" t="n">
        <v>155</v>
      </c>
      <c r="O1091" s="5" t="n">
        <v>6.8</v>
      </c>
      <c r="P1091" s="5" t="n">
        <v>10.9</v>
      </c>
      <c r="Q1091" s="5" t="n">
        <v>10.4</v>
      </c>
      <c r="R1091" s="5" t="n">
        <v>4.1</v>
      </c>
      <c r="S1091" s="5" t="n">
        <v>6.3</v>
      </c>
      <c r="T1091" s="2" t="n">
        <v>14</v>
      </c>
      <c r="U1091" s="2" t="inlineStr">
        <is>
          <t>low</t>
        </is>
      </c>
      <c r="V1091" s="5" t="n">
        <v>0.9</v>
      </c>
      <c r="W1091" s="2" t="inlineStr">
        <is>
          <t>low</t>
        </is>
      </c>
      <c r="X1091" s="3" t="inlineStr"/>
      <c r="Y1091" s="3" t="inlineStr">
        <is>
          <t>13% of this dish's available carbohydrate comes from ingredients with a published, measured GI; the rest uses conventional placeholders (see Ingredients sheet)</t>
        </is>
      </c>
      <c r="Z1091" s="2" t="n">
        <v>13</v>
      </c>
      <c r="AA1091" s="3" t="inlineStr">
        <is>
          <t>vegetarian, gluten-free, low-carb</t>
        </is>
      </c>
      <c r="AB1091" s="3" t="inlineStr">
        <is>
          <t>1. Toss the florets with almond flour, oil and garlic powder and roast at 450°F for 20 minutes.
2. Toss with hot sauce.
3. Stir the yogurt with dill and serve with celery sticks.</t>
        </is>
      </c>
      <c r="AC1091" s="4" t="inlineStr">
        <is>
          <t>["Toss the florets with almond flour, oil and garlic powder and roast at 450°F for 20 minutes.", "Toss with hot sauce.", "Stir the yogurt with dill and serve with celery sticks."]</t>
        </is>
      </c>
    </row>
    <row r="1092" ht="96" customHeight="1">
      <c r="A1092" s="2" t="inlineStr">
        <is>
          <t>DB-1091</t>
        </is>
      </c>
      <c r="B1092" s="3" t="inlineStr">
        <is>
          <t>Deviled Eggs with Paprika</t>
        </is>
      </c>
      <c r="C1092" s="4" t="inlineStr">
        <is>
          <t>Snack &amp; Appetizer</t>
        </is>
      </c>
      <c r="D1092" s="4" t="inlineStr">
        <is>
          <t>American</t>
        </is>
      </c>
      <c r="E1092" s="2" t="n">
        <v>6</v>
      </c>
      <c r="F1092" s="2" t="n">
        <v>15</v>
      </c>
      <c r="G1092" s="2" t="n">
        <v>12</v>
      </c>
      <c r="H1092" s="2" t="n">
        <v>27</v>
      </c>
      <c r="I1092" s="4" t="inlineStr">
        <is>
          <t>deviled-eggs-with-paprika.jpg</t>
        </is>
      </c>
      <c r="J1092" s="3" t="inlineStr">
        <is>
          <t>Deviled Eggs with Paprika, healthy food photography, plated, natural light</t>
        </is>
      </c>
      <c r="K1092" s="4" t="inlineStr"/>
      <c r="L1092" s="3" t="inlineStr">
        <is>
          <t>Egg, large (50 g each) — 360 g (12.7 oz)
Greek yogurt, plain 2% — 50 g (1.8 oz)
Dijon mustard — 10 g (0.4 oz)
Paprika — 1 g (0.0 oz)
Fresh chives — 4 g (0.1 oz)
Salt — 1 g (0.0 oz)</t>
        </is>
      </c>
      <c r="M1092" s="4" t="inlineStr">
        <is>
          <t>[{"ingredient_id": "egg", "name": "Egg, large (50 g each)", "grams": 360.0, "note": ""}, {"ingredient_id": "greek_yogurt", "name": "Greek yogurt, plain 2%", "grams": 50.0, "note": ""}, {"ingredient_id": "dijon", "name": "Dijon mustard", "grams": 10.0, "note": ""}, {"ingredient_id": "paprika", "name": "Paprika", "grams": 1.0, "note": ""}, {"ingredient_id": "chives", "name": "Fresh chives", "grams": 4.0, "note": ""}, {"ingredient_id": "salt", "name": "Salt", "grams": 1.0, "note": ""}]</t>
        </is>
      </c>
      <c r="N1092" s="2" t="n">
        <v>94</v>
      </c>
      <c r="O1092" s="5" t="n">
        <v>8.5</v>
      </c>
      <c r="P1092" s="5" t="n">
        <v>5.9</v>
      </c>
      <c r="Q1092" s="5" t="n">
        <v>1</v>
      </c>
      <c r="R1092" s="5" t="n">
        <v>0.1</v>
      </c>
      <c r="S1092" s="5" t="n">
        <v>0.8</v>
      </c>
      <c r="T1092" s="2" t="n">
        <v>6</v>
      </c>
      <c r="U1092" s="2" t="inlineStr">
        <is>
          <t>low</t>
        </is>
      </c>
      <c r="V1092" s="5" t="n">
        <v>0</v>
      </c>
      <c r="W1092" s="2" t="inlineStr">
        <is>
          <t>low</t>
        </is>
      </c>
      <c r="X1092" s="3" t="inlineStr">
        <is>
          <t>Negligible carbohydrate (&lt;5 g net/serving): GI has little practical meaning, glycemic load is what matters.</t>
        </is>
      </c>
      <c r="Y1092" s="3" t="inlineStr">
        <is>
          <t>40% of this dish's available carbohydrate comes from ingredients with a published, measured GI; the rest uses conventional placeholders (see Ingredients sheet)</t>
        </is>
      </c>
      <c r="Z1092" s="2" t="n">
        <v>40</v>
      </c>
      <c r="AA1092" s="3" t="inlineStr">
        <is>
          <t>vegetarian, gluten-free, nut-free, low-carb</t>
        </is>
      </c>
      <c r="AB1092" s="3" t="inlineStr">
        <is>
          <t>1. Hard-boil the eggs, cool and halve.
2. Mash the yolks with yogurt, mustard and salt.
3. Pipe or spoon back into the whites.
4. Dust with paprika and chives.</t>
        </is>
      </c>
      <c r="AC1092" s="4" t="inlineStr">
        <is>
          <t>["Hard-boil the eggs, cool and halve.", "Mash the yolks with yogurt, mustard and salt.", "Pipe or spoon back into the whites.", "Dust with paprika and chives."]</t>
        </is>
      </c>
    </row>
    <row r="1093" ht="96" customHeight="1">
      <c r="A1093" s="2" t="inlineStr">
        <is>
          <t>DB-1092</t>
        </is>
      </c>
      <c r="B1093" s="3" t="inlineStr">
        <is>
          <t>Guacamole with Veggie Dippers</t>
        </is>
      </c>
      <c r="C1093" s="4" t="inlineStr">
        <is>
          <t>Snack &amp; Appetizer</t>
        </is>
      </c>
      <c r="D1093" s="4" t="inlineStr">
        <is>
          <t>Tex-Mex</t>
        </is>
      </c>
      <c r="E1093" s="2" t="n">
        <v>4</v>
      </c>
      <c r="F1093" s="2" t="n">
        <v>10</v>
      </c>
      <c r="G1093" s="2" t="n">
        <v>0</v>
      </c>
      <c r="H1093" s="2" t="n">
        <v>10</v>
      </c>
      <c r="I1093" s="4" t="inlineStr">
        <is>
          <t>guacamole-with-veggie-dippers.jpg</t>
        </is>
      </c>
      <c r="J1093" s="3" t="inlineStr">
        <is>
          <t>Guacamole with Veggie Dippers, healthy food photography, plated, natural light</t>
        </is>
      </c>
      <c r="K1093" s="4" t="inlineStr"/>
      <c r="L1093" s="3" t="inlineStr">
        <is>
          <t>Avocado — 300 g (10.6 oz)
Lime juice — 20 g (0.7 oz)
Red onion — 30 g (1.1 oz)
Tomato — 60 g (2.1 oz)
Fresh cilantro — 8 g (0.3 oz)
Jalapeño — 8 g (0.3 oz)
Cucumber — 150 g (5.3 oz)
Bell pepper — 150 g (5.3 oz)
Salt — 2 g (0.1 oz)</t>
        </is>
      </c>
      <c r="M1093" s="4" t="inlineStr">
        <is>
          <t>[{"ingredient_id": "avocado", "name": "Avocado", "grams": 300.0, "note": ""}, {"ingredient_id": "lime_juice", "name": "Lime juice", "grams": 20.0, "note": ""}, {"ingredient_id": "red_onion", "name": "Red onion", "grams": 30.0, "note": ""}, {"ingredient_id": "tomato", "name": "Tomato", "grams": 60.0, "note": ""}, {"ingredient_id": "cilantro", "name": "Fresh cilantro", "grams": 8.0, "note": ""}, {"ingredient_id": "jalapeno", "name": "Jalapeño", "grams": 8.0, "note": ""}, {"ingredient_id": "cucumber", "name": "Cucumber", "grams": 150.0, "note": ""}, {"ingredient_id": "bell_pepper", "name": "Bell pepper", "grams": 150.0, "note": ""}, {"ingredient_id": "salt", "name": "Salt", "grams": 2.0, "note": ""}]</t>
        </is>
      </c>
      <c r="N1093" s="2" t="n">
        <v>145</v>
      </c>
      <c r="O1093" s="5" t="n">
        <v>2.4</v>
      </c>
      <c r="P1093" s="5" t="n">
        <v>11.5</v>
      </c>
      <c r="Q1093" s="5" t="n">
        <v>11.9</v>
      </c>
      <c r="R1093" s="5" t="n">
        <v>6.4</v>
      </c>
      <c r="S1093" s="5" t="n">
        <v>5.4</v>
      </c>
      <c r="T1093" s="2" t="n">
        <v>15</v>
      </c>
      <c r="U1093" s="2" t="inlineStr">
        <is>
          <t>low</t>
        </is>
      </c>
      <c r="V1093" s="5" t="n">
        <v>0.8</v>
      </c>
      <c r="W1093" s="2" t="inlineStr">
        <is>
          <t>low</t>
        </is>
      </c>
      <c r="X1093" s="3" t="inlineStr"/>
      <c r="Y1093" s="3" t="inlineStr">
        <is>
          <t>0% of this dish's available carbohydrate comes from ingredients with a published, measured GI; the rest uses conventional placeholders (see Ingredients sheet)</t>
        </is>
      </c>
      <c r="Z1093" s="2" t="n">
        <v>0</v>
      </c>
      <c r="AA1093" s="3" t="inlineStr">
        <is>
          <t>vegan, gluten-free, dairy-free, nut-free, low-carb, no-cook</t>
        </is>
      </c>
      <c r="AB1093" s="3" t="inlineStr">
        <is>
          <t>1. Mash the avocado with lime juice and salt.
2. Fold in the onion, tomato, cilantro and jalapeno.
3. Serve with cucumber and pepper strips.</t>
        </is>
      </c>
      <c r="AC1093" s="4" t="inlineStr">
        <is>
          <t>["Mash the avocado with lime juice and salt.", "Fold in the onion, tomato, cilantro and jalapeno.", "Serve with cucumber and pepper strips."]</t>
        </is>
      </c>
    </row>
    <row r="1094" ht="96" customHeight="1">
      <c r="A1094" s="2" t="inlineStr">
        <is>
          <t>DB-1093</t>
        </is>
      </c>
      <c r="B1094" s="3" t="inlineStr">
        <is>
          <t>Baked Zucchini Chips</t>
        </is>
      </c>
      <c r="C1094" s="4" t="inlineStr">
        <is>
          <t>Snack &amp; Appetizer</t>
        </is>
      </c>
      <c r="D1094" s="4" t="inlineStr">
        <is>
          <t>American</t>
        </is>
      </c>
      <c r="E1094" s="2" t="n">
        <v>4</v>
      </c>
      <c r="F1094" s="2" t="n">
        <v>10</v>
      </c>
      <c r="G1094" s="2" t="n">
        <v>30</v>
      </c>
      <c r="H1094" s="2" t="n">
        <v>40</v>
      </c>
      <c r="I1094" s="4" t="inlineStr">
        <is>
          <t>baked-zucchini-chips.jpg</t>
        </is>
      </c>
      <c r="J1094" s="3" t="inlineStr">
        <is>
          <t>Baked Zucchini Chips, healthy food photography, plated, natural light</t>
        </is>
      </c>
      <c r="K1094" s="4" t="inlineStr"/>
      <c r="L1094" s="3" t="inlineStr">
        <is>
          <t>Zucchini — 450 g (15.9 oz)
Parmesan, grated — 40 g (1.4 oz)
Almond flour — 30 g (1.1 oz)
Egg, large (50 g each) — 50 g (1.8 oz)
Garlic powder — 2 g (0.1 oz)
Extra-virgin olive oil — 10 g (0.4 oz)</t>
        </is>
      </c>
      <c r="M1094" s="4" t="inlineStr">
        <is>
          <t>[{"ingredient_id": "zucchini", "name": "Zucchini", "grams": 450.0, "note": ""}, {"ingredient_id": "parmesan", "name": "Parmesan, grated", "grams": 40.0, "note": ""}, {"ingredient_id": "almond_flour", "name": "Almond flour", "grams": 30.0, "note": ""}, {"ingredient_id": "egg", "name": "Egg, large (50 g each)", "grams": 50.0, "note": ""}, {"ingredient_id": "garlic_powder", "name": "Garlic powder", "grams": 2.0, "note": ""}, {"ingredient_id": "olive_oil", "name": "Extra-virgin olive oil", "grams": 10.0, "note": ""}]</t>
        </is>
      </c>
      <c r="N1094" s="2" t="n">
        <v>148</v>
      </c>
      <c r="O1094" s="5" t="n">
        <v>8.4</v>
      </c>
      <c r="P1094" s="5" t="n">
        <v>10.7</v>
      </c>
      <c r="Q1094" s="5" t="n">
        <v>5.9</v>
      </c>
      <c r="R1094" s="5" t="n">
        <v>2.1</v>
      </c>
      <c r="S1094" s="5" t="n">
        <v>3.8</v>
      </c>
      <c r="T1094" s="2" t="n">
        <v>13</v>
      </c>
      <c r="U1094" s="2" t="inlineStr">
        <is>
          <t>low</t>
        </is>
      </c>
      <c r="V1094" s="5" t="n">
        <v>0.5</v>
      </c>
      <c r="W1094" s="2" t="inlineStr">
        <is>
          <t>low</t>
        </is>
      </c>
      <c r="X1094" s="3" t="inlineStr">
        <is>
          <t>Negligible carbohydrate (&lt;5 g net/serving): GI has little practical meaning, glycemic load is what matters.</t>
        </is>
      </c>
      <c r="Y1094" s="3" t="inlineStr">
        <is>
          <t>0% of this dish's available carbohydrate comes from ingredients with a published, measured GI; the rest uses conventional placeholders (see Ingredients sheet)</t>
        </is>
      </c>
      <c r="Z1094" s="2" t="n">
        <v>0</v>
      </c>
      <c r="AA1094" s="3" t="inlineStr">
        <is>
          <t>vegetarian, gluten-free, low-carb</t>
        </is>
      </c>
      <c r="AB1094" s="3" t="inlineStr">
        <is>
          <t>1. Slice the zucchini thin.
2. Dip in egg, then a mix of parmesan, almond flour and garlic powder.
3. Bake on an oiled tray at 425°F for 25 to 30 minutes.</t>
        </is>
      </c>
      <c r="AC1094" s="4" t="inlineStr">
        <is>
          <t>["Slice the zucchini thin.", "Dip in egg, then a mix of parmesan, almond flour and garlic powder.", "Bake on an oiled tray at 425°F for 25 to 30 minutes."]</t>
        </is>
      </c>
    </row>
    <row r="1095" ht="96" customHeight="1">
      <c r="A1095" s="2" t="inlineStr">
        <is>
          <t>DB-1094</t>
        </is>
      </c>
      <c r="B1095" s="3" t="inlineStr">
        <is>
          <t>Chicken Salad Cucumber Cups</t>
        </is>
      </c>
      <c r="C1095" s="4" t="inlineStr">
        <is>
          <t>Snack &amp; Appetizer</t>
        </is>
      </c>
      <c r="D1095" s="4" t="inlineStr">
        <is>
          <t>American</t>
        </is>
      </c>
      <c r="E1095" s="2" t="n">
        <v>4</v>
      </c>
      <c r="F1095" s="2" t="n">
        <v>15</v>
      </c>
      <c r="G1095" s="2" t="n">
        <v>0</v>
      </c>
      <c r="H1095" s="2" t="n">
        <v>15</v>
      </c>
      <c r="I1095" s="4" t="inlineStr">
        <is>
          <t>chicken-salad-cucumber-cups.jpg</t>
        </is>
      </c>
      <c r="J1095" s="3" t="inlineStr">
        <is>
          <t>Chicken Salad Cucumber Cups, healthy food photography, plated, natural light</t>
        </is>
      </c>
      <c r="K1095" s="4" t="inlineStr"/>
      <c r="L1095" s="3" t="inlineStr">
        <is>
          <t>Rotisserie chicken, skin removed — 200 g (7.1 oz)
Cucumber — 300 g (10.6 oz)
Greek yogurt, plain 2% — 60 g (2.1 oz)
Celery — 30 g (1.1 oz)
Dijon mustard — 5 g (0.2 oz)
Fresh dill — 3 g (0.1 oz)</t>
        </is>
      </c>
      <c r="M1095" s="4" t="inlineStr">
        <is>
          <t>[{"ingredient_id": "rotisserie_chicken", "name": "Rotisserie chicken, skin removed", "grams": 200.0, "note": ""}, {"ingredient_id": "cucumber", "name": "Cucumber", "grams": 300.0, "note": ""}, {"ingredient_id": "greek_yogurt", "name": "Greek yogurt, plain 2%", "grams": 60.0, "note": ""}, {"ingredient_id": "celery", "name": "Celery", "grams": 30.0, "note": ""}, {"ingredient_id": "dijon", "name": "Dijon mustard", "grams": 5.0, "note": ""}, {"ingredient_id": "dill", "name": "Fresh dill", "grams": 3.0, "note": ""}]</t>
        </is>
      </c>
      <c r="N1095" s="2" t="n">
        <v>105</v>
      </c>
      <c r="O1095" s="5" t="n">
        <v>13.7</v>
      </c>
      <c r="P1095" s="5" t="n">
        <v>3.9</v>
      </c>
      <c r="Q1095" s="5" t="n">
        <v>3.6</v>
      </c>
      <c r="R1095" s="5" t="n">
        <v>0.5</v>
      </c>
      <c r="S1095" s="5" t="n">
        <v>3.1</v>
      </c>
      <c r="T1095" s="2" t="n">
        <v>14</v>
      </c>
      <c r="U1095" s="2" t="inlineStr">
        <is>
          <t>low</t>
        </is>
      </c>
      <c r="V1095" s="5" t="n">
        <v>0.4</v>
      </c>
      <c r="W1095" s="2" t="inlineStr">
        <is>
          <t>low</t>
        </is>
      </c>
      <c r="X1095" s="3" t="inlineStr">
        <is>
          <t>Negligible carbohydrate (&lt;5 g net/serving): GI has little practical meaning, glycemic load is what matters.</t>
        </is>
      </c>
      <c r="Y1095" s="3" t="inlineStr">
        <is>
          <t>19% of this dish's available carbohydrate comes from ingredients with a published, measured GI; the rest uses conventional placeholders (see Ingredients sheet)</t>
        </is>
      </c>
      <c r="Z1095" s="2" t="n">
        <v>19</v>
      </c>
      <c r="AA1095" s="3" t="inlineStr">
        <is>
          <t>gluten-free, nut-free, low-carb, no-cook</t>
        </is>
      </c>
      <c r="AB1095" s="3" t="inlineStr">
        <is>
          <t>1. Cut the cucumbers into thick rounds and scoop a shallow well.
2. Mix the chicken, yogurt, celery, mustard and dill.
3. Fill the cups.</t>
        </is>
      </c>
      <c r="AC1095" s="4" t="inlineStr">
        <is>
          <t>["Cut the cucumbers into thick rounds and scoop a shallow well.", "Mix the chicken, yogurt, celery, mustard and dill.", "Fill the cups."]</t>
        </is>
      </c>
    </row>
    <row r="1096" ht="96" customHeight="1">
      <c r="A1096" s="2" t="inlineStr">
        <is>
          <t>DB-1095</t>
        </is>
      </c>
      <c r="B1096" s="3" t="inlineStr">
        <is>
          <t>Spinach Artichoke Dip with Veggies</t>
        </is>
      </c>
      <c r="C1096" s="4" t="inlineStr">
        <is>
          <t>Snack &amp; Appetizer</t>
        </is>
      </c>
      <c r="D1096" s="4" t="inlineStr">
        <is>
          <t>American</t>
        </is>
      </c>
      <c r="E1096" s="2" t="n">
        <v>6</v>
      </c>
      <c r="F1096" s="2" t="n">
        <v>10</v>
      </c>
      <c r="G1096" s="2" t="n">
        <v>20</v>
      </c>
      <c r="H1096" s="2" t="n">
        <v>30</v>
      </c>
      <c r="I1096" s="4" t="inlineStr">
        <is>
          <t>spinach-artichoke-dip-with-veggies.jpg</t>
        </is>
      </c>
      <c r="J1096" s="3" t="inlineStr">
        <is>
          <t>Spinach Artichoke Dip with Veggies, healthy food photography, plated, natural light</t>
        </is>
      </c>
      <c r="K1096" s="4" t="inlineStr"/>
      <c r="L1096" s="3" t="inlineStr">
        <is>
          <t>Artichoke hearts, canned in water — 200 g (7.1 oz)
Spinach — 150 g (5.3 oz)
Greek yogurt, plain 2% — 150 g (5.3 oz)
Cream cheese — 80 g (2.8 oz)
Parmesan, grated — 30 g (1.1 oz)
Garlic — 6 g (0.2 oz)
Carrot — 150 g (5.3 oz)
Celery — 150 g (5.3 oz)</t>
        </is>
      </c>
      <c r="M1096" s="4" t="inlineStr">
        <is>
          <t>[{"ingredient_id": "artichoke_hearts", "name": "Artichoke hearts, canned in water", "grams": 200.0, "note": ""}, {"ingredient_id": "spinach", "name": "Spinach", "grams": 150.0, "note": ""}, {"ingredient_id": "greek_yogurt", "name": "Greek yogurt, plain 2%", "grams": 150.0, "note": ""}, {"ingredient_id": "cream_cheese", "name": "Cream cheese", "grams": 80.0, "note": ""}, {"ingredient_id": "parmesan", "name": "Parmesan, grated", "grams": 30.0, "note": ""}, {"ingredient_id": "garlic", "name": "Garlic", "grams": 6.0, "note": ""}, {"ingredient_id": "carrot", "name": "Carrot", "grams": 150.0, "note": ""}, {"ingredient_id": "celery", "name": "Celery", "grams": 150.0, "note": ""}]</t>
        </is>
      </c>
      <c r="N1096" s="2" t="n">
        <v>123</v>
      </c>
      <c r="O1096" s="5" t="n">
        <v>7.5</v>
      </c>
      <c r="P1096" s="5" t="n">
        <v>6.8</v>
      </c>
      <c r="Q1096" s="5" t="n">
        <v>9.6</v>
      </c>
      <c r="R1096" s="5" t="n">
        <v>3.5</v>
      </c>
      <c r="S1096" s="5" t="n">
        <v>6.1</v>
      </c>
      <c r="T1096" s="2" t="n">
        <v>20</v>
      </c>
      <c r="U1096" s="2" t="inlineStr">
        <is>
          <t>low</t>
        </is>
      </c>
      <c r="V1096" s="5" t="n">
        <v>1.2</v>
      </c>
      <c r="W1096" s="2" t="inlineStr">
        <is>
          <t>low</t>
        </is>
      </c>
      <c r="X1096" s="3" t="inlineStr"/>
      <c r="Y1096" s="3" t="inlineStr">
        <is>
          <t>44% of this dish's available carbohydrate comes from ingredients with a published, measured GI; the rest uses conventional placeholders (see Ingredients sheet)</t>
        </is>
      </c>
      <c r="Z1096" s="2" t="n">
        <v>44</v>
      </c>
      <c r="AA1096" s="3" t="inlineStr">
        <is>
          <t>vegetarian, gluten-free, nut-free, low-carb</t>
        </is>
      </c>
      <c r="AB1096" s="3" t="inlineStr">
        <is>
          <t>1. Chop the artichokes and wilt the spinach.
2. Stir with yogurt, cream cheese, parmesan and garlic.
3. Bake at 375°F for 18 minutes.
4. Serve with carrot and celery sticks.</t>
        </is>
      </c>
      <c r="AC1096" s="4" t="inlineStr">
        <is>
          <t>["Chop the artichokes and wilt the spinach.", "Stir with yogurt, cream cheese, parmesan and garlic.", "Bake at 375°F for 18 minutes.", "Serve with carrot and celery sticks."]</t>
        </is>
      </c>
    </row>
    <row r="1097" ht="96" customHeight="1">
      <c r="A1097" s="2" t="inlineStr">
        <is>
          <t>DB-1096</t>
        </is>
      </c>
      <c r="B1097" s="3" t="inlineStr">
        <is>
          <t>Turkey Pepperoni Pizza Bites</t>
        </is>
      </c>
      <c r="C1097" s="4" t="inlineStr">
        <is>
          <t>Snack &amp; Appetizer</t>
        </is>
      </c>
      <c r="D1097" s="4" t="inlineStr">
        <is>
          <t>Italian</t>
        </is>
      </c>
      <c r="E1097" s="2" t="n">
        <v>4</v>
      </c>
      <c r="F1097" s="2" t="n">
        <v>10</v>
      </c>
      <c r="G1097" s="2" t="n">
        <v>15</v>
      </c>
      <c r="H1097" s="2" t="n">
        <v>25</v>
      </c>
      <c r="I1097" s="4" t="inlineStr">
        <is>
          <t>turkey-pepperoni-pizza-bites.jpg</t>
        </is>
      </c>
      <c r="J1097" s="3" t="inlineStr">
        <is>
          <t>Turkey Pepperoni Pizza Bites, healthy food photography, plated, natural light</t>
        </is>
      </c>
      <c r="K1097" s="4" t="inlineStr"/>
      <c r="L1097" s="3" t="inlineStr">
        <is>
          <t>Portobello mushrooms — 360 g (12.7 oz)
Marinara sauce, no sugar added — 100 g (3.5 oz)
Mozzarella, part-skim — 80 g (2.8 oz)
Turkey sausage — 60 g (2.1 oz)
Italian seasoning — 2 g (0.1 oz)</t>
        </is>
      </c>
      <c r="M1097" s="4" t="inlineStr">
        <is>
          <t>[{"ingredient_id": "portobello", "name": "Portobello mushrooms", "grams": 360.0, "note": ""}, {"ingredient_id": "marinara", "name": "Marinara sauce, no sugar added", "grams": 100.0, "note": ""}, {"ingredient_id": "mozzarella", "name": "Mozzarella, part-skim", "grams": 80.0, "note": ""}, {"ingredient_id": "turkey_sausage", "name": "Turkey sausage", "grams": 60.0, "note": ""}, {"ingredient_id": "italian_seasoning", "name": "Italian seasoning", "grams": 2.0, "note": ""}]</t>
        </is>
      </c>
      <c r="N1097" s="2" t="n">
        <v>106</v>
      </c>
      <c r="O1097" s="5" t="n">
        <v>9.4</v>
      </c>
      <c r="P1097" s="5" t="n">
        <v>5.7</v>
      </c>
      <c r="Q1097" s="5" t="n">
        <v>6</v>
      </c>
      <c r="R1097" s="5" t="n">
        <v>1.8</v>
      </c>
      <c r="S1097" s="5" t="n">
        <v>4.2</v>
      </c>
      <c r="T1097" s="2" t="n">
        <v>16</v>
      </c>
      <c r="U1097" s="2" t="inlineStr">
        <is>
          <t>low</t>
        </is>
      </c>
      <c r="V1097" s="5" t="n">
        <v>0.7</v>
      </c>
      <c r="W1097" s="2" t="inlineStr">
        <is>
          <t>low</t>
        </is>
      </c>
      <c r="X1097" s="3" t="inlineStr">
        <is>
          <t>Negligible carbohydrate (&lt;5 g net/serving): GI has little practical meaning, glycemic load is what matters.</t>
        </is>
      </c>
      <c r="Y1097" s="3" t="inlineStr">
        <is>
          <t>21% of this dish's available carbohydrate comes from ingredients with a published, measured GI; the rest uses conventional placeholders (see Ingredients sheet)</t>
        </is>
      </c>
      <c r="Z1097" s="2" t="n">
        <v>21</v>
      </c>
      <c r="AA1097" s="3" t="inlineStr">
        <is>
          <t>gluten-free, nut-free, low-carb</t>
        </is>
      </c>
      <c r="AB1097" s="3" t="inlineStr">
        <is>
          <t>1. Heat the oven to 400°F and remove the portobello stems.
2. Spoon marinara into each cap.
3. Top with mozzarella and sliced sausage.
4. Bake 15 minutes.</t>
        </is>
      </c>
      <c r="AC1097" s="4" t="inlineStr">
        <is>
          <t>["Heat the oven to 400°F and remove the portobello stems.", "Spoon marinara into each cap.", "Top with mozzarella and sliced sausage.", "Bake 15 minutes."]</t>
        </is>
      </c>
    </row>
    <row r="1098" ht="96" customHeight="1">
      <c r="A1098" s="2" t="inlineStr">
        <is>
          <t>DB-1097</t>
        </is>
      </c>
      <c r="B1098" s="3" t="inlineStr">
        <is>
          <t>Roasted Chickpea Snack Mix</t>
        </is>
      </c>
      <c r="C1098" s="4" t="inlineStr">
        <is>
          <t>Snack &amp; Appetizer</t>
        </is>
      </c>
      <c r="D1098" s="4" t="inlineStr">
        <is>
          <t>American</t>
        </is>
      </c>
      <c r="E1098" s="2" t="n">
        <v>5</v>
      </c>
      <c r="F1098" s="2" t="n">
        <v>5</v>
      </c>
      <c r="G1098" s="2" t="n">
        <v>30</v>
      </c>
      <c r="H1098" s="2" t="n">
        <v>35</v>
      </c>
      <c r="I1098" s="4" t="inlineStr">
        <is>
          <t>roasted-chickpea-snack-mix.jpg</t>
        </is>
      </c>
      <c r="J1098" s="3" t="inlineStr">
        <is>
          <t>Roasted Chickpea Snack Mix, healthy food photography, plated, natural light</t>
        </is>
      </c>
      <c r="K1098" s="4" t="inlineStr"/>
      <c r="L1098" s="3" t="inlineStr">
        <is>
          <t>Chickpeas, cooked — 400 g (14.1 oz)
Almonds — 30 g (1.1 oz)
Pumpkin seeds (pepitas) — 20 g (0.7 oz)
Extra-virgin olive oil — 15 g (0.5 oz)
Smoked paprika — 3 g (0.1 oz)
Garlic powder — 2 g (0.1 oz)
Salt — 2 g (0.1 oz)</t>
        </is>
      </c>
      <c r="M1098" s="4" t="inlineStr">
        <is>
          <t>[{"ingredient_id": "chickpeas", "name": "Chickpeas, cooked", "grams": 400.0, "note": ""}, {"ingredient_id": "almonds", "name": "Almonds", "grams": 30.0, "note": ""}, {"ingredient_id": "pumpkin_seeds", "name": "Pumpkin seeds (pepitas)", "grams": 20.0, "note": ""}, {"ingredient_id": "olive_oil", "name": "Extra-virgin olive oil", "grams": 15.0, "note": ""}, {"ingredient_id": "smoked_paprika", "name": "Smoked paprika", "grams": 3.0, "note": ""}, {"ingredient_id": "garlic_powder", "name": "Garlic powder", "grams": 2.0, "note": ""}, {"ingredient_id": "salt", "name": "Salt", "grams": 2.0, "note": ""}]</t>
        </is>
      </c>
      <c r="N1098" s="2" t="n">
        <v>218</v>
      </c>
      <c r="O1098" s="5" t="n">
        <v>9.699999999999999</v>
      </c>
      <c r="P1098" s="5" t="n">
        <v>10.1</v>
      </c>
      <c r="Q1098" s="5" t="n">
        <v>24</v>
      </c>
      <c r="R1098" s="5" t="n">
        <v>7.3</v>
      </c>
      <c r="S1098" s="5" t="n">
        <v>16.7</v>
      </c>
      <c r="T1098" s="2" t="n">
        <v>36</v>
      </c>
      <c r="U1098" s="2" t="inlineStr">
        <is>
          <t>low</t>
        </is>
      </c>
      <c r="V1098" s="5" t="n">
        <v>6</v>
      </c>
      <c r="W1098" s="2" t="inlineStr">
        <is>
          <t>low</t>
        </is>
      </c>
      <c r="X1098" s="3" t="inlineStr"/>
      <c r="Y1098" s="3" t="inlineStr">
        <is>
          <t>93% of this dish's available carbohydrate comes from ingredients with a published, measured GI; the rest uses conventional placeholders (see Ingredients sheet)</t>
        </is>
      </c>
      <c r="Z1098" s="2" t="n">
        <v>93</v>
      </c>
      <c r="AA1098" s="3" t="inlineStr">
        <is>
          <t>vegan, gluten-free, dairy-free, high-fiber, meal-prep</t>
        </is>
      </c>
      <c r="AB1098" s="3" t="inlineStr">
        <is>
          <t>1. Pat the chickpeas dry.
2. Toss with the oil and spices.
3. Roast at 400°F for 25 minutes, adding nuts and seeds for the last 5.</t>
        </is>
      </c>
      <c r="AC1098" s="4" t="inlineStr">
        <is>
          <t>["Pat the chickpeas dry.", "Toss with the oil and spices.", "Roast at 400°F for 25 minutes, adding nuts and seeds for the last 5."]</t>
        </is>
      </c>
    </row>
    <row r="1099" ht="96" customHeight="1">
      <c r="A1099" s="2" t="inlineStr">
        <is>
          <t>DB-1098</t>
        </is>
      </c>
      <c r="B1099" s="3" t="inlineStr">
        <is>
          <t>Pepper Jack Stuffed Jalapeno Poppers</t>
        </is>
      </c>
      <c r="C1099" s="4" t="inlineStr">
        <is>
          <t>Snack &amp; Appetizer</t>
        </is>
      </c>
      <c r="D1099" s="4" t="inlineStr">
        <is>
          <t>Tex-Mex</t>
        </is>
      </c>
      <c r="E1099" s="2" t="n">
        <v>5</v>
      </c>
      <c r="F1099" s="2" t="n">
        <v>15</v>
      </c>
      <c r="G1099" s="2" t="n">
        <v>20</v>
      </c>
      <c r="H1099" s="2" t="n">
        <v>35</v>
      </c>
      <c r="I1099" s="4" t="inlineStr">
        <is>
          <t>pepper-jack-stuffed-jalapeno-poppers.jpg</t>
        </is>
      </c>
      <c r="J1099" s="3" t="inlineStr">
        <is>
          <t>Pepper Jack Stuffed Jalapeno Poppers, healthy food photography, plated, natural light</t>
        </is>
      </c>
      <c r="K1099" s="4" t="inlineStr"/>
      <c r="L1099" s="3" t="inlineStr">
        <is>
          <t>Jalapeño — 250 g (8.8 oz)
Cream cheese — 100 g (3.5 oz)
Pepper jack cheese — 60 g (2.1 oz)
Turkey bacon — 40 g (1.4 oz)
Garlic powder — 2 g (0.1 oz)</t>
        </is>
      </c>
      <c r="M1099" s="4" t="inlineStr">
        <is>
          <t>[{"ingredient_id": "jalapeno", "name": "Jalapeño", "grams": 250.0, "note": ""}, {"ingredient_id": "cream_cheese", "name": "Cream cheese", "grams": 100.0, "note": ""}, {"ingredient_id": "pepper_jack", "name": "Pepper jack cheese", "grams": 60.0, "note": ""}, {"ingredient_id": "turkey_bacon", "name": "Turkey bacon", "grams": 40.0, "note": ""}, {"ingredient_id": "garlic_powder", "name": "Garlic powder", "grams": 2.0, "note": ""}]</t>
        </is>
      </c>
      <c r="N1099" s="2" t="n">
        <v>147</v>
      </c>
      <c r="O1099" s="5" t="n">
        <v>6</v>
      </c>
      <c r="P1099" s="5" t="n">
        <v>11.8</v>
      </c>
      <c r="Q1099" s="5" t="n">
        <v>4.7</v>
      </c>
      <c r="R1099" s="5" t="n">
        <v>1.4</v>
      </c>
      <c r="S1099" s="5" t="n">
        <v>3.2</v>
      </c>
      <c r="T1099" s="2" t="n">
        <v>10</v>
      </c>
      <c r="U1099" s="2" t="inlineStr">
        <is>
          <t>low</t>
        </is>
      </c>
      <c r="V1099" s="5" t="n">
        <v>0.3</v>
      </c>
      <c r="W1099" s="2" t="inlineStr">
        <is>
          <t>low</t>
        </is>
      </c>
      <c r="X1099" s="3" t="inlineStr">
        <is>
          <t>Negligible carbohydrate (&lt;5 g net/serving): GI has little practical meaning, glycemic load is what matters.</t>
        </is>
      </c>
      <c r="Y1099" s="3" t="inlineStr">
        <is>
          <t>0% of this dish's available carbohydrate comes from ingredients with a published, measured GI; the rest uses conventional placeholders (see Ingredients sheet)</t>
        </is>
      </c>
      <c r="Z1099" s="2" t="n">
        <v>0</v>
      </c>
      <c r="AA1099" s="3" t="inlineStr">
        <is>
          <t>gluten-free, nut-free, low-carb</t>
        </is>
      </c>
      <c r="AB1099" s="3" t="inlineStr">
        <is>
          <t>1. Halve and seed the jalapenos.
2. Mix the cream cheese, pepper jack and garlic powder and fill.
3. Wrap in a strip of bacon if you like.
4. Bake at 400°F for 20 minutes.</t>
        </is>
      </c>
      <c r="AC1099" s="4" t="inlineStr">
        <is>
          <t>["Halve and seed the jalapenos.", "Mix the cream cheese, pepper jack and garlic powder and fill.", "Wrap in a strip of bacon if you like.", "Bake at 400°F for 20 minutes."]</t>
        </is>
      </c>
    </row>
    <row r="1100" ht="96" customHeight="1">
      <c r="A1100" s="2" t="inlineStr">
        <is>
          <t>DB-1099</t>
        </is>
      </c>
      <c r="B1100" s="3" t="inlineStr">
        <is>
          <t>Apple Slices with Peanut Butter and Cinnamon</t>
        </is>
      </c>
      <c r="C1100" s="4" t="inlineStr">
        <is>
          <t>Snack &amp; Appetizer</t>
        </is>
      </c>
      <c r="D1100" s="4" t="inlineStr">
        <is>
          <t>American</t>
        </is>
      </c>
      <c r="E1100" s="2" t="n">
        <v>2</v>
      </c>
      <c r="F1100" s="2" t="n">
        <v>3</v>
      </c>
      <c r="G1100" s="2" t="n">
        <v>0</v>
      </c>
      <c r="H1100" s="2" t="n">
        <v>3</v>
      </c>
      <c r="I1100" s="4" t="inlineStr">
        <is>
          <t>apple-slices-with-peanut-butter-and-cinnamon.jpg</t>
        </is>
      </c>
      <c r="J1100" s="3" t="inlineStr">
        <is>
          <t>Apple Slices with Peanut Butter and Cinnamon, healthy food photography, plated, natural light</t>
        </is>
      </c>
      <c r="K1100" s="4" t="inlineStr"/>
      <c r="L1100" s="3" t="inlineStr">
        <is>
          <t>Apple — 240 g (8.5 oz)
Peanut butter, natural — 32 g (1.1 oz)
Ground cinnamon — 1 g (0.0 oz)</t>
        </is>
      </c>
      <c r="M1100" s="4" t="inlineStr">
        <is>
          <t>[{"ingredient_id": "apple", "name": "Apple", "grams": 240.0, "note": ""}, {"ingredient_id": "peanut_butter", "name": "Peanut butter, natural", "grams": 32.0, "note": ""}, {"ingredient_id": "cinnamon", "name": "Ground cinnamon", "grams": 1.0, "note": ""}]</t>
        </is>
      </c>
      <c r="N1100" s="2" t="n">
        <v>158</v>
      </c>
      <c r="O1100" s="5" t="n">
        <v>4.4</v>
      </c>
      <c r="P1100" s="5" t="n">
        <v>8.199999999999999</v>
      </c>
      <c r="Q1100" s="5" t="n">
        <v>20.4</v>
      </c>
      <c r="R1100" s="5" t="n">
        <v>4.1</v>
      </c>
      <c r="S1100" s="5" t="n">
        <v>16.3</v>
      </c>
      <c r="T1100" s="2" t="n">
        <v>33</v>
      </c>
      <c r="U1100" s="2" t="inlineStr">
        <is>
          <t>low</t>
        </is>
      </c>
      <c r="V1100" s="5" t="n">
        <v>5.4</v>
      </c>
      <c r="W1100" s="2" t="inlineStr">
        <is>
          <t>low</t>
        </is>
      </c>
      <c r="X1100" s="3" t="inlineStr"/>
      <c r="Y1100" s="3" t="inlineStr">
        <is>
          <t>85% of this dish's available carbohydrate comes from ingredients with a published, measured GI; the rest uses conventional placeholders (see Ingredients sheet)</t>
        </is>
      </c>
      <c r="Z1100" s="2" t="n">
        <v>85</v>
      </c>
      <c r="AA1100" s="3" t="inlineStr">
        <is>
          <t>vegan, gluten-free, dairy-free, no-cook</t>
        </is>
      </c>
      <c r="AB1100" s="3" t="inlineStr">
        <is>
          <t>1. Slice the apple.
2. Serve with peanut butter and a dusting of cinnamon.</t>
        </is>
      </c>
      <c r="AC1100" s="4" t="inlineStr">
        <is>
          <t>["Slice the apple.", "Serve with peanut butter and a dusting of cinnamon."]</t>
        </is>
      </c>
    </row>
    <row r="1101" ht="96" customHeight="1">
      <c r="A1101" s="2" t="inlineStr">
        <is>
          <t>DB-1100</t>
        </is>
      </c>
      <c r="B1101" s="3" t="inlineStr">
        <is>
          <t>Flourless Peanut Butter Cookies</t>
        </is>
      </c>
      <c r="C1101" s="4" t="inlineStr">
        <is>
          <t>Dessert</t>
        </is>
      </c>
      <c r="D1101" s="4" t="inlineStr">
        <is>
          <t>American</t>
        </is>
      </c>
      <c r="E1101" s="2" t="n">
        <v>10</v>
      </c>
      <c r="F1101" s="2" t="n">
        <v>10</v>
      </c>
      <c r="G1101" s="2" t="n">
        <v>12</v>
      </c>
      <c r="H1101" s="2" t="n">
        <v>22</v>
      </c>
      <c r="I1101" s="4" t="inlineStr">
        <is>
          <t>flourless-peanut-butter-cookies.jpg</t>
        </is>
      </c>
      <c r="J1101" s="3" t="inlineStr">
        <is>
          <t>Flourless Peanut Butter Cookies, healthy food photography, plated, natural light</t>
        </is>
      </c>
      <c r="K1101" s="4" t="inlineStr"/>
      <c r="L1101" s="3" t="inlineStr">
        <is>
          <t>Peanut butter, natural — 250 g (8.8 oz)
Egg, large (50 g each) — 50 g (1.8 oz)
Monk fruit/erythritol sweetener — 40 g (1.4 oz)
Vanilla extract — 5 g (0.2 oz)
Baking soda — 2 g (0.1 oz)
Salt — 1 g (0.0 oz)</t>
        </is>
      </c>
      <c r="M1101" s="4" t="inlineStr">
        <is>
          <t>[{"ingredient_id": "peanut_butter", "name": "Peanut butter, natural", "grams": 250.0, "note": ""}, {"ingredient_id": "egg", "name": "Egg, large (50 g each)", "grams": 50.0, "note": ""}, {"ingredient_id": "monk_fruit_sweetener", "name": "Monk fruit/erythritol sweetener", "grams": 40.0, "note": ""}, {"ingredient_id": "vanilla_extract", "name": "Vanilla extract", "grams": 5.0, "note": ""}, {"ingredient_id": "baking_soda", "name": "Baking soda", "grams": 2.0, "note": ""}, {"ingredient_id": "salt", "name": "Salt", "grams": 1.0, "note": ""}]</t>
        </is>
      </c>
      <c r="N1101" s="2" t="n">
        <v>156</v>
      </c>
      <c r="O1101" s="5" t="n">
        <v>6.9</v>
      </c>
      <c r="P1101" s="5" t="n">
        <v>13</v>
      </c>
      <c r="Q1101" s="5" t="n">
        <v>5.1</v>
      </c>
      <c r="R1101" s="5" t="n">
        <v>1.5</v>
      </c>
      <c r="S1101" s="5" t="n">
        <v>3.6</v>
      </c>
      <c r="T1101" s="2" t="n">
        <v>14</v>
      </c>
      <c r="U1101" s="2" t="inlineStr">
        <is>
          <t>low</t>
        </is>
      </c>
      <c r="V1101" s="5" t="n">
        <v>0.5</v>
      </c>
      <c r="W1101" s="2" t="inlineStr">
        <is>
          <t>low</t>
        </is>
      </c>
      <c r="X1101" s="3" t="inlineStr">
        <is>
          <t>Negligible carbohydrate (&lt;5 g net/serving): GI has little practical meaning, glycemic load is what matters.</t>
        </is>
      </c>
      <c r="Y1101" s="3" t="inlineStr">
        <is>
          <t>0% of this dish's available carbohydrate comes from ingredients with a published, measured GI; the rest uses conventional placeholders (see Ingredients sheet)</t>
        </is>
      </c>
      <c r="Z1101" s="2" t="n">
        <v>0</v>
      </c>
      <c r="AA1101" s="3" t="inlineStr">
        <is>
          <t>vegetarian, gluten-free, dairy-free, low-carb</t>
        </is>
      </c>
      <c r="AB1101" s="3" t="inlineStr">
        <is>
          <t>1. Heat the oven to 350°F.
2. Mix everything into a dough.
3. Scoop ten small balls and flatten with a fork.
4. Bake 10 to 12 minutes.</t>
        </is>
      </c>
      <c r="AC1101" s="4" t="inlineStr">
        <is>
          <t>["Heat the oven to 350°F.", "Mix everything into a dough.", "Scoop ten small balls and flatten with a fork.", "Bake 10 to 12 minutes."]</t>
        </is>
      </c>
    </row>
    <row r="1102" ht="96" customHeight="1">
      <c r="A1102" s="2" t="inlineStr">
        <is>
          <t>DB-1101</t>
        </is>
      </c>
      <c r="B1102" s="3" t="inlineStr">
        <is>
          <t>Dark Chocolate Avocado Mousse</t>
        </is>
      </c>
      <c r="C1102" s="4" t="inlineStr">
        <is>
          <t>Dessert</t>
        </is>
      </c>
      <c r="D1102" s="4" t="inlineStr">
        <is>
          <t>American</t>
        </is>
      </c>
      <c r="E1102" s="2" t="n">
        <v>4</v>
      </c>
      <c r="F1102" s="2" t="n">
        <v>10</v>
      </c>
      <c r="G1102" s="2" t="n">
        <v>0</v>
      </c>
      <c r="H1102" s="2" t="n">
        <v>10</v>
      </c>
      <c r="I1102" s="4" t="inlineStr">
        <is>
          <t>dark-chocolate-avocado-mousse.jpg</t>
        </is>
      </c>
      <c r="J1102" s="3" t="inlineStr">
        <is>
          <t>Dark Chocolate Avocado Mousse, healthy food photography, plated, natural light</t>
        </is>
      </c>
      <c r="K1102" s="4" t="inlineStr"/>
      <c r="L1102" s="3" t="inlineStr">
        <is>
          <t>Avocado — 200 g (7.1 oz)
Cocoa powder, unsweetened — 25 g (0.9 oz)
Almond milk, unsweetened — 100 g (3.5 oz)
Vanilla extract — 4 g (0.1 oz)
Monk fruit/erythritol sweetener — 20 g (0.7 oz)
Raspberries — 80 g (2.8 oz)</t>
        </is>
      </c>
      <c r="M1102" s="4" t="inlineStr">
        <is>
          <t>[{"ingredient_id": "avocado", "name": "Avocado", "grams": 200.0, "note": ""}, {"ingredient_id": "cocoa_powder", "name": "Cocoa powder, unsweetened", "grams": 25.0, "note": ""}, {"ingredient_id": "almond_milk", "name": "Almond milk, unsweetened", "grams": 100.0, "note": ""}, {"ingredient_id": "vanilla_extract", "name": "Vanilla extract", "grams": 4.0, "note": ""}, {"ingredient_id": "monk_fruit_sweetener", "name": "Monk fruit/erythritol sweetener", "grams": 20.0, "note": ""}, {"ingredient_id": "raspberries", "name": "Raspberries", "grams": 80.0, "note": ""}]</t>
        </is>
      </c>
      <c r="N1102" s="2" t="n">
        <v>111</v>
      </c>
      <c r="O1102" s="5" t="n">
        <v>2.6</v>
      </c>
      <c r="P1102" s="5" t="n">
        <v>8.800000000000001</v>
      </c>
      <c r="Q1102" s="5" t="n">
        <v>10.6</v>
      </c>
      <c r="R1102" s="5" t="n">
        <v>6.7</v>
      </c>
      <c r="S1102" s="5" t="n">
        <v>3.8</v>
      </c>
      <c r="T1102" s="2" t="n">
        <v>22</v>
      </c>
      <c r="U1102" s="2" t="inlineStr">
        <is>
          <t>low</t>
        </is>
      </c>
      <c r="V1102" s="5" t="n">
        <v>0.8</v>
      </c>
      <c r="W1102" s="2" t="inlineStr">
        <is>
          <t>low</t>
        </is>
      </c>
      <c r="X1102" s="3" t="inlineStr">
        <is>
          <t>Negligible carbohydrate (&lt;5 g net/serving): GI has little practical meaning, glycemic load is what matters.</t>
        </is>
      </c>
      <c r="Y1102" s="3" t="inlineStr">
        <is>
          <t>0% of this dish's available carbohydrate comes from ingredients with a published, measured GI; the rest uses conventional placeholders (see Ingredients sheet)</t>
        </is>
      </c>
      <c r="Z1102" s="2" t="n">
        <v>0</v>
      </c>
      <c r="AA1102" s="3" t="inlineStr">
        <is>
          <t>vegan, gluten-free, dairy-free, low-carb, no-cook</t>
        </is>
      </c>
      <c r="AB1102" s="3" t="inlineStr">
        <is>
          <t>1. Blend the avocado, cocoa, almond milk, vanilla and sweetener until silky.
2. Chill 1 hour.
3. Serve with raspberries.</t>
        </is>
      </c>
      <c r="AC1102" s="4" t="inlineStr">
        <is>
          <t>["Blend the avocado, cocoa, almond milk, vanilla and sweetener until silky.", "Chill 1 hour.", "Serve with raspberries."]</t>
        </is>
      </c>
    </row>
    <row r="1103" ht="96" customHeight="1">
      <c r="A1103" s="2" t="inlineStr">
        <is>
          <t>DB-1102</t>
        </is>
      </c>
      <c r="B1103" s="3" t="inlineStr">
        <is>
          <t>Baked Cinnamon Apples</t>
        </is>
      </c>
      <c r="C1103" s="4" t="inlineStr">
        <is>
          <t>Dessert</t>
        </is>
      </c>
      <c r="D1103" s="4" t="inlineStr">
        <is>
          <t>American</t>
        </is>
      </c>
      <c r="E1103" s="2" t="n">
        <v>4</v>
      </c>
      <c r="F1103" s="2" t="n">
        <v>10</v>
      </c>
      <c r="G1103" s="2" t="n">
        <v>30</v>
      </c>
      <c r="H1103" s="2" t="n">
        <v>40</v>
      </c>
      <c r="I1103" s="4" t="inlineStr">
        <is>
          <t>baked-cinnamon-apples.jpg</t>
        </is>
      </c>
      <c r="J1103" s="3" t="inlineStr">
        <is>
          <t>Baked Cinnamon Apples, healthy food photography, plated, natural light</t>
        </is>
      </c>
      <c r="K1103" s="4" t="inlineStr"/>
      <c r="L1103" s="3" t="inlineStr">
        <is>
          <t>Apple — 600 g (21.2 oz)
Walnuts — 40 g (1.4 oz)
Ground cinnamon — 4 g (0.1 oz)
Butter — 15 g (0.5 oz)
Rolled oats, dry — 30 g (1.1 oz)
Water / ice — 60 g (2.1 oz)</t>
        </is>
      </c>
      <c r="M1103" s="4" t="inlineStr">
        <is>
          <t>[{"ingredient_id": "apple", "name": "Apple", "grams": 600.0, "note": ""}, {"ingredient_id": "walnuts", "name": "Walnuts", "grams": 40.0, "note": ""}, {"ingredient_id": "cinnamon", "name": "Ground cinnamon", "grams": 4.0, "note": ""}, {"ingredient_id": "butter", "name": "Butter", "grams": 15.0, "note": ""}, {"ingredient_id": "rolled_oats", "name": "Rolled oats, dry", "grams": 30.0, "note": ""}, {"ingredient_id": "water", "name": "Water / ice", "grams": 60.0, "note": ""}]</t>
        </is>
      </c>
      <c r="N1103" s="2" t="n">
        <v>201</v>
      </c>
      <c r="O1103" s="5" t="n">
        <v>3</v>
      </c>
      <c r="P1103" s="5" t="n">
        <v>10.3</v>
      </c>
      <c r="Q1103" s="5" t="n">
        <v>28.3</v>
      </c>
      <c r="R1103" s="5" t="n">
        <v>5.5</v>
      </c>
      <c r="S1103" s="5" t="n">
        <v>22.8</v>
      </c>
      <c r="T1103" s="2" t="n">
        <v>39</v>
      </c>
      <c r="U1103" s="2" t="inlineStr">
        <is>
          <t>low</t>
        </is>
      </c>
      <c r="V1103" s="5" t="n">
        <v>8.9</v>
      </c>
      <c r="W1103" s="2" t="inlineStr">
        <is>
          <t>low</t>
        </is>
      </c>
      <c r="X1103" s="3" t="inlineStr"/>
      <c r="Y1103" s="3" t="inlineStr">
        <is>
          <t>96% of this dish's available carbohydrate comes from ingredients with a published, measured GI; the rest uses conventional placeholders (see Ingredients sheet)</t>
        </is>
      </c>
      <c r="Z1103" s="2" t="n">
        <v>96</v>
      </c>
      <c r="AA1103" s="3" t="inlineStr">
        <is>
          <t>vegetarian</t>
        </is>
      </c>
      <c r="AB1103" s="3" t="inlineStr">
        <is>
          <t>1. Heat the oven to 375°F.
2. Core the apples and fill with oats, walnuts, cinnamon and butter.
3. Add water to the dish and bake 30 minutes.</t>
        </is>
      </c>
      <c r="AC1103" s="4" t="inlineStr">
        <is>
          <t>["Heat the oven to 375°F.", "Core the apples and fill with oats, walnuts, cinnamon and butter.", "Add water to the dish and bake 30 minutes."]</t>
        </is>
      </c>
    </row>
    <row r="1104" ht="96" customHeight="1">
      <c r="A1104" s="2" t="inlineStr">
        <is>
          <t>DB-1103</t>
        </is>
      </c>
      <c r="B1104" s="3" t="inlineStr">
        <is>
          <t>Greek Yogurt Berry Bark</t>
        </is>
      </c>
      <c r="C1104" s="4" t="inlineStr">
        <is>
          <t>Dessert</t>
        </is>
      </c>
      <c r="D1104" s="4" t="inlineStr">
        <is>
          <t>American</t>
        </is>
      </c>
      <c r="E1104" s="2" t="n">
        <v>6</v>
      </c>
      <c r="F1104" s="2" t="n">
        <v>10</v>
      </c>
      <c r="G1104" s="2" t="n">
        <v>0</v>
      </c>
      <c r="H1104" s="2" t="n">
        <v>10</v>
      </c>
      <c r="I1104" s="4" t="inlineStr">
        <is>
          <t>greek-yogurt-berry-bark.jpg</t>
        </is>
      </c>
      <c r="J1104" s="3" t="inlineStr">
        <is>
          <t>Greek Yogurt Berry Bark, healthy food photography, plated, natural light</t>
        </is>
      </c>
      <c r="K1104" s="4" t="inlineStr"/>
      <c r="L1104" s="3" t="inlineStr">
        <is>
          <t>Greek yogurt, plain 2% — 450 g (15.9 oz)
Mixed berries, frozen — 100 g (3.5 oz)
Pistachios, shelled — 25 g (0.9 oz)
Stevia-sweetened dark chocolate chips — 20 g (0.7 oz)
Vanilla extract — 3 g (0.1 oz)</t>
        </is>
      </c>
      <c r="M1104" s="4" t="inlineStr">
        <is>
          <t>[{"ingredient_id": "greek_yogurt", "name": "Greek yogurt, plain 2%", "grams": 450.0, "note": ""}, {"ingredient_id": "mixed_berries", "name": "Mixed berries, frozen", "grams": 100.0, "note": ""}, {"ingredient_id": "pistachios", "name": "Pistachios, shelled", "grams": 25.0, "note": ""}, {"ingredient_id": "sugar_free_chocolate_chips", "name": "Stevia-sweetened dark chocolate chips", "grams": 20.0, "note": ""}, {"ingredient_id": "vanilla_extract", "name": "Vanilla extract", "grams": 3.0, "note": ""}]</t>
        </is>
      </c>
      <c r="N1104" s="2" t="n">
        <v>103</v>
      </c>
      <c r="O1104" s="5" t="n">
        <v>8.699999999999999</v>
      </c>
      <c r="P1104" s="5" t="n">
        <v>4.8</v>
      </c>
      <c r="Q1104" s="5" t="n">
        <v>6.7</v>
      </c>
      <c r="R1104" s="5" t="n">
        <v>1.5</v>
      </c>
      <c r="S1104" s="5" t="n">
        <v>5.2</v>
      </c>
      <c r="T1104" s="2" t="n">
        <v>20</v>
      </c>
      <c r="U1104" s="2" t="inlineStr">
        <is>
          <t>low</t>
        </is>
      </c>
      <c r="V1104" s="5" t="n">
        <v>1</v>
      </c>
      <c r="W1104" s="2" t="inlineStr">
        <is>
          <t>low</t>
        </is>
      </c>
      <c r="X1104" s="3" t="inlineStr"/>
      <c r="Y1104" s="3" t="inlineStr">
        <is>
          <t>76% of this dish's available carbohydrate comes from ingredients with a published, measured GI; the rest uses conventional placeholders (see Ingredients sheet)</t>
        </is>
      </c>
      <c r="Z1104" s="2" t="n">
        <v>76</v>
      </c>
      <c r="AA1104" s="3" t="inlineStr">
        <is>
          <t>vegetarian, gluten-free, low-carb, no-cook</t>
        </is>
      </c>
      <c r="AB1104" s="3" t="inlineStr">
        <is>
          <t>1. Spread the vanilla-stirred yogurt on a lined tray.
2. Scatter with berries, pistachios and chocolate.
3. Freeze 3 hours and break into pieces.</t>
        </is>
      </c>
      <c r="AC1104" s="4" t="inlineStr">
        <is>
          <t>["Spread the vanilla-stirred yogurt on a lined tray.", "Scatter with berries, pistachios and chocolate.", "Freeze 3 hours and break into pieces."]</t>
        </is>
      </c>
    </row>
    <row r="1105" ht="96" customHeight="1">
      <c r="A1105" s="2" t="inlineStr">
        <is>
          <t>DB-1104</t>
        </is>
      </c>
      <c r="B1105" s="3" t="inlineStr">
        <is>
          <t>Pumpkin Pie Chia Pudding</t>
        </is>
      </c>
      <c r="C1105" s="4" t="inlineStr">
        <is>
          <t>Dessert</t>
        </is>
      </c>
      <c r="D1105" s="4" t="inlineStr">
        <is>
          <t>American</t>
        </is>
      </c>
      <c r="E1105" s="2" t="n">
        <v>3</v>
      </c>
      <c r="F1105" s="2" t="n">
        <v>5</v>
      </c>
      <c r="G1105" s="2" t="n">
        <v>0</v>
      </c>
      <c r="H1105" s="2" t="n">
        <v>5</v>
      </c>
      <c r="I1105" s="4" t="inlineStr">
        <is>
          <t>pumpkin-pie-chia-pudding.jpg</t>
        </is>
      </c>
      <c r="J1105" s="3" t="inlineStr">
        <is>
          <t>Pumpkin Pie Chia Pudding, healthy food photography, plated, natural light</t>
        </is>
      </c>
      <c r="K1105" s="4" t="inlineStr"/>
      <c r="L1105" s="3" t="inlineStr">
        <is>
          <t>Pumpkin puree, canned — 150 g (5.3 oz)
Chia seeds — 30 g (1.1 oz)
Almond milk, unsweetened — 250 g (8.8 oz)
Pumpkin pie spice — 3 g (0.1 oz)
Vanilla extract — 3 g (0.1 oz)
Monk fruit/erythritol sweetener — 8 g (0.3 oz)</t>
        </is>
      </c>
      <c r="M1105" s="4" t="inlineStr">
        <is>
          <t>[{"ingredient_id": "pumpkin_puree", "name": "Pumpkin puree, canned", "grams": 150.0, "note": ""}, {"ingredient_id": "chia_seeds", "name": "Chia seeds", "grams": 30.0, "note": ""}, {"ingredient_id": "almond_milk", "name": "Almond milk, unsweetened", "grams": 250.0, "note": ""}, {"ingredient_id": "pumpkin_pie_spice", "name": "Pumpkin pie spice", "grams": 3.0, "note": ""}, {"ingredient_id": "vanilla_extract", "name": "Vanilla extract", "grams": 3.0, "note": ""}, {"ingredient_id": "monk_fruit_sweetener", "name": "Monk fruit/erythritol sweetener", "grams": 8.0, "note": ""}]</t>
        </is>
      </c>
      <c r="N1105" s="2" t="n">
        <v>84</v>
      </c>
      <c r="O1105" s="5" t="n">
        <v>2.8</v>
      </c>
      <c r="P1105" s="5" t="n">
        <v>4.2</v>
      </c>
      <c r="Q1105" s="5" t="n">
        <v>9.6</v>
      </c>
      <c r="R1105" s="5" t="n">
        <v>5.1</v>
      </c>
      <c r="S1105" s="5" t="n">
        <v>4.4</v>
      </c>
      <c r="T1105" s="2" t="n">
        <v>50</v>
      </c>
      <c r="U1105" s="2" t="inlineStr">
        <is>
          <t>low</t>
        </is>
      </c>
      <c r="V1105" s="5" t="n">
        <v>2.2</v>
      </c>
      <c r="W1105" s="2" t="inlineStr">
        <is>
          <t>low</t>
        </is>
      </c>
      <c r="X1105" s="3" t="inlineStr">
        <is>
          <t>Negligible carbohydrate (&lt;5 g net/serving): GI has little practical meaning, glycemic load is what matters.</t>
        </is>
      </c>
      <c r="Y1105" s="3" t="inlineStr">
        <is>
          <t>57% of this dish's available carbohydrate comes from ingredients with a published, measured GI; the rest uses conventional placeholders (see Ingredients sheet)</t>
        </is>
      </c>
      <c r="Z1105" s="2" t="n">
        <v>57</v>
      </c>
      <c r="AA1105" s="3" t="inlineStr">
        <is>
          <t>vegan, gluten-free, dairy-free, low-carb, no-cook, meal-prep</t>
        </is>
      </c>
      <c r="AB1105" s="3" t="inlineStr">
        <is>
          <t>1. Whisk everything together.
2. Refrigerate at least 4 hours.
3. Stir and serve cold.</t>
        </is>
      </c>
      <c r="AC1105" s="4" t="inlineStr">
        <is>
          <t>["Whisk everything together.", "Refrigerate at least 4 hours.", "Stir and serve cold."]</t>
        </is>
      </c>
    </row>
    <row r="1106" ht="96" customHeight="1">
      <c r="A1106" s="2" t="inlineStr">
        <is>
          <t>DB-1105</t>
        </is>
      </c>
      <c r="B1106" s="3" t="inlineStr">
        <is>
          <t>Almond Flour Blueberry Muffins</t>
        </is>
      </c>
      <c r="C1106" s="4" t="inlineStr">
        <is>
          <t>Dessert</t>
        </is>
      </c>
      <c r="D1106" s="4" t="inlineStr">
        <is>
          <t>American</t>
        </is>
      </c>
      <c r="E1106" s="2" t="n">
        <v>8</v>
      </c>
      <c r="F1106" s="2" t="n">
        <v>10</v>
      </c>
      <c r="G1106" s="2" t="n">
        <v>22</v>
      </c>
      <c r="H1106" s="2" t="n">
        <v>32</v>
      </c>
      <c r="I1106" s="4" t="inlineStr">
        <is>
          <t>almond-flour-blueberry-muffins.jpg</t>
        </is>
      </c>
      <c r="J1106" s="3" t="inlineStr">
        <is>
          <t>Almond Flour Blueberry Muffins, healthy food photography, plated, natural light</t>
        </is>
      </c>
      <c r="K1106" s="4" t="inlineStr"/>
      <c r="L1106" s="3" t="inlineStr">
        <is>
          <t>Almond flour — 200 g (7.1 oz)
Egg, large (50 g each) — 150 g (5.3 oz)
Blueberries — 120 g (4.2 oz)
Greek yogurt, plain 2% — 100 g (3.5 oz)
Baking powder — 6 g (0.2 oz)
Vanilla extract — 5 g (0.2 oz)
Monk fruit/erythritol sweetener — 30 g (1.1 oz)
Butter — 30 g (1.1 oz)</t>
        </is>
      </c>
      <c r="M1106" s="4" t="inlineStr">
        <is>
          <t>[{"ingredient_id": "almond_flour", "name": "Almond flour", "grams": 200.0, "note": ""}, {"ingredient_id": "egg", "name": "Egg, large (50 g each)", "grams": 150.0, "note": ""}, {"ingredient_id": "blueberries", "name": "Blueberries", "grams": 120.0, "note": ""}, {"ingredient_id": "greek_yogurt", "name": "Greek yogurt, plain 2%", "grams": 100.0, "note": ""}, {"ingredient_id": "baking_powder", "name": "Baking powder", "grams": 6.0, "note": ""}, {"ingredient_id": "vanilla_extract", "name": "Vanilla extract", "grams": 5.0, "note": ""}, {"ingredient_id": "monk_fruit_sweetener", "name": "Monk fruit/erythritol sweetener", "grams": 30.0, "note": ""}, {"ingredient_id": "butter", "name": "Butter", "grams": 30.0, "note": ""}]</t>
        </is>
      </c>
      <c r="N1106" s="2" t="n">
        <v>221</v>
      </c>
      <c r="O1106" s="5" t="n">
        <v>9</v>
      </c>
      <c r="P1106" s="5" t="n">
        <v>17.6</v>
      </c>
      <c r="Q1106" s="5" t="n">
        <v>8.300000000000001</v>
      </c>
      <c r="R1106" s="5" t="n">
        <v>3.4</v>
      </c>
      <c r="S1106" s="5" t="n">
        <v>5</v>
      </c>
      <c r="T1106" s="2" t="n">
        <v>27</v>
      </c>
      <c r="U1106" s="2" t="inlineStr">
        <is>
          <t>low</t>
        </is>
      </c>
      <c r="V1106" s="5" t="n">
        <v>1.3</v>
      </c>
      <c r="W1106" s="2" t="inlineStr">
        <is>
          <t>low</t>
        </is>
      </c>
      <c r="X1106" s="3" t="inlineStr">
        <is>
          <t>Negligible carbohydrate (&lt;5 g net/serving): GI has little practical meaning, glycemic load is what matters.</t>
        </is>
      </c>
      <c r="Y1106" s="3" t="inlineStr">
        <is>
          <t>46% of this dish's available carbohydrate comes from ingredients with a published, measured GI; the rest uses conventional placeholders (see Ingredients sheet)</t>
        </is>
      </c>
      <c r="Z1106" s="2" t="n">
        <v>46</v>
      </c>
      <c r="AA1106" s="3" t="inlineStr">
        <is>
          <t>vegetarian, gluten-free, low-carb</t>
        </is>
      </c>
      <c r="AB1106" s="3" t="inlineStr">
        <is>
          <t>1. Heat the oven to 350°F and line eight muffin cups.
2. Whisk the almond flour, baking powder and sweetener.
3. Mix in eggs, yogurt, melted butter and vanilla, then fold in the blueberries.
4. Bake 20 to 22 minutes.</t>
        </is>
      </c>
      <c r="AC1106" s="4" t="inlineStr">
        <is>
          <t>["Heat the oven to 350°F and line eight muffin cups.", "Whisk the almond flour, baking powder and sweetener.", "Mix in eggs, yogurt, melted butter and vanilla, then fold in the blueberries.", "Bake 20 to 22 minutes."]</t>
        </is>
      </c>
    </row>
    <row r="1107" ht="96" customHeight="1">
      <c r="A1107" s="2" t="inlineStr">
        <is>
          <t>DB-1106</t>
        </is>
      </c>
      <c r="B1107" s="3" t="inlineStr">
        <is>
          <t>Sugar-Free Chocolate Dipped Strawberries</t>
        </is>
      </c>
      <c r="C1107" s="4" t="inlineStr">
        <is>
          <t>Dessert</t>
        </is>
      </c>
      <c r="D1107" s="4" t="inlineStr">
        <is>
          <t>American</t>
        </is>
      </c>
      <c r="E1107" s="2" t="n">
        <v>4</v>
      </c>
      <c r="F1107" s="2" t="n">
        <v>10</v>
      </c>
      <c r="G1107" s="2" t="n">
        <v>3</v>
      </c>
      <c r="H1107" s="2" t="n">
        <v>13</v>
      </c>
      <c r="I1107" s="4" t="inlineStr">
        <is>
          <t>sugar-free-chocolate-dipped-strawberries.jpg</t>
        </is>
      </c>
      <c r="J1107" s="3" t="inlineStr">
        <is>
          <t>Sugar-Free Chocolate Dipped Strawberries, healthy food photography, plated, natural light</t>
        </is>
      </c>
      <c r="K1107" s="4" t="inlineStr"/>
      <c r="L1107" s="3" t="inlineStr">
        <is>
          <t>Strawberries — 300 g (10.6 oz)
Stevia-sweetened dark chocolate chips — 60 g (2.1 oz)
Coconut oil — 5 g (0.2 oz)</t>
        </is>
      </c>
      <c r="M1107" s="4" t="inlineStr">
        <is>
          <t>[{"ingredient_id": "strawberries", "name": "Strawberries", "grams": 300.0, "note": ""}, {"ingredient_id": "sugar_free_chocolate_chips", "name": "Stevia-sweetened dark chocolate chips", "grams": 60.0, "note": ""}, {"ingredient_id": "coconut_oil", "name": "Coconut oil", "grams": 5.0, "note": ""}]</t>
        </is>
      </c>
      <c r="N1107" s="2" t="n">
        <v>105</v>
      </c>
      <c r="O1107" s="5" t="n">
        <v>1.4</v>
      </c>
      <c r="P1107" s="5" t="n">
        <v>7.8</v>
      </c>
      <c r="Q1107" s="5" t="n">
        <v>8.800000000000001</v>
      </c>
      <c r="R1107" s="5" t="n">
        <v>3.3</v>
      </c>
      <c r="S1107" s="5" t="n">
        <v>5.5</v>
      </c>
      <c r="T1107" s="2" t="n">
        <v>36</v>
      </c>
      <c r="U1107" s="2" t="inlineStr">
        <is>
          <t>low</t>
        </is>
      </c>
      <c r="V1107" s="5" t="n">
        <v>2</v>
      </c>
      <c r="W1107" s="2" t="inlineStr">
        <is>
          <t>low</t>
        </is>
      </c>
      <c r="X1107" s="3" t="inlineStr"/>
      <c r="Y1107" s="3" t="inlineStr">
        <is>
          <t>100% of this dish's available carbohydrate comes from ingredients with a published, measured GI; the rest uses conventional placeholders (see Ingredients sheet)</t>
        </is>
      </c>
      <c r="Z1107" s="2" t="n">
        <v>100</v>
      </c>
      <c r="AA1107" s="3" t="inlineStr">
        <is>
          <t>vegan, gluten-free, dairy-free, nut-free, low-carb</t>
        </is>
      </c>
      <c r="AB1107" s="3" t="inlineStr">
        <is>
          <t>1. Melt the chocolate with the coconut oil.
2. Dip the dry strawberries.
3. Set on parchment in the fridge for 15 minutes.</t>
        </is>
      </c>
      <c r="AC1107" s="4" t="inlineStr">
        <is>
          <t>["Melt the chocolate with the coconut oil.", "Dip the dry strawberries.", "Set on parchment in the fridge for 15 minutes."]</t>
        </is>
      </c>
    </row>
    <row r="1108" ht="96" customHeight="1">
      <c r="A1108" s="2" t="inlineStr">
        <is>
          <t>DB-1107</t>
        </is>
      </c>
      <c r="B1108" s="3" t="inlineStr">
        <is>
          <t>Green Smoothie with Spinach and Pineapple</t>
        </is>
      </c>
      <c r="C1108" s="4" t="inlineStr">
        <is>
          <t>Drinks &amp; Smoothies</t>
        </is>
      </c>
      <c r="D1108" s="4" t="inlineStr">
        <is>
          <t>American</t>
        </is>
      </c>
      <c r="E1108" s="2" t="n">
        <v>2</v>
      </c>
      <c r="F1108" s="2" t="n">
        <v>5</v>
      </c>
      <c r="G1108" s="2" t="n">
        <v>0</v>
      </c>
      <c r="H1108" s="2" t="n">
        <v>5</v>
      </c>
      <c r="I1108" s="4" t="inlineStr">
        <is>
          <t>green-smoothie-with-spinach-and-pineapple.jpg</t>
        </is>
      </c>
      <c r="J1108" s="3" t="inlineStr">
        <is>
          <t>Green Smoothie with Spinach and Pineapple, healthy food photography, plated, natural light</t>
        </is>
      </c>
      <c r="K1108" s="4" t="inlineStr"/>
      <c r="L1108" s="3" t="inlineStr">
        <is>
          <t>Spinach — 60 g (2.1 oz)
Pineapple — 100 g (3.5 oz)
Greek yogurt, plain 2% — 200 g (7.1 oz)
Almond milk, unsweetened — 200 g (7.1 oz)
Chia seeds — 10 g (0.4 oz)
Lime juice — 10 g (0.4 oz)</t>
        </is>
      </c>
      <c r="M1108" s="4" t="inlineStr">
        <is>
          <t>[{"ingredient_id": "spinach", "name": "Spinach", "grams": 60.0, "note": ""}, {"ingredient_id": "pineapple", "name": "Pineapple", "grams": 100.0, "note": ""}, {"ingredient_id": "greek_yogurt", "name": "Greek yogurt, plain 2%", "grams": 200.0, "note": ""}, {"ingredient_id": "almond_milk", "name": "Almond milk, unsweetened", "grams": 200.0, "note": ""}, {"ingredient_id": "chia_seeds", "name": "Chia seeds", "grams": 10.0, "note": ""}, {"ingredient_id": "lime_juice", "name": "Lime juice", "grams": 10.0, "note": ""}]</t>
        </is>
      </c>
      <c r="N1108" s="2" t="n">
        <v>145</v>
      </c>
      <c r="O1108" s="5" t="n">
        <v>12.6</v>
      </c>
      <c r="P1108" s="5" t="n">
        <v>4.9</v>
      </c>
      <c r="Q1108" s="5" t="n">
        <v>14.7</v>
      </c>
      <c r="R1108" s="5" t="n">
        <v>3.1</v>
      </c>
      <c r="S1108" s="5" t="n">
        <v>11.6</v>
      </c>
      <c r="T1108" s="2" t="n">
        <v>42</v>
      </c>
      <c r="U1108" s="2" t="inlineStr">
        <is>
          <t>low</t>
        </is>
      </c>
      <c r="V1108" s="5" t="n">
        <v>4.9</v>
      </c>
      <c r="W1108" s="2" t="inlineStr">
        <is>
          <t>low</t>
        </is>
      </c>
      <c r="X1108" s="3" t="inlineStr"/>
      <c r="Y1108" s="3" t="inlineStr">
        <is>
          <t>84% of this dish's available carbohydrate comes from ingredients with a published, measured GI; the rest uses conventional placeholders (see Ingredients sheet)</t>
        </is>
      </c>
      <c r="Z1108" s="2" t="n">
        <v>84</v>
      </c>
      <c r="AA1108" s="3" t="inlineStr">
        <is>
          <t>vegetarian, gluten-free, low-carb, no-cook</t>
        </is>
      </c>
      <c r="AB1108" s="3" t="inlineStr">
        <is>
          <t>1. Blend everything until smooth.
2. Serve cold.</t>
        </is>
      </c>
      <c r="AC1108" s="4" t="inlineStr">
        <is>
          <t>["Blend everything until smooth.", "Serve cold."]</t>
        </is>
      </c>
    </row>
    <row r="1109" ht="96" customHeight="1">
      <c r="A1109" s="2" t="inlineStr">
        <is>
          <t>DB-1108</t>
        </is>
      </c>
      <c r="B1109" s="3" t="inlineStr">
        <is>
          <t>Peanut Butter Chocolate Protein Shake</t>
        </is>
      </c>
      <c r="C1109" s="4" t="inlineStr">
        <is>
          <t>Drinks &amp; Smoothies</t>
        </is>
      </c>
      <c r="D1109" s="4" t="inlineStr">
        <is>
          <t>American</t>
        </is>
      </c>
      <c r="E1109" s="2" t="n">
        <v>1</v>
      </c>
      <c r="F1109" s="2" t="n">
        <v>3</v>
      </c>
      <c r="G1109" s="2" t="n">
        <v>0</v>
      </c>
      <c r="H1109" s="2" t="n">
        <v>3</v>
      </c>
      <c r="I1109" s="4" t="inlineStr">
        <is>
          <t>peanut-butter-chocolate-protein-shake.jpg</t>
        </is>
      </c>
      <c r="J1109" s="3" t="inlineStr">
        <is>
          <t>Peanut Butter Chocolate Protein Shake, healthy food photography, plated, natural light</t>
        </is>
      </c>
      <c r="K1109" s="4" t="inlineStr"/>
      <c r="L1109" s="3" t="inlineStr">
        <is>
          <t>Whey protein powder, unsweetened — 30 g (1.1 oz)
Almond milk, unsweetened — 250 g (8.8 oz)
Peanut butter, natural — 16 g (0.6 oz)
Cocoa powder, unsweetened — 8 g (0.3 oz)
Water / ice — 60 g (2.1 oz)</t>
        </is>
      </c>
      <c r="M1109" s="4" t="inlineStr">
        <is>
          <t>[{"ingredient_id": "whey_protein", "name": "Whey protein powder, unsweetened", "grams": 30.0, "note": ""}, {"ingredient_id": "almond_milk", "name": "Almond milk, unsweetened", "grams": 250.0, "note": ""}, {"ingredient_id": "peanut_butter", "name": "Peanut butter, natural", "grams": 16.0, "note": ""}, {"ingredient_id": "cocoa_powder", "name": "Cocoa powder, unsweetened", "grams": 8.0, "note": ""}, {"ingredient_id": "water", "name": "Water / ice", "grams": 60.0, "note": ""}]</t>
        </is>
      </c>
      <c r="N1109" s="2" t="n">
        <v>264</v>
      </c>
      <c r="O1109" s="5" t="n">
        <v>30.5</v>
      </c>
      <c r="P1109" s="5" t="n">
        <v>13.6</v>
      </c>
      <c r="Q1109" s="5" t="n">
        <v>11.7</v>
      </c>
      <c r="R1109" s="5" t="n">
        <v>3.9</v>
      </c>
      <c r="S1109" s="5" t="n">
        <v>7.8</v>
      </c>
      <c r="T1109" s="2" t="n">
        <v>22</v>
      </c>
      <c r="U1109" s="2" t="inlineStr">
        <is>
          <t>low</t>
        </is>
      </c>
      <c r="V1109" s="5" t="n">
        <v>1.7</v>
      </c>
      <c r="W1109" s="2" t="inlineStr">
        <is>
          <t>low</t>
        </is>
      </c>
      <c r="X1109" s="3" t="inlineStr"/>
      <c r="Y1109" s="3" t="inlineStr">
        <is>
          <t>27% of this dish's available carbohydrate comes from ingredients with a published, measured GI; the rest uses conventional placeholders (see Ingredients sheet)</t>
        </is>
      </c>
      <c r="Z1109" s="2" t="n">
        <v>27</v>
      </c>
      <c r="AA1109" s="3" t="inlineStr">
        <is>
          <t>vegetarian, gluten-free, low-carb, high-protein, no-cook</t>
        </is>
      </c>
      <c r="AB1109" s="3" t="inlineStr">
        <is>
          <t>1. Blend with ice until smooth.</t>
        </is>
      </c>
      <c r="AC1109" s="4" t="inlineStr">
        <is>
          <t>["Blend with ice until smooth."]</t>
        </is>
      </c>
    </row>
    <row r="1110" ht="96" customHeight="1">
      <c r="A1110" s="2" t="inlineStr">
        <is>
          <t>DB-1109</t>
        </is>
      </c>
      <c r="B1110" s="3" t="inlineStr">
        <is>
          <t>Mixed Berry Kefir Smoothie with Flax</t>
        </is>
      </c>
      <c r="C1110" s="4" t="inlineStr">
        <is>
          <t>Drinks &amp; Smoothies</t>
        </is>
      </c>
      <c r="D1110" s="4" t="inlineStr">
        <is>
          <t>American</t>
        </is>
      </c>
      <c r="E1110" s="2" t="n">
        <v>2</v>
      </c>
      <c r="F1110" s="2" t="n">
        <v>5</v>
      </c>
      <c r="G1110" s="2" t="n">
        <v>0</v>
      </c>
      <c r="H1110" s="2" t="n">
        <v>5</v>
      </c>
      <c r="I1110" s="4" t="inlineStr">
        <is>
          <t>mixed-berry-kefir-smoothie-with-flax.jpg</t>
        </is>
      </c>
      <c r="J1110" s="3" t="inlineStr">
        <is>
          <t>Mixed Berry Kefir Smoothie with Flax, healthy food photography, plated, natural light</t>
        </is>
      </c>
      <c r="K1110" s="4" t="inlineStr"/>
      <c r="L1110" s="3" t="inlineStr">
        <is>
          <t>Kefir, plain — 300 g (10.6 oz)
Mixed berries, frozen — 150 g (5.3 oz)
Ground flaxseed — 15 g (0.5 oz)
Vanilla extract — 3 g (0.1 oz)</t>
        </is>
      </c>
      <c r="M1110" s="4" t="inlineStr">
        <is>
          <t>[{"ingredient_id": "kefir", "name": "Kefir, plain", "grams": 300.0, "note": ""}, {"ingredient_id": "mixed_berries", "name": "Mixed berries, frozen", "grams": 150.0, "note": ""}, {"ingredient_id": "flaxseed", "name": "Ground flaxseed", "grams": 15.0, "note": ""}, {"ingredient_id": "vanilla_extract", "name": "Vanilla extract", "grams": 3.0, "note": ""}]</t>
        </is>
      </c>
      <c r="N1110" s="2" t="n">
        <v>140</v>
      </c>
      <c r="O1110" s="5" t="n">
        <v>6.9</v>
      </c>
      <c r="P1110" s="5" t="n">
        <v>5</v>
      </c>
      <c r="Q1110" s="5" t="n">
        <v>16.6</v>
      </c>
      <c r="R1110" s="5" t="n">
        <v>5</v>
      </c>
      <c r="S1110" s="5" t="n">
        <v>11.6</v>
      </c>
      <c r="T1110" s="2" t="n">
        <v>37</v>
      </c>
      <c r="U1110" s="2" t="inlineStr">
        <is>
          <t>low</t>
        </is>
      </c>
      <c r="V1110" s="5" t="n">
        <v>4.3</v>
      </c>
      <c r="W1110" s="2" t="inlineStr">
        <is>
          <t>low</t>
        </is>
      </c>
      <c r="X1110" s="3" t="inlineStr"/>
      <c r="Y1110" s="3" t="inlineStr">
        <is>
          <t>52% of this dish's available carbohydrate comes from ingredients with a published, measured GI; the rest uses conventional placeholders (see Ingredients sheet)</t>
        </is>
      </c>
      <c r="Z1110" s="2" t="n">
        <v>52</v>
      </c>
      <c r="AA1110" s="3" t="inlineStr">
        <is>
          <t>vegetarian, gluten-free, nut-free, low-carb, no-cook</t>
        </is>
      </c>
      <c r="AB1110" s="3" t="inlineStr">
        <is>
          <t>1. Blend everything until smooth.</t>
        </is>
      </c>
      <c r="AC1110" s="4" t="inlineStr">
        <is>
          <t>["Blend everything until smooth."]</t>
        </is>
      </c>
    </row>
    <row r="1111" ht="96" customHeight="1">
      <c r="A1111" s="2" t="inlineStr">
        <is>
          <t>DB-1110</t>
        </is>
      </c>
      <c r="B1111" s="3" t="inlineStr">
        <is>
          <t>Iced Green Tea with Lemon and Mint</t>
        </is>
      </c>
      <c r="C1111" s="4" t="inlineStr">
        <is>
          <t>Drinks &amp; Smoothies</t>
        </is>
      </c>
      <c r="D1111" s="4" t="inlineStr">
        <is>
          <t>American</t>
        </is>
      </c>
      <c r="E1111" s="2" t="n">
        <v>4</v>
      </c>
      <c r="F1111" s="2" t="n">
        <v>5</v>
      </c>
      <c r="G1111" s="2" t="n">
        <v>5</v>
      </c>
      <c r="H1111" s="2" t="n">
        <v>10</v>
      </c>
      <c r="I1111" s="4" t="inlineStr">
        <is>
          <t>iced-green-tea-with-lemon-and-mint.jpg</t>
        </is>
      </c>
      <c r="J1111" s="3" t="inlineStr">
        <is>
          <t>Iced Green Tea with Lemon and Mint, healthy food photography, plated, natural light</t>
        </is>
      </c>
      <c r="K1111" s="4" t="inlineStr"/>
      <c r="L1111" s="3" t="inlineStr">
        <is>
          <t>Brewed green tea — 1000 g (35.3 oz)
Lemon juice — 40 g (1.4 oz)
Fresh mint — 6 g (0.2 oz)
Stevia (liquid) — 1 g (0.0 oz)</t>
        </is>
      </c>
      <c r="M1111" s="4" t="inlineStr">
        <is>
          <t>[{"ingredient_id": "green_tea", "name": "Brewed green tea", "grams": 1000.0, "note": ""}, {"ingredient_id": "lemon_juice", "name": "Lemon juice", "grams": 40.0, "note": ""}, {"ingredient_id": "mint", "name": "Fresh mint", "grams": 6.0, "note": ""}, {"ingredient_id": "stevia", "name": "Stevia (liquid)", "grams": 1.0, "note": ""}]</t>
        </is>
      </c>
      <c r="N1111" s="2" t="n">
        <v>3</v>
      </c>
      <c r="O1111" s="5" t="n">
        <v>0.1</v>
      </c>
      <c r="P1111" s="5" t="n">
        <v>0</v>
      </c>
      <c r="Q1111" s="5" t="n">
        <v>0.8</v>
      </c>
      <c r="R1111" s="5" t="n">
        <v>0.1</v>
      </c>
      <c r="S1111" s="5" t="n">
        <v>0.7</v>
      </c>
      <c r="T1111" s="2" t="n">
        <v>20</v>
      </c>
      <c r="U1111" s="2" t="inlineStr">
        <is>
          <t>low</t>
        </is>
      </c>
      <c r="V1111" s="5" t="n">
        <v>0.1</v>
      </c>
      <c r="W1111" s="2" t="inlineStr">
        <is>
          <t>low</t>
        </is>
      </c>
      <c r="X1111" s="3" t="inlineStr">
        <is>
          <t>Negligible carbohydrate (&lt;5 g net/serving): GI has little practical meaning, glycemic load is what matters.</t>
        </is>
      </c>
      <c r="Y1111" s="3" t="inlineStr">
        <is>
          <t>0% of this dish's available carbohydrate comes from ingredients with a published, measured GI; the rest uses conventional placeholders (see Ingredients sheet)</t>
        </is>
      </c>
      <c r="Z1111" s="2" t="n">
        <v>0</v>
      </c>
      <c r="AA1111" s="3" t="inlineStr">
        <is>
          <t>vegan, gluten-free, dairy-free, nut-free, low-carb, no-cook</t>
        </is>
      </c>
      <c r="AB1111" s="3" t="inlineStr">
        <is>
          <t>1. Steep the tea and chill.
2. Add lemon, mint and a pinch of stevia.
3. Serve over ice.</t>
        </is>
      </c>
      <c r="AC1111" s="4" t="inlineStr">
        <is>
          <t>["Steep the tea and chill.", "Add lemon, mint and a pinch of stevia.", "Serve over ice."]</t>
        </is>
      </c>
    </row>
    <row r="1112" ht="96" customHeight="1">
      <c r="A1112" s="2" t="inlineStr">
        <is>
          <t>DB-1111</t>
        </is>
      </c>
      <c r="B1112" s="3" t="inlineStr">
        <is>
          <t>Golden Turmeric Latte</t>
        </is>
      </c>
      <c r="C1112" s="4" t="inlineStr">
        <is>
          <t>Drinks &amp; Smoothies</t>
        </is>
      </c>
      <c r="D1112" s="4" t="inlineStr">
        <is>
          <t>American</t>
        </is>
      </c>
      <c r="E1112" s="2" t="n">
        <v>2</v>
      </c>
      <c r="F1112" s="2" t="n">
        <v>3</v>
      </c>
      <c r="G1112" s="2" t="n">
        <v>5</v>
      </c>
      <c r="H1112" s="2" t="n">
        <v>8</v>
      </c>
      <c r="I1112" s="4" t="inlineStr">
        <is>
          <t>golden-turmeric-latte.jpg</t>
        </is>
      </c>
      <c r="J1112" s="3" t="inlineStr">
        <is>
          <t>Golden Turmeric Latte, healthy food photography, plated, natural light</t>
        </is>
      </c>
      <c r="K1112" s="4" t="inlineStr"/>
      <c r="L1112" s="3" t="inlineStr">
        <is>
          <t>Almond milk, unsweetened — 400 g (14.1 oz)
Ground turmeric — 2 g (0.1 oz)
Ground cinnamon — 1 g (0.0 oz)
Fresh ginger — 3 g (0.1 oz)
Black pepper — 1 g (0.0 oz)
Vanilla extract — 2 g (0.1 oz)</t>
        </is>
      </c>
      <c r="M1112" s="4" t="inlineStr">
        <is>
          <t>[{"ingredient_id": "almond_milk", "name": "Almond milk, unsweetened", "grams": 400.0, "note": ""}, {"ingredient_id": "turmeric", "name": "Ground turmeric", "grams": 2.0, "note": ""}, {"ingredient_id": "cinnamon", "name": "Ground cinnamon", "grams": 1.0, "note": ""}, {"ingredient_id": "ginger", "name": "Fresh ginger", "grams": 3.0, "note": ""}, {"ingredient_id": "black_pepper", "name": "Black pepper", "grams": 1.0, "note": ""}, {"ingredient_id": "vanilla_extract", "name": "Vanilla extract", "grams": 2.0, "note": ""}]</t>
        </is>
      </c>
      <c r="N1112" s="2" t="n">
        <v>40</v>
      </c>
      <c r="O1112" s="5" t="n">
        <v>1.4</v>
      </c>
      <c r="P1112" s="5" t="n">
        <v>2.5</v>
      </c>
      <c r="Q1112" s="5" t="n">
        <v>3</v>
      </c>
      <c r="R1112" s="5" t="n">
        <v>0.6</v>
      </c>
      <c r="S1112" s="5" t="n">
        <v>2.3</v>
      </c>
      <c r="T1112" s="2" t="n">
        <v>19</v>
      </c>
      <c r="U1112" s="2" t="inlineStr">
        <is>
          <t>low</t>
        </is>
      </c>
      <c r="V1112" s="5" t="n">
        <v>0.4</v>
      </c>
      <c r="W1112" s="2" t="inlineStr">
        <is>
          <t>low</t>
        </is>
      </c>
      <c r="X1112" s="3" t="inlineStr">
        <is>
          <t>Negligible carbohydrate (&lt;5 g net/serving): GI has little practical meaning, glycemic load is what matters.</t>
        </is>
      </c>
      <c r="Y1112" s="3" t="inlineStr">
        <is>
          <t>0% of this dish's available carbohydrate comes from ingredients with a published, measured GI; the rest uses conventional placeholders (see Ingredients sheet)</t>
        </is>
      </c>
      <c r="Z1112" s="2" t="n">
        <v>0</v>
      </c>
      <c r="AA1112" s="3" t="inlineStr">
        <is>
          <t>vegan, gluten-free, dairy-free, low-carb</t>
        </is>
      </c>
      <c r="AB1112" s="3" t="inlineStr">
        <is>
          <t>1. Warm the almond milk with the spices.
2. Whisk until frothy and serve.</t>
        </is>
      </c>
      <c r="AC1112" s="4" t="inlineStr">
        <is>
          <t>["Warm the almond milk with the spices.", "Whisk until frothy and serve."]</t>
        </is>
      </c>
    </row>
    <row r="1113" ht="96" customHeight="1">
      <c r="A1113" s="2" t="inlineStr">
        <is>
          <t>DB-1112</t>
        </is>
      </c>
      <c r="B1113" s="3" t="inlineStr">
        <is>
          <t>Cucumber Mint Sparkling Cooler</t>
        </is>
      </c>
      <c r="C1113" s="4" t="inlineStr">
        <is>
          <t>Drinks &amp; Smoothies</t>
        </is>
      </c>
      <c r="D1113" s="4" t="inlineStr">
        <is>
          <t>American</t>
        </is>
      </c>
      <c r="E1113" s="2" t="n">
        <v>2</v>
      </c>
      <c r="F1113" s="2" t="n">
        <v>5</v>
      </c>
      <c r="G1113" s="2" t="n">
        <v>0</v>
      </c>
      <c r="H1113" s="2" t="n">
        <v>5</v>
      </c>
      <c r="I1113" s="4" t="inlineStr">
        <is>
          <t>cucumber-mint-sparkling-cooler.jpg</t>
        </is>
      </c>
      <c r="J1113" s="3" t="inlineStr">
        <is>
          <t>Cucumber Mint Sparkling Cooler, healthy food photography, plated, natural light</t>
        </is>
      </c>
      <c r="K1113" s="4" t="inlineStr"/>
      <c r="L1113" s="3" t="inlineStr">
        <is>
          <t>Sparkling water — 500 g (17.6 oz)
Cucumber — 100 g (3.5 oz)
Fresh mint — 6 g (0.2 oz)
Lime juice — 20 g (0.7 oz)</t>
        </is>
      </c>
      <c r="M1113" s="4" t="inlineStr">
        <is>
          <t>[{"ingredient_id": "sparkling_water", "name": "Sparkling water", "grams": 500.0, "note": ""}, {"ingredient_id": "cucumber", "name": "Cucumber", "grams": 100.0, "note": ""}, {"ingredient_id": "mint", "name": "Fresh mint", "grams": 6.0, "note": ""}, {"ingredient_id": "lime_juice", "name": "Lime juice", "grams": 20.0, "note": ""}]</t>
        </is>
      </c>
      <c r="N1113" s="2" t="n">
        <v>11</v>
      </c>
      <c r="O1113" s="5" t="n">
        <v>0.5</v>
      </c>
      <c r="P1113" s="5" t="n">
        <v>0.1</v>
      </c>
      <c r="Q1113" s="5" t="n">
        <v>2.9</v>
      </c>
      <c r="R1113" s="5" t="n">
        <v>0.5</v>
      </c>
      <c r="S1113" s="5" t="n">
        <v>2.4</v>
      </c>
      <c r="T1113" s="2" t="n">
        <v>17</v>
      </c>
      <c r="U1113" s="2" t="inlineStr">
        <is>
          <t>low</t>
        </is>
      </c>
      <c r="V1113" s="5" t="n">
        <v>0.4</v>
      </c>
      <c r="W1113" s="2" t="inlineStr">
        <is>
          <t>low</t>
        </is>
      </c>
      <c r="X1113" s="3" t="inlineStr">
        <is>
          <t>Negligible carbohydrate (&lt;5 g net/serving): GI has little practical meaning, glycemic load is what matters.</t>
        </is>
      </c>
      <c r="Y1113" s="3" t="inlineStr">
        <is>
          <t>0% of this dish's available carbohydrate comes from ingredients with a published, measured GI; the rest uses conventional placeholders (see Ingredients sheet)</t>
        </is>
      </c>
      <c r="Z1113" s="2" t="n">
        <v>0</v>
      </c>
      <c r="AA1113" s="3" t="inlineStr">
        <is>
          <t>vegan, gluten-free, dairy-free, nut-free, low-carb, no-cook</t>
        </is>
      </c>
      <c r="AB1113" s="3" t="inlineStr">
        <is>
          <t>1. Muddle the cucumber and mint with the lime juice.
2. Top with sparkling water over ice.</t>
        </is>
      </c>
      <c r="AC1113" s="4" t="inlineStr">
        <is>
          <t>["Muddle the cucumber and mint with the lime juice.", "Top with sparkling water over ice."]</t>
        </is>
      </c>
    </row>
  </sheetData>
  <autoFilter ref="A1:AC1113"/>
  <conditionalFormatting sqref="T2:T1113">
    <cfRule type="cellIs" priority="1" operator="lessThanOrEqual" dxfId="0">
      <formula>55</formula>
    </cfRule>
    <cfRule type="cellIs" priority="2" operator="between" dxfId="1">
      <formula>56</formula>
      <formula>69</formula>
    </cfRule>
    <cfRule type="cellIs" priority="3" operator="greaterThanOrEqual" dxfId="2">
      <formula>70</formula>
    </cfRule>
  </conditionalFormatting>
  <conditionalFormatting sqref="V2:V1113">
    <cfRule type="cellIs" priority="4" operator="lessThanOrEqual" dxfId="0">
      <formula>10</formula>
    </cfRule>
    <cfRule type="cellIs" priority="5" operator="between" dxfId="1">
      <formula>10.01</formula>
      <formula>19.99</formula>
    </cfRule>
    <cfRule type="cellIs" priority="6" operator="greaterThanOrEqual" dxfId="2">
      <formula>20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12" customWidth="1" min="3" max="3"/>
    <col width="13" customWidth="1" min="4" max="4"/>
    <col width="10" customWidth="1" min="5" max="5"/>
    <col width="10" customWidth="1" min="6" max="6"/>
    <col width="10" customWidth="1" min="7" max="7"/>
    <col width="10" customWidth="1" min="8" max="8"/>
    <col width="12" customWidth="1" min="9" max="9"/>
    <col width="12" customWidth="1" min="10" max="10"/>
    <col width="18" customWidth="1" min="11" max="11"/>
    <col width="54" customWidth="1" min="12" max="12"/>
    <col width="34" customWidth="1" min="13" max="13"/>
    <col width="15" customWidth="1" min="14" max="14"/>
    <col width="62" customWidth="1" min="15" max="15"/>
    <col width="40" customWidth="1" min="16" max="16"/>
    <col width="12" customWidth="1" min="17" max="17"/>
  </cols>
  <sheetData>
    <row r="1">
      <c r="A1" s="1" t="inlineStr">
        <is>
          <t>ingredient_id</t>
        </is>
      </c>
      <c r="B1" s="1" t="inlineStr">
        <is>
          <t>name</t>
        </is>
      </c>
      <c r="C1" s="1" t="inlineStr">
        <is>
          <t>group</t>
        </is>
      </c>
      <c r="D1" s="1" t="inlineStr">
        <is>
          <t>kcal_per_100g</t>
        </is>
      </c>
      <c r="E1" s="1" t="inlineStr">
        <is>
          <t>protein_g</t>
        </is>
      </c>
      <c r="F1" s="1" t="inlineStr">
        <is>
          <t>fat_g</t>
        </is>
      </c>
      <c r="G1" s="1" t="inlineStr">
        <is>
          <t>carbs_g</t>
        </is>
      </c>
      <c r="H1" s="1" t="inlineStr">
        <is>
          <t>fiber_g</t>
        </is>
      </c>
      <c r="I1" s="1" t="inlineStr">
        <is>
          <t>net_carbs_g</t>
        </is>
      </c>
      <c r="J1" s="1" t="inlineStr">
        <is>
          <t>glycemic_index</t>
        </is>
      </c>
      <c r="K1" s="1" t="inlineStr">
        <is>
          <t>gi_confidence</t>
        </is>
      </c>
      <c r="L1" s="1" t="inlineStr">
        <is>
          <t>gi_source</t>
        </is>
      </c>
      <c r="M1" s="1" t="inlineStr">
        <is>
          <t>gi_evidence_basis</t>
        </is>
      </c>
      <c r="N1" s="1" t="inlineStr">
        <is>
          <t>gi_value_in_sources</t>
        </is>
      </c>
      <c r="O1" s="1" t="inlineStr">
        <is>
          <t>gi_citation</t>
        </is>
      </c>
      <c r="P1" s="1" t="inlineStr">
        <is>
          <t>nutrient_source</t>
        </is>
      </c>
      <c r="Q1" s="1" t="inlineStr">
        <is>
          <t>last_checked</t>
        </is>
      </c>
    </row>
    <row r="2">
      <c r="A2" s="6" t="inlineStr">
        <is>
          <t>chicken_breast</t>
        </is>
      </c>
      <c r="B2" s="6" t="inlineStr">
        <is>
          <t>Chicken breast, skinless</t>
        </is>
      </c>
      <c r="C2" s="6" t="inlineStr">
        <is>
          <t>protein</t>
        </is>
      </c>
      <c r="D2" s="6" t="n">
        <v>120</v>
      </c>
      <c r="E2" s="6" t="n">
        <v>22.5</v>
      </c>
      <c r="F2" s="6" t="n">
        <v>2.6</v>
      </c>
      <c r="G2" s="6" t="n">
        <v>0</v>
      </c>
      <c r="H2" s="6" t="n">
        <v>0</v>
      </c>
      <c r="I2" s="6" t="n">
        <v>0</v>
      </c>
      <c r="J2" s="6" t="n">
        <v>0</v>
      </c>
      <c r="K2" s="6" t="inlineStr">
        <is>
          <t>definitional</t>
        </is>
      </c>
      <c r="L2" s="7" t="inlineStr">
        <is>
          <t>No available carbohydrate — GI is 0 by definition (protein / fat / water)</t>
        </is>
      </c>
      <c r="M2" s="7" t="inlineStr">
        <is>
          <t>n/a</t>
        </is>
      </c>
      <c r="N2" s="6" t="inlineStr"/>
      <c r="O2" s="7" t="inlineStr">
        <is>
          <t>ISO 26642:2010</t>
        </is>
      </c>
      <c r="P2" s="7" t="inlineStr">
        <is>
          <t>USDA FoodData Central (SR Legacy / Foundation Foods), fdc.nal.usda.gov</t>
        </is>
      </c>
      <c r="Q2" s="6" t="inlineStr">
        <is>
          <t>2026-09-26</t>
        </is>
      </c>
    </row>
    <row r="3">
      <c r="A3" s="6" t="inlineStr">
        <is>
          <t>chicken_thigh</t>
        </is>
      </c>
      <c r="B3" s="6" t="inlineStr">
        <is>
          <t>Chicken thigh, skinless boneless</t>
        </is>
      </c>
      <c r="C3" s="6" t="inlineStr">
        <is>
          <t>protein</t>
        </is>
      </c>
      <c r="D3" s="6" t="n">
        <v>121</v>
      </c>
      <c r="E3" s="6" t="n">
        <v>19.7</v>
      </c>
      <c r="F3" s="6" t="n">
        <v>4.1</v>
      </c>
      <c r="G3" s="6" t="n">
        <v>0</v>
      </c>
      <c r="H3" s="6" t="n">
        <v>0</v>
      </c>
      <c r="I3" s="6" t="n">
        <v>0</v>
      </c>
      <c r="J3" s="6" t="n">
        <v>0</v>
      </c>
      <c r="K3" s="6" t="inlineStr">
        <is>
          <t>definitional</t>
        </is>
      </c>
      <c r="L3" s="7" t="inlineStr">
        <is>
          <t>No available carbohydrate — GI is 0 by definition (protein / fat / water)</t>
        </is>
      </c>
      <c r="M3" s="7" t="inlineStr">
        <is>
          <t>n/a</t>
        </is>
      </c>
      <c r="N3" s="6" t="inlineStr"/>
      <c r="O3" s="7" t="inlineStr">
        <is>
          <t>ISO 26642:2010</t>
        </is>
      </c>
      <c r="P3" s="7" t="inlineStr">
        <is>
          <t>USDA FoodData Central (SR Legacy / Foundation Foods), fdc.nal.usda.gov</t>
        </is>
      </c>
      <c r="Q3" s="6" t="inlineStr">
        <is>
          <t>2026-09-26</t>
        </is>
      </c>
    </row>
    <row r="4">
      <c r="A4" s="6" t="inlineStr">
        <is>
          <t>ground_chicken</t>
        </is>
      </c>
      <c r="B4" s="6" t="inlineStr">
        <is>
          <t>Ground chicken</t>
        </is>
      </c>
      <c r="C4" s="6" t="inlineStr">
        <is>
          <t>protein</t>
        </is>
      </c>
      <c r="D4" s="6" t="n">
        <v>143</v>
      </c>
      <c r="E4" s="6" t="n">
        <v>17</v>
      </c>
      <c r="F4" s="6" t="n">
        <v>8</v>
      </c>
      <c r="G4" s="6" t="n">
        <v>0</v>
      </c>
      <c r="H4" s="6" t="n">
        <v>0</v>
      </c>
      <c r="I4" s="6" t="n">
        <v>0</v>
      </c>
      <c r="J4" s="6" t="n">
        <v>0</v>
      </c>
      <c r="K4" s="6" t="inlineStr">
        <is>
          <t>definitional</t>
        </is>
      </c>
      <c r="L4" s="7" t="inlineStr">
        <is>
          <t>No available carbohydrate — GI is 0 by definition (protein / fat / water)</t>
        </is>
      </c>
      <c r="M4" s="7" t="inlineStr">
        <is>
          <t>n/a</t>
        </is>
      </c>
      <c r="N4" s="6" t="inlineStr"/>
      <c r="O4" s="7" t="inlineStr">
        <is>
          <t>ISO 26642:2010</t>
        </is>
      </c>
      <c r="P4" s="7" t="inlineStr">
        <is>
          <t>USDA FoodData Central (SR Legacy / Foundation Foods), fdc.nal.usda.gov</t>
        </is>
      </c>
      <c r="Q4" s="6" t="inlineStr">
        <is>
          <t>2026-09-26</t>
        </is>
      </c>
    </row>
    <row r="5">
      <c r="A5" s="6" t="inlineStr">
        <is>
          <t>rotisserie_chicken</t>
        </is>
      </c>
      <c r="B5" s="6" t="inlineStr">
        <is>
          <t>Rotisserie chicken, skin removed</t>
        </is>
      </c>
      <c r="C5" s="6" t="inlineStr">
        <is>
          <t>protein</t>
        </is>
      </c>
      <c r="D5" s="6" t="n">
        <v>160</v>
      </c>
      <c r="E5" s="6" t="n">
        <v>23</v>
      </c>
      <c r="F5" s="6" t="n">
        <v>7</v>
      </c>
      <c r="G5" s="6" t="n">
        <v>0</v>
      </c>
      <c r="H5" s="6" t="n">
        <v>0</v>
      </c>
      <c r="I5" s="6" t="n">
        <v>0</v>
      </c>
      <c r="J5" s="6" t="n">
        <v>0</v>
      </c>
      <c r="K5" s="6" t="inlineStr">
        <is>
          <t>definitional</t>
        </is>
      </c>
      <c r="L5" s="7" t="inlineStr">
        <is>
          <t>No available carbohydrate — GI is 0 by definition (protein / fat / water)</t>
        </is>
      </c>
      <c r="M5" s="7" t="inlineStr">
        <is>
          <t>n/a</t>
        </is>
      </c>
      <c r="N5" s="6" t="inlineStr"/>
      <c r="O5" s="7" t="inlineStr">
        <is>
          <t>ISO 26642:2010</t>
        </is>
      </c>
      <c r="P5" s="7" t="inlineStr">
        <is>
          <t>USDA FoodData Central (SR Legacy / Foundation Foods), fdc.nal.usda.gov</t>
        </is>
      </c>
      <c r="Q5" s="6" t="inlineStr">
        <is>
          <t>2026-09-26</t>
        </is>
      </c>
    </row>
    <row r="6">
      <c r="A6" s="6" t="inlineStr">
        <is>
          <t>chicken_sausage</t>
        </is>
      </c>
      <c r="B6" s="6" t="inlineStr">
        <is>
          <t>Chicken sausage</t>
        </is>
      </c>
      <c r="C6" s="6" t="inlineStr">
        <is>
          <t>protein</t>
        </is>
      </c>
      <c r="D6" s="6" t="n">
        <v>170</v>
      </c>
      <c r="E6" s="6" t="n">
        <v>15</v>
      </c>
      <c r="F6" s="6" t="n">
        <v>11</v>
      </c>
      <c r="G6" s="6" t="n">
        <v>2</v>
      </c>
      <c r="H6" s="6" t="n">
        <v>0</v>
      </c>
      <c r="I6" s="6" t="n">
        <v>2</v>
      </c>
      <c r="J6" s="6" t="n">
        <v>0</v>
      </c>
      <c r="K6" s="6" t="inlineStr">
        <is>
          <t>low</t>
        </is>
      </c>
      <c r="L6" s="7" t="inlineStr">
        <is>
          <t>Estimated from the closest tested food; no direct measurement found in the pooled sources</t>
        </is>
      </c>
      <c r="M6" s="7" t="inlineStr">
        <is>
          <t>no direct match</t>
        </is>
      </c>
      <c r="N6" s="6" t="inlineStr"/>
      <c r="O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 s="7" t="inlineStr">
        <is>
          <t>USDA FoodData Central (SR Legacy / Foundation Foods), fdc.nal.usda.gov</t>
        </is>
      </c>
      <c r="Q6" s="6" t="inlineStr">
        <is>
          <t>2026-09-26</t>
        </is>
      </c>
    </row>
    <row r="7">
      <c r="A7" s="6" t="inlineStr">
        <is>
          <t>turkey_breast</t>
        </is>
      </c>
      <c r="B7" s="6" t="inlineStr">
        <is>
          <t>Turkey breast, skinless</t>
        </is>
      </c>
      <c r="C7" s="6" t="inlineStr">
        <is>
          <t>protein</t>
        </is>
      </c>
      <c r="D7" s="6" t="n">
        <v>110</v>
      </c>
      <c r="E7" s="6" t="n">
        <v>24</v>
      </c>
      <c r="F7" s="6" t="n">
        <v>1</v>
      </c>
      <c r="G7" s="6" t="n">
        <v>0</v>
      </c>
      <c r="H7" s="6" t="n">
        <v>0</v>
      </c>
      <c r="I7" s="6" t="n">
        <v>0</v>
      </c>
      <c r="J7" s="6" t="n">
        <v>0</v>
      </c>
      <c r="K7" s="6" t="inlineStr">
        <is>
          <t>definitional</t>
        </is>
      </c>
      <c r="L7" s="7" t="inlineStr">
        <is>
          <t>No available carbohydrate — GI is 0 by definition (protein / fat / water)</t>
        </is>
      </c>
      <c r="M7" s="7" t="inlineStr">
        <is>
          <t>n/a</t>
        </is>
      </c>
      <c r="N7" s="6" t="inlineStr"/>
      <c r="O7" s="7" t="inlineStr">
        <is>
          <t>ISO 26642:2010</t>
        </is>
      </c>
      <c r="P7" s="7" t="inlineStr">
        <is>
          <t>USDA FoodData Central (SR Legacy / Foundation Foods), fdc.nal.usda.gov</t>
        </is>
      </c>
      <c r="Q7" s="6" t="inlineStr">
        <is>
          <t>2026-09-26</t>
        </is>
      </c>
    </row>
    <row r="8">
      <c r="A8" s="6" t="inlineStr">
        <is>
          <t>ground_turkey</t>
        </is>
      </c>
      <c r="B8" s="6" t="inlineStr">
        <is>
          <t>Ground turkey 93% lean</t>
        </is>
      </c>
      <c r="C8" s="6" t="inlineStr">
        <is>
          <t>protein</t>
        </is>
      </c>
      <c r="D8" s="6" t="n">
        <v>150</v>
      </c>
      <c r="E8" s="6" t="n">
        <v>18.7</v>
      </c>
      <c r="F8" s="6" t="n">
        <v>8</v>
      </c>
      <c r="G8" s="6" t="n">
        <v>0</v>
      </c>
      <c r="H8" s="6" t="n">
        <v>0</v>
      </c>
      <c r="I8" s="6" t="n">
        <v>0</v>
      </c>
      <c r="J8" s="6" t="n">
        <v>0</v>
      </c>
      <c r="K8" s="6" t="inlineStr">
        <is>
          <t>definitional</t>
        </is>
      </c>
      <c r="L8" s="7" t="inlineStr">
        <is>
          <t>No available carbohydrate — GI is 0 by definition (protein / fat / water)</t>
        </is>
      </c>
      <c r="M8" s="7" t="inlineStr">
        <is>
          <t>n/a</t>
        </is>
      </c>
      <c r="N8" s="6" t="inlineStr"/>
      <c r="O8" s="7" t="inlineStr">
        <is>
          <t>ISO 26642:2010</t>
        </is>
      </c>
      <c r="P8" s="7" t="inlineStr">
        <is>
          <t>USDA FoodData Central (SR Legacy / Foundation Foods), fdc.nal.usda.gov</t>
        </is>
      </c>
      <c r="Q8" s="6" t="inlineStr">
        <is>
          <t>2026-09-26</t>
        </is>
      </c>
    </row>
    <row r="9">
      <c r="A9" s="6" t="inlineStr">
        <is>
          <t>turkey_sausage</t>
        </is>
      </c>
      <c r="B9" s="6" t="inlineStr">
        <is>
          <t>Turkey sausage</t>
        </is>
      </c>
      <c r="C9" s="6" t="inlineStr">
        <is>
          <t>protein</t>
        </is>
      </c>
      <c r="D9" s="6" t="n">
        <v>155</v>
      </c>
      <c r="E9" s="6" t="n">
        <v>15</v>
      </c>
      <c r="F9" s="6" t="n">
        <v>10</v>
      </c>
      <c r="G9" s="6" t="n">
        <v>2</v>
      </c>
      <c r="H9" s="6" t="n">
        <v>0</v>
      </c>
      <c r="I9" s="6" t="n">
        <v>2</v>
      </c>
      <c r="J9" s="6" t="n">
        <v>0</v>
      </c>
      <c r="K9" s="6" t="inlineStr">
        <is>
          <t>low</t>
        </is>
      </c>
      <c r="L9" s="7" t="inlineStr">
        <is>
          <t>Estimated from the closest tested food; no direct measurement found in the pooled sources</t>
        </is>
      </c>
      <c r="M9" s="7" t="inlineStr">
        <is>
          <t>no direct match</t>
        </is>
      </c>
      <c r="N9" s="6" t="inlineStr"/>
      <c r="O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9" s="7" t="inlineStr">
        <is>
          <t>USDA FoodData Central (SR Legacy / Foundation Foods), fdc.nal.usda.gov</t>
        </is>
      </c>
      <c r="Q9" s="6" t="inlineStr">
        <is>
          <t>2026-09-26</t>
        </is>
      </c>
    </row>
    <row r="10">
      <c r="A10" s="6" t="inlineStr">
        <is>
          <t>turkey_bacon</t>
        </is>
      </c>
      <c r="B10" s="6" t="inlineStr">
        <is>
          <t>Turkey bacon</t>
        </is>
      </c>
      <c r="C10" s="6" t="inlineStr">
        <is>
          <t>protein</t>
        </is>
      </c>
      <c r="D10" s="6" t="n">
        <v>218</v>
      </c>
      <c r="E10" s="6" t="n">
        <v>18</v>
      </c>
      <c r="F10" s="6" t="n">
        <v>15</v>
      </c>
      <c r="G10" s="6" t="n">
        <v>2</v>
      </c>
      <c r="H10" s="6" t="n">
        <v>0</v>
      </c>
      <c r="I10" s="6" t="n">
        <v>2</v>
      </c>
      <c r="J10" s="6" t="n">
        <v>0</v>
      </c>
      <c r="K10" s="6" t="inlineStr">
        <is>
          <t>low</t>
        </is>
      </c>
      <c r="L10" s="7" t="inlineStr">
        <is>
          <t>Estimated from the closest tested food; no direct measurement found in the pooled sources</t>
        </is>
      </c>
      <c r="M10" s="7" t="inlineStr">
        <is>
          <t>no direct match</t>
        </is>
      </c>
      <c r="N10" s="6" t="inlineStr"/>
      <c r="O1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0" s="7" t="inlineStr">
        <is>
          <t>USDA FoodData Central (SR Legacy / Foundation Foods), fdc.nal.usda.gov</t>
        </is>
      </c>
      <c r="Q10" s="6" t="inlineStr">
        <is>
          <t>2026-09-26</t>
        </is>
      </c>
    </row>
    <row r="11">
      <c r="A11" s="6" t="inlineStr">
        <is>
          <t>deli_turkey</t>
        </is>
      </c>
      <c r="B11" s="6" t="inlineStr">
        <is>
          <t>Deli turkey breast, low sodium</t>
        </is>
      </c>
      <c r="C11" s="6" t="inlineStr">
        <is>
          <t>protein</t>
        </is>
      </c>
      <c r="D11" s="6" t="n">
        <v>104</v>
      </c>
      <c r="E11" s="6" t="n">
        <v>17</v>
      </c>
      <c r="F11" s="6" t="n">
        <v>1.5</v>
      </c>
      <c r="G11" s="6" t="n">
        <v>4</v>
      </c>
      <c r="H11" s="6" t="n">
        <v>0</v>
      </c>
      <c r="I11" s="6" t="n">
        <v>4</v>
      </c>
      <c r="J11" s="6" t="n">
        <v>0</v>
      </c>
      <c r="K11" s="6" t="inlineStr">
        <is>
          <t>low</t>
        </is>
      </c>
      <c r="L11" s="7" t="inlineStr">
        <is>
          <t>Estimated from the closest tested food; no direct measurement found in the pooled sources</t>
        </is>
      </c>
      <c r="M11" s="7" t="inlineStr">
        <is>
          <t>no direct match</t>
        </is>
      </c>
      <c r="N11" s="6" t="inlineStr"/>
      <c r="O1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1" s="7" t="inlineStr">
        <is>
          <t>USDA FoodData Central (SR Legacy / Foundation Foods), fdc.nal.usda.gov</t>
        </is>
      </c>
      <c r="Q11" s="6" t="inlineStr">
        <is>
          <t>2026-09-26</t>
        </is>
      </c>
    </row>
    <row r="12">
      <c r="A12" s="6" t="inlineStr">
        <is>
          <t>duck_breast</t>
        </is>
      </c>
      <c r="B12" s="6" t="inlineStr">
        <is>
          <t>Duck breast, skinless</t>
        </is>
      </c>
      <c r="C12" s="6" t="inlineStr">
        <is>
          <t>protein</t>
        </is>
      </c>
      <c r="D12" s="6" t="n">
        <v>135</v>
      </c>
      <c r="E12" s="6" t="n">
        <v>20</v>
      </c>
      <c r="F12" s="6" t="n">
        <v>5</v>
      </c>
      <c r="G12" s="6" t="n">
        <v>0</v>
      </c>
      <c r="H12" s="6" t="n">
        <v>0</v>
      </c>
      <c r="I12" s="6" t="n">
        <v>0</v>
      </c>
      <c r="J12" s="6" t="n">
        <v>0</v>
      </c>
      <c r="K12" s="6" t="inlineStr">
        <is>
          <t>definitional</t>
        </is>
      </c>
      <c r="L12" s="7" t="inlineStr">
        <is>
          <t>No available carbohydrate — GI is 0 by definition (protein / fat / water)</t>
        </is>
      </c>
      <c r="M12" s="7" t="inlineStr">
        <is>
          <t>n/a</t>
        </is>
      </c>
      <c r="N12" s="6" t="inlineStr"/>
      <c r="O12" s="7" t="inlineStr">
        <is>
          <t>ISO 26642:2010</t>
        </is>
      </c>
      <c r="P12" s="7" t="inlineStr">
        <is>
          <t>USDA FoodData Central (SR Legacy / Foundation Foods), fdc.nal.usda.gov</t>
        </is>
      </c>
      <c r="Q12" s="6" t="inlineStr">
        <is>
          <t>2026-09-26</t>
        </is>
      </c>
    </row>
    <row r="13">
      <c r="A13" s="6" t="inlineStr">
        <is>
          <t>ground_beef</t>
        </is>
      </c>
      <c r="B13" s="6" t="inlineStr">
        <is>
          <t>Ground beef 90% lean</t>
        </is>
      </c>
      <c r="C13" s="6" t="inlineStr">
        <is>
          <t>protein</t>
        </is>
      </c>
      <c r="D13" s="6" t="n">
        <v>176</v>
      </c>
      <c r="E13" s="6" t="n">
        <v>20</v>
      </c>
      <c r="F13" s="6" t="n">
        <v>10</v>
      </c>
      <c r="G13" s="6" t="n">
        <v>0</v>
      </c>
      <c r="H13" s="6" t="n">
        <v>0</v>
      </c>
      <c r="I13" s="6" t="n">
        <v>0</v>
      </c>
      <c r="J13" s="6" t="n">
        <v>0</v>
      </c>
      <c r="K13" s="6" t="inlineStr">
        <is>
          <t>definitional</t>
        </is>
      </c>
      <c r="L13" s="7" t="inlineStr">
        <is>
          <t>No available carbohydrate — GI is 0 by definition (protein / fat / water)</t>
        </is>
      </c>
      <c r="M13" s="7" t="inlineStr">
        <is>
          <t>n/a</t>
        </is>
      </c>
      <c r="N13" s="6" t="inlineStr"/>
      <c r="O13" s="7" t="inlineStr">
        <is>
          <t>ISO 26642:2010</t>
        </is>
      </c>
      <c r="P13" s="7" t="inlineStr">
        <is>
          <t>USDA FoodData Central (SR Legacy / Foundation Foods), fdc.nal.usda.gov</t>
        </is>
      </c>
      <c r="Q13" s="6" t="inlineStr">
        <is>
          <t>2026-09-26</t>
        </is>
      </c>
    </row>
    <row r="14">
      <c r="A14" s="6" t="inlineStr">
        <is>
          <t>beef_sirloin</t>
        </is>
      </c>
      <c r="B14" s="6" t="inlineStr">
        <is>
          <t>Beef sirloin, trimmed</t>
        </is>
      </c>
      <c r="C14" s="6" t="inlineStr">
        <is>
          <t>protein</t>
        </is>
      </c>
      <c r="D14" s="6" t="n">
        <v>130</v>
      </c>
      <c r="E14" s="6" t="n">
        <v>22</v>
      </c>
      <c r="F14" s="6" t="n">
        <v>4.5</v>
      </c>
      <c r="G14" s="6" t="n">
        <v>0</v>
      </c>
      <c r="H14" s="6" t="n">
        <v>0</v>
      </c>
      <c r="I14" s="6" t="n">
        <v>0</v>
      </c>
      <c r="J14" s="6" t="n">
        <v>0</v>
      </c>
      <c r="K14" s="6" t="inlineStr">
        <is>
          <t>definitional</t>
        </is>
      </c>
      <c r="L14" s="7" t="inlineStr">
        <is>
          <t>No available carbohydrate — GI is 0 by definition (protein / fat / water)</t>
        </is>
      </c>
      <c r="M14" s="7" t="inlineStr">
        <is>
          <t>n/a</t>
        </is>
      </c>
      <c r="N14" s="6" t="inlineStr"/>
      <c r="O14" s="7" t="inlineStr">
        <is>
          <t>ISO 26642:2010</t>
        </is>
      </c>
      <c r="P14" s="7" t="inlineStr">
        <is>
          <t>USDA FoodData Central (SR Legacy / Foundation Foods), fdc.nal.usda.gov</t>
        </is>
      </c>
      <c r="Q14" s="6" t="inlineStr">
        <is>
          <t>2026-09-26</t>
        </is>
      </c>
    </row>
    <row r="15">
      <c r="A15" s="6" t="inlineStr">
        <is>
          <t>flank_steak</t>
        </is>
      </c>
      <c r="B15" s="6" t="inlineStr">
        <is>
          <t>Flank steak</t>
        </is>
      </c>
      <c r="C15" s="6" t="inlineStr">
        <is>
          <t>protein</t>
        </is>
      </c>
      <c r="D15" s="6" t="n">
        <v>150</v>
      </c>
      <c r="E15" s="6" t="n">
        <v>21</v>
      </c>
      <c r="F15" s="6" t="n">
        <v>7</v>
      </c>
      <c r="G15" s="6" t="n">
        <v>0</v>
      </c>
      <c r="H15" s="6" t="n">
        <v>0</v>
      </c>
      <c r="I15" s="6" t="n">
        <v>0</v>
      </c>
      <c r="J15" s="6" t="n">
        <v>0</v>
      </c>
      <c r="K15" s="6" t="inlineStr">
        <is>
          <t>definitional</t>
        </is>
      </c>
      <c r="L15" s="7" t="inlineStr">
        <is>
          <t>No available carbohydrate — GI is 0 by definition (protein / fat / water)</t>
        </is>
      </c>
      <c r="M15" s="7" t="inlineStr">
        <is>
          <t>n/a</t>
        </is>
      </c>
      <c r="N15" s="6" t="inlineStr"/>
      <c r="O15" s="7" t="inlineStr">
        <is>
          <t>ISO 26642:2010</t>
        </is>
      </c>
      <c r="P15" s="7" t="inlineStr">
        <is>
          <t>USDA FoodData Central (SR Legacy / Foundation Foods), fdc.nal.usda.gov</t>
        </is>
      </c>
      <c r="Q15" s="6" t="inlineStr">
        <is>
          <t>2026-09-26</t>
        </is>
      </c>
    </row>
    <row r="16">
      <c r="A16" s="6" t="inlineStr">
        <is>
          <t>beef_chuck</t>
        </is>
      </c>
      <c r="B16" s="6" t="inlineStr">
        <is>
          <t>Beef chuck roast, trimmed</t>
        </is>
      </c>
      <c r="C16" s="6" t="inlineStr">
        <is>
          <t>protein</t>
        </is>
      </c>
      <c r="D16" s="6" t="n">
        <v>180</v>
      </c>
      <c r="E16" s="6" t="n">
        <v>20</v>
      </c>
      <c r="F16" s="6" t="n">
        <v>11</v>
      </c>
      <c r="G16" s="6" t="n">
        <v>0</v>
      </c>
      <c r="H16" s="6" t="n">
        <v>0</v>
      </c>
      <c r="I16" s="6" t="n">
        <v>0</v>
      </c>
      <c r="J16" s="6" t="n">
        <v>0</v>
      </c>
      <c r="K16" s="6" t="inlineStr">
        <is>
          <t>definitional</t>
        </is>
      </c>
      <c r="L16" s="7" t="inlineStr">
        <is>
          <t>No available carbohydrate — GI is 0 by definition (protein / fat / water)</t>
        </is>
      </c>
      <c r="M16" s="7" t="inlineStr">
        <is>
          <t>n/a</t>
        </is>
      </c>
      <c r="N16" s="6" t="inlineStr"/>
      <c r="O16" s="7" t="inlineStr">
        <is>
          <t>ISO 26642:2010</t>
        </is>
      </c>
      <c r="P16" s="7" t="inlineStr">
        <is>
          <t>USDA FoodData Central (SR Legacy / Foundation Foods), fdc.nal.usda.gov</t>
        </is>
      </c>
      <c r="Q16" s="6" t="inlineStr">
        <is>
          <t>2026-09-26</t>
        </is>
      </c>
    </row>
    <row r="17">
      <c r="A17" s="6" t="inlineStr">
        <is>
          <t>beef_tenderloin</t>
        </is>
      </c>
      <c r="B17" s="6" t="inlineStr">
        <is>
          <t>Beef tenderloin</t>
        </is>
      </c>
      <c r="C17" s="6" t="inlineStr">
        <is>
          <t>protein</t>
        </is>
      </c>
      <c r="D17" s="6" t="n">
        <v>145</v>
      </c>
      <c r="E17" s="6" t="n">
        <v>22</v>
      </c>
      <c r="F17" s="6" t="n">
        <v>6</v>
      </c>
      <c r="G17" s="6" t="n">
        <v>0</v>
      </c>
      <c r="H17" s="6" t="n">
        <v>0</v>
      </c>
      <c r="I17" s="6" t="n">
        <v>0</v>
      </c>
      <c r="J17" s="6" t="n">
        <v>0</v>
      </c>
      <c r="K17" s="6" t="inlineStr">
        <is>
          <t>definitional</t>
        </is>
      </c>
      <c r="L17" s="7" t="inlineStr">
        <is>
          <t>No available carbohydrate — GI is 0 by definition (protein / fat / water)</t>
        </is>
      </c>
      <c r="M17" s="7" t="inlineStr">
        <is>
          <t>n/a</t>
        </is>
      </c>
      <c r="N17" s="6" t="inlineStr"/>
      <c r="O17" s="7" t="inlineStr">
        <is>
          <t>ISO 26642:2010</t>
        </is>
      </c>
      <c r="P17" s="7" t="inlineStr">
        <is>
          <t>USDA FoodData Central (SR Legacy / Foundation Foods), fdc.nal.usda.gov</t>
        </is>
      </c>
      <c r="Q17" s="6" t="inlineStr">
        <is>
          <t>2026-09-26</t>
        </is>
      </c>
    </row>
    <row r="18">
      <c r="A18" s="6" t="inlineStr">
        <is>
          <t>bison</t>
        </is>
      </c>
      <c r="B18" s="6" t="inlineStr">
        <is>
          <t>Ground bison</t>
        </is>
      </c>
      <c r="C18" s="6" t="inlineStr">
        <is>
          <t>protein</t>
        </is>
      </c>
      <c r="D18" s="6" t="n">
        <v>145</v>
      </c>
      <c r="E18" s="6" t="n">
        <v>20</v>
      </c>
      <c r="F18" s="6" t="n">
        <v>7</v>
      </c>
      <c r="G18" s="6" t="n">
        <v>0</v>
      </c>
      <c r="H18" s="6" t="n">
        <v>0</v>
      </c>
      <c r="I18" s="6" t="n">
        <v>0</v>
      </c>
      <c r="J18" s="6" t="n">
        <v>0</v>
      </c>
      <c r="K18" s="6" t="inlineStr">
        <is>
          <t>definitional</t>
        </is>
      </c>
      <c r="L18" s="7" t="inlineStr">
        <is>
          <t>No available carbohydrate — GI is 0 by definition (protein / fat / water)</t>
        </is>
      </c>
      <c r="M18" s="7" t="inlineStr">
        <is>
          <t>n/a</t>
        </is>
      </c>
      <c r="N18" s="6" t="inlineStr"/>
      <c r="O18" s="7" t="inlineStr">
        <is>
          <t>ISO 26642:2010</t>
        </is>
      </c>
      <c r="P18" s="7" t="inlineStr">
        <is>
          <t>USDA FoodData Central (SR Legacy / Foundation Foods), fdc.nal.usda.gov</t>
        </is>
      </c>
      <c r="Q18" s="6" t="inlineStr">
        <is>
          <t>2026-09-26</t>
        </is>
      </c>
    </row>
    <row r="19">
      <c r="A19" s="6" t="inlineStr">
        <is>
          <t>venison</t>
        </is>
      </c>
      <c r="B19" s="6" t="inlineStr">
        <is>
          <t>Venison</t>
        </is>
      </c>
      <c r="C19" s="6" t="inlineStr">
        <is>
          <t>protein</t>
        </is>
      </c>
      <c r="D19" s="6" t="n">
        <v>120</v>
      </c>
      <c r="E19" s="6" t="n">
        <v>23</v>
      </c>
      <c r="F19" s="6" t="n">
        <v>2.4</v>
      </c>
      <c r="G19" s="6" t="n">
        <v>0</v>
      </c>
      <c r="H19" s="6" t="n">
        <v>0</v>
      </c>
      <c r="I19" s="6" t="n">
        <v>0</v>
      </c>
      <c r="J19" s="6" t="n">
        <v>0</v>
      </c>
      <c r="K19" s="6" t="inlineStr">
        <is>
          <t>definitional</t>
        </is>
      </c>
      <c r="L19" s="7" t="inlineStr">
        <is>
          <t>No available carbohydrate — GI is 0 by definition (protein / fat / water)</t>
        </is>
      </c>
      <c r="M19" s="7" t="inlineStr">
        <is>
          <t>n/a</t>
        </is>
      </c>
      <c r="N19" s="6" t="inlineStr"/>
      <c r="O19" s="7" t="inlineStr">
        <is>
          <t>ISO 26642:2010</t>
        </is>
      </c>
      <c r="P19" s="7" t="inlineStr">
        <is>
          <t>USDA FoodData Central (SR Legacy / Foundation Foods), fdc.nal.usda.gov</t>
        </is>
      </c>
      <c r="Q19" s="6" t="inlineStr">
        <is>
          <t>2026-09-26</t>
        </is>
      </c>
    </row>
    <row r="20">
      <c r="A20" s="6" t="inlineStr">
        <is>
          <t>pork_tenderloin</t>
        </is>
      </c>
      <c r="B20" s="6" t="inlineStr">
        <is>
          <t>Pork tenderloin</t>
        </is>
      </c>
      <c r="C20" s="6" t="inlineStr">
        <is>
          <t>protein</t>
        </is>
      </c>
      <c r="D20" s="6" t="n">
        <v>120</v>
      </c>
      <c r="E20" s="6" t="n">
        <v>21</v>
      </c>
      <c r="F20" s="6" t="n">
        <v>3.5</v>
      </c>
      <c r="G20" s="6" t="n">
        <v>0</v>
      </c>
      <c r="H20" s="6" t="n">
        <v>0</v>
      </c>
      <c r="I20" s="6" t="n">
        <v>0</v>
      </c>
      <c r="J20" s="6" t="n">
        <v>0</v>
      </c>
      <c r="K20" s="6" t="inlineStr">
        <is>
          <t>definitional</t>
        </is>
      </c>
      <c r="L20" s="7" t="inlineStr">
        <is>
          <t>No available carbohydrate — GI is 0 by definition (protein / fat / water)</t>
        </is>
      </c>
      <c r="M20" s="7" t="inlineStr">
        <is>
          <t>n/a</t>
        </is>
      </c>
      <c r="N20" s="6" t="inlineStr"/>
      <c r="O20" s="7" t="inlineStr">
        <is>
          <t>ISO 26642:2010</t>
        </is>
      </c>
      <c r="P20" s="7" t="inlineStr">
        <is>
          <t>USDA FoodData Central (SR Legacy / Foundation Foods), fdc.nal.usda.gov</t>
        </is>
      </c>
      <c r="Q20" s="6" t="inlineStr">
        <is>
          <t>2026-09-26</t>
        </is>
      </c>
    </row>
    <row r="21">
      <c r="A21" s="6" t="inlineStr">
        <is>
          <t>pork_chop</t>
        </is>
      </c>
      <c r="B21" s="6" t="inlineStr">
        <is>
          <t>Pork loin chop, trimmed</t>
        </is>
      </c>
      <c r="C21" s="6" t="inlineStr">
        <is>
          <t>protein</t>
        </is>
      </c>
      <c r="D21" s="6" t="n">
        <v>150</v>
      </c>
      <c r="E21" s="6" t="n">
        <v>22</v>
      </c>
      <c r="F21" s="6" t="n">
        <v>6.5</v>
      </c>
      <c r="G21" s="6" t="n">
        <v>0</v>
      </c>
      <c r="H21" s="6" t="n">
        <v>0</v>
      </c>
      <c r="I21" s="6" t="n">
        <v>0</v>
      </c>
      <c r="J21" s="6" t="n">
        <v>0</v>
      </c>
      <c r="K21" s="6" t="inlineStr">
        <is>
          <t>definitional</t>
        </is>
      </c>
      <c r="L21" s="7" t="inlineStr">
        <is>
          <t>No available carbohydrate — GI is 0 by definition (protein / fat / water)</t>
        </is>
      </c>
      <c r="M21" s="7" t="inlineStr">
        <is>
          <t>n/a</t>
        </is>
      </c>
      <c r="N21" s="6" t="inlineStr"/>
      <c r="O21" s="7" t="inlineStr">
        <is>
          <t>ISO 26642:2010</t>
        </is>
      </c>
      <c r="P21" s="7" t="inlineStr">
        <is>
          <t>USDA FoodData Central (SR Legacy / Foundation Foods), fdc.nal.usda.gov</t>
        </is>
      </c>
      <c r="Q21" s="6" t="inlineStr">
        <is>
          <t>2026-09-26</t>
        </is>
      </c>
    </row>
    <row r="22">
      <c r="A22" s="6" t="inlineStr">
        <is>
          <t>ground_pork</t>
        </is>
      </c>
      <c r="B22" s="6" t="inlineStr">
        <is>
          <t>Ground pork, lean</t>
        </is>
      </c>
      <c r="C22" s="6" t="inlineStr">
        <is>
          <t>protein</t>
        </is>
      </c>
      <c r="D22" s="6" t="n">
        <v>185</v>
      </c>
      <c r="E22" s="6" t="n">
        <v>19</v>
      </c>
      <c r="F22" s="6" t="n">
        <v>12</v>
      </c>
      <c r="G22" s="6" t="n">
        <v>0</v>
      </c>
      <c r="H22" s="6" t="n">
        <v>0</v>
      </c>
      <c r="I22" s="6" t="n">
        <v>0</v>
      </c>
      <c r="J22" s="6" t="n">
        <v>0</v>
      </c>
      <c r="K22" s="6" t="inlineStr">
        <is>
          <t>definitional</t>
        </is>
      </c>
      <c r="L22" s="7" t="inlineStr">
        <is>
          <t>No available carbohydrate — GI is 0 by definition (protein / fat / water)</t>
        </is>
      </c>
      <c r="M22" s="7" t="inlineStr">
        <is>
          <t>n/a</t>
        </is>
      </c>
      <c r="N22" s="6" t="inlineStr"/>
      <c r="O22" s="7" t="inlineStr">
        <is>
          <t>ISO 26642:2010</t>
        </is>
      </c>
      <c r="P22" s="7" t="inlineStr">
        <is>
          <t>USDA FoodData Central (SR Legacy / Foundation Foods), fdc.nal.usda.gov</t>
        </is>
      </c>
      <c r="Q22" s="6" t="inlineStr">
        <is>
          <t>2026-09-26</t>
        </is>
      </c>
    </row>
    <row r="23">
      <c r="A23" s="6" t="inlineStr">
        <is>
          <t>pork_shoulder</t>
        </is>
      </c>
      <c r="B23" s="6" t="inlineStr">
        <is>
          <t>Pork shoulder, trimmed</t>
        </is>
      </c>
      <c r="C23" s="6" t="inlineStr">
        <is>
          <t>protein</t>
        </is>
      </c>
      <c r="D23" s="6" t="n">
        <v>200</v>
      </c>
      <c r="E23" s="6" t="n">
        <v>19</v>
      </c>
      <c r="F23" s="6" t="n">
        <v>14</v>
      </c>
      <c r="G23" s="6" t="n">
        <v>0</v>
      </c>
      <c r="H23" s="6" t="n">
        <v>0</v>
      </c>
      <c r="I23" s="6" t="n">
        <v>0</v>
      </c>
      <c r="J23" s="6" t="n">
        <v>0</v>
      </c>
      <c r="K23" s="6" t="inlineStr">
        <is>
          <t>definitional</t>
        </is>
      </c>
      <c r="L23" s="7" t="inlineStr">
        <is>
          <t>No available carbohydrate — GI is 0 by definition (protein / fat / water)</t>
        </is>
      </c>
      <c r="M23" s="7" t="inlineStr">
        <is>
          <t>n/a</t>
        </is>
      </c>
      <c r="N23" s="6" t="inlineStr"/>
      <c r="O23" s="7" t="inlineStr">
        <is>
          <t>ISO 26642:2010</t>
        </is>
      </c>
      <c r="P23" s="7" t="inlineStr">
        <is>
          <t>USDA FoodData Central (SR Legacy / Foundation Foods), fdc.nal.usda.gov</t>
        </is>
      </c>
      <c r="Q23" s="6" t="inlineStr">
        <is>
          <t>2026-09-26</t>
        </is>
      </c>
    </row>
    <row r="24">
      <c r="A24" s="6" t="inlineStr">
        <is>
          <t>bacon</t>
        </is>
      </c>
      <c r="B24" s="6" t="inlineStr">
        <is>
          <t>Bacon</t>
        </is>
      </c>
      <c r="C24" s="6" t="inlineStr">
        <is>
          <t>protein</t>
        </is>
      </c>
      <c r="D24" s="6" t="n">
        <v>541</v>
      </c>
      <c r="E24" s="6" t="n">
        <v>37</v>
      </c>
      <c r="F24" s="6" t="n">
        <v>42</v>
      </c>
      <c r="G24" s="6" t="n">
        <v>1.4</v>
      </c>
      <c r="H24" s="6" t="n">
        <v>0</v>
      </c>
      <c r="I24" s="6" t="n">
        <v>1.4</v>
      </c>
      <c r="J24" s="6" t="n">
        <v>0</v>
      </c>
      <c r="K24" s="6" t="inlineStr">
        <is>
          <t>low</t>
        </is>
      </c>
      <c r="L24" s="7" t="inlineStr">
        <is>
          <t>Estimated from the closest tested food; no direct measurement found in the pooled sources</t>
        </is>
      </c>
      <c r="M24" s="7" t="inlineStr">
        <is>
          <t>no direct match</t>
        </is>
      </c>
      <c r="N24" s="6" t="inlineStr"/>
      <c r="O2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4" s="7" t="inlineStr">
        <is>
          <t>USDA FoodData Central (SR Legacy / Foundation Foods), fdc.nal.usda.gov</t>
        </is>
      </c>
      <c r="Q24" s="6" t="inlineStr">
        <is>
          <t>2026-09-26</t>
        </is>
      </c>
    </row>
    <row r="25">
      <c r="A25" s="6" t="inlineStr">
        <is>
          <t>canadian_bacon</t>
        </is>
      </c>
      <c r="B25" s="6" t="inlineStr">
        <is>
          <t>Canadian bacon</t>
        </is>
      </c>
      <c r="C25" s="6" t="inlineStr">
        <is>
          <t>protein</t>
        </is>
      </c>
      <c r="D25" s="6" t="n">
        <v>110</v>
      </c>
      <c r="E25" s="6" t="n">
        <v>20</v>
      </c>
      <c r="F25" s="6" t="n">
        <v>2</v>
      </c>
      <c r="G25" s="6" t="n">
        <v>1</v>
      </c>
      <c r="H25" s="6" t="n">
        <v>0</v>
      </c>
      <c r="I25" s="6" t="n">
        <v>1</v>
      </c>
      <c r="J25" s="6" t="n">
        <v>0</v>
      </c>
      <c r="K25" s="6" t="inlineStr">
        <is>
          <t>low</t>
        </is>
      </c>
      <c r="L25" s="7" t="inlineStr">
        <is>
          <t>Estimated from the closest tested food; no direct measurement found in the pooled sources</t>
        </is>
      </c>
      <c r="M25" s="7" t="inlineStr">
        <is>
          <t>no direct match</t>
        </is>
      </c>
      <c r="N25" s="6" t="inlineStr"/>
      <c r="O2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5" s="7" t="inlineStr">
        <is>
          <t>USDA FoodData Central (SR Legacy / Foundation Foods), fdc.nal.usda.gov</t>
        </is>
      </c>
      <c r="Q25" s="6" t="inlineStr">
        <is>
          <t>2026-09-26</t>
        </is>
      </c>
    </row>
    <row r="26">
      <c r="A26" s="6" t="inlineStr">
        <is>
          <t>ham</t>
        </is>
      </c>
      <c r="B26" s="6" t="inlineStr">
        <is>
          <t>Ham, lean</t>
        </is>
      </c>
      <c r="C26" s="6" t="inlineStr">
        <is>
          <t>protein</t>
        </is>
      </c>
      <c r="D26" s="6" t="n">
        <v>145</v>
      </c>
      <c r="E26" s="6" t="n">
        <v>21</v>
      </c>
      <c r="F26" s="6" t="n">
        <v>6</v>
      </c>
      <c r="G26" s="6" t="n">
        <v>1.5</v>
      </c>
      <c r="H26" s="6" t="n">
        <v>0</v>
      </c>
      <c r="I26" s="6" t="n">
        <v>1.5</v>
      </c>
      <c r="J26" s="6" t="n">
        <v>0</v>
      </c>
      <c r="K26" s="6" t="inlineStr">
        <is>
          <t>low</t>
        </is>
      </c>
      <c r="L26" s="7" t="inlineStr">
        <is>
          <t>Estimated from the closest tested food; no direct measurement found in the pooled sources</t>
        </is>
      </c>
      <c r="M26" s="7" t="inlineStr">
        <is>
          <t>no direct match</t>
        </is>
      </c>
      <c r="N26" s="6" t="inlineStr"/>
      <c r="O2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 s="7" t="inlineStr">
        <is>
          <t>USDA FoodData Central (SR Legacy / Foundation Foods), fdc.nal.usda.gov</t>
        </is>
      </c>
      <c r="Q26" s="6" t="inlineStr">
        <is>
          <t>2026-09-26</t>
        </is>
      </c>
    </row>
    <row r="27">
      <c r="A27" s="6" t="inlineStr">
        <is>
          <t>prosciutto</t>
        </is>
      </c>
      <c r="B27" s="6" t="inlineStr">
        <is>
          <t>Prosciutto</t>
        </is>
      </c>
      <c r="C27" s="6" t="inlineStr">
        <is>
          <t>protein</t>
        </is>
      </c>
      <c r="D27" s="6" t="n">
        <v>250</v>
      </c>
      <c r="E27" s="6" t="n">
        <v>26</v>
      </c>
      <c r="F27" s="6" t="n">
        <v>16</v>
      </c>
      <c r="G27" s="6" t="n">
        <v>0</v>
      </c>
      <c r="H27" s="6" t="n">
        <v>0</v>
      </c>
      <c r="I27" s="6" t="n">
        <v>0</v>
      </c>
      <c r="J27" s="6" t="n">
        <v>0</v>
      </c>
      <c r="K27" s="6" t="inlineStr">
        <is>
          <t>definitional</t>
        </is>
      </c>
      <c r="L27" s="7" t="inlineStr">
        <is>
          <t>No available carbohydrate — GI is 0 by definition (protein / fat / water)</t>
        </is>
      </c>
      <c r="M27" s="7" t="inlineStr">
        <is>
          <t>n/a</t>
        </is>
      </c>
      <c r="N27" s="6" t="inlineStr"/>
      <c r="O27" s="7" t="inlineStr">
        <is>
          <t>ISO 26642:2010</t>
        </is>
      </c>
      <c r="P27" s="7" t="inlineStr">
        <is>
          <t>USDA FoodData Central (SR Legacy / Foundation Foods), fdc.nal.usda.gov</t>
        </is>
      </c>
      <c r="Q27" s="6" t="inlineStr">
        <is>
          <t>2026-09-26</t>
        </is>
      </c>
    </row>
    <row r="28">
      <c r="A28" s="6" t="inlineStr">
        <is>
          <t>lamb_leg</t>
        </is>
      </c>
      <c r="B28" s="6" t="inlineStr">
        <is>
          <t>Lamb leg, trimmed</t>
        </is>
      </c>
      <c r="C28" s="6" t="inlineStr">
        <is>
          <t>protein</t>
        </is>
      </c>
      <c r="D28" s="6" t="n">
        <v>160</v>
      </c>
      <c r="E28" s="6" t="n">
        <v>20</v>
      </c>
      <c r="F28" s="6" t="n">
        <v>9</v>
      </c>
      <c r="G28" s="6" t="n">
        <v>0</v>
      </c>
      <c r="H28" s="6" t="n">
        <v>0</v>
      </c>
      <c r="I28" s="6" t="n">
        <v>0</v>
      </c>
      <c r="J28" s="6" t="n">
        <v>0</v>
      </c>
      <c r="K28" s="6" t="inlineStr">
        <is>
          <t>definitional</t>
        </is>
      </c>
      <c r="L28" s="7" t="inlineStr">
        <is>
          <t>No available carbohydrate — GI is 0 by definition (protein / fat / water)</t>
        </is>
      </c>
      <c r="M28" s="7" t="inlineStr">
        <is>
          <t>n/a</t>
        </is>
      </c>
      <c r="N28" s="6" t="inlineStr"/>
      <c r="O28" s="7" t="inlineStr">
        <is>
          <t>ISO 26642:2010</t>
        </is>
      </c>
      <c r="P28" s="7" t="inlineStr">
        <is>
          <t>USDA FoodData Central (SR Legacy / Foundation Foods), fdc.nal.usda.gov</t>
        </is>
      </c>
      <c r="Q28" s="6" t="inlineStr">
        <is>
          <t>2026-09-26</t>
        </is>
      </c>
    </row>
    <row r="29">
      <c r="A29" s="6" t="inlineStr">
        <is>
          <t>ground_lamb</t>
        </is>
      </c>
      <c r="B29" s="6" t="inlineStr">
        <is>
          <t>Ground lamb</t>
        </is>
      </c>
      <c r="C29" s="6" t="inlineStr">
        <is>
          <t>protein</t>
        </is>
      </c>
      <c r="D29" s="6" t="n">
        <v>282</v>
      </c>
      <c r="E29" s="6" t="n">
        <v>17</v>
      </c>
      <c r="F29" s="6" t="n">
        <v>23</v>
      </c>
      <c r="G29" s="6" t="n">
        <v>0</v>
      </c>
      <c r="H29" s="6" t="n">
        <v>0</v>
      </c>
      <c r="I29" s="6" t="n">
        <v>0</v>
      </c>
      <c r="J29" s="6" t="n">
        <v>0</v>
      </c>
      <c r="K29" s="6" t="inlineStr">
        <is>
          <t>definitional</t>
        </is>
      </c>
      <c r="L29" s="7" t="inlineStr">
        <is>
          <t>No available carbohydrate — GI is 0 by definition (protein / fat / water)</t>
        </is>
      </c>
      <c r="M29" s="7" t="inlineStr">
        <is>
          <t>n/a</t>
        </is>
      </c>
      <c r="N29" s="6" t="inlineStr"/>
      <c r="O29" s="7" t="inlineStr">
        <is>
          <t>ISO 26642:2010</t>
        </is>
      </c>
      <c r="P29" s="7" t="inlineStr">
        <is>
          <t>USDA FoodData Central (SR Legacy / Foundation Foods), fdc.nal.usda.gov</t>
        </is>
      </c>
      <c r="Q29" s="6" t="inlineStr">
        <is>
          <t>2026-09-26</t>
        </is>
      </c>
    </row>
    <row r="30">
      <c r="A30" s="6" t="inlineStr">
        <is>
          <t>lamb_chop</t>
        </is>
      </c>
      <c r="B30" s="6" t="inlineStr">
        <is>
          <t>Lamb loin chop, trimmed</t>
        </is>
      </c>
      <c r="C30" s="6" t="inlineStr">
        <is>
          <t>protein</t>
        </is>
      </c>
      <c r="D30" s="6" t="n">
        <v>170</v>
      </c>
      <c r="E30" s="6" t="n">
        <v>21</v>
      </c>
      <c r="F30" s="6" t="n">
        <v>9.5</v>
      </c>
      <c r="G30" s="6" t="n">
        <v>0</v>
      </c>
      <c r="H30" s="6" t="n">
        <v>0</v>
      </c>
      <c r="I30" s="6" t="n">
        <v>0</v>
      </c>
      <c r="J30" s="6" t="n">
        <v>0</v>
      </c>
      <c r="K30" s="6" t="inlineStr">
        <is>
          <t>definitional</t>
        </is>
      </c>
      <c r="L30" s="7" t="inlineStr">
        <is>
          <t>No available carbohydrate — GI is 0 by definition (protein / fat / water)</t>
        </is>
      </c>
      <c r="M30" s="7" t="inlineStr">
        <is>
          <t>n/a</t>
        </is>
      </c>
      <c r="N30" s="6" t="inlineStr"/>
      <c r="O30" s="7" t="inlineStr">
        <is>
          <t>ISO 26642:2010</t>
        </is>
      </c>
      <c r="P30" s="7" t="inlineStr">
        <is>
          <t>USDA FoodData Central (SR Legacy / Foundation Foods), fdc.nal.usda.gov</t>
        </is>
      </c>
      <c r="Q30" s="6" t="inlineStr">
        <is>
          <t>2026-09-26</t>
        </is>
      </c>
    </row>
    <row r="31">
      <c r="A31" s="6" t="inlineStr">
        <is>
          <t>salmon</t>
        </is>
      </c>
      <c r="B31" s="6" t="inlineStr">
        <is>
          <t>Salmon fillet</t>
        </is>
      </c>
      <c r="C31" s="6" t="inlineStr">
        <is>
          <t>seafood</t>
        </is>
      </c>
      <c r="D31" s="6" t="n">
        <v>208</v>
      </c>
      <c r="E31" s="6" t="n">
        <v>20</v>
      </c>
      <c r="F31" s="6" t="n">
        <v>13</v>
      </c>
      <c r="G31" s="6" t="n">
        <v>0</v>
      </c>
      <c r="H31" s="6" t="n">
        <v>0</v>
      </c>
      <c r="I31" s="6" t="n">
        <v>0</v>
      </c>
      <c r="J31" s="6" t="n">
        <v>0</v>
      </c>
      <c r="K31" s="6" t="inlineStr">
        <is>
          <t>definitional</t>
        </is>
      </c>
      <c r="L31" s="7" t="inlineStr">
        <is>
          <t>No available carbohydrate — GI is 0 by definition (protein / fat / water)</t>
        </is>
      </c>
      <c r="M31" s="7" t="inlineStr">
        <is>
          <t>n/a</t>
        </is>
      </c>
      <c r="N31" s="6" t="inlineStr"/>
      <c r="O31" s="7" t="inlineStr">
        <is>
          <t>ISO 26642:2010</t>
        </is>
      </c>
      <c r="P31" s="7" t="inlineStr">
        <is>
          <t>USDA FoodData Central (SR Legacy / Foundation Foods), fdc.nal.usda.gov</t>
        </is>
      </c>
      <c r="Q31" s="6" t="inlineStr">
        <is>
          <t>2026-09-26</t>
        </is>
      </c>
    </row>
    <row r="32">
      <c r="A32" s="6" t="inlineStr">
        <is>
          <t>smoked_salmon</t>
        </is>
      </c>
      <c r="B32" s="6" t="inlineStr">
        <is>
          <t>Smoked salmon</t>
        </is>
      </c>
      <c r="C32" s="6" t="inlineStr">
        <is>
          <t>seafood</t>
        </is>
      </c>
      <c r="D32" s="6" t="n">
        <v>117</v>
      </c>
      <c r="E32" s="6" t="n">
        <v>18</v>
      </c>
      <c r="F32" s="6" t="n">
        <v>4.3</v>
      </c>
      <c r="G32" s="6" t="n">
        <v>0</v>
      </c>
      <c r="H32" s="6" t="n">
        <v>0</v>
      </c>
      <c r="I32" s="6" t="n">
        <v>0</v>
      </c>
      <c r="J32" s="6" t="n">
        <v>0</v>
      </c>
      <c r="K32" s="6" t="inlineStr">
        <is>
          <t>definitional</t>
        </is>
      </c>
      <c r="L32" s="7" t="inlineStr">
        <is>
          <t>No available carbohydrate — GI is 0 by definition (protein / fat / water)</t>
        </is>
      </c>
      <c r="M32" s="7" t="inlineStr">
        <is>
          <t>n/a</t>
        </is>
      </c>
      <c r="N32" s="6" t="inlineStr"/>
      <c r="O32" s="7" t="inlineStr">
        <is>
          <t>ISO 26642:2010</t>
        </is>
      </c>
      <c r="P32" s="7" t="inlineStr">
        <is>
          <t>USDA FoodData Central (SR Legacy / Foundation Foods), fdc.nal.usda.gov</t>
        </is>
      </c>
      <c r="Q32" s="6" t="inlineStr">
        <is>
          <t>2026-09-26</t>
        </is>
      </c>
    </row>
    <row r="33">
      <c r="A33" s="6" t="inlineStr">
        <is>
          <t>canned_salmon</t>
        </is>
      </c>
      <c r="B33" s="6" t="inlineStr">
        <is>
          <t>Canned salmon</t>
        </is>
      </c>
      <c r="C33" s="6" t="inlineStr">
        <is>
          <t>seafood</t>
        </is>
      </c>
      <c r="D33" s="6" t="n">
        <v>140</v>
      </c>
      <c r="E33" s="6" t="n">
        <v>20</v>
      </c>
      <c r="F33" s="6" t="n">
        <v>6</v>
      </c>
      <c r="G33" s="6" t="n">
        <v>0</v>
      </c>
      <c r="H33" s="6" t="n">
        <v>0</v>
      </c>
      <c r="I33" s="6" t="n">
        <v>0</v>
      </c>
      <c r="J33" s="6" t="n">
        <v>0</v>
      </c>
      <c r="K33" s="6" t="inlineStr">
        <is>
          <t>definitional</t>
        </is>
      </c>
      <c r="L33" s="7" t="inlineStr">
        <is>
          <t>No available carbohydrate — GI is 0 by definition (protein / fat / water)</t>
        </is>
      </c>
      <c r="M33" s="7" t="inlineStr">
        <is>
          <t>n/a</t>
        </is>
      </c>
      <c r="N33" s="6" t="inlineStr"/>
      <c r="O33" s="7" t="inlineStr">
        <is>
          <t>ISO 26642:2010</t>
        </is>
      </c>
      <c r="P33" s="7" t="inlineStr">
        <is>
          <t>USDA FoodData Central (SR Legacy / Foundation Foods), fdc.nal.usda.gov</t>
        </is>
      </c>
      <c r="Q33" s="6" t="inlineStr">
        <is>
          <t>2026-09-26</t>
        </is>
      </c>
    </row>
    <row r="34">
      <c r="A34" s="6" t="inlineStr">
        <is>
          <t>tuna_canned</t>
        </is>
      </c>
      <c r="B34" s="6" t="inlineStr">
        <is>
          <t>Tuna, canned in water</t>
        </is>
      </c>
      <c r="C34" s="6" t="inlineStr">
        <is>
          <t>seafood</t>
        </is>
      </c>
      <c r="D34" s="6" t="n">
        <v>116</v>
      </c>
      <c r="E34" s="6" t="n">
        <v>26</v>
      </c>
      <c r="F34" s="6" t="n">
        <v>1</v>
      </c>
      <c r="G34" s="6" t="n">
        <v>0</v>
      </c>
      <c r="H34" s="6" t="n">
        <v>0</v>
      </c>
      <c r="I34" s="6" t="n">
        <v>0</v>
      </c>
      <c r="J34" s="6" t="n">
        <v>0</v>
      </c>
      <c r="K34" s="6" t="inlineStr">
        <is>
          <t>definitional</t>
        </is>
      </c>
      <c r="L34" s="7" t="inlineStr">
        <is>
          <t>No available carbohydrate — GI is 0 by definition (protein / fat / water)</t>
        </is>
      </c>
      <c r="M34" s="7" t="inlineStr">
        <is>
          <t>n/a</t>
        </is>
      </c>
      <c r="N34" s="6" t="inlineStr"/>
      <c r="O34" s="7" t="inlineStr">
        <is>
          <t>ISO 26642:2010</t>
        </is>
      </c>
      <c r="P34" s="7" t="inlineStr">
        <is>
          <t>USDA FoodData Central (SR Legacy / Foundation Foods), fdc.nal.usda.gov</t>
        </is>
      </c>
      <c r="Q34" s="6" t="inlineStr">
        <is>
          <t>2026-09-26</t>
        </is>
      </c>
    </row>
    <row r="35">
      <c r="A35" s="6" t="inlineStr">
        <is>
          <t>tuna_steak</t>
        </is>
      </c>
      <c r="B35" s="6" t="inlineStr">
        <is>
          <t>Tuna steak (ahi)</t>
        </is>
      </c>
      <c r="C35" s="6" t="inlineStr">
        <is>
          <t>seafood</t>
        </is>
      </c>
      <c r="D35" s="6" t="n">
        <v>109</v>
      </c>
      <c r="E35" s="6" t="n">
        <v>24</v>
      </c>
      <c r="F35" s="6" t="n">
        <v>1</v>
      </c>
      <c r="G35" s="6" t="n">
        <v>0</v>
      </c>
      <c r="H35" s="6" t="n">
        <v>0</v>
      </c>
      <c r="I35" s="6" t="n">
        <v>0</v>
      </c>
      <c r="J35" s="6" t="n">
        <v>0</v>
      </c>
      <c r="K35" s="6" t="inlineStr">
        <is>
          <t>definitional</t>
        </is>
      </c>
      <c r="L35" s="7" t="inlineStr">
        <is>
          <t>No available carbohydrate — GI is 0 by definition (protein / fat / water)</t>
        </is>
      </c>
      <c r="M35" s="7" t="inlineStr">
        <is>
          <t>n/a</t>
        </is>
      </c>
      <c r="N35" s="6" t="inlineStr"/>
      <c r="O35" s="7" t="inlineStr">
        <is>
          <t>ISO 26642:2010</t>
        </is>
      </c>
      <c r="P35" s="7" t="inlineStr">
        <is>
          <t>USDA FoodData Central (SR Legacy / Foundation Foods), fdc.nal.usda.gov</t>
        </is>
      </c>
      <c r="Q35" s="6" t="inlineStr">
        <is>
          <t>2026-09-26</t>
        </is>
      </c>
    </row>
    <row r="36">
      <c r="A36" s="6" t="inlineStr">
        <is>
          <t>cod</t>
        </is>
      </c>
      <c r="B36" s="6" t="inlineStr">
        <is>
          <t>Cod fillet</t>
        </is>
      </c>
      <c r="C36" s="6" t="inlineStr">
        <is>
          <t>seafood</t>
        </is>
      </c>
      <c r="D36" s="6" t="n">
        <v>82</v>
      </c>
      <c r="E36" s="6" t="n">
        <v>18</v>
      </c>
      <c r="F36" s="6" t="n">
        <v>0.7</v>
      </c>
      <c r="G36" s="6" t="n">
        <v>0</v>
      </c>
      <c r="H36" s="6" t="n">
        <v>0</v>
      </c>
      <c r="I36" s="6" t="n">
        <v>0</v>
      </c>
      <c r="J36" s="6" t="n">
        <v>0</v>
      </c>
      <c r="K36" s="6" t="inlineStr">
        <is>
          <t>definitional</t>
        </is>
      </c>
      <c r="L36" s="7" t="inlineStr">
        <is>
          <t>No available carbohydrate — GI is 0 by definition (protein / fat / water)</t>
        </is>
      </c>
      <c r="M36" s="7" t="inlineStr">
        <is>
          <t>n/a</t>
        </is>
      </c>
      <c r="N36" s="6" t="inlineStr"/>
      <c r="O36" s="7" t="inlineStr">
        <is>
          <t>ISO 26642:2010</t>
        </is>
      </c>
      <c r="P36" s="7" t="inlineStr">
        <is>
          <t>USDA FoodData Central (SR Legacy / Foundation Foods), fdc.nal.usda.gov</t>
        </is>
      </c>
      <c r="Q36" s="6" t="inlineStr">
        <is>
          <t>2026-09-26</t>
        </is>
      </c>
    </row>
    <row r="37">
      <c r="A37" s="6" t="inlineStr">
        <is>
          <t>halibut</t>
        </is>
      </c>
      <c r="B37" s="6" t="inlineStr">
        <is>
          <t>Halibut fillet</t>
        </is>
      </c>
      <c r="C37" s="6" t="inlineStr">
        <is>
          <t>seafood</t>
        </is>
      </c>
      <c r="D37" s="6" t="n">
        <v>111</v>
      </c>
      <c r="E37" s="6" t="n">
        <v>23</v>
      </c>
      <c r="F37" s="6" t="n">
        <v>2.3</v>
      </c>
      <c r="G37" s="6" t="n">
        <v>0</v>
      </c>
      <c r="H37" s="6" t="n">
        <v>0</v>
      </c>
      <c r="I37" s="6" t="n">
        <v>0</v>
      </c>
      <c r="J37" s="6" t="n">
        <v>0</v>
      </c>
      <c r="K37" s="6" t="inlineStr">
        <is>
          <t>definitional</t>
        </is>
      </c>
      <c r="L37" s="7" t="inlineStr">
        <is>
          <t>No available carbohydrate — GI is 0 by definition (protein / fat / water)</t>
        </is>
      </c>
      <c r="M37" s="7" t="inlineStr">
        <is>
          <t>n/a</t>
        </is>
      </c>
      <c r="N37" s="6" t="inlineStr"/>
      <c r="O37" s="7" t="inlineStr">
        <is>
          <t>ISO 26642:2010</t>
        </is>
      </c>
      <c r="P37" s="7" t="inlineStr">
        <is>
          <t>USDA FoodData Central (SR Legacy / Foundation Foods), fdc.nal.usda.gov</t>
        </is>
      </c>
      <c r="Q37" s="6" t="inlineStr">
        <is>
          <t>2026-09-26</t>
        </is>
      </c>
    </row>
    <row r="38">
      <c r="A38" s="6" t="inlineStr">
        <is>
          <t>tilapia</t>
        </is>
      </c>
      <c r="B38" s="6" t="inlineStr">
        <is>
          <t>Tilapia fillet</t>
        </is>
      </c>
      <c r="C38" s="6" t="inlineStr">
        <is>
          <t>seafood</t>
        </is>
      </c>
      <c r="D38" s="6" t="n">
        <v>96</v>
      </c>
      <c r="E38" s="6" t="n">
        <v>20</v>
      </c>
      <c r="F38" s="6" t="n">
        <v>1.7</v>
      </c>
      <c r="G38" s="6" t="n">
        <v>0</v>
      </c>
      <c r="H38" s="6" t="n">
        <v>0</v>
      </c>
      <c r="I38" s="6" t="n">
        <v>0</v>
      </c>
      <c r="J38" s="6" t="n">
        <v>0</v>
      </c>
      <c r="K38" s="6" t="inlineStr">
        <is>
          <t>definitional</t>
        </is>
      </c>
      <c r="L38" s="7" t="inlineStr">
        <is>
          <t>No available carbohydrate — GI is 0 by definition (protein / fat / water)</t>
        </is>
      </c>
      <c r="M38" s="7" t="inlineStr">
        <is>
          <t>n/a</t>
        </is>
      </c>
      <c r="N38" s="6" t="inlineStr"/>
      <c r="O38" s="7" t="inlineStr">
        <is>
          <t>ISO 26642:2010</t>
        </is>
      </c>
      <c r="P38" s="7" t="inlineStr">
        <is>
          <t>USDA FoodData Central (SR Legacy / Foundation Foods), fdc.nal.usda.gov</t>
        </is>
      </c>
      <c r="Q38" s="6" t="inlineStr">
        <is>
          <t>2026-09-26</t>
        </is>
      </c>
    </row>
    <row r="39">
      <c r="A39" s="6" t="inlineStr">
        <is>
          <t>trout</t>
        </is>
      </c>
      <c r="B39" s="6" t="inlineStr">
        <is>
          <t>Rainbow trout fillet</t>
        </is>
      </c>
      <c r="C39" s="6" t="inlineStr">
        <is>
          <t>seafood</t>
        </is>
      </c>
      <c r="D39" s="6" t="n">
        <v>119</v>
      </c>
      <c r="E39" s="6" t="n">
        <v>20</v>
      </c>
      <c r="F39" s="6" t="n">
        <v>3.5</v>
      </c>
      <c r="G39" s="6" t="n">
        <v>0</v>
      </c>
      <c r="H39" s="6" t="n">
        <v>0</v>
      </c>
      <c r="I39" s="6" t="n">
        <v>0</v>
      </c>
      <c r="J39" s="6" t="n">
        <v>0</v>
      </c>
      <c r="K39" s="6" t="inlineStr">
        <is>
          <t>definitional</t>
        </is>
      </c>
      <c r="L39" s="7" t="inlineStr">
        <is>
          <t>No available carbohydrate — GI is 0 by definition (protein / fat / water)</t>
        </is>
      </c>
      <c r="M39" s="7" t="inlineStr">
        <is>
          <t>n/a</t>
        </is>
      </c>
      <c r="N39" s="6" t="inlineStr"/>
      <c r="O39" s="7" t="inlineStr">
        <is>
          <t>ISO 26642:2010</t>
        </is>
      </c>
      <c r="P39" s="7" t="inlineStr">
        <is>
          <t>USDA FoodData Central (SR Legacy / Foundation Foods), fdc.nal.usda.gov</t>
        </is>
      </c>
      <c r="Q39" s="6" t="inlineStr">
        <is>
          <t>2026-09-26</t>
        </is>
      </c>
    </row>
    <row r="40">
      <c r="A40" s="6" t="inlineStr">
        <is>
          <t>mahi_mahi</t>
        </is>
      </c>
      <c r="B40" s="6" t="inlineStr">
        <is>
          <t>Mahi-mahi fillet</t>
        </is>
      </c>
      <c r="C40" s="6" t="inlineStr">
        <is>
          <t>seafood</t>
        </is>
      </c>
      <c r="D40" s="6" t="n">
        <v>85</v>
      </c>
      <c r="E40" s="6" t="n">
        <v>18.5</v>
      </c>
      <c r="F40" s="6" t="n">
        <v>0.7</v>
      </c>
      <c r="G40" s="6" t="n">
        <v>0</v>
      </c>
      <c r="H40" s="6" t="n">
        <v>0</v>
      </c>
      <c r="I40" s="6" t="n">
        <v>0</v>
      </c>
      <c r="J40" s="6" t="n">
        <v>0</v>
      </c>
      <c r="K40" s="6" t="inlineStr">
        <is>
          <t>definitional</t>
        </is>
      </c>
      <c r="L40" s="7" t="inlineStr">
        <is>
          <t>No available carbohydrate — GI is 0 by definition (protein / fat / water)</t>
        </is>
      </c>
      <c r="M40" s="7" t="inlineStr">
        <is>
          <t>n/a</t>
        </is>
      </c>
      <c r="N40" s="6" t="inlineStr"/>
      <c r="O40" s="7" t="inlineStr">
        <is>
          <t>ISO 26642:2010</t>
        </is>
      </c>
      <c r="P40" s="7" t="inlineStr">
        <is>
          <t>USDA FoodData Central (SR Legacy / Foundation Foods), fdc.nal.usda.gov</t>
        </is>
      </c>
      <c r="Q40" s="6" t="inlineStr">
        <is>
          <t>2026-09-26</t>
        </is>
      </c>
    </row>
    <row r="41">
      <c r="A41" s="6" t="inlineStr">
        <is>
          <t>sea_bass</t>
        </is>
      </c>
      <c r="B41" s="6" t="inlineStr">
        <is>
          <t>Sea bass fillet</t>
        </is>
      </c>
      <c r="C41" s="6" t="inlineStr">
        <is>
          <t>seafood</t>
        </is>
      </c>
      <c r="D41" s="6" t="n">
        <v>97</v>
      </c>
      <c r="E41" s="6" t="n">
        <v>18</v>
      </c>
      <c r="F41" s="6" t="n">
        <v>2</v>
      </c>
      <c r="G41" s="6" t="n">
        <v>0</v>
      </c>
      <c r="H41" s="6" t="n">
        <v>0</v>
      </c>
      <c r="I41" s="6" t="n">
        <v>0</v>
      </c>
      <c r="J41" s="6" t="n">
        <v>0</v>
      </c>
      <c r="K41" s="6" t="inlineStr">
        <is>
          <t>definitional</t>
        </is>
      </c>
      <c r="L41" s="7" t="inlineStr">
        <is>
          <t>No available carbohydrate — GI is 0 by definition (protein / fat / water)</t>
        </is>
      </c>
      <c r="M41" s="7" t="inlineStr">
        <is>
          <t>n/a</t>
        </is>
      </c>
      <c r="N41" s="6" t="inlineStr"/>
      <c r="O41" s="7" t="inlineStr">
        <is>
          <t>ISO 26642:2010</t>
        </is>
      </c>
      <c r="P41" s="7" t="inlineStr">
        <is>
          <t>USDA FoodData Central (SR Legacy / Foundation Foods), fdc.nal.usda.gov</t>
        </is>
      </c>
      <c r="Q41" s="6" t="inlineStr">
        <is>
          <t>2026-09-26</t>
        </is>
      </c>
    </row>
    <row r="42">
      <c r="A42" s="6" t="inlineStr">
        <is>
          <t>snapper</t>
        </is>
      </c>
      <c r="B42" s="6" t="inlineStr">
        <is>
          <t>Red snapper fillet</t>
        </is>
      </c>
      <c r="C42" s="6" t="inlineStr">
        <is>
          <t>seafood</t>
        </is>
      </c>
      <c r="D42" s="6" t="n">
        <v>100</v>
      </c>
      <c r="E42" s="6" t="n">
        <v>20</v>
      </c>
      <c r="F42" s="6" t="n">
        <v>1.3</v>
      </c>
      <c r="G42" s="6" t="n">
        <v>0</v>
      </c>
      <c r="H42" s="6" t="n">
        <v>0</v>
      </c>
      <c r="I42" s="6" t="n">
        <v>0</v>
      </c>
      <c r="J42" s="6" t="n">
        <v>0</v>
      </c>
      <c r="K42" s="6" t="inlineStr">
        <is>
          <t>definitional</t>
        </is>
      </c>
      <c r="L42" s="7" t="inlineStr">
        <is>
          <t>No available carbohydrate — GI is 0 by definition (protein / fat / water)</t>
        </is>
      </c>
      <c r="M42" s="7" t="inlineStr">
        <is>
          <t>n/a</t>
        </is>
      </c>
      <c r="N42" s="6" t="inlineStr"/>
      <c r="O42" s="7" t="inlineStr">
        <is>
          <t>ISO 26642:2010</t>
        </is>
      </c>
      <c r="P42" s="7" t="inlineStr">
        <is>
          <t>USDA FoodData Central (SR Legacy / Foundation Foods), fdc.nal.usda.gov</t>
        </is>
      </c>
      <c r="Q42" s="6" t="inlineStr">
        <is>
          <t>2026-09-26</t>
        </is>
      </c>
    </row>
    <row r="43">
      <c r="A43" s="6" t="inlineStr">
        <is>
          <t>catfish</t>
        </is>
      </c>
      <c r="B43" s="6" t="inlineStr">
        <is>
          <t>Catfish fillet</t>
        </is>
      </c>
      <c r="C43" s="6" t="inlineStr">
        <is>
          <t>seafood</t>
        </is>
      </c>
      <c r="D43" s="6" t="n">
        <v>95</v>
      </c>
      <c r="E43" s="6" t="n">
        <v>16</v>
      </c>
      <c r="F43" s="6" t="n">
        <v>3</v>
      </c>
      <c r="G43" s="6" t="n">
        <v>0</v>
      </c>
      <c r="H43" s="6" t="n">
        <v>0</v>
      </c>
      <c r="I43" s="6" t="n">
        <v>0</v>
      </c>
      <c r="J43" s="6" t="n">
        <v>0</v>
      </c>
      <c r="K43" s="6" t="inlineStr">
        <is>
          <t>definitional</t>
        </is>
      </c>
      <c r="L43" s="7" t="inlineStr">
        <is>
          <t>No available carbohydrate — GI is 0 by definition (protein / fat / water)</t>
        </is>
      </c>
      <c r="M43" s="7" t="inlineStr">
        <is>
          <t>n/a</t>
        </is>
      </c>
      <c r="N43" s="6" t="inlineStr"/>
      <c r="O43" s="7" t="inlineStr">
        <is>
          <t>ISO 26642:2010</t>
        </is>
      </c>
      <c r="P43" s="7" t="inlineStr">
        <is>
          <t>USDA FoodData Central (SR Legacy / Foundation Foods), fdc.nal.usda.gov</t>
        </is>
      </c>
      <c r="Q43" s="6" t="inlineStr">
        <is>
          <t>2026-09-26</t>
        </is>
      </c>
    </row>
    <row r="44">
      <c r="A44" s="6" t="inlineStr">
        <is>
          <t>swordfish</t>
        </is>
      </c>
      <c r="B44" s="6" t="inlineStr">
        <is>
          <t>Swordfish steak</t>
        </is>
      </c>
      <c r="C44" s="6" t="inlineStr">
        <is>
          <t>seafood</t>
        </is>
      </c>
      <c r="D44" s="6" t="n">
        <v>121</v>
      </c>
      <c r="E44" s="6" t="n">
        <v>20</v>
      </c>
      <c r="F44" s="6" t="n">
        <v>4</v>
      </c>
      <c r="G44" s="6" t="n">
        <v>0</v>
      </c>
      <c r="H44" s="6" t="n">
        <v>0</v>
      </c>
      <c r="I44" s="6" t="n">
        <v>0</v>
      </c>
      <c r="J44" s="6" t="n">
        <v>0</v>
      </c>
      <c r="K44" s="6" t="inlineStr">
        <is>
          <t>definitional</t>
        </is>
      </c>
      <c r="L44" s="7" t="inlineStr">
        <is>
          <t>No available carbohydrate — GI is 0 by definition (protein / fat / water)</t>
        </is>
      </c>
      <c r="M44" s="7" t="inlineStr">
        <is>
          <t>n/a</t>
        </is>
      </c>
      <c r="N44" s="6" t="inlineStr"/>
      <c r="O44" s="7" t="inlineStr">
        <is>
          <t>ISO 26642:2010</t>
        </is>
      </c>
      <c r="P44" s="7" t="inlineStr">
        <is>
          <t>USDA FoodData Central (SR Legacy / Foundation Foods), fdc.nal.usda.gov</t>
        </is>
      </c>
      <c r="Q44" s="6" t="inlineStr">
        <is>
          <t>2026-09-26</t>
        </is>
      </c>
    </row>
    <row r="45">
      <c r="A45" s="6" t="inlineStr">
        <is>
          <t>mackerel</t>
        </is>
      </c>
      <c r="B45" s="6" t="inlineStr">
        <is>
          <t>Mackerel fillet</t>
        </is>
      </c>
      <c r="C45" s="6" t="inlineStr">
        <is>
          <t>seafood</t>
        </is>
      </c>
      <c r="D45" s="6" t="n">
        <v>205</v>
      </c>
      <c r="E45" s="6" t="n">
        <v>19</v>
      </c>
      <c r="F45" s="6" t="n">
        <v>14</v>
      </c>
      <c r="G45" s="6" t="n">
        <v>0</v>
      </c>
      <c r="H45" s="6" t="n">
        <v>0</v>
      </c>
      <c r="I45" s="6" t="n">
        <v>0</v>
      </c>
      <c r="J45" s="6" t="n">
        <v>0</v>
      </c>
      <c r="K45" s="6" t="inlineStr">
        <is>
          <t>definitional</t>
        </is>
      </c>
      <c r="L45" s="7" t="inlineStr">
        <is>
          <t>No available carbohydrate — GI is 0 by definition (protein / fat / water)</t>
        </is>
      </c>
      <c r="M45" s="7" t="inlineStr">
        <is>
          <t>n/a</t>
        </is>
      </c>
      <c r="N45" s="6" t="inlineStr"/>
      <c r="O45" s="7" t="inlineStr">
        <is>
          <t>ISO 26642:2010</t>
        </is>
      </c>
      <c r="P45" s="7" t="inlineStr">
        <is>
          <t>USDA FoodData Central (SR Legacy / Foundation Foods), fdc.nal.usda.gov</t>
        </is>
      </c>
      <c r="Q45" s="6" t="inlineStr">
        <is>
          <t>2026-09-26</t>
        </is>
      </c>
    </row>
    <row r="46">
      <c r="A46" s="6" t="inlineStr">
        <is>
          <t>sardines</t>
        </is>
      </c>
      <c r="B46" s="6" t="inlineStr">
        <is>
          <t>Sardines, canned in olive oil, drained</t>
        </is>
      </c>
      <c r="C46" s="6" t="inlineStr">
        <is>
          <t>seafood</t>
        </is>
      </c>
      <c r="D46" s="6" t="n">
        <v>208</v>
      </c>
      <c r="E46" s="6" t="n">
        <v>25</v>
      </c>
      <c r="F46" s="6" t="n">
        <v>11</v>
      </c>
      <c r="G46" s="6" t="n">
        <v>0</v>
      </c>
      <c r="H46" s="6" t="n">
        <v>0</v>
      </c>
      <c r="I46" s="6" t="n">
        <v>0</v>
      </c>
      <c r="J46" s="6" t="n">
        <v>0</v>
      </c>
      <c r="K46" s="6" t="inlineStr">
        <is>
          <t>definitional</t>
        </is>
      </c>
      <c r="L46" s="7" t="inlineStr">
        <is>
          <t>No available carbohydrate — GI is 0 by definition (protein / fat / water)</t>
        </is>
      </c>
      <c r="M46" s="7" t="inlineStr">
        <is>
          <t>n/a</t>
        </is>
      </c>
      <c r="N46" s="6" t="inlineStr"/>
      <c r="O46" s="7" t="inlineStr">
        <is>
          <t>ISO 26642:2010</t>
        </is>
      </c>
      <c r="P46" s="7" t="inlineStr">
        <is>
          <t>USDA FoodData Central (SR Legacy / Foundation Foods), fdc.nal.usda.gov</t>
        </is>
      </c>
      <c r="Q46" s="6" t="inlineStr">
        <is>
          <t>2026-09-26</t>
        </is>
      </c>
    </row>
    <row r="47">
      <c r="A47" s="6" t="inlineStr">
        <is>
          <t>anchovies</t>
        </is>
      </c>
      <c r="B47" s="6" t="inlineStr">
        <is>
          <t>Anchovies, canned</t>
        </is>
      </c>
      <c r="C47" s="6" t="inlineStr">
        <is>
          <t>seafood</t>
        </is>
      </c>
      <c r="D47" s="6" t="n">
        <v>210</v>
      </c>
      <c r="E47" s="6" t="n">
        <v>29</v>
      </c>
      <c r="F47" s="6" t="n">
        <v>10</v>
      </c>
      <c r="G47" s="6" t="n">
        <v>0</v>
      </c>
      <c r="H47" s="6" t="n">
        <v>0</v>
      </c>
      <c r="I47" s="6" t="n">
        <v>0</v>
      </c>
      <c r="J47" s="6" t="n">
        <v>0</v>
      </c>
      <c r="K47" s="6" t="inlineStr">
        <is>
          <t>definitional</t>
        </is>
      </c>
      <c r="L47" s="7" t="inlineStr">
        <is>
          <t>No available carbohydrate — GI is 0 by definition (protein / fat / water)</t>
        </is>
      </c>
      <c r="M47" s="7" t="inlineStr">
        <is>
          <t>n/a</t>
        </is>
      </c>
      <c r="N47" s="6" t="inlineStr"/>
      <c r="O47" s="7" t="inlineStr">
        <is>
          <t>ISO 26642:2010</t>
        </is>
      </c>
      <c r="P47" s="7" t="inlineStr">
        <is>
          <t>USDA FoodData Central (SR Legacy / Foundation Foods), fdc.nal.usda.gov</t>
        </is>
      </c>
      <c r="Q47" s="6" t="inlineStr">
        <is>
          <t>2026-09-26</t>
        </is>
      </c>
    </row>
    <row r="48">
      <c r="A48" s="6" t="inlineStr">
        <is>
          <t>shrimp</t>
        </is>
      </c>
      <c r="B48" s="6" t="inlineStr">
        <is>
          <t>Shrimp, peeled</t>
        </is>
      </c>
      <c r="C48" s="6" t="inlineStr">
        <is>
          <t>seafood</t>
        </is>
      </c>
      <c r="D48" s="6" t="n">
        <v>85</v>
      </c>
      <c r="E48" s="6" t="n">
        <v>20</v>
      </c>
      <c r="F48" s="6" t="n">
        <v>0.5</v>
      </c>
      <c r="G48" s="6" t="n">
        <v>0</v>
      </c>
      <c r="H48" s="6" t="n">
        <v>0</v>
      </c>
      <c r="I48" s="6" t="n">
        <v>0</v>
      </c>
      <c r="J48" s="6" t="n">
        <v>0</v>
      </c>
      <c r="K48" s="6" t="inlineStr">
        <is>
          <t>definitional</t>
        </is>
      </c>
      <c r="L48" s="7" t="inlineStr">
        <is>
          <t>No available carbohydrate — GI is 0 by definition (protein / fat / water)</t>
        </is>
      </c>
      <c r="M48" s="7" t="inlineStr">
        <is>
          <t>n/a</t>
        </is>
      </c>
      <c r="N48" s="6" t="inlineStr"/>
      <c r="O48" s="7" t="inlineStr">
        <is>
          <t>ISO 26642:2010</t>
        </is>
      </c>
      <c r="P48" s="7" t="inlineStr">
        <is>
          <t>USDA FoodData Central (SR Legacy / Foundation Foods), fdc.nal.usda.gov</t>
        </is>
      </c>
      <c r="Q48" s="6" t="inlineStr">
        <is>
          <t>2026-09-26</t>
        </is>
      </c>
    </row>
    <row r="49">
      <c r="A49" s="6" t="inlineStr">
        <is>
          <t>scallops</t>
        </is>
      </c>
      <c r="B49" s="6" t="inlineStr">
        <is>
          <t>Sea scallops</t>
        </is>
      </c>
      <c r="C49" s="6" t="inlineStr">
        <is>
          <t>seafood</t>
        </is>
      </c>
      <c r="D49" s="6" t="n">
        <v>88</v>
      </c>
      <c r="E49" s="6" t="n">
        <v>17</v>
      </c>
      <c r="F49" s="6" t="n">
        <v>0.8</v>
      </c>
      <c r="G49" s="6" t="n">
        <v>2</v>
      </c>
      <c r="H49" s="6" t="n">
        <v>0</v>
      </c>
      <c r="I49" s="6" t="n">
        <v>2</v>
      </c>
      <c r="J49" s="6" t="n">
        <v>0</v>
      </c>
      <c r="K49" s="6" t="inlineStr">
        <is>
          <t>low</t>
        </is>
      </c>
      <c r="L49" s="7" t="inlineStr">
        <is>
          <t>Estimated from the closest tested food; no direct measurement found in the pooled sources</t>
        </is>
      </c>
      <c r="M49" s="7" t="inlineStr">
        <is>
          <t>no direct match</t>
        </is>
      </c>
      <c r="N49" s="6" t="inlineStr"/>
      <c r="O4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49" s="7" t="inlineStr">
        <is>
          <t>USDA FoodData Central (SR Legacy / Foundation Foods), fdc.nal.usda.gov</t>
        </is>
      </c>
      <c r="Q49" s="6" t="inlineStr">
        <is>
          <t>2026-09-26</t>
        </is>
      </c>
    </row>
    <row r="50">
      <c r="A50" s="6" t="inlineStr">
        <is>
          <t>crab</t>
        </is>
      </c>
      <c r="B50" s="6" t="inlineStr">
        <is>
          <t>Crab meat, lump</t>
        </is>
      </c>
      <c r="C50" s="6" t="inlineStr">
        <is>
          <t>seafood</t>
        </is>
      </c>
      <c r="D50" s="6" t="n">
        <v>84</v>
      </c>
      <c r="E50" s="6" t="n">
        <v>18</v>
      </c>
      <c r="F50" s="6" t="n">
        <v>1</v>
      </c>
      <c r="G50" s="6" t="n">
        <v>0</v>
      </c>
      <c r="H50" s="6" t="n">
        <v>0</v>
      </c>
      <c r="I50" s="6" t="n">
        <v>0</v>
      </c>
      <c r="J50" s="6" t="n">
        <v>0</v>
      </c>
      <c r="K50" s="6" t="inlineStr">
        <is>
          <t>definitional</t>
        </is>
      </c>
      <c r="L50" s="7" t="inlineStr">
        <is>
          <t>No available carbohydrate — GI is 0 by definition (protein / fat / water)</t>
        </is>
      </c>
      <c r="M50" s="7" t="inlineStr">
        <is>
          <t>n/a</t>
        </is>
      </c>
      <c r="N50" s="6" t="inlineStr"/>
      <c r="O50" s="7" t="inlineStr">
        <is>
          <t>ISO 26642:2010</t>
        </is>
      </c>
      <c r="P50" s="7" t="inlineStr">
        <is>
          <t>USDA FoodData Central (SR Legacy / Foundation Foods), fdc.nal.usda.gov</t>
        </is>
      </c>
      <c r="Q50" s="6" t="inlineStr">
        <is>
          <t>2026-09-26</t>
        </is>
      </c>
    </row>
    <row r="51">
      <c r="A51" s="6" t="inlineStr">
        <is>
          <t>lobster</t>
        </is>
      </c>
      <c r="B51" s="6" t="inlineStr">
        <is>
          <t>Lobster meat</t>
        </is>
      </c>
      <c r="C51" s="6" t="inlineStr">
        <is>
          <t>seafood</t>
        </is>
      </c>
      <c r="D51" s="6" t="n">
        <v>89</v>
      </c>
      <c r="E51" s="6" t="n">
        <v>19</v>
      </c>
      <c r="F51" s="6" t="n">
        <v>0.9</v>
      </c>
      <c r="G51" s="6" t="n">
        <v>0</v>
      </c>
      <c r="H51" s="6" t="n">
        <v>0</v>
      </c>
      <c r="I51" s="6" t="n">
        <v>0</v>
      </c>
      <c r="J51" s="6" t="n">
        <v>0</v>
      </c>
      <c r="K51" s="6" t="inlineStr">
        <is>
          <t>definitional</t>
        </is>
      </c>
      <c r="L51" s="7" t="inlineStr">
        <is>
          <t>No available carbohydrate — GI is 0 by definition (protein / fat / water)</t>
        </is>
      </c>
      <c r="M51" s="7" t="inlineStr">
        <is>
          <t>n/a</t>
        </is>
      </c>
      <c r="N51" s="6" t="inlineStr"/>
      <c r="O51" s="7" t="inlineStr">
        <is>
          <t>ISO 26642:2010</t>
        </is>
      </c>
      <c r="P51" s="7" t="inlineStr">
        <is>
          <t>USDA FoodData Central (SR Legacy / Foundation Foods), fdc.nal.usda.gov</t>
        </is>
      </c>
      <c r="Q51" s="6" t="inlineStr">
        <is>
          <t>2026-09-26</t>
        </is>
      </c>
    </row>
    <row r="52">
      <c r="A52" s="6" t="inlineStr">
        <is>
          <t>mussels</t>
        </is>
      </c>
      <c r="B52" s="6" t="inlineStr">
        <is>
          <t>Mussels</t>
        </is>
      </c>
      <c r="C52" s="6" t="inlineStr">
        <is>
          <t>seafood</t>
        </is>
      </c>
      <c r="D52" s="6" t="n">
        <v>86</v>
      </c>
      <c r="E52" s="6" t="n">
        <v>12</v>
      </c>
      <c r="F52" s="6" t="n">
        <v>2.2</v>
      </c>
      <c r="G52" s="6" t="n">
        <v>3.7</v>
      </c>
      <c r="H52" s="6" t="n">
        <v>0</v>
      </c>
      <c r="I52" s="6" t="n">
        <v>3.7</v>
      </c>
      <c r="J52" s="6" t="n">
        <v>0</v>
      </c>
      <c r="K52" s="6" t="inlineStr">
        <is>
          <t>low</t>
        </is>
      </c>
      <c r="L52" s="7" t="inlineStr">
        <is>
          <t>Estimated from the closest tested food; no direct measurement found in the pooled sources</t>
        </is>
      </c>
      <c r="M52" s="7" t="inlineStr">
        <is>
          <t>no direct match</t>
        </is>
      </c>
      <c r="N52" s="6" t="inlineStr"/>
      <c r="O5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2" s="7" t="inlineStr">
        <is>
          <t>USDA FoodData Central (SR Legacy / Foundation Foods), fdc.nal.usda.gov</t>
        </is>
      </c>
      <c r="Q52" s="6" t="inlineStr">
        <is>
          <t>2026-09-26</t>
        </is>
      </c>
    </row>
    <row r="53">
      <c r="A53" s="6" t="inlineStr">
        <is>
          <t>clams</t>
        </is>
      </c>
      <c r="B53" s="6" t="inlineStr">
        <is>
          <t>Clams</t>
        </is>
      </c>
      <c r="C53" s="6" t="inlineStr">
        <is>
          <t>seafood</t>
        </is>
      </c>
      <c r="D53" s="6" t="n">
        <v>86</v>
      </c>
      <c r="E53" s="6" t="n">
        <v>15</v>
      </c>
      <c r="F53" s="6" t="n">
        <v>1</v>
      </c>
      <c r="G53" s="6" t="n">
        <v>3.6</v>
      </c>
      <c r="H53" s="6" t="n">
        <v>0</v>
      </c>
      <c r="I53" s="6" t="n">
        <v>3.6</v>
      </c>
      <c r="J53" s="6" t="n">
        <v>0</v>
      </c>
      <c r="K53" s="6" t="inlineStr">
        <is>
          <t>low</t>
        </is>
      </c>
      <c r="L53" s="7" t="inlineStr">
        <is>
          <t>Estimated from the closest tested food; no direct measurement found in the pooled sources</t>
        </is>
      </c>
      <c r="M53" s="7" t="inlineStr">
        <is>
          <t>no direct match</t>
        </is>
      </c>
      <c r="N53" s="6" t="inlineStr"/>
      <c r="O5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3" s="7" t="inlineStr">
        <is>
          <t>USDA FoodData Central (SR Legacy / Foundation Foods), fdc.nal.usda.gov</t>
        </is>
      </c>
      <c r="Q53" s="6" t="inlineStr">
        <is>
          <t>2026-09-26</t>
        </is>
      </c>
    </row>
    <row r="54">
      <c r="A54" s="6" t="inlineStr">
        <is>
          <t>oysters</t>
        </is>
      </c>
      <c r="B54" s="6" t="inlineStr">
        <is>
          <t>Oysters</t>
        </is>
      </c>
      <c r="C54" s="6" t="inlineStr">
        <is>
          <t>seafood</t>
        </is>
      </c>
      <c r="D54" s="6" t="n">
        <v>68</v>
      </c>
      <c r="E54" s="6" t="n">
        <v>7</v>
      </c>
      <c r="F54" s="6" t="n">
        <v>2.5</v>
      </c>
      <c r="G54" s="6" t="n">
        <v>4</v>
      </c>
      <c r="H54" s="6" t="n">
        <v>0</v>
      </c>
      <c r="I54" s="6" t="n">
        <v>4</v>
      </c>
      <c r="J54" s="6" t="n">
        <v>0</v>
      </c>
      <c r="K54" s="6" t="inlineStr">
        <is>
          <t>low</t>
        </is>
      </c>
      <c r="L54" s="7" t="inlineStr">
        <is>
          <t>Estimated from the closest tested food; no direct measurement found in the pooled sources</t>
        </is>
      </c>
      <c r="M54" s="7" t="inlineStr">
        <is>
          <t>no direct match</t>
        </is>
      </c>
      <c r="N54" s="6" t="inlineStr"/>
      <c r="O5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4" s="7" t="inlineStr">
        <is>
          <t>USDA FoodData Central (SR Legacy / Foundation Foods), fdc.nal.usda.gov</t>
        </is>
      </c>
      <c r="Q54" s="6" t="inlineStr">
        <is>
          <t>2026-09-26</t>
        </is>
      </c>
    </row>
    <row r="55">
      <c r="A55" s="6" t="inlineStr">
        <is>
          <t>squid</t>
        </is>
      </c>
      <c r="B55" s="6" t="inlineStr">
        <is>
          <t>Squid (calamari)</t>
        </is>
      </c>
      <c r="C55" s="6" t="inlineStr">
        <is>
          <t>seafood</t>
        </is>
      </c>
      <c r="D55" s="6" t="n">
        <v>92</v>
      </c>
      <c r="E55" s="6" t="n">
        <v>16</v>
      </c>
      <c r="F55" s="6" t="n">
        <v>1.4</v>
      </c>
      <c r="G55" s="6" t="n">
        <v>3</v>
      </c>
      <c r="H55" s="6" t="n">
        <v>0</v>
      </c>
      <c r="I55" s="6" t="n">
        <v>3</v>
      </c>
      <c r="J55" s="6" t="n">
        <v>0</v>
      </c>
      <c r="K55" s="6" t="inlineStr">
        <is>
          <t>low</t>
        </is>
      </c>
      <c r="L55" s="7" t="inlineStr">
        <is>
          <t>Estimated from the closest tested food; no direct measurement found in the pooled sources</t>
        </is>
      </c>
      <c r="M55" s="7" t="inlineStr">
        <is>
          <t>no direct match</t>
        </is>
      </c>
      <c r="N55" s="6" t="inlineStr"/>
      <c r="O5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5" s="7" t="inlineStr">
        <is>
          <t>USDA FoodData Central (SR Legacy / Foundation Foods), fdc.nal.usda.gov</t>
        </is>
      </c>
      <c r="Q55" s="6" t="inlineStr">
        <is>
          <t>2026-09-26</t>
        </is>
      </c>
    </row>
    <row r="56">
      <c r="A56" s="6" t="inlineStr">
        <is>
          <t>egg</t>
        </is>
      </c>
      <c r="B56" s="6" t="inlineStr">
        <is>
          <t>Egg, large (50 g each)</t>
        </is>
      </c>
      <c r="C56" s="6" t="inlineStr">
        <is>
          <t>egg</t>
        </is>
      </c>
      <c r="D56" s="6" t="n">
        <v>143</v>
      </c>
      <c r="E56" s="6" t="n">
        <v>12.6</v>
      </c>
      <c r="F56" s="6" t="n">
        <v>9.5</v>
      </c>
      <c r="G56" s="6" t="n">
        <v>0.7</v>
      </c>
      <c r="H56" s="6" t="n">
        <v>0</v>
      </c>
      <c r="I56" s="6" t="n">
        <v>0.7</v>
      </c>
      <c r="J56" s="6" t="n">
        <v>0</v>
      </c>
      <c r="K56" s="6" t="inlineStr">
        <is>
          <t>low</t>
        </is>
      </c>
      <c r="L56" s="7" t="inlineStr">
        <is>
          <t>Estimated from the closest tested food; no direct measurement found in the pooled sources</t>
        </is>
      </c>
      <c r="M56" s="7" t="inlineStr">
        <is>
          <t>no direct match</t>
        </is>
      </c>
      <c r="N56" s="6" t="inlineStr"/>
      <c r="O5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6" s="7" t="inlineStr">
        <is>
          <t>USDA FoodData Central (SR Legacy / Foundation Foods), fdc.nal.usda.gov</t>
        </is>
      </c>
      <c r="Q56" s="6" t="inlineStr">
        <is>
          <t>2026-09-26</t>
        </is>
      </c>
    </row>
    <row r="57">
      <c r="A57" s="6" t="inlineStr">
        <is>
          <t>egg_white</t>
        </is>
      </c>
      <c r="B57" s="6" t="inlineStr">
        <is>
          <t>Egg whites</t>
        </is>
      </c>
      <c r="C57" s="6" t="inlineStr">
        <is>
          <t>egg</t>
        </is>
      </c>
      <c r="D57" s="6" t="n">
        <v>52</v>
      </c>
      <c r="E57" s="6" t="n">
        <v>11</v>
      </c>
      <c r="F57" s="6" t="n">
        <v>0.2</v>
      </c>
      <c r="G57" s="6" t="n">
        <v>0.7</v>
      </c>
      <c r="H57" s="6" t="n">
        <v>0</v>
      </c>
      <c r="I57" s="6" t="n">
        <v>0.7</v>
      </c>
      <c r="J57" s="6" t="n">
        <v>0</v>
      </c>
      <c r="K57" s="6" t="inlineStr">
        <is>
          <t>low</t>
        </is>
      </c>
      <c r="L57" s="7" t="inlineStr">
        <is>
          <t>Estimated from the closest tested food; no direct measurement found in the pooled sources</t>
        </is>
      </c>
      <c r="M57" s="7" t="inlineStr">
        <is>
          <t>no direct match</t>
        </is>
      </c>
      <c r="N57" s="6" t="inlineStr"/>
      <c r="O5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7" s="7" t="inlineStr">
        <is>
          <t>USDA FoodData Central (SR Legacy / Foundation Foods), fdc.nal.usda.gov</t>
        </is>
      </c>
      <c r="Q57" s="6" t="inlineStr">
        <is>
          <t>2026-09-26</t>
        </is>
      </c>
    </row>
    <row r="58">
      <c r="A58" s="6" t="inlineStr">
        <is>
          <t>greek_yogurt</t>
        </is>
      </c>
      <c r="B58" s="6" t="inlineStr">
        <is>
          <t>Greek yogurt, plain 2%</t>
        </is>
      </c>
      <c r="C58" s="6" t="inlineStr">
        <is>
          <t>dairy</t>
        </is>
      </c>
      <c r="D58" s="6" t="n">
        <v>73</v>
      </c>
      <c r="E58" s="6" t="n">
        <v>10</v>
      </c>
      <c r="F58" s="6" t="n">
        <v>2</v>
      </c>
      <c r="G58" s="6" t="n">
        <v>4</v>
      </c>
      <c r="H58" s="6" t="n">
        <v>0</v>
      </c>
      <c r="I58" s="6" t="n">
        <v>4</v>
      </c>
      <c r="J58" s="6" t="n">
        <v>11</v>
      </c>
      <c r="K58" s="6" t="inlineStr">
        <is>
          <t>medium</t>
        </is>
      </c>
      <c r="L58" s="7" t="inlineStr">
        <is>
          <t>2021 International Tables, Suppl. Tables 1+2 (incl. studies with method deviations)</t>
        </is>
      </c>
      <c r="M58" s="7" t="inlineStr">
        <is>
          <t>median of 2 tested foods, range 12-17</t>
        </is>
      </c>
      <c r="N58" s="6" t="n">
        <v>14</v>
      </c>
      <c r="O58" s="7" t="inlineStr">
        <is>
          <t>Atkinson FS, Brand-Miller JC, Foster-Powell K, Buyken AE, Goletzke J. International tables of glycemic index and glycemic load values 2021. Am J Clin Nutr 2021;114(5):1625-32. doi:10.1093/ajcn/nqab233</t>
        </is>
      </c>
      <c r="P58" s="7" t="inlineStr">
        <is>
          <t>USDA FoodData Central (SR Legacy / Foundation Foods), fdc.nal.usda.gov</t>
        </is>
      </c>
      <c r="Q58" s="6" t="inlineStr">
        <is>
          <t>2026-09-26</t>
        </is>
      </c>
    </row>
    <row r="59">
      <c r="A59" s="6" t="inlineStr">
        <is>
          <t>cottage_cheese</t>
        </is>
      </c>
      <c r="B59" s="6" t="inlineStr">
        <is>
          <t>Cottage cheese, low-fat</t>
        </is>
      </c>
      <c r="C59" s="6" t="inlineStr">
        <is>
          <t>dairy</t>
        </is>
      </c>
      <c r="D59" s="6" t="n">
        <v>84</v>
      </c>
      <c r="E59" s="6" t="n">
        <v>11</v>
      </c>
      <c r="F59" s="6" t="n">
        <v>2.3</v>
      </c>
      <c r="G59" s="6" t="n">
        <v>4.3</v>
      </c>
      <c r="H59" s="6" t="n">
        <v>0</v>
      </c>
      <c r="I59" s="6" t="n">
        <v>4.3</v>
      </c>
      <c r="J59" s="6" t="n">
        <v>10</v>
      </c>
      <c r="K59" s="6" t="inlineStr">
        <is>
          <t>low</t>
        </is>
      </c>
      <c r="L59" s="7" t="inlineStr">
        <is>
          <t>Estimated from the closest tested food; no direct measurement found in the pooled sources</t>
        </is>
      </c>
      <c r="M59" s="7" t="inlineStr">
        <is>
          <t>no direct match</t>
        </is>
      </c>
      <c r="N59" s="6" t="n">
        <v>10</v>
      </c>
      <c r="O5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59" s="7" t="inlineStr">
        <is>
          <t>USDA FoodData Central (SR Legacy / Foundation Foods), fdc.nal.usda.gov</t>
        </is>
      </c>
      <c r="Q59" s="6" t="inlineStr">
        <is>
          <t>2026-09-26</t>
        </is>
      </c>
    </row>
    <row r="60">
      <c r="A60" s="6" t="inlineStr">
        <is>
          <t>ricotta</t>
        </is>
      </c>
      <c r="B60" s="6" t="inlineStr">
        <is>
          <t>Ricotta, part-skim</t>
        </is>
      </c>
      <c r="C60" s="6" t="inlineStr">
        <is>
          <t>dairy</t>
        </is>
      </c>
      <c r="D60" s="6" t="n">
        <v>138</v>
      </c>
      <c r="E60" s="6" t="n">
        <v>11</v>
      </c>
      <c r="F60" s="6" t="n">
        <v>8</v>
      </c>
      <c r="G60" s="6" t="n">
        <v>5</v>
      </c>
      <c r="H60" s="6" t="n">
        <v>0</v>
      </c>
      <c r="I60" s="6" t="n">
        <v>5</v>
      </c>
      <c r="J60" s="6" t="n">
        <v>15</v>
      </c>
      <c r="K60" s="6" t="inlineStr">
        <is>
          <t>none (placeholder)</t>
        </is>
      </c>
      <c r="L60" s="7" t="inlineStr">
        <is>
          <t>Conventional placeholder for foods with too little carbohydrate to test (non-starchy vegetables, nuts, seeds, herbs); no published measurement exists</t>
        </is>
      </c>
      <c r="M60" s="7" t="inlineStr">
        <is>
          <t>not measurable</t>
        </is>
      </c>
      <c r="N60" s="6" t="inlineStr"/>
      <c r="O60" s="7" t="inlineStr">
        <is>
          <t>clinical convention</t>
        </is>
      </c>
      <c r="P60" s="7" t="inlineStr">
        <is>
          <t>USDA FoodData Central (SR Legacy / Foundation Foods), fdc.nal.usda.gov</t>
        </is>
      </c>
      <c r="Q60" s="6" t="inlineStr">
        <is>
          <t>2026-09-26</t>
        </is>
      </c>
    </row>
    <row r="61">
      <c r="A61" s="6" t="inlineStr">
        <is>
          <t>feta</t>
        </is>
      </c>
      <c r="B61" s="6" t="inlineStr">
        <is>
          <t>Feta cheese</t>
        </is>
      </c>
      <c r="C61" s="6" t="inlineStr">
        <is>
          <t>dairy</t>
        </is>
      </c>
      <c r="D61" s="6" t="n">
        <v>264</v>
      </c>
      <c r="E61" s="6" t="n">
        <v>14</v>
      </c>
      <c r="F61" s="6" t="n">
        <v>21</v>
      </c>
      <c r="G61" s="6" t="n">
        <v>4</v>
      </c>
      <c r="H61" s="6" t="n">
        <v>0</v>
      </c>
      <c r="I61" s="6" t="n">
        <v>4</v>
      </c>
      <c r="J61" s="6" t="n">
        <v>0</v>
      </c>
      <c r="K61" s="6" t="inlineStr">
        <is>
          <t>low</t>
        </is>
      </c>
      <c r="L61" s="7" t="inlineStr">
        <is>
          <t>Estimated from the closest tested food; no direct measurement found in the pooled sources</t>
        </is>
      </c>
      <c r="M61" s="7" t="inlineStr">
        <is>
          <t>no direct match</t>
        </is>
      </c>
      <c r="N61" s="6" t="inlineStr"/>
      <c r="O6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1" s="7" t="inlineStr">
        <is>
          <t>USDA FoodData Central (SR Legacy / Foundation Foods), fdc.nal.usda.gov</t>
        </is>
      </c>
      <c r="Q61" s="6" t="inlineStr">
        <is>
          <t>2026-09-26</t>
        </is>
      </c>
    </row>
    <row r="62">
      <c r="A62" s="6" t="inlineStr">
        <is>
          <t>parmesan</t>
        </is>
      </c>
      <c r="B62" s="6" t="inlineStr">
        <is>
          <t>Parmesan, grated</t>
        </is>
      </c>
      <c r="C62" s="6" t="inlineStr">
        <is>
          <t>dairy</t>
        </is>
      </c>
      <c r="D62" s="6" t="n">
        <v>431</v>
      </c>
      <c r="E62" s="6" t="n">
        <v>38</v>
      </c>
      <c r="F62" s="6" t="n">
        <v>29</v>
      </c>
      <c r="G62" s="6" t="n">
        <v>4</v>
      </c>
      <c r="H62" s="6" t="n">
        <v>0</v>
      </c>
      <c r="I62" s="6" t="n">
        <v>4</v>
      </c>
      <c r="J62" s="6" t="n">
        <v>0</v>
      </c>
      <c r="K62" s="6" t="inlineStr">
        <is>
          <t>low</t>
        </is>
      </c>
      <c r="L62" s="7" t="inlineStr">
        <is>
          <t>Estimated from the closest tested food; no direct measurement found in the pooled sources</t>
        </is>
      </c>
      <c r="M62" s="7" t="inlineStr">
        <is>
          <t>no direct match</t>
        </is>
      </c>
      <c r="N62" s="6" t="inlineStr"/>
      <c r="O6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2" s="7" t="inlineStr">
        <is>
          <t>USDA FoodData Central (SR Legacy / Foundation Foods), fdc.nal.usda.gov</t>
        </is>
      </c>
      <c r="Q62" s="6" t="inlineStr">
        <is>
          <t>2026-09-26</t>
        </is>
      </c>
    </row>
    <row r="63">
      <c r="A63" s="6" t="inlineStr">
        <is>
          <t>cheddar</t>
        </is>
      </c>
      <c r="B63" s="6" t="inlineStr">
        <is>
          <t>Cheddar cheese</t>
        </is>
      </c>
      <c r="C63" s="6" t="inlineStr">
        <is>
          <t>dairy</t>
        </is>
      </c>
      <c r="D63" s="6" t="n">
        <v>403</v>
      </c>
      <c r="E63" s="6" t="n">
        <v>23</v>
      </c>
      <c r="F63" s="6" t="n">
        <v>33</v>
      </c>
      <c r="G63" s="6" t="n">
        <v>1.3</v>
      </c>
      <c r="H63" s="6" t="n">
        <v>0</v>
      </c>
      <c r="I63" s="6" t="n">
        <v>1.3</v>
      </c>
      <c r="J63" s="6" t="n">
        <v>0</v>
      </c>
      <c r="K63" s="6" t="inlineStr">
        <is>
          <t>low</t>
        </is>
      </c>
      <c r="L63" s="7" t="inlineStr">
        <is>
          <t>Estimated from the closest tested food; no direct measurement found in the pooled sources</t>
        </is>
      </c>
      <c r="M63" s="7" t="inlineStr">
        <is>
          <t>no direct match</t>
        </is>
      </c>
      <c r="N63" s="6" t="inlineStr"/>
      <c r="O6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3" s="7" t="inlineStr">
        <is>
          <t>USDA FoodData Central (SR Legacy / Foundation Foods), fdc.nal.usda.gov</t>
        </is>
      </c>
      <c r="Q63" s="6" t="inlineStr">
        <is>
          <t>2026-09-26</t>
        </is>
      </c>
    </row>
    <row r="64">
      <c r="A64" s="6" t="inlineStr">
        <is>
          <t>mozzarella</t>
        </is>
      </c>
      <c r="B64" s="6" t="inlineStr">
        <is>
          <t>Mozzarella, part-skim</t>
        </is>
      </c>
      <c r="C64" s="6" t="inlineStr">
        <is>
          <t>dairy</t>
        </is>
      </c>
      <c r="D64" s="6" t="n">
        <v>254</v>
      </c>
      <c r="E64" s="6" t="n">
        <v>24</v>
      </c>
      <c r="F64" s="6" t="n">
        <v>16</v>
      </c>
      <c r="G64" s="6" t="n">
        <v>3</v>
      </c>
      <c r="H64" s="6" t="n">
        <v>0</v>
      </c>
      <c r="I64" s="6" t="n">
        <v>3</v>
      </c>
      <c r="J64" s="6" t="n">
        <v>0</v>
      </c>
      <c r="K64" s="6" t="inlineStr">
        <is>
          <t>low</t>
        </is>
      </c>
      <c r="L64" s="7" t="inlineStr">
        <is>
          <t>Estimated from the closest tested food; no direct measurement found in the pooled sources</t>
        </is>
      </c>
      <c r="M64" s="7" t="inlineStr">
        <is>
          <t>no direct match</t>
        </is>
      </c>
      <c r="N64" s="6" t="inlineStr"/>
      <c r="O6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4" s="7" t="inlineStr">
        <is>
          <t>USDA FoodData Central (SR Legacy / Foundation Foods), fdc.nal.usda.gov</t>
        </is>
      </c>
      <c r="Q64" s="6" t="inlineStr">
        <is>
          <t>2026-09-26</t>
        </is>
      </c>
    </row>
    <row r="65">
      <c r="A65" s="6" t="inlineStr">
        <is>
          <t>goat_cheese</t>
        </is>
      </c>
      <c r="B65" s="6" t="inlineStr">
        <is>
          <t>Goat cheese</t>
        </is>
      </c>
      <c r="C65" s="6" t="inlineStr">
        <is>
          <t>dairy</t>
        </is>
      </c>
      <c r="D65" s="6" t="n">
        <v>364</v>
      </c>
      <c r="E65" s="6" t="n">
        <v>22</v>
      </c>
      <c r="F65" s="6" t="n">
        <v>30</v>
      </c>
      <c r="G65" s="6" t="n">
        <v>0</v>
      </c>
      <c r="H65" s="6" t="n">
        <v>0</v>
      </c>
      <c r="I65" s="6" t="n">
        <v>0</v>
      </c>
      <c r="J65" s="6" t="n">
        <v>0</v>
      </c>
      <c r="K65" s="6" t="inlineStr">
        <is>
          <t>definitional</t>
        </is>
      </c>
      <c r="L65" s="7" t="inlineStr">
        <is>
          <t>No available carbohydrate — GI is 0 by definition (protein / fat / water)</t>
        </is>
      </c>
      <c r="M65" s="7" t="inlineStr">
        <is>
          <t>n/a</t>
        </is>
      </c>
      <c r="N65" s="6" t="inlineStr"/>
      <c r="O65" s="7" t="inlineStr">
        <is>
          <t>ISO 26642:2010</t>
        </is>
      </c>
      <c r="P65" s="7" t="inlineStr">
        <is>
          <t>USDA FoodData Central (SR Legacy / Foundation Foods), fdc.nal.usda.gov</t>
        </is>
      </c>
      <c r="Q65" s="6" t="inlineStr">
        <is>
          <t>2026-09-26</t>
        </is>
      </c>
    </row>
    <row r="66">
      <c r="A66" s="6" t="inlineStr">
        <is>
          <t>cream_cheese</t>
        </is>
      </c>
      <c r="B66" s="6" t="inlineStr">
        <is>
          <t>Cream cheese</t>
        </is>
      </c>
      <c r="C66" s="6" t="inlineStr">
        <is>
          <t>dairy</t>
        </is>
      </c>
      <c r="D66" s="6" t="n">
        <v>342</v>
      </c>
      <c r="E66" s="6" t="n">
        <v>6</v>
      </c>
      <c r="F66" s="6" t="n">
        <v>34</v>
      </c>
      <c r="G66" s="6" t="n">
        <v>4</v>
      </c>
      <c r="H66" s="6" t="n">
        <v>0</v>
      </c>
      <c r="I66" s="6" t="n">
        <v>4</v>
      </c>
      <c r="J66" s="6" t="n">
        <v>0</v>
      </c>
      <c r="K66" s="6" t="inlineStr">
        <is>
          <t>low</t>
        </is>
      </c>
      <c r="L66" s="7" t="inlineStr">
        <is>
          <t>Estimated from the closest tested food; no direct measurement found in the pooled sources</t>
        </is>
      </c>
      <c r="M66" s="7" t="inlineStr">
        <is>
          <t>no direct match</t>
        </is>
      </c>
      <c r="N66" s="6" t="inlineStr"/>
      <c r="O6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6" s="7" t="inlineStr">
        <is>
          <t>USDA FoodData Central (SR Legacy / Foundation Foods), fdc.nal.usda.gov</t>
        </is>
      </c>
      <c r="Q66" s="6" t="inlineStr">
        <is>
          <t>2026-09-26</t>
        </is>
      </c>
    </row>
    <row r="67">
      <c r="A67" s="6" t="inlineStr">
        <is>
          <t>swiss_cheese</t>
        </is>
      </c>
      <c r="B67" s="6" t="inlineStr">
        <is>
          <t>Swiss cheese</t>
        </is>
      </c>
      <c r="C67" s="6" t="inlineStr">
        <is>
          <t>dairy</t>
        </is>
      </c>
      <c r="D67" s="6" t="n">
        <v>380</v>
      </c>
      <c r="E67" s="6" t="n">
        <v>27</v>
      </c>
      <c r="F67" s="6" t="n">
        <v>28</v>
      </c>
      <c r="G67" s="6" t="n">
        <v>1.5</v>
      </c>
      <c r="H67" s="6" t="n">
        <v>0</v>
      </c>
      <c r="I67" s="6" t="n">
        <v>1.5</v>
      </c>
      <c r="J67" s="6" t="n">
        <v>0</v>
      </c>
      <c r="K67" s="6" t="inlineStr">
        <is>
          <t>low</t>
        </is>
      </c>
      <c r="L67" s="7" t="inlineStr">
        <is>
          <t>Estimated from the closest tested food; no direct measurement found in the pooled sources</t>
        </is>
      </c>
      <c r="M67" s="7" t="inlineStr">
        <is>
          <t>no direct match</t>
        </is>
      </c>
      <c r="N67" s="6" t="inlineStr"/>
      <c r="O6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7" s="7" t="inlineStr">
        <is>
          <t>USDA FoodData Central (SR Legacy / Foundation Foods), fdc.nal.usda.gov</t>
        </is>
      </c>
      <c r="Q67" s="6" t="inlineStr">
        <is>
          <t>2026-09-26</t>
        </is>
      </c>
    </row>
    <row r="68">
      <c r="A68" s="6" t="inlineStr">
        <is>
          <t>blue_cheese</t>
        </is>
      </c>
      <c r="B68" s="6" t="inlineStr">
        <is>
          <t>Blue cheese, crumbled</t>
        </is>
      </c>
      <c r="C68" s="6" t="inlineStr">
        <is>
          <t>dairy</t>
        </is>
      </c>
      <c r="D68" s="6" t="n">
        <v>353</v>
      </c>
      <c r="E68" s="6" t="n">
        <v>21</v>
      </c>
      <c r="F68" s="6" t="n">
        <v>29</v>
      </c>
      <c r="G68" s="6" t="n">
        <v>2.3</v>
      </c>
      <c r="H68" s="6" t="n">
        <v>0</v>
      </c>
      <c r="I68" s="6" t="n">
        <v>2.3</v>
      </c>
      <c r="J68" s="6" t="n">
        <v>0</v>
      </c>
      <c r="K68" s="6" t="inlineStr">
        <is>
          <t>low</t>
        </is>
      </c>
      <c r="L68" s="7" t="inlineStr">
        <is>
          <t>Estimated from the closest tested food; no direct measurement found in the pooled sources</t>
        </is>
      </c>
      <c r="M68" s="7" t="inlineStr">
        <is>
          <t>no direct match</t>
        </is>
      </c>
      <c r="N68" s="6" t="inlineStr"/>
      <c r="O6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8" s="7" t="inlineStr">
        <is>
          <t>USDA FoodData Central (SR Legacy / Foundation Foods), fdc.nal.usda.gov</t>
        </is>
      </c>
      <c r="Q68" s="6" t="inlineStr">
        <is>
          <t>2026-09-26</t>
        </is>
      </c>
    </row>
    <row r="69">
      <c r="A69" s="6" t="inlineStr">
        <is>
          <t>pepper_jack</t>
        </is>
      </c>
      <c r="B69" s="6" t="inlineStr">
        <is>
          <t>Pepper jack cheese</t>
        </is>
      </c>
      <c r="C69" s="6" t="inlineStr">
        <is>
          <t>dairy</t>
        </is>
      </c>
      <c r="D69" s="6" t="n">
        <v>380</v>
      </c>
      <c r="E69" s="6" t="n">
        <v>24</v>
      </c>
      <c r="F69" s="6" t="n">
        <v>30</v>
      </c>
      <c r="G69" s="6" t="n">
        <v>1.5</v>
      </c>
      <c r="H69" s="6" t="n">
        <v>0</v>
      </c>
      <c r="I69" s="6" t="n">
        <v>1.5</v>
      </c>
      <c r="J69" s="6" t="n">
        <v>0</v>
      </c>
      <c r="K69" s="6" t="inlineStr">
        <is>
          <t>low</t>
        </is>
      </c>
      <c r="L69" s="7" t="inlineStr">
        <is>
          <t>Estimated from the closest tested food; no direct measurement found in the pooled sources</t>
        </is>
      </c>
      <c r="M69" s="7" t="inlineStr">
        <is>
          <t>no direct match</t>
        </is>
      </c>
      <c r="N69" s="6" t="inlineStr"/>
      <c r="O6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69" s="7" t="inlineStr">
        <is>
          <t>USDA FoodData Central (SR Legacy / Foundation Foods), fdc.nal.usda.gov</t>
        </is>
      </c>
      <c r="Q69" s="6" t="inlineStr">
        <is>
          <t>2026-09-26</t>
        </is>
      </c>
    </row>
    <row r="70">
      <c r="A70" s="6" t="inlineStr">
        <is>
          <t>cotija</t>
        </is>
      </c>
      <c r="B70" s="6" t="inlineStr">
        <is>
          <t>Cotija cheese</t>
        </is>
      </c>
      <c r="C70" s="6" t="inlineStr">
        <is>
          <t>dairy</t>
        </is>
      </c>
      <c r="D70" s="6" t="n">
        <v>366</v>
      </c>
      <c r="E70" s="6" t="n">
        <v>20</v>
      </c>
      <c r="F70" s="6" t="n">
        <v>30</v>
      </c>
      <c r="G70" s="6" t="n">
        <v>4</v>
      </c>
      <c r="H70" s="6" t="n">
        <v>0</v>
      </c>
      <c r="I70" s="6" t="n">
        <v>4</v>
      </c>
      <c r="J70" s="6" t="n">
        <v>0</v>
      </c>
      <c r="K70" s="6" t="inlineStr">
        <is>
          <t>low</t>
        </is>
      </c>
      <c r="L70" s="7" t="inlineStr">
        <is>
          <t>Estimated from the closest tested food; no direct measurement found in the pooled sources</t>
        </is>
      </c>
      <c r="M70" s="7" t="inlineStr">
        <is>
          <t>no direct match</t>
        </is>
      </c>
      <c r="N70" s="6" t="inlineStr"/>
      <c r="O7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70" s="7" t="inlineStr">
        <is>
          <t>USDA FoodData Central (SR Legacy / Foundation Foods), fdc.nal.usda.gov</t>
        </is>
      </c>
      <c r="Q70" s="6" t="inlineStr">
        <is>
          <t>2026-09-26</t>
        </is>
      </c>
    </row>
    <row r="71">
      <c r="A71" s="6" t="inlineStr">
        <is>
          <t>milk</t>
        </is>
      </c>
      <c r="B71" s="6" t="inlineStr">
        <is>
          <t>Milk, 2%</t>
        </is>
      </c>
      <c r="C71" s="6" t="inlineStr">
        <is>
          <t>dairy</t>
        </is>
      </c>
      <c r="D71" s="6" t="n">
        <v>50</v>
      </c>
      <c r="E71" s="6" t="n">
        <v>3.3</v>
      </c>
      <c r="F71" s="6" t="n">
        <v>2</v>
      </c>
      <c r="G71" s="6" t="n">
        <v>4.8</v>
      </c>
      <c r="H71" s="6" t="n">
        <v>0</v>
      </c>
      <c r="I71" s="6" t="n">
        <v>4.8</v>
      </c>
      <c r="J71" s="6" t="n">
        <v>27</v>
      </c>
      <c r="K71" s="6" t="inlineStr">
        <is>
          <t>high</t>
        </is>
      </c>
      <c r="L71" s="7" t="inlineStr">
        <is>
          <t>2021 International Tables, Suppl. Table 1 (ISO 26642:2010-compliant studies)</t>
        </is>
      </c>
      <c r="M71" s="7" t="inlineStr">
        <is>
          <t>median of 3 tested foods, range 26-34</t>
        </is>
      </c>
      <c r="N71" s="6" t="n">
        <v>30</v>
      </c>
      <c r="O71" s="7" t="inlineStr">
        <is>
          <t>Atkinson FS, Brand-Miller JC, Foster-Powell K, Buyken AE, Goletzke J. International tables of glycemic index and glycemic load values 2021. Am J Clin Nutr 2021;114(5):1625-32. doi:10.1093/ajcn/nqab233</t>
        </is>
      </c>
      <c r="P71" s="7" t="inlineStr">
        <is>
          <t>USDA FoodData Central (SR Legacy / Foundation Foods), fdc.nal.usda.gov</t>
        </is>
      </c>
      <c r="Q71" s="6" t="inlineStr">
        <is>
          <t>2026-09-26</t>
        </is>
      </c>
    </row>
    <row r="72">
      <c r="A72" s="6" t="inlineStr">
        <is>
          <t>heavy_cream</t>
        </is>
      </c>
      <c r="B72" s="6" t="inlineStr">
        <is>
          <t>Heavy cream</t>
        </is>
      </c>
      <c r="C72" s="6" t="inlineStr">
        <is>
          <t>dairy</t>
        </is>
      </c>
      <c r="D72" s="6" t="n">
        <v>340</v>
      </c>
      <c r="E72" s="6" t="n">
        <v>2</v>
      </c>
      <c r="F72" s="6" t="n">
        <v>36</v>
      </c>
      <c r="G72" s="6" t="n">
        <v>3</v>
      </c>
      <c r="H72" s="6" t="n">
        <v>0</v>
      </c>
      <c r="I72" s="6" t="n">
        <v>3</v>
      </c>
      <c r="J72" s="6" t="n">
        <v>0</v>
      </c>
      <c r="K72" s="6" t="inlineStr">
        <is>
          <t>low</t>
        </is>
      </c>
      <c r="L72" s="7" t="inlineStr">
        <is>
          <t>Estimated from the closest tested food; no direct measurement found in the pooled sources</t>
        </is>
      </c>
      <c r="M72" s="7" t="inlineStr">
        <is>
          <t>no direct match</t>
        </is>
      </c>
      <c r="N72" s="6" t="inlineStr"/>
      <c r="O7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72" s="7" t="inlineStr">
        <is>
          <t>USDA FoodData Central (SR Legacy / Foundation Foods), fdc.nal.usda.gov</t>
        </is>
      </c>
      <c r="Q72" s="6" t="inlineStr">
        <is>
          <t>2026-09-26</t>
        </is>
      </c>
    </row>
    <row r="73">
      <c r="A73" s="6" t="inlineStr">
        <is>
          <t>sour_cream</t>
        </is>
      </c>
      <c r="B73" s="6" t="inlineStr">
        <is>
          <t>Sour cream</t>
        </is>
      </c>
      <c r="C73" s="6" t="inlineStr">
        <is>
          <t>dairy</t>
        </is>
      </c>
      <c r="D73" s="6" t="n">
        <v>198</v>
      </c>
      <c r="E73" s="6" t="n">
        <v>2.4</v>
      </c>
      <c r="F73" s="6" t="n">
        <v>19</v>
      </c>
      <c r="G73" s="6" t="n">
        <v>4.6</v>
      </c>
      <c r="H73" s="6" t="n">
        <v>0</v>
      </c>
      <c r="I73" s="6" t="n">
        <v>4.6</v>
      </c>
      <c r="J73" s="6" t="n">
        <v>0</v>
      </c>
      <c r="K73" s="6" t="inlineStr">
        <is>
          <t>low</t>
        </is>
      </c>
      <c r="L73" s="7" t="inlineStr">
        <is>
          <t>Estimated from the closest tested food; no direct measurement found in the pooled sources</t>
        </is>
      </c>
      <c r="M73" s="7" t="inlineStr">
        <is>
          <t>no direct match</t>
        </is>
      </c>
      <c r="N73" s="6" t="inlineStr"/>
      <c r="O7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73" s="7" t="inlineStr">
        <is>
          <t>USDA FoodData Central (SR Legacy / Foundation Foods), fdc.nal.usda.gov</t>
        </is>
      </c>
      <c r="Q73" s="6" t="inlineStr">
        <is>
          <t>2026-09-26</t>
        </is>
      </c>
    </row>
    <row r="74">
      <c r="A74" s="6" t="inlineStr">
        <is>
          <t>butter</t>
        </is>
      </c>
      <c r="B74" s="6" t="inlineStr">
        <is>
          <t>Butter</t>
        </is>
      </c>
      <c r="C74" s="6" t="inlineStr">
        <is>
          <t>dairy</t>
        </is>
      </c>
      <c r="D74" s="6" t="n">
        <v>717</v>
      </c>
      <c r="E74" s="6" t="n">
        <v>0.9</v>
      </c>
      <c r="F74" s="6" t="n">
        <v>81</v>
      </c>
      <c r="G74" s="6" t="n">
        <v>0</v>
      </c>
      <c r="H74" s="6" t="n">
        <v>0</v>
      </c>
      <c r="I74" s="6" t="n">
        <v>0</v>
      </c>
      <c r="J74" s="6" t="n">
        <v>0</v>
      </c>
      <c r="K74" s="6" t="inlineStr">
        <is>
          <t>definitional</t>
        </is>
      </c>
      <c r="L74" s="7" t="inlineStr">
        <is>
          <t>No available carbohydrate — GI is 0 by definition (protein / fat / water)</t>
        </is>
      </c>
      <c r="M74" s="7" t="inlineStr">
        <is>
          <t>n/a</t>
        </is>
      </c>
      <c r="N74" s="6" t="inlineStr"/>
      <c r="O74" s="7" t="inlineStr">
        <is>
          <t>ISO 26642:2010</t>
        </is>
      </c>
      <c r="P74" s="7" t="inlineStr">
        <is>
          <t>USDA FoodData Central (SR Legacy / Foundation Foods), fdc.nal.usda.gov</t>
        </is>
      </c>
      <c r="Q74" s="6" t="inlineStr">
        <is>
          <t>2026-09-26</t>
        </is>
      </c>
    </row>
    <row r="75">
      <c r="A75" s="6" t="inlineStr">
        <is>
          <t>ghee</t>
        </is>
      </c>
      <c r="B75" s="6" t="inlineStr">
        <is>
          <t>Ghee</t>
        </is>
      </c>
      <c r="C75" s="6" t="inlineStr">
        <is>
          <t>dairy</t>
        </is>
      </c>
      <c r="D75" s="6" t="n">
        <v>900</v>
      </c>
      <c r="E75" s="6" t="n">
        <v>0</v>
      </c>
      <c r="F75" s="6" t="n">
        <v>100</v>
      </c>
      <c r="G75" s="6" t="n">
        <v>0</v>
      </c>
      <c r="H75" s="6" t="n">
        <v>0</v>
      </c>
      <c r="I75" s="6" t="n">
        <v>0</v>
      </c>
      <c r="J75" s="6" t="n">
        <v>0</v>
      </c>
      <c r="K75" s="6" t="inlineStr">
        <is>
          <t>definitional</t>
        </is>
      </c>
      <c r="L75" s="7" t="inlineStr">
        <is>
          <t>No available carbohydrate — GI is 0 by definition (protein / fat / water)</t>
        </is>
      </c>
      <c r="M75" s="7" t="inlineStr">
        <is>
          <t>n/a</t>
        </is>
      </c>
      <c r="N75" s="6" t="inlineStr"/>
      <c r="O75" s="7" t="inlineStr">
        <is>
          <t>ISO 26642:2010</t>
        </is>
      </c>
      <c r="P75" s="7" t="inlineStr">
        <is>
          <t>USDA FoodData Central (SR Legacy / Foundation Foods), fdc.nal.usda.gov</t>
        </is>
      </c>
      <c r="Q75" s="6" t="inlineStr">
        <is>
          <t>2026-09-26</t>
        </is>
      </c>
    </row>
    <row r="76">
      <c r="A76" s="6" t="inlineStr">
        <is>
          <t>kefir</t>
        </is>
      </c>
      <c r="B76" s="6" t="inlineStr">
        <is>
          <t>Kefir, plain</t>
        </is>
      </c>
      <c r="C76" s="6" t="inlineStr">
        <is>
          <t>dairy</t>
        </is>
      </c>
      <c r="D76" s="6" t="n">
        <v>41</v>
      </c>
      <c r="E76" s="6" t="n">
        <v>3.3</v>
      </c>
      <c r="F76" s="6" t="n">
        <v>1</v>
      </c>
      <c r="G76" s="6" t="n">
        <v>4</v>
      </c>
      <c r="H76" s="6" t="n">
        <v>0</v>
      </c>
      <c r="I76" s="6" t="n">
        <v>4</v>
      </c>
      <c r="J76" s="6" t="n">
        <v>36</v>
      </c>
      <c r="K76" s="6" t="inlineStr">
        <is>
          <t>medium</t>
        </is>
      </c>
      <c r="L76" s="7" t="inlineStr">
        <is>
          <t>2021 International Tables, Suppl. Tables 1+2 (incl. studies with method deviations)</t>
        </is>
      </c>
      <c r="M76" s="7" t="inlineStr">
        <is>
          <t>median of 1 tested foods, range 36-36</t>
        </is>
      </c>
      <c r="N76" s="6" t="n">
        <v>36</v>
      </c>
      <c r="O76" s="7" t="inlineStr">
        <is>
          <t>Atkinson FS, Brand-Miller JC, Foster-Powell K, Buyken AE, Goletzke J. International tables of glycemic index and glycemic load values 2021. Am J Clin Nutr 2021;114(5):1625-32. doi:10.1093/ajcn/nqab233</t>
        </is>
      </c>
      <c r="P76" s="7" t="inlineStr">
        <is>
          <t>USDA FoodData Central (SR Legacy / Foundation Foods), fdc.nal.usda.gov</t>
        </is>
      </c>
      <c r="Q76" s="6" t="inlineStr">
        <is>
          <t>2026-09-26</t>
        </is>
      </c>
    </row>
    <row r="77">
      <c r="A77" s="6" t="inlineStr">
        <is>
          <t>almond_milk</t>
        </is>
      </c>
      <c r="B77" s="6" t="inlineStr">
        <is>
          <t>Almond milk, unsweetened</t>
        </is>
      </c>
      <c r="C77" s="6" t="inlineStr">
        <is>
          <t>plant_milk</t>
        </is>
      </c>
      <c r="D77" s="6" t="n">
        <v>15</v>
      </c>
      <c r="E77" s="6" t="n">
        <v>0.6</v>
      </c>
      <c r="F77" s="6" t="n">
        <v>1.2</v>
      </c>
      <c r="G77" s="6" t="n">
        <v>0.6</v>
      </c>
      <c r="H77" s="6" t="n">
        <v>0</v>
      </c>
      <c r="I77" s="6" t="n">
        <v>0.6</v>
      </c>
      <c r="J77" s="6" t="n">
        <v>25</v>
      </c>
      <c r="K77" s="6" t="inlineStr">
        <is>
          <t>low</t>
        </is>
      </c>
      <c r="L77" s="7" t="inlineStr">
        <is>
          <t>Estimated from the closest tested food; no direct measurement found in the pooled sources</t>
        </is>
      </c>
      <c r="M77" s="7" t="inlineStr">
        <is>
          <t>no direct match</t>
        </is>
      </c>
      <c r="N77" s="6" t="n">
        <v>25</v>
      </c>
      <c r="O7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77" s="7" t="inlineStr">
        <is>
          <t>USDA FoodData Central (SR Legacy / Foundation Foods), fdc.nal.usda.gov</t>
        </is>
      </c>
      <c r="Q77" s="6" t="inlineStr">
        <is>
          <t>2026-09-26</t>
        </is>
      </c>
    </row>
    <row r="78">
      <c r="A78" s="6" t="inlineStr">
        <is>
          <t>soy_milk</t>
        </is>
      </c>
      <c r="B78" s="6" t="inlineStr">
        <is>
          <t>Soy milk, unsweetened</t>
        </is>
      </c>
      <c r="C78" s="6" t="inlineStr">
        <is>
          <t>plant_milk</t>
        </is>
      </c>
      <c r="D78" s="6" t="n">
        <v>33</v>
      </c>
      <c r="E78" s="6" t="n">
        <v>2.9</v>
      </c>
      <c r="F78" s="6" t="n">
        <v>1.8</v>
      </c>
      <c r="G78" s="6" t="n">
        <v>1.2</v>
      </c>
      <c r="H78" s="6" t="n">
        <v>0.4</v>
      </c>
      <c r="I78" s="6" t="n">
        <v>0.8</v>
      </c>
      <c r="J78" s="6" t="n">
        <v>36</v>
      </c>
      <c r="K78" s="6" t="inlineStr">
        <is>
          <t>high</t>
        </is>
      </c>
      <c r="L78" s="7" t="inlineStr">
        <is>
          <t>2021 International Tables, Suppl. Table 1 (ISO 26642:2010-compliant studies)</t>
        </is>
      </c>
      <c r="M78" s="7" t="inlineStr">
        <is>
          <t>median of 11 tested foods, range 17-44</t>
        </is>
      </c>
      <c r="N78" s="6" t="n">
        <v>36</v>
      </c>
      <c r="O78" s="7" t="inlineStr">
        <is>
          <t>Atkinson FS, Brand-Miller JC, Foster-Powell K, Buyken AE, Goletzke J. International tables of glycemic index and glycemic load values 2021. Am J Clin Nutr 2021;114(5):1625-32. doi:10.1093/ajcn/nqab233</t>
        </is>
      </c>
      <c r="P78" s="7" t="inlineStr">
        <is>
          <t>USDA FoodData Central (SR Legacy / Foundation Foods), fdc.nal.usda.gov</t>
        </is>
      </c>
      <c r="Q78" s="6" t="inlineStr">
        <is>
          <t>2026-09-26</t>
        </is>
      </c>
    </row>
    <row r="79">
      <c r="A79" s="6" t="inlineStr">
        <is>
          <t>coconut_milk</t>
        </is>
      </c>
      <c r="B79" s="6" t="inlineStr">
        <is>
          <t>Coconut milk, canned full-fat</t>
        </is>
      </c>
      <c r="C79" s="6" t="inlineStr">
        <is>
          <t>plant_milk</t>
        </is>
      </c>
      <c r="D79" s="6" t="n">
        <v>197</v>
      </c>
      <c r="E79" s="6" t="n">
        <v>2</v>
      </c>
      <c r="F79" s="6" t="n">
        <v>21</v>
      </c>
      <c r="G79" s="6" t="n">
        <v>3</v>
      </c>
      <c r="H79" s="6" t="n">
        <v>0</v>
      </c>
      <c r="I79" s="6" t="n">
        <v>3</v>
      </c>
      <c r="J79" s="6" t="n">
        <v>35</v>
      </c>
      <c r="K79" s="6" t="inlineStr">
        <is>
          <t>low</t>
        </is>
      </c>
      <c r="L79" s="7" t="inlineStr">
        <is>
          <t>Estimated from the closest tested food; no direct measurement found in the pooled sources</t>
        </is>
      </c>
      <c r="M79" s="7" t="inlineStr">
        <is>
          <t>no direct match</t>
        </is>
      </c>
      <c r="N79" s="6" t="n">
        <v>35</v>
      </c>
      <c r="O7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79" s="7" t="inlineStr">
        <is>
          <t>USDA FoodData Central (SR Legacy / Foundation Foods), fdc.nal.usda.gov</t>
        </is>
      </c>
      <c r="Q79" s="6" t="inlineStr">
        <is>
          <t>2026-09-26</t>
        </is>
      </c>
    </row>
    <row r="80">
      <c r="A80" s="6" t="inlineStr">
        <is>
          <t>coconut_milk_light</t>
        </is>
      </c>
      <c r="B80" s="6" t="inlineStr">
        <is>
          <t>Coconut milk, canned light</t>
        </is>
      </c>
      <c r="C80" s="6" t="inlineStr">
        <is>
          <t>plant_milk</t>
        </is>
      </c>
      <c r="D80" s="6" t="n">
        <v>68</v>
      </c>
      <c r="E80" s="6" t="n">
        <v>0.7</v>
      </c>
      <c r="F80" s="6" t="n">
        <v>6</v>
      </c>
      <c r="G80" s="6" t="n">
        <v>2.5</v>
      </c>
      <c r="H80" s="6" t="n">
        <v>0</v>
      </c>
      <c r="I80" s="6" t="n">
        <v>2.5</v>
      </c>
      <c r="J80" s="6" t="n">
        <v>35</v>
      </c>
      <c r="K80" s="6" t="inlineStr">
        <is>
          <t>low</t>
        </is>
      </c>
      <c r="L80" s="7" t="inlineStr">
        <is>
          <t>Estimated from the closest tested food; no direct measurement found in the pooled sources</t>
        </is>
      </c>
      <c r="M80" s="7" t="inlineStr">
        <is>
          <t>no direct match</t>
        </is>
      </c>
      <c r="N80" s="6" t="n">
        <v>35</v>
      </c>
      <c r="O8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80" s="7" t="inlineStr">
        <is>
          <t>USDA FoodData Central (SR Legacy / Foundation Foods), fdc.nal.usda.gov</t>
        </is>
      </c>
      <c r="Q80" s="6" t="inlineStr">
        <is>
          <t>2026-09-26</t>
        </is>
      </c>
    </row>
    <row r="81">
      <c r="A81" s="6" t="inlineStr">
        <is>
          <t>whey_protein</t>
        </is>
      </c>
      <c r="B81" s="6" t="inlineStr">
        <is>
          <t>Whey protein powder, unsweetened</t>
        </is>
      </c>
      <c r="C81" s="6" t="inlineStr">
        <is>
          <t>supplement</t>
        </is>
      </c>
      <c r="D81" s="6" t="n">
        <v>380</v>
      </c>
      <c r="E81" s="6" t="n">
        <v>78</v>
      </c>
      <c r="F81" s="6" t="n">
        <v>5</v>
      </c>
      <c r="G81" s="6" t="n">
        <v>8</v>
      </c>
      <c r="H81" s="6" t="n">
        <v>1</v>
      </c>
      <c r="I81" s="6" t="n">
        <v>7</v>
      </c>
      <c r="J81" s="6" t="n">
        <v>30</v>
      </c>
      <c r="K81" s="6" t="inlineStr">
        <is>
          <t>medium</t>
        </is>
      </c>
      <c r="L81" s="7" t="inlineStr">
        <is>
          <t>2021 International Tables, Suppl. Tables 1+2 (incl. studies with method deviations)</t>
        </is>
      </c>
      <c r="M81" s="7" t="inlineStr">
        <is>
          <t>median of 1 tested foods, range 31-31</t>
        </is>
      </c>
      <c r="N81" s="6" t="n">
        <v>31</v>
      </c>
      <c r="O81" s="7" t="inlineStr">
        <is>
          <t>Atkinson FS, Brand-Miller JC, Foster-Powell K, Buyken AE, Goletzke J. International tables of glycemic index and glycemic load values 2021. Am J Clin Nutr 2021;114(5):1625-32. doi:10.1093/ajcn/nqab233</t>
        </is>
      </c>
      <c r="P81" s="7" t="inlineStr">
        <is>
          <t>USDA FoodData Central (SR Legacy / Foundation Foods), fdc.nal.usda.gov</t>
        </is>
      </c>
      <c r="Q81" s="6" t="inlineStr">
        <is>
          <t>2026-09-26</t>
        </is>
      </c>
    </row>
    <row r="82">
      <c r="A82" s="6" t="inlineStr">
        <is>
          <t>plant_protein</t>
        </is>
      </c>
      <c r="B82" s="6" t="inlineStr">
        <is>
          <t>Pea protein powder, unsweetened</t>
        </is>
      </c>
      <c r="C82" s="6" t="inlineStr">
        <is>
          <t>supplement</t>
        </is>
      </c>
      <c r="D82" s="6" t="n">
        <v>375</v>
      </c>
      <c r="E82" s="6" t="n">
        <v>75</v>
      </c>
      <c r="F82" s="6" t="n">
        <v>6</v>
      </c>
      <c r="G82" s="6" t="n">
        <v>8</v>
      </c>
      <c r="H82" s="6" t="n">
        <v>2</v>
      </c>
      <c r="I82" s="6" t="n">
        <v>6</v>
      </c>
      <c r="J82" s="6" t="n">
        <v>30</v>
      </c>
      <c r="K82" s="6" t="inlineStr">
        <is>
          <t>low</t>
        </is>
      </c>
      <c r="L82" s="7" t="inlineStr">
        <is>
          <t>Estimated from the closest tested food; no direct measurement found in the pooled sources</t>
        </is>
      </c>
      <c r="M82" s="7" t="inlineStr">
        <is>
          <t>no direct match</t>
        </is>
      </c>
      <c r="N82" s="6" t="inlineStr"/>
      <c r="O8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82" s="7" t="inlineStr">
        <is>
          <t>USDA FoodData Central (SR Legacy / Foundation Foods), fdc.nal.usda.gov</t>
        </is>
      </c>
      <c r="Q82" s="6" t="inlineStr">
        <is>
          <t>2026-09-26</t>
        </is>
      </c>
    </row>
    <row r="83">
      <c r="A83" s="6" t="inlineStr">
        <is>
          <t>collagen</t>
        </is>
      </c>
      <c r="B83" s="6" t="inlineStr">
        <is>
          <t>Collagen peptides</t>
        </is>
      </c>
      <c r="C83" s="6" t="inlineStr">
        <is>
          <t>supplement</t>
        </is>
      </c>
      <c r="D83" s="6" t="n">
        <v>360</v>
      </c>
      <c r="E83" s="6" t="n">
        <v>90</v>
      </c>
      <c r="F83" s="6" t="n">
        <v>0</v>
      </c>
      <c r="G83" s="6" t="n">
        <v>0</v>
      </c>
      <c r="H83" s="6" t="n">
        <v>0</v>
      </c>
      <c r="I83" s="6" t="n">
        <v>0</v>
      </c>
      <c r="J83" s="6" t="n">
        <v>0</v>
      </c>
      <c r="K83" s="6" t="inlineStr">
        <is>
          <t>low</t>
        </is>
      </c>
      <c r="L83" s="7" t="inlineStr">
        <is>
          <t>Estimated from the closest tested food; no direct measurement found in the pooled sources</t>
        </is>
      </c>
      <c r="M83" s="7" t="inlineStr">
        <is>
          <t>no direct match</t>
        </is>
      </c>
      <c r="N83" s="6" t="inlineStr"/>
      <c r="O8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83" s="7" t="inlineStr">
        <is>
          <t>USDA FoodData Central (SR Legacy / Foundation Foods), fdc.nal.usda.gov</t>
        </is>
      </c>
      <c r="Q83" s="6" t="inlineStr">
        <is>
          <t>2026-09-26</t>
        </is>
      </c>
    </row>
    <row r="84">
      <c r="A84" s="6" t="inlineStr">
        <is>
          <t>tofu</t>
        </is>
      </c>
      <c r="B84" s="6" t="inlineStr">
        <is>
          <t>Tofu, extra-firm</t>
        </is>
      </c>
      <c r="C84" s="6" t="inlineStr">
        <is>
          <t>legume</t>
        </is>
      </c>
      <c r="D84" s="6" t="n">
        <v>144</v>
      </c>
      <c r="E84" s="6" t="n">
        <v>17</v>
      </c>
      <c r="F84" s="6" t="n">
        <v>9</v>
      </c>
      <c r="G84" s="6" t="n">
        <v>3</v>
      </c>
      <c r="H84" s="6" t="n">
        <v>2</v>
      </c>
      <c r="I84" s="6" t="n">
        <v>1</v>
      </c>
      <c r="J84" s="6" t="n">
        <v>15</v>
      </c>
      <c r="K84" s="6" t="inlineStr">
        <is>
          <t>none (placeholder)</t>
        </is>
      </c>
      <c r="L84" s="7" t="inlineStr">
        <is>
          <t>Conventional placeholder for foods with too little carbohydrate to test (non-starchy vegetables, nuts, seeds, herbs); no published measurement exists</t>
        </is>
      </c>
      <c r="M84" s="7" t="inlineStr">
        <is>
          <t>not measurable</t>
        </is>
      </c>
      <c r="N84" s="6" t="n">
        <v>15</v>
      </c>
      <c r="O84" s="7" t="inlineStr">
        <is>
          <t>clinical convention</t>
        </is>
      </c>
      <c r="P84" s="7" t="inlineStr">
        <is>
          <t>USDA FoodData Central (SR Legacy / Foundation Foods), fdc.nal.usda.gov</t>
        </is>
      </c>
      <c r="Q84" s="6" t="inlineStr">
        <is>
          <t>2026-09-26</t>
        </is>
      </c>
    </row>
    <row r="85">
      <c r="A85" s="6" t="inlineStr">
        <is>
          <t>tempeh</t>
        </is>
      </c>
      <c r="B85" s="6" t="inlineStr">
        <is>
          <t>Tempeh</t>
        </is>
      </c>
      <c r="C85" s="6" t="inlineStr">
        <is>
          <t>legume</t>
        </is>
      </c>
      <c r="D85" s="6" t="n">
        <v>192</v>
      </c>
      <c r="E85" s="6" t="n">
        <v>20</v>
      </c>
      <c r="F85" s="6" t="n">
        <v>11</v>
      </c>
      <c r="G85" s="6" t="n">
        <v>8</v>
      </c>
      <c r="H85" s="6" t="n">
        <v>6</v>
      </c>
      <c r="I85" s="6" t="n">
        <v>2</v>
      </c>
      <c r="J85" s="6" t="n">
        <v>15</v>
      </c>
      <c r="K85" s="6" t="inlineStr">
        <is>
          <t>none (placeholder)</t>
        </is>
      </c>
      <c r="L85" s="7" t="inlineStr">
        <is>
          <t>Conventional placeholder for foods with too little carbohydrate to test (non-starchy vegetables, nuts, seeds, herbs); no published measurement exists</t>
        </is>
      </c>
      <c r="M85" s="7" t="inlineStr">
        <is>
          <t>not measurable</t>
        </is>
      </c>
      <c r="N85" s="6" t="n">
        <v>15</v>
      </c>
      <c r="O85" s="7" t="inlineStr">
        <is>
          <t>clinical convention</t>
        </is>
      </c>
      <c r="P85" s="7" t="inlineStr">
        <is>
          <t>USDA FoodData Central (SR Legacy / Foundation Foods), fdc.nal.usda.gov</t>
        </is>
      </c>
      <c r="Q85" s="6" t="inlineStr">
        <is>
          <t>2026-09-26</t>
        </is>
      </c>
    </row>
    <row r="86">
      <c r="A86" s="6" t="inlineStr">
        <is>
          <t>edamame</t>
        </is>
      </c>
      <c r="B86" s="6" t="inlineStr">
        <is>
          <t>Edamame, shelled, cooked</t>
        </is>
      </c>
      <c r="C86" s="6" t="inlineStr">
        <is>
          <t>legume</t>
        </is>
      </c>
      <c r="D86" s="6" t="n">
        <v>121</v>
      </c>
      <c r="E86" s="6" t="n">
        <v>12</v>
      </c>
      <c r="F86" s="6" t="n">
        <v>5</v>
      </c>
      <c r="G86" s="6" t="n">
        <v>9</v>
      </c>
      <c r="H86" s="6" t="n">
        <v>5</v>
      </c>
      <c r="I86" s="6" t="n">
        <v>4</v>
      </c>
      <c r="J86" s="6" t="n">
        <v>18</v>
      </c>
      <c r="K86" s="6" t="inlineStr">
        <is>
          <t>low</t>
        </is>
      </c>
      <c r="L86" s="7" t="inlineStr">
        <is>
          <t>Estimated from the closest tested food; no direct measurement found in the pooled sources</t>
        </is>
      </c>
      <c r="M86" s="7" t="inlineStr">
        <is>
          <t>no direct match</t>
        </is>
      </c>
      <c r="N86" s="6" t="n">
        <v>18</v>
      </c>
      <c r="O8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86" s="7" t="inlineStr">
        <is>
          <t>USDA FoodData Central (SR Legacy / Foundation Foods), fdc.nal.usda.gov</t>
        </is>
      </c>
      <c r="Q86" s="6" t="inlineStr">
        <is>
          <t>2026-09-26</t>
        </is>
      </c>
    </row>
    <row r="87">
      <c r="A87" s="6" t="inlineStr">
        <is>
          <t>lentils</t>
        </is>
      </c>
      <c r="B87" s="6" t="inlineStr">
        <is>
          <t>Lentils, cooked</t>
        </is>
      </c>
      <c r="C87" s="6" t="inlineStr">
        <is>
          <t>legume</t>
        </is>
      </c>
      <c r="D87" s="6" t="n">
        <v>116</v>
      </c>
      <c r="E87" s="6" t="n">
        <v>9</v>
      </c>
      <c r="F87" s="6" t="n">
        <v>0.4</v>
      </c>
      <c r="G87" s="6" t="n">
        <v>20</v>
      </c>
      <c r="H87" s="6" t="n">
        <v>7.9</v>
      </c>
      <c r="I87" s="6" t="n">
        <v>12.1</v>
      </c>
      <c r="J87" s="6" t="n">
        <v>36</v>
      </c>
      <c r="K87" s="6" t="inlineStr">
        <is>
          <t>high</t>
        </is>
      </c>
      <c r="L87" s="7" t="inlineStr">
        <is>
          <t>2021 International Tables, Suppl. Table 1 (ISO 26642:2010-compliant studies)</t>
        </is>
      </c>
      <c r="M87" s="7" t="inlineStr">
        <is>
          <t>median of 3 tested foods, range 16-57</t>
        </is>
      </c>
      <c r="N87" s="6" t="n">
        <v>36</v>
      </c>
      <c r="O87" s="7" t="inlineStr">
        <is>
          <t>Atkinson FS, Brand-Miller JC, Foster-Powell K, Buyken AE, Goletzke J. International tables of glycemic index and glycemic load values 2021. Am J Clin Nutr 2021;114(5):1625-32. doi:10.1093/ajcn/nqab233</t>
        </is>
      </c>
      <c r="P87" s="7" t="inlineStr">
        <is>
          <t>USDA FoodData Central (SR Legacy / Foundation Foods), fdc.nal.usda.gov</t>
        </is>
      </c>
      <c r="Q87" s="6" t="inlineStr">
        <is>
          <t>2026-09-26</t>
        </is>
      </c>
    </row>
    <row r="88">
      <c r="A88" s="6" t="inlineStr">
        <is>
          <t>red_lentils</t>
        </is>
      </c>
      <c r="B88" s="6" t="inlineStr">
        <is>
          <t>Red lentils, cooked</t>
        </is>
      </c>
      <c r="C88" s="6" t="inlineStr">
        <is>
          <t>legume</t>
        </is>
      </c>
      <c r="D88" s="6" t="n">
        <v>116</v>
      </c>
      <c r="E88" s="6" t="n">
        <v>9</v>
      </c>
      <c r="F88" s="6" t="n">
        <v>0.4</v>
      </c>
      <c r="G88" s="6" t="n">
        <v>20</v>
      </c>
      <c r="H88" s="6" t="n">
        <v>6</v>
      </c>
      <c r="I88" s="6" t="n">
        <v>14</v>
      </c>
      <c r="J88" s="6" t="n">
        <v>21</v>
      </c>
      <c r="K88" s="6" t="inlineStr">
        <is>
          <t>medium</t>
        </is>
      </c>
      <c r="L88" s="7" t="inlineStr">
        <is>
          <t>2021 International Tables, Suppl. Tables 1+2 (incl. studies with method deviations)</t>
        </is>
      </c>
      <c r="M88" s="7" t="inlineStr">
        <is>
          <t>median of 5 tested foods, range 18-32</t>
        </is>
      </c>
      <c r="N88" s="6" t="n">
        <v>21</v>
      </c>
      <c r="O88" s="7" t="inlineStr">
        <is>
          <t>Atkinson FS, Brand-Miller JC, Foster-Powell K, Buyken AE, Goletzke J. International tables of glycemic index and glycemic load values 2021. Am J Clin Nutr 2021;114(5):1625-32. doi:10.1093/ajcn/nqab233</t>
        </is>
      </c>
      <c r="P88" s="7" t="inlineStr">
        <is>
          <t>USDA FoodData Central (SR Legacy / Foundation Foods), fdc.nal.usda.gov</t>
        </is>
      </c>
      <c r="Q88" s="6" t="inlineStr">
        <is>
          <t>2026-09-26</t>
        </is>
      </c>
    </row>
    <row r="89">
      <c r="A89" s="6" t="inlineStr">
        <is>
          <t>chickpeas</t>
        </is>
      </c>
      <c r="B89" s="6" t="inlineStr">
        <is>
          <t>Chickpeas, cooked</t>
        </is>
      </c>
      <c r="C89" s="6" t="inlineStr">
        <is>
          <t>legume</t>
        </is>
      </c>
      <c r="D89" s="6" t="n">
        <v>164</v>
      </c>
      <c r="E89" s="6" t="n">
        <v>8.9</v>
      </c>
      <c r="F89" s="6" t="n">
        <v>2.6</v>
      </c>
      <c r="G89" s="6" t="n">
        <v>27</v>
      </c>
      <c r="H89" s="6" t="n">
        <v>7.6</v>
      </c>
      <c r="I89" s="6" t="n">
        <v>19.4</v>
      </c>
      <c r="J89" s="6" t="n">
        <v>38</v>
      </c>
      <c r="K89" s="6" t="inlineStr">
        <is>
          <t>high</t>
        </is>
      </c>
      <c r="L89" s="7" t="inlineStr">
        <is>
          <t>2021 International Tables, Suppl. Table 1 (ISO 26642:2010-compliant studies)</t>
        </is>
      </c>
      <c r="M89" s="7" t="inlineStr">
        <is>
          <t>median of 3 tested foods, range 22-39</t>
        </is>
      </c>
      <c r="N89" s="6" t="n">
        <v>38</v>
      </c>
      <c r="O89" s="7" t="inlineStr">
        <is>
          <t>Atkinson FS, Brand-Miller JC, Foster-Powell K, Buyken AE, Goletzke J. International tables of glycemic index and glycemic load values 2021. Am J Clin Nutr 2021;114(5):1625-32. doi:10.1093/ajcn/nqab233</t>
        </is>
      </c>
      <c r="P89" s="7" t="inlineStr">
        <is>
          <t>USDA FoodData Central (SR Legacy / Foundation Foods), fdc.nal.usda.gov</t>
        </is>
      </c>
      <c r="Q89" s="6" t="inlineStr">
        <is>
          <t>2026-09-26</t>
        </is>
      </c>
    </row>
    <row r="90">
      <c r="A90" s="6" t="inlineStr">
        <is>
          <t>black_beans</t>
        </is>
      </c>
      <c r="B90" s="6" t="inlineStr">
        <is>
          <t>Black beans, cooked</t>
        </is>
      </c>
      <c r="C90" s="6" t="inlineStr">
        <is>
          <t>legume</t>
        </is>
      </c>
      <c r="D90" s="6" t="n">
        <v>132</v>
      </c>
      <c r="E90" s="6" t="n">
        <v>8.9</v>
      </c>
      <c r="F90" s="6" t="n">
        <v>0.5</v>
      </c>
      <c r="G90" s="6" t="n">
        <v>23.7</v>
      </c>
      <c r="H90" s="6" t="n">
        <v>8.699999999999999</v>
      </c>
      <c r="I90" s="6" t="n">
        <v>15</v>
      </c>
      <c r="J90" s="6" t="n">
        <v>30</v>
      </c>
      <c r="K90" s="6" t="inlineStr">
        <is>
          <t>medium</t>
        </is>
      </c>
      <c r="L90" s="7" t="inlineStr">
        <is>
          <t>2021 International Tables, Suppl. Tables 1+2 (incl. studies with method deviations)</t>
        </is>
      </c>
      <c r="M90" s="7" t="inlineStr">
        <is>
          <t>median of 2 tested foods, range 20-31</t>
        </is>
      </c>
      <c r="N90" s="6" t="n">
        <v>26</v>
      </c>
      <c r="O90" s="7" t="inlineStr">
        <is>
          <t>Atkinson FS, Brand-Miller JC, Foster-Powell K, Buyken AE, Goletzke J. International tables of glycemic index and glycemic load values 2021. Am J Clin Nutr 2021;114(5):1625-32. doi:10.1093/ajcn/nqab233</t>
        </is>
      </c>
      <c r="P90" s="7" t="inlineStr">
        <is>
          <t>USDA FoodData Central (SR Legacy / Foundation Foods), fdc.nal.usda.gov</t>
        </is>
      </c>
      <c r="Q90" s="6" t="inlineStr">
        <is>
          <t>2026-09-26</t>
        </is>
      </c>
    </row>
    <row r="91">
      <c r="A91" s="6" t="inlineStr">
        <is>
          <t>kidney_beans</t>
        </is>
      </c>
      <c r="B91" s="6" t="inlineStr">
        <is>
          <t>Kidney beans, cooked</t>
        </is>
      </c>
      <c r="C91" s="6" t="inlineStr">
        <is>
          <t>legume</t>
        </is>
      </c>
      <c r="D91" s="6" t="n">
        <v>127</v>
      </c>
      <c r="E91" s="6" t="n">
        <v>8.699999999999999</v>
      </c>
      <c r="F91" s="6" t="n">
        <v>0.5</v>
      </c>
      <c r="G91" s="6" t="n">
        <v>22.8</v>
      </c>
      <c r="H91" s="6" t="n">
        <v>6.4</v>
      </c>
      <c r="I91" s="6" t="n">
        <v>16.4</v>
      </c>
      <c r="J91" s="6" t="n">
        <v>34</v>
      </c>
      <c r="K91" s="6" t="inlineStr">
        <is>
          <t>medium</t>
        </is>
      </c>
      <c r="L91" s="7" t="inlineStr">
        <is>
          <t>2021 International Tables, Suppl. Tables 1+2 (incl. studies with method deviations)</t>
        </is>
      </c>
      <c r="M91" s="7" t="inlineStr">
        <is>
          <t>median of 14 tested foods, range 9-70</t>
        </is>
      </c>
      <c r="N91" s="6" t="n">
        <v>34</v>
      </c>
      <c r="O91" s="7" t="inlineStr">
        <is>
          <t>Atkinson FS, Brand-Miller JC, Foster-Powell K, Buyken AE, Goletzke J. International tables of glycemic index and glycemic load values 2021. Am J Clin Nutr 2021;114(5):1625-32. doi:10.1093/ajcn/nqab233</t>
        </is>
      </c>
      <c r="P91" s="7" t="inlineStr">
        <is>
          <t>USDA FoodData Central (SR Legacy / Foundation Foods), fdc.nal.usda.gov</t>
        </is>
      </c>
      <c r="Q91" s="6" t="inlineStr">
        <is>
          <t>2026-09-26</t>
        </is>
      </c>
    </row>
    <row r="92">
      <c r="A92" s="6" t="inlineStr">
        <is>
          <t>pinto_beans</t>
        </is>
      </c>
      <c r="B92" s="6" t="inlineStr">
        <is>
          <t>Pinto beans, cooked</t>
        </is>
      </c>
      <c r="C92" s="6" t="inlineStr">
        <is>
          <t>legume</t>
        </is>
      </c>
      <c r="D92" s="6" t="n">
        <v>143</v>
      </c>
      <c r="E92" s="6" t="n">
        <v>9</v>
      </c>
      <c r="F92" s="6" t="n">
        <v>0.6</v>
      </c>
      <c r="G92" s="6" t="n">
        <v>26</v>
      </c>
      <c r="H92" s="6" t="n">
        <v>9</v>
      </c>
      <c r="I92" s="6" t="n">
        <v>17</v>
      </c>
      <c r="J92" s="6" t="n">
        <v>33</v>
      </c>
      <c r="K92" s="6" t="inlineStr">
        <is>
          <t>medium</t>
        </is>
      </c>
      <c r="L92" s="7" t="inlineStr">
        <is>
          <t>2021 International Tables, Suppl. Tables 1+2 (incl. studies with method deviations)</t>
        </is>
      </c>
      <c r="M92" s="7" t="inlineStr">
        <is>
          <t>median of 5 tested foods, range 14-45</t>
        </is>
      </c>
      <c r="N92" s="6" t="n">
        <v>33</v>
      </c>
      <c r="O92" s="7" t="inlineStr">
        <is>
          <t>Atkinson FS, Brand-Miller JC, Foster-Powell K, Buyken AE, Goletzke J. International tables of glycemic index and glycemic load values 2021. Am J Clin Nutr 2021;114(5):1625-32. doi:10.1093/ajcn/nqab233</t>
        </is>
      </c>
      <c r="P92" s="7" t="inlineStr">
        <is>
          <t>USDA FoodData Central (SR Legacy / Foundation Foods), fdc.nal.usda.gov</t>
        </is>
      </c>
      <c r="Q92" s="6" t="inlineStr">
        <is>
          <t>2026-09-26</t>
        </is>
      </c>
    </row>
    <row r="93">
      <c r="A93" s="6" t="inlineStr">
        <is>
          <t>white_beans</t>
        </is>
      </c>
      <c r="B93" s="6" t="inlineStr">
        <is>
          <t>Cannellini beans, cooked</t>
        </is>
      </c>
      <c r="C93" s="6" t="inlineStr">
        <is>
          <t>legume</t>
        </is>
      </c>
      <c r="D93" s="6" t="n">
        <v>139</v>
      </c>
      <c r="E93" s="6" t="n">
        <v>9.699999999999999</v>
      </c>
      <c r="F93" s="6" t="n">
        <v>0.4</v>
      </c>
      <c r="G93" s="6" t="n">
        <v>25</v>
      </c>
      <c r="H93" s="6" t="n">
        <v>6.3</v>
      </c>
      <c r="I93" s="6" t="n">
        <v>18.7</v>
      </c>
      <c r="J93" s="6" t="n">
        <v>31</v>
      </c>
      <c r="K93" s="6" t="inlineStr">
        <is>
          <t>medium</t>
        </is>
      </c>
      <c r="L93" s="7" t="inlineStr">
        <is>
          <t>2021 International Tables, Suppl. Tables 1+2 (incl. studies with method deviations)</t>
        </is>
      </c>
      <c r="M93" s="7" t="inlineStr">
        <is>
          <t>median of 1 tested foods, range 31-31</t>
        </is>
      </c>
      <c r="N93" s="6" t="n">
        <v>31</v>
      </c>
      <c r="O93" s="7" t="inlineStr">
        <is>
          <t>Atkinson FS, Brand-Miller JC, Foster-Powell K, Buyken AE, Goletzke J. International tables of glycemic index and glycemic load values 2021. Am J Clin Nutr 2021;114(5):1625-32. doi:10.1093/ajcn/nqab233</t>
        </is>
      </c>
      <c r="P93" s="7" t="inlineStr">
        <is>
          <t>USDA FoodData Central (SR Legacy / Foundation Foods), fdc.nal.usda.gov</t>
        </is>
      </c>
      <c r="Q93" s="6" t="inlineStr">
        <is>
          <t>2026-09-26</t>
        </is>
      </c>
    </row>
    <row r="94">
      <c r="A94" s="6" t="inlineStr">
        <is>
          <t>navy_beans</t>
        </is>
      </c>
      <c r="B94" s="6" t="inlineStr">
        <is>
          <t>Navy beans, cooked</t>
        </is>
      </c>
      <c r="C94" s="6" t="inlineStr">
        <is>
          <t>legume</t>
        </is>
      </c>
      <c r="D94" s="6" t="n">
        <v>140</v>
      </c>
      <c r="E94" s="6" t="n">
        <v>8.199999999999999</v>
      </c>
      <c r="F94" s="6" t="n">
        <v>0.6</v>
      </c>
      <c r="G94" s="6" t="n">
        <v>26</v>
      </c>
      <c r="H94" s="6" t="n">
        <v>10.5</v>
      </c>
      <c r="I94" s="6" t="n">
        <v>15.5</v>
      </c>
      <c r="J94" s="6" t="n">
        <v>31</v>
      </c>
      <c r="K94" s="6" t="inlineStr">
        <is>
          <t>low</t>
        </is>
      </c>
      <c r="L94" s="7" t="inlineStr">
        <is>
          <t>Estimated from the closest tested food; no direct measurement found in the pooled sources</t>
        </is>
      </c>
      <c r="M94" s="7" t="inlineStr">
        <is>
          <t>no direct match</t>
        </is>
      </c>
      <c r="N94" s="6" t="n">
        <v>31</v>
      </c>
      <c r="O9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94" s="7" t="inlineStr">
        <is>
          <t>USDA FoodData Central (SR Legacy / Foundation Foods), fdc.nal.usda.gov</t>
        </is>
      </c>
      <c r="Q94" s="6" t="inlineStr">
        <is>
          <t>2026-09-26</t>
        </is>
      </c>
    </row>
    <row r="95">
      <c r="A95" s="6" t="inlineStr">
        <is>
          <t>lima_beans</t>
        </is>
      </c>
      <c r="B95" s="6" t="inlineStr">
        <is>
          <t>Lima beans, cooked</t>
        </is>
      </c>
      <c r="C95" s="6" t="inlineStr">
        <is>
          <t>legume</t>
        </is>
      </c>
      <c r="D95" s="6" t="n">
        <v>115</v>
      </c>
      <c r="E95" s="6" t="n">
        <v>7.8</v>
      </c>
      <c r="F95" s="6" t="n">
        <v>0.4</v>
      </c>
      <c r="G95" s="6" t="n">
        <v>20.9</v>
      </c>
      <c r="H95" s="6" t="n">
        <v>7</v>
      </c>
      <c r="I95" s="6" t="n">
        <v>13.9</v>
      </c>
      <c r="J95" s="6" t="n">
        <v>32</v>
      </c>
      <c r="K95" s="6" t="inlineStr">
        <is>
          <t>medium</t>
        </is>
      </c>
      <c r="L95" s="7" t="inlineStr">
        <is>
          <t>2021 International Tables, Suppl. Tables 1+2 (incl. studies with method deviations)</t>
        </is>
      </c>
      <c r="M95" s="7" t="inlineStr">
        <is>
          <t>median of 10 tested foods, range 26-54</t>
        </is>
      </c>
      <c r="N95" s="6" t="n">
        <v>34</v>
      </c>
      <c r="O95" s="7" t="inlineStr">
        <is>
          <t>Atkinson FS, Brand-Miller JC, Foster-Powell K, Buyken AE, Goletzke J. International tables of glycemic index and glycemic load values 2021. Am J Clin Nutr 2021;114(5):1625-32. doi:10.1093/ajcn/nqab233</t>
        </is>
      </c>
      <c r="P95" s="7" t="inlineStr">
        <is>
          <t>USDA FoodData Central (SR Legacy / Foundation Foods), fdc.nal.usda.gov</t>
        </is>
      </c>
      <c r="Q95" s="6" t="inlineStr">
        <is>
          <t>2026-09-26</t>
        </is>
      </c>
    </row>
    <row r="96">
      <c r="A96" s="6" t="inlineStr">
        <is>
          <t>black_eyed_peas</t>
        </is>
      </c>
      <c r="B96" s="6" t="inlineStr">
        <is>
          <t>Black-eyed peas, cooked</t>
        </is>
      </c>
      <c r="C96" s="6" t="inlineStr">
        <is>
          <t>legume</t>
        </is>
      </c>
      <c r="D96" s="6" t="n">
        <v>116</v>
      </c>
      <c r="E96" s="6" t="n">
        <v>7.7</v>
      </c>
      <c r="F96" s="6" t="n">
        <v>0.5</v>
      </c>
      <c r="G96" s="6" t="n">
        <v>20.8</v>
      </c>
      <c r="H96" s="6" t="n">
        <v>6.5</v>
      </c>
      <c r="I96" s="6" t="n">
        <v>14.3</v>
      </c>
      <c r="J96" s="6" t="n">
        <v>50</v>
      </c>
      <c r="K96" s="6" t="inlineStr">
        <is>
          <t>medium</t>
        </is>
      </c>
      <c r="L96" s="7" t="inlineStr">
        <is>
          <t>2021 International Tables, Suppl. Tables 1+2 (incl. studies with method deviations)</t>
        </is>
      </c>
      <c r="M96" s="7" t="inlineStr">
        <is>
          <t>median of 3 tested foods, range 33-52</t>
        </is>
      </c>
      <c r="N96" s="6" t="n">
        <v>50</v>
      </c>
      <c r="O96" s="7" t="inlineStr">
        <is>
          <t>Atkinson FS, Brand-Miller JC, Foster-Powell K, Buyken AE, Goletzke J. International tables of glycemic index and glycemic load values 2021. Am J Clin Nutr 2021;114(5):1625-32. doi:10.1093/ajcn/nqab233</t>
        </is>
      </c>
      <c r="P96" s="7" t="inlineStr">
        <is>
          <t>USDA FoodData Central (SR Legacy / Foundation Foods), fdc.nal.usda.gov</t>
        </is>
      </c>
      <c r="Q96" s="6" t="inlineStr">
        <is>
          <t>2026-09-26</t>
        </is>
      </c>
    </row>
    <row r="97">
      <c r="A97" s="6" t="inlineStr">
        <is>
          <t>split_peas</t>
        </is>
      </c>
      <c r="B97" s="6" t="inlineStr">
        <is>
          <t>Split peas, cooked</t>
        </is>
      </c>
      <c r="C97" s="6" t="inlineStr">
        <is>
          <t>legume</t>
        </is>
      </c>
      <c r="D97" s="6" t="n">
        <v>118</v>
      </c>
      <c r="E97" s="6" t="n">
        <v>8.300000000000001</v>
      </c>
      <c r="F97" s="6" t="n">
        <v>0.4</v>
      </c>
      <c r="G97" s="6" t="n">
        <v>21</v>
      </c>
      <c r="H97" s="6" t="n">
        <v>8.300000000000001</v>
      </c>
      <c r="I97" s="6" t="n">
        <v>12.7</v>
      </c>
      <c r="J97" s="6" t="n">
        <v>32</v>
      </c>
      <c r="K97" s="6" t="inlineStr">
        <is>
          <t>medium</t>
        </is>
      </c>
      <c r="L97" s="7" t="inlineStr">
        <is>
          <t>2021 International Tables, Suppl. Tables 1+2 (incl. studies with method deviations)</t>
        </is>
      </c>
      <c r="M97" s="7" t="inlineStr">
        <is>
          <t>median of 3 tested foods, range 25-61</t>
        </is>
      </c>
      <c r="N97" s="6" t="n">
        <v>32</v>
      </c>
      <c r="O97" s="7" t="inlineStr">
        <is>
          <t>Atkinson FS, Brand-Miller JC, Foster-Powell K, Buyken AE, Goletzke J. International tables of glycemic index and glycemic load values 2021. Am J Clin Nutr 2021;114(5):1625-32. doi:10.1093/ajcn/nqab233</t>
        </is>
      </c>
      <c r="P97" s="7" t="inlineStr">
        <is>
          <t>USDA FoodData Central (SR Legacy / Foundation Foods), fdc.nal.usda.gov</t>
        </is>
      </c>
      <c r="Q97" s="6" t="inlineStr">
        <is>
          <t>2026-09-26</t>
        </is>
      </c>
    </row>
    <row r="98">
      <c r="A98" s="6" t="inlineStr">
        <is>
          <t>refried_beans</t>
        </is>
      </c>
      <c r="B98" s="6" t="inlineStr">
        <is>
          <t>Refried beans, fat-free</t>
        </is>
      </c>
      <c r="C98" s="6" t="inlineStr">
        <is>
          <t>legume</t>
        </is>
      </c>
      <c r="D98" s="6" t="n">
        <v>90</v>
      </c>
      <c r="E98" s="6" t="n">
        <v>5.5</v>
      </c>
      <c r="F98" s="6" t="n">
        <v>0.5</v>
      </c>
      <c r="G98" s="6" t="n">
        <v>15</v>
      </c>
      <c r="H98" s="6" t="n">
        <v>5</v>
      </c>
      <c r="I98" s="6" t="n">
        <v>10</v>
      </c>
      <c r="J98" s="6" t="n">
        <v>38</v>
      </c>
      <c r="K98" s="6" t="inlineStr">
        <is>
          <t>low</t>
        </is>
      </c>
      <c r="L98" s="7" t="inlineStr">
        <is>
          <t>Estimated from the closest tested food; no direct measurement found in the pooled sources</t>
        </is>
      </c>
      <c r="M98" s="7" t="inlineStr">
        <is>
          <t>no direct match</t>
        </is>
      </c>
      <c r="N98" s="6" t="n">
        <v>38</v>
      </c>
      <c r="O9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98" s="7" t="inlineStr">
        <is>
          <t>USDA FoodData Central (SR Legacy / Foundation Foods), fdc.nal.usda.gov</t>
        </is>
      </c>
      <c r="Q98" s="6" t="inlineStr">
        <is>
          <t>2026-09-26</t>
        </is>
      </c>
    </row>
    <row r="99">
      <c r="A99" s="6" t="inlineStr">
        <is>
          <t>hummus</t>
        </is>
      </c>
      <c r="B99" s="6" t="inlineStr">
        <is>
          <t>Hummus</t>
        </is>
      </c>
      <c r="C99" s="6" t="inlineStr">
        <is>
          <t>legume</t>
        </is>
      </c>
      <c r="D99" s="6" t="n">
        <v>166</v>
      </c>
      <c r="E99" s="6" t="n">
        <v>8</v>
      </c>
      <c r="F99" s="6" t="n">
        <v>9.6</v>
      </c>
      <c r="G99" s="6" t="n">
        <v>14</v>
      </c>
      <c r="H99" s="6" t="n">
        <v>6</v>
      </c>
      <c r="I99" s="6" t="n">
        <v>8</v>
      </c>
      <c r="J99" s="6" t="n">
        <v>15</v>
      </c>
      <c r="K99" s="6" t="inlineStr">
        <is>
          <t>medium</t>
        </is>
      </c>
      <c r="L99" s="7" t="inlineStr">
        <is>
          <t>2021 International Tables, Suppl. Tables 1+2 (incl. studies with method deviations)</t>
        </is>
      </c>
      <c r="M99" s="7" t="inlineStr">
        <is>
          <t>median of 3 tested foods, range 6-15</t>
        </is>
      </c>
      <c r="N99" s="6" t="n">
        <v>10</v>
      </c>
      <c r="O99" s="7" t="inlineStr">
        <is>
          <t>Atkinson FS, Brand-Miller JC, Foster-Powell K, Buyken AE, Goletzke J. International tables of glycemic index and glycemic load values 2021. Am J Clin Nutr 2021;114(5):1625-32. doi:10.1093/ajcn/nqab233</t>
        </is>
      </c>
      <c r="P99" s="7" t="inlineStr">
        <is>
          <t>USDA FoodData Central (SR Legacy / Foundation Foods), fdc.nal.usda.gov</t>
        </is>
      </c>
      <c r="Q99" s="6" t="inlineStr">
        <is>
          <t>2026-09-26</t>
        </is>
      </c>
    </row>
    <row r="100">
      <c r="A100" s="6" t="inlineStr">
        <is>
          <t>spinach</t>
        </is>
      </c>
      <c r="B100" s="6" t="inlineStr">
        <is>
          <t>Spinach</t>
        </is>
      </c>
      <c r="C100" s="6" t="inlineStr">
        <is>
          <t>veg</t>
        </is>
      </c>
      <c r="D100" s="6" t="n">
        <v>23</v>
      </c>
      <c r="E100" s="6" t="n">
        <v>2.9</v>
      </c>
      <c r="F100" s="6" t="n">
        <v>0.4</v>
      </c>
      <c r="G100" s="6" t="n">
        <v>3.6</v>
      </c>
      <c r="H100" s="6" t="n">
        <v>2.2</v>
      </c>
      <c r="I100" s="6" t="n">
        <v>1.4</v>
      </c>
      <c r="J100" s="6" t="n">
        <v>15</v>
      </c>
      <c r="K100" s="6" t="inlineStr">
        <is>
          <t>none (placeholder)</t>
        </is>
      </c>
      <c r="L100" s="7" t="inlineStr">
        <is>
          <t>Conventional placeholder for foods with too little carbohydrate to test (non-starchy vegetables, nuts, seeds, herbs); no published measurement exists</t>
        </is>
      </c>
      <c r="M100" s="7" t="inlineStr">
        <is>
          <t>not measurable</t>
        </is>
      </c>
      <c r="N100" s="6" t="inlineStr"/>
      <c r="O100" s="7" t="inlineStr">
        <is>
          <t>clinical convention</t>
        </is>
      </c>
      <c r="P100" s="7" t="inlineStr">
        <is>
          <t>USDA FoodData Central (SR Legacy / Foundation Foods), fdc.nal.usda.gov</t>
        </is>
      </c>
      <c r="Q100" s="6" t="inlineStr">
        <is>
          <t>2026-09-26</t>
        </is>
      </c>
    </row>
    <row r="101">
      <c r="A101" s="6" t="inlineStr">
        <is>
          <t>kale</t>
        </is>
      </c>
      <c r="B101" s="6" t="inlineStr">
        <is>
          <t>Kale</t>
        </is>
      </c>
      <c r="C101" s="6" t="inlineStr">
        <is>
          <t>veg</t>
        </is>
      </c>
      <c r="D101" s="6" t="n">
        <v>49</v>
      </c>
      <c r="E101" s="6" t="n">
        <v>4.3</v>
      </c>
      <c r="F101" s="6" t="n">
        <v>0.9</v>
      </c>
      <c r="G101" s="6" t="n">
        <v>8.800000000000001</v>
      </c>
      <c r="H101" s="6" t="n">
        <v>3.6</v>
      </c>
      <c r="I101" s="6" t="n">
        <v>5.2</v>
      </c>
      <c r="J101" s="6" t="n">
        <v>15</v>
      </c>
      <c r="K101" s="6" t="inlineStr">
        <is>
          <t>none (placeholder)</t>
        </is>
      </c>
      <c r="L101" s="7" t="inlineStr">
        <is>
          <t>Conventional placeholder for foods with too little carbohydrate to test (non-starchy vegetables, nuts, seeds, herbs); no published measurement exists</t>
        </is>
      </c>
      <c r="M101" s="7" t="inlineStr">
        <is>
          <t>not measurable</t>
        </is>
      </c>
      <c r="N101" s="6" t="inlineStr"/>
      <c r="O101" s="7" t="inlineStr">
        <is>
          <t>clinical convention</t>
        </is>
      </c>
      <c r="P101" s="7" t="inlineStr">
        <is>
          <t>USDA FoodData Central (SR Legacy / Foundation Foods), fdc.nal.usda.gov</t>
        </is>
      </c>
      <c r="Q101" s="6" t="inlineStr">
        <is>
          <t>2026-09-26</t>
        </is>
      </c>
    </row>
    <row r="102">
      <c r="A102" s="6" t="inlineStr">
        <is>
          <t>arugula</t>
        </is>
      </c>
      <c r="B102" s="6" t="inlineStr">
        <is>
          <t>Arugula</t>
        </is>
      </c>
      <c r="C102" s="6" t="inlineStr">
        <is>
          <t>veg</t>
        </is>
      </c>
      <c r="D102" s="6" t="n">
        <v>25</v>
      </c>
      <c r="E102" s="6" t="n">
        <v>2.6</v>
      </c>
      <c r="F102" s="6" t="n">
        <v>0.7</v>
      </c>
      <c r="G102" s="6" t="n">
        <v>3.7</v>
      </c>
      <c r="H102" s="6" t="n">
        <v>1.6</v>
      </c>
      <c r="I102" s="6" t="n">
        <v>2.1</v>
      </c>
      <c r="J102" s="6" t="n">
        <v>15</v>
      </c>
      <c r="K102" s="6" t="inlineStr">
        <is>
          <t>none (placeholder)</t>
        </is>
      </c>
      <c r="L102" s="7" t="inlineStr">
        <is>
          <t>Conventional placeholder for foods with too little carbohydrate to test (non-starchy vegetables, nuts, seeds, herbs); no published measurement exists</t>
        </is>
      </c>
      <c r="M102" s="7" t="inlineStr">
        <is>
          <t>not measurable</t>
        </is>
      </c>
      <c r="N102" s="6" t="inlineStr"/>
      <c r="O102" s="7" t="inlineStr">
        <is>
          <t>clinical convention</t>
        </is>
      </c>
      <c r="P102" s="7" t="inlineStr">
        <is>
          <t>USDA FoodData Central (SR Legacy / Foundation Foods), fdc.nal.usda.gov</t>
        </is>
      </c>
      <c r="Q102" s="6" t="inlineStr">
        <is>
          <t>2026-09-26</t>
        </is>
      </c>
    </row>
    <row r="103">
      <c r="A103" s="6" t="inlineStr">
        <is>
          <t>romaine</t>
        </is>
      </c>
      <c r="B103" s="6" t="inlineStr">
        <is>
          <t>Romaine lettuce</t>
        </is>
      </c>
      <c r="C103" s="6" t="inlineStr">
        <is>
          <t>veg</t>
        </is>
      </c>
      <c r="D103" s="6" t="n">
        <v>17</v>
      </c>
      <c r="E103" s="6" t="n">
        <v>1.2</v>
      </c>
      <c r="F103" s="6" t="n">
        <v>0.3</v>
      </c>
      <c r="G103" s="6" t="n">
        <v>3.3</v>
      </c>
      <c r="H103" s="6" t="n">
        <v>2.1</v>
      </c>
      <c r="I103" s="6" t="n">
        <v>1.2</v>
      </c>
      <c r="J103" s="6" t="n">
        <v>15</v>
      </c>
      <c r="K103" s="6" t="inlineStr">
        <is>
          <t>none (placeholder)</t>
        </is>
      </c>
      <c r="L103" s="7" t="inlineStr">
        <is>
          <t>Conventional placeholder for foods with too little carbohydrate to test (non-starchy vegetables, nuts, seeds, herbs); no published measurement exists</t>
        </is>
      </c>
      <c r="M103" s="7" t="inlineStr">
        <is>
          <t>not measurable</t>
        </is>
      </c>
      <c r="N103" s="6" t="inlineStr"/>
      <c r="O103" s="7" t="inlineStr">
        <is>
          <t>clinical convention</t>
        </is>
      </c>
      <c r="P103" s="7" t="inlineStr">
        <is>
          <t>USDA FoodData Central (SR Legacy / Foundation Foods), fdc.nal.usda.gov</t>
        </is>
      </c>
      <c r="Q103" s="6" t="inlineStr">
        <is>
          <t>2026-09-26</t>
        </is>
      </c>
    </row>
    <row r="104">
      <c r="A104" s="6" t="inlineStr">
        <is>
          <t>mixed_greens</t>
        </is>
      </c>
      <c r="B104" s="6" t="inlineStr">
        <is>
          <t>Mixed salad greens</t>
        </is>
      </c>
      <c r="C104" s="6" t="inlineStr">
        <is>
          <t>veg</t>
        </is>
      </c>
      <c r="D104" s="6" t="n">
        <v>20</v>
      </c>
      <c r="E104" s="6" t="n">
        <v>2</v>
      </c>
      <c r="F104" s="6" t="n">
        <v>0.3</v>
      </c>
      <c r="G104" s="6" t="n">
        <v>3.5</v>
      </c>
      <c r="H104" s="6" t="n">
        <v>2</v>
      </c>
      <c r="I104" s="6" t="n">
        <v>1.5</v>
      </c>
      <c r="J104" s="6" t="n">
        <v>15</v>
      </c>
      <c r="K104" s="6" t="inlineStr">
        <is>
          <t>none (placeholder)</t>
        </is>
      </c>
      <c r="L104" s="7" t="inlineStr">
        <is>
          <t>Conventional placeholder for foods with too little carbohydrate to test (non-starchy vegetables, nuts, seeds, herbs); no published measurement exists</t>
        </is>
      </c>
      <c r="M104" s="7" t="inlineStr">
        <is>
          <t>not measurable</t>
        </is>
      </c>
      <c r="N104" s="6" t="inlineStr"/>
      <c r="O104" s="7" t="inlineStr">
        <is>
          <t>clinical convention</t>
        </is>
      </c>
      <c r="P104" s="7" t="inlineStr">
        <is>
          <t>USDA FoodData Central (SR Legacy / Foundation Foods), fdc.nal.usda.gov</t>
        </is>
      </c>
      <c r="Q104" s="6" t="inlineStr">
        <is>
          <t>2026-09-26</t>
        </is>
      </c>
    </row>
    <row r="105">
      <c r="A105" s="6" t="inlineStr">
        <is>
          <t>butter_lettuce</t>
        </is>
      </c>
      <c r="B105" s="6" t="inlineStr">
        <is>
          <t>Butter lettuce</t>
        </is>
      </c>
      <c r="C105" s="6" t="inlineStr">
        <is>
          <t>veg</t>
        </is>
      </c>
      <c r="D105" s="6" t="n">
        <v>13</v>
      </c>
      <c r="E105" s="6" t="n">
        <v>1.4</v>
      </c>
      <c r="F105" s="6" t="n">
        <v>0.2</v>
      </c>
      <c r="G105" s="6" t="n">
        <v>2.2</v>
      </c>
      <c r="H105" s="6" t="n">
        <v>1.1</v>
      </c>
      <c r="I105" s="6" t="n">
        <v>1.1</v>
      </c>
      <c r="J105" s="6" t="n">
        <v>15</v>
      </c>
      <c r="K105" s="6" t="inlineStr">
        <is>
          <t>none (placeholder)</t>
        </is>
      </c>
      <c r="L105" s="7" t="inlineStr">
        <is>
          <t>Conventional placeholder for foods with too little carbohydrate to test (non-starchy vegetables, nuts, seeds, herbs); no published measurement exists</t>
        </is>
      </c>
      <c r="M105" s="7" t="inlineStr">
        <is>
          <t>not measurable</t>
        </is>
      </c>
      <c r="N105" s="6" t="inlineStr"/>
      <c r="O105" s="7" t="inlineStr">
        <is>
          <t>clinical convention</t>
        </is>
      </c>
      <c r="P105" s="7" t="inlineStr">
        <is>
          <t>USDA FoodData Central (SR Legacy / Foundation Foods), fdc.nal.usda.gov</t>
        </is>
      </c>
      <c r="Q105" s="6" t="inlineStr">
        <is>
          <t>2026-09-26</t>
        </is>
      </c>
    </row>
    <row r="106">
      <c r="A106" s="6" t="inlineStr">
        <is>
          <t>iceberg</t>
        </is>
      </c>
      <c r="B106" s="6" t="inlineStr">
        <is>
          <t>Iceberg lettuce</t>
        </is>
      </c>
      <c r="C106" s="6" t="inlineStr">
        <is>
          <t>veg</t>
        </is>
      </c>
      <c r="D106" s="6" t="n">
        <v>14</v>
      </c>
      <c r="E106" s="6" t="n">
        <v>0.9</v>
      </c>
      <c r="F106" s="6" t="n">
        <v>0.1</v>
      </c>
      <c r="G106" s="6" t="n">
        <v>3</v>
      </c>
      <c r="H106" s="6" t="n">
        <v>1.2</v>
      </c>
      <c r="I106" s="6" t="n">
        <v>1.8</v>
      </c>
      <c r="J106" s="6" t="n">
        <v>15</v>
      </c>
      <c r="K106" s="6" t="inlineStr">
        <is>
          <t>none (placeholder)</t>
        </is>
      </c>
      <c r="L106" s="7" t="inlineStr">
        <is>
          <t>Conventional placeholder for foods with too little carbohydrate to test (non-starchy vegetables, nuts, seeds, herbs); no published measurement exists</t>
        </is>
      </c>
      <c r="M106" s="7" t="inlineStr">
        <is>
          <t>not measurable</t>
        </is>
      </c>
      <c r="N106" s="6" t="inlineStr"/>
      <c r="O106" s="7" t="inlineStr">
        <is>
          <t>clinical convention</t>
        </is>
      </c>
      <c r="P106" s="7" t="inlineStr">
        <is>
          <t>USDA FoodData Central (SR Legacy / Foundation Foods), fdc.nal.usda.gov</t>
        </is>
      </c>
      <c r="Q106" s="6" t="inlineStr">
        <is>
          <t>2026-09-26</t>
        </is>
      </c>
    </row>
    <row r="107">
      <c r="A107" s="6" t="inlineStr">
        <is>
          <t>swiss_chard</t>
        </is>
      </c>
      <c r="B107" s="6" t="inlineStr">
        <is>
          <t>Swiss chard</t>
        </is>
      </c>
      <c r="C107" s="6" t="inlineStr">
        <is>
          <t>veg</t>
        </is>
      </c>
      <c r="D107" s="6" t="n">
        <v>19</v>
      </c>
      <c r="E107" s="6" t="n">
        <v>1.8</v>
      </c>
      <c r="F107" s="6" t="n">
        <v>0.2</v>
      </c>
      <c r="G107" s="6" t="n">
        <v>3.7</v>
      </c>
      <c r="H107" s="6" t="n">
        <v>1.6</v>
      </c>
      <c r="I107" s="6" t="n">
        <v>2.1</v>
      </c>
      <c r="J107" s="6" t="n">
        <v>15</v>
      </c>
      <c r="K107" s="6" t="inlineStr">
        <is>
          <t>none (placeholder)</t>
        </is>
      </c>
      <c r="L107" s="7" t="inlineStr">
        <is>
          <t>Conventional placeholder for foods with too little carbohydrate to test (non-starchy vegetables, nuts, seeds, herbs); no published measurement exists</t>
        </is>
      </c>
      <c r="M107" s="7" t="inlineStr">
        <is>
          <t>not measurable</t>
        </is>
      </c>
      <c r="N107" s="6" t="inlineStr"/>
      <c r="O107" s="7" t="inlineStr">
        <is>
          <t>clinical convention</t>
        </is>
      </c>
      <c r="P107" s="7" t="inlineStr">
        <is>
          <t>USDA FoodData Central (SR Legacy / Foundation Foods), fdc.nal.usda.gov</t>
        </is>
      </c>
      <c r="Q107" s="6" t="inlineStr">
        <is>
          <t>2026-09-26</t>
        </is>
      </c>
    </row>
    <row r="108">
      <c r="A108" s="6" t="inlineStr">
        <is>
          <t>collard_greens</t>
        </is>
      </c>
      <c r="B108" s="6" t="inlineStr">
        <is>
          <t>Collard greens</t>
        </is>
      </c>
      <c r="C108" s="6" t="inlineStr">
        <is>
          <t>veg</t>
        </is>
      </c>
      <c r="D108" s="6" t="n">
        <v>32</v>
      </c>
      <c r="E108" s="6" t="n">
        <v>3</v>
      </c>
      <c r="F108" s="6" t="n">
        <v>0.6</v>
      </c>
      <c r="G108" s="6" t="n">
        <v>5.4</v>
      </c>
      <c r="H108" s="6" t="n">
        <v>4</v>
      </c>
      <c r="I108" s="6" t="n">
        <v>1.4</v>
      </c>
      <c r="J108" s="6" t="n">
        <v>15</v>
      </c>
      <c r="K108" s="6" t="inlineStr">
        <is>
          <t>none (placeholder)</t>
        </is>
      </c>
      <c r="L108" s="7" t="inlineStr">
        <is>
          <t>Conventional placeholder for foods with too little carbohydrate to test (non-starchy vegetables, nuts, seeds, herbs); no published measurement exists</t>
        </is>
      </c>
      <c r="M108" s="7" t="inlineStr">
        <is>
          <t>not measurable</t>
        </is>
      </c>
      <c r="N108" s="6" t="inlineStr"/>
      <c r="O108" s="7" t="inlineStr">
        <is>
          <t>clinical convention</t>
        </is>
      </c>
      <c r="P108" s="7" t="inlineStr">
        <is>
          <t>USDA FoodData Central (SR Legacy / Foundation Foods), fdc.nal.usda.gov</t>
        </is>
      </c>
      <c r="Q108" s="6" t="inlineStr">
        <is>
          <t>2026-09-26</t>
        </is>
      </c>
    </row>
    <row r="109">
      <c r="A109" s="6" t="inlineStr">
        <is>
          <t>bok_choy</t>
        </is>
      </c>
      <c r="B109" s="6" t="inlineStr">
        <is>
          <t>Bok choy</t>
        </is>
      </c>
      <c r="C109" s="6" t="inlineStr">
        <is>
          <t>veg</t>
        </is>
      </c>
      <c r="D109" s="6" t="n">
        <v>13</v>
      </c>
      <c r="E109" s="6" t="n">
        <v>1.5</v>
      </c>
      <c r="F109" s="6" t="n">
        <v>0.2</v>
      </c>
      <c r="G109" s="6" t="n">
        <v>2.2</v>
      </c>
      <c r="H109" s="6" t="n">
        <v>1</v>
      </c>
      <c r="I109" s="6" t="n">
        <v>1.2</v>
      </c>
      <c r="J109" s="6" t="n">
        <v>15</v>
      </c>
      <c r="K109" s="6" t="inlineStr">
        <is>
          <t>none (placeholder)</t>
        </is>
      </c>
      <c r="L109" s="7" t="inlineStr">
        <is>
          <t>Conventional placeholder for foods with too little carbohydrate to test (non-starchy vegetables, nuts, seeds, herbs); no published measurement exists</t>
        </is>
      </c>
      <c r="M109" s="7" t="inlineStr">
        <is>
          <t>not measurable</t>
        </is>
      </c>
      <c r="N109" s="6" t="inlineStr"/>
      <c r="O109" s="7" t="inlineStr">
        <is>
          <t>clinical convention</t>
        </is>
      </c>
      <c r="P109" s="7" t="inlineStr">
        <is>
          <t>USDA FoodData Central (SR Legacy / Foundation Foods), fdc.nal.usda.gov</t>
        </is>
      </c>
      <c r="Q109" s="6" t="inlineStr">
        <is>
          <t>2026-09-26</t>
        </is>
      </c>
    </row>
    <row r="110">
      <c r="A110" s="6" t="inlineStr">
        <is>
          <t>cabbage</t>
        </is>
      </c>
      <c r="B110" s="6" t="inlineStr">
        <is>
          <t>Green cabbage</t>
        </is>
      </c>
      <c r="C110" s="6" t="inlineStr">
        <is>
          <t>veg</t>
        </is>
      </c>
      <c r="D110" s="6" t="n">
        <v>25</v>
      </c>
      <c r="E110" s="6" t="n">
        <v>1.3</v>
      </c>
      <c r="F110" s="6" t="n">
        <v>0.1</v>
      </c>
      <c r="G110" s="6" t="n">
        <v>5.8</v>
      </c>
      <c r="H110" s="6" t="n">
        <v>2.5</v>
      </c>
      <c r="I110" s="6" t="n">
        <v>3.3</v>
      </c>
      <c r="J110" s="6" t="n">
        <v>15</v>
      </c>
      <c r="K110" s="6" t="inlineStr">
        <is>
          <t>none (placeholder)</t>
        </is>
      </c>
      <c r="L110" s="7" t="inlineStr">
        <is>
          <t>Conventional placeholder for foods with too little carbohydrate to test (non-starchy vegetables, nuts, seeds, herbs); no published measurement exists</t>
        </is>
      </c>
      <c r="M110" s="7" t="inlineStr">
        <is>
          <t>not measurable</t>
        </is>
      </c>
      <c r="N110" s="6" t="inlineStr"/>
      <c r="O110" s="7" t="inlineStr">
        <is>
          <t>clinical convention</t>
        </is>
      </c>
      <c r="P110" s="7" t="inlineStr">
        <is>
          <t>USDA FoodData Central (SR Legacy / Foundation Foods), fdc.nal.usda.gov</t>
        </is>
      </c>
      <c r="Q110" s="6" t="inlineStr">
        <is>
          <t>2026-09-26</t>
        </is>
      </c>
    </row>
    <row r="111">
      <c r="A111" s="6" t="inlineStr">
        <is>
          <t>red_cabbage</t>
        </is>
      </c>
      <c r="B111" s="6" t="inlineStr">
        <is>
          <t>Red cabbage</t>
        </is>
      </c>
      <c r="C111" s="6" t="inlineStr">
        <is>
          <t>veg</t>
        </is>
      </c>
      <c r="D111" s="6" t="n">
        <v>31</v>
      </c>
      <c r="E111" s="6" t="n">
        <v>1.4</v>
      </c>
      <c r="F111" s="6" t="n">
        <v>0.2</v>
      </c>
      <c r="G111" s="6" t="n">
        <v>7.4</v>
      </c>
      <c r="H111" s="6" t="n">
        <v>2.1</v>
      </c>
      <c r="I111" s="6" t="n">
        <v>5.3</v>
      </c>
      <c r="J111" s="6" t="n">
        <v>15</v>
      </c>
      <c r="K111" s="6" t="inlineStr">
        <is>
          <t>none (placeholder)</t>
        </is>
      </c>
      <c r="L111" s="7" t="inlineStr">
        <is>
          <t>Conventional placeholder for foods with too little carbohydrate to test (non-starchy vegetables, nuts, seeds, herbs); no published measurement exists</t>
        </is>
      </c>
      <c r="M111" s="7" t="inlineStr">
        <is>
          <t>not measurable</t>
        </is>
      </c>
      <c r="N111" s="6" t="inlineStr"/>
      <c r="O111" s="7" t="inlineStr">
        <is>
          <t>clinical convention</t>
        </is>
      </c>
      <c r="P111" s="7" t="inlineStr">
        <is>
          <t>USDA FoodData Central (SR Legacy / Foundation Foods), fdc.nal.usda.gov</t>
        </is>
      </c>
      <c r="Q111" s="6" t="inlineStr">
        <is>
          <t>2026-09-26</t>
        </is>
      </c>
    </row>
    <row r="112">
      <c r="A112" s="6" t="inlineStr">
        <is>
          <t>napa_cabbage</t>
        </is>
      </c>
      <c r="B112" s="6" t="inlineStr">
        <is>
          <t>Napa cabbage</t>
        </is>
      </c>
      <c r="C112" s="6" t="inlineStr">
        <is>
          <t>veg</t>
        </is>
      </c>
      <c r="D112" s="6" t="n">
        <v>16</v>
      </c>
      <c r="E112" s="6" t="n">
        <v>1.2</v>
      </c>
      <c r="F112" s="6" t="n">
        <v>0.2</v>
      </c>
      <c r="G112" s="6" t="n">
        <v>3.2</v>
      </c>
      <c r="H112" s="6" t="n">
        <v>1.2</v>
      </c>
      <c r="I112" s="6" t="n">
        <v>2</v>
      </c>
      <c r="J112" s="6" t="n">
        <v>15</v>
      </c>
      <c r="K112" s="6" t="inlineStr">
        <is>
          <t>none (placeholder)</t>
        </is>
      </c>
      <c r="L112" s="7" t="inlineStr">
        <is>
          <t>Conventional placeholder for foods with too little carbohydrate to test (non-starchy vegetables, nuts, seeds, herbs); no published measurement exists</t>
        </is>
      </c>
      <c r="M112" s="7" t="inlineStr">
        <is>
          <t>not measurable</t>
        </is>
      </c>
      <c r="N112" s="6" t="inlineStr"/>
      <c r="O112" s="7" t="inlineStr">
        <is>
          <t>clinical convention</t>
        </is>
      </c>
      <c r="P112" s="7" t="inlineStr">
        <is>
          <t>USDA FoodData Central (SR Legacy / Foundation Foods), fdc.nal.usda.gov</t>
        </is>
      </c>
      <c r="Q112" s="6" t="inlineStr">
        <is>
          <t>2026-09-26</t>
        </is>
      </c>
    </row>
    <row r="113">
      <c r="A113" s="6" t="inlineStr">
        <is>
          <t>coleslaw_mix</t>
        </is>
      </c>
      <c r="B113" s="6" t="inlineStr">
        <is>
          <t>Coleslaw mix (cabbage &amp; carrot)</t>
        </is>
      </c>
      <c r="C113" s="6" t="inlineStr">
        <is>
          <t>veg</t>
        </is>
      </c>
      <c r="D113" s="6" t="n">
        <v>27</v>
      </c>
      <c r="E113" s="6" t="n">
        <v>1.3</v>
      </c>
      <c r="F113" s="6" t="n">
        <v>0.1</v>
      </c>
      <c r="G113" s="6" t="n">
        <v>6</v>
      </c>
      <c r="H113" s="6" t="n">
        <v>2.4</v>
      </c>
      <c r="I113" s="6" t="n">
        <v>3.6</v>
      </c>
      <c r="J113" s="6" t="n">
        <v>15</v>
      </c>
      <c r="K113" s="6" t="inlineStr">
        <is>
          <t>none (placeholder)</t>
        </is>
      </c>
      <c r="L113" s="7" t="inlineStr">
        <is>
          <t>Conventional placeholder for foods with too little carbohydrate to test (non-starchy vegetables, nuts, seeds, herbs); no published measurement exists</t>
        </is>
      </c>
      <c r="M113" s="7" t="inlineStr">
        <is>
          <t>not measurable</t>
        </is>
      </c>
      <c r="N113" s="6" t="inlineStr"/>
      <c r="O113" s="7" t="inlineStr">
        <is>
          <t>clinical convention</t>
        </is>
      </c>
      <c r="P113" s="7" t="inlineStr">
        <is>
          <t>USDA FoodData Central (SR Legacy / Foundation Foods), fdc.nal.usda.gov</t>
        </is>
      </c>
      <c r="Q113" s="6" t="inlineStr">
        <is>
          <t>2026-09-26</t>
        </is>
      </c>
    </row>
    <row r="114">
      <c r="A114" s="6" t="inlineStr">
        <is>
          <t>broccoli</t>
        </is>
      </c>
      <c r="B114" s="6" t="inlineStr">
        <is>
          <t>Broccoli</t>
        </is>
      </c>
      <c r="C114" s="6" t="inlineStr">
        <is>
          <t>veg</t>
        </is>
      </c>
      <c r="D114" s="6" t="n">
        <v>34</v>
      </c>
      <c r="E114" s="6" t="n">
        <v>2.8</v>
      </c>
      <c r="F114" s="6" t="n">
        <v>0.4</v>
      </c>
      <c r="G114" s="6" t="n">
        <v>6.6</v>
      </c>
      <c r="H114" s="6" t="n">
        <v>2.6</v>
      </c>
      <c r="I114" s="6" t="n">
        <v>4</v>
      </c>
      <c r="J114" s="6" t="n">
        <v>15</v>
      </c>
      <c r="K114" s="6" t="inlineStr">
        <is>
          <t>none (placeholder)</t>
        </is>
      </c>
      <c r="L114" s="7" t="inlineStr">
        <is>
          <t>Conventional placeholder for foods with too little carbohydrate to test (non-starchy vegetables, nuts, seeds, herbs); no published measurement exists</t>
        </is>
      </c>
      <c r="M114" s="7" t="inlineStr">
        <is>
          <t>not measurable</t>
        </is>
      </c>
      <c r="N114" s="6" t="inlineStr"/>
      <c r="O114" s="7" t="inlineStr">
        <is>
          <t>clinical convention</t>
        </is>
      </c>
      <c r="P114" s="7" t="inlineStr">
        <is>
          <t>USDA FoodData Central (SR Legacy / Foundation Foods), fdc.nal.usda.gov</t>
        </is>
      </c>
      <c r="Q114" s="6" t="inlineStr">
        <is>
          <t>2026-09-26</t>
        </is>
      </c>
    </row>
    <row r="115">
      <c r="A115" s="6" t="inlineStr">
        <is>
          <t>broccolini</t>
        </is>
      </c>
      <c r="B115" s="6" t="inlineStr">
        <is>
          <t>Broccolini</t>
        </is>
      </c>
      <c r="C115" s="6" t="inlineStr">
        <is>
          <t>veg</t>
        </is>
      </c>
      <c r="D115" s="6" t="n">
        <v>35</v>
      </c>
      <c r="E115" s="6" t="n">
        <v>3</v>
      </c>
      <c r="F115" s="6" t="n">
        <v>0.5</v>
      </c>
      <c r="G115" s="6" t="n">
        <v>6.5</v>
      </c>
      <c r="H115" s="6" t="n">
        <v>2.5</v>
      </c>
      <c r="I115" s="6" t="n">
        <v>4</v>
      </c>
      <c r="J115" s="6" t="n">
        <v>15</v>
      </c>
      <c r="K115" s="6" t="inlineStr">
        <is>
          <t>none (placeholder)</t>
        </is>
      </c>
      <c r="L115" s="7" t="inlineStr">
        <is>
          <t>Conventional placeholder for foods with too little carbohydrate to test (non-starchy vegetables, nuts, seeds, herbs); no published measurement exists</t>
        </is>
      </c>
      <c r="M115" s="7" t="inlineStr">
        <is>
          <t>not measurable</t>
        </is>
      </c>
      <c r="N115" s="6" t="inlineStr"/>
      <c r="O115" s="7" t="inlineStr">
        <is>
          <t>clinical convention</t>
        </is>
      </c>
      <c r="P115" s="7" t="inlineStr">
        <is>
          <t>USDA FoodData Central (SR Legacy / Foundation Foods), fdc.nal.usda.gov</t>
        </is>
      </c>
      <c r="Q115" s="6" t="inlineStr">
        <is>
          <t>2026-09-26</t>
        </is>
      </c>
    </row>
    <row r="116">
      <c r="A116" s="6" t="inlineStr">
        <is>
          <t>cauliflower</t>
        </is>
      </c>
      <c r="B116" s="6" t="inlineStr">
        <is>
          <t>Cauliflower</t>
        </is>
      </c>
      <c r="C116" s="6" t="inlineStr">
        <is>
          <t>veg</t>
        </is>
      </c>
      <c r="D116" s="6" t="n">
        <v>25</v>
      </c>
      <c r="E116" s="6" t="n">
        <v>1.9</v>
      </c>
      <c r="F116" s="6" t="n">
        <v>0.3</v>
      </c>
      <c r="G116" s="6" t="n">
        <v>5</v>
      </c>
      <c r="H116" s="6" t="n">
        <v>2</v>
      </c>
      <c r="I116" s="6" t="n">
        <v>3</v>
      </c>
      <c r="J116" s="6" t="n">
        <v>15</v>
      </c>
      <c r="K116" s="6" t="inlineStr">
        <is>
          <t>none (placeholder)</t>
        </is>
      </c>
      <c r="L116" s="7" t="inlineStr">
        <is>
          <t>Conventional placeholder for foods with too little carbohydrate to test (non-starchy vegetables, nuts, seeds, herbs); no published measurement exists</t>
        </is>
      </c>
      <c r="M116" s="7" t="inlineStr">
        <is>
          <t>not measurable</t>
        </is>
      </c>
      <c r="N116" s="6" t="inlineStr"/>
      <c r="O116" s="7" t="inlineStr">
        <is>
          <t>clinical convention</t>
        </is>
      </c>
      <c r="P116" s="7" t="inlineStr">
        <is>
          <t>USDA FoodData Central (SR Legacy / Foundation Foods), fdc.nal.usda.gov</t>
        </is>
      </c>
      <c r="Q116" s="6" t="inlineStr">
        <is>
          <t>2026-09-26</t>
        </is>
      </c>
    </row>
    <row r="117">
      <c r="A117" s="6" t="inlineStr">
        <is>
          <t>cauliflower_rice</t>
        </is>
      </c>
      <c r="B117" s="6" t="inlineStr">
        <is>
          <t>Cauliflower rice</t>
        </is>
      </c>
      <c r="C117" s="6" t="inlineStr">
        <is>
          <t>veg</t>
        </is>
      </c>
      <c r="D117" s="6" t="n">
        <v>25</v>
      </c>
      <c r="E117" s="6" t="n">
        <v>1.9</v>
      </c>
      <c r="F117" s="6" t="n">
        <v>0.3</v>
      </c>
      <c r="G117" s="6" t="n">
        <v>5</v>
      </c>
      <c r="H117" s="6" t="n">
        <v>2</v>
      </c>
      <c r="I117" s="6" t="n">
        <v>3</v>
      </c>
      <c r="J117" s="6" t="n">
        <v>15</v>
      </c>
      <c r="K117" s="6" t="inlineStr">
        <is>
          <t>none (placeholder)</t>
        </is>
      </c>
      <c r="L117" s="7" t="inlineStr">
        <is>
          <t>Conventional placeholder for foods with too little carbohydrate to test (non-starchy vegetables, nuts, seeds, herbs); no published measurement exists</t>
        </is>
      </c>
      <c r="M117" s="7" t="inlineStr">
        <is>
          <t>not measurable</t>
        </is>
      </c>
      <c r="N117" s="6" t="inlineStr"/>
      <c r="O117" s="7" t="inlineStr">
        <is>
          <t>clinical convention</t>
        </is>
      </c>
      <c r="P117" s="7" t="inlineStr">
        <is>
          <t>USDA FoodData Central (SR Legacy / Foundation Foods), fdc.nal.usda.gov</t>
        </is>
      </c>
      <c r="Q117" s="6" t="inlineStr">
        <is>
          <t>2026-09-26</t>
        </is>
      </c>
    </row>
    <row r="118">
      <c r="A118" s="6" t="inlineStr">
        <is>
          <t>brussels_sprouts</t>
        </is>
      </c>
      <c r="B118" s="6" t="inlineStr">
        <is>
          <t>Brussels sprouts</t>
        </is>
      </c>
      <c r="C118" s="6" t="inlineStr">
        <is>
          <t>veg</t>
        </is>
      </c>
      <c r="D118" s="6" t="n">
        <v>43</v>
      </c>
      <c r="E118" s="6" t="n">
        <v>3.4</v>
      </c>
      <c r="F118" s="6" t="n">
        <v>0.3</v>
      </c>
      <c r="G118" s="6" t="n">
        <v>9</v>
      </c>
      <c r="H118" s="6" t="n">
        <v>3.8</v>
      </c>
      <c r="I118" s="6" t="n">
        <v>5.2</v>
      </c>
      <c r="J118" s="6" t="n">
        <v>15</v>
      </c>
      <c r="K118" s="6" t="inlineStr">
        <is>
          <t>none (placeholder)</t>
        </is>
      </c>
      <c r="L118" s="7" t="inlineStr">
        <is>
          <t>Conventional placeholder for foods with too little carbohydrate to test (non-starchy vegetables, nuts, seeds, herbs); no published measurement exists</t>
        </is>
      </c>
      <c r="M118" s="7" t="inlineStr">
        <is>
          <t>not measurable</t>
        </is>
      </c>
      <c r="N118" s="6" t="inlineStr"/>
      <c r="O118" s="7" t="inlineStr">
        <is>
          <t>clinical convention</t>
        </is>
      </c>
      <c r="P118" s="7" t="inlineStr">
        <is>
          <t>USDA FoodData Central (SR Legacy / Foundation Foods), fdc.nal.usda.gov</t>
        </is>
      </c>
      <c r="Q118" s="6" t="inlineStr">
        <is>
          <t>2026-09-26</t>
        </is>
      </c>
    </row>
    <row r="119">
      <c r="A119" s="6" t="inlineStr">
        <is>
          <t>asparagus</t>
        </is>
      </c>
      <c r="B119" s="6" t="inlineStr">
        <is>
          <t>Asparagus</t>
        </is>
      </c>
      <c r="C119" s="6" t="inlineStr">
        <is>
          <t>veg</t>
        </is>
      </c>
      <c r="D119" s="6" t="n">
        <v>20</v>
      </c>
      <c r="E119" s="6" t="n">
        <v>2.2</v>
      </c>
      <c r="F119" s="6" t="n">
        <v>0.1</v>
      </c>
      <c r="G119" s="6" t="n">
        <v>3.9</v>
      </c>
      <c r="H119" s="6" t="n">
        <v>2.1</v>
      </c>
      <c r="I119" s="6" t="n">
        <v>1.8</v>
      </c>
      <c r="J119" s="6" t="n">
        <v>15</v>
      </c>
      <c r="K119" s="6" t="inlineStr">
        <is>
          <t>none (placeholder)</t>
        </is>
      </c>
      <c r="L119" s="7" t="inlineStr">
        <is>
          <t>Conventional placeholder for foods with too little carbohydrate to test (non-starchy vegetables, nuts, seeds, herbs); no published measurement exists</t>
        </is>
      </c>
      <c r="M119" s="7" t="inlineStr">
        <is>
          <t>not measurable</t>
        </is>
      </c>
      <c r="N119" s="6" t="inlineStr"/>
      <c r="O119" s="7" t="inlineStr">
        <is>
          <t>clinical convention</t>
        </is>
      </c>
      <c r="P119" s="7" t="inlineStr">
        <is>
          <t>USDA FoodData Central (SR Legacy / Foundation Foods), fdc.nal.usda.gov</t>
        </is>
      </c>
      <c r="Q119" s="6" t="inlineStr">
        <is>
          <t>2026-09-26</t>
        </is>
      </c>
    </row>
    <row r="120">
      <c r="A120" s="6" t="inlineStr">
        <is>
          <t>green_beans</t>
        </is>
      </c>
      <c r="B120" s="6" t="inlineStr">
        <is>
          <t>Green beans</t>
        </is>
      </c>
      <c r="C120" s="6" t="inlineStr">
        <is>
          <t>veg</t>
        </is>
      </c>
      <c r="D120" s="6" t="n">
        <v>31</v>
      </c>
      <c r="E120" s="6" t="n">
        <v>1.8</v>
      </c>
      <c r="F120" s="6" t="n">
        <v>0.2</v>
      </c>
      <c r="G120" s="6" t="n">
        <v>7</v>
      </c>
      <c r="H120" s="6" t="n">
        <v>2.7</v>
      </c>
      <c r="I120" s="6" t="n">
        <v>4.3</v>
      </c>
      <c r="J120" s="6" t="n">
        <v>15</v>
      </c>
      <c r="K120" s="6" t="inlineStr">
        <is>
          <t>none (placeholder)</t>
        </is>
      </c>
      <c r="L120" s="7" t="inlineStr">
        <is>
          <t>Conventional placeholder for foods with too little carbohydrate to test (non-starchy vegetables, nuts, seeds, herbs); no published measurement exists</t>
        </is>
      </c>
      <c r="M120" s="7" t="inlineStr">
        <is>
          <t>not measurable</t>
        </is>
      </c>
      <c r="N120" s="6" t="inlineStr"/>
      <c r="O120" s="7" t="inlineStr">
        <is>
          <t>clinical convention</t>
        </is>
      </c>
      <c r="P120" s="7" t="inlineStr">
        <is>
          <t>USDA FoodData Central (SR Legacy / Foundation Foods), fdc.nal.usda.gov</t>
        </is>
      </c>
      <c r="Q120" s="6" t="inlineStr">
        <is>
          <t>2026-09-26</t>
        </is>
      </c>
    </row>
    <row r="121">
      <c r="A121" s="6" t="inlineStr">
        <is>
          <t>snap_peas</t>
        </is>
      </c>
      <c r="B121" s="6" t="inlineStr">
        <is>
          <t>Sugar snap peas</t>
        </is>
      </c>
      <c r="C121" s="6" t="inlineStr">
        <is>
          <t>veg</t>
        </is>
      </c>
      <c r="D121" s="6" t="n">
        <v>42</v>
      </c>
      <c r="E121" s="6" t="n">
        <v>2.8</v>
      </c>
      <c r="F121" s="6" t="n">
        <v>0.2</v>
      </c>
      <c r="G121" s="6" t="n">
        <v>7.5</v>
      </c>
      <c r="H121" s="6" t="n">
        <v>2.6</v>
      </c>
      <c r="I121" s="6" t="n">
        <v>4.9</v>
      </c>
      <c r="J121" s="6" t="n">
        <v>15</v>
      </c>
      <c r="K121" s="6" t="inlineStr">
        <is>
          <t>none (placeholder)</t>
        </is>
      </c>
      <c r="L121" s="7" t="inlineStr">
        <is>
          <t>Conventional placeholder for foods with too little carbohydrate to test (non-starchy vegetables, nuts, seeds, herbs); no published measurement exists</t>
        </is>
      </c>
      <c r="M121" s="7" t="inlineStr">
        <is>
          <t>not measurable</t>
        </is>
      </c>
      <c r="N121" s="6" t="inlineStr"/>
      <c r="O121" s="7" t="inlineStr">
        <is>
          <t>clinical convention</t>
        </is>
      </c>
      <c r="P121" s="7" t="inlineStr">
        <is>
          <t>USDA FoodData Central (SR Legacy / Foundation Foods), fdc.nal.usda.gov</t>
        </is>
      </c>
      <c r="Q121" s="6" t="inlineStr">
        <is>
          <t>2026-09-26</t>
        </is>
      </c>
    </row>
    <row r="122">
      <c r="A122" s="6" t="inlineStr">
        <is>
          <t>green_peas</t>
        </is>
      </c>
      <c r="B122" s="6" t="inlineStr">
        <is>
          <t>Green peas</t>
        </is>
      </c>
      <c r="C122" s="6" t="inlineStr">
        <is>
          <t>veg</t>
        </is>
      </c>
      <c r="D122" s="6" t="n">
        <v>81</v>
      </c>
      <c r="E122" s="6" t="n">
        <v>5.4</v>
      </c>
      <c r="F122" s="6" t="n">
        <v>0.4</v>
      </c>
      <c r="G122" s="6" t="n">
        <v>14</v>
      </c>
      <c r="H122" s="6" t="n">
        <v>5.7</v>
      </c>
      <c r="I122" s="6" t="n">
        <v>8.300000000000001</v>
      </c>
      <c r="J122" s="6" t="n">
        <v>38</v>
      </c>
      <c r="K122" s="6" t="inlineStr">
        <is>
          <t>medium</t>
        </is>
      </c>
      <c r="L122" s="7" t="inlineStr">
        <is>
          <t>2021 International Tables, Suppl. Tables 1+2 (incl. studies with method deviations)</t>
        </is>
      </c>
      <c r="M122" s="7" t="inlineStr">
        <is>
          <t>median of 8 tested foods, range 9-54</t>
        </is>
      </c>
      <c r="N122" s="6" t="n">
        <v>38</v>
      </c>
      <c r="O122" s="7" t="inlineStr">
        <is>
          <t>Atkinson FS, Brand-Miller JC, Foster-Powell K, Buyken AE, Goletzke J. International tables of glycemic index and glycemic load values 2021. Am J Clin Nutr 2021;114(5):1625-32. doi:10.1093/ajcn/nqab233</t>
        </is>
      </c>
      <c r="P122" s="7" t="inlineStr">
        <is>
          <t>USDA FoodData Central (SR Legacy / Foundation Foods), fdc.nal.usda.gov</t>
        </is>
      </c>
      <c r="Q122" s="6" t="inlineStr">
        <is>
          <t>2026-09-26</t>
        </is>
      </c>
    </row>
    <row r="123">
      <c r="A123" s="6" t="inlineStr">
        <is>
          <t>zucchini</t>
        </is>
      </c>
      <c r="B123" s="6" t="inlineStr">
        <is>
          <t>Zucchini</t>
        </is>
      </c>
      <c r="C123" s="6" t="inlineStr">
        <is>
          <t>veg</t>
        </is>
      </c>
      <c r="D123" s="6" t="n">
        <v>17</v>
      </c>
      <c r="E123" s="6" t="n">
        <v>1.2</v>
      </c>
      <c r="F123" s="6" t="n">
        <v>0.3</v>
      </c>
      <c r="G123" s="6" t="n">
        <v>3.1</v>
      </c>
      <c r="H123" s="6" t="n">
        <v>1</v>
      </c>
      <c r="I123" s="6" t="n">
        <v>2.1</v>
      </c>
      <c r="J123" s="6" t="n">
        <v>15</v>
      </c>
      <c r="K123" s="6" t="inlineStr">
        <is>
          <t>none (placeholder)</t>
        </is>
      </c>
      <c r="L123" s="7" t="inlineStr">
        <is>
          <t>Conventional placeholder for foods with too little carbohydrate to test (non-starchy vegetables, nuts, seeds, herbs); no published measurement exists</t>
        </is>
      </c>
      <c r="M123" s="7" t="inlineStr">
        <is>
          <t>not measurable</t>
        </is>
      </c>
      <c r="N123" s="6" t="inlineStr"/>
      <c r="O123" s="7" t="inlineStr">
        <is>
          <t>clinical convention</t>
        </is>
      </c>
      <c r="P123" s="7" t="inlineStr">
        <is>
          <t>USDA FoodData Central (SR Legacy / Foundation Foods), fdc.nal.usda.gov</t>
        </is>
      </c>
      <c r="Q123" s="6" t="inlineStr">
        <is>
          <t>2026-09-26</t>
        </is>
      </c>
    </row>
    <row r="124">
      <c r="A124" s="6" t="inlineStr">
        <is>
          <t>zucchini_noodles</t>
        </is>
      </c>
      <c r="B124" s="6" t="inlineStr">
        <is>
          <t>Zucchini noodles (zoodles)</t>
        </is>
      </c>
      <c r="C124" s="6" t="inlineStr">
        <is>
          <t>veg</t>
        </is>
      </c>
      <c r="D124" s="6" t="n">
        <v>17</v>
      </c>
      <c r="E124" s="6" t="n">
        <v>1.2</v>
      </c>
      <c r="F124" s="6" t="n">
        <v>0.3</v>
      </c>
      <c r="G124" s="6" t="n">
        <v>3.1</v>
      </c>
      <c r="H124" s="6" t="n">
        <v>1</v>
      </c>
      <c r="I124" s="6" t="n">
        <v>2.1</v>
      </c>
      <c r="J124" s="6" t="n">
        <v>15</v>
      </c>
      <c r="K124" s="6" t="inlineStr">
        <is>
          <t>none (placeholder)</t>
        </is>
      </c>
      <c r="L124" s="7" t="inlineStr">
        <is>
          <t>Conventional placeholder for foods with too little carbohydrate to test (non-starchy vegetables, nuts, seeds, herbs); no published measurement exists</t>
        </is>
      </c>
      <c r="M124" s="7" t="inlineStr">
        <is>
          <t>not measurable</t>
        </is>
      </c>
      <c r="N124" s="6" t="inlineStr"/>
      <c r="O124" s="7" t="inlineStr">
        <is>
          <t>clinical convention</t>
        </is>
      </c>
      <c r="P124" s="7" t="inlineStr">
        <is>
          <t>USDA FoodData Central (SR Legacy / Foundation Foods), fdc.nal.usda.gov</t>
        </is>
      </c>
      <c r="Q124" s="6" t="inlineStr">
        <is>
          <t>2026-09-26</t>
        </is>
      </c>
    </row>
    <row r="125">
      <c r="A125" s="6" t="inlineStr">
        <is>
          <t>yellow_squash</t>
        </is>
      </c>
      <c r="B125" s="6" t="inlineStr">
        <is>
          <t>Yellow summer squash</t>
        </is>
      </c>
      <c r="C125" s="6" t="inlineStr">
        <is>
          <t>veg</t>
        </is>
      </c>
      <c r="D125" s="6" t="n">
        <v>16</v>
      </c>
      <c r="E125" s="6" t="n">
        <v>1.2</v>
      </c>
      <c r="F125" s="6" t="n">
        <v>0.2</v>
      </c>
      <c r="G125" s="6" t="n">
        <v>3.4</v>
      </c>
      <c r="H125" s="6" t="n">
        <v>1.1</v>
      </c>
      <c r="I125" s="6" t="n">
        <v>2.3</v>
      </c>
      <c r="J125" s="6" t="n">
        <v>15</v>
      </c>
      <c r="K125" s="6" t="inlineStr">
        <is>
          <t>none (placeholder)</t>
        </is>
      </c>
      <c r="L125" s="7" t="inlineStr">
        <is>
          <t>Conventional placeholder for foods with too little carbohydrate to test (non-starchy vegetables, nuts, seeds, herbs); no published measurement exists</t>
        </is>
      </c>
      <c r="M125" s="7" t="inlineStr">
        <is>
          <t>not measurable</t>
        </is>
      </c>
      <c r="N125" s="6" t="inlineStr"/>
      <c r="O125" s="7" t="inlineStr">
        <is>
          <t>clinical convention</t>
        </is>
      </c>
      <c r="P125" s="7" t="inlineStr">
        <is>
          <t>USDA FoodData Central (SR Legacy / Foundation Foods), fdc.nal.usda.gov</t>
        </is>
      </c>
      <c r="Q125" s="6" t="inlineStr">
        <is>
          <t>2026-09-26</t>
        </is>
      </c>
    </row>
    <row r="126">
      <c r="A126" s="6" t="inlineStr">
        <is>
          <t>spaghetti_squash</t>
        </is>
      </c>
      <c r="B126" s="6" t="inlineStr">
        <is>
          <t>Spaghetti squash, cooked</t>
        </is>
      </c>
      <c r="C126" s="6" t="inlineStr">
        <is>
          <t>veg</t>
        </is>
      </c>
      <c r="D126" s="6" t="n">
        <v>31</v>
      </c>
      <c r="E126" s="6" t="n">
        <v>0.6</v>
      </c>
      <c r="F126" s="6" t="n">
        <v>0.6</v>
      </c>
      <c r="G126" s="6" t="n">
        <v>7</v>
      </c>
      <c r="H126" s="6" t="n">
        <v>1.5</v>
      </c>
      <c r="I126" s="6" t="n">
        <v>5.5</v>
      </c>
      <c r="J126" s="6" t="n">
        <v>20</v>
      </c>
      <c r="K126" s="6" t="inlineStr">
        <is>
          <t>low</t>
        </is>
      </c>
      <c r="L126" s="7" t="inlineStr">
        <is>
          <t>Estimated from the closest tested food; no direct measurement found in the pooled sources</t>
        </is>
      </c>
      <c r="M126" s="7" t="inlineStr">
        <is>
          <t>no direct match</t>
        </is>
      </c>
      <c r="N126" s="6" t="inlineStr"/>
      <c r="O12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26" s="7" t="inlineStr">
        <is>
          <t>USDA FoodData Central (SR Legacy / Foundation Foods), fdc.nal.usda.gov</t>
        </is>
      </c>
      <c r="Q126" s="6" t="inlineStr">
        <is>
          <t>2026-09-26</t>
        </is>
      </c>
    </row>
    <row r="127">
      <c r="A127" s="6" t="inlineStr">
        <is>
          <t>butternut_squash</t>
        </is>
      </c>
      <c r="B127" s="6" t="inlineStr">
        <is>
          <t>Butternut squash</t>
        </is>
      </c>
      <c r="C127" s="6" t="inlineStr">
        <is>
          <t>veg</t>
        </is>
      </c>
      <c r="D127" s="6" t="n">
        <v>45</v>
      </c>
      <c r="E127" s="6" t="n">
        <v>1</v>
      </c>
      <c r="F127" s="6" t="n">
        <v>0.1</v>
      </c>
      <c r="G127" s="6" t="n">
        <v>12</v>
      </c>
      <c r="H127" s="6" t="n">
        <v>2</v>
      </c>
      <c r="I127" s="6" t="n">
        <v>10</v>
      </c>
      <c r="J127" s="6" t="n">
        <v>51</v>
      </c>
      <c r="K127" s="6" t="inlineStr">
        <is>
          <t>medium</t>
        </is>
      </c>
      <c r="L127" s="7" t="inlineStr">
        <is>
          <t>University of Sydney online GI database</t>
        </is>
      </c>
      <c r="M127" s="7" t="inlineStr">
        <is>
          <t>median of 1 tested foods, range 51-51</t>
        </is>
      </c>
      <c r="N127" s="6" t="n">
        <v>51</v>
      </c>
      <c r="O127" s="7" t="inlineStr">
        <is>
          <t>University of Sydney GI database, glycemicindex.com/gi-search (accessed 2026-09-16)</t>
        </is>
      </c>
      <c r="P127" s="7" t="inlineStr">
        <is>
          <t>USDA FoodData Central (SR Legacy / Foundation Foods), fdc.nal.usda.gov</t>
        </is>
      </c>
      <c r="Q127" s="6" t="inlineStr">
        <is>
          <t>2026-09-26</t>
        </is>
      </c>
    </row>
    <row r="128">
      <c r="A128" s="6" t="inlineStr">
        <is>
          <t>pumpkin_puree</t>
        </is>
      </c>
      <c r="B128" s="6" t="inlineStr">
        <is>
          <t>Pumpkin puree, canned</t>
        </is>
      </c>
      <c r="C128" s="6" t="inlineStr">
        <is>
          <t>veg</t>
        </is>
      </c>
      <c r="D128" s="6" t="n">
        <v>34</v>
      </c>
      <c r="E128" s="6" t="n">
        <v>1.1</v>
      </c>
      <c r="F128" s="6" t="n">
        <v>0.1</v>
      </c>
      <c r="G128" s="6" t="n">
        <v>8</v>
      </c>
      <c r="H128" s="6" t="n">
        <v>3</v>
      </c>
      <c r="I128" s="6" t="n">
        <v>5</v>
      </c>
      <c r="J128" s="6" t="n">
        <v>75</v>
      </c>
      <c r="K128" s="6" t="inlineStr">
        <is>
          <t>medium</t>
        </is>
      </c>
      <c r="L128" s="7" t="inlineStr">
        <is>
          <t>2021 International Tables, Suppl. Tables 1+2 (incl. studies with method deviations)</t>
        </is>
      </c>
      <c r="M128" s="7" t="inlineStr">
        <is>
          <t>median of 1 tested foods, range 75-75</t>
        </is>
      </c>
      <c r="N128" s="6" t="n">
        <v>75</v>
      </c>
      <c r="O128" s="7" t="inlineStr">
        <is>
          <t>Atkinson FS, Brand-Miller JC, Foster-Powell K, Buyken AE, Goletzke J. International tables of glycemic index and glycemic load values 2021. Am J Clin Nutr 2021;114(5):1625-32. doi:10.1093/ajcn/nqab233</t>
        </is>
      </c>
      <c r="P128" s="7" t="inlineStr">
        <is>
          <t>USDA FoodData Central (SR Legacy / Foundation Foods), fdc.nal.usda.gov</t>
        </is>
      </c>
      <c r="Q128" s="6" t="inlineStr">
        <is>
          <t>2026-09-26</t>
        </is>
      </c>
    </row>
    <row r="129">
      <c r="A129" s="6" t="inlineStr">
        <is>
          <t>eggplant</t>
        </is>
      </c>
      <c r="B129" s="6" t="inlineStr">
        <is>
          <t>Eggplant</t>
        </is>
      </c>
      <c r="C129" s="6" t="inlineStr">
        <is>
          <t>veg</t>
        </is>
      </c>
      <c r="D129" s="6" t="n">
        <v>25</v>
      </c>
      <c r="E129" s="6" t="n">
        <v>1</v>
      </c>
      <c r="F129" s="6" t="n">
        <v>0.2</v>
      </c>
      <c r="G129" s="6" t="n">
        <v>6</v>
      </c>
      <c r="H129" s="6" t="n">
        <v>3</v>
      </c>
      <c r="I129" s="6" t="n">
        <v>3</v>
      </c>
      <c r="J129" s="6" t="n">
        <v>15</v>
      </c>
      <c r="K129" s="6" t="inlineStr">
        <is>
          <t>none (placeholder)</t>
        </is>
      </c>
      <c r="L129" s="7" t="inlineStr">
        <is>
          <t>Conventional placeholder for foods with too little carbohydrate to test (non-starchy vegetables, nuts, seeds, herbs); no published measurement exists</t>
        </is>
      </c>
      <c r="M129" s="7" t="inlineStr">
        <is>
          <t>not measurable</t>
        </is>
      </c>
      <c r="N129" s="6" t="inlineStr"/>
      <c r="O129" s="7" t="inlineStr">
        <is>
          <t>clinical convention</t>
        </is>
      </c>
      <c r="P129" s="7" t="inlineStr">
        <is>
          <t>USDA FoodData Central (SR Legacy / Foundation Foods), fdc.nal.usda.gov</t>
        </is>
      </c>
      <c r="Q129" s="6" t="inlineStr">
        <is>
          <t>2026-09-26</t>
        </is>
      </c>
    </row>
    <row r="130">
      <c r="A130" s="6" t="inlineStr">
        <is>
          <t>bell_pepper</t>
        </is>
      </c>
      <c r="B130" s="6" t="inlineStr">
        <is>
          <t>Bell pepper</t>
        </is>
      </c>
      <c r="C130" s="6" t="inlineStr">
        <is>
          <t>veg</t>
        </is>
      </c>
      <c r="D130" s="6" t="n">
        <v>31</v>
      </c>
      <c r="E130" s="6" t="n">
        <v>1</v>
      </c>
      <c r="F130" s="6" t="n">
        <v>0.3</v>
      </c>
      <c r="G130" s="6" t="n">
        <v>6</v>
      </c>
      <c r="H130" s="6" t="n">
        <v>2.1</v>
      </c>
      <c r="I130" s="6" t="n">
        <v>3.9</v>
      </c>
      <c r="J130" s="6" t="n">
        <v>15</v>
      </c>
      <c r="K130" s="6" t="inlineStr">
        <is>
          <t>none (placeholder)</t>
        </is>
      </c>
      <c r="L130" s="7" t="inlineStr">
        <is>
          <t>Conventional placeholder for foods with too little carbohydrate to test (non-starchy vegetables, nuts, seeds, herbs); no published measurement exists</t>
        </is>
      </c>
      <c r="M130" s="7" t="inlineStr">
        <is>
          <t>not measurable</t>
        </is>
      </c>
      <c r="N130" s="6" t="inlineStr"/>
      <c r="O130" s="7" t="inlineStr">
        <is>
          <t>clinical convention</t>
        </is>
      </c>
      <c r="P130" s="7" t="inlineStr">
        <is>
          <t>USDA FoodData Central (SR Legacy / Foundation Foods), fdc.nal.usda.gov</t>
        </is>
      </c>
      <c r="Q130" s="6" t="inlineStr">
        <is>
          <t>2026-09-26</t>
        </is>
      </c>
    </row>
    <row r="131">
      <c r="A131" s="6" t="inlineStr">
        <is>
          <t>roasted_red_pepper</t>
        </is>
      </c>
      <c r="B131" s="6" t="inlineStr">
        <is>
          <t>Roasted red peppers, jarred</t>
        </is>
      </c>
      <c r="C131" s="6" t="inlineStr">
        <is>
          <t>veg</t>
        </is>
      </c>
      <c r="D131" s="6" t="n">
        <v>30</v>
      </c>
      <c r="E131" s="6" t="n">
        <v>1</v>
      </c>
      <c r="F131" s="6" t="n">
        <v>0.3</v>
      </c>
      <c r="G131" s="6" t="n">
        <v>6</v>
      </c>
      <c r="H131" s="6" t="n">
        <v>2</v>
      </c>
      <c r="I131" s="6" t="n">
        <v>4</v>
      </c>
      <c r="J131" s="6" t="n">
        <v>15</v>
      </c>
      <c r="K131" s="6" t="inlineStr">
        <is>
          <t>none (placeholder)</t>
        </is>
      </c>
      <c r="L131" s="7" t="inlineStr">
        <is>
          <t>Conventional placeholder for foods with too little carbohydrate to test (non-starchy vegetables, nuts, seeds, herbs); no published measurement exists</t>
        </is>
      </c>
      <c r="M131" s="7" t="inlineStr">
        <is>
          <t>not measurable</t>
        </is>
      </c>
      <c r="N131" s="6" t="inlineStr"/>
      <c r="O131" s="7" t="inlineStr">
        <is>
          <t>clinical convention</t>
        </is>
      </c>
      <c r="P131" s="7" t="inlineStr">
        <is>
          <t>USDA FoodData Central (SR Legacy / Foundation Foods), fdc.nal.usda.gov</t>
        </is>
      </c>
      <c r="Q131" s="6" t="inlineStr">
        <is>
          <t>2026-09-26</t>
        </is>
      </c>
    </row>
    <row r="132">
      <c r="A132" s="6" t="inlineStr">
        <is>
          <t>poblano</t>
        </is>
      </c>
      <c r="B132" s="6" t="inlineStr">
        <is>
          <t>Poblano pepper</t>
        </is>
      </c>
      <c r="C132" s="6" t="inlineStr">
        <is>
          <t>veg</t>
        </is>
      </c>
      <c r="D132" s="6" t="n">
        <v>20</v>
      </c>
      <c r="E132" s="6" t="n">
        <v>1</v>
      </c>
      <c r="F132" s="6" t="n">
        <v>0.1</v>
      </c>
      <c r="G132" s="6" t="n">
        <v>4.6</v>
      </c>
      <c r="H132" s="6" t="n">
        <v>1.7</v>
      </c>
      <c r="I132" s="6" t="n">
        <v>2.9</v>
      </c>
      <c r="J132" s="6" t="n">
        <v>15</v>
      </c>
      <c r="K132" s="6" t="inlineStr">
        <is>
          <t>none (placeholder)</t>
        </is>
      </c>
      <c r="L132" s="7" t="inlineStr">
        <is>
          <t>Conventional placeholder for foods with too little carbohydrate to test (non-starchy vegetables, nuts, seeds, herbs); no published measurement exists</t>
        </is>
      </c>
      <c r="M132" s="7" t="inlineStr">
        <is>
          <t>not measurable</t>
        </is>
      </c>
      <c r="N132" s="6" t="inlineStr"/>
      <c r="O132" s="7" t="inlineStr">
        <is>
          <t>clinical convention</t>
        </is>
      </c>
      <c r="P132" s="7" t="inlineStr">
        <is>
          <t>USDA FoodData Central (SR Legacy / Foundation Foods), fdc.nal.usda.gov</t>
        </is>
      </c>
      <c r="Q132" s="6" t="inlineStr">
        <is>
          <t>2026-09-26</t>
        </is>
      </c>
    </row>
    <row r="133">
      <c r="A133" s="6" t="inlineStr">
        <is>
          <t>jalapeno</t>
        </is>
      </c>
      <c r="B133" s="6" t="inlineStr">
        <is>
          <t>Jalapeño</t>
        </is>
      </c>
      <c r="C133" s="6" t="inlineStr">
        <is>
          <t>veg</t>
        </is>
      </c>
      <c r="D133" s="6" t="n">
        <v>29</v>
      </c>
      <c r="E133" s="6" t="n">
        <v>0.9</v>
      </c>
      <c r="F133" s="6" t="n">
        <v>0.4</v>
      </c>
      <c r="G133" s="6" t="n">
        <v>6.5</v>
      </c>
      <c r="H133" s="6" t="n">
        <v>2.8</v>
      </c>
      <c r="I133" s="6" t="n">
        <v>3.7</v>
      </c>
      <c r="J133" s="6" t="n">
        <v>15</v>
      </c>
      <c r="K133" s="6" t="inlineStr">
        <is>
          <t>none (placeholder)</t>
        </is>
      </c>
      <c r="L133" s="7" t="inlineStr">
        <is>
          <t>Conventional placeholder for foods with too little carbohydrate to test (non-starchy vegetables, nuts, seeds, herbs); no published measurement exists</t>
        </is>
      </c>
      <c r="M133" s="7" t="inlineStr">
        <is>
          <t>not measurable</t>
        </is>
      </c>
      <c r="N133" s="6" t="inlineStr"/>
      <c r="O133" s="7" t="inlineStr">
        <is>
          <t>clinical convention</t>
        </is>
      </c>
      <c r="P133" s="7" t="inlineStr">
        <is>
          <t>USDA FoodData Central (SR Legacy / Foundation Foods), fdc.nal.usda.gov</t>
        </is>
      </c>
      <c r="Q133" s="6" t="inlineStr">
        <is>
          <t>2026-09-26</t>
        </is>
      </c>
    </row>
    <row r="134">
      <c r="A134" s="6" t="inlineStr">
        <is>
          <t>pickled_jalapeno</t>
        </is>
      </c>
      <c r="B134" s="6" t="inlineStr">
        <is>
          <t>Pickled jalapeños</t>
        </is>
      </c>
      <c r="C134" s="6" t="inlineStr">
        <is>
          <t>veg</t>
        </is>
      </c>
      <c r="D134" s="6" t="n">
        <v>28</v>
      </c>
      <c r="E134" s="6" t="n">
        <v>0.9</v>
      </c>
      <c r="F134" s="6" t="n">
        <v>0.9</v>
      </c>
      <c r="G134" s="6" t="n">
        <v>4.7</v>
      </c>
      <c r="H134" s="6" t="n">
        <v>2.6</v>
      </c>
      <c r="I134" s="6" t="n">
        <v>2.1</v>
      </c>
      <c r="J134" s="6" t="n">
        <v>15</v>
      </c>
      <c r="K134" s="6" t="inlineStr">
        <is>
          <t>none (placeholder)</t>
        </is>
      </c>
      <c r="L134" s="7" t="inlineStr">
        <is>
          <t>Conventional placeholder for foods with too little carbohydrate to test (non-starchy vegetables, nuts, seeds, herbs); no published measurement exists</t>
        </is>
      </c>
      <c r="M134" s="7" t="inlineStr">
        <is>
          <t>not measurable</t>
        </is>
      </c>
      <c r="N134" s="6" t="inlineStr"/>
      <c r="O134" s="7" t="inlineStr">
        <is>
          <t>clinical convention</t>
        </is>
      </c>
      <c r="P134" s="7" t="inlineStr">
        <is>
          <t>USDA FoodData Central (SR Legacy / Foundation Foods), fdc.nal.usda.gov</t>
        </is>
      </c>
      <c r="Q134" s="6" t="inlineStr">
        <is>
          <t>2026-09-26</t>
        </is>
      </c>
    </row>
    <row r="135">
      <c r="A135" s="6" t="inlineStr">
        <is>
          <t>tomato</t>
        </is>
      </c>
      <c r="B135" s="6" t="inlineStr">
        <is>
          <t>Tomato</t>
        </is>
      </c>
      <c r="C135" s="6" t="inlineStr">
        <is>
          <t>veg</t>
        </is>
      </c>
      <c r="D135" s="6" t="n">
        <v>18</v>
      </c>
      <c r="E135" s="6" t="n">
        <v>0.9</v>
      </c>
      <c r="F135" s="6" t="n">
        <v>0.2</v>
      </c>
      <c r="G135" s="6" t="n">
        <v>3.9</v>
      </c>
      <c r="H135" s="6" t="n">
        <v>1.2</v>
      </c>
      <c r="I135" s="6" t="n">
        <v>2.7</v>
      </c>
      <c r="J135" s="6" t="n">
        <v>15</v>
      </c>
      <c r="K135" s="6" t="inlineStr">
        <is>
          <t>none (placeholder)</t>
        </is>
      </c>
      <c r="L135" s="7" t="inlineStr">
        <is>
          <t>Conventional placeholder for foods with too little carbohydrate to test (non-starchy vegetables, nuts, seeds, herbs); no published measurement exists</t>
        </is>
      </c>
      <c r="M135" s="7" t="inlineStr">
        <is>
          <t>not measurable</t>
        </is>
      </c>
      <c r="N135" s="6" t="inlineStr"/>
      <c r="O135" s="7" t="inlineStr">
        <is>
          <t>clinical convention</t>
        </is>
      </c>
      <c r="P135" s="7" t="inlineStr">
        <is>
          <t>USDA FoodData Central (SR Legacy / Foundation Foods), fdc.nal.usda.gov</t>
        </is>
      </c>
      <c r="Q135" s="6" t="inlineStr">
        <is>
          <t>2026-09-26</t>
        </is>
      </c>
    </row>
    <row r="136">
      <c r="A136" s="6" t="inlineStr">
        <is>
          <t>cherry_tomato</t>
        </is>
      </c>
      <c r="B136" s="6" t="inlineStr">
        <is>
          <t>Cherry tomatoes</t>
        </is>
      </c>
      <c r="C136" s="6" t="inlineStr">
        <is>
          <t>veg</t>
        </is>
      </c>
      <c r="D136" s="6" t="n">
        <v>18</v>
      </c>
      <c r="E136" s="6" t="n">
        <v>0.9</v>
      </c>
      <c r="F136" s="6" t="n">
        <v>0.2</v>
      </c>
      <c r="G136" s="6" t="n">
        <v>3.9</v>
      </c>
      <c r="H136" s="6" t="n">
        <v>1.2</v>
      </c>
      <c r="I136" s="6" t="n">
        <v>2.7</v>
      </c>
      <c r="J136" s="6" t="n">
        <v>15</v>
      </c>
      <c r="K136" s="6" t="inlineStr">
        <is>
          <t>none (placeholder)</t>
        </is>
      </c>
      <c r="L136" s="7" t="inlineStr">
        <is>
          <t>Conventional placeholder for foods with too little carbohydrate to test (non-starchy vegetables, nuts, seeds, herbs); no published measurement exists</t>
        </is>
      </c>
      <c r="M136" s="7" t="inlineStr">
        <is>
          <t>not measurable</t>
        </is>
      </c>
      <c r="N136" s="6" t="inlineStr"/>
      <c r="O136" s="7" t="inlineStr">
        <is>
          <t>clinical convention</t>
        </is>
      </c>
      <c r="P136" s="7" t="inlineStr">
        <is>
          <t>USDA FoodData Central (SR Legacy / Foundation Foods), fdc.nal.usda.gov</t>
        </is>
      </c>
      <c r="Q136" s="6" t="inlineStr">
        <is>
          <t>2026-09-26</t>
        </is>
      </c>
    </row>
    <row r="137">
      <c r="A137" s="6" t="inlineStr">
        <is>
          <t>tomatillo</t>
        </is>
      </c>
      <c r="B137" s="6" t="inlineStr">
        <is>
          <t>Tomatillos</t>
        </is>
      </c>
      <c r="C137" s="6" t="inlineStr">
        <is>
          <t>veg</t>
        </is>
      </c>
      <c r="D137" s="6" t="n">
        <v>32</v>
      </c>
      <c r="E137" s="6" t="n">
        <v>1</v>
      </c>
      <c r="F137" s="6" t="n">
        <v>1</v>
      </c>
      <c r="G137" s="6" t="n">
        <v>5.8</v>
      </c>
      <c r="H137" s="6" t="n">
        <v>1.9</v>
      </c>
      <c r="I137" s="6" t="n">
        <v>3.9</v>
      </c>
      <c r="J137" s="6" t="n">
        <v>15</v>
      </c>
      <c r="K137" s="6" t="inlineStr">
        <is>
          <t>none (placeholder)</t>
        </is>
      </c>
      <c r="L137" s="7" t="inlineStr">
        <is>
          <t>Conventional placeholder for foods with too little carbohydrate to test (non-starchy vegetables, nuts, seeds, herbs); no published measurement exists</t>
        </is>
      </c>
      <c r="M137" s="7" t="inlineStr">
        <is>
          <t>not measurable</t>
        </is>
      </c>
      <c r="N137" s="6" t="inlineStr"/>
      <c r="O137" s="7" t="inlineStr">
        <is>
          <t>clinical convention</t>
        </is>
      </c>
      <c r="P137" s="7" t="inlineStr">
        <is>
          <t>USDA FoodData Central (SR Legacy / Foundation Foods), fdc.nal.usda.gov</t>
        </is>
      </c>
      <c r="Q137" s="6" t="inlineStr">
        <is>
          <t>2026-09-26</t>
        </is>
      </c>
    </row>
    <row r="138">
      <c r="A138" s="6" t="inlineStr">
        <is>
          <t>sun_dried_tomato</t>
        </is>
      </c>
      <c r="B138" s="6" t="inlineStr">
        <is>
          <t>Sun-dried tomatoes in oil, drained</t>
        </is>
      </c>
      <c r="C138" s="6" t="inlineStr">
        <is>
          <t>veg</t>
        </is>
      </c>
      <c r="D138" s="6" t="n">
        <v>213</v>
      </c>
      <c r="E138" s="6" t="n">
        <v>5</v>
      </c>
      <c r="F138" s="6" t="n">
        <v>14</v>
      </c>
      <c r="G138" s="6" t="n">
        <v>23</v>
      </c>
      <c r="H138" s="6" t="n">
        <v>6</v>
      </c>
      <c r="I138" s="6" t="n">
        <v>17</v>
      </c>
      <c r="J138" s="6" t="n">
        <v>35</v>
      </c>
      <c r="K138" s="6" t="inlineStr">
        <is>
          <t>low</t>
        </is>
      </c>
      <c r="L138" s="7" t="inlineStr">
        <is>
          <t>Estimated from the closest tested food; no direct measurement found in the pooled sources</t>
        </is>
      </c>
      <c r="M138" s="7" t="inlineStr">
        <is>
          <t>no direct match</t>
        </is>
      </c>
      <c r="N138" s="6" t="inlineStr"/>
      <c r="O13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38" s="7" t="inlineStr">
        <is>
          <t>USDA FoodData Central (SR Legacy / Foundation Foods), fdc.nal.usda.gov</t>
        </is>
      </c>
      <c r="Q138" s="6" t="inlineStr">
        <is>
          <t>2026-09-26</t>
        </is>
      </c>
    </row>
    <row r="139">
      <c r="A139" s="6" t="inlineStr">
        <is>
          <t>cucumber</t>
        </is>
      </c>
      <c r="B139" s="6" t="inlineStr">
        <is>
          <t>Cucumber</t>
        </is>
      </c>
      <c r="C139" s="6" t="inlineStr">
        <is>
          <t>veg</t>
        </is>
      </c>
      <c r="D139" s="6" t="n">
        <v>15</v>
      </c>
      <c r="E139" s="6" t="n">
        <v>0.7</v>
      </c>
      <c r="F139" s="6" t="n">
        <v>0.1</v>
      </c>
      <c r="G139" s="6" t="n">
        <v>3.6</v>
      </c>
      <c r="H139" s="6" t="n">
        <v>0.5</v>
      </c>
      <c r="I139" s="6" t="n">
        <v>3.1</v>
      </c>
      <c r="J139" s="6" t="n">
        <v>15</v>
      </c>
      <c r="K139" s="6" t="inlineStr">
        <is>
          <t>none (placeholder)</t>
        </is>
      </c>
      <c r="L139" s="7" t="inlineStr">
        <is>
          <t>Conventional placeholder for foods with too little carbohydrate to test (non-starchy vegetables, nuts, seeds, herbs); no published measurement exists</t>
        </is>
      </c>
      <c r="M139" s="7" t="inlineStr">
        <is>
          <t>not measurable</t>
        </is>
      </c>
      <c r="N139" s="6" t="inlineStr"/>
      <c r="O139" s="7" t="inlineStr">
        <is>
          <t>clinical convention</t>
        </is>
      </c>
      <c r="P139" s="7" t="inlineStr">
        <is>
          <t>USDA FoodData Central (SR Legacy / Foundation Foods), fdc.nal.usda.gov</t>
        </is>
      </c>
      <c r="Q139" s="6" t="inlineStr">
        <is>
          <t>2026-09-26</t>
        </is>
      </c>
    </row>
    <row r="140">
      <c r="A140" s="6" t="inlineStr">
        <is>
          <t>celery</t>
        </is>
      </c>
      <c r="B140" s="6" t="inlineStr">
        <is>
          <t>Celery</t>
        </is>
      </c>
      <c r="C140" s="6" t="inlineStr">
        <is>
          <t>veg</t>
        </is>
      </c>
      <c r="D140" s="6" t="n">
        <v>16</v>
      </c>
      <c r="E140" s="6" t="n">
        <v>0.7</v>
      </c>
      <c r="F140" s="6" t="n">
        <v>0.2</v>
      </c>
      <c r="G140" s="6" t="n">
        <v>3</v>
      </c>
      <c r="H140" s="6" t="n">
        <v>1.6</v>
      </c>
      <c r="I140" s="6" t="n">
        <v>1.4</v>
      </c>
      <c r="J140" s="6" t="n">
        <v>15</v>
      </c>
      <c r="K140" s="6" t="inlineStr">
        <is>
          <t>none (placeholder)</t>
        </is>
      </c>
      <c r="L140" s="7" t="inlineStr">
        <is>
          <t>Conventional placeholder for foods with too little carbohydrate to test (non-starchy vegetables, nuts, seeds, herbs); no published measurement exists</t>
        </is>
      </c>
      <c r="M140" s="7" t="inlineStr">
        <is>
          <t>not measurable</t>
        </is>
      </c>
      <c r="N140" s="6" t="inlineStr"/>
      <c r="O140" s="7" t="inlineStr">
        <is>
          <t>clinical convention</t>
        </is>
      </c>
      <c r="P140" s="7" t="inlineStr">
        <is>
          <t>USDA FoodData Central (SR Legacy / Foundation Foods), fdc.nal.usda.gov</t>
        </is>
      </c>
      <c r="Q140" s="6" t="inlineStr">
        <is>
          <t>2026-09-26</t>
        </is>
      </c>
    </row>
    <row r="141">
      <c r="A141" s="6" t="inlineStr">
        <is>
          <t>carrot</t>
        </is>
      </c>
      <c r="B141" s="6" t="inlineStr">
        <is>
          <t>Carrot</t>
        </is>
      </c>
      <c r="C141" s="6" t="inlineStr">
        <is>
          <t>veg</t>
        </is>
      </c>
      <c r="D141" s="6" t="n">
        <v>41</v>
      </c>
      <c r="E141" s="6" t="n">
        <v>0.9</v>
      </c>
      <c r="F141" s="6" t="n">
        <v>0.2</v>
      </c>
      <c r="G141" s="6" t="n">
        <v>9.6</v>
      </c>
      <c r="H141" s="6" t="n">
        <v>2.8</v>
      </c>
      <c r="I141" s="6" t="n">
        <v>6.8</v>
      </c>
      <c r="J141" s="6" t="n">
        <v>39</v>
      </c>
      <c r="K141" s="6" t="inlineStr">
        <is>
          <t>high</t>
        </is>
      </c>
      <c r="L141" s="7" t="inlineStr">
        <is>
          <t>2021 International Tables, Suppl. Table 1 (ISO 26642:2010-compliant studies)</t>
        </is>
      </c>
      <c r="M141" s="7" t="inlineStr">
        <is>
          <t>median of 3 tested foods, range 31-32</t>
        </is>
      </c>
      <c r="N141" s="6" t="n">
        <v>32</v>
      </c>
      <c r="O141" s="7" t="inlineStr">
        <is>
          <t>Atkinson FS, Brand-Miller JC, Foster-Powell K, Buyken AE, Goletzke J. International tables of glycemic index and glycemic load values 2021. Am J Clin Nutr 2021;114(5):1625-32. doi:10.1093/ajcn/nqab233</t>
        </is>
      </c>
      <c r="P141" s="7" t="inlineStr">
        <is>
          <t>USDA FoodData Central (SR Legacy / Foundation Foods), fdc.nal.usda.gov</t>
        </is>
      </c>
      <c r="Q141" s="6" t="inlineStr">
        <is>
          <t>2026-09-26</t>
        </is>
      </c>
    </row>
    <row r="142">
      <c r="A142" s="6" t="inlineStr">
        <is>
          <t>beet</t>
        </is>
      </c>
      <c r="B142" s="6" t="inlineStr">
        <is>
          <t>Beets</t>
        </is>
      </c>
      <c r="C142" s="6" t="inlineStr">
        <is>
          <t>veg</t>
        </is>
      </c>
      <c r="D142" s="6" t="n">
        <v>43</v>
      </c>
      <c r="E142" s="6" t="n">
        <v>1.6</v>
      </c>
      <c r="F142" s="6" t="n">
        <v>0.2</v>
      </c>
      <c r="G142" s="6" t="n">
        <v>9.6</v>
      </c>
      <c r="H142" s="6" t="n">
        <v>2.8</v>
      </c>
      <c r="I142" s="6" t="n">
        <v>6.8</v>
      </c>
      <c r="J142" s="6" t="n">
        <v>64</v>
      </c>
      <c r="K142" s="6" t="inlineStr">
        <is>
          <t>medium</t>
        </is>
      </c>
      <c r="L142" s="7" t="inlineStr">
        <is>
          <t>University of Sydney online GI database</t>
        </is>
      </c>
      <c r="M142" s="7" t="inlineStr">
        <is>
          <t>median of 1 tested foods, range 64-64</t>
        </is>
      </c>
      <c r="N142" s="6" t="n">
        <v>64</v>
      </c>
      <c r="O142" s="7" t="inlineStr">
        <is>
          <t>University of Sydney GI database, glycemicindex.com/gi-search (accessed 2026-09-16)</t>
        </is>
      </c>
      <c r="P142" s="7" t="inlineStr">
        <is>
          <t>USDA FoodData Central (SR Legacy / Foundation Foods), fdc.nal.usda.gov</t>
        </is>
      </c>
      <c r="Q142" s="6" t="inlineStr">
        <is>
          <t>2026-09-26</t>
        </is>
      </c>
    </row>
    <row r="143">
      <c r="A143" s="6" t="inlineStr">
        <is>
          <t>turnip</t>
        </is>
      </c>
      <c r="B143" s="6" t="inlineStr">
        <is>
          <t>Turnip (GI of swede/rutabaga, closest tested)</t>
        </is>
      </c>
      <c r="C143" s="6" t="inlineStr">
        <is>
          <t>veg</t>
        </is>
      </c>
      <c r="D143" s="6" t="n">
        <v>28</v>
      </c>
      <c r="E143" s="6" t="n">
        <v>0.9</v>
      </c>
      <c r="F143" s="6" t="n">
        <v>0.1</v>
      </c>
      <c r="G143" s="6" t="n">
        <v>6.4</v>
      </c>
      <c r="H143" s="6" t="n">
        <v>1.8</v>
      </c>
      <c r="I143" s="6" t="n">
        <v>4.6</v>
      </c>
      <c r="J143" s="6" t="n">
        <v>72</v>
      </c>
      <c r="K143" s="6" t="inlineStr">
        <is>
          <t>medium</t>
        </is>
      </c>
      <c r="L143" s="7" t="inlineStr">
        <is>
          <t>2021 International Tables, Suppl. Tables 1+2 (incl. studies with method deviations)</t>
        </is>
      </c>
      <c r="M143" s="7" t="inlineStr">
        <is>
          <t>median of 1 tested foods, range 72-72</t>
        </is>
      </c>
      <c r="N143" s="6" t="n">
        <v>72</v>
      </c>
      <c r="O143" s="7" t="inlineStr">
        <is>
          <t>Atkinson FS, Brand-Miller JC, Foster-Powell K, Buyken AE, Goletzke J. International tables of glycemic index and glycemic load values 2021. Am J Clin Nutr 2021;114(5):1625-32. doi:10.1093/ajcn/nqab233</t>
        </is>
      </c>
      <c r="P143" s="7" t="inlineStr">
        <is>
          <t>USDA FoodData Central (SR Legacy / Foundation Foods), fdc.nal.usda.gov</t>
        </is>
      </c>
      <c r="Q143" s="6" t="inlineStr">
        <is>
          <t>2026-09-26</t>
        </is>
      </c>
    </row>
    <row r="144">
      <c r="A144" s="6" t="inlineStr">
        <is>
          <t>radish</t>
        </is>
      </c>
      <c r="B144" s="6" t="inlineStr">
        <is>
          <t>Radishes</t>
        </is>
      </c>
      <c r="C144" s="6" t="inlineStr">
        <is>
          <t>veg</t>
        </is>
      </c>
      <c r="D144" s="6" t="n">
        <v>16</v>
      </c>
      <c r="E144" s="6" t="n">
        <v>0.7</v>
      </c>
      <c r="F144" s="6" t="n">
        <v>0.1</v>
      </c>
      <c r="G144" s="6" t="n">
        <v>3.4</v>
      </c>
      <c r="H144" s="6" t="n">
        <v>1.6</v>
      </c>
      <c r="I144" s="6" t="n">
        <v>1.8</v>
      </c>
      <c r="J144" s="6" t="n">
        <v>15</v>
      </c>
      <c r="K144" s="6" t="inlineStr">
        <is>
          <t>none (placeholder)</t>
        </is>
      </c>
      <c r="L144" s="7" t="inlineStr">
        <is>
          <t>Conventional placeholder for foods with too little carbohydrate to test (non-starchy vegetables, nuts, seeds, herbs); no published measurement exists</t>
        </is>
      </c>
      <c r="M144" s="7" t="inlineStr">
        <is>
          <t>not measurable</t>
        </is>
      </c>
      <c r="N144" s="6" t="inlineStr"/>
      <c r="O144" s="7" t="inlineStr">
        <is>
          <t>clinical convention</t>
        </is>
      </c>
      <c r="P144" s="7" t="inlineStr">
        <is>
          <t>USDA FoodData Central (SR Legacy / Foundation Foods), fdc.nal.usda.gov</t>
        </is>
      </c>
      <c r="Q144" s="6" t="inlineStr">
        <is>
          <t>2026-09-26</t>
        </is>
      </c>
    </row>
    <row r="145">
      <c r="A145" s="6" t="inlineStr">
        <is>
          <t>daikon</t>
        </is>
      </c>
      <c r="B145" s="6" t="inlineStr">
        <is>
          <t>Daikon radish</t>
        </is>
      </c>
      <c r="C145" s="6" t="inlineStr">
        <is>
          <t>veg</t>
        </is>
      </c>
      <c r="D145" s="6" t="n">
        <v>18</v>
      </c>
      <c r="E145" s="6" t="n">
        <v>0.6</v>
      </c>
      <c r="F145" s="6" t="n">
        <v>0.1</v>
      </c>
      <c r="G145" s="6" t="n">
        <v>4.1</v>
      </c>
      <c r="H145" s="6" t="n">
        <v>1.6</v>
      </c>
      <c r="I145" s="6" t="n">
        <v>2.5</v>
      </c>
      <c r="J145" s="6" t="n">
        <v>15</v>
      </c>
      <c r="K145" s="6" t="inlineStr">
        <is>
          <t>none (placeholder)</t>
        </is>
      </c>
      <c r="L145" s="7" t="inlineStr">
        <is>
          <t>Conventional placeholder for foods with too little carbohydrate to test (non-starchy vegetables, nuts, seeds, herbs); no published measurement exists</t>
        </is>
      </c>
      <c r="M145" s="7" t="inlineStr">
        <is>
          <t>not measurable</t>
        </is>
      </c>
      <c r="N145" s="6" t="inlineStr"/>
      <c r="O145" s="7" t="inlineStr">
        <is>
          <t>clinical convention</t>
        </is>
      </c>
      <c r="P145" s="7" t="inlineStr">
        <is>
          <t>USDA FoodData Central (SR Legacy / Foundation Foods), fdc.nal.usda.gov</t>
        </is>
      </c>
      <c r="Q145" s="6" t="inlineStr">
        <is>
          <t>2026-09-26</t>
        </is>
      </c>
    </row>
    <row r="146">
      <c r="A146" s="6" t="inlineStr">
        <is>
          <t>jicama</t>
        </is>
      </c>
      <c r="B146" s="6" t="inlineStr">
        <is>
          <t>Jicama</t>
        </is>
      </c>
      <c r="C146" s="6" t="inlineStr">
        <is>
          <t>veg</t>
        </is>
      </c>
      <c r="D146" s="6" t="n">
        <v>38</v>
      </c>
      <c r="E146" s="6" t="n">
        <v>0.7</v>
      </c>
      <c r="F146" s="6" t="n">
        <v>0.1</v>
      </c>
      <c r="G146" s="6" t="n">
        <v>8.800000000000001</v>
      </c>
      <c r="H146" s="6" t="n">
        <v>4.9</v>
      </c>
      <c r="I146" s="6" t="n">
        <v>3.9</v>
      </c>
      <c r="J146" s="6" t="n">
        <v>15</v>
      </c>
      <c r="K146" s="6" t="inlineStr">
        <is>
          <t>none (placeholder)</t>
        </is>
      </c>
      <c r="L146" s="7" t="inlineStr">
        <is>
          <t>Conventional placeholder for foods with too little carbohydrate to test (non-starchy vegetables, nuts, seeds, herbs); no published measurement exists</t>
        </is>
      </c>
      <c r="M146" s="7" t="inlineStr">
        <is>
          <t>not measurable</t>
        </is>
      </c>
      <c r="N146" s="6" t="n">
        <v>15</v>
      </c>
      <c r="O146" s="7" t="inlineStr">
        <is>
          <t>clinical convention</t>
        </is>
      </c>
      <c r="P146" s="7" t="inlineStr">
        <is>
          <t>USDA FoodData Central (SR Legacy / Foundation Foods), fdc.nal.usda.gov</t>
        </is>
      </c>
      <c r="Q146" s="6" t="inlineStr">
        <is>
          <t>2026-09-26</t>
        </is>
      </c>
    </row>
    <row r="147">
      <c r="A147" s="6" t="inlineStr">
        <is>
          <t>kohlrabi</t>
        </is>
      </c>
      <c r="B147" s="6" t="inlineStr">
        <is>
          <t>Kohlrabi</t>
        </is>
      </c>
      <c r="C147" s="6" t="inlineStr">
        <is>
          <t>veg</t>
        </is>
      </c>
      <c r="D147" s="6" t="n">
        <v>27</v>
      </c>
      <c r="E147" s="6" t="n">
        <v>1.7</v>
      </c>
      <c r="F147" s="6" t="n">
        <v>0.1</v>
      </c>
      <c r="G147" s="6" t="n">
        <v>6.2</v>
      </c>
      <c r="H147" s="6" t="n">
        <v>3.6</v>
      </c>
      <c r="I147" s="6" t="n">
        <v>2.6</v>
      </c>
      <c r="J147" s="6" t="n">
        <v>15</v>
      </c>
      <c r="K147" s="6" t="inlineStr">
        <is>
          <t>none (placeholder)</t>
        </is>
      </c>
      <c r="L147" s="7" t="inlineStr">
        <is>
          <t>Conventional placeholder for foods with too little carbohydrate to test (non-starchy vegetables, nuts, seeds, herbs); no published measurement exists</t>
        </is>
      </c>
      <c r="M147" s="7" t="inlineStr">
        <is>
          <t>not measurable</t>
        </is>
      </c>
      <c r="N147" s="6" t="inlineStr"/>
      <c r="O147" s="7" t="inlineStr">
        <is>
          <t>clinical convention</t>
        </is>
      </c>
      <c r="P147" s="7" t="inlineStr">
        <is>
          <t>USDA FoodData Central (SR Legacy / Foundation Foods), fdc.nal.usda.gov</t>
        </is>
      </c>
      <c r="Q147" s="6" t="inlineStr">
        <is>
          <t>2026-09-26</t>
        </is>
      </c>
    </row>
    <row r="148">
      <c r="A148" s="6" t="inlineStr">
        <is>
          <t>onion</t>
        </is>
      </c>
      <c r="B148" s="6" t="inlineStr">
        <is>
          <t>Yellow onion</t>
        </is>
      </c>
      <c r="C148" s="6" t="inlineStr">
        <is>
          <t>veg</t>
        </is>
      </c>
      <c r="D148" s="6" t="n">
        <v>40</v>
      </c>
      <c r="E148" s="6" t="n">
        <v>1.1</v>
      </c>
      <c r="F148" s="6" t="n">
        <v>0.1</v>
      </c>
      <c r="G148" s="6" t="n">
        <v>9.300000000000001</v>
      </c>
      <c r="H148" s="6" t="n">
        <v>1.7</v>
      </c>
      <c r="I148" s="6" t="n">
        <v>7.6</v>
      </c>
      <c r="J148" s="6" t="n">
        <v>15</v>
      </c>
      <c r="K148" s="6" t="inlineStr">
        <is>
          <t>none (placeholder)</t>
        </is>
      </c>
      <c r="L148" s="7" t="inlineStr">
        <is>
          <t>Conventional placeholder for foods with too little carbohydrate to test (non-starchy vegetables, nuts, seeds, herbs); no published measurement exists</t>
        </is>
      </c>
      <c r="M148" s="7" t="inlineStr">
        <is>
          <t>not measurable</t>
        </is>
      </c>
      <c r="N148" s="6" t="inlineStr"/>
      <c r="O148" s="7" t="inlineStr">
        <is>
          <t>clinical convention</t>
        </is>
      </c>
      <c r="P148" s="7" t="inlineStr">
        <is>
          <t>USDA FoodData Central (SR Legacy / Foundation Foods), fdc.nal.usda.gov</t>
        </is>
      </c>
      <c r="Q148" s="6" t="inlineStr">
        <is>
          <t>2026-09-26</t>
        </is>
      </c>
    </row>
    <row r="149">
      <c r="A149" s="6" t="inlineStr">
        <is>
          <t>red_onion</t>
        </is>
      </c>
      <c r="B149" s="6" t="inlineStr">
        <is>
          <t>Red onion</t>
        </is>
      </c>
      <c r="C149" s="6" t="inlineStr">
        <is>
          <t>veg</t>
        </is>
      </c>
      <c r="D149" s="6" t="n">
        <v>40</v>
      </c>
      <c r="E149" s="6" t="n">
        <v>1.1</v>
      </c>
      <c r="F149" s="6" t="n">
        <v>0.1</v>
      </c>
      <c r="G149" s="6" t="n">
        <v>9.300000000000001</v>
      </c>
      <c r="H149" s="6" t="n">
        <v>1.7</v>
      </c>
      <c r="I149" s="6" t="n">
        <v>7.6</v>
      </c>
      <c r="J149" s="6" t="n">
        <v>15</v>
      </c>
      <c r="K149" s="6" t="inlineStr">
        <is>
          <t>none (placeholder)</t>
        </is>
      </c>
      <c r="L149" s="7" t="inlineStr">
        <is>
          <t>Conventional placeholder for foods with too little carbohydrate to test (non-starchy vegetables, nuts, seeds, herbs); no published measurement exists</t>
        </is>
      </c>
      <c r="M149" s="7" t="inlineStr">
        <is>
          <t>not measurable</t>
        </is>
      </c>
      <c r="N149" s="6" t="inlineStr"/>
      <c r="O149" s="7" t="inlineStr">
        <is>
          <t>clinical convention</t>
        </is>
      </c>
      <c r="P149" s="7" t="inlineStr">
        <is>
          <t>USDA FoodData Central (SR Legacy / Foundation Foods), fdc.nal.usda.gov</t>
        </is>
      </c>
      <c r="Q149" s="6" t="inlineStr">
        <is>
          <t>2026-09-26</t>
        </is>
      </c>
    </row>
    <row r="150">
      <c r="A150" s="6" t="inlineStr">
        <is>
          <t>shallot</t>
        </is>
      </c>
      <c r="B150" s="6" t="inlineStr">
        <is>
          <t>Shallot</t>
        </is>
      </c>
      <c r="C150" s="6" t="inlineStr">
        <is>
          <t>veg</t>
        </is>
      </c>
      <c r="D150" s="6" t="n">
        <v>72</v>
      </c>
      <c r="E150" s="6" t="n">
        <v>2.5</v>
      </c>
      <c r="F150" s="6" t="n">
        <v>0.1</v>
      </c>
      <c r="G150" s="6" t="n">
        <v>17</v>
      </c>
      <c r="H150" s="6" t="n">
        <v>3.2</v>
      </c>
      <c r="I150" s="6" t="n">
        <v>13.8</v>
      </c>
      <c r="J150" s="6" t="n">
        <v>15</v>
      </c>
      <c r="K150" s="6" t="inlineStr">
        <is>
          <t>none (placeholder)</t>
        </is>
      </c>
      <c r="L150" s="7" t="inlineStr">
        <is>
          <t>Conventional placeholder for foods with too little carbohydrate to test (non-starchy vegetables, nuts, seeds, herbs); no published measurement exists</t>
        </is>
      </c>
      <c r="M150" s="7" t="inlineStr">
        <is>
          <t>not measurable</t>
        </is>
      </c>
      <c r="N150" s="6" t="inlineStr"/>
      <c r="O150" s="7" t="inlineStr">
        <is>
          <t>clinical convention</t>
        </is>
      </c>
      <c r="P150" s="7" t="inlineStr">
        <is>
          <t>USDA FoodData Central (SR Legacy / Foundation Foods), fdc.nal.usda.gov</t>
        </is>
      </c>
      <c r="Q150" s="6" t="inlineStr">
        <is>
          <t>2026-09-26</t>
        </is>
      </c>
    </row>
    <row r="151">
      <c r="A151" s="6" t="inlineStr">
        <is>
          <t>green_onion</t>
        </is>
      </c>
      <c r="B151" s="6" t="inlineStr">
        <is>
          <t>Green onions (scallions)</t>
        </is>
      </c>
      <c r="C151" s="6" t="inlineStr">
        <is>
          <t>veg</t>
        </is>
      </c>
      <c r="D151" s="6" t="n">
        <v>32</v>
      </c>
      <c r="E151" s="6" t="n">
        <v>1.8</v>
      </c>
      <c r="F151" s="6" t="n">
        <v>0.2</v>
      </c>
      <c r="G151" s="6" t="n">
        <v>7.3</v>
      </c>
      <c r="H151" s="6" t="n">
        <v>2.6</v>
      </c>
      <c r="I151" s="6" t="n">
        <v>4.7</v>
      </c>
      <c r="J151" s="6" t="n">
        <v>15</v>
      </c>
      <c r="K151" s="6" t="inlineStr">
        <is>
          <t>none (placeholder)</t>
        </is>
      </c>
      <c r="L151" s="7" t="inlineStr">
        <is>
          <t>Conventional placeholder for foods with too little carbohydrate to test (non-starchy vegetables, nuts, seeds, herbs); no published measurement exists</t>
        </is>
      </c>
      <c r="M151" s="7" t="inlineStr">
        <is>
          <t>not measurable</t>
        </is>
      </c>
      <c r="N151" s="6" t="inlineStr"/>
      <c r="O151" s="7" t="inlineStr">
        <is>
          <t>clinical convention</t>
        </is>
      </c>
      <c r="P151" s="7" t="inlineStr">
        <is>
          <t>USDA FoodData Central (SR Legacy / Foundation Foods), fdc.nal.usda.gov</t>
        </is>
      </c>
      <c r="Q151" s="6" t="inlineStr">
        <is>
          <t>2026-09-26</t>
        </is>
      </c>
    </row>
    <row r="152">
      <c r="A152" s="6" t="inlineStr">
        <is>
          <t>leek</t>
        </is>
      </c>
      <c r="B152" s="6" t="inlineStr">
        <is>
          <t>Leek</t>
        </is>
      </c>
      <c r="C152" s="6" t="inlineStr">
        <is>
          <t>veg</t>
        </is>
      </c>
      <c r="D152" s="6" t="n">
        <v>61</v>
      </c>
      <c r="E152" s="6" t="n">
        <v>1.5</v>
      </c>
      <c r="F152" s="6" t="n">
        <v>0.3</v>
      </c>
      <c r="G152" s="6" t="n">
        <v>14</v>
      </c>
      <c r="H152" s="6" t="n">
        <v>1.8</v>
      </c>
      <c r="I152" s="6" t="n">
        <v>12.2</v>
      </c>
      <c r="J152" s="6" t="n">
        <v>15</v>
      </c>
      <c r="K152" s="6" t="inlineStr">
        <is>
          <t>none (placeholder)</t>
        </is>
      </c>
      <c r="L152" s="7" t="inlineStr">
        <is>
          <t>Conventional placeholder for foods with too little carbohydrate to test (non-starchy vegetables, nuts, seeds, herbs); no published measurement exists</t>
        </is>
      </c>
      <c r="M152" s="7" t="inlineStr">
        <is>
          <t>not measurable</t>
        </is>
      </c>
      <c r="N152" s="6" t="inlineStr"/>
      <c r="O152" s="7" t="inlineStr">
        <is>
          <t>clinical convention</t>
        </is>
      </c>
      <c r="P152" s="7" t="inlineStr">
        <is>
          <t>USDA FoodData Central (SR Legacy / Foundation Foods), fdc.nal.usda.gov</t>
        </is>
      </c>
      <c r="Q152" s="6" t="inlineStr">
        <is>
          <t>2026-09-26</t>
        </is>
      </c>
    </row>
    <row r="153">
      <c r="A153" s="6" t="inlineStr">
        <is>
          <t>garlic</t>
        </is>
      </c>
      <c r="B153" s="6" t="inlineStr">
        <is>
          <t>Garlic</t>
        </is>
      </c>
      <c r="C153" s="6" t="inlineStr">
        <is>
          <t>veg</t>
        </is>
      </c>
      <c r="D153" s="6" t="n">
        <v>149</v>
      </c>
      <c r="E153" s="6" t="n">
        <v>6.4</v>
      </c>
      <c r="F153" s="6" t="n">
        <v>0.5</v>
      </c>
      <c r="G153" s="6" t="n">
        <v>33</v>
      </c>
      <c r="H153" s="6" t="n">
        <v>2.1</v>
      </c>
      <c r="I153" s="6" t="n">
        <v>30.9</v>
      </c>
      <c r="J153" s="6" t="n">
        <v>30</v>
      </c>
      <c r="K153" s="6" t="inlineStr">
        <is>
          <t>low</t>
        </is>
      </c>
      <c r="L153" s="7" t="inlineStr">
        <is>
          <t>Estimated from the closest tested food; no direct measurement found in the pooled sources</t>
        </is>
      </c>
      <c r="M153" s="7" t="inlineStr">
        <is>
          <t>no direct match</t>
        </is>
      </c>
      <c r="N153" s="6" t="inlineStr"/>
      <c r="O15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53" s="7" t="inlineStr">
        <is>
          <t>USDA FoodData Central (SR Legacy / Foundation Foods), fdc.nal.usda.gov</t>
        </is>
      </c>
      <c r="Q153" s="6" t="inlineStr">
        <is>
          <t>2026-09-26</t>
        </is>
      </c>
    </row>
    <row r="154">
      <c r="A154" s="6" t="inlineStr">
        <is>
          <t>ginger</t>
        </is>
      </c>
      <c r="B154" s="6" t="inlineStr">
        <is>
          <t>Fresh ginger</t>
        </is>
      </c>
      <c r="C154" s="6" t="inlineStr">
        <is>
          <t>veg</t>
        </is>
      </c>
      <c r="D154" s="6" t="n">
        <v>80</v>
      </c>
      <c r="E154" s="6" t="n">
        <v>1.8</v>
      </c>
      <c r="F154" s="6" t="n">
        <v>0.8</v>
      </c>
      <c r="G154" s="6" t="n">
        <v>18</v>
      </c>
      <c r="H154" s="6" t="n">
        <v>2</v>
      </c>
      <c r="I154" s="6" t="n">
        <v>16</v>
      </c>
      <c r="J154" s="6" t="n">
        <v>15</v>
      </c>
      <c r="K154" s="6" t="inlineStr">
        <is>
          <t>none (placeholder)</t>
        </is>
      </c>
      <c r="L154" s="7" t="inlineStr">
        <is>
          <t>Conventional placeholder for foods with too little carbohydrate to test (non-starchy vegetables, nuts, seeds, herbs); no published measurement exists</t>
        </is>
      </c>
      <c r="M154" s="7" t="inlineStr">
        <is>
          <t>not measurable</t>
        </is>
      </c>
      <c r="N154" s="6" t="inlineStr"/>
      <c r="O154" s="7" t="inlineStr">
        <is>
          <t>clinical convention</t>
        </is>
      </c>
      <c r="P154" s="7" t="inlineStr">
        <is>
          <t>USDA FoodData Central (SR Legacy / Foundation Foods), fdc.nal.usda.gov</t>
        </is>
      </c>
      <c r="Q154" s="6" t="inlineStr">
        <is>
          <t>2026-09-26</t>
        </is>
      </c>
    </row>
    <row r="155">
      <c r="A155" s="6" t="inlineStr">
        <is>
          <t>mushrooms</t>
        </is>
      </c>
      <c r="B155" s="6" t="inlineStr">
        <is>
          <t>Mushrooms (cremini/white)</t>
        </is>
      </c>
      <c r="C155" s="6" t="inlineStr">
        <is>
          <t>veg</t>
        </is>
      </c>
      <c r="D155" s="6" t="n">
        <v>22</v>
      </c>
      <c r="E155" s="6" t="n">
        <v>3.1</v>
      </c>
      <c r="F155" s="6" t="n">
        <v>0.3</v>
      </c>
      <c r="G155" s="6" t="n">
        <v>3.3</v>
      </c>
      <c r="H155" s="6" t="n">
        <v>1</v>
      </c>
      <c r="I155" s="6" t="n">
        <v>2.3</v>
      </c>
      <c r="J155" s="6" t="n">
        <v>15</v>
      </c>
      <c r="K155" s="6" t="inlineStr">
        <is>
          <t>none (placeholder)</t>
        </is>
      </c>
      <c r="L155" s="7" t="inlineStr">
        <is>
          <t>Conventional placeholder for foods with too little carbohydrate to test (non-starchy vegetables, nuts, seeds, herbs); no published measurement exists</t>
        </is>
      </c>
      <c r="M155" s="7" t="inlineStr">
        <is>
          <t>not measurable</t>
        </is>
      </c>
      <c r="N155" s="6" t="inlineStr"/>
      <c r="O155" s="7" t="inlineStr">
        <is>
          <t>clinical convention</t>
        </is>
      </c>
      <c r="P155" s="7" t="inlineStr">
        <is>
          <t>USDA FoodData Central (SR Legacy / Foundation Foods), fdc.nal.usda.gov</t>
        </is>
      </c>
      <c r="Q155" s="6" t="inlineStr">
        <is>
          <t>2026-09-26</t>
        </is>
      </c>
    </row>
    <row r="156">
      <c r="A156" s="6" t="inlineStr">
        <is>
          <t>portobello</t>
        </is>
      </c>
      <c r="B156" s="6" t="inlineStr">
        <is>
          <t>Portobello mushrooms</t>
        </is>
      </c>
      <c r="C156" s="6" t="inlineStr">
        <is>
          <t>veg</t>
        </is>
      </c>
      <c r="D156" s="6" t="n">
        <v>22</v>
      </c>
      <c r="E156" s="6" t="n">
        <v>2.1</v>
      </c>
      <c r="F156" s="6" t="n">
        <v>0.4</v>
      </c>
      <c r="G156" s="6" t="n">
        <v>3.9</v>
      </c>
      <c r="H156" s="6" t="n">
        <v>1.3</v>
      </c>
      <c r="I156" s="6" t="n">
        <v>2.6</v>
      </c>
      <c r="J156" s="6" t="n">
        <v>15</v>
      </c>
      <c r="K156" s="6" t="inlineStr">
        <is>
          <t>none (placeholder)</t>
        </is>
      </c>
      <c r="L156" s="7" t="inlineStr">
        <is>
          <t>Conventional placeholder for foods with too little carbohydrate to test (non-starchy vegetables, nuts, seeds, herbs); no published measurement exists</t>
        </is>
      </c>
      <c r="M156" s="7" t="inlineStr">
        <is>
          <t>not measurable</t>
        </is>
      </c>
      <c r="N156" s="6" t="inlineStr"/>
      <c r="O156" s="7" t="inlineStr">
        <is>
          <t>clinical convention</t>
        </is>
      </c>
      <c r="P156" s="7" t="inlineStr">
        <is>
          <t>USDA FoodData Central (SR Legacy / Foundation Foods), fdc.nal.usda.gov</t>
        </is>
      </c>
      <c r="Q156" s="6" t="inlineStr">
        <is>
          <t>2026-09-26</t>
        </is>
      </c>
    </row>
    <row r="157">
      <c r="A157" s="6" t="inlineStr">
        <is>
          <t>shiitake</t>
        </is>
      </c>
      <c r="B157" s="6" t="inlineStr">
        <is>
          <t>Shiitake mushrooms</t>
        </is>
      </c>
      <c r="C157" s="6" t="inlineStr">
        <is>
          <t>veg</t>
        </is>
      </c>
      <c r="D157" s="6" t="n">
        <v>34</v>
      </c>
      <c r="E157" s="6" t="n">
        <v>2.2</v>
      </c>
      <c r="F157" s="6" t="n">
        <v>0.5</v>
      </c>
      <c r="G157" s="6" t="n">
        <v>6.8</v>
      </c>
      <c r="H157" s="6" t="n">
        <v>2.5</v>
      </c>
      <c r="I157" s="6" t="n">
        <v>4.3</v>
      </c>
      <c r="J157" s="6" t="n">
        <v>15</v>
      </c>
      <c r="K157" s="6" t="inlineStr">
        <is>
          <t>none (placeholder)</t>
        </is>
      </c>
      <c r="L157" s="7" t="inlineStr">
        <is>
          <t>Conventional placeholder for foods with too little carbohydrate to test (non-starchy vegetables, nuts, seeds, herbs); no published measurement exists</t>
        </is>
      </c>
      <c r="M157" s="7" t="inlineStr">
        <is>
          <t>not measurable</t>
        </is>
      </c>
      <c r="N157" s="6" t="inlineStr"/>
      <c r="O157" s="7" t="inlineStr">
        <is>
          <t>clinical convention</t>
        </is>
      </c>
      <c r="P157" s="7" t="inlineStr">
        <is>
          <t>USDA FoodData Central (SR Legacy / Foundation Foods), fdc.nal.usda.gov</t>
        </is>
      </c>
      <c r="Q157" s="6" t="inlineStr">
        <is>
          <t>2026-09-26</t>
        </is>
      </c>
    </row>
    <row r="158">
      <c r="A158" s="6" t="inlineStr">
        <is>
          <t>avocado</t>
        </is>
      </c>
      <c r="B158" s="6" t="inlineStr">
        <is>
          <t>Avocado</t>
        </is>
      </c>
      <c r="C158" s="6" t="inlineStr">
        <is>
          <t>veg</t>
        </is>
      </c>
      <c r="D158" s="6" t="n">
        <v>160</v>
      </c>
      <c r="E158" s="6" t="n">
        <v>2</v>
      </c>
      <c r="F158" s="6" t="n">
        <v>15</v>
      </c>
      <c r="G158" s="6" t="n">
        <v>8.5</v>
      </c>
      <c r="H158" s="6" t="n">
        <v>6.7</v>
      </c>
      <c r="I158" s="6" t="n">
        <v>1.8</v>
      </c>
      <c r="J158" s="6" t="n">
        <v>15</v>
      </c>
      <c r="K158" s="6" t="inlineStr">
        <is>
          <t>none (placeholder)</t>
        </is>
      </c>
      <c r="L158" s="7" t="inlineStr">
        <is>
          <t>Conventional placeholder for foods with too little carbohydrate to test (non-starchy vegetables, nuts, seeds, herbs); no published measurement exists</t>
        </is>
      </c>
      <c r="M158" s="7" t="inlineStr">
        <is>
          <t>not measurable</t>
        </is>
      </c>
      <c r="N158" s="6" t="inlineStr"/>
      <c r="O158" s="7" t="inlineStr">
        <is>
          <t>clinical convention</t>
        </is>
      </c>
      <c r="P158" s="7" t="inlineStr">
        <is>
          <t>USDA FoodData Central (SR Legacy / Foundation Foods), fdc.nal.usda.gov</t>
        </is>
      </c>
      <c r="Q158" s="6" t="inlineStr">
        <is>
          <t>2026-09-26</t>
        </is>
      </c>
    </row>
    <row r="159">
      <c r="A159" s="6" t="inlineStr">
        <is>
          <t>guacamole</t>
        </is>
      </c>
      <c r="B159" s="6" t="inlineStr">
        <is>
          <t>Guacamole</t>
        </is>
      </c>
      <c r="C159" s="6" t="inlineStr">
        <is>
          <t>veg</t>
        </is>
      </c>
      <c r="D159" s="6" t="n">
        <v>150</v>
      </c>
      <c r="E159" s="6" t="n">
        <v>2</v>
      </c>
      <c r="F159" s="6" t="n">
        <v>13</v>
      </c>
      <c r="G159" s="6" t="n">
        <v>8.5</v>
      </c>
      <c r="H159" s="6" t="n">
        <v>6</v>
      </c>
      <c r="I159" s="6" t="n">
        <v>2.5</v>
      </c>
      <c r="J159" s="6" t="n">
        <v>15</v>
      </c>
      <c r="K159" s="6" t="inlineStr">
        <is>
          <t>none (placeholder)</t>
        </is>
      </c>
      <c r="L159" s="7" t="inlineStr">
        <is>
          <t>Conventional placeholder for foods with too little carbohydrate to test (non-starchy vegetables, nuts, seeds, herbs); no published measurement exists</t>
        </is>
      </c>
      <c r="M159" s="7" t="inlineStr">
        <is>
          <t>not measurable</t>
        </is>
      </c>
      <c r="N159" s="6" t="inlineStr"/>
      <c r="O159" s="7" t="inlineStr">
        <is>
          <t>clinical convention</t>
        </is>
      </c>
      <c r="P159" s="7" t="inlineStr">
        <is>
          <t>USDA FoodData Central (SR Legacy / Foundation Foods), fdc.nal.usda.gov</t>
        </is>
      </c>
      <c r="Q159" s="6" t="inlineStr">
        <is>
          <t>2026-09-26</t>
        </is>
      </c>
    </row>
    <row r="160">
      <c r="A160" s="6" t="inlineStr">
        <is>
          <t>artichoke_hearts</t>
        </is>
      </c>
      <c r="B160" s="6" t="inlineStr">
        <is>
          <t>Artichoke hearts, canned in water</t>
        </is>
      </c>
      <c r="C160" s="6" t="inlineStr">
        <is>
          <t>veg</t>
        </is>
      </c>
      <c r="D160" s="6" t="n">
        <v>47</v>
      </c>
      <c r="E160" s="6" t="n">
        <v>3.3</v>
      </c>
      <c r="F160" s="6" t="n">
        <v>0.2</v>
      </c>
      <c r="G160" s="6" t="n">
        <v>10.5</v>
      </c>
      <c r="H160" s="6" t="n">
        <v>5.4</v>
      </c>
      <c r="I160" s="6" t="n">
        <v>5.1</v>
      </c>
      <c r="J160" s="6" t="n">
        <v>15</v>
      </c>
      <c r="K160" s="6" t="inlineStr">
        <is>
          <t>none (placeholder)</t>
        </is>
      </c>
      <c r="L160" s="7" t="inlineStr">
        <is>
          <t>Conventional placeholder for foods with too little carbohydrate to test (non-starchy vegetables, nuts, seeds, herbs); no published measurement exists</t>
        </is>
      </c>
      <c r="M160" s="7" t="inlineStr">
        <is>
          <t>not measurable</t>
        </is>
      </c>
      <c r="N160" s="6" t="inlineStr"/>
      <c r="O160" s="7" t="inlineStr">
        <is>
          <t>clinical convention</t>
        </is>
      </c>
      <c r="P160" s="7" t="inlineStr">
        <is>
          <t>USDA FoodData Central (SR Legacy / Foundation Foods), fdc.nal.usda.gov</t>
        </is>
      </c>
      <c r="Q160" s="6" t="inlineStr">
        <is>
          <t>2026-09-26</t>
        </is>
      </c>
    </row>
    <row r="161">
      <c r="A161" s="6" t="inlineStr">
        <is>
          <t>hearts_of_palm</t>
        </is>
      </c>
      <c r="B161" s="6" t="inlineStr">
        <is>
          <t>Hearts of palm</t>
        </is>
      </c>
      <c r="C161" s="6" t="inlineStr">
        <is>
          <t>veg</t>
        </is>
      </c>
      <c r="D161" s="6" t="n">
        <v>28</v>
      </c>
      <c r="E161" s="6" t="n">
        <v>2.5</v>
      </c>
      <c r="F161" s="6" t="n">
        <v>0.6</v>
      </c>
      <c r="G161" s="6" t="n">
        <v>4.6</v>
      </c>
      <c r="H161" s="6" t="n">
        <v>2.4</v>
      </c>
      <c r="I161" s="6" t="n">
        <v>2.2</v>
      </c>
      <c r="J161" s="6" t="n">
        <v>15</v>
      </c>
      <c r="K161" s="6" t="inlineStr">
        <is>
          <t>none (placeholder)</t>
        </is>
      </c>
      <c r="L161" s="7" t="inlineStr">
        <is>
          <t>Conventional placeholder for foods with too little carbohydrate to test (non-starchy vegetables, nuts, seeds, herbs); no published measurement exists</t>
        </is>
      </c>
      <c r="M161" s="7" t="inlineStr">
        <is>
          <t>not measurable</t>
        </is>
      </c>
      <c r="N161" s="6" t="inlineStr"/>
      <c r="O161" s="7" t="inlineStr">
        <is>
          <t>clinical convention</t>
        </is>
      </c>
      <c r="P161" s="7" t="inlineStr">
        <is>
          <t>USDA FoodData Central (SR Legacy / Foundation Foods), fdc.nal.usda.gov</t>
        </is>
      </c>
      <c r="Q161" s="6" t="inlineStr">
        <is>
          <t>2026-09-26</t>
        </is>
      </c>
    </row>
    <row r="162">
      <c r="A162" s="6" t="inlineStr">
        <is>
          <t>fennel</t>
        </is>
      </c>
      <c r="B162" s="6" t="inlineStr">
        <is>
          <t>Fennel bulb</t>
        </is>
      </c>
      <c r="C162" s="6" t="inlineStr">
        <is>
          <t>veg</t>
        </is>
      </c>
      <c r="D162" s="6" t="n">
        <v>31</v>
      </c>
      <c r="E162" s="6" t="n">
        <v>1.2</v>
      </c>
      <c r="F162" s="6" t="n">
        <v>0.2</v>
      </c>
      <c r="G162" s="6" t="n">
        <v>7.3</v>
      </c>
      <c r="H162" s="6" t="n">
        <v>3.1</v>
      </c>
      <c r="I162" s="6" t="n">
        <v>4.2</v>
      </c>
      <c r="J162" s="6" t="n">
        <v>15</v>
      </c>
      <c r="K162" s="6" t="inlineStr">
        <is>
          <t>none (placeholder)</t>
        </is>
      </c>
      <c r="L162" s="7" t="inlineStr">
        <is>
          <t>Conventional placeholder for foods with too little carbohydrate to test (non-starchy vegetables, nuts, seeds, herbs); no published measurement exists</t>
        </is>
      </c>
      <c r="M162" s="7" t="inlineStr">
        <is>
          <t>not measurable</t>
        </is>
      </c>
      <c r="N162" s="6" t="inlineStr"/>
      <c r="O162" s="7" t="inlineStr">
        <is>
          <t>clinical convention</t>
        </is>
      </c>
      <c r="P162" s="7" t="inlineStr">
        <is>
          <t>USDA FoodData Central (SR Legacy / Foundation Foods), fdc.nal.usda.gov</t>
        </is>
      </c>
      <c r="Q162" s="6" t="inlineStr">
        <is>
          <t>2026-09-26</t>
        </is>
      </c>
    </row>
    <row r="163">
      <c r="A163" s="6" t="inlineStr">
        <is>
          <t>okra</t>
        </is>
      </c>
      <c r="B163" s="6" t="inlineStr">
        <is>
          <t>Okra</t>
        </is>
      </c>
      <c r="C163" s="6" t="inlineStr">
        <is>
          <t>veg</t>
        </is>
      </c>
      <c r="D163" s="6" t="n">
        <v>33</v>
      </c>
      <c r="E163" s="6" t="n">
        <v>1.9</v>
      </c>
      <c r="F163" s="6" t="n">
        <v>0.2</v>
      </c>
      <c r="G163" s="6" t="n">
        <v>7.5</v>
      </c>
      <c r="H163" s="6" t="n">
        <v>3.2</v>
      </c>
      <c r="I163" s="6" t="n">
        <v>4.3</v>
      </c>
      <c r="J163" s="6" t="n">
        <v>20</v>
      </c>
      <c r="K163" s="6" t="inlineStr">
        <is>
          <t>low</t>
        </is>
      </c>
      <c r="L163" s="7" t="inlineStr">
        <is>
          <t>Estimated from the closest tested food; no direct measurement found in the pooled sources</t>
        </is>
      </c>
      <c r="M163" s="7" t="inlineStr">
        <is>
          <t>no direct match</t>
        </is>
      </c>
      <c r="N163" s="6" t="n">
        <v>20</v>
      </c>
      <c r="O16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63" s="7" t="inlineStr">
        <is>
          <t>USDA FoodData Central (SR Legacy / Foundation Foods), fdc.nal.usda.gov</t>
        </is>
      </c>
      <c r="Q163" s="6" t="inlineStr">
        <is>
          <t>2026-09-26</t>
        </is>
      </c>
    </row>
    <row r="164">
      <c r="A164" s="6" t="inlineStr">
        <is>
          <t>corn</t>
        </is>
      </c>
      <c r="B164" s="6" t="inlineStr">
        <is>
          <t>Sweet corn kernels</t>
        </is>
      </c>
      <c r="C164" s="6" t="inlineStr">
        <is>
          <t>veg</t>
        </is>
      </c>
      <c r="D164" s="6" t="n">
        <v>86</v>
      </c>
      <c r="E164" s="6" t="n">
        <v>3.3</v>
      </c>
      <c r="F164" s="6" t="n">
        <v>1.4</v>
      </c>
      <c r="G164" s="6" t="n">
        <v>19</v>
      </c>
      <c r="H164" s="6" t="n">
        <v>2.7</v>
      </c>
      <c r="I164" s="6" t="n">
        <v>16.3</v>
      </c>
      <c r="J164" s="6" t="n">
        <v>52</v>
      </c>
      <c r="K164" s="6" t="inlineStr">
        <is>
          <t>high</t>
        </is>
      </c>
      <c r="L164" s="7" t="inlineStr">
        <is>
          <t>2021 International Tables, Suppl. Table 1 (ISO 26642:2010-compliant studies)</t>
        </is>
      </c>
      <c r="M164" s="7" t="inlineStr">
        <is>
          <t>median of 4 tested foods, range 51-55</t>
        </is>
      </c>
      <c r="N164" s="6" t="n">
        <v>53</v>
      </c>
      <c r="O164" s="7" t="inlineStr">
        <is>
          <t>Atkinson FS, Brand-Miller JC, Foster-Powell K, Buyken AE, Goletzke J. International tables of glycemic index and glycemic load values 2021. Am J Clin Nutr 2021;114(5):1625-32. doi:10.1093/ajcn/nqab233</t>
        </is>
      </c>
      <c r="P164" s="7" t="inlineStr">
        <is>
          <t>USDA FoodData Central (SR Legacy / Foundation Foods), fdc.nal.usda.gov</t>
        </is>
      </c>
      <c r="Q164" s="6" t="inlineStr">
        <is>
          <t>2026-09-26</t>
        </is>
      </c>
    </row>
    <row r="165">
      <c r="A165" s="6" t="inlineStr">
        <is>
          <t>sweet_potato</t>
        </is>
      </c>
      <c r="B165" s="6" t="inlineStr">
        <is>
          <t>Sweet potato, boiled/simmered</t>
        </is>
      </c>
      <c r="C165" s="6" t="inlineStr">
        <is>
          <t>veg</t>
        </is>
      </c>
      <c r="D165" s="6" t="n">
        <v>86</v>
      </c>
      <c r="E165" s="6" t="n">
        <v>1.6</v>
      </c>
      <c r="F165" s="6" t="n">
        <v>0.1</v>
      </c>
      <c r="G165" s="6" t="n">
        <v>20</v>
      </c>
      <c r="H165" s="6" t="n">
        <v>3</v>
      </c>
      <c r="I165" s="6" t="n">
        <v>17</v>
      </c>
      <c r="J165" s="6" t="n">
        <v>46</v>
      </c>
      <c r="K165" s="6" t="inlineStr">
        <is>
          <t>high</t>
        </is>
      </c>
      <c r="L165" s="7" t="inlineStr">
        <is>
          <t>2021 International Tables, Suppl. Table 1 (ISO 26642:2010-compliant studies)</t>
        </is>
      </c>
      <c r="M165" s="7" t="inlineStr">
        <is>
          <t>median of 13 tested foods, range 41-75</t>
        </is>
      </c>
      <c r="N165" s="6" t="n">
        <v>47</v>
      </c>
      <c r="O165" s="7" t="inlineStr">
        <is>
          <t>Atkinson FS, Brand-Miller JC, Foster-Powell K, Buyken AE, Goletzke J. International tables of glycemic index and glycemic load values 2021. Am J Clin Nutr 2021;114(5):1625-32. doi:10.1093/ajcn/nqab233</t>
        </is>
      </c>
      <c r="P165" s="7" t="inlineStr">
        <is>
          <t>USDA FoodData Central (SR Legacy / Foundation Foods), fdc.nal.usda.gov</t>
        </is>
      </c>
      <c r="Q165" s="6" t="inlineStr">
        <is>
          <t>2026-09-26</t>
        </is>
      </c>
    </row>
    <row r="166">
      <c r="A166" s="6" t="inlineStr">
        <is>
          <t>sweet_potato_roasted</t>
        </is>
      </c>
      <c r="B166" s="6" t="inlineStr">
        <is>
          <t>Sweet potato, baked/roasted</t>
        </is>
      </c>
      <c r="C166" s="6" t="inlineStr">
        <is>
          <t>veg</t>
        </is>
      </c>
      <c r="D166" s="6" t="n">
        <v>86</v>
      </c>
      <c r="E166" s="6" t="n">
        <v>1.6</v>
      </c>
      <c r="F166" s="6" t="n">
        <v>0.1</v>
      </c>
      <c r="G166" s="6" t="n">
        <v>20</v>
      </c>
      <c r="H166" s="6" t="n">
        <v>3</v>
      </c>
      <c r="I166" s="6" t="n">
        <v>17</v>
      </c>
      <c r="J166" s="6" t="n">
        <v>85</v>
      </c>
      <c r="K166" s="6" t="inlineStr">
        <is>
          <t>high</t>
        </is>
      </c>
      <c r="L166" s="7" t="inlineStr">
        <is>
          <t>2021 International Tables, Suppl. Table 1 (ISO 26642:2010-compliant studies)</t>
        </is>
      </c>
      <c r="M166" s="7" t="inlineStr">
        <is>
          <t>median of 22 tested foods, range 79-94</t>
        </is>
      </c>
      <c r="N166" s="6" t="n">
        <v>86</v>
      </c>
      <c r="O166" s="7" t="inlineStr">
        <is>
          <t>Atkinson FS, Brand-Miller JC, Foster-Powell K, Buyken AE, Goletzke J. International tables of glycemic index and glycemic load values 2021. Am J Clin Nutr 2021;114(5):1625-32. doi:10.1093/ajcn/nqab233</t>
        </is>
      </c>
      <c r="P166" s="7" t="inlineStr">
        <is>
          <t>USDA FoodData Central (SR Legacy / Foundation Foods), fdc.nal.usda.gov</t>
        </is>
      </c>
      <c r="Q166" s="6" t="inlineStr">
        <is>
          <t>2026-09-26</t>
        </is>
      </c>
    </row>
    <row r="167">
      <c r="A167" s="6" t="inlineStr">
        <is>
          <t>new_potato</t>
        </is>
      </c>
      <c r="B167" s="6" t="inlineStr">
        <is>
          <t>New potatoes, boiled</t>
        </is>
      </c>
      <c r="C167" s="6" t="inlineStr">
        <is>
          <t>veg</t>
        </is>
      </c>
      <c r="D167" s="6" t="n">
        <v>87</v>
      </c>
      <c r="E167" s="6" t="n">
        <v>1.9</v>
      </c>
      <c r="F167" s="6" t="n">
        <v>0.1</v>
      </c>
      <c r="G167" s="6" t="n">
        <v>20</v>
      </c>
      <c r="H167" s="6" t="n">
        <v>1.8</v>
      </c>
      <c r="I167" s="6" t="n">
        <v>18.2</v>
      </c>
      <c r="J167" s="6" t="n">
        <v>71</v>
      </c>
      <c r="K167" s="6" t="inlineStr">
        <is>
          <t>high</t>
        </is>
      </c>
      <c r="L167" s="7" t="inlineStr">
        <is>
          <t>2021 International Tables, Suppl. Table 1 (ISO 26642:2010-compliant studies)</t>
        </is>
      </c>
      <c r="M167" s="7" t="inlineStr">
        <is>
          <t>median of 6 tested foods, range 56-79</t>
        </is>
      </c>
      <c r="N167" s="6" t="n">
        <v>71</v>
      </c>
      <c r="O167" s="7" t="inlineStr">
        <is>
          <t>Atkinson FS, Brand-Miller JC, Foster-Powell K, Buyken AE, Goletzke J. International tables of glycemic index and glycemic load values 2021. Am J Clin Nutr 2021;114(5):1625-32. doi:10.1093/ajcn/nqab233</t>
        </is>
      </c>
      <c r="P167" s="7" t="inlineStr">
        <is>
          <t>USDA FoodData Central (SR Legacy / Foundation Foods), fdc.nal.usda.gov</t>
        </is>
      </c>
      <c r="Q167" s="6" t="inlineStr">
        <is>
          <t>2026-09-26</t>
        </is>
      </c>
    </row>
    <row r="168">
      <c r="A168" s="6" t="inlineStr">
        <is>
          <t>olives</t>
        </is>
      </c>
      <c r="B168" s="6" t="inlineStr">
        <is>
          <t>Olives (kalamata/green)</t>
        </is>
      </c>
      <c r="C168" s="6" t="inlineStr">
        <is>
          <t>veg</t>
        </is>
      </c>
      <c r="D168" s="6" t="n">
        <v>115</v>
      </c>
      <c r="E168" s="6" t="n">
        <v>0.8</v>
      </c>
      <c r="F168" s="6" t="n">
        <v>11</v>
      </c>
      <c r="G168" s="6" t="n">
        <v>6</v>
      </c>
      <c r="H168" s="6" t="n">
        <v>3.2</v>
      </c>
      <c r="I168" s="6" t="n">
        <v>2.8</v>
      </c>
      <c r="J168" s="6" t="n">
        <v>15</v>
      </c>
      <c r="K168" s="6" t="inlineStr">
        <is>
          <t>none (placeholder)</t>
        </is>
      </c>
      <c r="L168" s="7" t="inlineStr">
        <is>
          <t>Conventional placeholder for foods with too little carbohydrate to test (non-starchy vegetables, nuts, seeds, herbs); no published measurement exists</t>
        </is>
      </c>
      <c r="M168" s="7" t="inlineStr">
        <is>
          <t>not measurable</t>
        </is>
      </c>
      <c r="N168" s="6" t="inlineStr"/>
      <c r="O168" s="7" t="inlineStr">
        <is>
          <t>clinical convention</t>
        </is>
      </c>
      <c r="P168" s="7" t="inlineStr">
        <is>
          <t>USDA FoodData Central (SR Legacy / Foundation Foods), fdc.nal.usda.gov</t>
        </is>
      </c>
      <c r="Q168" s="6" t="inlineStr">
        <is>
          <t>2026-09-26</t>
        </is>
      </c>
    </row>
    <row r="169">
      <c r="A169" s="6" t="inlineStr">
        <is>
          <t>capers</t>
        </is>
      </c>
      <c r="B169" s="6" t="inlineStr">
        <is>
          <t>Capers</t>
        </is>
      </c>
      <c r="C169" s="6" t="inlineStr">
        <is>
          <t>veg</t>
        </is>
      </c>
      <c r="D169" s="6" t="n">
        <v>23</v>
      </c>
      <c r="E169" s="6" t="n">
        <v>2.4</v>
      </c>
      <c r="F169" s="6" t="n">
        <v>0.9</v>
      </c>
      <c r="G169" s="6" t="n">
        <v>4.9</v>
      </c>
      <c r="H169" s="6" t="n">
        <v>3.2</v>
      </c>
      <c r="I169" s="6" t="n">
        <v>1.7</v>
      </c>
      <c r="J169" s="6" t="n">
        <v>15</v>
      </c>
      <c r="K169" s="6" t="inlineStr">
        <is>
          <t>none (placeholder)</t>
        </is>
      </c>
      <c r="L169" s="7" t="inlineStr">
        <is>
          <t>Conventional placeholder for foods with too little carbohydrate to test (non-starchy vegetables, nuts, seeds, herbs); no published measurement exists</t>
        </is>
      </c>
      <c r="M169" s="7" t="inlineStr">
        <is>
          <t>not measurable</t>
        </is>
      </c>
      <c r="N169" s="6" t="inlineStr"/>
      <c r="O169" s="7" t="inlineStr">
        <is>
          <t>clinical convention</t>
        </is>
      </c>
      <c r="P169" s="7" t="inlineStr">
        <is>
          <t>USDA FoodData Central (SR Legacy / Foundation Foods), fdc.nal.usda.gov</t>
        </is>
      </c>
      <c r="Q169" s="6" t="inlineStr">
        <is>
          <t>2026-09-26</t>
        </is>
      </c>
    </row>
    <row r="170">
      <c r="A170" s="6" t="inlineStr">
        <is>
          <t>kimchi</t>
        </is>
      </c>
      <c r="B170" s="6" t="inlineStr">
        <is>
          <t>Kimchi</t>
        </is>
      </c>
      <c r="C170" s="6" t="inlineStr">
        <is>
          <t>veg</t>
        </is>
      </c>
      <c r="D170" s="6" t="n">
        <v>15</v>
      </c>
      <c r="E170" s="6" t="n">
        <v>1.1</v>
      </c>
      <c r="F170" s="6" t="n">
        <v>0.5</v>
      </c>
      <c r="G170" s="6" t="n">
        <v>2.4</v>
      </c>
      <c r="H170" s="6" t="n">
        <v>1.6</v>
      </c>
      <c r="I170" s="6" t="n">
        <v>0.8</v>
      </c>
      <c r="J170" s="6" t="n">
        <v>15</v>
      </c>
      <c r="K170" s="6" t="inlineStr">
        <is>
          <t>none (placeholder)</t>
        </is>
      </c>
      <c r="L170" s="7" t="inlineStr">
        <is>
          <t>Conventional placeholder for foods with too little carbohydrate to test (non-starchy vegetables, nuts, seeds, herbs); no published measurement exists</t>
        </is>
      </c>
      <c r="M170" s="7" t="inlineStr">
        <is>
          <t>not measurable</t>
        </is>
      </c>
      <c r="N170" s="6" t="inlineStr"/>
      <c r="O170" s="7" t="inlineStr">
        <is>
          <t>clinical convention</t>
        </is>
      </c>
      <c r="P170" s="7" t="inlineStr">
        <is>
          <t>USDA FoodData Central (SR Legacy / Foundation Foods), fdc.nal.usda.gov</t>
        </is>
      </c>
      <c r="Q170" s="6" t="inlineStr">
        <is>
          <t>2026-09-26</t>
        </is>
      </c>
    </row>
    <row r="171">
      <c r="A171" s="6" t="inlineStr">
        <is>
          <t>sauerkraut</t>
        </is>
      </c>
      <c r="B171" s="6" t="inlineStr">
        <is>
          <t>Sauerkraut</t>
        </is>
      </c>
      <c r="C171" s="6" t="inlineStr">
        <is>
          <t>veg</t>
        </is>
      </c>
      <c r="D171" s="6" t="n">
        <v>19</v>
      </c>
      <c r="E171" s="6" t="n">
        <v>0.9</v>
      </c>
      <c r="F171" s="6" t="n">
        <v>0.1</v>
      </c>
      <c r="G171" s="6" t="n">
        <v>4.3</v>
      </c>
      <c r="H171" s="6" t="n">
        <v>2.9</v>
      </c>
      <c r="I171" s="6" t="n">
        <v>1.4</v>
      </c>
      <c r="J171" s="6" t="n">
        <v>15</v>
      </c>
      <c r="K171" s="6" t="inlineStr">
        <is>
          <t>none (placeholder)</t>
        </is>
      </c>
      <c r="L171" s="7" t="inlineStr">
        <is>
          <t>Conventional placeholder for foods with too little carbohydrate to test (non-starchy vegetables, nuts, seeds, herbs); no published measurement exists</t>
        </is>
      </c>
      <c r="M171" s="7" t="inlineStr">
        <is>
          <t>not measurable</t>
        </is>
      </c>
      <c r="N171" s="6" t="inlineStr"/>
      <c r="O171" s="7" t="inlineStr">
        <is>
          <t>clinical convention</t>
        </is>
      </c>
      <c r="P171" s="7" t="inlineStr">
        <is>
          <t>USDA FoodData Central (SR Legacy / Foundation Foods), fdc.nal.usda.gov</t>
        </is>
      </c>
      <c r="Q171" s="6" t="inlineStr">
        <is>
          <t>2026-09-26</t>
        </is>
      </c>
    </row>
    <row r="172">
      <c r="A172" s="6" t="inlineStr">
        <is>
          <t>dill_pickle</t>
        </is>
      </c>
      <c r="B172" s="6" t="inlineStr">
        <is>
          <t>Dill pickles</t>
        </is>
      </c>
      <c r="C172" s="6" t="inlineStr">
        <is>
          <t>veg</t>
        </is>
      </c>
      <c r="D172" s="6" t="n">
        <v>12</v>
      </c>
      <c r="E172" s="6" t="n">
        <v>0.5</v>
      </c>
      <c r="F172" s="6" t="n">
        <v>0.2</v>
      </c>
      <c r="G172" s="6" t="n">
        <v>2.4</v>
      </c>
      <c r="H172" s="6" t="n">
        <v>1.2</v>
      </c>
      <c r="I172" s="6" t="n">
        <v>1.2</v>
      </c>
      <c r="J172" s="6" t="n">
        <v>15</v>
      </c>
      <c r="K172" s="6" t="inlineStr">
        <is>
          <t>none (placeholder)</t>
        </is>
      </c>
      <c r="L172" s="7" t="inlineStr">
        <is>
          <t>Conventional placeholder for foods with too little carbohydrate to test (non-starchy vegetables, nuts, seeds, herbs); no published measurement exists</t>
        </is>
      </c>
      <c r="M172" s="7" t="inlineStr">
        <is>
          <t>not measurable</t>
        </is>
      </c>
      <c r="N172" s="6" t="inlineStr"/>
      <c r="O172" s="7" t="inlineStr">
        <is>
          <t>clinical convention</t>
        </is>
      </c>
      <c r="P172" s="7" t="inlineStr">
        <is>
          <t>USDA FoodData Central (SR Legacy / Foundation Foods), fdc.nal.usda.gov</t>
        </is>
      </c>
      <c r="Q172" s="6" t="inlineStr">
        <is>
          <t>2026-09-26</t>
        </is>
      </c>
    </row>
    <row r="173">
      <c r="A173" s="6" t="inlineStr">
        <is>
          <t>nori</t>
        </is>
      </c>
      <c r="B173" s="6" t="inlineStr">
        <is>
          <t>Nori seaweed sheets</t>
        </is>
      </c>
      <c r="C173" s="6" t="inlineStr">
        <is>
          <t>veg</t>
        </is>
      </c>
      <c r="D173" s="6" t="n">
        <v>35</v>
      </c>
      <c r="E173" s="6" t="n">
        <v>6</v>
      </c>
      <c r="F173" s="6" t="n">
        <v>0.3</v>
      </c>
      <c r="G173" s="6" t="n">
        <v>5</v>
      </c>
      <c r="H173" s="6" t="n">
        <v>0.3</v>
      </c>
      <c r="I173" s="6" t="n">
        <v>4.7</v>
      </c>
      <c r="J173" s="6" t="n">
        <v>15</v>
      </c>
      <c r="K173" s="6" t="inlineStr">
        <is>
          <t>none (placeholder)</t>
        </is>
      </c>
      <c r="L173" s="7" t="inlineStr">
        <is>
          <t>Conventional placeholder for foods with too little carbohydrate to test (non-starchy vegetables, nuts, seeds, herbs); no published measurement exists</t>
        </is>
      </c>
      <c r="M173" s="7" t="inlineStr">
        <is>
          <t>not measurable</t>
        </is>
      </c>
      <c r="N173" s="6" t="inlineStr"/>
      <c r="O173" s="7" t="inlineStr">
        <is>
          <t>clinical convention</t>
        </is>
      </c>
      <c r="P173" s="7" t="inlineStr">
        <is>
          <t>USDA FoodData Central (SR Legacy / Foundation Foods), fdc.nal.usda.gov</t>
        </is>
      </c>
      <c r="Q173" s="6" t="inlineStr">
        <is>
          <t>2026-09-26</t>
        </is>
      </c>
    </row>
    <row r="174">
      <c r="A174" s="6" t="inlineStr">
        <is>
          <t>seaweed_salad</t>
        </is>
      </c>
      <c r="B174" s="6" t="inlineStr">
        <is>
          <t>Wakame seaweed, rehydrated</t>
        </is>
      </c>
      <c r="C174" s="6" t="inlineStr">
        <is>
          <t>veg</t>
        </is>
      </c>
      <c r="D174" s="6" t="n">
        <v>45</v>
      </c>
      <c r="E174" s="6" t="n">
        <v>3</v>
      </c>
      <c r="F174" s="6" t="n">
        <v>0.6</v>
      </c>
      <c r="G174" s="6" t="n">
        <v>9</v>
      </c>
      <c r="H174" s="6" t="n">
        <v>0.5</v>
      </c>
      <c r="I174" s="6" t="n">
        <v>8.5</v>
      </c>
      <c r="J174" s="6" t="n">
        <v>15</v>
      </c>
      <c r="K174" s="6" t="inlineStr">
        <is>
          <t>none (placeholder)</t>
        </is>
      </c>
      <c r="L174" s="7" t="inlineStr">
        <is>
          <t>Conventional placeholder for foods with too little carbohydrate to test (non-starchy vegetables, nuts, seeds, herbs); no published measurement exists</t>
        </is>
      </c>
      <c r="M174" s="7" t="inlineStr">
        <is>
          <t>not measurable</t>
        </is>
      </c>
      <c r="N174" s="6" t="inlineStr"/>
      <c r="O174" s="7" t="inlineStr">
        <is>
          <t>clinical convention</t>
        </is>
      </c>
      <c r="P174" s="7" t="inlineStr">
        <is>
          <t>USDA FoodData Central (SR Legacy / Foundation Foods), fdc.nal.usda.gov</t>
        </is>
      </c>
      <c r="Q174" s="6" t="inlineStr">
        <is>
          <t>2026-09-26</t>
        </is>
      </c>
    </row>
    <row r="175">
      <c r="A175" s="6" t="inlineStr">
        <is>
          <t>shirataki</t>
        </is>
      </c>
      <c r="B175" s="6" t="inlineStr">
        <is>
          <t>Shirataki noodles</t>
        </is>
      </c>
      <c r="C175" s="6" t="inlineStr">
        <is>
          <t>veg</t>
        </is>
      </c>
      <c r="D175" s="6" t="n">
        <v>10</v>
      </c>
      <c r="E175" s="6" t="n">
        <v>0</v>
      </c>
      <c r="F175" s="6" t="n">
        <v>0</v>
      </c>
      <c r="G175" s="6" t="n">
        <v>3</v>
      </c>
      <c r="H175" s="6" t="n">
        <v>3</v>
      </c>
      <c r="I175" s="6" t="n">
        <v>0</v>
      </c>
      <c r="J175" s="6" t="n">
        <v>0</v>
      </c>
      <c r="K175" s="6" t="inlineStr">
        <is>
          <t>definitional</t>
        </is>
      </c>
      <c r="L175" s="7" t="inlineStr">
        <is>
          <t>No available carbohydrate — GI is 0 by definition (protein / fat / water)</t>
        </is>
      </c>
      <c r="M175" s="7" t="inlineStr">
        <is>
          <t>n/a</t>
        </is>
      </c>
      <c r="N175" s="6" t="inlineStr"/>
      <c r="O175" s="7" t="inlineStr">
        <is>
          <t>ISO 26642:2010</t>
        </is>
      </c>
      <c r="P175" s="7" t="inlineStr">
        <is>
          <t>USDA FoodData Central (SR Legacy / Foundation Foods), fdc.nal.usda.gov</t>
        </is>
      </c>
      <c r="Q175" s="6" t="inlineStr">
        <is>
          <t>2026-09-26</t>
        </is>
      </c>
    </row>
    <row r="176">
      <c r="A176" s="6" t="inlineStr">
        <is>
          <t>water_chestnuts</t>
        </is>
      </c>
      <c r="B176" s="6" t="inlineStr">
        <is>
          <t>Water chestnuts, canned</t>
        </is>
      </c>
      <c r="C176" s="6" t="inlineStr">
        <is>
          <t>veg</t>
        </is>
      </c>
      <c r="D176" s="6" t="n">
        <v>50</v>
      </c>
      <c r="E176" s="6" t="n">
        <v>0.9</v>
      </c>
      <c r="F176" s="6" t="n">
        <v>0.1</v>
      </c>
      <c r="G176" s="6" t="n">
        <v>12</v>
      </c>
      <c r="H176" s="6" t="n">
        <v>2.5</v>
      </c>
      <c r="I176" s="6" t="n">
        <v>9.5</v>
      </c>
      <c r="J176" s="6" t="n">
        <v>45</v>
      </c>
      <c r="K176" s="6" t="inlineStr">
        <is>
          <t>low</t>
        </is>
      </c>
      <c r="L176" s="7" t="inlineStr">
        <is>
          <t>Estimated from the closest tested food; no direct measurement found in the pooled sources</t>
        </is>
      </c>
      <c r="M176" s="7" t="inlineStr">
        <is>
          <t>no direct match</t>
        </is>
      </c>
      <c r="N176" s="6" t="n">
        <v>45</v>
      </c>
      <c r="O17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76" s="7" t="inlineStr">
        <is>
          <t>USDA FoodData Central (SR Legacy / Foundation Foods), fdc.nal.usda.gov</t>
        </is>
      </c>
      <c r="Q176" s="6" t="inlineStr">
        <is>
          <t>2026-09-26</t>
        </is>
      </c>
    </row>
    <row r="177">
      <c r="A177" s="6" t="inlineStr">
        <is>
          <t>bean_sprouts</t>
        </is>
      </c>
      <c r="B177" s="6" t="inlineStr">
        <is>
          <t>Mung bean sprouts</t>
        </is>
      </c>
      <c r="C177" s="6" t="inlineStr">
        <is>
          <t>veg</t>
        </is>
      </c>
      <c r="D177" s="6" t="n">
        <v>30</v>
      </c>
      <c r="E177" s="6" t="n">
        <v>3</v>
      </c>
      <c r="F177" s="6" t="n">
        <v>0.2</v>
      </c>
      <c r="G177" s="6" t="n">
        <v>6</v>
      </c>
      <c r="H177" s="6" t="n">
        <v>1.8</v>
      </c>
      <c r="I177" s="6" t="n">
        <v>4.2</v>
      </c>
      <c r="J177" s="6" t="n">
        <v>15</v>
      </c>
      <c r="K177" s="6" t="inlineStr">
        <is>
          <t>none (placeholder)</t>
        </is>
      </c>
      <c r="L177" s="7" t="inlineStr">
        <is>
          <t>Conventional placeholder for foods with too little carbohydrate to test (non-starchy vegetables, nuts, seeds, herbs); no published measurement exists</t>
        </is>
      </c>
      <c r="M177" s="7" t="inlineStr">
        <is>
          <t>not measurable</t>
        </is>
      </c>
      <c r="N177" s="6" t="inlineStr"/>
      <c r="O177" s="7" t="inlineStr">
        <is>
          <t>clinical convention</t>
        </is>
      </c>
      <c r="P177" s="7" t="inlineStr">
        <is>
          <t>USDA FoodData Central (SR Legacy / Foundation Foods), fdc.nal.usda.gov</t>
        </is>
      </c>
      <c r="Q177" s="6" t="inlineStr">
        <is>
          <t>2026-09-26</t>
        </is>
      </c>
    </row>
    <row r="178">
      <c r="A178" s="6" t="inlineStr">
        <is>
          <t>lemon</t>
        </is>
      </c>
      <c r="B178" s="6" t="inlineStr">
        <is>
          <t>Lemon (with juice &amp; zest)</t>
        </is>
      </c>
      <c r="C178" s="6" t="inlineStr">
        <is>
          <t>fruit</t>
        </is>
      </c>
      <c r="D178" s="6" t="n">
        <v>29</v>
      </c>
      <c r="E178" s="6" t="n">
        <v>1.1</v>
      </c>
      <c r="F178" s="6" t="n">
        <v>0.3</v>
      </c>
      <c r="G178" s="6" t="n">
        <v>9.300000000000001</v>
      </c>
      <c r="H178" s="6" t="n">
        <v>2.8</v>
      </c>
      <c r="I178" s="6" t="n">
        <v>6.5</v>
      </c>
      <c r="J178" s="6" t="n">
        <v>20</v>
      </c>
      <c r="K178" s="6" t="inlineStr">
        <is>
          <t>low</t>
        </is>
      </c>
      <c r="L178" s="7" t="inlineStr">
        <is>
          <t>Estimated from the closest tested food; no direct measurement found in the pooled sources</t>
        </is>
      </c>
      <c r="M178" s="7" t="inlineStr">
        <is>
          <t>no direct match</t>
        </is>
      </c>
      <c r="N178" s="6" t="inlineStr"/>
      <c r="O17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78" s="7" t="inlineStr">
        <is>
          <t>USDA FoodData Central (SR Legacy / Foundation Foods), fdc.nal.usda.gov</t>
        </is>
      </c>
      <c r="Q178" s="6" t="inlineStr">
        <is>
          <t>2026-09-26</t>
        </is>
      </c>
    </row>
    <row r="179">
      <c r="A179" s="6" t="inlineStr">
        <is>
          <t>lime</t>
        </is>
      </c>
      <c r="B179" s="6" t="inlineStr">
        <is>
          <t>Lime</t>
        </is>
      </c>
      <c r="C179" s="6" t="inlineStr">
        <is>
          <t>fruit</t>
        </is>
      </c>
      <c r="D179" s="6" t="n">
        <v>30</v>
      </c>
      <c r="E179" s="6" t="n">
        <v>0.7</v>
      </c>
      <c r="F179" s="6" t="n">
        <v>0.2</v>
      </c>
      <c r="G179" s="6" t="n">
        <v>10.5</v>
      </c>
      <c r="H179" s="6" t="n">
        <v>2.8</v>
      </c>
      <c r="I179" s="6" t="n">
        <v>7.7</v>
      </c>
      <c r="J179" s="6" t="n">
        <v>20</v>
      </c>
      <c r="K179" s="6" t="inlineStr">
        <is>
          <t>low</t>
        </is>
      </c>
      <c r="L179" s="7" t="inlineStr">
        <is>
          <t>Estimated from the closest tested food; no direct measurement found in the pooled sources</t>
        </is>
      </c>
      <c r="M179" s="7" t="inlineStr">
        <is>
          <t>no direct match</t>
        </is>
      </c>
      <c r="N179" s="6" t="inlineStr"/>
      <c r="O17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79" s="7" t="inlineStr">
        <is>
          <t>USDA FoodData Central (SR Legacy / Foundation Foods), fdc.nal.usda.gov</t>
        </is>
      </c>
      <c r="Q179" s="6" t="inlineStr">
        <is>
          <t>2026-09-26</t>
        </is>
      </c>
    </row>
    <row r="180">
      <c r="A180" s="6" t="inlineStr">
        <is>
          <t>lemon_juice</t>
        </is>
      </c>
      <c r="B180" s="6" t="inlineStr">
        <is>
          <t>Lemon juice</t>
        </is>
      </c>
      <c r="C180" s="6" t="inlineStr">
        <is>
          <t>fruit</t>
        </is>
      </c>
      <c r="D180" s="6" t="n">
        <v>22</v>
      </c>
      <c r="E180" s="6" t="n">
        <v>0.4</v>
      </c>
      <c r="F180" s="6" t="n">
        <v>0.2</v>
      </c>
      <c r="G180" s="6" t="n">
        <v>6.9</v>
      </c>
      <c r="H180" s="6" t="n">
        <v>0.3</v>
      </c>
      <c r="I180" s="6" t="n">
        <v>6.6</v>
      </c>
      <c r="J180" s="6" t="n">
        <v>20</v>
      </c>
      <c r="K180" s="6" t="inlineStr">
        <is>
          <t>low</t>
        </is>
      </c>
      <c r="L180" s="7" t="inlineStr">
        <is>
          <t>Estimated from the closest tested food; no direct measurement found in the pooled sources</t>
        </is>
      </c>
      <c r="M180" s="7" t="inlineStr">
        <is>
          <t>no direct match</t>
        </is>
      </c>
      <c r="N180" s="6" t="inlineStr"/>
      <c r="O18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80" s="7" t="inlineStr">
        <is>
          <t>USDA FoodData Central (SR Legacy / Foundation Foods), fdc.nal.usda.gov</t>
        </is>
      </c>
      <c r="Q180" s="6" t="inlineStr">
        <is>
          <t>2026-09-26</t>
        </is>
      </c>
    </row>
    <row r="181">
      <c r="A181" s="6" t="inlineStr">
        <is>
          <t>lime_juice</t>
        </is>
      </c>
      <c r="B181" s="6" t="inlineStr">
        <is>
          <t>Lime juice</t>
        </is>
      </c>
      <c r="C181" s="6" t="inlineStr">
        <is>
          <t>fruit</t>
        </is>
      </c>
      <c r="D181" s="6" t="n">
        <v>25</v>
      </c>
      <c r="E181" s="6" t="n">
        <v>0.4</v>
      </c>
      <c r="F181" s="6" t="n">
        <v>0.1</v>
      </c>
      <c r="G181" s="6" t="n">
        <v>8.4</v>
      </c>
      <c r="H181" s="6" t="n">
        <v>0.4</v>
      </c>
      <c r="I181" s="6" t="n">
        <v>8</v>
      </c>
      <c r="J181" s="6" t="n">
        <v>20</v>
      </c>
      <c r="K181" s="6" t="inlineStr">
        <is>
          <t>low</t>
        </is>
      </c>
      <c r="L181" s="7" t="inlineStr">
        <is>
          <t>Estimated from the closest tested food; no direct measurement found in the pooled sources</t>
        </is>
      </c>
      <c r="M181" s="7" t="inlineStr">
        <is>
          <t>no direct match</t>
        </is>
      </c>
      <c r="N181" s="6" t="inlineStr"/>
      <c r="O18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81" s="7" t="inlineStr">
        <is>
          <t>USDA FoodData Central (SR Legacy / Foundation Foods), fdc.nal.usda.gov</t>
        </is>
      </c>
      <c r="Q181" s="6" t="inlineStr">
        <is>
          <t>2026-09-26</t>
        </is>
      </c>
    </row>
    <row r="182">
      <c r="A182" s="6" t="inlineStr">
        <is>
          <t>blueberries</t>
        </is>
      </c>
      <c r="B182" s="6" t="inlineStr">
        <is>
          <t>Blueberries</t>
        </is>
      </c>
      <c r="C182" s="6" t="inlineStr">
        <is>
          <t>fruit</t>
        </is>
      </c>
      <c r="D182" s="6" t="n">
        <v>57</v>
      </c>
      <c r="E182" s="6" t="n">
        <v>0.7</v>
      </c>
      <c r="F182" s="6" t="n">
        <v>0.3</v>
      </c>
      <c r="G182" s="6" t="n">
        <v>14.5</v>
      </c>
      <c r="H182" s="6" t="n">
        <v>2.4</v>
      </c>
      <c r="I182" s="6" t="n">
        <v>12.1</v>
      </c>
      <c r="J182" s="6" t="n">
        <v>53</v>
      </c>
      <c r="K182" s="6" t="inlineStr">
        <is>
          <t>medium</t>
        </is>
      </c>
      <c r="L182" s="7" t="inlineStr">
        <is>
          <t>2021 International Tables, Suppl. Tables 1+2 (incl. studies with method deviations)</t>
        </is>
      </c>
      <c r="M182" s="7" t="inlineStr">
        <is>
          <t>median of 2 tested foods, range 28-53</t>
        </is>
      </c>
      <c r="N182" s="6" t="n">
        <v>40</v>
      </c>
      <c r="O182" s="7" t="inlineStr">
        <is>
          <t>Atkinson FS, Brand-Miller JC, Foster-Powell K, Buyken AE, Goletzke J. International tables of glycemic index and glycemic load values 2021. Am J Clin Nutr 2021;114(5):1625-32. doi:10.1093/ajcn/nqab233</t>
        </is>
      </c>
      <c r="P182" s="7" t="inlineStr">
        <is>
          <t>USDA FoodData Central (SR Legacy / Foundation Foods), fdc.nal.usda.gov</t>
        </is>
      </c>
      <c r="Q182" s="6" t="inlineStr">
        <is>
          <t>2026-09-26</t>
        </is>
      </c>
    </row>
    <row r="183">
      <c r="A183" s="6" t="inlineStr">
        <is>
          <t>strawberries</t>
        </is>
      </c>
      <c r="B183" s="6" t="inlineStr">
        <is>
          <t>Strawberries</t>
        </is>
      </c>
      <c r="C183" s="6" t="inlineStr">
        <is>
          <t>fruit</t>
        </is>
      </c>
      <c r="D183" s="6" t="n">
        <v>32</v>
      </c>
      <c r="E183" s="6" t="n">
        <v>0.7</v>
      </c>
      <c r="F183" s="6" t="n">
        <v>0.3</v>
      </c>
      <c r="G183" s="6" t="n">
        <v>7.7</v>
      </c>
      <c r="H183" s="6" t="n">
        <v>2</v>
      </c>
      <c r="I183" s="6" t="n">
        <v>5.7</v>
      </c>
      <c r="J183" s="6" t="n">
        <v>40</v>
      </c>
      <c r="K183" s="6" t="inlineStr">
        <is>
          <t>high</t>
        </is>
      </c>
      <c r="L183" s="7" t="inlineStr">
        <is>
          <t>2021 International Tables, Suppl. Table 1 (ISO 26642:2010-compliant studies)</t>
        </is>
      </c>
      <c r="M183" s="7" t="inlineStr">
        <is>
          <t>median of 3 tested foods, range 32-55</t>
        </is>
      </c>
      <c r="N183" s="6" t="n">
        <v>40</v>
      </c>
      <c r="O183" s="7" t="inlineStr">
        <is>
          <t>Atkinson FS, Brand-Miller JC, Foster-Powell K, Buyken AE, Goletzke J. International tables of glycemic index and glycemic load values 2021. Am J Clin Nutr 2021;114(5):1625-32. doi:10.1093/ajcn/nqab233</t>
        </is>
      </c>
      <c r="P183" s="7" t="inlineStr">
        <is>
          <t>USDA FoodData Central (SR Legacy / Foundation Foods), fdc.nal.usda.gov</t>
        </is>
      </c>
      <c r="Q183" s="6" t="inlineStr">
        <is>
          <t>2026-09-26</t>
        </is>
      </c>
    </row>
    <row r="184">
      <c r="A184" s="6" t="inlineStr">
        <is>
          <t>raspberries</t>
        </is>
      </c>
      <c r="B184" s="6" t="inlineStr">
        <is>
          <t>Raspberries</t>
        </is>
      </c>
      <c r="C184" s="6" t="inlineStr">
        <is>
          <t>fruit</t>
        </is>
      </c>
      <c r="D184" s="6" t="n">
        <v>52</v>
      </c>
      <c r="E184" s="6" t="n">
        <v>1.2</v>
      </c>
      <c r="F184" s="6" t="n">
        <v>0.7</v>
      </c>
      <c r="G184" s="6" t="n">
        <v>12</v>
      </c>
      <c r="H184" s="6" t="n">
        <v>6.5</v>
      </c>
      <c r="I184" s="6" t="n">
        <v>5.5</v>
      </c>
      <c r="J184" s="6" t="n">
        <v>32</v>
      </c>
      <c r="K184" s="6" t="inlineStr">
        <is>
          <t>low</t>
        </is>
      </c>
      <c r="L184" s="7" t="inlineStr">
        <is>
          <t>Estimated from the closest tested food; no direct measurement found in the pooled sources</t>
        </is>
      </c>
      <c r="M184" s="7" t="inlineStr">
        <is>
          <t>no direct match</t>
        </is>
      </c>
      <c r="N184" s="6" t="n">
        <v>32</v>
      </c>
      <c r="O18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84" s="7" t="inlineStr">
        <is>
          <t>USDA FoodData Central (SR Legacy / Foundation Foods), fdc.nal.usda.gov</t>
        </is>
      </c>
      <c r="Q184" s="6" t="inlineStr">
        <is>
          <t>2026-09-26</t>
        </is>
      </c>
    </row>
    <row r="185">
      <c r="A185" s="6" t="inlineStr">
        <is>
          <t>blackberries</t>
        </is>
      </c>
      <c r="B185" s="6" t="inlineStr">
        <is>
          <t>Blackberries</t>
        </is>
      </c>
      <c r="C185" s="6" t="inlineStr">
        <is>
          <t>fruit</t>
        </is>
      </c>
      <c r="D185" s="6" t="n">
        <v>43</v>
      </c>
      <c r="E185" s="6" t="n">
        <v>1.4</v>
      </c>
      <c r="F185" s="6" t="n">
        <v>0.5</v>
      </c>
      <c r="G185" s="6" t="n">
        <v>9.6</v>
      </c>
      <c r="H185" s="6" t="n">
        <v>5.3</v>
      </c>
      <c r="I185" s="6" t="n">
        <v>4.3</v>
      </c>
      <c r="J185" s="6" t="n">
        <v>25</v>
      </c>
      <c r="K185" s="6" t="inlineStr">
        <is>
          <t>low</t>
        </is>
      </c>
      <c r="L185" s="7" t="inlineStr">
        <is>
          <t>Estimated from the closest tested food; no direct measurement found in the pooled sources</t>
        </is>
      </c>
      <c r="M185" s="7" t="inlineStr">
        <is>
          <t>no direct match</t>
        </is>
      </c>
      <c r="N185" s="6" t="n">
        <v>25</v>
      </c>
      <c r="O18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85" s="7" t="inlineStr">
        <is>
          <t>USDA FoodData Central (SR Legacy / Foundation Foods), fdc.nal.usda.gov</t>
        </is>
      </c>
      <c r="Q185" s="6" t="inlineStr">
        <is>
          <t>2026-09-26</t>
        </is>
      </c>
    </row>
    <row r="186">
      <c r="A186" s="6" t="inlineStr">
        <is>
          <t>mixed_berries</t>
        </is>
      </c>
      <c r="B186" s="6" t="inlineStr">
        <is>
          <t>Mixed berries, frozen</t>
        </is>
      </c>
      <c r="C186" s="6" t="inlineStr">
        <is>
          <t>fruit</t>
        </is>
      </c>
      <c r="D186" s="6" t="n">
        <v>45</v>
      </c>
      <c r="E186" s="6" t="n">
        <v>0.8</v>
      </c>
      <c r="F186" s="6" t="n">
        <v>0.4</v>
      </c>
      <c r="G186" s="6" t="n">
        <v>11</v>
      </c>
      <c r="H186" s="6" t="n">
        <v>4</v>
      </c>
      <c r="I186" s="6" t="n">
        <v>7</v>
      </c>
      <c r="J186" s="6" t="n">
        <v>40</v>
      </c>
      <c r="K186" s="6" t="inlineStr">
        <is>
          <t>low</t>
        </is>
      </c>
      <c r="L186" s="7" t="inlineStr">
        <is>
          <t>Estimated from the closest tested food; no direct measurement found in the pooled sources</t>
        </is>
      </c>
      <c r="M186" s="7" t="inlineStr">
        <is>
          <t>no direct match</t>
        </is>
      </c>
      <c r="N186" s="6" t="n">
        <v>40</v>
      </c>
      <c r="O18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86" s="7" t="inlineStr">
        <is>
          <t>USDA FoodData Central (SR Legacy / Foundation Foods), fdc.nal.usda.gov</t>
        </is>
      </c>
      <c r="Q186" s="6" t="inlineStr">
        <is>
          <t>2026-09-26</t>
        </is>
      </c>
    </row>
    <row r="187">
      <c r="A187" s="6" t="inlineStr">
        <is>
          <t>apple</t>
        </is>
      </c>
      <c r="B187" s="6" t="inlineStr">
        <is>
          <t>Apple</t>
        </is>
      </c>
      <c r="C187" s="6" t="inlineStr">
        <is>
          <t>fruit</t>
        </is>
      </c>
      <c r="D187" s="6" t="n">
        <v>52</v>
      </c>
      <c r="E187" s="6" t="n">
        <v>0.3</v>
      </c>
      <c r="F187" s="6" t="n">
        <v>0.2</v>
      </c>
      <c r="G187" s="6" t="n">
        <v>14</v>
      </c>
      <c r="H187" s="6" t="n">
        <v>2.4</v>
      </c>
      <c r="I187" s="6" t="n">
        <v>11.6</v>
      </c>
      <c r="J187" s="6" t="n">
        <v>36</v>
      </c>
      <c r="K187" s="6" t="inlineStr">
        <is>
          <t>medium</t>
        </is>
      </c>
      <c r="L187" s="7" t="inlineStr">
        <is>
          <t>2021 International Tables, Suppl. Tables 1+2 (incl. studies with method deviations)</t>
        </is>
      </c>
      <c r="M187" s="7" t="inlineStr">
        <is>
          <t>median of 8 tested foods, range 32-45</t>
        </is>
      </c>
      <c r="N187" s="6" t="n">
        <v>40</v>
      </c>
      <c r="O187" s="7" t="inlineStr">
        <is>
          <t>Atkinson FS, Brand-Miller JC, Foster-Powell K, Buyken AE, Goletzke J. International tables of glycemic index and glycemic load values 2021. Am J Clin Nutr 2021;114(5):1625-32. doi:10.1093/ajcn/nqab233</t>
        </is>
      </c>
      <c r="P187" s="7" t="inlineStr">
        <is>
          <t>USDA FoodData Central (SR Legacy / Foundation Foods), fdc.nal.usda.gov</t>
        </is>
      </c>
      <c r="Q187" s="6" t="inlineStr">
        <is>
          <t>2026-09-26</t>
        </is>
      </c>
    </row>
    <row r="188">
      <c r="A188" s="6" t="inlineStr">
        <is>
          <t>pear</t>
        </is>
      </c>
      <c r="B188" s="6" t="inlineStr">
        <is>
          <t>Pear</t>
        </is>
      </c>
      <c r="C188" s="6" t="inlineStr">
        <is>
          <t>fruit</t>
        </is>
      </c>
      <c r="D188" s="6" t="n">
        <v>57</v>
      </c>
      <c r="E188" s="6" t="n">
        <v>0.4</v>
      </c>
      <c r="F188" s="6" t="n">
        <v>0.1</v>
      </c>
      <c r="G188" s="6" t="n">
        <v>15</v>
      </c>
      <c r="H188" s="6" t="n">
        <v>3.1</v>
      </c>
      <c r="I188" s="6" t="n">
        <v>11.9</v>
      </c>
      <c r="J188" s="6" t="n">
        <v>28</v>
      </c>
      <c r="K188" s="6" t="inlineStr">
        <is>
          <t>high</t>
        </is>
      </c>
      <c r="L188" s="7" t="inlineStr">
        <is>
          <t>2021 International Tables, Suppl. Table 1 (ISO 26642:2010-compliant studies)</t>
        </is>
      </c>
      <c r="M188" s="7" t="inlineStr">
        <is>
          <t>median of 2 tested foods, range 24-33</t>
        </is>
      </c>
      <c r="N188" s="6" t="n">
        <v>28</v>
      </c>
      <c r="O188" s="7" t="inlineStr">
        <is>
          <t>Atkinson FS, Brand-Miller JC, Foster-Powell K, Buyken AE, Goletzke J. International tables of glycemic index and glycemic load values 2021. Am J Clin Nutr 2021;114(5):1625-32. doi:10.1093/ajcn/nqab233</t>
        </is>
      </c>
      <c r="P188" s="7" t="inlineStr">
        <is>
          <t>USDA FoodData Central (SR Legacy / Foundation Foods), fdc.nal.usda.gov</t>
        </is>
      </c>
      <c r="Q188" s="6" t="inlineStr">
        <is>
          <t>2026-09-26</t>
        </is>
      </c>
    </row>
    <row r="189">
      <c r="A189" s="6" t="inlineStr">
        <is>
          <t>orange</t>
        </is>
      </c>
      <c r="B189" s="6" t="inlineStr">
        <is>
          <t>Orange</t>
        </is>
      </c>
      <c r="C189" s="6" t="inlineStr">
        <is>
          <t>fruit</t>
        </is>
      </c>
      <c r="D189" s="6" t="n">
        <v>47</v>
      </c>
      <c r="E189" s="6" t="n">
        <v>0.9</v>
      </c>
      <c r="F189" s="6" t="n">
        <v>0.1</v>
      </c>
      <c r="G189" s="6" t="n">
        <v>12</v>
      </c>
      <c r="H189" s="6" t="n">
        <v>2.4</v>
      </c>
      <c r="I189" s="6" t="n">
        <v>9.6</v>
      </c>
      <c r="J189" s="6" t="n">
        <v>43</v>
      </c>
      <c r="K189" s="6" t="inlineStr">
        <is>
          <t>medium</t>
        </is>
      </c>
      <c r="L189" s="7" t="inlineStr">
        <is>
          <t>2021 International Tables, Suppl. Tables 1+2 (incl. studies with method deviations)</t>
        </is>
      </c>
      <c r="M189" s="7" t="inlineStr">
        <is>
          <t>median of 9 tested foods, range 31-52</t>
        </is>
      </c>
      <c r="N189" s="6" t="n">
        <v>44</v>
      </c>
      <c r="O189" s="7" t="inlineStr">
        <is>
          <t>Atkinson FS, Brand-Miller JC, Foster-Powell K, Buyken AE, Goletzke J. International tables of glycemic index and glycemic load values 2021. Am J Clin Nutr 2021;114(5):1625-32. doi:10.1093/ajcn/nqab233</t>
        </is>
      </c>
      <c r="P189" s="7" t="inlineStr">
        <is>
          <t>USDA FoodData Central (SR Legacy / Foundation Foods), fdc.nal.usda.gov</t>
        </is>
      </c>
      <c r="Q189" s="6" t="inlineStr">
        <is>
          <t>2026-09-26</t>
        </is>
      </c>
    </row>
    <row r="190">
      <c r="A190" s="6" t="inlineStr">
        <is>
          <t>grapefruit</t>
        </is>
      </c>
      <c r="B190" s="6" t="inlineStr">
        <is>
          <t>Grapefruit</t>
        </is>
      </c>
      <c r="C190" s="6" t="inlineStr">
        <is>
          <t>fruit</t>
        </is>
      </c>
      <c r="D190" s="6" t="n">
        <v>42</v>
      </c>
      <c r="E190" s="6" t="n">
        <v>0.8</v>
      </c>
      <c r="F190" s="6" t="n">
        <v>0.1</v>
      </c>
      <c r="G190" s="6" t="n">
        <v>10.7</v>
      </c>
      <c r="H190" s="6" t="n">
        <v>1.6</v>
      </c>
      <c r="I190" s="6" t="n">
        <v>9.1</v>
      </c>
      <c r="J190" s="6" t="n">
        <v>25</v>
      </c>
      <c r="K190" s="6" t="inlineStr">
        <is>
          <t>medium</t>
        </is>
      </c>
      <c r="L190" s="7" t="inlineStr">
        <is>
          <t>2021 International Tables, Suppl. Tables 1+2 (incl. studies with method deviations)</t>
        </is>
      </c>
      <c r="M190" s="7" t="inlineStr">
        <is>
          <t>median of 1 tested foods, range 26-26</t>
        </is>
      </c>
      <c r="N190" s="6" t="n">
        <v>26</v>
      </c>
      <c r="O190" s="7" t="inlineStr">
        <is>
          <t>Atkinson FS, Brand-Miller JC, Foster-Powell K, Buyken AE, Goletzke J. International tables of glycemic index and glycemic load values 2021. Am J Clin Nutr 2021;114(5):1625-32. doi:10.1093/ajcn/nqab233</t>
        </is>
      </c>
      <c r="P190" s="7" t="inlineStr">
        <is>
          <t>USDA FoodData Central (SR Legacy / Foundation Foods), fdc.nal.usda.gov</t>
        </is>
      </c>
      <c r="Q190" s="6" t="inlineStr">
        <is>
          <t>2026-09-26</t>
        </is>
      </c>
    </row>
    <row r="191">
      <c r="A191" s="6" t="inlineStr">
        <is>
          <t>peach</t>
        </is>
      </c>
      <c r="B191" s="6" t="inlineStr">
        <is>
          <t>Peach</t>
        </is>
      </c>
      <c r="C191" s="6" t="inlineStr">
        <is>
          <t>fruit</t>
        </is>
      </c>
      <c r="D191" s="6" t="n">
        <v>39</v>
      </c>
      <c r="E191" s="6" t="n">
        <v>0.9</v>
      </c>
      <c r="F191" s="6" t="n">
        <v>0.3</v>
      </c>
      <c r="G191" s="6" t="n">
        <v>9.5</v>
      </c>
      <c r="H191" s="6" t="n">
        <v>1.5</v>
      </c>
      <c r="I191" s="6" t="n">
        <v>8</v>
      </c>
      <c r="J191" s="6" t="n">
        <v>57</v>
      </c>
      <c r="K191" s="6" t="inlineStr">
        <is>
          <t>medium</t>
        </is>
      </c>
      <c r="L191" s="7" t="inlineStr">
        <is>
          <t>2021 International Tables, Suppl. Tables 1+2 (incl. studies with method deviations)</t>
        </is>
      </c>
      <c r="M191" s="7" t="inlineStr">
        <is>
          <t>median of 1 tested foods, range 57-57</t>
        </is>
      </c>
      <c r="N191" s="6" t="n">
        <v>57</v>
      </c>
      <c r="O191" s="7" t="inlineStr">
        <is>
          <t>Atkinson FS, Brand-Miller JC, Foster-Powell K, Buyken AE, Goletzke J. International tables of glycemic index and glycemic load values 2021. Am J Clin Nutr 2021;114(5):1625-32. doi:10.1093/ajcn/nqab233</t>
        </is>
      </c>
      <c r="P191" s="7" t="inlineStr">
        <is>
          <t>USDA FoodData Central (SR Legacy / Foundation Foods), fdc.nal.usda.gov</t>
        </is>
      </c>
      <c r="Q191" s="6" t="inlineStr">
        <is>
          <t>2026-09-26</t>
        </is>
      </c>
    </row>
    <row r="192">
      <c r="A192" s="6" t="inlineStr">
        <is>
          <t>plum</t>
        </is>
      </c>
      <c r="B192" s="6" t="inlineStr">
        <is>
          <t>Plum</t>
        </is>
      </c>
      <c r="C192" s="6" t="inlineStr">
        <is>
          <t>fruit</t>
        </is>
      </c>
      <c r="D192" s="6" t="n">
        <v>46</v>
      </c>
      <c r="E192" s="6" t="n">
        <v>0.7</v>
      </c>
      <c r="F192" s="6" t="n">
        <v>0.3</v>
      </c>
      <c r="G192" s="6" t="n">
        <v>11.4</v>
      </c>
      <c r="H192" s="6" t="n">
        <v>1.4</v>
      </c>
      <c r="I192" s="6" t="n">
        <v>10</v>
      </c>
      <c r="J192" s="6" t="n">
        <v>32</v>
      </c>
      <c r="K192" s="6" t="inlineStr">
        <is>
          <t>medium</t>
        </is>
      </c>
      <c r="L192" s="7" t="inlineStr">
        <is>
          <t>2021 International Tables, Suppl. Tables 1+2 (incl. studies with method deviations)</t>
        </is>
      </c>
      <c r="M192" s="7" t="inlineStr">
        <is>
          <t>median of 3 tested foods, range 24-53</t>
        </is>
      </c>
      <c r="N192" s="6" t="n">
        <v>32</v>
      </c>
      <c r="O192" s="7" t="inlineStr">
        <is>
          <t>Atkinson FS, Brand-Miller JC, Foster-Powell K, Buyken AE, Goletzke J. International tables of glycemic index and glycemic load values 2021. Am J Clin Nutr 2021;114(5):1625-32. doi:10.1093/ajcn/nqab233</t>
        </is>
      </c>
      <c r="P192" s="7" t="inlineStr">
        <is>
          <t>USDA FoodData Central (SR Legacy / Foundation Foods), fdc.nal.usda.gov</t>
        </is>
      </c>
      <c r="Q192" s="6" t="inlineStr">
        <is>
          <t>2026-09-26</t>
        </is>
      </c>
    </row>
    <row r="193">
      <c r="A193" s="6" t="inlineStr">
        <is>
          <t>cherries</t>
        </is>
      </c>
      <c r="B193" s="6" t="inlineStr">
        <is>
          <t>Cherries, pitted</t>
        </is>
      </c>
      <c r="C193" s="6" t="inlineStr">
        <is>
          <t>fruit</t>
        </is>
      </c>
      <c r="D193" s="6" t="n">
        <v>63</v>
      </c>
      <c r="E193" s="6" t="n">
        <v>1.1</v>
      </c>
      <c r="F193" s="6" t="n">
        <v>0.2</v>
      </c>
      <c r="G193" s="6" t="n">
        <v>16</v>
      </c>
      <c r="H193" s="6" t="n">
        <v>2.1</v>
      </c>
      <c r="I193" s="6" t="n">
        <v>13.9</v>
      </c>
      <c r="J193" s="6" t="n">
        <v>29</v>
      </c>
      <c r="K193" s="6" t="inlineStr">
        <is>
          <t>medium</t>
        </is>
      </c>
      <c r="L193" s="7" t="inlineStr">
        <is>
          <t>2021 International Tables, Suppl. Tables 1+2 (incl. studies with method deviations)</t>
        </is>
      </c>
      <c r="M193" s="7" t="inlineStr">
        <is>
          <t>median of 3 tested foods, range 22-63</t>
        </is>
      </c>
      <c r="N193" s="6" t="n">
        <v>29</v>
      </c>
      <c r="O193" s="7" t="inlineStr">
        <is>
          <t>Atkinson FS, Brand-Miller JC, Foster-Powell K, Buyken AE, Goletzke J. International tables of glycemic index and glycemic load values 2021. Am J Clin Nutr 2021;114(5):1625-32. doi:10.1093/ajcn/nqab233</t>
        </is>
      </c>
      <c r="P193" s="7" t="inlineStr">
        <is>
          <t>USDA FoodData Central (SR Legacy / Foundation Foods), fdc.nal.usda.gov</t>
        </is>
      </c>
      <c r="Q193" s="6" t="inlineStr">
        <is>
          <t>2026-09-26</t>
        </is>
      </c>
    </row>
    <row r="194">
      <c r="A194" s="6" t="inlineStr">
        <is>
          <t>kiwi</t>
        </is>
      </c>
      <c r="B194" s="6" t="inlineStr">
        <is>
          <t>Kiwi</t>
        </is>
      </c>
      <c r="C194" s="6" t="inlineStr">
        <is>
          <t>fruit</t>
        </is>
      </c>
      <c r="D194" s="6" t="n">
        <v>61</v>
      </c>
      <c r="E194" s="6" t="n">
        <v>1.1</v>
      </c>
      <c r="F194" s="6" t="n">
        <v>0.5</v>
      </c>
      <c r="G194" s="6" t="n">
        <v>14.7</v>
      </c>
      <c r="H194" s="6" t="n">
        <v>3</v>
      </c>
      <c r="I194" s="6" t="n">
        <v>11.7</v>
      </c>
      <c r="J194" s="6" t="n">
        <v>50</v>
      </c>
      <c r="K194" s="6" t="inlineStr">
        <is>
          <t>medium</t>
        </is>
      </c>
      <c r="L194" s="7" t="inlineStr">
        <is>
          <t>2021 International Tables, Suppl. Tables 1+2 (incl. studies with method deviations)</t>
        </is>
      </c>
      <c r="M194" s="7" t="inlineStr">
        <is>
          <t>median of 4 tested foods, range 47-58</t>
        </is>
      </c>
      <c r="N194" s="6" t="n">
        <v>47</v>
      </c>
      <c r="O194" s="7" t="inlineStr">
        <is>
          <t>Atkinson FS, Brand-Miller JC, Foster-Powell K, Buyken AE, Goletzke J. International tables of glycemic index and glycemic load values 2021. Am J Clin Nutr 2021;114(5):1625-32. doi:10.1093/ajcn/nqab233</t>
        </is>
      </c>
      <c r="P194" s="7" t="inlineStr">
        <is>
          <t>USDA FoodData Central (SR Legacy / Foundation Foods), fdc.nal.usda.gov</t>
        </is>
      </c>
      <c r="Q194" s="6" t="inlineStr">
        <is>
          <t>2026-09-26</t>
        </is>
      </c>
    </row>
    <row r="195">
      <c r="A195" s="6" t="inlineStr">
        <is>
          <t>banana</t>
        </is>
      </c>
      <c r="B195" s="6" t="inlineStr">
        <is>
          <t>Banana (small amount)</t>
        </is>
      </c>
      <c r="C195" s="6" t="inlineStr">
        <is>
          <t>fruit</t>
        </is>
      </c>
      <c r="D195" s="6" t="n">
        <v>89</v>
      </c>
      <c r="E195" s="6" t="n">
        <v>1.1</v>
      </c>
      <c r="F195" s="6" t="n">
        <v>0.3</v>
      </c>
      <c r="G195" s="6" t="n">
        <v>23</v>
      </c>
      <c r="H195" s="6" t="n">
        <v>2.6</v>
      </c>
      <c r="I195" s="6" t="n">
        <v>20.4</v>
      </c>
      <c r="J195" s="6" t="n">
        <v>51</v>
      </c>
      <c r="K195" s="6" t="inlineStr">
        <is>
          <t>high</t>
        </is>
      </c>
      <c r="L195" s="7" t="inlineStr">
        <is>
          <t>2021 International Tables, Suppl. Table 1 (ISO 26642:2010-compliant studies)</t>
        </is>
      </c>
      <c r="M195" s="7" t="inlineStr">
        <is>
          <t>median of 6 tested foods, range 47-61</t>
        </is>
      </c>
      <c r="N195" s="6" t="n">
        <v>55</v>
      </c>
      <c r="O195" s="7" t="inlineStr">
        <is>
          <t>Atkinson FS, Brand-Miller JC, Foster-Powell K, Buyken AE, Goletzke J. International tables of glycemic index and glycemic load values 2021. Am J Clin Nutr 2021;114(5):1625-32. doi:10.1093/ajcn/nqab233</t>
        </is>
      </c>
      <c r="P195" s="7" t="inlineStr">
        <is>
          <t>USDA FoodData Central (SR Legacy / Foundation Foods), fdc.nal.usda.gov</t>
        </is>
      </c>
      <c r="Q195" s="6" t="inlineStr">
        <is>
          <t>2026-09-26</t>
        </is>
      </c>
    </row>
    <row r="196">
      <c r="A196" s="6" t="inlineStr">
        <is>
          <t>mango</t>
        </is>
      </c>
      <c r="B196" s="6" t="inlineStr">
        <is>
          <t>Mango</t>
        </is>
      </c>
      <c r="C196" s="6" t="inlineStr">
        <is>
          <t>fruit</t>
        </is>
      </c>
      <c r="D196" s="6" t="n">
        <v>60</v>
      </c>
      <c r="E196" s="6" t="n">
        <v>0.8</v>
      </c>
      <c r="F196" s="6" t="n">
        <v>0.4</v>
      </c>
      <c r="G196" s="6" t="n">
        <v>15</v>
      </c>
      <c r="H196" s="6" t="n">
        <v>1.6</v>
      </c>
      <c r="I196" s="6" t="n">
        <v>13.4</v>
      </c>
      <c r="J196" s="6" t="n">
        <v>42</v>
      </c>
      <c r="K196" s="6" t="inlineStr">
        <is>
          <t>high</t>
        </is>
      </c>
      <c r="L196" s="7" t="inlineStr">
        <is>
          <t>2021 International Tables, Suppl. Table 1 (ISO 26642:2010-compliant studies)</t>
        </is>
      </c>
      <c r="M196" s="7" t="inlineStr">
        <is>
          <t>median of 3 tested foods, range 33-48</t>
        </is>
      </c>
      <c r="N196" s="6" t="n">
        <v>42</v>
      </c>
      <c r="O196" s="7" t="inlineStr">
        <is>
          <t>Atkinson FS, Brand-Miller JC, Foster-Powell K, Buyken AE, Goletzke J. International tables of glycemic index and glycemic load values 2021. Am J Clin Nutr 2021;114(5):1625-32. doi:10.1093/ajcn/nqab233</t>
        </is>
      </c>
      <c r="P196" s="7" t="inlineStr">
        <is>
          <t>USDA FoodData Central (SR Legacy / Foundation Foods), fdc.nal.usda.gov</t>
        </is>
      </c>
      <c r="Q196" s="6" t="inlineStr">
        <is>
          <t>2026-09-26</t>
        </is>
      </c>
    </row>
    <row r="197">
      <c r="A197" s="6" t="inlineStr">
        <is>
          <t>pineapple</t>
        </is>
      </c>
      <c r="B197" s="6" t="inlineStr">
        <is>
          <t>Pineapple</t>
        </is>
      </c>
      <c r="C197" s="6" t="inlineStr">
        <is>
          <t>fruit</t>
        </is>
      </c>
      <c r="D197" s="6" t="n">
        <v>50</v>
      </c>
      <c r="E197" s="6" t="n">
        <v>0.5</v>
      </c>
      <c r="F197" s="6" t="n">
        <v>0.1</v>
      </c>
      <c r="G197" s="6" t="n">
        <v>13</v>
      </c>
      <c r="H197" s="6" t="n">
        <v>1.4</v>
      </c>
      <c r="I197" s="6" t="n">
        <v>11.6</v>
      </c>
      <c r="J197" s="6" t="n">
        <v>70</v>
      </c>
      <c r="K197" s="6" t="inlineStr">
        <is>
          <t>medium</t>
        </is>
      </c>
      <c r="L197" s="7" t="inlineStr">
        <is>
          <t>2021 International Tables, Suppl. Tables 1+2 (incl. studies with method deviations)</t>
        </is>
      </c>
      <c r="M197" s="7" t="inlineStr">
        <is>
          <t>median of 5 tested foods, range 39-82</t>
        </is>
      </c>
      <c r="N197" s="6" t="n">
        <v>70</v>
      </c>
      <c r="O197" s="7" t="inlineStr">
        <is>
          <t>Atkinson FS, Brand-Miller JC, Foster-Powell K, Buyken AE, Goletzke J. International tables of glycemic index and glycemic load values 2021. Am J Clin Nutr 2021;114(5):1625-32. doi:10.1093/ajcn/nqab233</t>
        </is>
      </c>
      <c r="P197" s="7" t="inlineStr">
        <is>
          <t>USDA FoodData Central (SR Legacy / Foundation Foods), fdc.nal.usda.gov</t>
        </is>
      </c>
      <c r="Q197" s="6" t="inlineStr">
        <is>
          <t>2026-09-26</t>
        </is>
      </c>
    </row>
    <row r="198">
      <c r="A198" s="6" t="inlineStr">
        <is>
          <t>pomegranate</t>
        </is>
      </c>
      <c r="B198" s="6" t="inlineStr">
        <is>
          <t>Pomegranate arils</t>
        </is>
      </c>
      <c r="C198" s="6" t="inlineStr">
        <is>
          <t>fruit</t>
        </is>
      </c>
      <c r="D198" s="6" t="n">
        <v>83</v>
      </c>
      <c r="E198" s="6" t="n">
        <v>1.7</v>
      </c>
      <c r="F198" s="6" t="n">
        <v>1.2</v>
      </c>
      <c r="G198" s="6" t="n">
        <v>19</v>
      </c>
      <c r="H198" s="6" t="n">
        <v>4</v>
      </c>
      <c r="I198" s="6" t="n">
        <v>15</v>
      </c>
      <c r="J198" s="6" t="n">
        <v>53</v>
      </c>
      <c r="K198" s="6" t="inlineStr">
        <is>
          <t>low</t>
        </is>
      </c>
      <c r="L198" s="7" t="inlineStr">
        <is>
          <t>Estimated from the closest tested food; no direct measurement found in the pooled sources</t>
        </is>
      </c>
      <c r="M198" s="7" t="inlineStr">
        <is>
          <t>no direct match</t>
        </is>
      </c>
      <c r="N198" s="6" t="n">
        <v>53</v>
      </c>
      <c r="O19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98" s="7" t="inlineStr">
        <is>
          <t>USDA FoodData Central (SR Legacy / Foundation Foods), fdc.nal.usda.gov</t>
        </is>
      </c>
      <c r="Q198" s="6" t="inlineStr">
        <is>
          <t>2026-09-26</t>
        </is>
      </c>
    </row>
    <row r="199">
      <c r="A199" s="6" t="inlineStr">
        <is>
          <t>cranberries</t>
        </is>
      </c>
      <c r="B199" s="6" t="inlineStr">
        <is>
          <t>Cranberries, fresh</t>
        </is>
      </c>
      <c r="C199" s="6" t="inlineStr">
        <is>
          <t>fruit</t>
        </is>
      </c>
      <c r="D199" s="6" t="n">
        <v>46</v>
      </c>
      <c r="E199" s="6" t="n">
        <v>0.4</v>
      </c>
      <c r="F199" s="6" t="n">
        <v>0.1</v>
      </c>
      <c r="G199" s="6" t="n">
        <v>12</v>
      </c>
      <c r="H199" s="6" t="n">
        <v>4.6</v>
      </c>
      <c r="I199" s="6" t="n">
        <v>7.4</v>
      </c>
      <c r="J199" s="6" t="n">
        <v>45</v>
      </c>
      <c r="K199" s="6" t="inlineStr">
        <is>
          <t>low</t>
        </is>
      </c>
      <c r="L199" s="7" t="inlineStr">
        <is>
          <t>Estimated from the closest tested food; no direct measurement found in the pooled sources</t>
        </is>
      </c>
      <c r="M199" s="7" t="inlineStr">
        <is>
          <t>no direct match</t>
        </is>
      </c>
      <c r="N199" s="6" t="n">
        <v>45</v>
      </c>
      <c r="O19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199" s="7" t="inlineStr">
        <is>
          <t>USDA FoodData Central (SR Legacy / Foundation Foods), fdc.nal.usda.gov</t>
        </is>
      </c>
      <c r="Q199" s="6" t="inlineStr">
        <is>
          <t>2026-09-26</t>
        </is>
      </c>
    </row>
    <row r="200">
      <c r="A200" s="6" t="inlineStr">
        <is>
          <t>applesauce</t>
        </is>
      </c>
      <c r="B200" s="6" t="inlineStr">
        <is>
          <t>Applesauce, unsweetened</t>
        </is>
      </c>
      <c r="C200" s="6" t="inlineStr">
        <is>
          <t>fruit</t>
        </is>
      </c>
      <c r="D200" s="6" t="n">
        <v>42</v>
      </c>
      <c r="E200" s="6" t="n">
        <v>0.2</v>
      </c>
      <c r="F200" s="6" t="n">
        <v>0.1</v>
      </c>
      <c r="G200" s="6" t="n">
        <v>11</v>
      </c>
      <c r="H200" s="6" t="n">
        <v>1.1</v>
      </c>
      <c r="I200" s="6" t="n">
        <v>9.9</v>
      </c>
      <c r="J200" s="6" t="n">
        <v>40</v>
      </c>
      <c r="K200" s="6" t="inlineStr">
        <is>
          <t>low</t>
        </is>
      </c>
      <c r="L200" s="7" t="inlineStr">
        <is>
          <t>Estimated from the closest tested food; no direct measurement found in the pooled sources</t>
        </is>
      </c>
      <c r="M200" s="7" t="inlineStr">
        <is>
          <t>no direct match</t>
        </is>
      </c>
      <c r="N200" s="6" t="n">
        <v>40</v>
      </c>
      <c r="O20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00" s="7" t="inlineStr">
        <is>
          <t>USDA FoodData Central (SR Legacy / Foundation Foods), fdc.nal.usda.gov</t>
        </is>
      </c>
      <c r="Q200" s="6" t="inlineStr">
        <is>
          <t>2026-09-26</t>
        </is>
      </c>
    </row>
    <row r="201">
      <c r="A201" s="6" t="inlineStr">
        <is>
          <t>dates</t>
        </is>
      </c>
      <c r="B201" s="6" t="inlineStr">
        <is>
          <t>Medjool dates (small amount)</t>
        </is>
      </c>
      <c r="C201" s="6" t="inlineStr">
        <is>
          <t>fruit</t>
        </is>
      </c>
      <c r="D201" s="6" t="n">
        <v>277</v>
      </c>
      <c r="E201" s="6" t="n">
        <v>1.8</v>
      </c>
      <c r="F201" s="6" t="n">
        <v>0.2</v>
      </c>
      <c r="G201" s="6" t="n">
        <v>75</v>
      </c>
      <c r="H201" s="6" t="n">
        <v>6.7</v>
      </c>
      <c r="I201" s="6" t="n">
        <v>68.3</v>
      </c>
      <c r="J201" s="6" t="n">
        <v>54</v>
      </c>
      <c r="K201" s="6" t="inlineStr">
        <is>
          <t>high</t>
        </is>
      </c>
      <c r="L201" s="7" t="inlineStr">
        <is>
          <t>2021 International Tables, Suppl. Table 1 (ISO 26642:2010-compliant studies)</t>
        </is>
      </c>
      <c r="M201" s="7" t="inlineStr">
        <is>
          <t>median of 30 tested foods, range 37-75</t>
        </is>
      </c>
      <c r="N201" s="6" t="n">
        <v>54</v>
      </c>
      <c r="O201" s="7" t="inlineStr">
        <is>
          <t>Atkinson FS, Brand-Miller JC, Foster-Powell K, Buyken AE, Goletzke J. International tables of glycemic index and glycemic load values 2021. Am J Clin Nutr 2021;114(5):1625-32. doi:10.1093/ajcn/nqab233</t>
        </is>
      </c>
      <c r="P201" s="7" t="inlineStr">
        <is>
          <t>USDA FoodData Central (SR Legacy / Foundation Foods), fdc.nal.usda.gov</t>
        </is>
      </c>
      <c r="Q201" s="6" t="inlineStr">
        <is>
          <t>2026-09-26</t>
        </is>
      </c>
    </row>
    <row r="202">
      <c r="A202" s="6" t="inlineStr">
        <is>
          <t>coconut_shredded</t>
        </is>
      </c>
      <c r="B202" s="6" t="inlineStr">
        <is>
          <t>Coconut, unsweetened shredded</t>
        </is>
      </c>
      <c r="C202" s="6" t="inlineStr">
        <is>
          <t>nut</t>
        </is>
      </c>
      <c r="D202" s="6" t="n">
        <v>660</v>
      </c>
      <c r="E202" s="6" t="n">
        <v>7</v>
      </c>
      <c r="F202" s="6" t="n">
        <v>65</v>
      </c>
      <c r="G202" s="6" t="n">
        <v>24</v>
      </c>
      <c r="H202" s="6" t="n">
        <v>16</v>
      </c>
      <c r="I202" s="6" t="n">
        <v>8</v>
      </c>
      <c r="J202" s="6" t="n">
        <v>45</v>
      </c>
      <c r="K202" s="6" t="inlineStr">
        <is>
          <t>low</t>
        </is>
      </c>
      <c r="L202" s="7" t="inlineStr">
        <is>
          <t>Estimated from the closest tested food; no direct measurement found in the pooled sources</t>
        </is>
      </c>
      <c r="M202" s="7" t="inlineStr">
        <is>
          <t>no direct match</t>
        </is>
      </c>
      <c r="N202" s="6" t="n">
        <v>45</v>
      </c>
      <c r="O20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02" s="7" t="inlineStr">
        <is>
          <t>USDA FoodData Central (SR Legacy / Foundation Foods), fdc.nal.usda.gov</t>
        </is>
      </c>
      <c r="Q202" s="6" t="inlineStr">
        <is>
          <t>2026-09-26</t>
        </is>
      </c>
    </row>
    <row r="203">
      <c r="A203" s="6" t="inlineStr">
        <is>
          <t>quinoa</t>
        </is>
      </c>
      <c r="B203" s="6" t="inlineStr">
        <is>
          <t>Quinoa, cooked</t>
        </is>
      </c>
      <c r="C203" s="6" t="inlineStr">
        <is>
          <t>grain</t>
        </is>
      </c>
      <c r="D203" s="6" t="n">
        <v>120</v>
      </c>
      <c r="E203" s="6" t="n">
        <v>4.4</v>
      </c>
      <c r="F203" s="6" t="n">
        <v>1.9</v>
      </c>
      <c r="G203" s="6" t="n">
        <v>21</v>
      </c>
      <c r="H203" s="6" t="n">
        <v>2.8</v>
      </c>
      <c r="I203" s="6" t="n">
        <v>18.2</v>
      </c>
      <c r="J203" s="6" t="n">
        <v>53</v>
      </c>
      <c r="K203" s="6" t="inlineStr">
        <is>
          <t>high</t>
        </is>
      </c>
      <c r="L203" s="7" t="inlineStr">
        <is>
          <t>2021 International Tables, Suppl. Table 1 (ISO 26642:2010-compliant studies)</t>
        </is>
      </c>
      <c r="M203" s="7" t="inlineStr">
        <is>
          <t>median of 4 tested foods, range 50-54</t>
        </is>
      </c>
      <c r="N203" s="6" t="n">
        <v>53</v>
      </c>
      <c r="O203" s="7" t="inlineStr">
        <is>
          <t>Atkinson FS, Brand-Miller JC, Foster-Powell K, Buyken AE, Goletzke J. International tables of glycemic index and glycemic load values 2021. Am J Clin Nutr 2021;114(5):1625-32. doi:10.1093/ajcn/nqab233</t>
        </is>
      </c>
      <c r="P203" s="7" t="inlineStr">
        <is>
          <t>USDA FoodData Central (SR Legacy / Foundation Foods), fdc.nal.usda.gov</t>
        </is>
      </c>
      <c r="Q203" s="6" t="inlineStr">
        <is>
          <t>2026-09-26</t>
        </is>
      </c>
    </row>
    <row r="204">
      <c r="A204" s="6" t="inlineStr">
        <is>
          <t>brown_rice</t>
        </is>
      </c>
      <c r="B204" s="6" t="inlineStr">
        <is>
          <t>Brown rice, cooked</t>
        </is>
      </c>
      <c r="C204" s="6" t="inlineStr">
        <is>
          <t>grain</t>
        </is>
      </c>
      <c r="D204" s="6" t="n">
        <v>112</v>
      </c>
      <c r="E204" s="6" t="n">
        <v>2.3</v>
      </c>
      <c r="F204" s="6" t="n">
        <v>0.8</v>
      </c>
      <c r="G204" s="6" t="n">
        <v>24</v>
      </c>
      <c r="H204" s="6" t="n">
        <v>1.8</v>
      </c>
      <c r="I204" s="6" t="n">
        <v>22.2</v>
      </c>
      <c r="J204" s="6" t="n">
        <v>68</v>
      </c>
      <c r="K204" s="6" t="inlineStr">
        <is>
          <t>high</t>
        </is>
      </c>
      <c r="L204" s="7" t="inlineStr">
        <is>
          <t>2021 International Tables, Suppl. Table 1 (ISO 26642:2010-compliant studies)</t>
        </is>
      </c>
      <c r="M204" s="7" t="inlineStr">
        <is>
          <t>median of 6 tested foods, range 51-87</t>
        </is>
      </c>
      <c r="N204" s="6" t="n">
        <v>68</v>
      </c>
      <c r="O204" s="7" t="inlineStr">
        <is>
          <t>Atkinson FS, Brand-Miller JC, Foster-Powell K, Buyken AE, Goletzke J. International tables of glycemic index and glycemic load values 2021. Am J Clin Nutr 2021;114(5):1625-32. doi:10.1093/ajcn/nqab233</t>
        </is>
      </c>
      <c r="P204" s="7" t="inlineStr">
        <is>
          <t>USDA FoodData Central (SR Legacy / Foundation Foods), fdc.nal.usda.gov</t>
        </is>
      </c>
      <c r="Q204" s="6" t="inlineStr">
        <is>
          <t>2026-09-26</t>
        </is>
      </c>
    </row>
    <row r="205">
      <c r="A205" s="6" t="inlineStr">
        <is>
          <t>wild_rice</t>
        </is>
      </c>
      <c r="B205" s="6" t="inlineStr">
        <is>
          <t>Wild rice, cooked</t>
        </is>
      </c>
      <c r="C205" s="6" t="inlineStr">
        <is>
          <t>grain</t>
        </is>
      </c>
      <c r="D205" s="6" t="n">
        <v>101</v>
      </c>
      <c r="E205" s="6" t="n">
        <v>4</v>
      </c>
      <c r="F205" s="6" t="n">
        <v>0.3</v>
      </c>
      <c r="G205" s="6" t="n">
        <v>21</v>
      </c>
      <c r="H205" s="6" t="n">
        <v>1.8</v>
      </c>
      <c r="I205" s="6" t="n">
        <v>19.2</v>
      </c>
      <c r="J205" s="6" t="n">
        <v>57</v>
      </c>
      <c r="K205" s="6" t="inlineStr">
        <is>
          <t>low</t>
        </is>
      </c>
      <c r="L205" s="7" t="inlineStr">
        <is>
          <t>Estimated from the closest tested food; no direct measurement found in the pooled sources</t>
        </is>
      </c>
      <c r="M205" s="7" t="inlineStr">
        <is>
          <t>no direct match</t>
        </is>
      </c>
      <c r="N205" s="6" t="n">
        <v>57</v>
      </c>
      <c r="O20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05" s="7" t="inlineStr">
        <is>
          <t>USDA FoodData Central (SR Legacy / Foundation Foods), fdc.nal.usda.gov</t>
        </is>
      </c>
      <c r="Q205" s="6" t="inlineStr">
        <is>
          <t>2026-09-26</t>
        </is>
      </c>
    </row>
    <row r="206">
      <c r="A206" s="6" t="inlineStr">
        <is>
          <t>barley</t>
        </is>
      </c>
      <c r="B206" s="6" t="inlineStr">
        <is>
          <t>Pearl barley, cooked</t>
        </is>
      </c>
      <c r="C206" s="6" t="inlineStr">
        <is>
          <t>grain</t>
        </is>
      </c>
      <c r="D206" s="6" t="n">
        <v>123</v>
      </c>
      <c r="E206" s="6" t="n">
        <v>2.3</v>
      </c>
      <c r="F206" s="6" t="n">
        <v>0.4</v>
      </c>
      <c r="G206" s="6" t="n">
        <v>28</v>
      </c>
      <c r="H206" s="6" t="n">
        <v>3.8</v>
      </c>
      <c r="I206" s="6" t="n">
        <v>24.2</v>
      </c>
      <c r="J206" s="6" t="n">
        <v>44</v>
      </c>
      <c r="K206" s="6" t="inlineStr">
        <is>
          <t>medium</t>
        </is>
      </c>
      <c r="L206" s="7" t="inlineStr">
        <is>
          <t>2021 International Tables, Suppl. Tables 1+2 (incl. studies with method deviations)</t>
        </is>
      </c>
      <c r="M206" s="7" t="inlineStr">
        <is>
          <t>median of 5 tested foods, range 23-58</t>
        </is>
      </c>
      <c r="N206" s="6" t="n">
        <v>44</v>
      </c>
      <c r="O206" s="7" t="inlineStr">
        <is>
          <t>Atkinson FS, Brand-Miller JC, Foster-Powell K, Buyken AE, Goletzke J. International tables of glycemic index and glycemic load values 2021. Am J Clin Nutr 2021;114(5):1625-32. doi:10.1093/ajcn/nqab233</t>
        </is>
      </c>
      <c r="P206" s="7" t="inlineStr">
        <is>
          <t>USDA FoodData Central (SR Legacy / Foundation Foods), fdc.nal.usda.gov</t>
        </is>
      </c>
      <c r="Q206" s="6" t="inlineStr">
        <is>
          <t>2026-09-26</t>
        </is>
      </c>
    </row>
    <row r="207">
      <c r="A207" s="6" t="inlineStr">
        <is>
          <t>farro</t>
        </is>
      </c>
      <c r="B207" s="6" t="inlineStr">
        <is>
          <t>Farro (pearled spelt), cooked</t>
        </is>
      </c>
      <c r="C207" s="6" t="inlineStr">
        <is>
          <t>grain</t>
        </is>
      </c>
      <c r="D207" s="6" t="n">
        <v>130</v>
      </c>
      <c r="E207" s="6" t="n">
        <v>5</v>
      </c>
      <c r="F207" s="6" t="n">
        <v>1</v>
      </c>
      <c r="G207" s="6" t="n">
        <v>26</v>
      </c>
      <c r="H207" s="6" t="n">
        <v>3.5</v>
      </c>
      <c r="I207" s="6" t="n">
        <v>22.5</v>
      </c>
      <c r="J207" s="6" t="n">
        <v>63</v>
      </c>
      <c r="K207" s="6" t="inlineStr">
        <is>
          <t>medium</t>
        </is>
      </c>
      <c r="L207" s="7" t="inlineStr">
        <is>
          <t>2021 International Tables, Suppl. Tables 1+2 (incl. studies with method deviations)</t>
        </is>
      </c>
      <c r="M207" s="7" t="inlineStr">
        <is>
          <t>median of 1 tested foods, range 63-63</t>
        </is>
      </c>
      <c r="N207" s="6" t="n">
        <v>63</v>
      </c>
      <c r="O207" s="7" t="inlineStr">
        <is>
          <t>Atkinson FS, Brand-Miller JC, Foster-Powell K, Buyken AE, Goletzke J. International tables of glycemic index and glycemic load values 2021. Am J Clin Nutr 2021;114(5):1625-32. doi:10.1093/ajcn/nqab233</t>
        </is>
      </c>
      <c r="P207" s="7" t="inlineStr">
        <is>
          <t>USDA FoodData Central (SR Legacy / Foundation Foods), fdc.nal.usda.gov</t>
        </is>
      </c>
      <c r="Q207" s="6" t="inlineStr">
        <is>
          <t>2026-09-26</t>
        </is>
      </c>
    </row>
    <row r="208">
      <c r="A208" s="6" t="inlineStr">
        <is>
          <t>bulgur</t>
        </is>
      </c>
      <c r="B208" s="6" t="inlineStr">
        <is>
          <t>Bulgur, cooked</t>
        </is>
      </c>
      <c r="C208" s="6" t="inlineStr">
        <is>
          <t>grain</t>
        </is>
      </c>
      <c r="D208" s="6" t="n">
        <v>83</v>
      </c>
      <c r="E208" s="6" t="n">
        <v>3.1</v>
      </c>
      <c r="F208" s="6" t="n">
        <v>0.2</v>
      </c>
      <c r="G208" s="6" t="n">
        <v>18.6</v>
      </c>
      <c r="H208" s="6" t="n">
        <v>4.5</v>
      </c>
      <c r="I208" s="6" t="n">
        <v>14.1</v>
      </c>
      <c r="J208" s="6" t="n">
        <v>46</v>
      </c>
      <c r="K208" s="6" t="inlineStr">
        <is>
          <t>medium</t>
        </is>
      </c>
      <c r="L208" s="7" t="inlineStr">
        <is>
          <t>2021 International Tables, Suppl. Tables 1+2 (incl. studies with method deviations)</t>
        </is>
      </c>
      <c r="M208" s="7" t="inlineStr">
        <is>
          <t>median of 4 tested foods, range 46-53</t>
        </is>
      </c>
      <c r="N208" s="6" t="n">
        <v>46</v>
      </c>
      <c r="O208" s="7" t="inlineStr">
        <is>
          <t>Atkinson FS, Brand-Miller JC, Foster-Powell K, Buyken AE, Goletzke J. International tables of glycemic index and glycemic load values 2021. Am J Clin Nutr 2021;114(5):1625-32. doi:10.1093/ajcn/nqab233</t>
        </is>
      </c>
      <c r="P208" s="7" t="inlineStr">
        <is>
          <t>USDA FoodData Central (SR Legacy / Foundation Foods), fdc.nal.usda.gov</t>
        </is>
      </c>
      <c r="Q208" s="6" t="inlineStr">
        <is>
          <t>2026-09-26</t>
        </is>
      </c>
    </row>
    <row r="209">
      <c r="A209" s="6" t="inlineStr">
        <is>
          <t>buckwheat</t>
        </is>
      </c>
      <c r="B209" s="6" t="inlineStr">
        <is>
          <t>Buckwheat groats, cooked</t>
        </is>
      </c>
      <c r="C209" s="6" t="inlineStr">
        <is>
          <t>grain</t>
        </is>
      </c>
      <c r="D209" s="6" t="n">
        <v>92</v>
      </c>
      <c r="E209" s="6" t="n">
        <v>3.4</v>
      </c>
      <c r="F209" s="6" t="n">
        <v>0.6</v>
      </c>
      <c r="G209" s="6" t="n">
        <v>20</v>
      </c>
      <c r="H209" s="6" t="n">
        <v>2.7</v>
      </c>
      <c r="I209" s="6" t="n">
        <v>17.3</v>
      </c>
      <c r="J209" s="6" t="n">
        <v>51</v>
      </c>
      <c r="K209" s="6" t="inlineStr">
        <is>
          <t>medium</t>
        </is>
      </c>
      <c r="L209" s="7" t="inlineStr">
        <is>
          <t>2021 International Tables, Suppl. Tables 1+2 (incl. studies with method deviations)</t>
        </is>
      </c>
      <c r="M209" s="7" t="inlineStr">
        <is>
          <t>median of 4 tested foods, range 46-64</t>
        </is>
      </c>
      <c r="N209" s="6" t="n">
        <v>50</v>
      </c>
      <c r="O209" s="7" t="inlineStr">
        <is>
          <t>Atkinson FS, Brand-Miller JC, Foster-Powell K, Buyken AE, Goletzke J. International tables of glycemic index and glycemic load values 2021. Am J Clin Nutr 2021;114(5):1625-32. doi:10.1093/ajcn/nqab233</t>
        </is>
      </c>
      <c r="P209" s="7" t="inlineStr">
        <is>
          <t>USDA FoodData Central (SR Legacy / Foundation Foods), fdc.nal.usda.gov</t>
        </is>
      </c>
      <c r="Q209" s="6" t="inlineStr">
        <is>
          <t>2026-09-26</t>
        </is>
      </c>
    </row>
    <row r="210">
      <c r="A210" s="6" t="inlineStr">
        <is>
          <t>rolled_oats</t>
        </is>
      </c>
      <c r="B210" s="6" t="inlineStr">
        <is>
          <t>Rolled oats, dry</t>
        </is>
      </c>
      <c r="C210" s="6" t="inlineStr">
        <is>
          <t>grain</t>
        </is>
      </c>
      <c r="D210" s="6" t="n">
        <v>379</v>
      </c>
      <c r="E210" s="6" t="n">
        <v>13</v>
      </c>
      <c r="F210" s="6" t="n">
        <v>6.5</v>
      </c>
      <c r="G210" s="6" t="n">
        <v>68</v>
      </c>
      <c r="H210" s="6" t="n">
        <v>10</v>
      </c>
      <c r="I210" s="6" t="n">
        <v>58</v>
      </c>
      <c r="J210" s="6" t="n">
        <v>57</v>
      </c>
      <c r="K210" s="6" t="inlineStr">
        <is>
          <t>high</t>
        </is>
      </c>
      <c r="L210" s="7" t="inlineStr">
        <is>
          <t>2021 International Tables, Suppl. Table 1 (ISO 26642:2010-compliant studies)</t>
        </is>
      </c>
      <c r="M210" s="7" t="inlineStr">
        <is>
          <t>median of 3 tested foods, range 50-59</t>
        </is>
      </c>
      <c r="N210" s="6" t="n">
        <v>57</v>
      </c>
      <c r="O210" s="7" t="inlineStr">
        <is>
          <t>Atkinson FS, Brand-Miller JC, Foster-Powell K, Buyken AE, Goletzke J. International tables of glycemic index and glycemic load values 2021. Am J Clin Nutr 2021;114(5):1625-32. doi:10.1093/ajcn/nqab233</t>
        </is>
      </c>
      <c r="P210" s="7" t="inlineStr">
        <is>
          <t>USDA FoodData Central (SR Legacy / Foundation Foods), fdc.nal.usda.gov</t>
        </is>
      </c>
      <c r="Q210" s="6" t="inlineStr">
        <is>
          <t>2026-09-26</t>
        </is>
      </c>
    </row>
    <row r="211">
      <c r="A211" s="6" t="inlineStr">
        <is>
          <t>steel_cut_oats</t>
        </is>
      </c>
      <c r="B211" s="6" t="inlineStr">
        <is>
          <t>Steel-cut oats, dry</t>
        </is>
      </c>
      <c r="C211" s="6" t="inlineStr">
        <is>
          <t>grain</t>
        </is>
      </c>
      <c r="D211" s="6" t="n">
        <v>375</v>
      </c>
      <c r="E211" s="6" t="n">
        <v>13</v>
      </c>
      <c r="F211" s="6" t="n">
        <v>6.5</v>
      </c>
      <c r="G211" s="6" t="n">
        <v>67</v>
      </c>
      <c r="H211" s="6" t="n">
        <v>10</v>
      </c>
      <c r="I211" s="6" t="n">
        <v>57</v>
      </c>
      <c r="J211" s="6" t="n">
        <v>52</v>
      </c>
      <c r="K211" s="6" t="inlineStr">
        <is>
          <t>high</t>
        </is>
      </c>
      <c r="L211" s="7" t="inlineStr">
        <is>
          <t>2021 International Tables, Suppl. Table 1 (ISO 26642:2010-compliant studies)</t>
        </is>
      </c>
      <c r="M211" s="7" t="inlineStr">
        <is>
          <t>median of 5 tested foods, range 48-57</t>
        </is>
      </c>
      <c r="N211" s="6" t="n">
        <v>52</v>
      </c>
      <c r="O211" s="7" t="inlineStr">
        <is>
          <t>Atkinson FS, Brand-Miller JC, Foster-Powell K, Buyken AE, Goletzke J. International tables of glycemic index and glycemic load values 2021. Am J Clin Nutr 2021;114(5):1625-32. doi:10.1093/ajcn/nqab233</t>
        </is>
      </c>
      <c r="P211" s="7" t="inlineStr">
        <is>
          <t>USDA FoodData Central (SR Legacy / Foundation Foods), fdc.nal.usda.gov</t>
        </is>
      </c>
      <c r="Q211" s="6" t="inlineStr">
        <is>
          <t>2026-09-26</t>
        </is>
      </c>
    </row>
    <row r="212">
      <c r="A212" s="6" t="inlineStr">
        <is>
          <t>oat_flour</t>
        </is>
      </c>
      <c r="B212" s="6" t="inlineStr">
        <is>
          <t>Oat flour</t>
        </is>
      </c>
      <c r="C212" s="6" t="inlineStr">
        <is>
          <t>grain</t>
        </is>
      </c>
      <c r="D212" s="6" t="n">
        <v>404</v>
      </c>
      <c r="E212" s="6" t="n">
        <v>15</v>
      </c>
      <c r="F212" s="6" t="n">
        <v>9</v>
      </c>
      <c r="G212" s="6" t="n">
        <v>66</v>
      </c>
      <c r="H212" s="6" t="n">
        <v>6.5</v>
      </c>
      <c r="I212" s="6" t="n">
        <v>59.5</v>
      </c>
      <c r="J212" s="6" t="n">
        <v>55</v>
      </c>
      <c r="K212" s="6" t="inlineStr">
        <is>
          <t>low</t>
        </is>
      </c>
      <c r="L212" s="7" t="inlineStr">
        <is>
          <t>Estimated from the closest tested food; no direct measurement found in the pooled sources</t>
        </is>
      </c>
      <c r="M212" s="7" t="inlineStr">
        <is>
          <t>no direct match</t>
        </is>
      </c>
      <c r="N212" s="6" t="n">
        <v>55</v>
      </c>
      <c r="O21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12" s="7" t="inlineStr">
        <is>
          <t>USDA FoodData Central (SR Legacy / Foundation Foods), fdc.nal.usda.gov</t>
        </is>
      </c>
      <c r="Q212" s="6" t="inlineStr">
        <is>
          <t>2026-09-26</t>
        </is>
      </c>
    </row>
    <row r="213">
      <c r="A213" s="6" t="inlineStr">
        <is>
          <t>oat_bran</t>
        </is>
      </c>
      <c r="B213" s="6" t="inlineStr">
        <is>
          <t>Oat bran, dry</t>
        </is>
      </c>
      <c r="C213" s="6" t="inlineStr">
        <is>
          <t>grain</t>
        </is>
      </c>
      <c r="D213" s="6" t="n">
        <v>246</v>
      </c>
      <c r="E213" s="6" t="n">
        <v>17</v>
      </c>
      <c r="F213" s="6" t="n">
        <v>7</v>
      </c>
      <c r="G213" s="6" t="n">
        <v>66</v>
      </c>
      <c r="H213" s="6" t="n">
        <v>15</v>
      </c>
      <c r="I213" s="6" t="n">
        <v>51</v>
      </c>
      <c r="J213" s="6" t="n">
        <v>55</v>
      </c>
      <c r="K213" s="6" t="inlineStr">
        <is>
          <t>medium</t>
        </is>
      </c>
      <c r="L213" s="7" t="inlineStr">
        <is>
          <t>2021 International Tables, Suppl. Tables 1+2 (incl. studies with method deviations)</t>
        </is>
      </c>
      <c r="M213" s="7" t="inlineStr">
        <is>
          <t>median of 2 tested foods, range 51-60</t>
        </is>
      </c>
      <c r="N213" s="6" t="n">
        <v>56</v>
      </c>
      <c r="O213" s="7" t="inlineStr">
        <is>
          <t>Atkinson FS, Brand-Miller JC, Foster-Powell K, Buyken AE, Goletzke J. International tables of glycemic index and glycemic load values 2021. Am J Clin Nutr 2021;114(5):1625-32. doi:10.1093/ajcn/nqab233</t>
        </is>
      </c>
      <c r="P213" s="7" t="inlineStr">
        <is>
          <t>USDA FoodData Central (SR Legacy / Foundation Foods), fdc.nal.usda.gov</t>
        </is>
      </c>
      <c r="Q213" s="6" t="inlineStr">
        <is>
          <t>2026-09-26</t>
        </is>
      </c>
    </row>
    <row r="214">
      <c r="A214" s="6" t="inlineStr">
        <is>
          <t>whole_wheat_pasta</t>
        </is>
      </c>
      <c r="B214" s="6" t="inlineStr">
        <is>
          <t>Whole wheat pasta, cooked al dente</t>
        </is>
      </c>
      <c r="C214" s="6" t="inlineStr">
        <is>
          <t>grain</t>
        </is>
      </c>
      <c r="D214" s="6" t="n">
        <v>124</v>
      </c>
      <c r="E214" s="6" t="n">
        <v>5.3</v>
      </c>
      <c r="F214" s="6" t="n">
        <v>0.5</v>
      </c>
      <c r="G214" s="6" t="n">
        <v>26.5</v>
      </c>
      <c r="H214" s="6" t="n">
        <v>3.9</v>
      </c>
      <c r="I214" s="6" t="n">
        <v>22.6</v>
      </c>
      <c r="J214" s="6" t="n">
        <v>54</v>
      </c>
      <c r="K214" s="6" t="inlineStr">
        <is>
          <t>high</t>
        </is>
      </c>
      <c r="L214" s="7" t="inlineStr">
        <is>
          <t>2021 International Tables, Suppl. Table 1 (ISO 26642:2010-compliant studies)</t>
        </is>
      </c>
      <c r="M214" s="7" t="inlineStr">
        <is>
          <t>median of 2 tested foods, range 45-62</t>
        </is>
      </c>
      <c r="N214" s="6" t="n">
        <v>54</v>
      </c>
      <c r="O214" s="7" t="inlineStr">
        <is>
          <t>Atkinson FS, Brand-Miller JC, Foster-Powell K, Buyken AE, Goletzke J. International tables of glycemic index and glycemic load values 2021. Am J Clin Nutr 2021;114(5):1625-32. doi:10.1093/ajcn/nqab233</t>
        </is>
      </c>
      <c r="P214" s="7" t="inlineStr">
        <is>
          <t>USDA FoodData Central (SR Legacy / Foundation Foods), fdc.nal.usda.gov</t>
        </is>
      </c>
      <c r="Q214" s="6" t="inlineStr">
        <is>
          <t>2026-09-26</t>
        </is>
      </c>
    </row>
    <row r="215">
      <c r="A215" s="6" t="inlineStr">
        <is>
          <t>chickpea_pasta</t>
        </is>
      </c>
      <c r="B215" s="6" t="inlineStr">
        <is>
          <t>Chickpea pasta, cooked</t>
        </is>
      </c>
      <c r="C215" s="6" t="inlineStr">
        <is>
          <t>grain</t>
        </is>
      </c>
      <c r="D215" s="6" t="n">
        <v>165</v>
      </c>
      <c r="E215" s="6" t="n">
        <v>12</v>
      </c>
      <c r="F215" s="6" t="n">
        <v>3</v>
      </c>
      <c r="G215" s="6" t="n">
        <v>27</v>
      </c>
      <c r="H215" s="6" t="n">
        <v>6</v>
      </c>
      <c r="I215" s="6" t="n">
        <v>21</v>
      </c>
      <c r="J215" s="6" t="n">
        <v>30</v>
      </c>
      <c r="K215" s="6" t="inlineStr">
        <is>
          <t>low</t>
        </is>
      </c>
      <c r="L215" s="7" t="inlineStr">
        <is>
          <t>Estimated from the closest tested food; no direct measurement found in the pooled sources</t>
        </is>
      </c>
      <c r="M215" s="7" t="inlineStr">
        <is>
          <t>no direct match</t>
        </is>
      </c>
      <c r="N215" s="6" t="n">
        <v>30</v>
      </c>
      <c r="O21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15" s="7" t="inlineStr">
        <is>
          <t>USDA FoodData Central (SR Legacy / Foundation Foods), fdc.nal.usda.gov</t>
        </is>
      </c>
      <c r="Q215" s="6" t="inlineStr">
        <is>
          <t>2026-09-26</t>
        </is>
      </c>
    </row>
    <row r="216">
      <c r="A216" s="6" t="inlineStr">
        <is>
          <t>lentil_pasta</t>
        </is>
      </c>
      <c r="B216" s="6" t="inlineStr">
        <is>
          <t>Red lentil pasta, cooked</t>
        </is>
      </c>
      <c r="C216" s="6" t="inlineStr">
        <is>
          <t>grain</t>
        </is>
      </c>
      <c r="D216" s="6" t="n">
        <v>160</v>
      </c>
      <c r="E216" s="6" t="n">
        <v>12</v>
      </c>
      <c r="F216" s="6" t="n">
        <v>1.5</v>
      </c>
      <c r="G216" s="6" t="n">
        <v>28</v>
      </c>
      <c r="H216" s="6" t="n">
        <v>5</v>
      </c>
      <c r="I216" s="6" t="n">
        <v>23</v>
      </c>
      <c r="J216" s="6" t="n">
        <v>30</v>
      </c>
      <c r="K216" s="6" t="inlineStr">
        <is>
          <t>medium</t>
        </is>
      </c>
      <c r="L216" s="7" t="inlineStr">
        <is>
          <t>University of Sydney online GI database</t>
        </is>
      </c>
      <c r="M216" s="7" t="inlineStr">
        <is>
          <t>median of 1 tested foods, range 22-22</t>
        </is>
      </c>
      <c r="N216" s="6" t="n">
        <v>22</v>
      </c>
      <c r="O216" s="7" t="inlineStr">
        <is>
          <t>University of Sydney GI database, glycemicindex.com/gi-search (accessed 2026-09-16)</t>
        </is>
      </c>
      <c r="P216" s="7" t="inlineStr">
        <is>
          <t>USDA FoodData Central (SR Legacy / Foundation Foods), fdc.nal.usda.gov</t>
        </is>
      </c>
      <c r="Q216" s="6" t="inlineStr">
        <is>
          <t>2026-09-26</t>
        </is>
      </c>
    </row>
    <row r="217">
      <c r="A217" s="6" t="inlineStr">
        <is>
          <t>soba</t>
        </is>
      </c>
      <c r="B217" s="6" t="inlineStr">
        <is>
          <t>Soba (buckwheat) noodles, cooked</t>
        </is>
      </c>
      <c r="C217" s="6" t="inlineStr">
        <is>
          <t>grain</t>
        </is>
      </c>
      <c r="D217" s="6" t="n">
        <v>99</v>
      </c>
      <c r="E217" s="6" t="n">
        <v>5.1</v>
      </c>
      <c r="F217" s="6" t="n">
        <v>0.1</v>
      </c>
      <c r="G217" s="6" t="n">
        <v>21.4</v>
      </c>
      <c r="H217" s="6" t="n">
        <v>1.5</v>
      </c>
      <c r="I217" s="6" t="n">
        <v>19.9</v>
      </c>
      <c r="J217" s="6" t="n">
        <v>46</v>
      </c>
      <c r="K217" s="6" t="inlineStr">
        <is>
          <t>medium</t>
        </is>
      </c>
      <c r="L217" s="7" t="inlineStr">
        <is>
          <t>University of Sydney online GI database</t>
        </is>
      </c>
      <c r="M217" s="7" t="inlineStr">
        <is>
          <t>median of 1 tested foods, range 59-59</t>
        </is>
      </c>
      <c r="N217" s="6" t="n">
        <v>59</v>
      </c>
      <c r="O217" s="7" t="inlineStr">
        <is>
          <t>University of Sydney GI database, glycemicindex.com/gi-search (accessed 2026-09-16)</t>
        </is>
      </c>
      <c r="P217" s="7" t="inlineStr">
        <is>
          <t>USDA FoodData Central (SR Legacy / Foundation Foods), fdc.nal.usda.gov</t>
        </is>
      </c>
      <c r="Q217" s="6" t="inlineStr">
        <is>
          <t>2026-09-26</t>
        </is>
      </c>
    </row>
    <row r="218">
      <c r="A218" s="6" t="inlineStr">
        <is>
          <t>whole_grain_bread</t>
        </is>
      </c>
      <c r="B218" s="6" t="inlineStr">
        <is>
          <t>Whole wheat bread (100% whole wheat)</t>
        </is>
      </c>
      <c r="C218" s="6" t="inlineStr">
        <is>
          <t>grain</t>
        </is>
      </c>
      <c r="D218" s="6" t="n">
        <v>250</v>
      </c>
      <c r="E218" s="6" t="n">
        <v>12</v>
      </c>
      <c r="F218" s="6" t="n">
        <v>3.5</v>
      </c>
      <c r="G218" s="6" t="n">
        <v>43</v>
      </c>
      <c r="H218" s="6" t="n">
        <v>6.5</v>
      </c>
      <c r="I218" s="6" t="n">
        <v>36.5</v>
      </c>
      <c r="J218" s="6" t="n">
        <v>71</v>
      </c>
      <c r="K218" s="6" t="inlineStr">
        <is>
          <t>high</t>
        </is>
      </c>
      <c r="L218" s="7" t="inlineStr">
        <is>
          <t>2021 International Tables, Suppl. Table 1 (ISO 26642:2010-compliant studies)</t>
        </is>
      </c>
      <c r="M218" s="7" t="inlineStr">
        <is>
          <t>median of 6 tested foods, range 59-88</t>
        </is>
      </c>
      <c r="N218" s="6" t="n">
        <v>67</v>
      </c>
      <c r="O218" s="7" t="inlineStr">
        <is>
          <t>Atkinson FS, Brand-Miller JC, Foster-Powell K, Buyken AE, Goletzke J. International tables of glycemic index and glycemic load values 2021. Am J Clin Nutr 2021;114(5):1625-32. doi:10.1093/ajcn/nqab233</t>
        </is>
      </c>
      <c r="P218" s="7" t="inlineStr">
        <is>
          <t>USDA FoodData Central (SR Legacy / Foundation Foods), fdc.nal.usda.gov</t>
        </is>
      </c>
      <c r="Q218" s="6" t="inlineStr">
        <is>
          <t>2026-09-26</t>
        </is>
      </c>
    </row>
    <row r="219">
      <c r="A219" s="6" t="inlineStr">
        <is>
          <t>ezekiel_bread</t>
        </is>
      </c>
      <c r="B219" s="6" t="inlineStr">
        <is>
          <t>Sprouted grain bread (Ezekiel-style)</t>
        </is>
      </c>
      <c r="C219" s="6" t="inlineStr">
        <is>
          <t>grain</t>
        </is>
      </c>
      <c r="D219" s="6" t="n">
        <v>235</v>
      </c>
      <c r="E219" s="6" t="n">
        <v>12</v>
      </c>
      <c r="F219" s="6" t="n">
        <v>1.5</v>
      </c>
      <c r="G219" s="6" t="n">
        <v>44</v>
      </c>
      <c r="H219" s="6" t="n">
        <v>9</v>
      </c>
      <c r="I219" s="6" t="n">
        <v>35</v>
      </c>
      <c r="J219" s="6" t="n">
        <v>62</v>
      </c>
      <c r="K219" s="6" t="inlineStr">
        <is>
          <t>high</t>
        </is>
      </c>
      <c r="L219" s="7" t="inlineStr">
        <is>
          <t>2021 International Tables, Suppl. Table 1 (ISO 26642:2010-compliant studies)</t>
        </is>
      </c>
      <c r="M219" s="7" t="inlineStr">
        <is>
          <t>median of 4 tested foods, range 55-67</t>
        </is>
      </c>
      <c r="N219" s="6" t="n">
        <v>62</v>
      </c>
      <c r="O219" s="7" t="inlineStr">
        <is>
          <t>Atkinson FS, Brand-Miller JC, Foster-Powell K, Buyken AE, Goletzke J. International tables of glycemic index and glycemic load values 2021. Am J Clin Nutr 2021;114(5):1625-32. doi:10.1093/ajcn/nqab233</t>
        </is>
      </c>
      <c r="P219" s="7" t="inlineStr">
        <is>
          <t>USDA FoodData Central (SR Legacy / Foundation Foods), fdc.nal.usda.gov</t>
        </is>
      </c>
      <c r="Q219" s="6" t="inlineStr">
        <is>
          <t>2026-09-26</t>
        </is>
      </c>
    </row>
    <row r="220">
      <c r="A220" s="6" t="inlineStr">
        <is>
          <t>rye_bread</t>
        </is>
      </c>
      <c r="B220" s="6" t="inlineStr">
        <is>
          <t>Pumpernickel / whole rye bread</t>
        </is>
      </c>
      <c r="C220" s="6" t="inlineStr">
        <is>
          <t>grain</t>
        </is>
      </c>
      <c r="D220" s="6" t="n">
        <v>250</v>
      </c>
      <c r="E220" s="6" t="n">
        <v>8.699999999999999</v>
      </c>
      <c r="F220" s="6" t="n">
        <v>3.1</v>
      </c>
      <c r="G220" s="6" t="n">
        <v>47</v>
      </c>
      <c r="H220" s="6" t="n">
        <v>6.5</v>
      </c>
      <c r="I220" s="6" t="n">
        <v>40.5</v>
      </c>
      <c r="J220" s="6" t="n">
        <v>50</v>
      </c>
      <c r="K220" s="6" t="inlineStr">
        <is>
          <t>medium</t>
        </is>
      </c>
      <c r="L220" s="7" t="inlineStr">
        <is>
          <t>2021 International Tables, Suppl. Tables 1+2 (incl. studies with method deviations)</t>
        </is>
      </c>
      <c r="M220" s="7" t="inlineStr">
        <is>
          <t>median of 9 tested foods, range 41-65</t>
        </is>
      </c>
      <c r="N220" s="6" t="n">
        <v>52</v>
      </c>
      <c r="O220" s="7" t="inlineStr">
        <is>
          <t>Atkinson FS, Brand-Miller JC, Foster-Powell K, Buyken AE, Goletzke J. International tables of glycemic index and glycemic load values 2021. Am J Clin Nutr 2021;114(5):1625-32. doi:10.1093/ajcn/nqab233</t>
        </is>
      </c>
      <c r="P220" s="7" t="inlineStr">
        <is>
          <t>USDA FoodData Central (SR Legacy / Foundation Foods), fdc.nal.usda.gov</t>
        </is>
      </c>
      <c r="Q220" s="6" t="inlineStr">
        <is>
          <t>2026-09-26</t>
        </is>
      </c>
    </row>
    <row r="221">
      <c r="A221" s="6" t="inlineStr">
        <is>
          <t>low_carb_tortilla</t>
        </is>
      </c>
      <c r="B221" s="6" t="inlineStr">
        <is>
          <t>Low-carb high-fiber tortilla</t>
        </is>
      </c>
      <c r="C221" s="6" t="inlineStr">
        <is>
          <t>grain</t>
        </is>
      </c>
      <c r="D221" s="6" t="n">
        <v>250</v>
      </c>
      <c r="E221" s="6" t="n">
        <v>12</v>
      </c>
      <c r="F221" s="6" t="n">
        <v>8</v>
      </c>
      <c r="G221" s="6" t="n">
        <v>40</v>
      </c>
      <c r="H221" s="6" t="n">
        <v>25</v>
      </c>
      <c r="I221" s="6" t="n">
        <v>15</v>
      </c>
      <c r="J221" s="6" t="n">
        <v>30</v>
      </c>
      <c r="K221" s="6" t="inlineStr">
        <is>
          <t>low</t>
        </is>
      </c>
      <c r="L221" s="7" t="inlineStr">
        <is>
          <t>Estimated from the closest tested food; no direct measurement found in the pooled sources</t>
        </is>
      </c>
      <c r="M221" s="7" t="inlineStr">
        <is>
          <t>no direct match</t>
        </is>
      </c>
      <c r="N221" s="6" t="n">
        <v>30</v>
      </c>
      <c r="O22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21" s="7" t="inlineStr">
        <is>
          <t>USDA FoodData Central (SR Legacy / Foundation Foods), fdc.nal.usda.gov</t>
        </is>
      </c>
      <c r="Q221" s="6" t="inlineStr">
        <is>
          <t>2026-09-26</t>
        </is>
      </c>
    </row>
    <row r="222">
      <c r="A222" s="6" t="inlineStr">
        <is>
          <t>corn_tortilla</t>
        </is>
      </c>
      <c r="B222" s="6" t="inlineStr">
        <is>
          <t>Corn tortilla</t>
        </is>
      </c>
      <c r="C222" s="6" t="inlineStr">
        <is>
          <t>grain</t>
        </is>
      </c>
      <c r="D222" s="6" t="n">
        <v>218</v>
      </c>
      <c r="E222" s="6" t="n">
        <v>5.7</v>
      </c>
      <c r="F222" s="6" t="n">
        <v>2.9</v>
      </c>
      <c r="G222" s="6" t="n">
        <v>45</v>
      </c>
      <c r="H222" s="6" t="n">
        <v>6.3</v>
      </c>
      <c r="I222" s="6" t="n">
        <v>38.7</v>
      </c>
      <c r="J222" s="6" t="n">
        <v>52</v>
      </c>
      <c r="K222" s="6" t="inlineStr">
        <is>
          <t>medium</t>
        </is>
      </c>
      <c r="L222" s="7" t="inlineStr">
        <is>
          <t>2021 International Tables, Suppl. Tables 1+2 (incl. studies with method deviations)</t>
        </is>
      </c>
      <c r="M222" s="7" t="inlineStr">
        <is>
          <t>median of 3 tested foods, range 52-60</t>
        </is>
      </c>
      <c r="N222" s="6" t="n">
        <v>54</v>
      </c>
      <c r="O222" s="7" t="inlineStr">
        <is>
          <t>Atkinson FS, Brand-Miller JC, Foster-Powell K, Buyken AE, Goletzke J. International tables of glycemic index and glycemic load values 2021. Am J Clin Nutr 2021;114(5):1625-32. doi:10.1093/ajcn/nqab233</t>
        </is>
      </c>
      <c r="P222" s="7" t="inlineStr">
        <is>
          <t>USDA FoodData Central (SR Legacy / Foundation Foods), fdc.nal.usda.gov</t>
        </is>
      </c>
      <c r="Q222" s="6" t="inlineStr">
        <is>
          <t>2026-09-26</t>
        </is>
      </c>
    </row>
    <row r="223">
      <c r="A223" s="6" t="inlineStr">
        <is>
          <t>whole_wheat_pita</t>
        </is>
      </c>
      <c r="B223" s="6" t="inlineStr">
        <is>
          <t>Whole wheat pita</t>
        </is>
      </c>
      <c r="C223" s="6" t="inlineStr">
        <is>
          <t>grain</t>
        </is>
      </c>
      <c r="D223" s="6" t="n">
        <v>266</v>
      </c>
      <c r="E223" s="6" t="n">
        <v>10</v>
      </c>
      <c r="F223" s="6" t="n">
        <v>2.6</v>
      </c>
      <c r="G223" s="6" t="n">
        <v>55</v>
      </c>
      <c r="H223" s="6" t="n">
        <v>7.4</v>
      </c>
      <c r="I223" s="6" t="n">
        <v>47.6</v>
      </c>
      <c r="J223" s="6" t="n">
        <v>57</v>
      </c>
      <c r="K223" s="6" t="inlineStr">
        <is>
          <t>medium</t>
        </is>
      </c>
      <c r="L223" s="7" t="inlineStr">
        <is>
          <t>2021 International Tables, Suppl. Tables 1+2 (incl. studies with method deviations)</t>
        </is>
      </c>
      <c r="M223" s="7" t="inlineStr">
        <is>
          <t>median of 1 tested foods, range 56-56</t>
        </is>
      </c>
      <c r="N223" s="6" t="n">
        <v>56</v>
      </c>
      <c r="O223" s="7" t="inlineStr">
        <is>
          <t>Atkinson FS, Brand-Miller JC, Foster-Powell K, Buyken AE, Goletzke J. International tables of glycemic index and glycemic load values 2021. Am J Clin Nutr 2021;114(5):1625-32. doi:10.1093/ajcn/nqab233</t>
        </is>
      </c>
      <c r="P223" s="7" t="inlineStr">
        <is>
          <t>USDA FoodData Central (SR Legacy / Foundation Foods), fdc.nal.usda.gov</t>
        </is>
      </c>
      <c r="Q223" s="6" t="inlineStr">
        <is>
          <t>2026-09-26</t>
        </is>
      </c>
    </row>
    <row r="224">
      <c r="A224" s="6" t="inlineStr">
        <is>
          <t>whole_wheat_english_muffin</t>
        </is>
      </c>
      <c r="B224" s="6" t="inlineStr">
        <is>
          <t>Whole wheat English muffin</t>
        </is>
      </c>
      <c r="C224" s="6" t="inlineStr">
        <is>
          <t>grain</t>
        </is>
      </c>
      <c r="D224" s="6" t="n">
        <v>220</v>
      </c>
      <c r="E224" s="6" t="n">
        <v>9</v>
      </c>
      <c r="F224" s="6" t="n">
        <v>2</v>
      </c>
      <c r="G224" s="6" t="n">
        <v>45</v>
      </c>
      <c r="H224" s="6" t="n">
        <v>7</v>
      </c>
      <c r="I224" s="6" t="n">
        <v>38</v>
      </c>
      <c r="J224" s="6" t="n">
        <v>45</v>
      </c>
      <c r="K224" s="6" t="inlineStr">
        <is>
          <t>medium</t>
        </is>
      </c>
      <c r="L224" s="7" t="inlineStr">
        <is>
          <t>2021 International Tables, Suppl. Tables 1+2 (incl. studies with method deviations)</t>
        </is>
      </c>
      <c r="M224" s="7" t="inlineStr">
        <is>
          <t>median of 1 tested foods, range 45-45</t>
        </is>
      </c>
      <c r="N224" s="6" t="n">
        <v>45</v>
      </c>
      <c r="O224" s="7" t="inlineStr">
        <is>
          <t>Atkinson FS, Brand-Miller JC, Foster-Powell K, Buyken AE, Goletzke J. International tables of glycemic index and glycemic load values 2021. Am J Clin Nutr 2021;114(5):1625-32. doi:10.1093/ajcn/nqab233</t>
        </is>
      </c>
      <c r="P224" s="7" t="inlineStr">
        <is>
          <t>USDA FoodData Central (SR Legacy / Foundation Foods), fdc.nal.usda.gov</t>
        </is>
      </c>
      <c r="Q224" s="6" t="inlineStr">
        <is>
          <t>2026-09-26</t>
        </is>
      </c>
    </row>
    <row r="225">
      <c r="A225" s="6" t="inlineStr">
        <is>
          <t>whole_grain_crackers</t>
        </is>
      </c>
      <c r="B225" s="6" t="inlineStr">
        <is>
          <t>Whole grain seed crackers</t>
        </is>
      </c>
      <c r="C225" s="6" t="inlineStr">
        <is>
          <t>grain</t>
        </is>
      </c>
      <c r="D225" s="6" t="n">
        <v>420</v>
      </c>
      <c r="E225" s="6" t="n">
        <v>10</v>
      </c>
      <c r="F225" s="6" t="n">
        <v>14</v>
      </c>
      <c r="G225" s="6" t="n">
        <v>66</v>
      </c>
      <c r="H225" s="6" t="n">
        <v>10</v>
      </c>
      <c r="I225" s="6" t="n">
        <v>56</v>
      </c>
      <c r="J225" s="6" t="n">
        <v>55</v>
      </c>
      <c r="K225" s="6" t="inlineStr">
        <is>
          <t>high</t>
        </is>
      </c>
      <c r="L225" s="7" t="inlineStr">
        <is>
          <t>2021 International Tables, Suppl. Table 1 (ISO 26642:2010-compliant studies)</t>
        </is>
      </c>
      <c r="M225" s="7" t="inlineStr">
        <is>
          <t>median of 2 tested foods, range 53-53</t>
        </is>
      </c>
      <c r="N225" s="6" t="n">
        <v>53</v>
      </c>
      <c r="O225" s="7" t="inlineStr">
        <is>
          <t>Atkinson FS, Brand-Miller JC, Foster-Powell K, Buyken AE, Goletzke J. International tables of glycemic index and glycemic load values 2021. Am J Clin Nutr 2021;114(5):1625-32. doi:10.1093/ajcn/nqab233</t>
        </is>
      </c>
      <c r="P225" s="7" t="inlineStr">
        <is>
          <t>USDA FoodData Central (SR Legacy / Foundation Foods), fdc.nal.usda.gov</t>
        </is>
      </c>
      <c r="Q225" s="6" t="inlineStr">
        <is>
          <t>2026-09-26</t>
        </is>
      </c>
    </row>
    <row r="226">
      <c r="A226" s="6" t="inlineStr">
        <is>
          <t>popcorn</t>
        </is>
      </c>
      <c r="B226" s="6" t="inlineStr">
        <is>
          <t>Popcorn, air-popped</t>
        </is>
      </c>
      <c r="C226" s="6" t="inlineStr">
        <is>
          <t>grain</t>
        </is>
      </c>
      <c r="D226" s="6" t="n">
        <v>387</v>
      </c>
      <c r="E226" s="6" t="n">
        <v>13</v>
      </c>
      <c r="F226" s="6" t="n">
        <v>4.5</v>
      </c>
      <c r="G226" s="6" t="n">
        <v>78</v>
      </c>
      <c r="H226" s="6" t="n">
        <v>14.5</v>
      </c>
      <c r="I226" s="6" t="n">
        <v>63.5</v>
      </c>
      <c r="J226" s="6" t="n">
        <v>70</v>
      </c>
      <c r="K226" s="6" t="inlineStr">
        <is>
          <t>medium</t>
        </is>
      </c>
      <c r="L226" s="7" t="inlineStr">
        <is>
          <t>2021 International Tables, Suppl. Tables 1+2 (incl. studies with method deviations)</t>
        </is>
      </c>
      <c r="M226" s="7" t="inlineStr">
        <is>
          <t>median of 3 tested foods, range 55-89</t>
        </is>
      </c>
      <c r="N226" s="6" t="n">
        <v>70</v>
      </c>
      <c r="O226" s="7" t="inlineStr">
        <is>
          <t>Atkinson FS, Brand-Miller JC, Foster-Powell K, Buyken AE, Goletzke J. International tables of glycemic index and glycemic load values 2021. Am J Clin Nutr 2021;114(5):1625-32. doi:10.1093/ajcn/nqab233</t>
        </is>
      </c>
      <c r="P226" s="7" t="inlineStr">
        <is>
          <t>USDA FoodData Central (SR Legacy / Foundation Foods), fdc.nal.usda.gov</t>
        </is>
      </c>
      <c r="Q226" s="6" t="inlineStr">
        <is>
          <t>2026-09-26</t>
        </is>
      </c>
    </row>
    <row r="227">
      <c r="A227" s="6" t="inlineStr">
        <is>
          <t>almond_flour</t>
        </is>
      </c>
      <c r="B227" s="6" t="inlineStr">
        <is>
          <t>Almond flour</t>
        </is>
      </c>
      <c r="C227" s="6" t="inlineStr">
        <is>
          <t>nut</t>
        </is>
      </c>
      <c r="D227" s="6" t="n">
        <v>590</v>
      </c>
      <c r="E227" s="6" t="n">
        <v>21</v>
      </c>
      <c r="F227" s="6" t="n">
        <v>50</v>
      </c>
      <c r="G227" s="6" t="n">
        <v>21</v>
      </c>
      <c r="H227" s="6" t="n">
        <v>12</v>
      </c>
      <c r="I227" s="6" t="n">
        <v>9</v>
      </c>
      <c r="J227" s="6" t="n">
        <v>15</v>
      </c>
      <c r="K227" s="6" t="inlineStr">
        <is>
          <t>none (placeholder)</t>
        </is>
      </c>
      <c r="L227" s="7" t="inlineStr">
        <is>
          <t>Conventional placeholder for foods with too little carbohydrate to test (non-starchy vegetables, nuts, seeds, herbs); no published measurement exists</t>
        </is>
      </c>
      <c r="M227" s="7" t="inlineStr">
        <is>
          <t>not measurable</t>
        </is>
      </c>
      <c r="N227" s="6" t="n">
        <v>15</v>
      </c>
      <c r="O227" s="7" t="inlineStr">
        <is>
          <t>clinical convention</t>
        </is>
      </c>
      <c r="P227" s="7" t="inlineStr">
        <is>
          <t>USDA FoodData Central (SR Legacy / Foundation Foods), fdc.nal.usda.gov</t>
        </is>
      </c>
      <c r="Q227" s="6" t="inlineStr">
        <is>
          <t>2026-09-26</t>
        </is>
      </c>
    </row>
    <row r="228">
      <c r="A228" s="6" t="inlineStr">
        <is>
          <t>coconut_flour</t>
        </is>
      </c>
      <c r="B228" s="6" t="inlineStr">
        <is>
          <t>Coconut flour</t>
        </is>
      </c>
      <c r="C228" s="6" t="inlineStr">
        <is>
          <t>nut</t>
        </is>
      </c>
      <c r="D228" s="6" t="n">
        <v>400</v>
      </c>
      <c r="E228" s="6" t="n">
        <v>18</v>
      </c>
      <c r="F228" s="6" t="n">
        <v>13</v>
      </c>
      <c r="G228" s="6" t="n">
        <v>60</v>
      </c>
      <c r="H228" s="6" t="n">
        <v>38</v>
      </c>
      <c r="I228" s="6" t="n">
        <v>22</v>
      </c>
      <c r="J228" s="6" t="n">
        <v>45</v>
      </c>
      <c r="K228" s="6" t="inlineStr">
        <is>
          <t>low</t>
        </is>
      </c>
      <c r="L228" s="7" t="inlineStr">
        <is>
          <t>Estimated from the closest tested food; no direct measurement found in the pooled sources</t>
        </is>
      </c>
      <c r="M228" s="7" t="inlineStr">
        <is>
          <t>no direct match</t>
        </is>
      </c>
      <c r="N228" s="6" t="n">
        <v>45</v>
      </c>
      <c r="O22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28" s="7" t="inlineStr">
        <is>
          <t>USDA FoodData Central (SR Legacy / Foundation Foods), fdc.nal.usda.gov</t>
        </is>
      </c>
      <c r="Q228" s="6" t="inlineStr">
        <is>
          <t>2026-09-26</t>
        </is>
      </c>
    </row>
    <row r="229">
      <c r="A229" s="6" t="inlineStr">
        <is>
          <t>arrowroot</t>
        </is>
      </c>
      <c r="B229" s="6" t="inlineStr">
        <is>
          <t>Arrowroot starch</t>
        </is>
      </c>
      <c r="C229" s="6" t="inlineStr">
        <is>
          <t>grain</t>
        </is>
      </c>
      <c r="D229" s="6" t="n">
        <v>357</v>
      </c>
      <c r="E229" s="6" t="n">
        <v>0.3</v>
      </c>
      <c r="F229" s="6" t="n">
        <v>0.1</v>
      </c>
      <c r="G229" s="6" t="n">
        <v>88</v>
      </c>
      <c r="H229" s="6" t="n">
        <v>3.4</v>
      </c>
      <c r="I229" s="6" t="n">
        <v>84.59999999999999</v>
      </c>
      <c r="J229" s="6" t="n">
        <v>65</v>
      </c>
      <c r="K229" s="6" t="inlineStr">
        <is>
          <t>medium</t>
        </is>
      </c>
      <c r="L229" s="7" t="inlineStr">
        <is>
          <t>2021 International Tables, Suppl. Tables 1+2 (incl. studies with method deviations)</t>
        </is>
      </c>
      <c r="M229" s="7" t="inlineStr">
        <is>
          <t>median of 2 tested foods, range 62-64</t>
        </is>
      </c>
      <c r="N229" s="6" t="n">
        <v>63</v>
      </c>
      <c r="O229" s="7" t="inlineStr">
        <is>
          <t>Atkinson FS, Brand-Miller JC, Foster-Powell K, Buyken AE, Goletzke J. International tables of glycemic index and glycemic load values 2021. Am J Clin Nutr 2021;114(5):1625-32. doi:10.1093/ajcn/nqab233</t>
        </is>
      </c>
      <c r="P229" s="7" t="inlineStr">
        <is>
          <t>USDA FoodData Central (SR Legacy / Foundation Foods), fdc.nal.usda.gov</t>
        </is>
      </c>
      <c r="Q229" s="6" t="inlineStr">
        <is>
          <t>2026-09-26</t>
        </is>
      </c>
    </row>
    <row r="230">
      <c r="A230" s="6" t="inlineStr">
        <is>
          <t>psyllium</t>
        </is>
      </c>
      <c r="B230" s="6" t="inlineStr">
        <is>
          <t>Psyllium husk</t>
        </is>
      </c>
      <c r="C230" s="6" t="inlineStr">
        <is>
          <t>grain</t>
        </is>
      </c>
      <c r="D230" s="6" t="n">
        <v>42</v>
      </c>
      <c r="E230" s="6" t="n">
        <v>1.5</v>
      </c>
      <c r="F230" s="6" t="n">
        <v>0</v>
      </c>
      <c r="G230" s="6" t="n">
        <v>90</v>
      </c>
      <c r="H230" s="6" t="n">
        <v>88</v>
      </c>
      <c r="I230" s="6" t="n">
        <v>2</v>
      </c>
      <c r="J230" s="6" t="n">
        <v>0</v>
      </c>
      <c r="K230" s="6" t="inlineStr">
        <is>
          <t>low</t>
        </is>
      </c>
      <c r="L230" s="7" t="inlineStr">
        <is>
          <t>Estimated from the closest tested food; no direct measurement found in the pooled sources</t>
        </is>
      </c>
      <c r="M230" s="7" t="inlineStr">
        <is>
          <t>no direct match</t>
        </is>
      </c>
      <c r="N230" s="6" t="inlineStr"/>
      <c r="O23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30" s="7" t="inlineStr">
        <is>
          <t>USDA FoodData Central (SR Legacy / Foundation Foods), fdc.nal.usda.gov</t>
        </is>
      </c>
      <c r="Q230" s="6" t="inlineStr">
        <is>
          <t>2026-09-26</t>
        </is>
      </c>
    </row>
    <row r="231">
      <c r="A231" s="6" t="inlineStr">
        <is>
          <t>almonds</t>
        </is>
      </c>
      <c r="B231" s="6" t="inlineStr">
        <is>
          <t>Almonds</t>
        </is>
      </c>
      <c r="C231" s="6" t="inlineStr">
        <is>
          <t>nut</t>
        </is>
      </c>
      <c r="D231" s="6" t="n">
        <v>579</v>
      </c>
      <c r="E231" s="6" t="n">
        <v>21</v>
      </c>
      <c r="F231" s="6" t="n">
        <v>50</v>
      </c>
      <c r="G231" s="6" t="n">
        <v>22</v>
      </c>
      <c r="H231" s="6" t="n">
        <v>12.5</v>
      </c>
      <c r="I231" s="6" t="n">
        <v>9.5</v>
      </c>
      <c r="J231" s="6" t="n">
        <v>15</v>
      </c>
      <c r="K231" s="6" t="inlineStr">
        <is>
          <t>none (placeholder)</t>
        </is>
      </c>
      <c r="L231" s="7" t="inlineStr">
        <is>
          <t>Conventional placeholder for foods with too little carbohydrate to test (non-starchy vegetables, nuts, seeds, herbs); no published measurement exists</t>
        </is>
      </c>
      <c r="M231" s="7" t="inlineStr">
        <is>
          <t>not measurable</t>
        </is>
      </c>
      <c r="N231" s="6" t="n">
        <v>15</v>
      </c>
      <c r="O231" s="7" t="inlineStr">
        <is>
          <t>clinical convention</t>
        </is>
      </c>
      <c r="P231" s="7" t="inlineStr">
        <is>
          <t>USDA FoodData Central (SR Legacy / Foundation Foods), fdc.nal.usda.gov</t>
        </is>
      </c>
      <c r="Q231" s="6" t="inlineStr">
        <is>
          <t>2026-09-26</t>
        </is>
      </c>
    </row>
    <row r="232">
      <c r="A232" s="6" t="inlineStr">
        <is>
          <t>walnuts</t>
        </is>
      </c>
      <c r="B232" s="6" t="inlineStr">
        <is>
          <t>Walnuts</t>
        </is>
      </c>
      <c r="C232" s="6" t="inlineStr">
        <is>
          <t>nut</t>
        </is>
      </c>
      <c r="D232" s="6" t="n">
        <v>654</v>
      </c>
      <c r="E232" s="6" t="n">
        <v>15</v>
      </c>
      <c r="F232" s="6" t="n">
        <v>65</v>
      </c>
      <c r="G232" s="6" t="n">
        <v>14</v>
      </c>
      <c r="H232" s="6" t="n">
        <v>6.7</v>
      </c>
      <c r="I232" s="6" t="n">
        <v>7.3</v>
      </c>
      <c r="J232" s="6" t="n">
        <v>15</v>
      </c>
      <c r="K232" s="6" t="inlineStr">
        <is>
          <t>none (placeholder)</t>
        </is>
      </c>
      <c r="L232" s="7" t="inlineStr">
        <is>
          <t>Conventional placeholder for foods with too little carbohydrate to test (non-starchy vegetables, nuts, seeds, herbs); no published measurement exists</t>
        </is>
      </c>
      <c r="M232" s="7" t="inlineStr">
        <is>
          <t>not measurable</t>
        </is>
      </c>
      <c r="N232" s="6" t="n">
        <v>15</v>
      </c>
      <c r="O232" s="7" t="inlineStr">
        <is>
          <t>clinical convention</t>
        </is>
      </c>
      <c r="P232" s="7" t="inlineStr">
        <is>
          <t>USDA FoodData Central (SR Legacy / Foundation Foods), fdc.nal.usda.gov</t>
        </is>
      </c>
      <c r="Q232" s="6" t="inlineStr">
        <is>
          <t>2026-09-26</t>
        </is>
      </c>
    </row>
    <row r="233">
      <c r="A233" s="6" t="inlineStr">
        <is>
          <t>pecans</t>
        </is>
      </c>
      <c r="B233" s="6" t="inlineStr">
        <is>
          <t>Pecans</t>
        </is>
      </c>
      <c r="C233" s="6" t="inlineStr">
        <is>
          <t>nut</t>
        </is>
      </c>
      <c r="D233" s="6" t="n">
        <v>691</v>
      </c>
      <c r="E233" s="6" t="n">
        <v>9</v>
      </c>
      <c r="F233" s="6" t="n">
        <v>72</v>
      </c>
      <c r="G233" s="6" t="n">
        <v>14</v>
      </c>
      <c r="H233" s="6" t="n">
        <v>9.6</v>
      </c>
      <c r="I233" s="6" t="n">
        <v>4.4</v>
      </c>
      <c r="J233" s="6" t="n">
        <v>15</v>
      </c>
      <c r="K233" s="6" t="inlineStr">
        <is>
          <t>none (placeholder)</t>
        </is>
      </c>
      <c r="L233" s="7" t="inlineStr">
        <is>
          <t>Conventional placeholder for foods with too little carbohydrate to test (non-starchy vegetables, nuts, seeds, herbs); no published measurement exists</t>
        </is>
      </c>
      <c r="M233" s="7" t="inlineStr">
        <is>
          <t>not measurable</t>
        </is>
      </c>
      <c r="N233" s="6" t="inlineStr"/>
      <c r="O233" s="7" t="inlineStr">
        <is>
          <t>clinical convention</t>
        </is>
      </c>
      <c r="P233" s="7" t="inlineStr">
        <is>
          <t>USDA FoodData Central (SR Legacy / Foundation Foods), fdc.nal.usda.gov</t>
        </is>
      </c>
      <c r="Q233" s="6" t="inlineStr">
        <is>
          <t>2026-09-26</t>
        </is>
      </c>
    </row>
    <row r="234">
      <c r="A234" s="6" t="inlineStr">
        <is>
          <t>pistachios</t>
        </is>
      </c>
      <c r="B234" s="6" t="inlineStr">
        <is>
          <t>Pistachios, shelled</t>
        </is>
      </c>
      <c r="C234" s="6" t="inlineStr">
        <is>
          <t>nut</t>
        </is>
      </c>
      <c r="D234" s="6" t="n">
        <v>560</v>
      </c>
      <c r="E234" s="6" t="n">
        <v>20</v>
      </c>
      <c r="F234" s="6" t="n">
        <v>45</v>
      </c>
      <c r="G234" s="6" t="n">
        <v>28</v>
      </c>
      <c r="H234" s="6" t="n">
        <v>10.6</v>
      </c>
      <c r="I234" s="6" t="n">
        <v>17.4</v>
      </c>
      <c r="J234" s="6" t="n">
        <v>28</v>
      </c>
      <c r="K234" s="6" t="inlineStr">
        <is>
          <t>medium</t>
        </is>
      </c>
      <c r="L234" s="7" t="inlineStr">
        <is>
          <t>2021 International Tables, Suppl. Tables 1+2 (incl. studies with method deviations)</t>
        </is>
      </c>
      <c r="M234" s="7" t="inlineStr">
        <is>
          <t>median of 1 tested foods, range 28-28</t>
        </is>
      </c>
      <c r="N234" s="6" t="n">
        <v>28</v>
      </c>
      <c r="O234" s="7" t="inlineStr">
        <is>
          <t>Atkinson FS, Brand-Miller JC, Foster-Powell K, Buyken AE, Goletzke J. International tables of glycemic index and glycemic load values 2021. Am J Clin Nutr 2021;114(5):1625-32. doi:10.1093/ajcn/nqab233</t>
        </is>
      </c>
      <c r="P234" s="7" t="inlineStr">
        <is>
          <t>USDA FoodData Central (SR Legacy / Foundation Foods), fdc.nal.usda.gov</t>
        </is>
      </c>
      <c r="Q234" s="6" t="inlineStr">
        <is>
          <t>2026-09-26</t>
        </is>
      </c>
    </row>
    <row r="235">
      <c r="A235" s="6" t="inlineStr">
        <is>
          <t>cashews</t>
        </is>
      </c>
      <c r="B235" s="6" t="inlineStr">
        <is>
          <t>Cashews</t>
        </is>
      </c>
      <c r="C235" s="6" t="inlineStr">
        <is>
          <t>nut</t>
        </is>
      </c>
      <c r="D235" s="6" t="n">
        <v>553</v>
      </c>
      <c r="E235" s="6" t="n">
        <v>18</v>
      </c>
      <c r="F235" s="6" t="n">
        <v>44</v>
      </c>
      <c r="G235" s="6" t="n">
        <v>30</v>
      </c>
      <c r="H235" s="6" t="n">
        <v>3.3</v>
      </c>
      <c r="I235" s="6" t="n">
        <v>26.7</v>
      </c>
      <c r="J235" s="6" t="n">
        <v>27</v>
      </c>
      <c r="K235" s="6" t="inlineStr">
        <is>
          <t>medium</t>
        </is>
      </c>
      <c r="L235" s="7" t="inlineStr">
        <is>
          <t>2021 International Tables, Suppl. Tables 1+2 (incl. studies with method deviations)</t>
        </is>
      </c>
      <c r="M235" s="7" t="inlineStr">
        <is>
          <t>median of 1 tested foods, range 27-27</t>
        </is>
      </c>
      <c r="N235" s="6" t="n">
        <v>27</v>
      </c>
      <c r="O235" s="7" t="inlineStr">
        <is>
          <t>Atkinson FS, Brand-Miller JC, Foster-Powell K, Buyken AE, Goletzke J. International tables of glycemic index and glycemic load values 2021. Am J Clin Nutr 2021;114(5):1625-32. doi:10.1093/ajcn/nqab233</t>
        </is>
      </c>
      <c r="P235" s="7" t="inlineStr">
        <is>
          <t>USDA FoodData Central (SR Legacy / Foundation Foods), fdc.nal.usda.gov</t>
        </is>
      </c>
      <c r="Q235" s="6" t="inlineStr">
        <is>
          <t>2026-09-26</t>
        </is>
      </c>
    </row>
    <row r="236">
      <c r="A236" s="6" t="inlineStr">
        <is>
          <t>peanuts</t>
        </is>
      </c>
      <c r="B236" s="6" t="inlineStr">
        <is>
          <t>Peanuts, dry roasted</t>
        </is>
      </c>
      <c r="C236" s="6" t="inlineStr">
        <is>
          <t>nut</t>
        </is>
      </c>
      <c r="D236" s="6" t="n">
        <v>567</v>
      </c>
      <c r="E236" s="6" t="n">
        <v>26</v>
      </c>
      <c r="F236" s="6" t="n">
        <v>49</v>
      </c>
      <c r="G236" s="6" t="n">
        <v>16</v>
      </c>
      <c r="H236" s="6" t="n">
        <v>8.5</v>
      </c>
      <c r="I236" s="6" t="n">
        <v>7.5</v>
      </c>
      <c r="J236" s="6" t="n">
        <v>14</v>
      </c>
      <c r="K236" s="6" t="inlineStr">
        <is>
          <t>medium</t>
        </is>
      </c>
      <c r="L236" s="7" t="inlineStr">
        <is>
          <t>2021 International Tables, Suppl. Tables 1+2 (incl. studies with method deviations)</t>
        </is>
      </c>
      <c r="M236" s="7" t="inlineStr">
        <is>
          <t>median of 6 tested foods, range 5-30</t>
        </is>
      </c>
      <c r="N236" s="6" t="n">
        <v>18</v>
      </c>
      <c r="O236" s="7" t="inlineStr">
        <is>
          <t>Atkinson FS, Brand-Miller JC, Foster-Powell K, Buyken AE, Goletzke J. International tables of glycemic index and glycemic load values 2021. Am J Clin Nutr 2021;114(5):1625-32. doi:10.1093/ajcn/nqab233</t>
        </is>
      </c>
      <c r="P236" s="7" t="inlineStr">
        <is>
          <t>USDA FoodData Central (SR Legacy / Foundation Foods), fdc.nal.usda.gov</t>
        </is>
      </c>
      <c r="Q236" s="6" t="inlineStr">
        <is>
          <t>2026-09-26</t>
        </is>
      </c>
    </row>
    <row r="237">
      <c r="A237" s="6" t="inlineStr">
        <is>
          <t>macadamia</t>
        </is>
      </c>
      <c r="B237" s="6" t="inlineStr">
        <is>
          <t>Macadamia nuts</t>
        </is>
      </c>
      <c r="C237" s="6" t="inlineStr">
        <is>
          <t>nut</t>
        </is>
      </c>
      <c r="D237" s="6" t="n">
        <v>718</v>
      </c>
      <c r="E237" s="6" t="n">
        <v>8</v>
      </c>
      <c r="F237" s="6" t="n">
        <v>76</v>
      </c>
      <c r="G237" s="6" t="n">
        <v>14</v>
      </c>
      <c r="H237" s="6" t="n">
        <v>8.6</v>
      </c>
      <c r="I237" s="6" t="n">
        <v>5.4</v>
      </c>
      <c r="J237" s="6" t="n">
        <v>15</v>
      </c>
      <c r="K237" s="6" t="inlineStr">
        <is>
          <t>none (placeholder)</t>
        </is>
      </c>
      <c r="L237" s="7" t="inlineStr">
        <is>
          <t>Conventional placeholder for foods with too little carbohydrate to test (non-starchy vegetables, nuts, seeds, herbs); no published measurement exists</t>
        </is>
      </c>
      <c r="M237" s="7" t="inlineStr">
        <is>
          <t>not measurable</t>
        </is>
      </c>
      <c r="N237" s="6" t="inlineStr"/>
      <c r="O237" s="7" t="inlineStr">
        <is>
          <t>clinical convention</t>
        </is>
      </c>
      <c r="P237" s="7" t="inlineStr">
        <is>
          <t>USDA FoodData Central (SR Legacy / Foundation Foods), fdc.nal.usda.gov</t>
        </is>
      </c>
      <c r="Q237" s="6" t="inlineStr">
        <is>
          <t>2026-09-26</t>
        </is>
      </c>
    </row>
    <row r="238">
      <c r="A238" s="6" t="inlineStr">
        <is>
          <t>hazelnuts</t>
        </is>
      </c>
      <c r="B238" s="6" t="inlineStr">
        <is>
          <t>Hazelnuts</t>
        </is>
      </c>
      <c r="C238" s="6" t="inlineStr">
        <is>
          <t>nut</t>
        </is>
      </c>
      <c r="D238" s="6" t="n">
        <v>628</v>
      </c>
      <c r="E238" s="6" t="n">
        <v>15</v>
      </c>
      <c r="F238" s="6" t="n">
        <v>61</v>
      </c>
      <c r="G238" s="6" t="n">
        <v>17</v>
      </c>
      <c r="H238" s="6" t="n">
        <v>9.699999999999999</v>
      </c>
      <c r="I238" s="6" t="n">
        <v>7.3</v>
      </c>
      <c r="J238" s="6" t="n">
        <v>15</v>
      </c>
      <c r="K238" s="6" t="inlineStr">
        <is>
          <t>none (placeholder)</t>
        </is>
      </c>
      <c r="L238" s="7" t="inlineStr">
        <is>
          <t>Conventional placeholder for foods with too little carbohydrate to test (non-starchy vegetables, nuts, seeds, herbs); no published measurement exists</t>
        </is>
      </c>
      <c r="M238" s="7" t="inlineStr">
        <is>
          <t>not measurable</t>
        </is>
      </c>
      <c r="N238" s="6" t="inlineStr"/>
      <c r="O238" s="7" t="inlineStr">
        <is>
          <t>clinical convention</t>
        </is>
      </c>
      <c r="P238" s="7" t="inlineStr">
        <is>
          <t>USDA FoodData Central (SR Legacy / Foundation Foods), fdc.nal.usda.gov</t>
        </is>
      </c>
      <c r="Q238" s="6" t="inlineStr">
        <is>
          <t>2026-09-26</t>
        </is>
      </c>
    </row>
    <row r="239">
      <c r="A239" s="6" t="inlineStr">
        <is>
          <t>pine_nuts</t>
        </is>
      </c>
      <c r="B239" s="6" t="inlineStr">
        <is>
          <t>Pine nuts</t>
        </is>
      </c>
      <c r="C239" s="6" t="inlineStr">
        <is>
          <t>nut</t>
        </is>
      </c>
      <c r="D239" s="6" t="n">
        <v>673</v>
      </c>
      <c r="E239" s="6" t="n">
        <v>14</v>
      </c>
      <c r="F239" s="6" t="n">
        <v>68</v>
      </c>
      <c r="G239" s="6" t="n">
        <v>13</v>
      </c>
      <c r="H239" s="6" t="n">
        <v>3.7</v>
      </c>
      <c r="I239" s="6" t="n">
        <v>9.300000000000001</v>
      </c>
      <c r="J239" s="6" t="n">
        <v>15</v>
      </c>
      <c r="K239" s="6" t="inlineStr">
        <is>
          <t>none (placeholder)</t>
        </is>
      </c>
      <c r="L239" s="7" t="inlineStr">
        <is>
          <t>Conventional placeholder for foods with too little carbohydrate to test (non-starchy vegetables, nuts, seeds, herbs); no published measurement exists</t>
        </is>
      </c>
      <c r="M239" s="7" t="inlineStr">
        <is>
          <t>not measurable</t>
        </is>
      </c>
      <c r="N239" s="6" t="inlineStr"/>
      <c r="O239" s="7" t="inlineStr">
        <is>
          <t>clinical convention</t>
        </is>
      </c>
      <c r="P239" s="7" t="inlineStr">
        <is>
          <t>USDA FoodData Central (SR Legacy / Foundation Foods), fdc.nal.usda.gov</t>
        </is>
      </c>
      <c r="Q239" s="6" t="inlineStr">
        <is>
          <t>2026-09-26</t>
        </is>
      </c>
    </row>
    <row r="240">
      <c r="A240" s="6" t="inlineStr">
        <is>
          <t>peanut_butter</t>
        </is>
      </c>
      <c r="B240" s="6" t="inlineStr">
        <is>
          <t>Peanut butter, natural</t>
        </is>
      </c>
      <c r="C240" s="6" t="inlineStr">
        <is>
          <t>nut</t>
        </is>
      </c>
      <c r="D240" s="6" t="n">
        <v>588</v>
      </c>
      <c r="E240" s="6" t="n">
        <v>25</v>
      </c>
      <c r="F240" s="6" t="n">
        <v>50</v>
      </c>
      <c r="G240" s="6" t="n">
        <v>20</v>
      </c>
      <c r="H240" s="6" t="n">
        <v>6</v>
      </c>
      <c r="I240" s="6" t="n">
        <v>14</v>
      </c>
      <c r="J240" s="6" t="n">
        <v>14</v>
      </c>
      <c r="K240" s="6" t="inlineStr">
        <is>
          <t>low</t>
        </is>
      </c>
      <c r="L240" s="7" t="inlineStr">
        <is>
          <t>Estimated from the closest tested food; no direct measurement found in the pooled sources</t>
        </is>
      </c>
      <c r="M240" s="7" t="inlineStr">
        <is>
          <t>no direct match</t>
        </is>
      </c>
      <c r="N240" s="6" t="n">
        <v>14</v>
      </c>
      <c r="O24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40" s="7" t="inlineStr">
        <is>
          <t>USDA FoodData Central (SR Legacy / Foundation Foods), fdc.nal.usda.gov</t>
        </is>
      </c>
      <c r="Q240" s="6" t="inlineStr">
        <is>
          <t>2026-09-26</t>
        </is>
      </c>
    </row>
    <row r="241">
      <c r="A241" s="6" t="inlineStr">
        <is>
          <t>almond_butter</t>
        </is>
      </c>
      <c r="B241" s="6" t="inlineStr">
        <is>
          <t>Almond butter</t>
        </is>
      </c>
      <c r="C241" s="6" t="inlineStr">
        <is>
          <t>nut</t>
        </is>
      </c>
      <c r="D241" s="6" t="n">
        <v>614</v>
      </c>
      <c r="E241" s="6" t="n">
        <v>21</v>
      </c>
      <c r="F241" s="6" t="n">
        <v>56</v>
      </c>
      <c r="G241" s="6" t="n">
        <v>19</v>
      </c>
      <c r="H241" s="6" t="n">
        <v>10</v>
      </c>
      <c r="I241" s="6" t="n">
        <v>9</v>
      </c>
      <c r="J241" s="6" t="n">
        <v>15</v>
      </c>
      <c r="K241" s="6" t="inlineStr">
        <is>
          <t>none (placeholder)</t>
        </is>
      </c>
      <c r="L241" s="7" t="inlineStr">
        <is>
          <t>Conventional placeholder for foods with too little carbohydrate to test (non-starchy vegetables, nuts, seeds, herbs); no published measurement exists</t>
        </is>
      </c>
      <c r="M241" s="7" t="inlineStr">
        <is>
          <t>not measurable</t>
        </is>
      </c>
      <c r="N241" s="6" t="inlineStr"/>
      <c r="O241" s="7" t="inlineStr">
        <is>
          <t>clinical convention</t>
        </is>
      </c>
      <c r="P241" s="7" t="inlineStr">
        <is>
          <t>USDA FoodData Central (SR Legacy / Foundation Foods), fdc.nal.usda.gov</t>
        </is>
      </c>
      <c r="Q241" s="6" t="inlineStr">
        <is>
          <t>2026-09-26</t>
        </is>
      </c>
    </row>
    <row r="242">
      <c r="A242" s="6" t="inlineStr">
        <is>
          <t>tahini</t>
        </is>
      </c>
      <c r="B242" s="6" t="inlineStr">
        <is>
          <t>Tahini</t>
        </is>
      </c>
      <c r="C242" s="6" t="inlineStr">
        <is>
          <t>nut</t>
        </is>
      </c>
      <c r="D242" s="6" t="n">
        <v>595</v>
      </c>
      <c r="E242" s="6" t="n">
        <v>17</v>
      </c>
      <c r="F242" s="6" t="n">
        <v>54</v>
      </c>
      <c r="G242" s="6" t="n">
        <v>21</v>
      </c>
      <c r="H242" s="6" t="n">
        <v>9</v>
      </c>
      <c r="I242" s="6" t="n">
        <v>12</v>
      </c>
      <c r="J242" s="6" t="n">
        <v>40</v>
      </c>
      <c r="K242" s="6" t="inlineStr">
        <is>
          <t>low</t>
        </is>
      </c>
      <c r="L242" s="7" t="inlineStr">
        <is>
          <t>Estimated from the closest tested food; no direct measurement found in the pooled sources</t>
        </is>
      </c>
      <c r="M242" s="7" t="inlineStr">
        <is>
          <t>no direct match</t>
        </is>
      </c>
      <c r="N242" s="6" t="n">
        <v>40</v>
      </c>
      <c r="O24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42" s="7" t="inlineStr">
        <is>
          <t>USDA FoodData Central (SR Legacy / Foundation Foods), fdc.nal.usda.gov</t>
        </is>
      </c>
      <c r="Q242" s="6" t="inlineStr">
        <is>
          <t>2026-09-26</t>
        </is>
      </c>
    </row>
    <row r="243">
      <c r="A243" s="6" t="inlineStr">
        <is>
          <t>chia_seeds</t>
        </is>
      </c>
      <c r="B243" s="6" t="inlineStr">
        <is>
          <t>Chia seeds</t>
        </is>
      </c>
      <c r="C243" s="6" t="inlineStr">
        <is>
          <t>seed</t>
        </is>
      </c>
      <c r="D243" s="6" t="n">
        <v>486</v>
      </c>
      <c r="E243" s="6" t="n">
        <v>17</v>
      </c>
      <c r="F243" s="6" t="n">
        <v>31</v>
      </c>
      <c r="G243" s="6" t="n">
        <v>42</v>
      </c>
      <c r="H243" s="6" t="n">
        <v>34</v>
      </c>
      <c r="I243" s="6" t="n">
        <v>8</v>
      </c>
      <c r="J243" s="6" t="n">
        <v>15</v>
      </c>
      <c r="K243" s="6" t="inlineStr">
        <is>
          <t>none (placeholder)</t>
        </is>
      </c>
      <c r="L243" s="7" t="inlineStr">
        <is>
          <t>Conventional placeholder for foods with too little carbohydrate to test (non-starchy vegetables, nuts, seeds, herbs); no published measurement exists</t>
        </is>
      </c>
      <c r="M243" s="7" t="inlineStr">
        <is>
          <t>not measurable</t>
        </is>
      </c>
      <c r="N243" s="6" t="n">
        <v>15</v>
      </c>
      <c r="O243" s="7" t="inlineStr">
        <is>
          <t>clinical convention</t>
        </is>
      </c>
      <c r="P243" s="7" t="inlineStr">
        <is>
          <t>USDA FoodData Central (SR Legacy / Foundation Foods), fdc.nal.usda.gov</t>
        </is>
      </c>
      <c r="Q243" s="6" t="inlineStr">
        <is>
          <t>2026-09-26</t>
        </is>
      </c>
    </row>
    <row r="244">
      <c r="A244" s="6" t="inlineStr">
        <is>
          <t>flaxseed</t>
        </is>
      </c>
      <c r="B244" s="6" t="inlineStr">
        <is>
          <t>Ground flaxseed</t>
        </is>
      </c>
      <c r="C244" s="6" t="inlineStr">
        <is>
          <t>seed</t>
        </is>
      </c>
      <c r="D244" s="6" t="n">
        <v>534</v>
      </c>
      <c r="E244" s="6" t="n">
        <v>18</v>
      </c>
      <c r="F244" s="6" t="n">
        <v>42</v>
      </c>
      <c r="G244" s="6" t="n">
        <v>29</v>
      </c>
      <c r="H244" s="6" t="n">
        <v>27</v>
      </c>
      <c r="I244" s="6" t="n">
        <v>2</v>
      </c>
      <c r="J244" s="6" t="n">
        <v>15</v>
      </c>
      <c r="K244" s="6" t="inlineStr">
        <is>
          <t>none (placeholder)</t>
        </is>
      </c>
      <c r="L244" s="7" t="inlineStr">
        <is>
          <t>Conventional placeholder for foods with too little carbohydrate to test (non-starchy vegetables, nuts, seeds, herbs); no published measurement exists</t>
        </is>
      </c>
      <c r="M244" s="7" t="inlineStr">
        <is>
          <t>not measurable</t>
        </is>
      </c>
      <c r="N244" s="6" t="n">
        <v>15</v>
      </c>
      <c r="O244" s="7" t="inlineStr">
        <is>
          <t>clinical convention</t>
        </is>
      </c>
      <c r="P244" s="7" t="inlineStr">
        <is>
          <t>USDA FoodData Central (SR Legacy / Foundation Foods), fdc.nal.usda.gov</t>
        </is>
      </c>
      <c r="Q244" s="6" t="inlineStr">
        <is>
          <t>2026-09-26</t>
        </is>
      </c>
    </row>
    <row r="245">
      <c r="A245" s="6" t="inlineStr">
        <is>
          <t>hemp_seeds</t>
        </is>
      </c>
      <c r="B245" s="6" t="inlineStr">
        <is>
          <t>Hemp seeds</t>
        </is>
      </c>
      <c r="C245" s="6" t="inlineStr">
        <is>
          <t>seed</t>
        </is>
      </c>
      <c r="D245" s="6" t="n">
        <v>553</v>
      </c>
      <c r="E245" s="6" t="n">
        <v>32</v>
      </c>
      <c r="F245" s="6" t="n">
        <v>49</v>
      </c>
      <c r="G245" s="6" t="n">
        <v>8.699999999999999</v>
      </c>
      <c r="H245" s="6" t="n">
        <v>4</v>
      </c>
      <c r="I245" s="6" t="n">
        <v>4.7</v>
      </c>
      <c r="J245" s="6" t="n">
        <v>15</v>
      </c>
      <c r="K245" s="6" t="inlineStr">
        <is>
          <t>none (placeholder)</t>
        </is>
      </c>
      <c r="L245" s="7" t="inlineStr">
        <is>
          <t>Conventional placeholder for foods with too little carbohydrate to test (non-starchy vegetables, nuts, seeds, herbs); no published measurement exists</t>
        </is>
      </c>
      <c r="M245" s="7" t="inlineStr">
        <is>
          <t>not measurable</t>
        </is>
      </c>
      <c r="N245" s="6" t="inlineStr"/>
      <c r="O245" s="7" t="inlineStr">
        <is>
          <t>clinical convention</t>
        </is>
      </c>
      <c r="P245" s="7" t="inlineStr">
        <is>
          <t>USDA FoodData Central (SR Legacy / Foundation Foods), fdc.nal.usda.gov</t>
        </is>
      </c>
      <c r="Q245" s="6" t="inlineStr">
        <is>
          <t>2026-09-26</t>
        </is>
      </c>
    </row>
    <row r="246">
      <c r="A246" s="6" t="inlineStr">
        <is>
          <t>sunflower_seeds</t>
        </is>
      </c>
      <c r="B246" s="6" t="inlineStr">
        <is>
          <t>Sunflower seeds</t>
        </is>
      </c>
      <c r="C246" s="6" t="inlineStr">
        <is>
          <t>seed</t>
        </is>
      </c>
      <c r="D246" s="6" t="n">
        <v>584</v>
      </c>
      <c r="E246" s="6" t="n">
        <v>21</v>
      </c>
      <c r="F246" s="6" t="n">
        <v>51</v>
      </c>
      <c r="G246" s="6" t="n">
        <v>20</v>
      </c>
      <c r="H246" s="6" t="n">
        <v>8.6</v>
      </c>
      <c r="I246" s="6" t="n">
        <v>11.4</v>
      </c>
      <c r="J246" s="6" t="n">
        <v>15</v>
      </c>
      <c r="K246" s="6" t="inlineStr">
        <is>
          <t>none (placeholder)</t>
        </is>
      </c>
      <c r="L246" s="7" t="inlineStr">
        <is>
          <t>Conventional placeholder for foods with too little carbohydrate to test (non-starchy vegetables, nuts, seeds, herbs); no published measurement exists</t>
        </is>
      </c>
      <c r="M246" s="7" t="inlineStr">
        <is>
          <t>not measurable</t>
        </is>
      </c>
      <c r="N246" s="6" t="n">
        <v>15</v>
      </c>
      <c r="O246" s="7" t="inlineStr">
        <is>
          <t>clinical convention</t>
        </is>
      </c>
      <c r="P246" s="7" t="inlineStr">
        <is>
          <t>USDA FoodData Central (SR Legacy / Foundation Foods), fdc.nal.usda.gov</t>
        </is>
      </c>
      <c r="Q246" s="6" t="inlineStr">
        <is>
          <t>2026-09-26</t>
        </is>
      </c>
    </row>
    <row r="247">
      <c r="A247" s="6" t="inlineStr">
        <is>
          <t>pumpkin_seeds</t>
        </is>
      </c>
      <c r="B247" s="6" t="inlineStr">
        <is>
          <t>Pumpkin seeds (pepitas)</t>
        </is>
      </c>
      <c r="C247" s="6" t="inlineStr">
        <is>
          <t>seed</t>
        </is>
      </c>
      <c r="D247" s="6" t="n">
        <v>559</v>
      </c>
      <c r="E247" s="6" t="n">
        <v>30</v>
      </c>
      <c r="F247" s="6" t="n">
        <v>49</v>
      </c>
      <c r="G247" s="6" t="n">
        <v>11</v>
      </c>
      <c r="H247" s="6" t="n">
        <v>6</v>
      </c>
      <c r="I247" s="6" t="n">
        <v>5</v>
      </c>
      <c r="J247" s="6" t="n">
        <v>15</v>
      </c>
      <c r="K247" s="6" t="inlineStr">
        <is>
          <t>none (placeholder)</t>
        </is>
      </c>
      <c r="L247" s="7" t="inlineStr">
        <is>
          <t>Conventional placeholder for foods with too little carbohydrate to test (non-starchy vegetables, nuts, seeds, herbs); no published measurement exists</t>
        </is>
      </c>
      <c r="M247" s="7" t="inlineStr">
        <is>
          <t>not measurable</t>
        </is>
      </c>
      <c r="N247" s="6" t="n">
        <v>15</v>
      </c>
      <c r="O247" s="7" t="inlineStr">
        <is>
          <t>clinical convention</t>
        </is>
      </c>
      <c r="P247" s="7" t="inlineStr">
        <is>
          <t>USDA FoodData Central (SR Legacy / Foundation Foods), fdc.nal.usda.gov</t>
        </is>
      </c>
      <c r="Q247" s="6" t="inlineStr">
        <is>
          <t>2026-09-26</t>
        </is>
      </c>
    </row>
    <row r="248">
      <c r="A248" s="6" t="inlineStr">
        <is>
          <t>sesame_seeds</t>
        </is>
      </c>
      <c r="B248" s="6" t="inlineStr">
        <is>
          <t>Sesame seeds</t>
        </is>
      </c>
      <c r="C248" s="6" t="inlineStr">
        <is>
          <t>seed</t>
        </is>
      </c>
      <c r="D248" s="6" t="n">
        <v>573</v>
      </c>
      <c r="E248" s="6" t="n">
        <v>18</v>
      </c>
      <c r="F248" s="6" t="n">
        <v>50</v>
      </c>
      <c r="G248" s="6" t="n">
        <v>23</v>
      </c>
      <c r="H248" s="6" t="n">
        <v>12</v>
      </c>
      <c r="I248" s="6" t="n">
        <v>11</v>
      </c>
      <c r="J248" s="6" t="n">
        <v>35</v>
      </c>
      <c r="K248" s="6" t="inlineStr">
        <is>
          <t>low</t>
        </is>
      </c>
      <c r="L248" s="7" t="inlineStr">
        <is>
          <t>Estimated from the closest tested food; no direct measurement found in the pooled sources</t>
        </is>
      </c>
      <c r="M248" s="7" t="inlineStr">
        <is>
          <t>no direct match</t>
        </is>
      </c>
      <c r="N248" s="6" t="n">
        <v>35</v>
      </c>
      <c r="O24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48" s="7" t="inlineStr">
        <is>
          <t>USDA FoodData Central (SR Legacy / Foundation Foods), fdc.nal.usda.gov</t>
        </is>
      </c>
      <c r="Q248" s="6" t="inlineStr">
        <is>
          <t>2026-09-26</t>
        </is>
      </c>
    </row>
    <row r="249">
      <c r="A249" s="6" t="inlineStr">
        <is>
          <t>olive_oil</t>
        </is>
      </c>
      <c r="B249" s="6" t="inlineStr">
        <is>
          <t>Extra-virgin olive oil</t>
        </is>
      </c>
      <c r="C249" s="6" t="inlineStr">
        <is>
          <t>fat</t>
        </is>
      </c>
      <c r="D249" s="6" t="n">
        <v>884</v>
      </c>
      <c r="E249" s="6" t="n">
        <v>0</v>
      </c>
      <c r="F249" s="6" t="n">
        <v>100</v>
      </c>
      <c r="G249" s="6" t="n">
        <v>0</v>
      </c>
      <c r="H249" s="6" t="n">
        <v>0</v>
      </c>
      <c r="I249" s="6" t="n">
        <v>0</v>
      </c>
      <c r="J249" s="6" t="n">
        <v>0</v>
      </c>
      <c r="K249" s="6" t="inlineStr">
        <is>
          <t>definitional</t>
        </is>
      </c>
      <c r="L249" s="7" t="inlineStr">
        <is>
          <t>No available carbohydrate — GI is 0 by definition (protein / fat / water)</t>
        </is>
      </c>
      <c r="M249" s="7" t="inlineStr">
        <is>
          <t>n/a</t>
        </is>
      </c>
      <c r="N249" s="6" t="inlineStr"/>
      <c r="O249" s="7" t="inlineStr">
        <is>
          <t>ISO 26642:2010</t>
        </is>
      </c>
      <c r="P249" s="7" t="inlineStr">
        <is>
          <t>USDA FoodData Central (SR Legacy / Foundation Foods), fdc.nal.usda.gov</t>
        </is>
      </c>
      <c r="Q249" s="6" t="inlineStr">
        <is>
          <t>2026-09-26</t>
        </is>
      </c>
    </row>
    <row r="250">
      <c r="A250" s="6" t="inlineStr">
        <is>
          <t>avocado_oil</t>
        </is>
      </c>
      <c r="B250" s="6" t="inlineStr">
        <is>
          <t>Avocado oil</t>
        </is>
      </c>
      <c r="C250" s="6" t="inlineStr">
        <is>
          <t>fat</t>
        </is>
      </c>
      <c r="D250" s="6" t="n">
        <v>884</v>
      </c>
      <c r="E250" s="6" t="n">
        <v>0</v>
      </c>
      <c r="F250" s="6" t="n">
        <v>100</v>
      </c>
      <c r="G250" s="6" t="n">
        <v>0</v>
      </c>
      <c r="H250" s="6" t="n">
        <v>0</v>
      </c>
      <c r="I250" s="6" t="n">
        <v>0</v>
      </c>
      <c r="J250" s="6" t="n">
        <v>0</v>
      </c>
      <c r="K250" s="6" t="inlineStr">
        <is>
          <t>definitional</t>
        </is>
      </c>
      <c r="L250" s="7" t="inlineStr">
        <is>
          <t>No available carbohydrate — GI is 0 by definition (protein / fat / water)</t>
        </is>
      </c>
      <c r="M250" s="7" t="inlineStr">
        <is>
          <t>n/a</t>
        </is>
      </c>
      <c r="N250" s="6" t="inlineStr"/>
      <c r="O250" s="7" t="inlineStr">
        <is>
          <t>ISO 26642:2010</t>
        </is>
      </c>
      <c r="P250" s="7" t="inlineStr">
        <is>
          <t>USDA FoodData Central (SR Legacy / Foundation Foods), fdc.nal.usda.gov</t>
        </is>
      </c>
      <c r="Q250" s="6" t="inlineStr">
        <is>
          <t>2026-09-26</t>
        </is>
      </c>
    </row>
    <row r="251">
      <c r="A251" s="6" t="inlineStr">
        <is>
          <t>coconut_oil</t>
        </is>
      </c>
      <c r="B251" s="6" t="inlineStr">
        <is>
          <t>Coconut oil</t>
        </is>
      </c>
      <c r="C251" s="6" t="inlineStr">
        <is>
          <t>fat</t>
        </is>
      </c>
      <c r="D251" s="6" t="n">
        <v>862</v>
      </c>
      <c r="E251" s="6" t="n">
        <v>0</v>
      </c>
      <c r="F251" s="6" t="n">
        <v>100</v>
      </c>
      <c r="G251" s="6" t="n">
        <v>0</v>
      </c>
      <c r="H251" s="6" t="n">
        <v>0</v>
      </c>
      <c r="I251" s="6" t="n">
        <v>0</v>
      </c>
      <c r="J251" s="6" t="n">
        <v>0</v>
      </c>
      <c r="K251" s="6" t="inlineStr">
        <is>
          <t>definitional</t>
        </is>
      </c>
      <c r="L251" s="7" t="inlineStr">
        <is>
          <t>No available carbohydrate — GI is 0 by definition (protein / fat / water)</t>
        </is>
      </c>
      <c r="M251" s="7" t="inlineStr">
        <is>
          <t>n/a</t>
        </is>
      </c>
      <c r="N251" s="6" t="inlineStr"/>
      <c r="O251" s="7" t="inlineStr">
        <is>
          <t>ISO 26642:2010</t>
        </is>
      </c>
      <c r="P251" s="7" t="inlineStr">
        <is>
          <t>USDA FoodData Central (SR Legacy / Foundation Foods), fdc.nal.usda.gov</t>
        </is>
      </c>
      <c r="Q251" s="6" t="inlineStr">
        <is>
          <t>2026-09-26</t>
        </is>
      </c>
    </row>
    <row r="252">
      <c r="A252" s="6" t="inlineStr">
        <is>
          <t>sesame_oil</t>
        </is>
      </c>
      <c r="B252" s="6" t="inlineStr">
        <is>
          <t>Toasted sesame oil</t>
        </is>
      </c>
      <c r="C252" s="6" t="inlineStr">
        <is>
          <t>fat</t>
        </is>
      </c>
      <c r="D252" s="6" t="n">
        <v>884</v>
      </c>
      <c r="E252" s="6" t="n">
        <v>0</v>
      </c>
      <c r="F252" s="6" t="n">
        <v>100</v>
      </c>
      <c r="G252" s="6" t="n">
        <v>0</v>
      </c>
      <c r="H252" s="6" t="n">
        <v>0</v>
      </c>
      <c r="I252" s="6" t="n">
        <v>0</v>
      </c>
      <c r="J252" s="6" t="n">
        <v>0</v>
      </c>
      <c r="K252" s="6" t="inlineStr">
        <is>
          <t>definitional</t>
        </is>
      </c>
      <c r="L252" s="7" t="inlineStr">
        <is>
          <t>No available carbohydrate — GI is 0 by definition (protein / fat / water)</t>
        </is>
      </c>
      <c r="M252" s="7" t="inlineStr">
        <is>
          <t>n/a</t>
        </is>
      </c>
      <c r="N252" s="6" t="inlineStr"/>
      <c r="O252" s="7" t="inlineStr">
        <is>
          <t>ISO 26642:2010</t>
        </is>
      </c>
      <c r="P252" s="7" t="inlineStr">
        <is>
          <t>USDA FoodData Central (SR Legacy / Foundation Foods), fdc.nal.usda.gov</t>
        </is>
      </c>
      <c r="Q252" s="6" t="inlineStr">
        <is>
          <t>2026-09-26</t>
        </is>
      </c>
    </row>
    <row r="253">
      <c r="A253" s="6" t="inlineStr">
        <is>
          <t>mayo</t>
        </is>
      </c>
      <c r="B253" s="6" t="inlineStr">
        <is>
          <t>Mayonnaise (avocado oil)</t>
        </is>
      </c>
      <c r="C253" s="6" t="inlineStr">
        <is>
          <t>fat</t>
        </is>
      </c>
      <c r="D253" s="6" t="n">
        <v>700</v>
      </c>
      <c r="E253" s="6" t="n">
        <v>0</v>
      </c>
      <c r="F253" s="6" t="n">
        <v>78</v>
      </c>
      <c r="G253" s="6" t="n">
        <v>0</v>
      </c>
      <c r="H253" s="6" t="n">
        <v>0</v>
      </c>
      <c r="I253" s="6" t="n">
        <v>0</v>
      </c>
      <c r="J253" s="6" t="n">
        <v>0</v>
      </c>
      <c r="K253" s="6" t="inlineStr">
        <is>
          <t>definitional</t>
        </is>
      </c>
      <c r="L253" s="7" t="inlineStr">
        <is>
          <t>No available carbohydrate — GI is 0 by definition (protein / fat / water)</t>
        </is>
      </c>
      <c r="M253" s="7" t="inlineStr">
        <is>
          <t>n/a</t>
        </is>
      </c>
      <c r="N253" s="6" t="inlineStr"/>
      <c r="O253" s="7" t="inlineStr">
        <is>
          <t>ISO 26642:2010</t>
        </is>
      </c>
      <c r="P253" s="7" t="inlineStr">
        <is>
          <t>USDA FoodData Central (SR Legacy / Foundation Foods), fdc.nal.usda.gov</t>
        </is>
      </c>
      <c r="Q253" s="6" t="inlineStr">
        <is>
          <t>2026-09-26</t>
        </is>
      </c>
    </row>
    <row r="254">
      <c r="A254" s="6" t="inlineStr">
        <is>
          <t>dijon</t>
        </is>
      </c>
      <c r="B254" s="6" t="inlineStr">
        <is>
          <t>Dijon mustard</t>
        </is>
      </c>
      <c r="C254" s="6" t="inlineStr">
        <is>
          <t>condiment</t>
        </is>
      </c>
      <c r="D254" s="6" t="n">
        <v>66</v>
      </c>
      <c r="E254" s="6" t="n">
        <v>4</v>
      </c>
      <c r="F254" s="6" t="n">
        <v>3.3</v>
      </c>
      <c r="G254" s="6" t="n">
        <v>5</v>
      </c>
      <c r="H254" s="6" t="n">
        <v>3</v>
      </c>
      <c r="I254" s="6" t="n">
        <v>2</v>
      </c>
      <c r="J254" s="6" t="n">
        <v>15</v>
      </c>
      <c r="K254" s="6" t="inlineStr">
        <is>
          <t>none (placeholder)</t>
        </is>
      </c>
      <c r="L254" s="7" t="inlineStr">
        <is>
          <t>Conventional placeholder for foods with too little carbohydrate to test (non-starchy vegetables, nuts, seeds, herbs); no published measurement exists</t>
        </is>
      </c>
      <c r="M254" s="7" t="inlineStr">
        <is>
          <t>not measurable</t>
        </is>
      </c>
      <c r="N254" s="6" t="inlineStr"/>
      <c r="O254" s="7" t="inlineStr">
        <is>
          <t>clinical convention</t>
        </is>
      </c>
      <c r="P254" s="7" t="inlineStr">
        <is>
          <t>USDA FoodData Central (SR Legacy / Foundation Foods), fdc.nal.usda.gov</t>
        </is>
      </c>
      <c r="Q254" s="6" t="inlineStr">
        <is>
          <t>2026-09-26</t>
        </is>
      </c>
    </row>
    <row r="255">
      <c r="A255" s="6" t="inlineStr">
        <is>
          <t>yellow_mustard</t>
        </is>
      </c>
      <c r="B255" s="6" t="inlineStr">
        <is>
          <t>Yellow mustard</t>
        </is>
      </c>
      <c r="C255" s="6" t="inlineStr">
        <is>
          <t>condiment</t>
        </is>
      </c>
      <c r="D255" s="6" t="n">
        <v>60</v>
      </c>
      <c r="E255" s="6" t="n">
        <v>4</v>
      </c>
      <c r="F255" s="6" t="n">
        <v>3</v>
      </c>
      <c r="G255" s="6" t="n">
        <v>5</v>
      </c>
      <c r="H255" s="6" t="n">
        <v>3</v>
      </c>
      <c r="I255" s="6" t="n">
        <v>2</v>
      </c>
      <c r="J255" s="6" t="n">
        <v>15</v>
      </c>
      <c r="K255" s="6" t="inlineStr">
        <is>
          <t>none (placeholder)</t>
        </is>
      </c>
      <c r="L255" s="7" t="inlineStr">
        <is>
          <t>Conventional placeholder for foods with too little carbohydrate to test (non-starchy vegetables, nuts, seeds, herbs); no published measurement exists</t>
        </is>
      </c>
      <c r="M255" s="7" t="inlineStr">
        <is>
          <t>not measurable</t>
        </is>
      </c>
      <c r="N255" s="6" t="inlineStr"/>
      <c r="O255" s="7" t="inlineStr">
        <is>
          <t>clinical convention</t>
        </is>
      </c>
      <c r="P255" s="7" t="inlineStr">
        <is>
          <t>USDA FoodData Central (SR Legacy / Foundation Foods), fdc.nal.usda.gov</t>
        </is>
      </c>
      <c r="Q255" s="6" t="inlineStr">
        <is>
          <t>2026-09-26</t>
        </is>
      </c>
    </row>
    <row r="256">
      <c r="A256" s="6" t="inlineStr">
        <is>
          <t>soy_sauce</t>
        </is>
      </c>
      <c r="B256" s="6" t="inlineStr">
        <is>
          <t>Soy sauce, low sodium</t>
        </is>
      </c>
      <c r="C256" s="6" t="inlineStr">
        <is>
          <t>condiment</t>
        </is>
      </c>
      <c r="D256" s="6" t="n">
        <v>53</v>
      </c>
      <c r="E256" s="6" t="n">
        <v>8</v>
      </c>
      <c r="F256" s="6" t="n">
        <v>0</v>
      </c>
      <c r="G256" s="6" t="n">
        <v>5</v>
      </c>
      <c r="H256" s="6" t="n">
        <v>0.8</v>
      </c>
      <c r="I256" s="6" t="n">
        <v>4.2</v>
      </c>
      <c r="J256" s="6" t="n">
        <v>20</v>
      </c>
      <c r="K256" s="6" t="inlineStr">
        <is>
          <t>low</t>
        </is>
      </c>
      <c r="L256" s="7" t="inlineStr">
        <is>
          <t>Estimated from the closest tested food; no direct measurement found in the pooled sources</t>
        </is>
      </c>
      <c r="M256" s="7" t="inlineStr">
        <is>
          <t>no direct match</t>
        </is>
      </c>
      <c r="N256" s="6" t="n">
        <v>20</v>
      </c>
      <c r="O25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56" s="7" t="inlineStr">
        <is>
          <t>USDA FoodData Central (SR Legacy / Foundation Foods), fdc.nal.usda.gov</t>
        </is>
      </c>
      <c r="Q256" s="6" t="inlineStr">
        <is>
          <t>2026-09-26</t>
        </is>
      </c>
    </row>
    <row r="257">
      <c r="A257" s="6" t="inlineStr">
        <is>
          <t>tamari</t>
        </is>
      </c>
      <c r="B257" s="6" t="inlineStr">
        <is>
          <t>Tamari (gluten-free soy sauce)</t>
        </is>
      </c>
      <c r="C257" s="6" t="inlineStr">
        <is>
          <t>condiment</t>
        </is>
      </c>
      <c r="D257" s="6" t="n">
        <v>60</v>
      </c>
      <c r="E257" s="6" t="n">
        <v>10</v>
      </c>
      <c r="F257" s="6" t="n">
        <v>0</v>
      </c>
      <c r="G257" s="6" t="n">
        <v>5</v>
      </c>
      <c r="H257" s="6" t="n">
        <v>0.8</v>
      </c>
      <c r="I257" s="6" t="n">
        <v>4.2</v>
      </c>
      <c r="J257" s="6" t="n">
        <v>20</v>
      </c>
      <c r="K257" s="6" t="inlineStr">
        <is>
          <t>low</t>
        </is>
      </c>
      <c r="L257" s="7" t="inlineStr">
        <is>
          <t>Estimated from the closest tested food; no direct measurement found in the pooled sources</t>
        </is>
      </c>
      <c r="M257" s="7" t="inlineStr">
        <is>
          <t>no direct match</t>
        </is>
      </c>
      <c r="N257" s="6" t="inlineStr"/>
      <c r="O25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57" s="7" t="inlineStr">
        <is>
          <t>USDA FoodData Central (SR Legacy / Foundation Foods), fdc.nal.usda.gov</t>
        </is>
      </c>
      <c r="Q257" s="6" t="inlineStr">
        <is>
          <t>2026-09-26</t>
        </is>
      </c>
    </row>
    <row r="258">
      <c r="A258" s="6" t="inlineStr">
        <is>
          <t>coconut_aminos</t>
        </is>
      </c>
      <c r="B258" s="6" t="inlineStr">
        <is>
          <t>Coconut aminos</t>
        </is>
      </c>
      <c r="C258" s="6" t="inlineStr">
        <is>
          <t>condiment</t>
        </is>
      </c>
      <c r="D258" s="6" t="n">
        <v>90</v>
      </c>
      <c r="E258" s="6" t="n">
        <v>0</v>
      </c>
      <c r="F258" s="6" t="n">
        <v>0</v>
      </c>
      <c r="G258" s="6" t="n">
        <v>22</v>
      </c>
      <c r="H258" s="6" t="n">
        <v>0</v>
      </c>
      <c r="I258" s="6" t="n">
        <v>22</v>
      </c>
      <c r="J258" s="6" t="n">
        <v>35</v>
      </c>
      <c r="K258" s="6" t="inlineStr">
        <is>
          <t>low</t>
        </is>
      </c>
      <c r="L258" s="7" t="inlineStr">
        <is>
          <t>Estimated from the closest tested food; no direct measurement found in the pooled sources</t>
        </is>
      </c>
      <c r="M258" s="7" t="inlineStr">
        <is>
          <t>no direct match</t>
        </is>
      </c>
      <c r="N258" s="6" t="inlineStr"/>
      <c r="O25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58" s="7" t="inlineStr">
        <is>
          <t>USDA FoodData Central (SR Legacy / Foundation Foods), fdc.nal.usda.gov</t>
        </is>
      </c>
      <c r="Q258" s="6" t="inlineStr">
        <is>
          <t>2026-09-26</t>
        </is>
      </c>
    </row>
    <row r="259">
      <c r="A259" s="6" t="inlineStr">
        <is>
          <t>fish_sauce</t>
        </is>
      </c>
      <c r="B259" s="6" t="inlineStr">
        <is>
          <t>Fish sauce</t>
        </is>
      </c>
      <c r="C259" s="6" t="inlineStr">
        <is>
          <t>condiment</t>
        </is>
      </c>
      <c r="D259" s="6" t="n">
        <v>35</v>
      </c>
      <c r="E259" s="6" t="n">
        <v>5</v>
      </c>
      <c r="F259" s="6" t="n">
        <v>0</v>
      </c>
      <c r="G259" s="6" t="n">
        <v>4</v>
      </c>
      <c r="H259" s="6" t="n">
        <v>0</v>
      </c>
      <c r="I259" s="6" t="n">
        <v>4</v>
      </c>
      <c r="J259" s="6" t="n">
        <v>0</v>
      </c>
      <c r="K259" s="6" t="inlineStr">
        <is>
          <t>low</t>
        </is>
      </c>
      <c r="L259" s="7" t="inlineStr">
        <is>
          <t>Estimated from the closest tested food; no direct measurement found in the pooled sources</t>
        </is>
      </c>
      <c r="M259" s="7" t="inlineStr">
        <is>
          <t>no direct match</t>
        </is>
      </c>
      <c r="N259" s="6" t="inlineStr"/>
      <c r="O259"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59" s="7" t="inlineStr">
        <is>
          <t>USDA FoodData Central (SR Legacy / Foundation Foods), fdc.nal.usda.gov</t>
        </is>
      </c>
      <c r="Q259" s="6" t="inlineStr">
        <is>
          <t>2026-09-26</t>
        </is>
      </c>
    </row>
    <row r="260">
      <c r="A260" s="6" t="inlineStr">
        <is>
          <t>rice_vinegar</t>
        </is>
      </c>
      <c r="B260" s="6" t="inlineStr">
        <is>
          <t>Rice vinegar, unseasoned</t>
        </is>
      </c>
      <c r="C260" s="6" t="inlineStr">
        <is>
          <t>condiment</t>
        </is>
      </c>
      <c r="D260" s="6" t="n">
        <v>18</v>
      </c>
      <c r="E260" s="6" t="n">
        <v>0</v>
      </c>
      <c r="F260" s="6" t="n">
        <v>0</v>
      </c>
      <c r="G260" s="6" t="n">
        <v>0.5</v>
      </c>
      <c r="H260" s="6" t="n">
        <v>0</v>
      </c>
      <c r="I260" s="6" t="n">
        <v>0.5</v>
      </c>
      <c r="J260" s="6" t="n">
        <v>0</v>
      </c>
      <c r="K260" s="6" t="inlineStr">
        <is>
          <t>definitional</t>
        </is>
      </c>
      <c r="L260" s="7" t="inlineStr">
        <is>
          <t>No available carbohydrate — GI is 0 by definition (protein / fat / water)</t>
        </is>
      </c>
      <c r="M260" s="7" t="inlineStr">
        <is>
          <t>n/a</t>
        </is>
      </c>
      <c r="N260" s="6" t="inlineStr"/>
      <c r="O260" s="7" t="inlineStr">
        <is>
          <t>ISO 26642:2010</t>
        </is>
      </c>
      <c r="P260" s="7" t="inlineStr">
        <is>
          <t>USDA FoodData Central (SR Legacy / Foundation Foods), fdc.nal.usda.gov</t>
        </is>
      </c>
      <c r="Q260" s="6" t="inlineStr">
        <is>
          <t>2026-09-26</t>
        </is>
      </c>
    </row>
    <row r="261">
      <c r="A261" s="6" t="inlineStr">
        <is>
          <t>apple_cider_vinegar</t>
        </is>
      </c>
      <c r="B261" s="6" t="inlineStr">
        <is>
          <t>Apple cider vinegar</t>
        </is>
      </c>
      <c r="C261" s="6" t="inlineStr">
        <is>
          <t>condiment</t>
        </is>
      </c>
      <c r="D261" s="6" t="n">
        <v>21</v>
      </c>
      <c r="E261" s="6" t="n">
        <v>0</v>
      </c>
      <c r="F261" s="6" t="n">
        <v>0</v>
      </c>
      <c r="G261" s="6" t="n">
        <v>0.9</v>
      </c>
      <c r="H261" s="6" t="n">
        <v>0</v>
      </c>
      <c r="I261" s="6" t="n">
        <v>0.9</v>
      </c>
      <c r="J261" s="6" t="n">
        <v>0</v>
      </c>
      <c r="K261" s="6" t="inlineStr">
        <is>
          <t>low</t>
        </is>
      </c>
      <c r="L261" s="7" t="inlineStr">
        <is>
          <t>Estimated from the closest tested food; no direct measurement found in the pooled sources</t>
        </is>
      </c>
      <c r="M261" s="7" t="inlineStr">
        <is>
          <t>no direct match</t>
        </is>
      </c>
      <c r="N261" s="6" t="inlineStr"/>
      <c r="O26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1" s="7" t="inlineStr">
        <is>
          <t>USDA FoodData Central (SR Legacy / Foundation Foods), fdc.nal.usda.gov</t>
        </is>
      </c>
      <c r="Q261" s="6" t="inlineStr">
        <is>
          <t>2026-09-26</t>
        </is>
      </c>
    </row>
    <row r="262">
      <c r="A262" s="6" t="inlineStr">
        <is>
          <t>red_wine_vinegar</t>
        </is>
      </c>
      <c r="B262" s="6" t="inlineStr">
        <is>
          <t>Red wine vinegar</t>
        </is>
      </c>
      <c r="C262" s="6" t="inlineStr">
        <is>
          <t>condiment</t>
        </is>
      </c>
      <c r="D262" s="6" t="n">
        <v>19</v>
      </c>
      <c r="E262" s="6" t="n">
        <v>0</v>
      </c>
      <c r="F262" s="6" t="n">
        <v>0</v>
      </c>
      <c r="G262" s="6" t="n">
        <v>0.3</v>
      </c>
      <c r="H262" s="6" t="n">
        <v>0</v>
      </c>
      <c r="I262" s="6" t="n">
        <v>0.3</v>
      </c>
      <c r="J262" s="6" t="n">
        <v>0</v>
      </c>
      <c r="K262" s="6" t="inlineStr">
        <is>
          <t>definitional</t>
        </is>
      </c>
      <c r="L262" s="7" t="inlineStr">
        <is>
          <t>No available carbohydrate — GI is 0 by definition (protein / fat / water)</t>
        </is>
      </c>
      <c r="M262" s="7" t="inlineStr">
        <is>
          <t>n/a</t>
        </is>
      </c>
      <c r="N262" s="6" t="inlineStr"/>
      <c r="O262" s="7" t="inlineStr">
        <is>
          <t>ISO 26642:2010</t>
        </is>
      </c>
      <c r="P262" s="7" t="inlineStr">
        <is>
          <t>USDA FoodData Central (SR Legacy / Foundation Foods), fdc.nal.usda.gov</t>
        </is>
      </c>
      <c r="Q262" s="6" t="inlineStr">
        <is>
          <t>2026-09-26</t>
        </is>
      </c>
    </row>
    <row r="263">
      <c r="A263" s="6" t="inlineStr">
        <is>
          <t>white_wine_vinegar</t>
        </is>
      </c>
      <c r="B263" s="6" t="inlineStr">
        <is>
          <t>White wine vinegar</t>
        </is>
      </c>
      <c r="C263" s="6" t="inlineStr">
        <is>
          <t>condiment</t>
        </is>
      </c>
      <c r="D263" s="6" t="n">
        <v>19</v>
      </c>
      <c r="E263" s="6" t="n">
        <v>0</v>
      </c>
      <c r="F263" s="6" t="n">
        <v>0</v>
      </c>
      <c r="G263" s="6" t="n">
        <v>0.3</v>
      </c>
      <c r="H263" s="6" t="n">
        <v>0</v>
      </c>
      <c r="I263" s="6" t="n">
        <v>0.3</v>
      </c>
      <c r="J263" s="6" t="n">
        <v>0</v>
      </c>
      <c r="K263" s="6" t="inlineStr">
        <is>
          <t>definitional</t>
        </is>
      </c>
      <c r="L263" s="7" t="inlineStr">
        <is>
          <t>No available carbohydrate — GI is 0 by definition (protein / fat / water)</t>
        </is>
      </c>
      <c r="M263" s="7" t="inlineStr">
        <is>
          <t>n/a</t>
        </is>
      </c>
      <c r="N263" s="6" t="inlineStr"/>
      <c r="O263" s="7" t="inlineStr">
        <is>
          <t>ISO 26642:2010</t>
        </is>
      </c>
      <c r="P263" s="7" t="inlineStr">
        <is>
          <t>USDA FoodData Central (SR Legacy / Foundation Foods), fdc.nal.usda.gov</t>
        </is>
      </c>
      <c r="Q263" s="6" t="inlineStr">
        <is>
          <t>2026-09-26</t>
        </is>
      </c>
    </row>
    <row r="264">
      <c r="A264" s="6" t="inlineStr">
        <is>
          <t>balsamic_vinegar</t>
        </is>
      </c>
      <c r="B264" s="6" t="inlineStr">
        <is>
          <t>Balsamic vinegar</t>
        </is>
      </c>
      <c r="C264" s="6" t="inlineStr">
        <is>
          <t>condiment</t>
        </is>
      </c>
      <c r="D264" s="6" t="n">
        <v>88</v>
      </c>
      <c r="E264" s="6" t="n">
        <v>0.5</v>
      </c>
      <c r="F264" s="6" t="n">
        <v>0</v>
      </c>
      <c r="G264" s="6" t="n">
        <v>17</v>
      </c>
      <c r="H264" s="6" t="n">
        <v>0</v>
      </c>
      <c r="I264" s="6" t="n">
        <v>17</v>
      </c>
      <c r="J264" s="6" t="n">
        <v>35</v>
      </c>
      <c r="K264" s="6" t="inlineStr">
        <is>
          <t>low</t>
        </is>
      </c>
      <c r="L264" s="7" t="inlineStr">
        <is>
          <t>Estimated from the closest tested food; no direct measurement found in the pooled sources</t>
        </is>
      </c>
      <c r="M264" s="7" t="inlineStr">
        <is>
          <t>no direct match</t>
        </is>
      </c>
      <c r="N264" s="6" t="n">
        <v>35</v>
      </c>
      <c r="O26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4" s="7" t="inlineStr">
        <is>
          <t>USDA FoodData Central (SR Legacy / Foundation Foods), fdc.nal.usda.gov</t>
        </is>
      </c>
      <c r="Q264" s="6" t="inlineStr">
        <is>
          <t>2026-09-26</t>
        </is>
      </c>
    </row>
    <row r="265">
      <c r="A265" s="6" t="inlineStr">
        <is>
          <t>hot_sauce</t>
        </is>
      </c>
      <c r="B265" s="6" t="inlineStr">
        <is>
          <t>Hot sauce (Tabasco/Frank's)</t>
        </is>
      </c>
      <c r="C265" s="6" t="inlineStr">
        <is>
          <t>condiment</t>
        </is>
      </c>
      <c r="D265" s="6" t="n">
        <v>12</v>
      </c>
      <c r="E265" s="6" t="n">
        <v>0.5</v>
      </c>
      <c r="F265" s="6" t="n">
        <v>0.4</v>
      </c>
      <c r="G265" s="6" t="n">
        <v>1.8</v>
      </c>
      <c r="H265" s="6" t="n">
        <v>0.3</v>
      </c>
      <c r="I265" s="6" t="n">
        <v>1.5</v>
      </c>
      <c r="J265" s="6" t="n">
        <v>15</v>
      </c>
      <c r="K265" s="6" t="inlineStr">
        <is>
          <t>none (placeholder)</t>
        </is>
      </c>
      <c r="L265" s="7" t="inlineStr">
        <is>
          <t>Conventional placeholder for foods with too little carbohydrate to test (non-starchy vegetables, nuts, seeds, herbs); no published measurement exists</t>
        </is>
      </c>
      <c r="M265" s="7" t="inlineStr">
        <is>
          <t>not measurable</t>
        </is>
      </c>
      <c r="N265" s="6" t="inlineStr"/>
      <c r="O265" s="7" t="inlineStr">
        <is>
          <t>clinical convention</t>
        </is>
      </c>
      <c r="P265" s="7" t="inlineStr">
        <is>
          <t>USDA FoodData Central (SR Legacy / Foundation Foods), fdc.nal.usda.gov</t>
        </is>
      </c>
      <c r="Q265" s="6" t="inlineStr">
        <is>
          <t>2026-09-26</t>
        </is>
      </c>
    </row>
    <row r="266">
      <c r="A266" s="6" t="inlineStr">
        <is>
          <t>sriracha</t>
        </is>
      </c>
      <c r="B266" s="6" t="inlineStr">
        <is>
          <t>Sriracha</t>
        </is>
      </c>
      <c r="C266" s="6" t="inlineStr">
        <is>
          <t>condiment</t>
        </is>
      </c>
      <c r="D266" s="6" t="n">
        <v>93</v>
      </c>
      <c r="E266" s="6" t="n">
        <v>2</v>
      </c>
      <c r="F266" s="6" t="n">
        <v>1</v>
      </c>
      <c r="G266" s="6" t="n">
        <v>19</v>
      </c>
      <c r="H266" s="6" t="n">
        <v>2</v>
      </c>
      <c r="I266" s="6" t="n">
        <v>17</v>
      </c>
      <c r="J266" s="6" t="n">
        <v>35</v>
      </c>
      <c r="K266" s="6" t="inlineStr">
        <is>
          <t>low</t>
        </is>
      </c>
      <c r="L266" s="7" t="inlineStr">
        <is>
          <t>Estimated from the closest tested food; no direct measurement found in the pooled sources</t>
        </is>
      </c>
      <c r="M266" s="7" t="inlineStr">
        <is>
          <t>no direct match</t>
        </is>
      </c>
      <c r="N266" s="6" t="inlineStr"/>
      <c r="O26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6" s="7" t="inlineStr">
        <is>
          <t>USDA FoodData Central (SR Legacy / Foundation Foods), fdc.nal.usda.gov</t>
        </is>
      </c>
      <c r="Q266" s="6" t="inlineStr">
        <is>
          <t>2026-09-26</t>
        </is>
      </c>
    </row>
    <row r="267">
      <c r="A267" s="6" t="inlineStr">
        <is>
          <t>salsa</t>
        </is>
      </c>
      <c r="B267" s="6" t="inlineStr">
        <is>
          <t>Salsa, no sugar added</t>
        </is>
      </c>
      <c r="C267" s="6" t="inlineStr">
        <is>
          <t>condiment</t>
        </is>
      </c>
      <c r="D267" s="6" t="n">
        <v>36</v>
      </c>
      <c r="E267" s="6" t="n">
        <v>1.5</v>
      </c>
      <c r="F267" s="6" t="n">
        <v>0.2</v>
      </c>
      <c r="G267" s="6" t="n">
        <v>7</v>
      </c>
      <c r="H267" s="6" t="n">
        <v>1.5</v>
      </c>
      <c r="I267" s="6" t="n">
        <v>5.5</v>
      </c>
      <c r="J267" s="6" t="n">
        <v>30</v>
      </c>
      <c r="K267" s="6" t="inlineStr">
        <is>
          <t>low</t>
        </is>
      </c>
      <c r="L267" s="7" t="inlineStr">
        <is>
          <t>Estimated from the closest tested food; no direct measurement found in the pooled sources</t>
        </is>
      </c>
      <c r="M267" s="7" t="inlineStr">
        <is>
          <t>no direct match</t>
        </is>
      </c>
      <c r="N267" s="6" t="n">
        <v>30</v>
      </c>
      <c r="O26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7" s="7" t="inlineStr">
        <is>
          <t>USDA FoodData Central (SR Legacy / Foundation Foods), fdc.nal.usda.gov</t>
        </is>
      </c>
      <c r="Q267" s="6" t="inlineStr">
        <is>
          <t>2026-09-26</t>
        </is>
      </c>
    </row>
    <row r="268">
      <c r="A268" s="6" t="inlineStr">
        <is>
          <t>salsa_verde</t>
        </is>
      </c>
      <c r="B268" s="6" t="inlineStr">
        <is>
          <t>Salsa verde</t>
        </is>
      </c>
      <c r="C268" s="6" t="inlineStr">
        <is>
          <t>condiment</t>
        </is>
      </c>
      <c r="D268" s="6" t="n">
        <v>30</v>
      </c>
      <c r="E268" s="6" t="n">
        <v>1</v>
      </c>
      <c r="F268" s="6" t="n">
        <v>0.5</v>
      </c>
      <c r="G268" s="6" t="n">
        <v>6</v>
      </c>
      <c r="H268" s="6" t="n">
        <v>1.5</v>
      </c>
      <c r="I268" s="6" t="n">
        <v>4.5</v>
      </c>
      <c r="J268" s="6" t="n">
        <v>30</v>
      </c>
      <c r="K268" s="6" t="inlineStr">
        <is>
          <t>low</t>
        </is>
      </c>
      <c r="L268" s="7" t="inlineStr">
        <is>
          <t>Estimated from the closest tested food; no direct measurement found in the pooled sources</t>
        </is>
      </c>
      <c r="M268" s="7" t="inlineStr">
        <is>
          <t>no direct match</t>
        </is>
      </c>
      <c r="N268" s="6" t="inlineStr"/>
      <c r="O26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68" s="7" t="inlineStr">
        <is>
          <t>USDA FoodData Central (SR Legacy / Foundation Foods), fdc.nal.usda.gov</t>
        </is>
      </c>
      <c r="Q268" s="6" t="inlineStr">
        <is>
          <t>2026-09-26</t>
        </is>
      </c>
    </row>
    <row r="269">
      <c r="A269" s="6" t="inlineStr">
        <is>
          <t>pico_de_gallo</t>
        </is>
      </c>
      <c r="B269" s="6" t="inlineStr">
        <is>
          <t>Pico de gallo</t>
        </is>
      </c>
      <c r="C269" s="6" t="inlineStr">
        <is>
          <t>condiment</t>
        </is>
      </c>
      <c r="D269" s="6" t="n">
        <v>20</v>
      </c>
      <c r="E269" s="6" t="n">
        <v>0.9</v>
      </c>
      <c r="F269" s="6" t="n">
        <v>0.2</v>
      </c>
      <c r="G269" s="6" t="n">
        <v>4.5</v>
      </c>
      <c r="H269" s="6" t="n">
        <v>1.2</v>
      </c>
      <c r="I269" s="6" t="n">
        <v>3.3</v>
      </c>
      <c r="J269" s="6" t="n">
        <v>15</v>
      </c>
      <c r="K269" s="6" t="inlineStr">
        <is>
          <t>none (placeholder)</t>
        </is>
      </c>
      <c r="L269" s="7" t="inlineStr">
        <is>
          <t>Conventional placeholder for foods with too little carbohydrate to test (non-starchy vegetables, nuts, seeds, herbs); no published measurement exists</t>
        </is>
      </c>
      <c r="M269" s="7" t="inlineStr">
        <is>
          <t>not measurable</t>
        </is>
      </c>
      <c r="N269" s="6" t="inlineStr"/>
      <c r="O269" s="7" t="inlineStr">
        <is>
          <t>clinical convention</t>
        </is>
      </c>
      <c r="P269" s="7" t="inlineStr">
        <is>
          <t>USDA FoodData Central (SR Legacy / Foundation Foods), fdc.nal.usda.gov</t>
        </is>
      </c>
      <c r="Q269" s="6" t="inlineStr">
        <is>
          <t>2026-09-26</t>
        </is>
      </c>
    </row>
    <row r="270">
      <c r="A270" s="6" t="inlineStr">
        <is>
          <t>pesto</t>
        </is>
      </c>
      <c r="B270" s="6" t="inlineStr">
        <is>
          <t>Basil pesto</t>
        </is>
      </c>
      <c r="C270" s="6" t="inlineStr">
        <is>
          <t>condiment</t>
        </is>
      </c>
      <c r="D270" s="6" t="n">
        <v>400</v>
      </c>
      <c r="E270" s="6" t="n">
        <v>5</v>
      </c>
      <c r="F270" s="6" t="n">
        <v>40</v>
      </c>
      <c r="G270" s="6" t="n">
        <v>6</v>
      </c>
      <c r="H270" s="6" t="n">
        <v>2</v>
      </c>
      <c r="I270" s="6" t="n">
        <v>4</v>
      </c>
      <c r="J270" s="6" t="n">
        <v>15</v>
      </c>
      <c r="K270" s="6" t="inlineStr">
        <is>
          <t>none (placeholder)</t>
        </is>
      </c>
      <c r="L270" s="7" t="inlineStr">
        <is>
          <t>Conventional placeholder for foods with too little carbohydrate to test (non-starchy vegetables, nuts, seeds, herbs); no published measurement exists</t>
        </is>
      </c>
      <c r="M270" s="7" t="inlineStr">
        <is>
          <t>not measurable</t>
        </is>
      </c>
      <c r="N270" s="6" t="inlineStr"/>
      <c r="O270" s="7" t="inlineStr">
        <is>
          <t>clinical convention</t>
        </is>
      </c>
      <c r="P270" s="7" t="inlineStr">
        <is>
          <t>USDA FoodData Central (SR Legacy / Foundation Foods), fdc.nal.usda.gov</t>
        </is>
      </c>
      <c r="Q270" s="6" t="inlineStr">
        <is>
          <t>2026-09-26</t>
        </is>
      </c>
    </row>
    <row r="271">
      <c r="A271" s="6" t="inlineStr">
        <is>
          <t>marinara</t>
        </is>
      </c>
      <c r="B271" s="6" t="inlineStr">
        <is>
          <t>Marinara sauce, no sugar added</t>
        </is>
      </c>
      <c r="C271" s="6" t="inlineStr">
        <is>
          <t>condiment</t>
        </is>
      </c>
      <c r="D271" s="6" t="n">
        <v>45</v>
      </c>
      <c r="E271" s="6" t="n">
        <v>1.5</v>
      </c>
      <c r="F271" s="6" t="n">
        <v>2.5</v>
      </c>
      <c r="G271" s="6" t="n">
        <v>5</v>
      </c>
      <c r="H271" s="6" t="n">
        <v>1.5</v>
      </c>
      <c r="I271" s="6" t="n">
        <v>3.5</v>
      </c>
      <c r="J271" s="6" t="n">
        <v>35</v>
      </c>
      <c r="K271" s="6" t="inlineStr">
        <is>
          <t>medium</t>
        </is>
      </c>
      <c r="L271" s="7" t="inlineStr">
        <is>
          <t>2021 International Tables, Suppl. Tables 1+2 (incl. studies with method deviations)</t>
        </is>
      </c>
      <c r="M271" s="7" t="inlineStr">
        <is>
          <t>median of 1 tested foods, range 35-35</t>
        </is>
      </c>
      <c r="N271" s="6" t="n">
        <v>35</v>
      </c>
      <c r="O271" s="7" t="inlineStr">
        <is>
          <t>Atkinson FS, Brand-Miller JC, Foster-Powell K, Buyken AE, Goletzke J. International tables of glycemic index and glycemic load values 2021. Am J Clin Nutr 2021;114(5):1625-32. doi:10.1093/ajcn/nqab233</t>
        </is>
      </c>
      <c r="P271" s="7" t="inlineStr">
        <is>
          <t>USDA FoodData Central (SR Legacy / Foundation Foods), fdc.nal.usda.gov</t>
        </is>
      </c>
      <c r="Q271" s="6" t="inlineStr">
        <is>
          <t>2026-09-26</t>
        </is>
      </c>
    </row>
    <row r="272">
      <c r="A272" s="6" t="inlineStr">
        <is>
          <t>crushed_tomatoes</t>
        </is>
      </c>
      <c r="B272" s="6" t="inlineStr">
        <is>
          <t>Crushed tomatoes, canned</t>
        </is>
      </c>
      <c r="C272" s="6" t="inlineStr">
        <is>
          <t>condiment</t>
        </is>
      </c>
      <c r="D272" s="6" t="n">
        <v>32</v>
      </c>
      <c r="E272" s="6" t="n">
        <v>1.6</v>
      </c>
      <c r="F272" s="6" t="n">
        <v>0.3</v>
      </c>
      <c r="G272" s="6" t="n">
        <v>7</v>
      </c>
      <c r="H272" s="6" t="n">
        <v>1.9</v>
      </c>
      <c r="I272" s="6" t="n">
        <v>5.1</v>
      </c>
      <c r="J272" s="6" t="n">
        <v>35</v>
      </c>
      <c r="K272" s="6" t="inlineStr">
        <is>
          <t>low</t>
        </is>
      </c>
      <c r="L272" s="7" t="inlineStr">
        <is>
          <t>Estimated from the closest tested food; no direct measurement found in the pooled sources</t>
        </is>
      </c>
      <c r="M272" s="7" t="inlineStr">
        <is>
          <t>no direct match</t>
        </is>
      </c>
      <c r="N272" s="6" t="inlineStr"/>
      <c r="O27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72" s="7" t="inlineStr">
        <is>
          <t>USDA FoodData Central (SR Legacy / Foundation Foods), fdc.nal.usda.gov</t>
        </is>
      </c>
      <c r="Q272" s="6" t="inlineStr">
        <is>
          <t>2026-09-26</t>
        </is>
      </c>
    </row>
    <row r="273">
      <c r="A273" s="6" t="inlineStr">
        <is>
          <t>diced_tomatoes</t>
        </is>
      </c>
      <c r="B273" s="6" t="inlineStr">
        <is>
          <t>Diced tomatoes, canned</t>
        </is>
      </c>
      <c r="C273" s="6" t="inlineStr">
        <is>
          <t>condiment</t>
        </is>
      </c>
      <c r="D273" s="6" t="n">
        <v>24</v>
      </c>
      <c r="E273" s="6" t="n">
        <v>1.2</v>
      </c>
      <c r="F273" s="6" t="n">
        <v>0.2</v>
      </c>
      <c r="G273" s="6" t="n">
        <v>5</v>
      </c>
      <c r="H273" s="6" t="n">
        <v>1.5</v>
      </c>
      <c r="I273" s="6" t="n">
        <v>3.5</v>
      </c>
      <c r="J273" s="6" t="n">
        <v>35</v>
      </c>
      <c r="K273" s="6" t="inlineStr">
        <is>
          <t>low</t>
        </is>
      </c>
      <c r="L273" s="7" t="inlineStr">
        <is>
          <t>Estimated from the closest tested food; no direct measurement found in the pooled sources</t>
        </is>
      </c>
      <c r="M273" s="7" t="inlineStr">
        <is>
          <t>no direct match</t>
        </is>
      </c>
      <c r="N273" s="6" t="inlineStr"/>
      <c r="O27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73" s="7" t="inlineStr">
        <is>
          <t>USDA FoodData Central (SR Legacy / Foundation Foods), fdc.nal.usda.gov</t>
        </is>
      </c>
      <c r="Q273" s="6" t="inlineStr">
        <is>
          <t>2026-09-26</t>
        </is>
      </c>
    </row>
    <row r="274">
      <c r="A274" s="6" t="inlineStr">
        <is>
          <t>tomato_paste</t>
        </is>
      </c>
      <c r="B274" s="6" t="inlineStr">
        <is>
          <t>Tomato paste</t>
        </is>
      </c>
      <c r="C274" s="6" t="inlineStr">
        <is>
          <t>condiment</t>
        </is>
      </c>
      <c r="D274" s="6" t="n">
        <v>82</v>
      </c>
      <c r="E274" s="6" t="n">
        <v>4.3</v>
      </c>
      <c r="F274" s="6" t="n">
        <v>0.5</v>
      </c>
      <c r="G274" s="6" t="n">
        <v>19</v>
      </c>
      <c r="H274" s="6" t="n">
        <v>4</v>
      </c>
      <c r="I274" s="6" t="n">
        <v>15</v>
      </c>
      <c r="J274" s="6" t="n">
        <v>35</v>
      </c>
      <c r="K274" s="6" t="inlineStr">
        <is>
          <t>low</t>
        </is>
      </c>
      <c r="L274" s="7" t="inlineStr">
        <is>
          <t>Estimated from the closest tested food; no direct measurement found in the pooled sources</t>
        </is>
      </c>
      <c r="M274" s="7" t="inlineStr">
        <is>
          <t>no direct match</t>
        </is>
      </c>
      <c r="N274" s="6" t="inlineStr"/>
      <c r="O27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74" s="7" t="inlineStr">
        <is>
          <t>USDA FoodData Central (SR Legacy / Foundation Foods), fdc.nal.usda.gov</t>
        </is>
      </c>
      <c r="Q274" s="6" t="inlineStr">
        <is>
          <t>2026-09-26</t>
        </is>
      </c>
    </row>
    <row r="275">
      <c r="A275" s="6" t="inlineStr">
        <is>
          <t>tomato_sauce</t>
        </is>
      </c>
      <c r="B275" s="6" t="inlineStr">
        <is>
          <t>Tomato sauce, canned, no sugar added</t>
        </is>
      </c>
      <c r="C275" s="6" t="inlineStr">
        <is>
          <t>condiment</t>
        </is>
      </c>
      <c r="D275" s="6" t="n">
        <v>24</v>
      </c>
      <c r="E275" s="6" t="n">
        <v>1.3</v>
      </c>
      <c r="F275" s="6" t="n">
        <v>0.2</v>
      </c>
      <c r="G275" s="6" t="n">
        <v>5.3</v>
      </c>
      <c r="H275" s="6" t="n">
        <v>1.5</v>
      </c>
      <c r="I275" s="6" t="n">
        <v>3.8</v>
      </c>
      <c r="J275" s="6" t="n">
        <v>35</v>
      </c>
      <c r="K275" s="6" t="inlineStr">
        <is>
          <t>low</t>
        </is>
      </c>
      <c r="L275" s="7" t="inlineStr">
        <is>
          <t>Estimated from the closest tested food; no direct measurement found in the pooled sources</t>
        </is>
      </c>
      <c r="M275" s="7" t="inlineStr">
        <is>
          <t>no direct match</t>
        </is>
      </c>
      <c r="N275" s="6" t="n">
        <v>35</v>
      </c>
      <c r="O27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75" s="7" t="inlineStr">
        <is>
          <t>USDA FoodData Central (SR Legacy / Foundation Foods), fdc.nal.usda.gov</t>
        </is>
      </c>
      <c r="Q275" s="6" t="inlineStr">
        <is>
          <t>2026-09-26</t>
        </is>
      </c>
    </row>
    <row r="276">
      <c r="A276" s="6" t="inlineStr">
        <is>
          <t>chicken_broth</t>
        </is>
      </c>
      <c r="B276" s="6" t="inlineStr">
        <is>
          <t>Chicken broth, low sodium</t>
        </is>
      </c>
      <c r="C276" s="6" t="inlineStr">
        <is>
          <t>condiment</t>
        </is>
      </c>
      <c r="D276" s="6" t="n">
        <v>7</v>
      </c>
      <c r="E276" s="6" t="n">
        <v>1</v>
      </c>
      <c r="F276" s="6" t="n">
        <v>0.2</v>
      </c>
      <c r="G276" s="6" t="n">
        <v>0.5</v>
      </c>
      <c r="H276" s="6" t="n">
        <v>0</v>
      </c>
      <c r="I276" s="6" t="n">
        <v>0.5</v>
      </c>
      <c r="J276" s="6" t="n">
        <v>0</v>
      </c>
      <c r="K276" s="6" t="inlineStr">
        <is>
          <t>definitional</t>
        </is>
      </c>
      <c r="L276" s="7" t="inlineStr">
        <is>
          <t>No available carbohydrate — GI is 0 by definition (protein / fat / water)</t>
        </is>
      </c>
      <c r="M276" s="7" t="inlineStr">
        <is>
          <t>n/a</t>
        </is>
      </c>
      <c r="N276" s="6" t="inlineStr"/>
      <c r="O276" s="7" t="inlineStr">
        <is>
          <t>ISO 26642:2010</t>
        </is>
      </c>
      <c r="P276" s="7" t="inlineStr">
        <is>
          <t>USDA FoodData Central (SR Legacy / Foundation Foods), fdc.nal.usda.gov</t>
        </is>
      </c>
      <c r="Q276" s="6" t="inlineStr">
        <is>
          <t>2026-09-26</t>
        </is>
      </c>
    </row>
    <row r="277">
      <c r="A277" s="6" t="inlineStr">
        <is>
          <t>vegetable_broth</t>
        </is>
      </c>
      <c r="B277" s="6" t="inlineStr">
        <is>
          <t>Vegetable broth, low sodium</t>
        </is>
      </c>
      <c r="C277" s="6" t="inlineStr">
        <is>
          <t>condiment</t>
        </is>
      </c>
      <c r="D277" s="6" t="n">
        <v>8</v>
      </c>
      <c r="E277" s="6" t="n">
        <v>0.5</v>
      </c>
      <c r="F277" s="6" t="n">
        <v>0.2</v>
      </c>
      <c r="G277" s="6" t="n">
        <v>1.5</v>
      </c>
      <c r="H277" s="6" t="n">
        <v>0</v>
      </c>
      <c r="I277" s="6" t="n">
        <v>1.5</v>
      </c>
      <c r="J277" s="6" t="n">
        <v>0</v>
      </c>
      <c r="K277" s="6" t="inlineStr">
        <is>
          <t>low</t>
        </is>
      </c>
      <c r="L277" s="7" t="inlineStr">
        <is>
          <t>Estimated from the closest tested food; no direct measurement found in the pooled sources</t>
        </is>
      </c>
      <c r="M277" s="7" t="inlineStr">
        <is>
          <t>no direct match</t>
        </is>
      </c>
      <c r="N277" s="6" t="inlineStr"/>
      <c r="O27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77" s="7" t="inlineStr">
        <is>
          <t>USDA FoodData Central (SR Legacy / Foundation Foods), fdc.nal.usda.gov</t>
        </is>
      </c>
      <c r="Q277" s="6" t="inlineStr">
        <is>
          <t>2026-09-26</t>
        </is>
      </c>
    </row>
    <row r="278">
      <c r="A278" s="6" t="inlineStr">
        <is>
          <t>beef_broth</t>
        </is>
      </c>
      <c r="B278" s="6" t="inlineStr">
        <is>
          <t>Beef broth, low sodium</t>
        </is>
      </c>
      <c r="C278" s="6" t="inlineStr">
        <is>
          <t>condiment</t>
        </is>
      </c>
      <c r="D278" s="6" t="n">
        <v>7</v>
      </c>
      <c r="E278" s="6" t="n">
        <v>1.3</v>
      </c>
      <c r="F278" s="6" t="n">
        <v>0.2</v>
      </c>
      <c r="G278" s="6" t="n">
        <v>0.4</v>
      </c>
      <c r="H278" s="6" t="n">
        <v>0</v>
      </c>
      <c r="I278" s="6" t="n">
        <v>0.4</v>
      </c>
      <c r="J278" s="6" t="n">
        <v>0</v>
      </c>
      <c r="K278" s="6" t="inlineStr">
        <is>
          <t>definitional</t>
        </is>
      </c>
      <c r="L278" s="7" t="inlineStr">
        <is>
          <t>No available carbohydrate — GI is 0 by definition (protein / fat / water)</t>
        </is>
      </c>
      <c r="M278" s="7" t="inlineStr">
        <is>
          <t>n/a</t>
        </is>
      </c>
      <c r="N278" s="6" t="inlineStr"/>
      <c r="O278" s="7" t="inlineStr">
        <is>
          <t>ISO 26642:2010</t>
        </is>
      </c>
      <c r="P278" s="7" t="inlineStr">
        <is>
          <t>USDA FoodData Central (SR Legacy / Foundation Foods), fdc.nal.usda.gov</t>
        </is>
      </c>
      <c r="Q278" s="6" t="inlineStr">
        <is>
          <t>2026-09-26</t>
        </is>
      </c>
    </row>
    <row r="279">
      <c r="A279" s="6" t="inlineStr">
        <is>
          <t>bone_broth</t>
        </is>
      </c>
      <c r="B279" s="6" t="inlineStr">
        <is>
          <t>Bone broth</t>
        </is>
      </c>
      <c r="C279" s="6" t="inlineStr">
        <is>
          <t>condiment</t>
        </is>
      </c>
      <c r="D279" s="6" t="n">
        <v>35</v>
      </c>
      <c r="E279" s="6" t="n">
        <v>8</v>
      </c>
      <c r="F279" s="6" t="n">
        <v>0.3</v>
      </c>
      <c r="G279" s="6" t="n">
        <v>0.5</v>
      </c>
      <c r="H279" s="6" t="n">
        <v>0</v>
      </c>
      <c r="I279" s="6" t="n">
        <v>0.5</v>
      </c>
      <c r="J279" s="6" t="n">
        <v>0</v>
      </c>
      <c r="K279" s="6" t="inlineStr">
        <is>
          <t>definitional</t>
        </is>
      </c>
      <c r="L279" s="7" t="inlineStr">
        <is>
          <t>No available carbohydrate — GI is 0 by definition (protein / fat / water)</t>
        </is>
      </c>
      <c r="M279" s="7" t="inlineStr">
        <is>
          <t>n/a</t>
        </is>
      </c>
      <c r="N279" s="6" t="inlineStr"/>
      <c r="O279" s="7" t="inlineStr">
        <is>
          <t>ISO 26642:2010</t>
        </is>
      </c>
      <c r="P279" s="7" t="inlineStr">
        <is>
          <t>USDA FoodData Central (SR Legacy / Foundation Foods), fdc.nal.usda.gov</t>
        </is>
      </c>
      <c r="Q279" s="6" t="inlineStr">
        <is>
          <t>2026-09-26</t>
        </is>
      </c>
    </row>
    <row r="280">
      <c r="A280" s="6" t="inlineStr">
        <is>
          <t>curry_paste</t>
        </is>
      </c>
      <c r="B280" s="6" t="inlineStr">
        <is>
          <t>Thai curry paste (red/green)</t>
        </is>
      </c>
      <c r="C280" s="6" t="inlineStr">
        <is>
          <t>condiment</t>
        </is>
      </c>
      <c r="D280" s="6" t="n">
        <v>95</v>
      </c>
      <c r="E280" s="6" t="n">
        <v>2</v>
      </c>
      <c r="F280" s="6" t="n">
        <v>4</v>
      </c>
      <c r="G280" s="6" t="n">
        <v>12</v>
      </c>
      <c r="H280" s="6" t="n">
        <v>3</v>
      </c>
      <c r="I280" s="6" t="n">
        <v>9</v>
      </c>
      <c r="J280" s="6" t="n">
        <v>30</v>
      </c>
      <c r="K280" s="6" t="inlineStr">
        <is>
          <t>low</t>
        </is>
      </c>
      <c r="L280" s="7" t="inlineStr">
        <is>
          <t>Estimated from the closest tested food; no direct measurement found in the pooled sources</t>
        </is>
      </c>
      <c r="M280" s="7" t="inlineStr">
        <is>
          <t>no direct match</t>
        </is>
      </c>
      <c r="N280" s="6" t="inlineStr"/>
      <c r="O280"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0" s="7" t="inlineStr">
        <is>
          <t>USDA FoodData Central (SR Legacy / Foundation Foods), fdc.nal.usda.gov</t>
        </is>
      </c>
      <c r="Q280" s="6" t="inlineStr">
        <is>
          <t>2026-09-26</t>
        </is>
      </c>
    </row>
    <row r="281">
      <c r="A281" s="6" t="inlineStr">
        <is>
          <t>miso</t>
        </is>
      </c>
      <c r="B281" s="6" t="inlineStr">
        <is>
          <t>White miso paste</t>
        </is>
      </c>
      <c r="C281" s="6" t="inlineStr">
        <is>
          <t>condiment</t>
        </is>
      </c>
      <c r="D281" s="6" t="n">
        <v>199</v>
      </c>
      <c r="E281" s="6" t="n">
        <v>12</v>
      </c>
      <c r="F281" s="6" t="n">
        <v>6</v>
      </c>
      <c r="G281" s="6" t="n">
        <v>26</v>
      </c>
      <c r="H281" s="6" t="n">
        <v>5</v>
      </c>
      <c r="I281" s="6" t="n">
        <v>21</v>
      </c>
      <c r="J281" s="6" t="n">
        <v>30</v>
      </c>
      <c r="K281" s="6" t="inlineStr">
        <is>
          <t>low</t>
        </is>
      </c>
      <c r="L281" s="7" t="inlineStr">
        <is>
          <t>Estimated from the closest tested food; no direct measurement found in the pooled sources</t>
        </is>
      </c>
      <c r="M281" s="7" t="inlineStr">
        <is>
          <t>no direct match</t>
        </is>
      </c>
      <c r="N281" s="6" t="n">
        <v>30</v>
      </c>
      <c r="O281"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1" s="7" t="inlineStr">
        <is>
          <t>USDA FoodData Central (SR Legacy / Foundation Foods), fdc.nal.usda.gov</t>
        </is>
      </c>
      <c r="Q281" s="6" t="inlineStr">
        <is>
          <t>2026-09-26</t>
        </is>
      </c>
    </row>
    <row r="282">
      <c r="A282" s="6" t="inlineStr">
        <is>
          <t>gochujang</t>
        </is>
      </c>
      <c r="B282" s="6" t="inlineStr">
        <is>
          <t>Gochujang (small amount)</t>
        </is>
      </c>
      <c r="C282" s="6" t="inlineStr">
        <is>
          <t>condiment</t>
        </is>
      </c>
      <c r="D282" s="6" t="n">
        <v>200</v>
      </c>
      <c r="E282" s="6" t="n">
        <v>4</v>
      </c>
      <c r="F282" s="6" t="n">
        <v>1</v>
      </c>
      <c r="G282" s="6" t="n">
        <v>45</v>
      </c>
      <c r="H282" s="6" t="n">
        <v>3</v>
      </c>
      <c r="I282" s="6" t="n">
        <v>42</v>
      </c>
      <c r="J282" s="6" t="n">
        <v>45</v>
      </c>
      <c r="K282" s="6" t="inlineStr">
        <is>
          <t>low</t>
        </is>
      </c>
      <c r="L282" s="7" t="inlineStr">
        <is>
          <t>Estimated from the closest tested food; no direct measurement found in the pooled sources</t>
        </is>
      </c>
      <c r="M282" s="7" t="inlineStr">
        <is>
          <t>no direct match</t>
        </is>
      </c>
      <c r="N282" s="6" t="inlineStr"/>
      <c r="O282"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2" s="7" t="inlineStr">
        <is>
          <t>USDA FoodData Central (SR Legacy / Foundation Foods), fdc.nal.usda.gov</t>
        </is>
      </c>
      <c r="Q282" s="6" t="inlineStr">
        <is>
          <t>2026-09-26</t>
        </is>
      </c>
    </row>
    <row r="283">
      <c r="A283" s="6" t="inlineStr">
        <is>
          <t>harissa</t>
        </is>
      </c>
      <c r="B283" s="6" t="inlineStr">
        <is>
          <t>Harissa paste</t>
        </is>
      </c>
      <c r="C283" s="6" t="inlineStr">
        <is>
          <t>condiment</t>
        </is>
      </c>
      <c r="D283" s="6" t="n">
        <v>70</v>
      </c>
      <c r="E283" s="6" t="n">
        <v>2</v>
      </c>
      <c r="F283" s="6" t="n">
        <v>3</v>
      </c>
      <c r="G283" s="6" t="n">
        <v>9</v>
      </c>
      <c r="H283" s="6" t="n">
        <v>3</v>
      </c>
      <c r="I283" s="6" t="n">
        <v>6</v>
      </c>
      <c r="J283" s="6" t="n">
        <v>15</v>
      </c>
      <c r="K283" s="6" t="inlineStr">
        <is>
          <t>none (placeholder)</t>
        </is>
      </c>
      <c r="L283" s="7" t="inlineStr">
        <is>
          <t>Conventional placeholder for foods with too little carbohydrate to test (non-starchy vegetables, nuts, seeds, herbs); no published measurement exists</t>
        </is>
      </c>
      <c r="M283" s="7" t="inlineStr">
        <is>
          <t>not measurable</t>
        </is>
      </c>
      <c r="N283" s="6" t="inlineStr"/>
      <c r="O283" s="7" t="inlineStr">
        <is>
          <t>clinical convention</t>
        </is>
      </c>
      <c r="P283" s="7" t="inlineStr">
        <is>
          <t>USDA FoodData Central (SR Legacy / Foundation Foods), fdc.nal.usda.gov</t>
        </is>
      </c>
      <c r="Q283" s="6" t="inlineStr">
        <is>
          <t>2026-09-26</t>
        </is>
      </c>
    </row>
    <row r="284">
      <c r="A284" s="6" t="inlineStr">
        <is>
          <t>chipotle_adobo</t>
        </is>
      </c>
      <c r="B284" s="6" t="inlineStr">
        <is>
          <t>Chipotle peppers in adobo</t>
        </is>
      </c>
      <c r="C284" s="6" t="inlineStr">
        <is>
          <t>condiment</t>
        </is>
      </c>
      <c r="D284" s="6" t="n">
        <v>70</v>
      </c>
      <c r="E284" s="6" t="n">
        <v>2</v>
      </c>
      <c r="F284" s="6" t="n">
        <v>1</v>
      </c>
      <c r="G284" s="6" t="n">
        <v>14</v>
      </c>
      <c r="H284" s="6" t="n">
        <v>4</v>
      </c>
      <c r="I284" s="6" t="n">
        <v>10</v>
      </c>
      <c r="J284" s="6" t="n">
        <v>30</v>
      </c>
      <c r="K284" s="6" t="inlineStr">
        <is>
          <t>low</t>
        </is>
      </c>
      <c r="L284" s="7" t="inlineStr">
        <is>
          <t>Estimated from the closest tested food; no direct measurement found in the pooled sources</t>
        </is>
      </c>
      <c r="M284" s="7" t="inlineStr">
        <is>
          <t>no direct match</t>
        </is>
      </c>
      <c r="N284" s="6" t="inlineStr"/>
      <c r="O28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4" s="7" t="inlineStr">
        <is>
          <t>USDA FoodData Central (SR Legacy / Foundation Foods), fdc.nal.usda.gov</t>
        </is>
      </c>
      <c r="Q284" s="6" t="inlineStr">
        <is>
          <t>2026-09-26</t>
        </is>
      </c>
    </row>
    <row r="285">
      <c r="A285" s="6" t="inlineStr">
        <is>
          <t>green_chiles</t>
        </is>
      </c>
      <c r="B285" s="6" t="inlineStr">
        <is>
          <t>Diced green chiles, canned</t>
        </is>
      </c>
      <c r="C285" s="6" t="inlineStr">
        <is>
          <t>condiment</t>
        </is>
      </c>
      <c r="D285" s="6" t="n">
        <v>20</v>
      </c>
      <c r="E285" s="6" t="n">
        <v>0.8</v>
      </c>
      <c r="F285" s="6" t="n">
        <v>0.1</v>
      </c>
      <c r="G285" s="6" t="n">
        <v>4.5</v>
      </c>
      <c r="H285" s="6" t="n">
        <v>1.5</v>
      </c>
      <c r="I285" s="6" t="n">
        <v>3</v>
      </c>
      <c r="J285" s="6" t="n">
        <v>15</v>
      </c>
      <c r="K285" s="6" t="inlineStr">
        <is>
          <t>none (placeholder)</t>
        </is>
      </c>
      <c r="L285" s="7" t="inlineStr">
        <is>
          <t>Conventional placeholder for foods with too little carbohydrate to test (non-starchy vegetables, nuts, seeds, herbs); no published measurement exists</t>
        </is>
      </c>
      <c r="M285" s="7" t="inlineStr">
        <is>
          <t>not measurable</t>
        </is>
      </c>
      <c r="N285" s="6" t="inlineStr"/>
      <c r="O285" s="7" t="inlineStr">
        <is>
          <t>clinical convention</t>
        </is>
      </c>
      <c r="P285" s="7" t="inlineStr">
        <is>
          <t>USDA FoodData Central (SR Legacy / Foundation Foods), fdc.nal.usda.gov</t>
        </is>
      </c>
      <c r="Q285" s="6" t="inlineStr">
        <is>
          <t>2026-09-26</t>
        </is>
      </c>
    </row>
    <row r="286">
      <c r="A286" s="6" t="inlineStr">
        <is>
          <t>enchilada_sauce</t>
        </is>
      </c>
      <c r="B286" s="6" t="inlineStr">
        <is>
          <t>Red enchilada sauce, no sugar added</t>
        </is>
      </c>
      <c r="C286" s="6" t="inlineStr">
        <is>
          <t>condiment</t>
        </is>
      </c>
      <c r="D286" s="6" t="n">
        <v>40</v>
      </c>
      <c r="E286" s="6" t="n">
        <v>1</v>
      </c>
      <c r="F286" s="6" t="n">
        <v>2</v>
      </c>
      <c r="G286" s="6" t="n">
        <v>5</v>
      </c>
      <c r="H286" s="6" t="n">
        <v>1</v>
      </c>
      <c r="I286" s="6" t="n">
        <v>4</v>
      </c>
      <c r="J286" s="6" t="n">
        <v>30</v>
      </c>
      <c r="K286" s="6" t="inlineStr">
        <is>
          <t>low</t>
        </is>
      </c>
      <c r="L286" s="7" t="inlineStr">
        <is>
          <t>Estimated from the closest tested food; no direct measurement found in the pooled sources</t>
        </is>
      </c>
      <c r="M286" s="7" t="inlineStr">
        <is>
          <t>no direct match</t>
        </is>
      </c>
      <c r="N286" s="6" t="inlineStr"/>
      <c r="O286"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6" s="7" t="inlineStr">
        <is>
          <t>USDA FoodData Central (SR Legacy / Foundation Foods), fdc.nal.usda.gov</t>
        </is>
      </c>
      <c r="Q286" s="6" t="inlineStr">
        <is>
          <t>2026-09-26</t>
        </is>
      </c>
    </row>
    <row r="287">
      <c r="A287" s="6" t="inlineStr">
        <is>
          <t>nutritional_yeast</t>
        </is>
      </c>
      <c r="B287" s="6" t="inlineStr">
        <is>
          <t>Nutritional yeast</t>
        </is>
      </c>
      <c r="C287" s="6" t="inlineStr">
        <is>
          <t>condiment</t>
        </is>
      </c>
      <c r="D287" s="6" t="n">
        <v>325</v>
      </c>
      <c r="E287" s="6" t="n">
        <v>50</v>
      </c>
      <c r="F287" s="6" t="n">
        <v>5</v>
      </c>
      <c r="G287" s="6" t="n">
        <v>35</v>
      </c>
      <c r="H287" s="6" t="n">
        <v>25</v>
      </c>
      <c r="I287" s="6" t="n">
        <v>10</v>
      </c>
      <c r="J287" s="6" t="n">
        <v>15</v>
      </c>
      <c r="K287" s="6" t="inlineStr">
        <is>
          <t>none (placeholder)</t>
        </is>
      </c>
      <c r="L287" s="7" t="inlineStr">
        <is>
          <t>Conventional placeholder for foods with too little carbohydrate to test (non-starchy vegetables, nuts, seeds, herbs); no published measurement exists</t>
        </is>
      </c>
      <c r="M287" s="7" t="inlineStr">
        <is>
          <t>not measurable</t>
        </is>
      </c>
      <c r="N287" s="6" t="inlineStr"/>
      <c r="O287" s="7" t="inlineStr">
        <is>
          <t>clinical convention</t>
        </is>
      </c>
      <c r="P287" s="7" t="inlineStr">
        <is>
          <t>USDA FoodData Central (SR Legacy / Foundation Foods), fdc.nal.usda.gov</t>
        </is>
      </c>
      <c r="Q287" s="6" t="inlineStr">
        <is>
          <t>2026-09-26</t>
        </is>
      </c>
    </row>
    <row r="288">
      <c r="A288" s="6" t="inlineStr">
        <is>
          <t>cocoa_powder</t>
        </is>
      </c>
      <c r="B288" s="6" t="inlineStr">
        <is>
          <t>Cocoa powder, unsweetened</t>
        </is>
      </c>
      <c r="C288" s="6" t="inlineStr">
        <is>
          <t>pantry</t>
        </is>
      </c>
      <c r="D288" s="6" t="n">
        <v>228</v>
      </c>
      <c r="E288" s="6" t="n">
        <v>20</v>
      </c>
      <c r="F288" s="6" t="n">
        <v>14</v>
      </c>
      <c r="G288" s="6" t="n">
        <v>58</v>
      </c>
      <c r="H288" s="6" t="n">
        <v>33</v>
      </c>
      <c r="I288" s="6" t="n">
        <v>25</v>
      </c>
      <c r="J288" s="6" t="n">
        <v>20</v>
      </c>
      <c r="K288" s="6" t="inlineStr">
        <is>
          <t>low</t>
        </is>
      </c>
      <c r="L288" s="7" t="inlineStr">
        <is>
          <t>Estimated from the closest tested food; no direct measurement found in the pooled sources</t>
        </is>
      </c>
      <c r="M288" s="7" t="inlineStr">
        <is>
          <t>no direct match</t>
        </is>
      </c>
      <c r="N288" s="6" t="n">
        <v>20</v>
      </c>
      <c r="O288"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88" s="7" t="inlineStr">
        <is>
          <t>USDA FoodData Central (SR Legacy / Foundation Foods), fdc.nal.usda.gov</t>
        </is>
      </c>
      <c r="Q288" s="6" t="inlineStr">
        <is>
          <t>2026-09-26</t>
        </is>
      </c>
    </row>
    <row r="289">
      <c r="A289" s="6" t="inlineStr">
        <is>
          <t>dark_chocolate</t>
        </is>
      </c>
      <c r="B289" s="6" t="inlineStr">
        <is>
          <t>Dark chocolate 85%</t>
        </is>
      </c>
      <c r="C289" s="6" t="inlineStr">
        <is>
          <t>pantry</t>
        </is>
      </c>
      <c r="D289" s="6" t="n">
        <v>600</v>
      </c>
      <c r="E289" s="6" t="n">
        <v>12</v>
      </c>
      <c r="F289" s="6" t="n">
        <v>46</v>
      </c>
      <c r="G289" s="6" t="n">
        <v>30</v>
      </c>
      <c r="H289" s="6" t="n">
        <v>12</v>
      </c>
      <c r="I289" s="6" t="n">
        <v>18</v>
      </c>
      <c r="J289" s="6" t="n">
        <v>23</v>
      </c>
      <c r="K289" s="6" t="inlineStr">
        <is>
          <t>high</t>
        </is>
      </c>
      <c r="L289" s="7" t="inlineStr">
        <is>
          <t>2021 International Tables, Suppl. Table 1 (ISO 26642:2010-compliant studies)</t>
        </is>
      </c>
      <c r="M289" s="7" t="inlineStr">
        <is>
          <t>median of 2 tested foods, range 23-44</t>
        </is>
      </c>
      <c r="N289" s="6" t="n">
        <v>34</v>
      </c>
      <c r="O289" s="7" t="inlineStr">
        <is>
          <t>Atkinson FS, Brand-Miller JC, Foster-Powell K, Buyken AE, Goletzke J. International tables of glycemic index and glycemic load values 2021. Am J Clin Nutr 2021;114(5):1625-32. doi:10.1093/ajcn/nqab233</t>
        </is>
      </c>
      <c r="P289" s="7" t="inlineStr">
        <is>
          <t>USDA FoodData Central (SR Legacy / Foundation Foods), fdc.nal.usda.gov</t>
        </is>
      </c>
      <c r="Q289" s="6" t="inlineStr">
        <is>
          <t>2026-09-26</t>
        </is>
      </c>
    </row>
    <row r="290">
      <c r="A290" s="6" t="inlineStr">
        <is>
          <t>sugar_free_chocolate_chips</t>
        </is>
      </c>
      <c r="B290" s="6" t="inlineStr">
        <is>
          <t>Stevia-sweetened dark chocolate chips</t>
        </is>
      </c>
      <c r="C290" s="6" t="inlineStr">
        <is>
          <t>pantry</t>
        </is>
      </c>
      <c r="D290" s="6" t="n">
        <v>470</v>
      </c>
      <c r="E290" s="6" t="n">
        <v>6</v>
      </c>
      <c r="F290" s="6" t="n">
        <v>42</v>
      </c>
      <c r="G290" s="6" t="n">
        <v>20</v>
      </c>
      <c r="H290" s="6" t="n">
        <v>12</v>
      </c>
      <c r="I290" s="6" t="n">
        <v>8</v>
      </c>
      <c r="J290" s="6" t="n">
        <v>20</v>
      </c>
      <c r="K290" s="6" t="inlineStr">
        <is>
          <t>medium</t>
        </is>
      </c>
      <c r="L290" s="7" t="inlineStr">
        <is>
          <t>University of Sydney online GI database</t>
        </is>
      </c>
      <c r="M290" s="7" t="inlineStr">
        <is>
          <t>median of 1 tested foods, range 23-23</t>
        </is>
      </c>
      <c r="N290" s="6" t="n">
        <v>23</v>
      </c>
      <c r="O290" s="7" t="inlineStr">
        <is>
          <t>University of Sydney GI database, glycemicindex.com/gi-search (accessed 2026-09-16)</t>
        </is>
      </c>
      <c r="P290" s="7" t="inlineStr">
        <is>
          <t>USDA FoodData Central (SR Legacy / Foundation Foods), fdc.nal.usda.gov</t>
        </is>
      </c>
      <c r="Q290" s="6" t="inlineStr">
        <is>
          <t>2026-09-26</t>
        </is>
      </c>
    </row>
    <row r="291">
      <c r="A291" s="6" t="inlineStr">
        <is>
          <t>monk_fruit_sweetener</t>
        </is>
      </c>
      <c r="B291" s="6" t="inlineStr">
        <is>
          <t>Monk fruit/erythritol sweetener</t>
        </is>
      </c>
      <c r="C291" s="6" t="inlineStr">
        <is>
          <t>pantry</t>
        </is>
      </c>
      <c r="D291" s="6" t="n">
        <v>0</v>
      </c>
      <c r="E291" s="6" t="n">
        <v>0</v>
      </c>
      <c r="F291" s="6" t="n">
        <v>0</v>
      </c>
      <c r="G291" s="6" t="n">
        <v>0</v>
      </c>
      <c r="H291" s="6" t="n">
        <v>0</v>
      </c>
      <c r="I291" s="6" t="n">
        <v>0</v>
      </c>
      <c r="J291" s="6" t="n">
        <v>0</v>
      </c>
      <c r="K291" s="6" t="inlineStr">
        <is>
          <t>definitional</t>
        </is>
      </c>
      <c r="L291" s="7" t="inlineStr">
        <is>
          <t>No available carbohydrate — GI is 0 by definition (protein / fat / water)</t>
        </is>
      </c>
      <c r="M291" s="7" t="inlineStr">
        <is>
          <t>n/a</t>
        </is>
      </c>
      <c r="N291" s="6" t="n">
        <v>15</v>
      </c>
      <c r="O291" s="7" t="inlineStr">
        <is>
          <t>ISO 26642:2010</t>
        </is>
      </c>
      <c r="P291" s="7" t="inlineStr">
        <is>
          <t>USDA FoodData Central (SR Legacy / Foundation Foods), fdc.nal.usda.gov</t>
        </is>
      </c>
      <c r="Q291" s="6" t="inlineStr">
        <is>
          <t>2026-09-26</t>
        </is>
      </c>
    </row>
    <row r="292">
      <c r="A292" s="6" t="inlineStr">
        <is>
          <t>stevia</t>
        </is>
      </c>
      <c r="B292" s="6" t="inlineStr">
        <is>
          <t>Stevia (liquid)</t>
        </is>
      </c>
      <c r="C292" s="6" t="inlineStr">
        <is>
          <t>pantry</t>
        </is>
      </c>
      <c r="D292" s="6" t="n">
        <v>0</v>
      </c>
      <c r="E292" s="6" t="n">
        <v>0</v>
      </c>
      <c r="F292" s="6" t="n">
        <v>0</v>
      </c>
      <c r="G292" s="6" t="n">
        <v>0</v>
      </c>
      <c r="H292" s="6" t="n">
        <v>0</v>
      </c>
      <c r="I292" s="6" t="n">
        <v>0</v>
      </c>
      <c r="J292" s="6" t="n">
        <v>0</v>
      </c>
      <c r="K292" s="6" t="inlineStr">
        <is>
          <t>definitional</t>
        </is>
      </c>
      <c r="L292" s="7" t="inlineStr">
        <is>
          <t>No available carbohydrate — GI is 0 by definition (protein / fat / water)</t>
        </is>
      </c>
      <c r="M292" s="7" t="inlineStr">
        <is>
          <t>n/a</t>
        </is>
      </c>
      <c r="N292" s="6" t="n">
        <v>0</v>
      </c>
      <c r="O292" s="7" t="inlineStr">
        <is>
          <t>ISO 26642:2010</t>
        </is>
      </c>
      <c r="P292" s="7" t="inlineStr">
        <is>
          <t>USDA FoodData Central (SR Legacy / Foundation Foods), fdc.nal.usda.gov</t>
        </is>
      </c>
      <c r="Q292" s="6" t="inlineStr">
        <is>
          <t>2026-09-26</t>
        </is>
      </c>
    </row>
    <row r="293">
      <c r="A293" s="6" t="inlineStr">
        <is>
          <t>honey</t>
        </is>
      </c>
      <c r="B293" s="6" t="inlineStr">
        <is>
          <t>Honey (small amount)</t>
        </is>
      </c>
      <c r="C293" s="6" t="inlineStr">
        <is>
          <t>pantry</t>
        </is>
      </c>
      <c r="D293" s="6" t="n">
        <v>304</v>
      </c>
      <c r="E293" s="6" t="n">
        <v>0.3</v>
      </c>
      <c r="F293" s="6" t="n">
        <v>0</v>
      </c>
      <c r="G293" s="6" t="n">
        <v>82</v>
      </c>
      <c r="H293" s="6" t="n">
        <v>0.2</v>
      </c>
      <c r="I293" s="6" t="n">
        <v>81.8</v>
      </c>
      <c r="J293" s="6" t="n">
        <v>54</v>
      </c>
      <c r="K293" s="6" t="inlineStr">
        <is>
          <t>high</t>
        </is>
      </c>
      <c r="L293" s="7" t="inlineStr">
        <is>
          <t>2021 International Tables, Suppl. Table 1 (ISO 26642:2010-compliant studies)</t>
        </is>
      </c>
      <c r="M293" s="7" t="inlineStr">
        <is>
          <t>median of 2 tested foods, range 35-74</t>
        </is>
      </c>
      <c r="N293" s="6" t="n">
        <v>54</v>
      </c>
      <c r="O293" s="7" t="inlineStr">
        <is>
          <t>Atkinson FS, Brand-Miller JC, Foster-Powell K, Buyken AE, Goletzke J. International tables of glycemic index and glycemic load values 2021. Am J Clin Nutr 2021;114(5):1625-32. doi:10.1093/ajcn/nqab233</t>
        </is>
      </c>
      <c r="P293" s="7" t="inlineStr">
        <is>
          <t>USDA FoodData Central (SR Legacy / Foundation Foods), fdc.nal.usda.gov</t>
        </is>
      </c>
      <c r="Q293" s="6" t="inlineStr">
        <is>
          <t>2026-09-26</t>
        </is>
      </c>
    </row>
    <row r="294">
      <c r="A294" s="6" t="inlineStr">
        <is>
          <t>maple_syrup</t>
        </is>
      </c>
      <c r="B294" s="6" t="inlineStr">
        <is>
          <t>Pure maple syrup (small amount)</t>
        </is>
      </c>
      <c r="C294" s="6" t="inlineStr">
        <is>
          <t>pantry</t>
        </is>
      </c>
      <c r="D294" s="6" t="n">
        <v>260</v>
      </c>
      <c r="E294" s="6" t="n">
        <v>0</v>
      </c>
      <c r="F294" s="6" t="n">
        <v>0</v>
      </c>
      <c r="G294" s="6" t="n">
        <v>67</v>
      </c>
      <c r="H294" s="6" t="n">
        <v>0</v>
      </c>
      <c r="I294" s="6" t="n">
        <v>67</v>
      </c>
      <c r="J294" s="6" t="n">
        <v>54</v>
      </c>
      <c r="K294" s="6" t="inlineStr">
        <is>
          <t>medium</t>
        </is>
      </c>
      <c r="L294" s="7" t="inlineStr">
        <is>
          <t>2021 International Tables, Suppl. Tables 1+2 (incl. studies with method deviations)</t>
        </is>
      </c>
      <c r="M294" s="7" t="inlineStr">
        <is>
          <t>median of 1 tested foods, range 54-54</t>
        </is>
      </c>
      <c r="N294" s="6" t="n">
        <v>54</v>
      </c>
      <c r="O294" s="7" t="inlineStr">
        <is>
          <t>Atkinson FS, Brand-Miller JC, Foster-Powell K, Buyken AE, Goletzke J. International tables of glycemic index and glycemic load values 2021. Am J Clin Nutr 2021;114(5):1625-32. doi:10.1093/ajcn/nqab233</t>
        </is>
      </c>
      <c r="P294" s="7" t="inlineStr">
        <is>
          <t>USDA FoodData Central (SR Legacy / Foundation Foods), fdc.nal.usda.gov</t>
        </is>
      </c>
      <c r="Q294" s="6" t="inlineStr">
        <is>
          <t>2026-09-26</t>
        </is>
      </c>
    </row>
    <row r="295">
      <c r="A295" s="6" t="inlineStr">
        <is>
          <t>vanilla_extract</t>
        </is>
      </c>
      <c r="B295" s="6" t="inlineStr">
        <is>
          <t>Vanilla extract</t>
        </is>
      </c>
      <c r="C295" s="6" t="inlineStr">
        <is>
          <t>pantry</t>
        </is>
      </c>
      <c r="D295" s="6" t="n">
        <v>288</v>
      </c>
      <c r="E295" s="6" t="n">
        <v>0</v>
      </c>
      <c r="F295" s="6" t="n">
        <v>0</v>
      </c>
      <c r="G295" s="6" t="n">
        <v>12.7</v>
      </c>
      <c r="H295" s="6" t="n">
        <v>0</v>
      </c>
      <c r="I295" s="6" t="n">
        <v>12.7</v>
      </c>
      <c r="J295" s="6" t="n">
        <v>0</v>
      </c>
      <c r="K295" s="6" t="inlineStr">
        <is>
          <t>low</t>
        </is>
      </c>
      <c r="L295" s="7" t="inlineStr">
        <is>
          <t>Estimated from the closest tested food; no direct measurement found in the pooled sources</t>
        </is>
      </c>
      <c r="M295" s="7" t="inlineStr">
        <is>
          <t>no direct match</t>
        </is>
      </c>
      <c r="N295" s="6" t="inlineStr"/>
      <c r="O29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95" s="7" t="inlineStr">
        <is>
          <t>USDA FoodData Central (SR Legacy / Foundation Foods), fdc.nal.usda.gov</t>
        </is>
      </c>
      <c r="Q295" s="6" t="inlineStr">
        <is>
          <t>2026-09-26</t>
        </is>
      </c>
    </row>
    <row r="296">
      <c r="A296" s="6" t="inlineStr">
        <is>
          <t>gelatin</t>
        </is>
      </c>
      <c r="B296" s="6" t="inlineStr">
        <is>
          <t>Unflavored gelatin</t>
        </is>
      </c>
      <c r="C296" s="6" t="inlineStr">
        <is>
          <t>pantry</t>
        </is>
      </c>
      <c r="D296" s="6" t="n">
        <v>335</v>
      </c>
      <c r="E296" s="6" t="n">
        <v>85</v>
      </c>
      <c r="F296" s="6" t="n">
        <v>0</v>
      </c>
      <c r="G296" s="6" t="n">
        <v>0</v>
      </c>
      <c r="H296" s="6" t="n">
        <v>0</v>
      </c>
      <c r="I296" s="6" t="n">
        <v>0</v>
      </c>
      <c r="J296" s="6" t="n">
        <v>0</v>
      </c>
      <c r="K296" s="6" t="inlineStr">
        <is>
          <t>definitional</t>
        </is>
      </c>
      <c r="L296" s="7" t="inlineStr">
        <is>
          <t>No available carbohydrate — GI is 0 by definition (protein / fat / water)</t>
        </is>
      </c>
      <c r="M296" s="7" t="inlineStr">
        <is>
          <t>n/a</t>
        </is>
      </c>
      <c r="N296" s="6" t="inlineStr"/>
      <c r="O296" s="7" t="inlineStr">
        <is>
          <t>ISO 26642:2010</t>
        </is>
      </c>
      <c r="P296" s="7" t="inlineStr">
        <is>
          <t>USDA FoodData Central (SR Legacy / Foundation Foods), fdc.nal.usda.gov</t>
        </is>
      </c>
      <c r="Q296" s="6" t="inlineStr">
        <is>
          <t>2026-09-26</t>
        </is>
      </c>
    </row>
    <row r="297">
      <c r="A297" s="6" t="inlineStr">
        <is>
          <t>baking_powder</t>
        </is>
      </c>
      <c r="B297" s="6" t="inlineStr">
        <is>
          <t>Baking powder</t>
        </is>
      </c>
      <c r="C297" s="6" t="inlineStr">
        <is>
          <t>pantry</t>
        </is>
      </c>
      <c r="D297" s="6" t="n">
        <v>53</v>
      </c>
      <c r="E297" s="6" t="n">
        <v>0</v>
      </c>
      <c r="F297" s="6" t="n">
        <v>0</v>
      </c>
      <c r="G297" s="6" t="n">
        <v>28</v>
      </c>
      <c r="H297" s="6" t="n">
        <v>0</v>
      </c>
      <c r="I297" s="6" t="n">
        <v>28</v>
      </c>
      <c r="J297" s="6" t="n">
        <v>0</v>
      </c>
      <c r="K297" s="6" t="inlineStr">
        <is>
          <t>low</t>
        </is>
      </c>
      <c r="L297" s="7" t="inlineStr">
        <is>
          <t>Estimated from the closest tested food; no direct measurement found in the pooled sources</t>
        </is>
      </c>
      <c r="M297" s="7" t="inlineStr">
        <is>
          <t>no direct match</t>
        </is>
      </c>
      <c r="N297" s="6" t="inlineStr"/>
      <c r="O297"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297" s="7" t="inlineStr">
        <is>
          <t>USDA FoodData Central (SR Legacy / Foundation Foods), fdc.nal.usda.gov</t>
        </is>
      </c>
      <c r="Q297" s="6" t="inlineStr">
        <is>
          <t>2026-09-26</t>
        </is>
      </c>
    </row>
    <row r="298">
      <c r="A298" s="6" t="inlineStr">
        <is>
          <t>baking_soda</t>
        </is>
      </c>
      <c r="B298" s="6" t="inlineStr">
        <is>
          <t>Baking soda</t>
        </is>
      </c>
      <c r="C298" s="6" t="inlineStr">
        <is>
          <t>pantry</t>
        </is>
      </c>
      <c r="D298" s="6" t="n">
        <v>0</v>
      </c>
      <c r="E298" s="6" t="n">
        <v>0</v>
      </c>
      <c r="F298" s="6" t="n">
        <v>0</v>
      </c>
      <c r="G298" s="6" t="n">
        <v>0</v>
      </c>
      <c r="H298" s="6" t="n">
        <v>0</v>
      </c>
      <c r="I298" s="6" t="n">
        <v>0</v>
      </c>
      <c r="J298" s="6" t="n">
        <v>0</v>
      </c>
      <c r="K298" s="6" t="inlineStr">
        <is>
          <t>definitional</t>
        </is>
      </c>
      <c r="L298" s="7" t="inlineStr">
        <is>
          <t>No available carbohydrate — GI is 0 by definition (protein / fat / water)</t>
        </is>
      </c>
      <c r="M298" s="7" t="inlineStr">
        <is>
          <t>n/a</t>
        </is>
      </c>
      <c r="N298" s="6" t="inlineStr"/>
      <c r="O298" s="7" t="inlineStr">
        <is>
          <t>ISO 26642:2010</t>
        </is>
      </c>
      <c r="P298" s="7" t="inlineStr">
        <is>
          <t>USDA FoodData Central (SR Legacy / Foundation Foods), fdc.nal.usda.gov</t>
        </is>
      </c>
      <c r="Q298" s="6" t="inlineStr">
        <is>
          <t>2026-09-26</t>
        </is>
      </c>
    </row>
    <row r="299">
      <c r="A299" s="6" t="inlineStr">
        <is>
          <t>coffee</t>
        </is>
      </c>
      <c r="B299" s="6" t="inlineStr">
        <is>
          <t>Brewed coffee / espresso</t>
        </is>
      </c>
      <c r="C299" s="6" t="inlineStr">
        <is>
          <t>drink</t>
        </is>
      </c>
      <c r="D299" s="6" t="n">
        <v>1</v>
      </c>
      <c r="E299" s="6" t="n">
        <v>0.1</v>
      </c>
      <c r="F299" s="6" t="n">
        <v>0</v>
      </c>
      <c r="G299" s="6" t="n">
        <v>0</v>
      </c>
      <c r="H299" s="6" t="n">
        <v>0</v>
      </c>
      <c r="I299" s="6" t="n">
        <v>0</v>
      </c>
      <c r="J299" s="6" t="n">
        <v>0</v>
      </c>
      <c r="K299" s="6" t="inlineStr">
        <is>
          <t>definitional</t>
        </is>
      </c>
      <c r="L299" s="7" t="inlineStr">
        <is>
          <t>No available carbohydrate — GI is 0 by definition (protein / fat / water)</t>
        </is>
      </c>
      <c r="M299" s="7" t="inlineStr">
        <is>
          <t>n/a</t>
        </is>
      </c>
      <c r="N299" s="6" t="inlineStr"/>
      <c r="O299" s="7" t="inlineStr">
        <is>
          <t>ISO 26642:2010</t>
        </is>
      </c>
      <c r="P299" s="7" t="inlineStr">
        <is>
          <t>USDA FoodData Central (SR Legacy / Foundation Foods), fdc.nal.usda.gov</t>
        </is>
      </c>
      <c r="Q299" s="6" t="inlineStr">
        <is>
          <t>2026-09-26</t>
        </is>
      </c>
    </row>
    <row r="300">
      <c r="A300" s="6" t="inlineStr">
        <is>
          <t>green_tea</t>
        </is>
      </c>
      <c r="B300" s="6" t="inlineStr">
        <is>
          <t>Brewed green tea</t>
        </is>
      </c>
      <c r="C300" s="6" t="inlineStr">
        <is>
          <t>drink</t>
        </is>
      </c>
      <c r="D300" s="6" t="n">
        <v>0</v>
      </c>
      <c r="E300" s="6" t="n">
        <v>0</v>
      </c>
      <c r="F300" s="6" t="n">
        <v>0</v>
      </c>
      <c r="G300" s="6" t="n">
        <v>0</v>
      </c>
      <c r="H300" s="6" t="n">
        <v>0</v>
      </c>
      <c r="I300" s="6" t="n">
        <v>0</v>
      </c>
      <c r="J300" s="6" t="n">
        <v>0</v>
      </c>
      <c r="K300" s="6" t="inlineStr">
        <is>
          <t>definitional</t>
        </is>
      </c>
      <c r="L300" s="7" t="inlineStr">
        <is>
          <t>No available carbohydrate — GI is 0 by definition (protein / fat / water)</t>
        </is>
      </c>
      <c r="M300" s="7" t="inlineStr">
        <is>
          <t>n/a</t>
        </is>
      </c>
      <c r="N300" s="6" t="inlineStr"/>
      <c r="O300" s="7" t="inlineStr">
        <is>
          <t>ISO 26642:2010</t>
        </is>
      </c>
      <c r="P300" s="7" t="inlineStr">
        <is>
          <t>USDA FoodData Central (SR Legacy / Foundation Foods), fdc.nal.usda.gov</t>
        </is>
      </c>
      <c r="Q300" s="6" t="inlineStr">
        <is>
          <t>2026-09-26</t>
        </is>
      </c>
    </row>
    <row r="301">
      <c r="A301" s="6" t="inlineStr">
        <is>
          <t>water</t>
        </is>
      </c>
      <c r="B301" s="6" t="inlineStr">
        <is>
          <t>Water / ice</t>
        </is>
      </c>
      <c r="C301" s="6" t="inlineStr">
        <is>
          <t>drink</t>
        </is>
      </c>
      <c r="D301" s="6" t="n">
        <v>0</v>
      </c>
      <c r="E301" s="6" t="n">
        <v>0</v>
      </c>
      <c r="F301" s="6" t="n">
        <v>0</v>
      </c>
      <c r="G301" s="6" t="n">
        <v>0</v>
      </c>
      <c r="H301" s="6" t="n">
        <v>0</v>
      </c>
      <c r="I301" s="6" t="n">
        <v>0</v>
      </c>
      <c r="J301" s="6" t="n">
        <v>0</v>
      </c>
      <c r="K301" s="6" t="inlineStr">
        <is>
          <t>definitional</t>
        </is>
      </c>
      <c r="L301" s="7" t="inlineStr">
        <is>
          <t>No available carbohydrate — GI is 0 by definition (protein / fat / water)</t>
        </is>
      </c>
      <c r="M301" s="7" t="inlineStr">
        <is>
          <t>n/a</t>
        </is>
      </c>
      <c r="N301" s="6" t="inlineStr"/>
      <c r="O301" s="7" t="inlineStr">
        <is>
          <t>ISO 26642:2010</t>
        </is>
      </c>
      <c r="P301" s="7" t="inlineStr">
        <is>
          <t>USDA FoodData Central (SR Legacy / Foundation Foods), fdc.nal.usda.gov</t>
        </is>
      </c>
      <c r="Q301" s="6" t="inlineStr">
        <is>
          <t>2026-09-26</t>
        </is>
      </c>
    </row>
    <row r="302">
      <c r="A302" s="6" t="inlineStr">
        <is>
          <t>sparkling_water</t>
        </is>
      </c>
      <c r="B302" s="6" t="inlineStr">
        <is>
          <t>Sparkling water</t>
        </is>
      </c>
      <c r="C302" s="6" t="inlineStr">
        <is>
          <t>drink</t>
        </is>
      </c>
      <c r="D302" s="6" t="n">
        <v>0</v>
      </c>
      <c r="E302" s="6" t="n">
        <v>0</v>
      </c>
      <c r="F302" s="6" t="n">
        <v>0</v>
      </c>
      <c r="G302" s="6" t="n">
        <v>0</v>
      </c>
      <c r="H302" s="6" t="n">
        <v>0</v>
      </c>
      <c r="I302" s="6" t="n">
        <v>0</v>
      </c>
      <c r="J302" s="6" t="n">
        <v>0</v>
      </c>
      <c r="K302" s="6" t="inlineStr">
        <is>
          <t>definitional</t>
        </is>
      </c>
      <c r="L302" s="7" t="inlineStr">
        <is>
          <t>No available carbohydrate — GI is 0 by definition (protein / fat / water)</t>
        </is>
      </c>
      <c r="M302" s="7" t="inlineStr">
        <is>
          <t>n/a</t>
        </is>
      </c>
      <c r="N302" s="6" t="inlineStr"/>
      <c r="O302" s="7" t="inlineStr">
        <is>
          <t>ISO 26642:2010</t>
        </is>
      </c>
      <c r="P302" s="7" t="inlineStr">
        <is>
          <t>USDA FoodData Central (SR Legacy / Foundation Foods), fdc.nal.usda.gov</t>
        </is>
      </c>
      <c r="Q302" s="6" t="inlineStr">
        <is>
          <t>2026-09-26</t>
        </is>
      </c>
    </row>
    <row r="303">
      <c r="A303" s="6" t="inlineStr">
        <is>
          <t>red_wine</t>
        </is>
      </c>
      <c r="B303" s="6" t="inlineStr">
        <is>
          <t>Dry red wine (cooking)</t>
        </is>
      </c>
      <c r="C303" s="6" t="inlineStr">
        <is>
          <t>pantry</t>
        </is>
      </c>
      <c r="D303" s="6" t="n">
        <v>85</v>
      </c>
      <c r="E303" s="6" t="n">
        <v>0</v>
      </c>
      <c r="F303" s="6" t="n">
        <v>0</v>
      </c>
      <c r="G303" s="6" t="n">
        <v>2.6</v>
      </c>
      <c r="H303" s="6" t="n">
        <v>0</v>
      </c>
      <c r="I303" s="6" t="n">
        <v>2.6</v>
      </c>
      <c r="J303" s="6" t="n">
        <v>0</v>
      </c>
      <c r="K303" s="6" t="inlineStr">
        <is>
          <t>low</t>
        </is>
      </c>
      <c r="L303" s="7" t="inlineStr">
        <is>
          <t>Estimated from the closest tested food; no direct measurement found in the pooled sources</t>
        </is>
      </c>
      <c r="M303" s="7" t="inlineStr">
        <is>
          <t>no direct match</t>
        </is>
      </c>
      <c r="N303" s="6" t="inlineStr"/>
      <c r="O303"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303" s="7" t="inlineStr">
        <is>
          <t>USDA FoodData Central (SR Legacy / Foundation Foods), fdc.nal.usda.gov</t>
        </is>
      </c>
      <c r="Q303" s="6" t="inlineStr">
        <is>
          <t>2026-09-26</t>
        </is>
      </c>
    </row>
    <row r="304">
      <c r="A304" s="6" t="inlineStr">
        <is>
          <t>white_wine</t>
        </is>
      </c>
      <c r="B304" s="6" t="inlineStr">
        <is>
          <t>Dry white wine (cooking)</t>
        </is>
      </c>
      <c r="C304" s="6" t="inlineStr">
        <is>
          <t>pantry</t>
        </is>
      </c>
      <c r="D304" s="6" t="n">
        <v>82</v>
      </c>
      <c r="E304" s="6" t="n">
        <v>0</v>
      </c>
      <c r="F304" s="6" t="n">
        <v>0</v>
      </c>
      <c r="G304" s="6" t="n">
        <v>2.6</v>
      </c>
      <c r="H304" s="6" t="n">
        <v>0</v>
      </c>
      <c r="I304" s="6" t="n">
        <v>2.6</v>
      </c>
      <c r="J304" s="6" t="n">
        <v>0</v>
      </c>
      <c r="K304" s="6" t="inlineStr">
        <is>
          <t>low</t>
        </is>
      </c>
      <c r="L304" s="7" t="inlineStr">
        <is>
          <t>Estimated from the closest tested food; no direct measurement found in the pooled sources</t>
        </is>
      </c>
      <c r="M304" s="7" t="inlineStr">
        <is>
          <t>no direct match</t>
        </is>
      </c>
      <c r="N304" s="6" t="inlineStr"/>
      <c r="O304"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304" s="7" t="inlineStr">
        <is>
          <t>USDA FoodData Central (SR Legacy / Foundation Foods), fdc.nal.usda.gov</t>
        </is>
      </c>
      <c r="Q304" s="6" t="inlineStr">
        <is>
          <t>2026-09-26</t>
        </is>
      </c>
    </row>
    <row r="305">
      <c r="A305" s="6" t="inlineStr">
        <is>
          <t>pork_rinds</t>
        </is>
      </c>
      <c r="B305" s="6" t="inlineStr">
        <is>
          <t>Pork rinds, crushed</t>
        </is>
      </c>
      <c r="C305" s="6" t="inlineStr">
        <is>
          <t>protein</t>
        </is>
      </c>
      <c r="D305" s="6" t="n">
        <v>544</v>
      </c>
      <c r="E305" s="6" t="n">
        <v>61</v>
      </c>
      <c r="F305" s="6" t="n">
        <v>31</v>
      </c>
      <c r="G305" s="6" t="n">
        <v>0</v>
      </c>
      <c r="H305" s="6" t="n">
        <v>0</v>
      </c>
      <c r="I305" s="6" t="n">
        <v>0</v>
      </c>
      <c r="J305" s="6" t="n">
        <v>0</v>
      </c>
      <c r="K305" s="6" t="inlineStr">
        <is>
          <t>definitional</t>
        </is>
      </c>
      <c r="L305" s="7" t="inlineStr">
        <is>
          <t>No available carbohydrate — GI is 0 by definition (protein / fat / water)</t>
        </is>
      </c>
      <c r="M305" s="7" t="inlineStr">
        <is>
          <t>n/a</t>
        </is>
      </c>
      <c r="N305" s="6" t="inlineStr"/>
      <c r="O305" s="7" t="inlineStr">
        <is>
          <t>ISO 26642:2010</t>
        </is>
      </c>
      <c r="P305" s="7" t="inlineStr">
        <is>
          <t>USDA FoodData Central (SR Legacy / Foundation Foods), fdc.nal.usda.gov</t>
        </is>
      </c>
      <c r="Q305" s="6" t="inlineStr">
        <is>
          <t>2026-09-26</t>
        </is>
      </c>
    </row>
    <row r="306">
      <c r="A306" s="6" t="inlineStr">
        <is>
          <t>basil</t>
        </is>
      </c>
      <c r="B306" s="6" t="inlineStr">
        <is>
          <t>Fresh basil</t>
        </is>
      </c>
      <c r="C306" s="6" t="inlineStr">
        <is>
          <t>herb</t>
        </is>
      </c>
      <c r="D306" s="6" t="n">
        <v>23</v>
      </c>
      <c r="E306" s="6" t="n">
        <v>3.2</v>
      </c>
      <c r="F306" s="6" t="n">
        <v>0.6</v>
      </c>
      <c r="G306" s="6" t="n">
        <v>2.7</v>
      </c>
      <c r="H306" s="6" t="n">
        <v>1.6</v>
      </c>
      <c r="I306" s="6" t="n">
        <v>1.1</v>
      </c>
      <c r="J306" s="6" t="n">
        <v>15</v>
      </c>
      <c r="K306" s="6" t="inlineStr">
        <is>
          <t>none (placeholder)</t>
        </is>
      </c>
      <c r="L306" s="7" t="inlineStr">
        <is>
          <t>Conventional placeholder for foods with too little carbohydrate to test (non-starchy vegetables, nuts, seeds, herbs); no published measurement exists</t>
        </is>
      </c>
      <c r="M306" s="7" t="inlineStr">
        <is>
          <t>not measurable</t>
        </is>
      </c>
      <c r="N306" s="6" t="inlineStr"/>
      <c r="O306" s="7" t="inlineStr">
        <is>
          <t>clinical convention</t>
        </is>
      </c>
      <c r="P306" s="7" t="inlineStr">
        <is>
          <t>USDA FoodData Central (SR Legacy / Foundation Foods), fdc.nal.usda.gov</t>
        </is>
      </c>
      <c r="Q306" s="6" t="inlineStr">
        <is>
          <t>2026-09-26</t>
        </is>
      </c>
    </row>
    <row r="307">
      <c r="A307" s="6" t="inlineStr">
        <is>
          <t>cilantro</t>
        </is>
      </c>
      <c r="B307" s="6" t="inlineStr">
        <is>
          <t>Fresh cilantro</t>
        </is>
      </c>
      <c r="C307" s="6" t="inlineStr">
        <is>
          <t>herb</t>
        </is>
      </c>
      <c r="D307" s="6" t="n">
        <v>23</v>
      </c>
      <c r="E307" s="6" t="n">
        <v>2.1</v>
      </c>
      <c r="F307" s="6" t="n">
        <v>0.5</v>
      </c>
      <c r="G307" s="6" t="n">
        <v>3.7</v>
      </c>
      <c r="H307" s="6" t="n">
        <v>2.8</v>
      </c>
      <c r="I307" s="6" t="n">
        <v>0.9</v>
      </c>
      <c r="J307" s="6" t="n">
        <v>15</v>
      </c>
      <c r="K307" s="6" t="inlineStr">
        <is>
          <t>none (placeholder)</t>
        </is>
      </c>
      <c r="L307" s="7" t="inlineStr">
        <is>
          <t>Conventional placeholder for foods with too little carbohydrate to test (non-starchy vegetables, nuts, seeds, herbs); no published measurement exists</t>
        </is>
      </c>
      <c r="M307" s="7" t="inlineStr">
        <is>
          <t>not measurable</t>
        </is>
      </c>
      <c r="N307" s="6" t="inlineStr"/>
      <c r="O307" s="7" t="inlineStr">
        <is>
          <t>clinical convention</t>
        </is>
      </c>
      <c r="P307" s="7" t="inlineStr">
        <is>
          <t>USDA FoodData Central (SR Legacy / Foundation Foods), fdc.nal.usda.gov</t>
        </is>
      </c>
      <c r="Q307" s="6" t="inlineStr">
        <is>
          <t>2026-09-26</t>
        </is>
      </c>
    </row>
    <row r="308">
      <c r="A308" s="6" t="inlineStr">
        <is>
          <t>parsley</t>
        </is>
      </c>
      <c r="B308" s="6" t="inlineStr">
        <is>
          <t>Fresh parsley</t>
        </is>
      </c>
      <c r="C308" s="6" t="inlineStr">
        <is>
          <t>herb</t>
        </is>
      </c>
      <c r="D308" s="6" t="n">
        <v>36</v>
      </c>
      <c r="E308" s="6" t="n">
        <v>3</v>
      </c>
      <c r="F308" s="6" t="n">
        <v>0.8</v>
      </c>
      <c r="G308" s="6" t="n">
        <v>6.3</v>
      </c>
      <c r="H308" s="6" t="n">
        <v>3.3</v>
      </c>
      <c r="I308" s="6" t="n">
        <v>3</v>
      </c>
      <c r="J308" s="6" t="n">
        <v>15</v>
      </c>
      <c r="K308" s="6" t="inlineStr">
        <is>
          <t>none (placeholder)</t>
        </is>
      </c>
      <c r="L308" s="7" t="inlineStr">
        <is>
          <t>Conventional placeholder for foods with too little carbohydrate to test (non-starchy vegetables, nuts, seeds, herbs); no published measurement exists</t>
        </is>
      </c>
      <c r="M308" s="7" t="inlineStr">
        <is>
          <t>not measurable</t>
        </is>
      </c>
      <c r="N308" s="6" t="inlineStr"/>
      <c r="O308" s="7" t="inlineStr">
        <is>
          <t>clinical convention</t>
        </is>
      </c>
      <c r="P308" s="7" t="inlineStr">
        <is>
          <t>USDA FoodData Central (SR Legacy / Foundation Foods), fdc.nal.usda.gov</t>
        </is>
      </c>
      <c r="Q308" s="6" t="inlineStr">
        <is>
          <t>2026-09-26</t>
        </is>
      </c>
    </row>
    <row r="309">
      <c r="A309" s="6" t="inlineStr">
        <is>
          <t>dill</t>
        </is>
      </c>
      <c r="B309" s="6" t="inlineStr">
        <is>
          <t>Fresh dill</t>
        </is>
      </c>
      <c r="C309" s="6" t="inlineStr">
        <is>
          <t>herb</t>
        </is>
      </c>
      <c r="D309" s="6" t="n">
        <v>43</v>
      </c>
      <c r="E309" s="6" t="n">
        <v>3.5</v>
      </c>
      <c r="F309" s="6" t="n">
        <v>1.1</v>
      </c>
      <c r="G309" s="6" t="n">
        <v>7</v>
      </c>
      <c r="H309" s="6" t="n">
        <v>2.1</v>
      </c>
      <c r="I309" s="6" t="n">
        <v>4.9</v>
      </c>
      <c r="J309" s="6" t="n">
        <v>15</v>
      </c>
      <c r="K309" s="6" t="inlineStr">
        <is>
          <t>none (placeholder)</t>
        </is>
      </c>
      <c r="L309" s="7" t="inlineStr">
        <is>
          <t>Conventional placeholder for foods with too little carbohydrate to test (non-starchy vegetables, nuts, seeds, herbs); no published measurement exists</t>
        </is>
      </c>
      <c r="M309" s="7" t="inlineStr">
        <is>
          <t>not measurable</t>
        </is>
      </c>
      <c r="N309" s="6" t="inlineStr"/>
      <c r="O309" s="7" t="inlineStr">
        <is>
          <t>clinical convention</t>
        </is>
      </c>
      <c r="P309" s="7" t="inlineStr">
        <is>
          <t>USDA FoodData Central (SR Legacy / Foundation Foods), fdc.nal.usda.gov</t>
        </is>
      </c>
      <c r="Q309" s="6" t="inlineStr">
        <is>
          <t>2026-09-26</t>
        </is>
      </c>
    </row>
    <row r="310">
      <c r="A310" s="6" t="inlineStr">
        <is>
          <t>mint</t>
        </is>
      </c>
      <c r="B310" s="6" t="inlineStr">
        <is>
          <t>Fresh mint</t>
        </is>
      </c>
      <c r="C310" s="6" t="inlineStr">
        <is>
          <t>herb</t>
        </is>
      </c>
      <c r="D310" s="6" t="n">
        <v>44</v>
      </c>
      <c r="E310" s="6" t="n">
        <v>3.3</v>
      </c>
      <c r="F310" s="6" t="n">
        <v>0.7</v>
      </c>
      <c r="G310" s="6" t="n">
        <v>8.4</v>
      </c>
      <c r="H310" s="6" t="n">
        <v>6.8</v>
      </c>
      <c r="I310" s="6" t="n">
        <v>1.6</v>
      </c>
      <c r="J310" s="6" t="n">
        <v>15</v>
      </c>
      <c r="K310" s="6" t="inlineStr">
        <is>
          <t>none (placeholder)</t>
        </is>
      </c>
      <c r="L310" s="7" t="inlineStr">
        <is>
          <t>Conventional placeholder for foods with too little carbohydrate to test (non-starchy vegetables, nuts, seeds, herbs); no published measurement exists</t>
        </is>
      </c>
      <c r="M310" s="7" t="inlineStr">
        <is>
          <t>not measurable</t>
        </is>
      </c>
      <c r="N310" s="6" t="inlineStr"/>
      <c r="O310" s="7" t="inlineStr">
        <is>
          <t>clinical convention</t>
        </is>
      </c>
      <c r="P310" s="7" t="inlineStr">
        <is>
          <t>USDA FoodData Central (SR Legacy / Foundation Foods), fdc.nal.usda.gov</t>
        </is>
      </c>
      <c r="Q310" s="6" t="inlineStr">
        <is>
          <t>2026-09-26</t>
        </is>
      </c>
    </row>
    <row r="311">
      <c r="A311" s="6" t="inlineStr">
        <is>
          <t>chives</t>
        </is>
      </c>
      <c r="B311" s="6" t="inlineStr">
        <is>
          <t>Fresh chives</t>
        </is>
      </c>
      <c r="C311" s="6" t="inlineStr">
        <is>
          <t>herb</t>
        </is>
      </c>
      <c r="D311" s="6" t="n">
        <v>30</v>
      </c>
      <c r="E311" s="6" t="n">
        <v>3.3</v>
      </c>
      <c r="F311" s="6" t="n">
        <v>0.7</v>
      </c>
      <c r="G311" s="6" t="n">
        <v>4.4</v>
      </c>
      <c r="H311" s="6" t="n">
        <v>2.5</v>
      </c>
      <c r="I311" s="6" t="n">
        <v>1.9</v>
      </c>
      <c r="J311" s="6" t="n">
        <v>15</v>
      </c>
      <c r="K311" s="6" t="inlineStr">
        <is>
          <t>none (placeholder)</t>
        </is>
      </c>
      <c r="L311" s="7" t="inlineStr">
        <is>
          <t>Conventional placeholder for foods with too little carbohydrate to test (non-starchy vegetables, nuts, seeds, herbs); no published measurement exists</t>
        </is>
      </c>
      <c r="M311" s="7" t="inlineStr">
        <is>
          <t>not measurable</t>
        </is>
      </c>
      <c r="N311" s="6" t="inlineStr"/>
      <c r="O311" s="7" t="inlineStr">
        <is>
          <t>clinical convention</t>
        </is>
      </c>
      <c r="P311" s="7" t="inlineStr">
        <is>
          <t>USDA FoodData Central (SR Legacy / Foundation Foods), fdc.nal.usda.gov</t>
        </is>
      </c>
      <c r="Q311" s="6" t="inlineStr">
        <is>
          <t>2026-09-26</t>
        </is>
      </c>
    </row>
    <row r="312">
      <c r="A312" s="6" t="inlineStr">
        <is>
          <t>rosemary</t>
        </is>
      </c>
      <c r="B312" s="6" t="inlineStr">
        <is>
          <t>Fresh rosemary</t>
        </is>
      </c>
      <c r="C312" s="6" t="inlineStr">
        <is>
          <t>herb</t>
        </is>
      </c>
      <c r="D312" s="6" t="n">
        <v>131</v>
      </c>
      <c r="E312" s="6" t="n">
        <v>3.3</v>
      </c>
      <c r="F312" s="6" t="n">
        <v>5.9</v>
      </c>
      <c r="G312" s="6" t="n">
        <v>20.7</v>
      </c>
      <c r="H312" s="6" t="n">
        <v>14.1</v>
      </c>
      <c r="I312" s="6" t="n">
        <v>6.6</v>
      </c>
      <c r="J312" s="6" t="n">
        <v>15</v>
      </c>
      <c r="K312" s="6" t="inlineStr">
        <is>
          <t>none (placeholder)</t>
        </is>
      </c>
      <c r="L312" s="7" t="inlineStr">
        <is>
          <t>Conventional placeholder for foods with too little carbohydrate to test (non-starchy vegetables, nuts, seeds, herbs); no published measurement exists</t>
        </is>
      </c>
      <c r="M312" s="7" t="inlineStr">
        <is>
          <t>not measurable</t>
        </is>
      </c>
      <c r="N312" s="6" t="inlineStr"/>
      <c r="O312" s="7" t="inlineStr">
        <is>
          <t>clinical convention</t>
        </is>
      </c>
      <c r="P312" s="7" t="inlineStr">
        <is>
          <t>USDA FoodData Central (SR Legacy / Foundation Foods), fdc.nal.usda.gov</t>
        </is>
      </c>
      <c r="Q312" s="6" t="inlineStr">
        <is>
          <t>2026-09-26</t>
        </is>
      </c>
    </row>
    <row r="313">
      <c r="A313" s="6" t="inlineStr">
        <is>
          <t>thyme</t>
        </is>
      </c>
      <c r="B313" s="6" t="inlineStr">
        <is>
          <t>Fresh thyme</t>
        </is>
      </c>
      <c r="C313" s="6" t="inlineStr">
        <is>
          <t>herb</t>
        </is>
      </c>
      <c r="D313" s="6" t="n">
        <v>101</v>
      </c>
      <c r="E313" s="6" t="n">
        <v>5.6</v>
      </c>
      <c r="F313" s="6" t="n">
        <v>1.7</v>
      </c>
      <c r="G313" s="6" t="n">
        <v>24</v>
      </c>
      <c r="H313" s="6" t="n">
        <v>14</v>
      </c>
      <c r="I313" s="6" t="n">
        <v>10</v>
      </c>
      <c r="J313" s="6" t="n">
        <v>15</v>
      </c>
      <c r="K313" s="6" t="inlineStr">
        <is>
          <t>none (placeholder)</t>
        </is>
      </c>
      <c r="L313" s="7" t="inlineStr">
        <is>
          <t>Conventional placeholder for foods with too little carbohydrate to test (non-starchy vegetables, nuts, seeds, herbs); no published measurement exists</t>
        </is>
      </c>
      <c r="M313" s="7" t="inlineStr">
        <is>
          <t>not measurable</t>
        </is>
      </c>
      <c r="N313" s="6" t="inlineStr"/>
      <c r="O313" s="7" t="inlineStr">
        <is>
          <t>clinical convention</t>
        </is>
      </c>
      <c r="P313" s="7" t="inlineStr">
        <is>
          <t>USDA FoodData Central (SR Legacy / Foundation Foods), fdc.nal.usda.gov</t>
        </is>
      </c>
      <c r="Q313" s="6" t="inlineStr">
        <is>
          <t>2026-09-26</t>
        </is>
      </c>
    </row>
    <row r="314">
      <c r="A314" s="6" t="inlineStr">
        <is>
          <t>oregano_fresh</t>
        </is>
      </c>
      <c r="B314" s="6" t="inlineStr">
        <is>
          <t>Fresh oregano</t>
        </is>
      </c>
      <c r="C314" s="6" t="inlineStr">
        <is>
          <t>herb</t>
        </is>
      </c>
      <c r="D314" s="6" t="n">
        <v>66</v>
      </c>
      <c r="E314" s="6" t="n">
        <v>2.2</v>
      </c>
      <c r="F314" s="6" t="n">
        <v>1.4</v>
      </c>
      <c r="G314" s="6" t="n">
        <v>15</v>
      </c>
      <c r="H314" s="6" t="n">
        <v>8.6</v>
      </c>
      <c r="I314" s="6" t="n">
        <v>6.4</v>
      </c>
      <c r="J314" s="6" t="n">
        <v>15</v>
      </c>
      <c r="K314" s="6" t="inlineStr">
        <is>
          <t>none (placeholder)</t>
        </is>
      </c>
      <c r="L314" s="7" t="inlineStr">
        <is>
          <t>Conventional placeholder for foods with too little carbohydrate to test (non-starchy vegetables, nuts, seeds, herbs); no published measurement exists</t>
        </is>
      </c>
      <c r="M314" s="7" t="inlineStr">
        <is>
          <t>not measurable</t>
        </is>
      </c>
      <c r="N314" s="6" t="inlineStr"/>
      <c r="O314" s="7" t="inlineStr">
        <is>
          <t>clinical convention</t>
        </is>
      </c>
      <c r="P314" s="7" t="inlineStr">
        <is>
          <t>USDA FoodData Central (SR Legacy / Foundation Foods), fdc.nal.usda.gov</t>
        </is>
      </c>
      <c r="Q314" s="6" t="inlineStr">
        <is>
          <t>2026-09-26</t>
        </is>
      </c>
    </row>
    <row r="315">
      <c r="A315" s="6" t="inlineStr">
        <is>
          <t>sage</t>
        </is>
      </c>
      <c r="B315" s="6" t="inlineStr">
        <is>
          <t>Fresh sage</t>
        </is>
      </c>
      <c r="C315" s="6" t="inlineStr">
        <is>
          <t>herb</t>
        </is>
      </c>
      <c r="D315" s="6" t="n">
        <v>315</v>
      </c>
      <c r="E315" s="6" t="n">
        <v>10.6</v>
      </c>
      <c r="F315" s="6" t="n">
        <v>12.7</v>
      </c>
      <c r="G315" s="6" t="n">
        <v>60</v>
      </c>
      <c r="H315" s="6" t="n">
        <v>40</v>
      </c>
      <c r="I315" s="6" t="n">
        <v>20</v>
      </c>
      <c r="J315" s="6" t="n">
        <v>15</v>
      </c>
      <c r="K315" s="6" t="inlineStr">
        <is>
          <t>none (placeholder)</t>
        </is>
      </c>
      <c r="L315" s="7" t="inlineStr">
        <is>
          <t>Conventional placeholder for foods with too little carbohydrate to test (non-starchy vegetables, nuts, seeds, herbs); no published measurement exists</t>
        </is>
      </c>
      <c r="M315" s="7" t="inlineStr">
        <is>
          <t>not measurable</t>
        </is>
      </c>
      <c r="N315" s="6" t="inlineStr"/>
      <c r="O315" s="7" t="inlineStr">
        <is>
          <t>clinical convention</t>
        </is>
      </c>
      <c r="P315" s="7" t="inlineStr">
        <is>
          <t>USDA FoodData Central (SR Legacy / Foundation Foods), fdc.nal.usda.gov</t>
        </is>
      </c>
      <c r="Q315" s="6" t="inlineStr">
        <is>
          <t>2026-09-26</t>
        </is>
      </c>
    </row>
    <row r="316">
      <c r="A316" s="6" t="inlineStr">
        <is>
          <t>lemongrass</t>
        </is>
      </c>
      <c r="B316" s="6" t="inlineStr">
        <is>
          <t>Lemongrass</t>
        </is>
      </c>
      <c r="C316" s="6" t="inlineStr">
        <is>
          <t>herb</t>
        </is>
      </c>
      <c r="D316" s="6" t="n">
        <v>99</v>
      </c>
      <c r="E316" s="6" t="n">
        <v>1.8</v>
      </c>
      <c r="F316" s="6" t="n">
        <v>0.5</v>
      </c>
      <c r="G316" s="6" t="n">
        <v>25</v>
      </c>
      <c r="H316" s="6" t="n">
        <v>0</v>
      </c>
      <c r="I316" s="6" t="n">
        <v>25</v>
      </c>
      <c r="J316" s="6" t="n">
        <v>15</v>
      </c>
      <c r="K316" s="6" t="inlineStr">
        <is>
          <t>none (placeholder)</t>
        </is>
      </c>
      <c r="L316" s="7" t="inlineStr">
        <is>
          <t>Conventional placeholder for foods with too little carbohydrate to test (non-starchy vegetables, nuts, seeds, herbs); no published measurement exists</t>
        </is>
      </c>
      <c r="M316" s="7" t="inlineStr">
        <is>
          <t>not measurable</t>
        </is>
      </c>
      <c r="N316" s="6" t="inlineStr"/>
      <c r="O316" s="7" t="inlineStr">
        <is>
          <t>clinical convention</t>
        </is>
      </c>
      <c r="P316" s="7" t="inlineStr">
        <is>
          <t>USDA FoodData Central (SR Legacy / Foundation Foods), fdc.nal.usda.gov</t>
        </is>
      </c>
      <c r="Q316" s="6" t="inlineStr">
        <is>
          <t>2026-09-26</t>
        </is>
      </c>
    </row>
    <row r="317">
      <c r="A317" s="6" t="inlineStr">
        <is>
          <t>salt</t>
        </is>
      </c>
      <c r="B317" s="6" t="inlineStr">
        <is>
          <t>Salt</t>
        </is>
      </c>
      <c r="C317" s="6" t="inlineStr">
        <is>
          <t>spice</t>
        </is>
      </c>
      <c r="D317" s="6" t="n">
        <v>0</v>
      </c>
      <c r="E317" s="6" t="n">
        <v>0</v>
      </c>
      <c r="F317" s="6" t="n">
        <v>0</v>
      </c>
      <c r="G317" s="6" t="n">
        <v>0</v>
      </c>
      <c r="H317" s="6" t="n">
        <v>0</v>
      </c>
      <c r="I317" s="6" t="n">
        <v>0</v>
      </c>
      <c r="J317" s="6" t="n">
        <v>0</v>
      </c>
      <c r="K317" s="6" t="inlineStr">
        <is>
          <t>definitional</t>
        </is>
      </c>
      <c r="L317" s="7" t="inlineStr">
        <is>
          <t>No available carbohydrate — GI is 0 by definition (protein / fat / water)</t>
        </is>
      </c>
      <c r="M317" s="7" t="inlineStr">
        <is>
          <t>n/a</t>
        </is>
      </c>
      <c r="N317" s="6" t="inlineStr"/>
      <c r="O317" s="7" t="inlineStr">
        <is>
          <t>ISO 26642:2010</t>
        </is>
      </c>
      <c r="P317" s="7" t="inlineStr">
        <is>
          <t>USDA FoodData Central (SR Legacy / Foundation Foods), fdc.nal.usda.gov</t>
        </is>
      </c>
      <c r="Q317" s="6" t="inlineStr">
        <is>
          <t>2026-09-26</t>
        </is>
      </c>
    </row>
    <row r="318">
      <c r="A318" s="6" t="inlineStr">
        <is>
          <t>black_pepper</t>
        </is>
      </c>
      <c r="B318" s="6" t="inlineStr">
        <is>
          <t>Black pepper</t>
        </is>
      </c>
      <c r="C318" s="6" t="inlineStr">
        <is>
          <t>spice</t>
        </is>
      </c>
      <c r="D318" s="6" t="n">
        <v>251</v>
      </c>
      <c r="E318" s="6" t="n">
        <v>10</v>
      </c>
      <c r="F318" s="6" t="n">
        <v>3.3</v>
      </c>
      <c r="G318" s="6" t="n">
        <v>64</v>
      </c>
      <c r="H318" s="6" t="n">
        <v>25</v>
      </c>
      <c r="I318" s="6" t="n">
        <v>39</v>
      </c>
      <c r="J318" s="6" t="n">
        <v>15</v>
      </c>
      <c r="K318" s="6" t="inlineStr">
        <is>
          <t>none (placeholder)</t>
        </is>
      </c>
      <c r="L318" s="7" t="inlineStr">
        <is>
          <t>Conventional placeholder for foods with too little carbohydrate to test (non-starchy vegetables, nuts, seeds, herbs); no published measurement exists</t>
        </is>
      </c>
      <c r="M318" s="7" t="inlineStr">
        <is>
          <t>not measurable</t>
        </is>
      </c>
      <c r="N318" s="6" t="inlineStr"/>
      <c r="O318" s="7" t="inlineStr">
        <is>
          <t>clinical convention</t>
        </is>
      </c>
      <c r="P318" s="7" t="inlineStr">
        <is>
          <t>USDA FoodData Central (SR Legacy / Foundation Foods), fdc.nal.usda.gov</t>
        </is>
      </c>
      <c r="Q318" s="6" t="inlineStr">
        <is>
          <t>2026-09-26</t>
        </is>
      </c>
    </row>
    <row r="319">
      <c r="A319" s="6" t="inlineStr">
        <is>
          <t>spice</t>
        </is>
      </c>
      <c r="B319" s="6" t="inlineStr">
        <is>
          <t>Dried spices/herbs (generic)</t>
        </is>
      </c>
      <c r="C319" s="6" t="inlineStr">
        <is>
          <t>spice</t>
        </is>
      </c>
      <c r="D319" s="6" t="n">
        <v>300</v>
      </c>
      <c r="E319" s="6" t="n">
        <v>10</v>
      </c>
      <c r="F319" s="6" t="n">
        <v>8</v>
      </c>
      <c r="G319" s="6" t="n">
        <v>55</v>
      </c>
      <c r="H319" s="6" t="n">
        <v>25</v>
      </c>
      <c r="I319" s="6" t="n">
        <v>30</v>
      </c>
      <c r="J319" s="6" t="n">
        <v>15</v>
      </c>
      <c r="K319" s="6" t="inlineStr">
        <is>
          <t>none (placeholder)</t>
        </is>
      </c>
      <c r="L319" s="7" t="inlineStr">
        <is>
          <t>Conventional placeholder for foods with too little carbohydrate to test (non-starchy vegetables, nuts, seeds, herbs); no published measurement exists</t>
        </is>
      </c>
      <c r="M319" s="7" t="inlineStr">
        <is>
          <t>not measurable</t>
        </is>
      </c>
      <c r="N319" s="6" t="inlineStr"/>
      <c r="O319" s="7" t="inlineStr">
        <is>
          <t>clinical convention</t>
        </is>
      </c>
      <c r="P319" s="7" t="inlineStr">
        <is>
          <t>USDA FoodData Central (SR Legacy / Foundation Foods), fdc.nal.usda.gov</t>
        </is>
      </c>
      <c r="Q319" s="6" t="inlineStr">
        <is>
          <t>2026-09-26</t>
        </is>
      </c>
    </row>
    <row r="320">
      <c r="A320" s="6" t="inlineStr">
        <is>
          <t>cumin</t>
        </is>
      </c>
      <c r="B320" s="6" t="inlineStr">
        <is>
          <t>Ground cumin</t>
        </is>
      </c>
      <c r="C320" s="6" t="inlineStr">
        <is>
          <t>spice</t>
        </is>
      </c>
      <c r="D320" s="6" t="n">
        <v>375</v>
      </c>
      <c r="E320" s="6" t="n">
        <v>18</v>
      </c>
      <c r="F320" s="6" t="n">
        <v>22</v>
      </c>
      <c r="G320" s="6" t="n">
        <v>44</v>
      </c>
      <c r="H320" s="6" t="n">
        <v>10.5</v>
      </c>
      <c r="I320" s="6" t="n">
        <v>33.5</v>
      </c>
      <c r="J320" s="6" t="n">
        <v>15</v>
      </c>
      <c r="K320" s="6" t="inlineStr">
        <is>
          <t>none (placeholder)</t>
        </is>
      </c>
      <c r="L320" s="7" t="inlineStr">
        <is>
          <t>Conventional placeholder for foods with too little carbohydrate to test (non-starchy vegetables, nuts, seeds, herbs); no published measurement exists</t>
        </is>
      </c>
      <c r="M320" s="7" t="inlineStr">
        <is>
          <t>not measurable</t>
        </is>
      </c>
      <c r="N320" s="6" t="inlineStr"/>
      <c r="O320" s="7" t="inlineStr">
        <is>
          <t>clinical convention</t>
        </is>
      </c>
      <c r="P320" s="7" t="inlineStr">
        <is>
          <t>USDA FoodData Central (SR Legacy / Foundation Foods), fdc.nal.usda.gov</t>
        </is>
      </c>
      <c r="Q320" s="6" t="inlineStr">
        <is>
          <t>2026-09-26</t>
        </is>
      </c>
    </row>
    <row r="321">
      <c r="A321" s="6" t="inlineStr">
        <is>
          <t>chili_powder</t>
        </is>
      </c>
      <c r="B321" s="6" t="inlineStr">
        <is>
          <t>Chili powder</t>
        </is>
      </c>
      <c r="C321" s="6" t="inlineStr">
        <is>
          <t>spice</t>
        </is>
      </c>
      <c r="D321" s="6" t="n">
        <v>282</v>
      </c>
      <c r="E321" s="6" t="n">
        <v>13.5</v>
      </c>
      <c r="F321" s="6" t="n">
        <v>14</v>
      </c>
      <c r="G321" s="6" t="n">
        <v>50</v>
      </c>
      <c r="H321" s="6" t="n">
        <v>35</v>
      </c>
      <c r="I321" s="6" t="n">
        <v>15</v>
      </c>
      <c r="J321" s="6" t="n">
        <v>15</v>
      </c>
      <c r="K321" s="6" t="inlineStr">
        <is>
          <t>none (placeholder)</t>
        </is>
      </c>
      <c r="L321" s="7" t="inlineStr">
        <is>
          <t>Conventional placeholder for foods with too little carbohydrate to test (non-starchy vegetables, nuts, seeds, herbs); no published measurement exists</t>
        </is>
      </c>
      <c r="M321" s="7" t="inlineStr">
        <is>
          <t>not measurable</t>
        </is>
      </c>
      <c r="N321" s="6" t="inlineStr"/>
      <c r="O321" s="7" t="inlineStr">
        <is>
          <t>clinical convention</t>
        </is>
      </c>
      <c r="P321" s="7" t="inlineStr">
        <is>
          <t>USDA FoodData Central (SR Legacy / Foundation Foods), fdc.nal.usda.gov</t>
        </is>
      </c>
      <c r="Q321" s="6" t="inlineStr">
        <is>
          <t>2026-09-26</t>
        </is>
      </c>
    </row>
    <row r="322">
      <c r="A322" s="6" t="inlineStr">
        <is>
          <t>smoked_paprika</t>
        </is>
      </c>
      <c r="B322" s="6" t="inlineStr">
        <is>
          <t>Smoked paprika</t>
        </is>
      </c>
      <c r="C322" s="6" t="inlineStr">
        <is>
          <t>spice</t>
        </is>
      </c>
      <c r="D322" s="6" t="n">
        <v>282</v>
      </c>
      <c r="E322" s="6" t="n">
        <v>14</v>
      </c>
      <c r="F322" s="6" t="n">
        <v>13</v>
      </c>
      <c r="G322" s="6" t="n">
        <v>54</v>
      </c>
      <c r="H322" s="6" t="n">
        <v>35</v>
      </c>
      <c r="I322" s="6" t="n">
        <v>19</v>
      </c>
      <c r="J322" s="6" t="n">
        <v>15</v>
      </c>
      <c r="K322" s="6" t="inlineStr">
        <is>
          <t>none (placeholder)</t>
        </is>
      </c>
      <c r="L322" s="7" t="inlineStr">
        <is>
          <t>Conventional placeholder for foods with too little carbohydrate to test (non-starchy vegetables, nuts, seeds, herbs); no published measurement exists</t>
        </is>
      </c>
      <c r="M322" s="7" t="inlineStr">
        <is>
          <t>not measurable</t>
        </is>
      </c>
      <c r="N322" s="6" t="inlineStr"/>
      <c r="O322" s="7" t="inlineStr">
        <is>
          <t>clinical convention</t>
        </is>
      </c>
      <c r="P322" s="7" t="inlineStr">
        <is>
          <t>USDA FoodData Central (SR Legacy / Foundation Foods), fdc.nal.usda.gov</t>
        </is>
      </c>
      <c r="Q322" s="6" t="inlineStr">
        <is>
          <t>2026-09-26</t>
        </is>
      </c>
    </row>
    <row r="323">
      <c r="A323" s="6" t="inlineStr">
        <is>
          <t>paprika</t>
        </is>
      </c>
      <c r="B323" s="6" t="inlineStr">
        <is>
          <t>Paprika</t>
        </is>
      </c>
      <c r="C323" s="6" t="inlineStr">
        <is>
          <t>spice</t>
        </is>
      </c>
      <c r="D323" s="6" t="n">
        <v>282</v>
      </c>
      <c r="E323" s="6" t="n">
        <v>14</v>
      </c>
      <c r="F323" s="6" t="n">
        <v>13</v>
      </c>
      <c r="G323" s="6" t="n">
        <v>54</v>
      </c>
      <c r="H323" s="6" t="n">
        <v>35</v>
      </c>
      <c r="I323" s="6" t="n">
        <v>19</v>
      </c>
      <c r="J323" s="6" t="n">
        <v>15</v>
      </c>
      <c r="K323" s="6" t="inlineStr">
        <is>
          <t>none (placeholder)</t>
        </is>
      </c>
      <c r="L323" s="7" t="inlineStr">
        <is>
          <t>Conventional placeholder for foods with too little carbohydrate to test (non-starchy vegetables, nuts, seeds, herbs); no published measurement exists</t>
        </is>
      </c>
      <c r="M323" s="7" t="inlineStr">
        <is>
          <t>not measurable</t>
        </is>
      </c>
      <c r="N323" s="6" t="inlineStr"/>
      <c r="O323" s="7" t="inlineStr">
        <is>
          <t>clinical convention</t>
        </is>
      </c>
      <c r="P323" s="7" t="inlineStr">
        <is>
          <t>USDA FoodData Central (SR Legacy / Foundation Foods), fdc.nal.usda.gov</t>
        </is>
      </c>
      <c r="Q323" s="6" t="inlineStr">
        <is>
          <t>2026-09-26</t>
        </is>
      </c>
    </row>
    <row r="324">
      <c r="A324" s="6" t="inlineStr">
        <is>
          <t>turmeric</t>
        </is>
      </c>
      <c r="B324" s="6" t="inlineStr">
        <is>
          <t>Ground turmeric</t>
        </is>
      </c>
      <c r="C324" s="6" t="inlineStr">
        <is>
          <t>spice</t>
        </is>
      </c>
      <c r="D324" s="6" t="n">
        <v>312</v>
      </c>
      <c r="E324" s="6" t="n">
        <v>9.699999999999999</v>
      </c>
      <c r="F324" s="6" t="n">
        <v>3.3</v>
      </c>
      <c r="G324" s="6" t="n">
        <v>67</v>
      </c>
      <c r="H324" s="6" t="n">
        <v>22.7</v>
      </c>
      <c r="I324" s="6" t="n">
        <v>44.3</v>
      </c>
      <c r="J324" s="6" t="n">
        <v>15</v>
      </c>
      <c r="K324" s="6" t="inlineStr">
        <is>
          <t>none (placeholder)</t>
        </is>
      </c>
      <c r="L324" s="7" t="inlineStr">
        <is>
          <t>Conventional placeholder for foods with too little carbohydrate to test (non-starchy vegetables, nuts, seeds, herbs); no published measurement exists</t>
        </is>
      </c>
      <c r="M324" s="7" t="inlineStr">
        <is>
          <t>not measurable</t>
        </is>
      </c>
      <c r="N324" s="6" t="inlineStr"/>
      <c r="O324" s="7" t="inlineStr">
        <is>
          <t>clinical convention</t>
        </is>
      </c>
      <c r="P324" s="7" t="inlineStr">
        <is>
          <t>USDA FoodData Central (SR Legacy / Foundation Foods), fdc.nal.usda.gov</t>
        </is>
      </c>
      <c r="Q324" s="6" t="inlineStr">
        <is>
          <t>2026-09-26</t>
        </is>
      </c>
    </row>
    <row r="325">
      <c r="A325" s="6" t="inlineStr">
        <is>
          <t>cinnamon</t>
        </is>
      </c>
      <c r="B325" s="6" t="inlineStr">
        <is>
          <t>Ground cinnamon</t>
        </is>
      </c>
      <c r="C325" s="6" t="inlineStr">
        <is>
          <t>spice</t>
        </is>
      </c>
      <c r="D325" s="6" t="n">
        <v>247</v>
      </c>
      <c r="E325" s="6" t="n">
        <v>4</v>
      </c>
      <c r="F325" s="6" t="n">
        <v>1.2</v>
      </c>
      <c r="G325" s="6" t="n">
        <v>81</v>
      </c>
      <c r="H325" s="6" t="n">
        <v>53</v>
      </c>
      <c r="I325" s="6" t="n">
        <v>28</v>
      </c>
      <c r="J325" s="6" t="n">
        <v>5</v>
      </c>
      <c r="K325" s="6" t="inlineStr">
        <is>
          <t>low</t>
        </is>
      </c>
      <c r="L325" s="7" t="inlineStr">
        <is>
          <t>Estimated from the closest tested food; no direct measurement found in the pooled sources</t>
        </is>
      </c>
      <c r="M325" s="7" t="inlineStr">
        <is>
          <t>no direct match</t>
        </is>
      </c>
      <c r="N325" s="6" t="inlineStr"/>
      <c r="O325" s="7" t="inlineStr">
        <is>
          <t>Atkinson FS, Brand-Miller JC, Foster-Powell K, Buyken AE, Goletzke J. International tables of glycemic index and glycemic load values 2021. Am J Clin Nutr 2021;114(5):1625-32. doi:10.1093/ajcn/nqab233 / University of Sydney GI database, glycemicindex.com/gi-search (accessed 2026-09-16)</t>
        </is>
      </c>
      <c r="P325" s="7" t="inlineStr">
        <is>
          <t>USDA FoodData Central (SR Legacy / Foundation Foods), fdc.nal.usda.gov</t>
        </is>
      </c>
      <c r="Q325" s="6" t="inlineStr">
        <is>
          <t>2026-09-26</t>
        </is>
      </c>
    </row>
    <row r="326">
      <c r="A326" s="6" t="inlineStr">
        <is>
          <t>nutmeg</t>
        </is>
      </c>
      <c r="B326" s="6" t="inlineStr">
        <is>
          <t>Ground nutmeg</t>
        </is>
      </c>
      <c r="C326" s="6" t="inlineStr">
        <is>
          <t>spice</t>
        </is>
      </c>
      <c r="D326" s="6" t="n">
        <v>525</v>
      </c>
      <c r="E326" s="6" t="n">
        <v>6</v>
      </c>
      <c r="F326" s="6" t="n">
        <v>36</v>
      </c>
      <c r="G326" s="6" t="n">
        <v>49</v>
      </c>
      <c r="H326" s="6" t="n">
        <v>21</v>
      </c>
      <c r="I326" s="6" t="n">
        <v>28</v>
      </c>
      <c r="J326" s="6" t="n">
        <v>15</v>
      </c>
      <c r="K326" s="6" t="inlineStr">
        <is>
          <t>none (placeholder)</t>
        </is>
      </c>
      <c r="L326" s="7" t="inlineStr">
        <is>
          <t>Conventional placeholder for foods with too little carbohydrate to test (non-starchy vegetables, nuts, seeds, herbs); no published measurement exists</t>
        </is>
      </c>
      <c r="M326" s="7" t="inlineStr">
        <is>
          <t>not measurable</t>
        </is>
      </c>
      <c r="N326" s="6" t="inlineStr"/>
      <c r="O326" s="7" t="inlineStr">
        <is>
          <t>clinical convention</t>
        </is>
      </c>
      <c r="P326" s="7" t="inlineStr">
        <is>
          <t>USDA FoodData Central (SR Legacy / Foundation Foods), fdc.nal.usda.gov</t>
        </is>
      </c>
      <c r="Q326" s="6" t="inlineStr">
        <is>
          <t>2026-09-26</t>
        </is>
      </c>
    </row>
    <row r="327">
      <c r="A327" s="6" t="inlineStr">
        <is>
          <t>cardamom</t>
        </is>
      </c>
      <c r="B327" s="6" t="inlineStr">
        <is>
          <t>Ground cardamom</t>
        </is>
      </c>
      <c r="C327" s="6" t="inlineStr">
        <is>
          <t>spice</t>
        </is>
      </c>
      <c r="D327" s="6" t="n">
        <v>311</v>
      </c>
      <c r="E327" s="6" t="n">
        <v>11</v>
      </c>
      <c r="F327" s="6" t="n">
        <v>7</v>
      </c>
      <c r="G327" s="6" t="n">
        <v>68</v>
      </c>
      <c r="H327" s="6" t="n">
        <v>28</v>
      </c>
      <c r="I327" s="6" t="n">
        <v>40</v>
      </c>
      <c r="J327" s="6" t="n">
        <v>15</v>
      </c>
      <c r="K327" s="6" t="inlineStr">
        <is>
          <t>none (placeholder)</t>
        </is>
      </c>
      <c r="L327" s="7" t="inlineStr">
        <is>
          <t>Conventional placeholder for foods with too little carbohydrate to test (non-starchy vegetables, nuts, seeds, herbs); no published measurement exists</t>
        </is>
      </c>
      <c r="M327" s="7" t="inlineStr">
        <is>
          <t>not measurable</t>
        </is>
      </c>
      <c r="N327" s="6" t="inlineStr"/>
      <c r="O327" s="7" t="inlineStr">
        <is>
          <t>clinical convention</t>
        </is>
      </c>
      <c r="P327" s="7" t="inlineStr">
        <is>
          <t>USDA FoodData Central (SR Legacy / Foundation Foods), fdc.nal.usda.gov</t>
        </is>
      </c>
      <c r="Q327" s="6" t="inlineStr">
        <is>
          <t>2026-09-26</t>
        </is>
      </c>
    </row>
    <row r="328">
      <c r="A328" s="6" t="inlineStr">
        <is>
          <t>cayenne</t>
        </is>
      </c>
      <c r="B328" s="6" t="inlineStr">
        <is>
          <t>Cayenne pepper</t>
        </is>
      </c>
      <c r="C328" s="6" t="inlineStr">
        <is>
          <t>spice</t>
        </is>
      </c>
      <c r="D328" s="6" t="n">
        <v>318</v>
      </c>
      <c r="E328" s="6" t="n">
        <v>12</v>
      </c>
      <c r="F328" s="6" t="n">
        <v>17</v>
      </c>
      <c r="G328" s="6" t="n">
        <v>57</v>
      </c>
      <c r="H328" s="6" t="n">
        <v>27</v>
      </c>
      <c r="I328" s="6" t="n">
        <v>30</v>
      </c>
      <c r="J328" s="6" t="n">
        <v>15</v>
      </c>
      <c r="K328" s="6" t="inlineStr">
        <is>
          <t>none (placeholder)</t>
        </is>
      </c>
      <c r="L328" s="7" t="inlineStr">
        <is>
          <t>Conventional placeholder for foods with too little carbohydrate to test (non-starchy vegetables, nuts, seeds, herbs); no published measurement exists</t>
        </is>
      </c>
      <c r="M328" s="7" t="inlineStr">
        <is>
          <t>not measurable</t>
        </is>
      </c>
      <c r="N328" s="6" t="inlineStr"/>
      <c r="O328" s="7" t="inlineStr">
        <is>
          <t>clinical convention</t>
        </is>
      </c>
      <c r="P328" s="7" t="inlineStr">
        <is>
          <t>USDA FoodData Central (SR Legacy / Foundation Foods), fdc.nal.usda.gov</t>
        </is>
      </c>
      <c r="Q328" s="6" t="inlineStr">
        <is>
          <t>2026-09-26</t>
        </is>
      </c>
    </row>
    <row r="329">
      <c r="A329" s="6" t="inlineStr">
        <is>
          <t>red_pepper_flakes</t>
        </is>
      </c>
      <c r="B329" s="6" t="inlineStr">
        <is>
          <t>Red pepper flakes</t>
        </is>
      </c>
      <c r="C329" s="6" t="inlineStr">
        <is>
          <t>spice</t>
        </is>
      </c>
      <c r="D329" s="6" t="n">
        <v>318</v>
      </c>
      <c r="E329" s="6" t="n">
        <v>12</v>
      </c>
      <c r="F329" s="6" t="n">
        <v>17</v>
      </c>
      <c r="G329" s="6" t="n">
        <v>57</v>
      </c>
      <c r="H329" s="6" t="n">
        <v>27</v>
      </c>
      <c r="I329" s="6" t="n">
        <v>30</v>
      </c>
      <c r="J329" s="6" t="n">
        <v>15</v>
      </c>
      <c r="K329" s="6" t="inlineStr">
        <is>
          <t>none (placeholder)</t>
        </is>
      </c>
      <c r="L329" s="7" t="inlineStr">
        <is>
          <t>Conventional placeholder for foods with too little carbohydrate to test (non-starchy vegetables, nuts, seeds, herbs); no published measurement exists</t>
        </is>
      </c>
      <c r="M329" s="7" t="inlineStr">
        <is>
          <t>not measurable</t>
        </is>
      </c>
      <c r="N329" s="6" t="inlineStr"/>
      <c r="O329" s="7" t="inlineStr">
        <is>
          <t>clinical convention</t>
        </is>
      </c>
      <c r="P329" s="7" t="inlineStr">
        <is>
          <t>USDA FoodData Central (SR Legacy / Foundation Foods), fdc.nal.usda.gov</t>
        </is>
      </c>
      <c r="Q329" s="6" t="inlineStr">
        <is>
          <t>2026-09-26</t>
        </is>
      </c>
    </row>
    <row r="330">
      <c r="A330" s="6" t="inlineStr">
        <is>
          <t>garlic_powder</t>
        </is>
      </c>
      <c r="B330" s="6" t="inlineStr">
        <is>
          <t>Garlic powder</t>
        </is>
      </c>
      <c r="C330" s="6" t="inlineStr">
        <is>
          <t>spice</t>
        </is>
      </c>
      <c r="D330" s="6" t="n">
        <v>331</v>
      </c>
      <c r="E330" s="6" t="n">
        <v>16.5</v>
      </c>
      <c r="F330" s="6" t="n">
        <v>0.7</v>
      </c>
      <c r="G330" s="6" t="n">
        <v>72.7</v>
      </c>
      <c r="H330" s="6" t="n">
        <v>9</v>
      </c>
      <c r="I330" s="6" t="n">
        <v>63.7</v>
      </c>
      <c r="J330" s="6" t="n">
        <v>15</v>
      </c>
      <c r="K330" s="6" t="inlineStr">
        <is>
          <t>none (placeholder)</t>
        </is>
      </c>
      <c r="L330" s="7" t="inlineStr">
        <is>
          <t>Conventional placeholder for foods with too little carbohydrate to test (non-starchy vegetables, nuts, seeds, herbs); no published measurement exists</t>
        </is>
      </c>
      <c r="M330" s="7" t="inlineStr">
        <is>
          <t>not measurable</t>
        </is>
      </c>
      <c r="N330" s="6" t="inlineStr"/>
      <c r="O330" s="7" t="inlineStr">
        <is>
          <t>clinical convention</t>
        </is>
      </c>
      <c r="P330" s="7" t="inlineStr">
        <is>
          <t>USDA FoodData Central (SR Legacy / Foundation Foods), fdc.nal.usda.gov</t>
        </is>
      </c>
      <c r="Q330" s="6" t="inlineStr">
        <is>
          <t>2026-09-26</t>
        </is>
      </c>
    </row>
    <row r="331">
      <c r="A331" s="6" t="inlineStr">
        <is>
          <t>onion_powder</t>
        </is>
      </c>
      <c r="B331" s="6" t="inlineStr">
        <is>
          <t>Onion powder</t>
        </is>
      </c>
      <c r="C331" s="6" t="inlineStr">
        <is>
          <t>spice</t>
        </is>
      </c>
      <c r="D331" s="6" t="n">
        <v>341</v>
      </c>
      <c r="E331" s="6" t="n">
        <v>10</v>
      </c>
      <c r="F331" s="6" t="n">
        <v>1</v>
      </c>
      <c r="G331" s="6" t="n">
        <v>79</v>
      </c>
      <c r="H331" s="6" t="n">
        <v>15</v>
      </c>
      <c r="I331" s="6" t="n">
        <v>64</v>
      </c>
      <c r="J331" s="6" t="n">
        <v>15</v>
      </c>
      <c r="K331" s="6" t="inlineStr">
        <is>
          <t>none (placeholder)</t>
        </is>
      </c>
      <c r="L331" s="7" t="inlineStr">
        <is>
          <t>Conventional placeholder for foods with too little carbohydrate to test (non-starchy vegetables, nuts, seeds, herbs); no published measurement exists</t>
        </is>
      </c>
      <c r="M331" s="7" t="inlineStr">
        <is>
          <t>not measurable</t>
        </is>
      </c>
      <c r="N331" s="6" t="inlineStr"/>
      <c r="O331" s="7" t="inlineStr">
        <is>
          <t>clinical convention</t>
        </is>
      </c>
      <c r="P331" s="7" t="inlineStr">
        <is>
          <t>USDA FoodData Central (SR Legacy / Foundation Foods), fdc.nal.usda.gov</t>
        </is>
      </c>
      <c r="Q331" s="6" t="inlineStr">
        <is>
          <t>2026-09-26</t>
        </is>
      </c>
    </row>
    <row r="332">
      <c r="A332" s="6" t="inlineStr">
        <is>
          <t>oregano</t>
        </is>
      </c>
      <c r="B332" s="6" t="inlineStr">
        <is>
          <t>Dried oregano</t>
        </is>
      </c>
      <c r="C332" s="6" t="inlineStr">
        <is>
          <t>spice</t>
        </is>
      </c>
      <c r="D332" s="6" t="n">
        <v>265</v>
      </c>
      <c r="E332" s="6" t="n">
        <v>9</v>
      </c>
      <c r="F332" s="6" t="n">
        <v>4.3</v>
      </c>
      <c r="G332" s="6" t="n">
        <v>69</v>
      </c>
      <c r="H332" s="6" t="n">
        <v>42.5</v>
      </c>
      <c r="I332" s="6" t="n">
        <v>26.5</v>
      </c>
      <c r="J332" s="6" t="n">
        <v>15</v>
      </c>
      <c r="K332" s="6" t="inlineStr">
        <is>
          <t>none (placeholder)</t>
        </is>
      </c>
      <c r="L332" s="7" t="inlineStr">
        <is>
          <t>Conventional placeholder for foods with too little carbohydrate to test (non-starchy vegetables, nuts, seeds, herbs); no published measurement exists</t>
        </is>
      </c>
      <c r="M332" s="7" t="inlineStr">
        <is>
          <t>not measurable</t>
        </is>
      </c>
      <c r="N332" s="6" t="inlineStr"/>
      <c r="O332" s="7" t="inlineStr">
        <is>
          <t>clinical convention</t>
        </is>
      </c>
      <c r="P332" s="7" t="inlineStr">
        <is>
          <t>USDA FoodData Central (SR Legacy / Foundation Foods), fdc.nal.usda.gov</t>
        </is>
      </c>
      <c r="Q332" s="6" t="inlineStr">
        <is>
          <t>2026-09-26</t>
        </is>
      </c>
    </row>
    <row r="333">
      <c r="A333" s="6" t="inlineStr">
        <is>
          <t>italian_seasoning</t>
        </is>
      </c>
      <c r="B333" s="6" t="inlineStr">
        <is>
          <t>Italian seasoning</t>
        </is>
      </c>
      <c r="C333" s="6" t="inlineStr">
        <is>
          <t>spice</t>
        </is>
      </c>
      <c r="D333" s="6" t="n">
        <v>265</v>
      </c>
      <c r="E333" s="6" t="n">
        <v>9</v>
      </c>
      <c r="F333" s="6" t="n">
        <v>4.3</v>
      </c>
      <c r="G333" s="6" t="n">
        <v>69</v>
      </c>
      <c r="H333" s="6" t="n">
        <v>42.5</v>
      </c>
      <c r="I333" s="6" t="n">
        <v>26.5</v>
      </c>
      <c r="J333" s="6" t="n">
        <v>15</v>
      </c>
      <c r="K333" s="6" t="inlineStr">
        <is>
          <t>none (placeholder)</t>
        </is>
      </c>
      <c r="L333" s="7" t="inlineStr">
        <is>
          <t>Conventional placeholder for foods with too little carbohydrate to test (non-starchy vegetables, nuts, seeds, herbs); no published measurement exists</t>
        </is>
      </c>
      <c r="M333" s="7" t="inlineStr">
        <is>
          <t>not measurable</t>
        </is>
      </c>
      <c r="N333" s="6" t="inlineStr"/>
      <c r="O333" s="7" t="inlineStr">
        <is>
          <t>clinical convention</t>
        </is>
      </c>
      <c r="P333" s="7" t="inlineStr">
        <is>
          <t>USDA FoodData Central (SR Legacy / Foundation Foods), fdc.nal.usda.gov</t>
        </is>
      </c>
      <c r="Q333" s="6" t="inlineStr">
        <is>
          <t>2026-09-26</t>
        </is>
      </c>
    </row>
    <row r="334">
      <c r="A334" s="6" t="inlineStr">
        <is>
          <t>taco_seasoning</t>
        </is>
      </c>
      <c r="B334" s="6" t="inlineStr">
        <is>
          <t>Taco seasoning, low sodium</t>
        </is>
      </c>
      <c r="C334" s="6" t="inlineStr">
        <is>
          <t>spice</t>
        </is>
      </c>
      <c r="D334" s="6" t="n">
        <v>300</v>
      </c>
      <c r="E334" s="6" t="n">
        <v>10</v>
      </c>
      <c r="F334" s="6" t="n">
        <v>8</v>
      </c>
      <c r="G334" s="6" t="n">
        <v>55</v>
      </c>
      <c r="H334" s="6" t="n">
        <v>25</v>
      </c>
      <c r="I334" s="6" t="n">
        <v>30</v>
      </c>
      <c r="J334" s="6" t="n">
        <v>15</v>
      </c>
      <c r="K334" s="6" t="inlineStr">
        <is>
          <t>none (placeholder)</t>
        </is>
      </c>
      <c r="L334" s="7" t="inlineStr">
        <is>
          <t>Conventional placeholder for foods with too little carbohydrate to test (non-starchy vegetables, nuts, seeds, herbs); no published measurement exists</t>
        </is>
      </c>
      <c r="M334" s="7" t="inlineStr">
        <is>
          <t>not measurable</t>
        </is>
      </c>
      <c r="N334" s="6" t="inlineStr"/>
      <c r="O334" s="7" t="inlineStr">
        <is>
          <t>clinical convention</t>
        </is>
      </c>
      <c r="P334" s="7" t="inlineStr">
        <is>
          <t>USDA FoodData Central (SR Legacy / Foundation Foods), fdc.nal.usda.gov</t>
        </is>
      </c>
      <c r="Q334" s="6" t="inlineStr">
        <is>
          <t>2026-09-26</t>
        </is>
      </c>
    </row>
    <row r="335">
      <c r="A335" s="6" t="inlineStr">
        <is>
          <t>curry_powder</t>
        </is>
      </c>
      <c r="B335" s="6" t="inlineStr">
        <is>
          <t>Curry powder</t>
        </is>
      </c>
      <c r="C335" s="6" t="inlineStr">
        <is>
          <t>spice</t>
        </is>
      </c>
      <c r="D335" s="6" t="n">
        <v>325</v>
      </c>
      <c r="E335" s="6" t="n">
        <v>14</v>
      </c>
      <c r="F335" s="6" t="n">
        <v>14</v>
      </c>
      <c r="G335" s="6" t="n">
        <v>58</v>
      </c>
      <c r="H335" s="6" t="n">
        <v>53</v>
      </c>
      <c r="I335" s="6" t="n">
        <v>5</v>
      </c>
      <c r="J335" s="6" t="n">
        <v>15</v>
      </c>
      <c r="K335" s="6" t="inlineStr">
        <is>
          <t>none (placeholder)</t>
        </is>
      </c>
      <c r="L335" s="7" t="inlineStr">
        <is>
          <t>Conventional placeholder for foods with too little carbohydrate to test (non-starchy vegetables, nuts, seeds, herbs); no published measurement exists</t>
        </is>
      </c>
      <c r="M335" s="7" t="inlineStr">
        <is>
          <t>not measurable</t>
        </is>
      </c>
      <c r="N335" s="6" t="inlineStr"/>
      <c r="O335" s="7" t="inlineStr">
        <is>
          <t>clinical convention</t>
        </is>
      </c>
      <c r="P335" s="7" t="inlineStr">
        <is>
          <t>USDA FoodData Central (SR Legacy / Foundation Foods), fdc.nal.usda.gov</t>
        </is>
      </c>
      <c r="Q335" s="6" t="inlineStr">
        <is>
          <t>2026-09-26</t>
        </is>
      </c>
    </row>
    <row r="336">
      <c r="A336" s="6" t="inlineStr">
        <is>
          <t>garam_masala</t>
        </is>
      </c>
      <c r="B336" s="6" t="inlineStr">
        <is>
          <t>Garam masala</t>
        </is>
      </c>
      <c r="C336" s="6" t="inlineStr">
        <is>
          <t>spice</t>
        </is>
      </c>
      <c r="D336" s="6" t="n">
        <v>325</v>
      </c>
      <c r="E336" s="6" t="n">
        <v>14</v>
      </c>
      <c r="F336" s="6" t="n">
        <v>14</v>
      </c>
      <c r="G336" s="6" t="n">
        <v>58</v>
      </c>
      <c r="H336" s="6" t="n">
        <v>53</v>
      </c>
      <c r="I336" s="6" t="n">
        <v>5</v>
      </c>
      <c r="J336" s="6" t="n">
        <v>15</v>
      </c>
      <c r="K336" s="6" t="inlineStr">
        <is>
          <t>none (placeholder)</t>
        </is>
      </c>
      <c r="L336" s="7" t="inlineStr">
        <is>
          <t>Conventional placeholder for foods with too little carbohydrate to test (non-starchy vegetables, nuts, seeds, herbs); no published measurement exists</t>
        </is>
      </c>
      <c r="M336" s="7" t="inlineStr">
        <is>
          <t>not measurable</t>
        </is>
      </c>
      <c r="N336" s="6" t="inlineStr"/>
      <c r="O336" s="7" t="inlineStr">
        <is>
          <t>clinical convention</t>
        </is>
      </c>
      <c r="P336" s="7" t="inlineStr">
        <is>
          <t>USDA FoodData Central (SR Legacy / Foundation Foods), fdc.nal.usda.gov</t>
        </is>
      </c>
      <c r="Q336" s="6" t="inlineStr">
        <is>
          <t>2026-09-26</t>
        </is>
      </c>
    </row>
    <row r="337">
      <c r="A337" s="6" t="inlineStr">
        <is>
          <t>zaatar</t>
        </is>
      </c>
      <c r="B337" s="6" t="inlineStr">
        <is>
          <t>Za'atar</t>
        </is>
      </c>
      <c r="C337" s="6" t="inlineStr">
        <is>
          <t>spice</t>
        </is>
      </c>
      <c r="D337" s="6" t="n">
        <v>300</v>
      </c>
      <c r="E337" s="6" t="n">
        <v>10</v>
      </c>
      <c r="F337" s="6" t="n">
        <v>8</v>
      </c>
      <c r="G337" s="6" t="n">
        <v>55</v>
      </c>
      <c r="H337" s="6" t="n">
        <v>25</v>
      </c>
      <c r="I337" s="6" t="n">
        <v>30</v>
      </c>
      <c r="J337" s="6" t="n">
        <v>15</v>
      </c>
      <c r="K337" s="6" t="inlineStr">
        <is>
          <t>none (placeholder)</t>
        </is>
      </c>
      <c r="L337" s="7" t="inlineStr">
        <is>
          <t>Conventional placeholder for foods with too little carbohydrate to test (non-starchy vegetables, nuts, seeds, herbs); no published measurement exists</t>
        </is>
      </c>
      <c r="M337" s="7" t="inlineStr">
        <is>
          <t>not measurable</t>
        </is>
      </c>
      <c r="N337" s="6" t="inlineStr"/>
      <c r="O337" s="7" t="inlineStr">
        <is>
          <t>clinical convention</t>
        </is>
      </c>
      <c r="P337" s="7" t="inlineStr">
        <is>
          <t>USDA FoodData Central (SR Legacy / Foundation Foods), fdc.nal.usda.gov</t>
        </is>
      </c>
      <c r="Q337" s="6" t="inlineStr">
        <is>
          <t>2026-09-26</t>
        </is>
      </c>
    </row>
    <row r="338">
      <c r="A338" s="6" t="inlineStr">
        <is>
          <t>everything_seasoning</t>
        </is>
      </c>
      <c r="B338" s="6" t="inlineStr">
        <is>
          <t>Everything bagel seasoning</t>
        </is>
      </c>
      <c r="C338" s="6" t="inlineStr">
        <is>
          <t>spice</t>
        </is>
      </c>
      <c r="D338" s="6" t="n">
        <v>350</v>
      </c>
      <c r="E338" s="6" t="n">
        <v>15</v>
      </c>
      <c r="F338" s="6" t="n">
        <v>20</v>
      </c>
      <c r="G338" s="6" t="n">
        <v>30</v>
      </c>
      <c r="H338" s="6" t="n">
        <v>10</v>
      </c>
      <c r="I338" s="6" t="n">
        <v>20</v>
      </c>
      <c r="J338" s="6" t="n">
        <v>15</v>
      </c>
      <c r="K338" s="6" t="inlineStr">
        <is>
          <t>none (placeholder)</t>
        </is>
      </c>
      <c r="L338" s="7" t="inlineStr">
        <is>
          <t>Conventional placeholder for foods with too little carbohydrate to test (non-starchy vegetables, nuts, seeds, herbs); no published measurement exists</t>
        </is>
      </c>
      <c r="M338" s="7" t="inlineStr">
        <is>
          <t>not measurable</t>
        </is>
      </c>
      <c r="N338" s="6" t="inlineStr"/>
      <c r="O338" s="7" t="inlineStr">
        <is>
          <t>clinical convention</t>
        </is>
      </c>
      <c r="P338" s="7" t="inlineStr">
        <is>
          <t>USDA FoodData Central (SR Legacy / Foundation Foods), fdc.nal.usda.gov</t>
        </is>
      </c>
      <c r="Q338" s="6" t="inlineStr">
        <is>
          <t>2026-09-26</t>
        </is>
      </c>
    </row>
    <row r="339">
      <c r="A339" s="6" t="inlineStr">
        <is>
          <t>old_bay</t>
        </is>
      </c>
      <c r="B339" s="6" t="inlineStr">
        <is>
          <t>Old Bay seasoning</t>
        </is>
      </c>
      <c r="C339" s="6" t="inlineStr">
        <is>
          <t>spice</t>
        </is>
      </c>
      <c r="D339" s="6" t="n">
        <v>300</v>
      </c>
      <c r="E339" s="6" t="n">
        <v>10</v>
      </c>
      <c r="F339" s="6" t="n">
        <v>8</v>
      </c>
      <c r="G339" s="6" t="n">
        <v>55</v>
      </c>
      <c r="H339" s="6" t="n">
        <v>25</v>
      </c>
      <c r="I339" s="6" t="n">
        <v>30</v>
      </c>
      <c r="J339" s="6" t="n">
        <v>15</v>
      </c>
      <c r="K339" s="6" t="inlineStr">
        <is>
          <t>none (placeholder)</t>
        </is>
      </c>
      <c r="L339" s="7" t="inlineStr">
        <is>
          <t>Conventional placeholder for foods with too little carbohydrate to test (non-starchy vegetables, nuts, seeds, herbs); no published measurement exists</t>
        </is>
      </c>
      <c r="M339" s="7" t="inlineStr">
        <is>
          <t>not measurable</t>
        </is>
      </c>
      <c r="N339" s="6" t="inlineStr"/>
      <c r="O339" s="7" t="inlineStr">
        <is>
          <t>clinical convention</t>
        </is>
      </c>
      <c r="P339" s="7" t="inlineStr">
        <is>
          <t>USDA FoodData Central (SR Legacy / Foundation Foods), fdc.nal.usda.gov</t>
        </is>
      </c>
      <c r="Q339" s="6" t="inlineStr">
        <is>
          <t>2026-09-26</t>
        </is>
      </c>
    </row>
    <row r="340">
      <c r="A340" s="6" t="inlineStr">
        <is>
          <t>cajun_seasoning</t>
        </is>
      </c>
      <c r="B340" s="6" t="inlineStr">
        <is>
          <t>Cajun seasoning</t>
        </is>
      </c>
      <c r="C340" s="6" t="inlineStr">
        <is>
          <t>spice</t>
        </is>
      </c>
      <c r="D340" s="6" t="n">
        <v>300</v>
      </c>
      <c r="E340" s="6" t="n">
        <v>10</v>
      </c>
      <c r="F340" s="6" t="n">
        <v>8</v>
      </c>
      <c r="G340" s="6" t="n">
        <v>55</v>
      </c>
      <c r="H340" s="6" t="n">
        <v>25</v>
      </c>
      <c r="I340" s="6" t="n">
        <v>30</v>
      </c>
      <c r="J340" s="6" t="n">
        <v>15</v>
      </c>
      <c r="K340" s="6" t="inlineStr">
        <is>
          <t>none (placeholder)</t>
        </is>
      </c>
      <c r="L340" s="7" t="inlineStr">
        <is>
          <t>Conventional placeholder for foods with too little carbohydrate to test (non-starchy vegetables, nuts, seeds, herbs); no published measurement exists</t>
        </is>
      </c>
      <c r="M340" s="7" t="inlineStr">
        <is>
          <t>not measurable</t>
        </is>
      </c>
      <c r="N340" s="6" t="inlineStr"/>
      <c r="O340" s="7" t="inlineStr">
        <is>
          <t>clinical convention</t>
        </is>
      </c>
      <c r="P340" s="7" t="inlineStr">
        <is>
          <t>USDA FoodData Central (SR Legacy / Foundation Foods), fdc.nal.usda.gov</t>
        </is>
      </c>
      <c r="Q340" s="6" t="inlineStr">
        <is>
          <t>2026-09-26</t>
        </is>
      </c>
    </row>
    <row r="341">
      <c r="A341" s="6" t="inlineStr">
        <is>
          <t>ranch_seasoning</t>
        </is>
      </c>
      <c r="B341" s="6" t="inlineStr">
        <is>
          <t>Ranch seasoning (dry)</t>
        </is>
      </c>
      <c r="C341" s="6" t="inlineStr">
        <is>
          <t>spice</t>
        </is>
      </c>
      <c r="D341" s="6" t="n">
        <v>300</v>
      </c>
      <c r="E341" s="6" t="n">
        <v>10</v>
      </c>
      <c r="F341" s="6" t="n">
        <v>8</v>
      </c>
      <c r="G341" s="6" t="n">
        <v>55</v>
      </c>
      <c r="H341" s="6" t="n">
        <v>25</v>
      </c>
      <c r="I341" s="6" t="n">
        <v>30</v>
      </c>
      <c r="J341" s="6" t="n">
        <v>15</v>
      </c>
      <c r="K341" s="6" t="inlineStr">
        <is>
          <t>none (placeholder)</t>
        </is>
      </c>
      <c r="L341" s="7" t="inlineStr">
        <is>
          <t>Conventional placeholder for foods with too little carbohydrate to test (non-starchy vegetables, nuts, seeds, herbs); no published measurement exists</t>
        </is>
      </c>
      <c r="M341" s="7" t="inlineStr">
        <is>
          <t>not measurable</t>
        </is>
      </c>
      <c r="N341" s="6" t="inlineStr"/>
      <c r="O341" s="7" t="inlineStr">
        <is>
          <t>clinical convention</t>
        </is>
      </c>
      <c r="P341" s="7" t="inlineStr">
        <is>
          <t>USDA FoodData Central (SR Legacy / Foundation Foods), fdc.nal.usda.gov</t>
        </is>
      </c>
      <c r="Q341" s="6" t="inlineStr">
        <is>
          <t>2026-09-26</t>
        </is>
      </c>
    </row>
    <row r="342">
      <c r="A342" s="6" t="inlineStr">
        <is>
          <t>bay_leaf</t>
        </is>
      </c>
      <c r="B342" s="6" t="inlineStr">
        <is>
          <t>Bay leaves</t>
        </is>
      </c>
      <c r="C342" s="6" t="inlineStr">
        <is>
          <t>spice</t>
        </is>
      </c>
      <c r="D342" s="6" t="n">
        <v>313</v>
      </c>
      <c r="E342" s="6" t="n">
        <v>7.6</v>
      </c>
      <c r="F342" s="6" t="n">
        <v>8.4</v>
      </c>
      <c r="G342" s="6" t="n">
        <v>75</v>
      </c>
      <c r="H342" s="6" t="n">
        <v>26</v>
      </c>
      <c r="I342" s="6" t="n">
        <v>49</v>
      </c>
      <c r="J342" s="6" t="n">
        <v>15</v>
      </c>
      <c r="K342" s="6" t="inlineStr">
        <is>
          <t>none (placeholder)</t>
        </is>
      </c>
      <c r="L342" s="7" t="inlineStr">
        <is>
          <t>Conventional placeholder for foods with too little carbohydrate to test (non-starchy vegetables, nuts, seeds, herbs); no published measurement exists</t>
        </is>
      </c>
      <c r="M342" s="7" t="inlineStr">
        <is>
          <t>not measurable</t>
        </is>
      </c>
      <c r="N342" s="6" t="inlineStr"/>
      <c r="O342" s="7" t="inlineStr">
        <is>
          <t>clinical convention</t>
        </is>
      </c>
      <c r="P342" s="7" t="inlineStr">
        <is>
          <t>USDA FoodData Central (SR Legacy / Foundation Foods), fdc.nal.usda.gov</t>
        </is>
      </c>
      <c r="Q342" s="6" t="inlineStr">
        <is>
          <t>2026-09-26</t>
        </is>
      </c>
    </row>
    <row r="343">
      <c r="A343" s="6" t="inlineStr">
        <is>
          <t>dried_dill</t>
        </is>
      </c>
      <c r="B343" s="6" t="inlineStr">
        <is>
          <t>Dried dill</t>
        </is>
      </c>
      <c r="C343" s="6" t="inlineStr">
        <is>
          <t>spice</t>
        </is>
      </c>
      <c r="D343" s="6" t="n">
        <v>253</v>
      </c>
      <c r="E343" s="6" t="n">
        <v>20</v>
      </c>
      <c r="F343" s="6" t="n">
        <v>4.4</v>
      </c>
      <c r="G343" s="6" t="n">
        <v>56</v>
      </c>
      <c r="H343" s="6" t="n">
        <v>14</v>
      </c>
      <c r="I343" s="6" t="n">
        <v>42</v>
      </c>
      <c r="J343" s="6" t="n">
        <v>15</v>
      </c>
      <c r="K343" s="6" t="inlineStr">
        <is>
          <t>none (placeholder)</t>
        </is>
      </c>
      <c r="L343" s="7" t="inlineStr">
        <is>
          <t>Conventional placeholder for foods with too little carbohydrate to test (non-starchy vegetables, nuts, seeds, herbs); no published measurement exists</t>
        </is>
      </c>
      <c r="M343" s="7" t="inlineStr">
        <is>
          <t>not measurable</t>
        </is>
      </c>
      <c r="N343" s="6" t="inlineStr"/>
      <c r="O343" s="7" t="inlineStr">
        <is>
          <t>clinical convention</t>
        </is>
      </c>
      <c r="P343" s="7" t="inlineStr">
        <is>
          <t>USDA FoodData Central (SR Legacy / Foundation Foods), fdc.nal.usda.gov</t>
        </is>
      </c>
      <c r="Q343" s="6" t="inlineStr">
        <is>
          <t>2026-09-26</t>
        </is>
      </c>
    </row>
    <row r="344">
      <c r="A344" s="6" t="inlineStr">
        <is>
          <t>dried_thyme</t>
        </is>
      </c>
      <c r="B344" s="6" t="inlineStr">
        <is>
          <t>Dried thyme</t>
        </is>
      </c>
      <c r="C344" s="6" t="inlineStr">
        <is>
          <t>spice</t>
        </is>
      </c>
      <c r="D344" s="6" t="n">
        <v>276</v>
      </c>
      <c r="E344" s="6" t="n">
        <v>9</v>
      </c>
      <c r="F344" s="6" t="n">
        <v>7.4</v>
      </c>
      <c r="G344" s="6" t="n">
        <v>64</v>
      </c>
      <c r="H344" s="6" t="n">
        <v>37</v>
      </c>
      <c r="I344" s="6" t="n">
        <v>27</v>
      </c>
      <c r="J344" s="6" t="n">
        <v>15</v>
      </c>
      <c r="K344" s="6" t="inlineStr">
        <is>
          <t>none (placeholder)</t>
        </is>
      </c>
      <c r="L344" s="7" t="inlineStr">
        <is>
          <t>Conventional placeholder for foods with too little carbohydrate to test (non-starchy vegetables, nuts, seeds, herbs); no published measurement exists</t>
        </is>
      </c>
      <c r="M344" s="7" t="inlineStr">
        <is>
          <t>not measurable</t>
        </is>
      </c>
      <c r="N344" s="6" t="inlineStr"/>
      <c r="O344" s="7" t="inlineStr">
        <is>
          <t>clinical convention</t>
        </is>
      </c>
      <c r="P344" s="7" t="inlineStr">
        <is>
          <t>USDA FoodData Central (SR Legacy / Foundation Foods), fdc.nal.usda.gov</t>
        </is>
      </c>
      <c r="Q344" s="6" t="inlineStr">
        <is>
          <t>2026-09-26</t>
        </is>
      </c>
    </row>
    <row r="345">
      <c r="A345" s="6" t="inlineStr">
        <is>
          <t>dried_rosemary</t>
        </is>
      </c>
      <c r="B345" s="6" t="inlineStr">
        <is>
          <t>Dried rosemary</t>
        </is>
      </c>
      <c r="C345" s="6" t="inlineStr">
        <is>
          <t>spice</t>
        </is>
      </c>
      <c r="D345" s="6" t="n">
        <v>331</v>
      </c>
      <c r="E345" s="6" t="n">
        <v>5</v>
      </c>
      <c r="F345" s="6" t="n">
        <v>15</v>
      </c>
      <c r="G345" s="6" t="n">
        <v>64</v>
      </c>
      <c r="H345" s="6" t="n">
        <v>43</v>
      </c>
      <c r="I345" s="6" t="n">
        <v>21</v>
      </c>
      <c r="J345" s="6" t="n">
        <v>15</v>
      </c>
      <c r="K345" s="6" t="inlineStr">
        <is>
          <t>none (placeholder)</t>
        </is>
      </c>
      <c r="L345" s="7" t="inlineStr">
        <is>
          <t>Conventional placeholder for foods with too little carbohydrate to test (non-starchy vegetables, nuts, seeds, herbs); no published measurement exists</t>
        </is>
      </c>
      <c r="M345" s="7" t="inlineStr">
        <is>
          <t>not measurable</t>
        </is>
      </c>
      <c r="N345" s="6" t="inlineStr"/>
      <c r="O345" s="7" t="inlineStr">
        <is>
          <t>clinical convention</t>
        </is>
      </c>
      <c r="P345" s="7" t="inlineStr">
        <is>
          <t>USDA FoodData Central (SR Legacy / Foundation Foods), fdc.nal.usda.gov</t>
        </is>
      </c>
      <c r="Q345" s="6" t="inlineStr">
        <is>
          <t>2026-09-26</t>
        </is>
      </c>
    </row>
    <row r="346">
      <c r="A346" s="6" t="inlineStr">
        <is>
          <t>coriander</t>
        </is>
      </c>
      <c r="B346" s="6" t="inlineStr">
        <is>
          <t>Ground coriander</t>
        </is>
      </c>
      <c r="C346" s="6" t="inlineStr">
        <is>
          <t>spice</t>
        </is>
      </c>
      <c r="D346" s="6" t="n">
        <v>298</v>
      </c>
      <c r="E346" s="6" t="n">
        <v>12</v>
      </c>
      <c r="F346" s="6" t="n">
        <v>18</v>
      </c>
      <c r="G346" s="6" t="n">
        <v>55</v>
      </c>
      <c r="H346" s="6" t="n">
        <v>42</v>
      </c>
      <c r="I346" s="6" t="n">
        <v>13</v>
      </c>
      <c r="J346" s="6" t="n">
        <v>15</v>
      </c>
      <c r="K346" s="6" t="inlineStr">
        <is>
          <t>none (placeholder)</t>
        </is>
      </c>
      <c r="L346" s="7" t="inlineStr">
        <is>
          <t>Conventional placeholder for foods with too little carbohydrate to test (non-starchy vegetables, nuts, seeds, herbs); no published measurement exists</t>
        </is>
      </c>
      <c r="M346" s="7" t="inlineStr">
        <is>
          <t>not measurable</t>
        </is>
      </c>
      <c r="N346" s="6" t="inlineStr"/>
      <c r="O346" s="7" t="inlineStr">
        <is>
          <t>clinical convention</t>
        </is>
      </c>
      <c r="P346" s="7" t="inlineStr">
        <is>
          <t>USDA FoodData Central (SR Legacy / Foundation Foods), fdc.nal.usda.gov</t>
        </is>
      </c>
      <c r="Q346" s="6" t="inlineStr">
        <is>
          <t>2026-09-26</t>
        </is>
      </c>
    </row>
    <row r="347">
      <c r="A347" s="6" t="inlineStr">
        <is>
          <t>mustard_seed</t>
        </is>
      </c>
      <c r="B347" s="6" t="inlineStr">
        <is>
          <t>Mustard seeds</t>
        </is>
      </c>
      <c r="C347" s="6" t="inlineStr">
        <is>
          <t>spice</t>
        </is>
      </c>
      <c r="D347" s="6" t="n">
        <v>508</v>
      </c>
      <c r="E347" s="6" t="n">
        <v>26</v>
      </c>
      <c r="F347" s="6" t="n">
        <v>36</v>
      </c>
      <c r="G347" s="6" t="n">
        <v>28</v>
      </c>
      <c r="H347" s="6" t="n">
        <v>12</v>
      </c>
      <c r="I347" s="6" t="n">
        <v>16</v>
      </c>
      <c r="J347" s="6" t="n">
        <v>15</v>
      </c>
      <c r="K347" s="6" t="inlineStr">
        <is>
          <t>none (placeholder)</t>
        </is>
      </c>
      <c r="L347" s="7" t="inlineStr">
        <is>
          <t>Conventional placeholder for foods with too little carbohydrate to test (non-starchy vegetables, nuts, seeds, herbs); no published measurement exists</t>
        </is>
      </c>
      <c r="M347" s="7" t="inlineStr">
        <is>
          <t>not measurable</t>
        </is>
      </c>
      <c r="N347" s="6" t="inlineStr"/>
      <c r="O347" s="7" t="inlineStr">
        <is>
          <t>clinical convention</t>
        </is>
      </c>
      <c r="P347" s="7" t="inlineStr">
        <is>
          <t>USDA FoodData Central (SR Legacy / Foundation Foods), fdc.nal.usda.gov</t>
        </is>
      </c>
      <c r="Q347" s="6" t="inlineStr">
        <is>
          <t>2026-09-26</t>
        </is>
      </c>
    </row>
    <row r="348">
      <c r="A348" s="6" t="inlineStr">
        <is>
          <t>pumpkin_pie_spice</t>
        </is>
      </c>
      <c r="B348" s="6" t="inlineStr">
        <is>
          <t>Pumpkin pie spice</t>
        </is>
      </c>
      <c r="C348" s="6" t="inlineStr">
        <is>
          <t>spice</t>
        </is>
      </c>
      <c r="D348" s="6" t="n">
        <v>342</v>
      </c>
      <c r="E348" s="6" t="n">
        <v>4</v>
      </c>
      <c r="F348" s="6" t="n">
        <v>5</v>
      </c>
      <c r="G348" s="6" t="n">
        <v>74</v>
      </c>
      <c r="H348" s="6" t="n">
        <v>25</v>
      </c>
      <c r="I348" s="6" t="n">
        <v>49</v>
      </c>
      <c r="J348" s="6" t="n">
        <v>15</v>
      </c>
      <c r="K348" s="6" t="inlineStr">
        <is>
          <t>none (placeholder)</t>
        </is>
      </c>
      <c r="L348" s="7" t="inlineStr">
        <is>
          <t>Conventional placeholder for foods with too little carbohydrate to test (non-starchy vegetables, nuts, seeds, herbs); no published measurement exists</t>
        </is>
      </c>
      <c r="M348" s="7" t="inlineStr">
        <is>
          <t>not measurable</t>
        </is>
      </c>
      <c r="N348" s="6" t="inlineStr"/>
      <c r="O348" s="7" t="inlineStr">
        <is>
          <t>clinical convention</t>
        </is>
      </c>
      <c r="P348" s="7" t="inlineStr">
        <is>
          <t>USDA FoodData Central (SR Legacy / Foundation Foods), fdc.nal.usda.gov</t>
        </is>
      </c>
      <c r="Q348" s="6" t="inlineStr">
        <is>
          <t>2026-09-26</t>
        </is>
      </c>
    </row>
    <row r="349">
      <c r="A349" s="6" t="inlineStr">
        <is>
          <t>five_spice</t>
        </is>
      </c>
      <c r="B349" s="6" t="inlineStr">
        <is>
          <t>Chinese five-spice</t>
        </is>
      </c>
      <c r="C349" s="6" t="inlineStr">
        <is>
          <t>spice</t>
        </is>
      </c>
      <c r="D349" s="6" t="n">
        <v>300</v>
      </c>
      <c r="E349" s="6" t="n">
        <v>10</v>
      </c>
      <c r="F349" s="6" t="n">
        <v>8</v>
      </c>
      <c r="G349" s="6" t="n">
        <v>55</v>
      </c>
      <c r="H349" s="6" t="n">
        <v>25</v>
      </c>
      <c r="I349" s="6" t="n">
        <v>30</v>
      </c>
      <c r="J349" s="6" t="n">
        <v>15</v>
      </c>
      <c r="K349" s="6" t="inlineStr">
        <is>
          <t>none (placeholder)</t>
        </is>
      </c>
      <c r="L349" s="7" t="inlineStr">
        <is>
          <t>Conventional placeholder for foods with too little carbohydrate to test (non-starchy vegetables, nuts, seeds, herbs); no published measurement exists</t>
        </is>
      </c>
      <c r="M349" s="7" t="inlineStr">
        <is>
          <t>not measurable</t>
        </is>
      </c>
      <c r="N349" s="6" t="inlineStr"/>
      <c r="O349" s="7" t="inlineStr">
        <is>
          <t>clinical convention</t>
        </is>
      </c>
      <c r="P349" s="7" t="inlineStr">
        <is>
          <t>USDA FoodData Central (SR Legacy / Foundation Foods), fdc.nal.usda.gov</t>
        </is>
      </c>
      <c r="Q349" s="6" t="inlineStr">
        <is>
          <t>2026-09-26</t>
        </is>
      </c>
    </row>
    <row r="350">
      <c r="A350" s="6" t="inlineStr">
        <is>
          <t>sumac</t>
        </is>
      </c>
      <c r="B350" s="6" t="inlineStr">
        <is>
          <t>Sumac</t>
        </is>
      </c>
      <c r="C350" s="6" t="inlineStr">
        <is>
          <t>spice</t>
        </is>
      </c>
      <c r="D350" s="6" t="n">
        <v>300</v>
      </c>
      <c r="E350" s="6" t="n">
        <v>10</v>
      </c>
      <c r="F350" s="6" t="n">
        <v>8</v>
      </c>
      <c r="G350" s="6" t="n">
        <v>55</v>
      </c>
      <c r="H350" s="6" t="n">
        <v>25</v>
      </c>
      <c r="I350" s="6" t="n">
        <v>30</v>
      </c>
      <c r="J350" s="6" t="n">
        <v>15</v>
      </c>
      <c r="K350" s="6" t="inlineStr">
        <is>
          <t>none (placeholder)</t>
        </is>
      </c>
      <c r="L350" s="7" t="inlineStr">
        <is>
          <t>Conventional placeholder for foods with too little carbohydrate to test (non-starchy vegetables, nuts, seeds, herbs); no published measurement exists</t>
        </is>
      </c>
      <c r="M350" s="7" t="inlineStr">
        <is>
          <t>not measurable</t>
        </is>
      </c>
      <c r="N350" s="6" t="inlineStr"/>
      <c r="O350" s="7" t="inlineStr">
        <is>
          <t>clinical convention</t>
        </is>
      </c>
      <c r="P350" s="7" t="inlineStr">
        <is>
          <t>USDA FoodData Central (SR Legacy / Foundation Foods), fdc.nal.usda.gov</t>
        </is>
      </c>
      <c r="Q350" s="6" t="inlineStr">
        <is>
          <t>2026-09-26</t>
        </is>
      </c>
    </row>
    <row r="351">
      <c r="A351" s="6" t="inlineStr">
        <is>
          <t>star_anise</t>
        </is>
      </c>
      <c r="B351" s="6" t="inlineStr">
        <is>
          <t>Star anise</t>
        </is>
      </c>
      <c r="C351" s="6" t="inlineStr">
        <is>
          <t>spice</t>
        </is>
      </c>
      <c r="D351" s="6" t="n">
        <v>337</v>
      </c>
      <c r="E351" s="6" t="n">
        <v>18</v>
      </c>
      <c r="F351" s="6" t="n">
        <v>16</v>
      </c>
      <c r="G351" s="6" t="n">
        <v>50</v>
      </c>
      <c r="H351" s="6" t="n">
        <v>15</v>
      </c>
      <c r="I351" s="6" t="n">
        <v>35</v>
      </c>
      <c r="J351" s="6" t="n">
        <v>15</v>
      </c>
      <c r="K351" s="6" t="inlineStr">
        <is>
          <t>none (placeholder)</t>
        </is>
      </c>
      <c r="L351" s="7" t="inlineStr">
        <is>
          <t>Conventional placeholder for foods with too little carbohydrate to test (non-starchy vegetables, nuts, seeds, herbs); no published measurement exists</t>
        </is>
      </c>
      <c r="M351" s="7" t="inlineStr">
        <is>
          <t>not measurable</t>
        </is>
      </c>
      <c r="N351" s="6" t="inlineStr"/>
      <c r="O351" s="7" t="inlineStr">
        <is>
          <t>clinical convention</t>
        </is>
      </c>
      <c r="P351" s="7" t="inlineStr">
        <is>
          <t>USDA FoodData Central (SR Legacy / Foundation Foods), fdc.nal.usda.gov</t>
        </is>
      </c>
      <c r="Q351" s="6" t="inlineStr">
        <is>
          <t>2026-09-26</t>
        </is>
      </c>
    </row>
    <row r="352">
      <c r="A352" s="6" t="inlineStr">
        <is>
          <t>chili_crisp</t>
        </is>
      </c>
      <c r="B352" s="6" t="inlineStr">
        <is>
          <t>Chili crisp (small amount)</t>
        </is>
      </c>
      <c r="C352" s="6" t="inlineStr">
        <is>
          <t>condiment</t>
        </is>
      </c>
      <c r="D352" s="6" t="n">
        <v>500</v>
      </c>
      <c r="E352" s="6" t="n">
        <v>5</v>
      </c>
      <c r="F352" s="6" t="n">
        <v>50</v>
      </c>
      <c r="G352" s="6" t="n">
        <v>10</v>
      </c>
      <c r="H352" s="6" t="n">
        <v>3</v>
      </c>
      <c r="I352" s="6" t="n">
        <v>7</v>
      </c>
      <c r="J352" s="6" t="n">
        <v>15</v>
      </c>
      <c r="K352" s="6" t="inlineStr">
        <is>
          <t>none (placeholder)</t>
        </is>
      </c>
      <c r="L352" s="7" t="inlineStr">
        <is>
          <t>Conventional placeholder for foods with too little carbohydrate to test (non-starchy vegetables, nuts, seeds, herbs); no published measurement exists</t>
        </is>
      </c>
      <c r="M352" s="7" t="inlineStr">
        <is>
          <t>not measurable</t>
        </is>
      </c>
      <c r="N352" s="6" t="inlineStr"/>
      <c r="O352" s="7" t="inlineStr">
        <is>
          <t>clinical convention</t>
        </is>
      </c>
      <c r="P352" s="7" t="inlineStr">
        <is>
          <t>USDA FoodData Central (SR Legacy / Foundation Foods), fdc.nal.usda.gov</t>
        </is>
      </c>
      <c r="Q352" s="6" t="inlineStr">
        <is>
          <t>2026-09-26</t>
        </is>
      </c>
    </row>
  </sheetData>
  <autoFilter ref="A1:Q352"/>
  <conditionalFormatting sqref="K2:K352">
    <cfRule type="cellIs" priority="1" operator="equal" dxfId="0">
      <formula>"high"</formula>
    </cfRule>
    <cfRule type="cellIs" priority="2" operator="equal" dxfId="1">
      <formula>"medium"</formula>
    </cfRule>
    <cfRule type="cellIs" priority="3" operator="containsText" dxfId="2">
      <formula>NOT(ISERROR(SEARCH("placeholder",K2)))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 customWidth="1" min="1" max="1"/>
    <col width="44" customWidth="1" min="2" max="2"/>
    <col width="14" customWidth="1" min="3" max="3"/>
    <col width="96" customWidth="1" min="4" max="4"/>
  </cols>
  <sheetData>
    <row r="1">
      <c r="A1" s="1" t="inlineStr">
        <is>
          <t>#</t>
        </is>
      </c>
      <c r="B1" s="1" t="inlineStr">
        <is>
          <t>Source</t>
        </is>
      </c>
      <c r="C1" s="1" t="inlineStr">
        <is>
          <t>Used here</t>
        </is>
      </c>
      <c r="D1" s="1" t="inlineStr">
        <is>
          <t>What it gives / why it is or is not in this build</t>
        </is>
      </c>
    </row>
    <row r="2">
      <c r="A2" s="7" t="n">
        <v>1</v>
      </c>
      <c r="B2" s="7" t="inlineStr">
        <is>
          <t>Diogenes GI database (18,808 entries)</t>
        </is>
      </c>
      <c r="C2" s="8" t="inlineStr">
        <is>
          <t>нет</t>
        </is>
      </c>
      <c r="D2" s="7" t="inlineStr">
        <is>
          <t>Крупнейшая сводка ГИ, собрана в проекте Diogenes (EU FP6). Не в открытом доступе: распространяется по запросу к авторам консорциума. Не использована — данных нет на руках.</t>
        </is>
      </c>
    </row>
    <row r="3">
      <c r="A3" s="7" t="n">
        <v>2</v>
      </c>
      <c r="B3" s="7" t="inlineStr">
        <is>
          <t>2024 US national GI database (10,978 описаний / 7,976 кодов USDA)</t>
        </is>
      </c>
      <c r="C3" s="8" t="inlineStr">
        <is>
          <t>нет</t>
        </is>
      </c>
      <c r="D3" s="7" t="inlineStr">
        <is>
          <t>Sheng X. et al. Development of a national database for dietary glycemic index and load for nutritional epidemiologic studies in the United States. Am J Clin Nutr 2024. Это именно то, что нужно рынку США: ГИ, сопоставленный с кодами USDA FNDDS. Полный текст и приложения за пейволом Elsevier (403 при загрузке); данные — по запросу к авторам. Рекомендую запросить: это лучший источник для v2.</t>
        </is>
      </c>
    </row>
    <row r="4">
      <c r="A4" s="7" t="n">
        <v>3</v>
      </c>
      <c r="B4" s="7" t="inlineStr">
        <is>
          <t>2021 International Tables (4,018 значений)</t>
        </is>
      </c>
      <c r="C4" s="8" t="inlineStr">
        <is>
          <t>ДА — основной</t>
        </is>
      </c>
      <c r="D4" s="7" t="inlineStr">
        <is>
          <t>Atkinson FS et al. Am J Clin Nutr 2021;114:1625-32. Suppl. Table 1 = 2,091 значение, метод соответствует ISO 26642:2010 (золотой стандарт). Suppl. Table 2 = 1,924 значения с отклонениями метода. Извлечено 4,015 из 4,018 строк (99.9%) из присланных PDF — файл data/gi-evidence/intl_tables_2021.json. По PRISMA-схеме (Suppl. Fig. 1) за этими значениями стоят 253 отобранных исследования из 3 717 просмотренных записей: 102 исследования в Таблице 1 и 151 в Таблице 2; исключены, в частности, 161 работа по смешанным приёмам пищи и 27 измерений in vitro.</t>
        </is>
      </c>
    </row>
    <row r="5">
      <c r="A5" s="7" t="n">
        <v>4</v>
      </c>
      <c r="B5" s="7" t="inlineStr">
        <is>
          <t>Компендиум 940 незападных продуктов</t>
        </is>
      </c>
      <c r="C5" s="8" t="inlineStr">
        <is>
          <t>нет</t>
        </is>
      </c>
      <c r="D5" s="7" t="inlineStr">
        <is>
          <t>Региональные измерения (Азия, Африка, Латинская Америка). Для меню рынка США нужен мало; большая часть этих значений всё равно вошла в таблицы 2021 года.</t>
        </is>
      </c>
    </row>
    <row r="6">
      <c r="A6" s="7" t="n">
        <v>5</v>
      </c>
      <c r="B6" s="7" t="inlineStr">
        <is>
          <t>2008 International Tables (~2,480)</t>
        </is>
      </c>
      <c r="C6" s="8" t="inlineStr">
        <is>
          <t>частично</t>
        </is>
      </c>
      <c r="D6" s="7" t="inlineStr">
        <is>
          <t>Atkinson FS et al. Diabetes Care 2008;31:2281-3. Исторический предшественник; значения перенесены и переоценены в редакции 2021 года, поэтому отдельно не загружались.</t>
        </is>
      </c>
    </row>
    <row r="7">
      <c r="A7" s="7" t="n">
        <v>6</v>
      </c>
      <c r="B7" s="7" t="inlineStr">
        <is>
          <t>Первичная литература</t>
        </is>
      </c>
      <c r="C7" s="8" t="inlineStr">
        <is>
          <t>точечно</t>
        </is>
      </c>
      <c r="D7" s="7" t="inlineStr">
        <is>
          <t>Каждое значение в таблицах 2021 года несёт номер ссылки (колонка ref_no в intl_tables_2021.json) — по нему можно поднять исходный эксперимент, если понадобится проверка.</t>
        </is>
      </c>
    </row>
    <row r="8">
      <c r="A8" s="7" t="n">
        <v>7</v>
      </c>
      <c r="B8" s="7" t="inlineStr">
        <is>
          <t>CENTRAL / MEDLINE / EMBASE</t>
        </is>
      </c>
      <c r="C8" s="8" t="inlineStr">
        <is>
          <t>нет</t>
        </is>
      </c>
      <c r="D8" s="7" t="inlineStr">
        <is>
          <t>Поиск исследований. PRISMA-схема присланного приложения показывает, что авторы 2021 года уже прочесали эти базы; дублировать поиск смысла нет.</t>
        </is>
      </c>
    </row>
    <row r="9">
      <c r="A9" s="7" t="n">
        <v>8</v>
      </c>
      <c r="B9" s="7" t="inlineStr">
        <is>
          <t>USDA FoodData Central</t>
        </is>
      </c>
      <c r="C9" s="8" t="inlineStr">
        <is>
          <t>ДА — основной</t>
        </is>
      </c>
      <c r="D9" s="7" t="inlineStr">
        <is>
          <t>Все нутриенты (ккал, белки, жиры, углеводы, клетчатка) на 100 г. ГИ оттуда не берётся — его там нет.</t>
        </is>
      </c>
    </row>
    <row r="10">
      <c r="A10" s="7" t="n">
        <v>9</v>
      </c>
      <c r="B10" s="7" t="inlineStr">
        <is>
          <t>University of Sydney GI database (4,384 записи)</t>
        </is>
      </c>
      <c r="C10" s="8" t="inlineStr">
        <is>
          <t>ДА — сверка</t>
        </is>
      </c>
      <c r="D10" s="7" t="inlineStr">
        <is>
          <t>glycemicindex.com/gi-search, выгружено 2026-09-16 (data/recipes-db/sydney_gi_db.json). Онлайн-версия тех же данных плюс записи после 2021 года. Используется, когда в таблицах 2021 года продукта нет. Для платного продукта нужно разрешение: glycemic.index@gmail.com.</t>
        </is>
      </c>
    </row>
    <row r="12">
      <c r="A12" s="9" t="inlineStr"/>
      <c r="B12" s="10" t="inlineStr">
        <is>
          <t>Правило выбора значения (v1, 26.09.2026)</t>
        </is>
      </c>
      <c r="C12" s="9" t="inlineStr"/>
      <c r="D12" s="9" t="inlineStr">
        <is>
          <t>1) Если в Suppl. Table 1 (ISO-метод) есть &gt;= 2 измерения — берём их медиану. 2) Иначе медиана Table 1 + Table 2. 3) Иначе онлайн-база Сиднея. 4) Если измерений нет вообще — условное значение 15 для продуктов с ничтожным количеством углеводов и 0 для чистого белка/жира; в колонке gi_confidence это помечено как placeholder. Колонка gi_value_in_sources на листе Ingredients показывает, что дают источники, даже если принятое значение отличается.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4" customWidth="1" min="1" max="1"/>
    <col width="10" customWidth="1" min="2" max="2"/>
    <col width="16" customWidth="1" min="3" max="3"/>
    <col width="18" customWidth="1" min="4" max="4"/>
    <col width="10" customWidth="1" min="5" max="5"/>
    <col width="10" customWidth="1" min="6" max="6"/>
    <col width="14" customWidth="1" min="7" max="7"/>
  </cols>
  <sheetData>
    <row r="1">
      <c r="A1" s="1" t="inlineStr">
        <is>
          <t>Category</t>
        </is>
      </c>
      <c r="B1" s="1" t="inlineStr">
        <is>
          <t>Recipes</t>
        </is>
      </c>
      <c r="C1" s="1" t="inlineStr">
        <is>
          <t>Avg kcal/serving</t>
        </is>
      </c>
      <c r="D1" s="1" t="inlineStr">
        <is>
          <t>Avg net carbs (g)</t>
        </is>
      </c>
      <c r="E1" s="1" t="inlineStr">
        <is>
          <t>Avg GI</t>
        </is>
      </c>
      <c r="F1" s="1" t="inlineStr">
        <is>
          <t>Avg GL</t>
        </is>
      </c>
      <c r="G1" s="1" t="inlineStr">
        <is>
          <t>Low-GI share</t>
        </is>
      </c>
    </row>
    <row r="2">
      <c r="A2" s="11" t="inlineStr">
        <is>
          <t>Beef, Pork &amp; Lamb</t>
        </is>
      </c>
      <c r="B2" s="11">
        <f>COUNTIF(Recipes!$C$2:$C$1113,A2)</f>
        <v/>
      </c>
      <c r="C2" s="12">
        <f>AVERAGEIF(Recipes!$C$2:$C$1113,A2,Recipes!$N$2:$N$1113)</f>
        <v/>
      </c>
      <c r="D2" s="13">
        <f>AVERAGEIF(Recipes!$C$2:$C$1113,A2,Recipes!$S$2:$S$1113)</f>
        <v/>
      </c>
      <c r="E2" s="12">
        <f>AVERAGEIF(Recipes!$C$2:$C$1113,A2,Recipes!$T$2:$T$1113)</f>
        <v/>
      </c>
      <c r="F2" s="13">
        <f>AVERAGEIF(Recipes!$C$2:$C$1113,A2,Recipes!$V$2:$V$1113)</f>
        <v/>
      </c>
      <c r="G2" s="14">
        <f>COUNTIFS(Recipes!$C$2:$C$1113,A2,Recipes!$U$2:$U$1113,"low")/B2</f>
        <v/>
      </c>
    </row>
    <row r="3">
      <c r="A3" s="11" t="inlineStr">
        <is>
          <t>Breakfast</t>
        </is>
      </c>
      <c r="B3" s="11">
        <f>COUNTIF(Recipes!$C$2:$C$1113,A3)</f>
        <v/>
      </c>
      <c r="C3" s="12">
        <f>AVERAGEIF(Recipes!$C$2:$C$1113,A3,Recipes!$N$2:$N$1113)</f>
        <v/>
      </c>
      <c r="D3" s="13">
        <f>AVERAGEIF(Recipes!$C$2:$C$1113,A3,Recipes!$S$2:$S$1113)</f>
        <v/>
      </c>
      <c r="E3" s="12">
        <f>AVERAGEIF(Recipes!$C$2:$C$1113,A3,Recipes!$T$2:$T$1113)</f>
        <v/>
      </c>
      <c r="F3" s="13">
        <f>AVERAGEIF(Recipes!$C$2:$C$1113,A3,Recipes!$V$2:$V$1113)</f>
        <v/>
      </c>
      <c r="G3" s="14">
        <f>COUNTIFS(Recipes!$C$2:$C$1113,A3,Recipes!$U$2:$U$1113,"low")/B3</f>
        <v/>
      </c>
    </row>
    <row r="4">
      <c r="A4" s="11" t="inlineStr">
        <is>
          <t>Dessert</t>
        </is>
      </c>
      <c r="B4" s="11">
        <f>COUNTIF(Recipes!$C$2:$C$1113,A4)</f>
        <v/>
      </c>
      <c r="C4" s="12">
        <f>AVERAGEIF(Recipes!$C$2:$C$1113,A4,Recipes!$N$2:$N$1113)</f>
        <v/>
      </c>
      <c r="D4" s="13">
        <f>AVERAGEIF(Recipes!$C$2:$C$1113,A4,Recipes!$S$2:$S$1113)</f>
        <v/>
      </c>
      <c r="E4" s="12">
        <f>AVERAGEIF(Recipes!$C$2:$C$1113,A4,Recipes!$T$2:$T$1113)</f>
        <v/>
      </c>
      <c r="F4" s="13">
        <f>AVERAGEIF(Recipes!$C$2:$C$1113,A4,Recipes!$V$2:$V$1113)</f>
        <v/>
      </c>
      <c r="G4" s="14">
        <f>COUNTIFS(Recipes!$C$2:$C$1113,A4,Recipes!$U$2:$U$1113,"low")/B4</f>
        <v/>
      </c>
    </row>
    <row r="5">
      <c r="A5" s="11" t="inlineStr">
        <is>
          <t>Drinks &amp; Smoothies</t>
        </is>
      </c>
      <c r="B5" s="11">
        <f>COUNTIF(Recipes!$C$2:$C$1113,A5)</f>
        <v/>
      </c>
      <c r="C5" s="12">
        <f>AVERAGEIF(Recipes!$C$2:$C$1113,A5,Recipes!$N$2:$N$1113)</f>
        <v/>
      </c>
      <c r="D5" s="13">
        <f>AVERAGEIF(Recipes!$C$2:$C$1113,A5,Recipes!$S$2:$S$1113)</f>
        <v/>
      </c>
      <c r="E5" s="12">
        <f>AVERAGEIF(Recipes!$C$2:$C$1113,A5,Recipes!$T$2:$T$1113)</f>
        <v/>
      </c>
      <c r="F5" s="13">
        <f>AVERAGEIF(Recipes!$C$2:$C$1113,A5,Recipes!$V$2:$V$1113)</f>
        <v/>
      </c>
      <c r="G5" s="14">
        <f>COUNTIFS(Recipes!$C$2:$C$1113,A5,Recipes!$U$2:$U$1113,"low")/B5</f>
        <v/>
      </c>
    </row>
    <row r="6">
      <c r="A6" s="11" t="inlineStr">
        <is>
          <t>Poultry</t>
        </is>
      </c>
      <c r="B6" s="11">
        <f>COUNTIF(Recipes!$C$2:$C$1113,A6)</f>
        <v/>
      </c>
      <c r="C6" s="12">
        <f>AVERAGEIF(Recipes!$C$2:$C$1113,A6,Recipes!$N$2:$N$1113)</f>
        <v/>
      </c>
      <c r="D6" s="13">
        <f>AVERAGEIF(Recipes!$C$2:$C$1113,A6,Recipes!$S$2:$S$1113)</f>
        <v/>
      </c>
      <c r="E6" s="12">
        <f>AVERAGEIF(Recipes!$C$2:$C$1113,A6,Recipes!$T$2:$T$1113)</f>
        <v/>
      </c>
      <c r="F6" s="13">
        <f>AVERAGEIF(Recipes!$C$2:$C$1113,A6,Recipes!$V$2:$V$1113)</f>
        <v/>
      </c>
      <c r="G6" s="14">
        <f>COUNTIFS(Recipes!$C$2:$C$1113,A6,Recipes!$U$2:$U$1113,"low")/B6</f>
        <v/>
      </c>
    </row>
    <row r="7">
      <c r="A7" s="11" t="inlineStr">
        <is>
          <t>Salad</t>
        </is>
      </c>
      <c r="B7" s="11">
        <f>COUNTIF(Recipes!$C$2:$C$1113,A7)</f>
        <v/>
      </c>
      <c r="C7" s="12">
        <f>AVERAGEIF(Recipes!$C$2:$C$1113,A7,Recipes!$N$2:$N$1113)</f>
        <v/>
      </c>
      <c r="D7" s="13">
        <f>AVERAGEIF(Recipes!$C$2:$C$1113,A7,Recipes!$S$2:$S$1113)</f>
        <v/>
      </c>
      <c r="E7" s="12">
        <f>AVERAGEIF(Recipes!$C$2:$C$1113,A7,Recipes!$T$2:$T$1113)</f>
        <v/>
      </c>
      <c r="F7" s="13">
        <f>AVERAGEIF(Recipes!$C$2:$C$1113,A7,Recipes!$V$2:$V$1113)</f>
        <v/>
      </c>
      <c r="G7" s="14">
        <f>COUNTIFS(Recipes!$C$2:$C$1113,A7,Recipes!$U$2:$U$1113,"low")/B7</f>
        <v/>
      </c>
    </row>
    <row r="8">
      <c r="A8" s="11" t="inlineStr">
        <is>
          <t>Sandwiches &amp; Wraps</t>
        </is>
      </c>
      <c r="B8" s="11">
        <f>COUNTIF(Recipes!$C$2:$C$1113,A8)</f>
        <v/>
      </c>
      <c r="C8" s="12">
        <f>AVERAGEIF(Recipes!$C$2:$C$1113,A8,Recipes!$N$2:$N$1113)</f>
        <v/>
      </c>
      <c r="D8" s="13">
        <f>AVERAGEIF(Recipes!$C$2:$C$1113,A8,Recipes!$S$2:$S$1113)</f>
        <v/>
      </c>
      <c r="E8" s="12">
        <f>AVERAGEIF(Recipes!$C$2:$C$1113,A8,Recipes!$T$2:$T$1113)</f>
        <v/>
      </c>
      <c r="F8" s="13">
        <f>AVERAGEIF(Recipes!$C$2:$C$1113,A8,Recipes!$V$2:$V$1113)</f>
        <v/>
      </c>
      <c r="G8" s="14">
        <f>COUNTIFS(Recipes!$C$2:$C$1113,A8,Recipes!$U$2:$U$1113,"low")/B8</f>
        <v/>
      </c>
    </row>
    <row r="9">
      <c r="A9" s="11" t="inlineStr">
        <is>
          <t>Seafood</t>
        </is>
      </c>
      <c r="B9" s="11">
        <f>COUNTIF(Recipes!$C$2:$C$1113,A9)</f>
        <v/>
      </c>
      <c r="C9" s="12">
        <f>AVERAGEIF(Recipes!$C$2:$C$1113,A9,Recipes!$N$2:$N$1113)</f>
        <v/>
      </c>
      <c r="D9" s="13">
        <f>AVERAGEIF(Recipes!$C$2:$C$1113,A9,Recipes!$S$2:$S$1113)</f>
        <v/>
      </c>
      <c r="E9" s="12">
        <f>AVERAGEIF(Recipes!$C$2:$C$1113,A9,Recipes!$T$2:$T$1113)</f>
        <v/>
      </c>
      <c r="F9" s="13">
        <f>AVERAGEIF(Recipes!$C$2:$C$1113,A9,Recipes!$V$2:$V$1113)</f>
        <v/>
      </c>
      <c r="G9" s="14">
        <f>COUNTIFS(Recipes!$C$2:$C$1113,A9,Recipes!$U$2:$U$1113,"low")/B9</f>
        <v/>
      </c>
    </row>
    <row r="10">
      <c r="A10" s="11" t="inlineStr">
        <is>
          <t>Side Dish</t>
        </is>
      </c>
      <c r="B10" s="11">
        <f>COUNTIF(Recipes!$C$2:$C$1113,A10)</f>
        <v/>
      </c>
      <c r="C10" s="12">
        <f>AVERAGEIF(Recipes!$C$2:$C$1113,A10,Recipes!$N$2:$N$1113)</f>
        <v/>
      </c>
      <c r="D10" s="13">
        <f>AVERAGEIF(Recipes!$C$2:$C$1113,A10,Recipes!$S$2:$S$1113)</f>
        <v/>
      </c>
      <c r="E10" s="12">
        <f>AVERAGEIF(Recipes!$C$2:$C$1113,A10,Recipes!$T$2:$T$1113)</f>
        <v/>
      </c>
      <c r="F10" s="13">
        <f>AVERAGEIF(Recipes!$C$2:$C$1113,A10,Recipes!$V$2:$V$1113)</f>
        <v/>
      </c>
      <c r="G10" s="14">
        <f>COUNTIFS(Recipes!$C$2:$C$1113,A10,Recipes!$U$2:$U$1113,"low")/B10</f>
        <v/>
      </c>
    </row>
    <row r="11">
      <c r="A11" s="11" t="inlineStr">
        <is>
          <t>Snack &amp; Appetizer</t>
        </is>
      </c>
      <c r="B11" s="11">
        <f>COUNTIF(Recipes!$C$2:$C$1113,A11)</f>
        <v/>
      </c>
      <c r="C11" s="12">
        <f>AVERAGEIF(Recipes!$C$2:$C$1113,A11,Recipes!$N$2:$N$1113)</f>
        <v/>
      </c>
      <c r="D11" s="13">
        <f>AVERAGEIF(Recipes!$C$2:$C$1113,A11,Recipes!$S$2:$S$1113)</f>
        <v/>
      </c>
      <c r="E11" s="12">
        <f>AVERAGEIF(Recipes!$C$2:$C$1113,A11,Recipes!$T$2:$T$1113)</f>
        <v/>
      </c>
      <c r="F11" s="13">
        <f>AVERAGEIF(Recipes!$C$2:$C$1113,A11,Recipes!$V$2:$V$1113)</f>
        <v/>
      </c>
      <c r="G11" s="14">
        <f>COUNTIFS(Recipes!$C$2:$C$1113,A11,Recipes!$U$2:$U$1113,"low")/B11</f>
        <v/>
      </c>
    </row>
    <row r="12">
      <c r="A12" s="11" t="inlineStr">
        <is>
          <t>Soup &amp; Stew</t>
        </is>
      </c>
      <c r="B12" s="11">
        <f>COUNTIF(Recipes!$C$2:$C$1113,A12)</f>
        <v/>
      </c>
      <c r="C12" s="12">
        <f>AVERAGEIF(Recipes!$C$2:$C$1113,A12,Recipes!$N$2:$N$1113)</f>
        <v/>
      </c>
      <c r="D12" s="13">
        <f>AVERAGEIF(Recipes!$C$2:$C$1113,A12,Recipes!$S$2:$S$1113)</f>
        <v/>
      </c>
      <c r="E12" s="12">
        <f>AVERAGEIF(Recipes!$C$2:$C$1113,A12,Recipes!$T$2:$T$1113)</f>
        <v/>
      </c>
      <c r="F12" s="13">
        <f>AVERAGEIF(Recipes!$C$2:$C$1113,A12,Recipes!$V$2:$V$1113)</f>
        <v/>
      </c>
      <c r="G12" s="14">
        <f>COUNTIFS(Recipes!$C$2:$C$1113,A12,Recipes!$U$2:$U$1113,"low")/B12</f>
        <v/>
      </c>
    </row>
    <row r="13">
      <c r="A13" s="11" t="inlineStr">
        <is>
          <t>Vegetarian &amp; Vegan</t>
        </is>
      </c>
      <c r="B13" s="11">
        <f>COUNTIF(Recipes!$C$2:$C$1113,A13)</f>
        <v/>
      </c>
      <c r="C13" s="12">
        <f>AVERAGEIF(Recipes!$C$2:$C$1113,A13,Recipes!$N$2:$N$1113)</f>
        <v/>
      </c>
      <c r="D13" s="13">
        <f>AVERAGEIF(Recipes!$C$2:$C$1113,A13,Recipes!$S$2:$S$1113)</f>
        <v/>
      </c>
      <c r="E13" s="12">
        <f>AVERAGEIF(Recipes!$C$2:$C$1113,A13,Recipes!$T$2:$T$1113)</f>
        <v/>
      </c>
      <c r="F13" s="13">
        <f>AVERAGEIF(Recipes!$C$2:$C$1113,A13,Recipes!$V$2:$V$1113)</f>
        <v/>
      </c>
      <c r="G13" s="14">
        <f>COUNTIFS(Recipes!$C$2:$C$1113,A13,Recipes!$U$2:$U$1113,"low")/B13</f>
        <v/>
      </c>
    </row>
    <row r="14">
      <c r="A14" s="15" t="inlineStr">
        <is>
          <t>TOTAL</t>
        </is>
      </c>
      <c r="B14" s="15">
        <f>SUM(B2:B13)</f>
        <v/>
      </c>
      <c r="G14" s="16">
        <f>COUNTIF(Recipes!$U$2:$U$1113,"low")/B14</f>
        <v/>
      </c>
    </row>
    <row r="16">
      <c r="A16" s="17" t="inlineStr">
        <is>
          <t>Formulas reference the Recipes sheet and recalculate automatically when it is opened in Excel / Google Sheets / Numbers.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110" customWidth="1" min="2" max="2"/>
  </cols>
  <sheetData>
    <row r="1">
      <c r="A1" s="18" t="inlineStr">
        <is>
          <t>DiaBite recipe database</t>
        </is>
      </c>
      <c r="B1" s="9" t="inlineStr">
        <is>
          <t>1000 рецептов для людей с инсулинорезистентностью, преддиабетом и СД2 (рынок США). Все числа рассчитаны детерминированно из таблицы Ingredients — не сгенерированы моделью.</t>
        </is>
      </c>
    </row>
    <row r="2">
      <c r="A2" s="10" t="inlineStr"/>
      <c r="B2" s="9" t="inlineStr"/>
    </row>
    <row r="3">
      <c r="A3" s="10" t="inlineStr">
        <is>
          <t>КАК СЧИТАЕТСЯ</t>
        </is>
      </c>
      <c r="B3" s="9" t="inlineStr"/>
    </row>
    <row r="4">
      <c r="A4" s="10" t="inlineStr">
        <is>
          <t>Nutrition (kcal, protein, fat, carbs, fiber)</t>
        </is>
      </c>
      <c r="B4" s="9" t="inlineStr">
        <is>
          <t>Сумма по ингредиентам: граммы × значение на 100 г из листа Ingredients (USDA FoodData Central), делённая на число порций. Все значения на 1 порцию.</t>
        </is>
      </c>
    </row>
    <row r="5">
      <c r="A5" s="10" t="inlineStr">
        <is>
          <t>net_carbs_g</t>
        </is>
      </c>
      <c r="B5" s="9" t="inlineStr">
        <is>
          <t>Усвояемые углеводы = carbs − fiber (на порцию). Именно от них считается гликемическая нагрузка.</t>
        </is>
      </c>
    </row>
    <row r="6">
      <c r="A6" s="10" t="inlineStr">
        <is>
          <t>glycemic_index</t>
        </is>
      </c>
      <c r="B6" s="9" t="inlineStr">
        <is>
          <t>ГИ блюда = Σ(ГИ ингредиента × его усвояемые углеводы) / Σ(усвояемые углеводы) — стандартный метод углеводно-взвешенного среднего (Wolever &amp; Jenkins, Am J Clin Nutr 1986). ГИ ингредиентов — International Tables of Glycemic Index and Glycemic Load Values 2021 (Atkinson, Brand-Miller et al.) / база University of Sydney (glycemicindex.com). Некрахмалистые овощи, орехи, травы: условное значение 15 (углеводов слишком мало для измерения). Белки, жиры, вода: 0.</t>
        </is>
      </c>
    </row>
    <row r="7">
      <c r="A7" s="10" t="inlineStr">
        <is>
          <t>gi_category</t>
        </is>
      </c>
      <c r="B7" s="9" t="inlineStr">
        <is>
          <t>low ≤ 55, medium 56–69, high ≥ 70 (классификация ISO 26642:2010 / Brand-Miller).</t>
        </is>
      </c>
    </row>
    <row r="8">
      <c r="A8" s="10" t="inlineStr">
        <is>
          <t>glycemic_load</t>
        </is>
      </c>
      <c r="B8" s="9" t="inlineStr">
        <is>
          <t>ГН порции = ГИ × net_carbs_g / 100.</t>
        </is>
      </c>
    </row>
    <row r="9">
      <c r="A9" s="10" t="inlineStr">
        <is>
          <t>gl_category</t>
        </is>
      </c>
      <c r="B9" s="9" t="inlineStr">
        <is>
          <t>low ≤ 10, medium 11–19, high ≥ 20 на порцию.</t>
        </is>
      </c>
    </row>
    <row r="10">
      <c r="A10" s="10" t="inlineStr">
        <is>
          <t>gi_note</t>
        </is>
      </c>
      <c r="B10" s="9" t="inlineStr">
        <is>
          <t>Пояснение: у блюд с &lt; 5 г усвояемых углеводов ГИ практически не имеет смысла (ориентируйтесь на ГН); у блюд со средним ГИ — рекомендация по порции.</t>
        </is>
      </c>
    </row>
    <row r="11">
      <c r="A11" s="10" t="inlineStr">
        <is>
          <t>ИСТОЧНИКИ И ПРАВИЛО ВЫБОРА</t>
        </is>
      </c>
      <c r="B11" s="9" t="inlineStr">
        <is>
          <t>Полный разбор — на листе Sources. Коротко: значение ГИ каждого ингредиента взято из измерений, приоритет 1) 2021 International Tables, Suppl. Table 1 (метод по ISO 26642:2010), 2) Suppl. Tables 1+2, 3) онлайн-база University of Sydney. Из присланных PDF извлечено 4 015 из 4 018 записей. Колонки gi_confidence / gi_source / gi_evidence_basis / gi_citation на листе Ingredients показывают происхождение каждого значения; gi_value_in_sources — что дают источники, даже если принято другое число.</t>
        </is>
      </c>
    </row>
    <row r="12">
      <c r="A12" s="10" t="inlineStr">
        <is>
          <t>Пересмотр 26.09.2026</t>
        </is>
      </c>
      <c r="B12" s="9" t="inlineStr">
        <is>
          <t>По правилу «побеждают измерения» изменены 28 значений (нут 28→38, чечевица 29→36, бурый рис 55→68, ячмень 28→44, финики 42→54, зелёный горошек 51→38, груша 38→28, манго 51→42, картофель 56→71, паста цельнозерновая 42→54 и др.). Пять значений сохранены намеренно: морковь 39, monk fruit 0, черника 53, хумус 15, тёмный шоколад 23 — причины в gi_source соответствующей строки листа Ingredients.</t>
        </is>
      </c>
    </row>
    <row r="13">
      <c r="A13" s="10" t="inlineStr">
        <is>
          <t>Честность про охват</t>
        </is>
      </c>
      <c r="B13" s="9" t="inlineStr">
        <is>
          <t>Колонка gi_measured_carb_share_pct показывает, какая доля усвояемых углеводов блюда приходится на ингредиенты с опубликованным измеренным ГИ. В блюдах с ≥20 г углеводов это в среднем 69 %, в блюдах 10–20 г — 39 %, в блюдах &lt;10 г — 14 % (там почти все углеводы из некрахмалистых овощей, у которых ГИ не измеряют; для таких блюд ориентируйтесь на гликемическую нагрузку, а не на ГИ).</t>
        </is>
      </c>
    </row>
    <row r="14">
      <c r="A14" s="10" t="inlineStr"/>
      <c r="B14" s="9" t="inlineStr"/>
    </row>
    <row r="15">
      <c r="A15" s="10" t="inlineStr">
        <is>
          <t>ОГРАНИЧЕНИЯ МЕТОДА</t>
        </is>
      </c>
      <c r="B15" s="9" t="inlineStr">
        <is>
          <t>1) Взвешенный ГИ — оценка, а не лабораторное измерение: белок, жир, кислота и клетчатка в блюде обычно снижают реальный гликемический ответ, поэтому расчёт консервативен (завышает). 2) Способ приготовления меняет ГИ (паста al dente, остывший картофель, замачивание овсянки) — учтено выбором значений для типичной формы. 3) Разброс между источниками ±10–15 пунктов — это нормально. Перед публикацией сверить таблицу Ingredients с выбранным источником (см. README проекта, раздел Data source).</t>
        </is>
      </c>
    </row>
    <row r="16">
      <c r="A16" s="10" t="inlineStr"/>
      <c r="B16" s="9" t="inlineStr"/>
    </row>
    <row r="17">
      <c r="A17" s="10" t="inlineStr">
        <is>
          <t>КОЛОНКИ</t>
        </is>
      </c>
      <c r="B17" s="9" t="inlineStr"/>
    </row>
    <row r="18">
      <c r="A18" s="10" t="inlineStr">
        <is>
          <t>id</t>
        </is>
      </c>
      <c r="B18" s="9" t="inlineStr">
        <is>
          <t>Уникальный ключ DB-0001…DB-1000.</t>
        </is>
      </c>
    </row>
    <row r="19">
      <c r="A19" s="10" t="inlineStr">
        <is>
          <t>name / category / cuisine</t>
        </is>
      </c>
      <c r="B19" s="9" t="inlineStr">
        <is>
          <t>Название (англ., для рынка США), категория (Breakfast, Salad, Soup &amp; Stew, Poultry, Beef Pork &amp; Lamb, Seafood, Vegetarian &amp; Vegan, Snack &amp; Appetizer, Side Dish, Dessert, Drinks &amp; Smoothies, Sandwiches &amp; Wraps), кухня.</t>
        </is>
      </c>
    </row>
    <row r="20">
      <c r="A20" s="10" t="inlineStr">
        <is>
          <t>servings / prep_min / cook_min / total_min</t>
        </is>
      </c>
      <c r="B20" s="9" t="inlineStr">
        <is>
          <t>Число порций в рецепте (граммы в ingredients — на весь рецепт); время подготовки, готовки и общее в минутах.</t>
        </is>
      </c>
    </row>
    <row r="21">
      <c r="A21" s="10" t="inlineStr">
        <is>
          <t>photo_file / photo_keywords / photo_url</t>
        </is>
      </c>
      <c r="B21" s="9" t="inlineStr">
        <is>
          <t>photo_file — имя файла изображения (slug названия) для папки картинок приложения. photo_keywords — запрос для стока (Unsplash/Pexels) или генерации. photo_url — пусто, заполняется при загрузке фото. Фотографии в файл не встроены — см. сопроводительное сообщение.</t>
        </is>
      </c>
    </row>
    <row r="22">
      <c r="A22" s="10" t="inlineStr">
        <is>
          <t>ingredients</t>
        </is>
      </c>
      <c r="B22" s="9" t="inlineStr">
        <is>
          <t>Список для отображения: название — граммы (унции) [пояснение в штуках, если есть]. Граммы на ВЕСЬ рецепт.</t>
        </is>
      </c>
    </row>
    <row r="23">
      <c r="A23" s="10" t="inlineStr">
        <is>
          <t>ingredients_json</t>
        </is>
      </c>
      <c r="B23" s="9" t="inlineStr">
        <is>
          <t>Тот же список в JSON для импорта в приложение: ingredient_id ссылается на лист Ingredients.</t>
        </is>
      </c>
    </row>
    <row r="24">
      <c r="A24" s="10" t="inlineStr">
        <is>
          <t>kcal … net_carbs_g</t>
        </is>
      </c>
      <c r="B24" s="9" t="inlineStr">
        <is>
          <t>БЖУ и клетчатка на 1 порцию.</t>
        </is>
      </c>
    </row>
    <row r="25">
      <c r="A25" s="10" t="inlineStr">
        <is>
          <t>diet_tags</t>
        </is>
      </c>
      <c r="B25" s="9" t="inlineStr">
        <is>
          <t>Автоматически из состава: vegan / vegetarian / pescatarian / gluten-free / dairy-free / nut-free / low-carb (≤15 г net) / high-protein (≥25 г) / high-fiber (≥7 г) + ручные метки (quick, make-ahead, one-pan, meal-prep, omega-3 …). Овёс считается содержащим глютен (риск контаминации).</t>
        </is>
      </c>
    </row>
    <row r="26">
      <c r="A26" s="10" t="inlineStr">
        <is>
          <t>instructions / steps_json</t>
        </is>
      </c>
      <c r="B26" s="9" t="inlineStr">
        <is>
          <t>Рецепт по шагам: текстом (нумерованный) и в JSON-массиве.</t>
        </is>
      </c>
    </row>
    <row r="27">
      <c r="A27" s="10" t="inlineStr"/>
      <c r="B27" s="9" t="inlineStr"/>
    </row>
    <row r="28">
      <c r="A28" s="10" t="inlineStr">
        <is>
          <t>Листы</t>
        </is>
      </c>
      <c r="B28" s="9" t="inlineStr">
        <is>
          <t>Recipes — база; Ingredients — справочник (ключ ingredient_id); Summary — сводка по категориям (живые формулы); Methodology — этот лист.</t>
        </is>
      </c>
    </row>
    <row r="29">
      <c r="A29" s="10" t="inlineStr">
        <is>
          <t>Источники</t>
        </is>
      </c>
      <c r="B29" s="9" t="inlineStr">
        <is>
          <t>USDA FoodData Central: https://fdc.nal.usda.gov/ | Atkinson FS, Brand-Miller JC et al. International tables of glycemic index and glycemic load values 2021. Am J Clin Nutr 2021;114:1625–32 | University of Sydney GI Database: https://glycemicindex.com | Wolever TMS, Jenkins DJA. The use of the glycemic index in predicting the blood glucose response to mixed meals. Am J Clin Nutr 1986;43:167–72.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2026-10-11T18:40:42Z</dcterms:created>
  <dcterms:modified xsi:type="dcterms:W3CDTF">2026-10-11T18:40:43Z</dcterms:modified>
</cp:coreProperties>
</file>